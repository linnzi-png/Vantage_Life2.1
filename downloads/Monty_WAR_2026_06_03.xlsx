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<sst xmlns="http://schemas.openxmlformats.org/spreadsheetml/2006/main" count="2764" uniqueCount="98">
  <si>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</si>
  <si>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</si>
  <si>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</si>
  <si>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</si>
  <si>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</si>
  <si>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</si>
  <si>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</si>
  <si>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</si>
  <si>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</si>
  <si>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</si>
  <si>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</si>
  <si>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</si>
  <si>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</si>
  <si>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</si>
  <si>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</si>
  <si>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</si>
  <si>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</si>
  <si>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</si>
  <si>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</si>
  <si>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</si>
  <si>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</si>
  <si>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</si>
  <si>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</si>
  <si>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</si>
  <si>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</si>
  <si>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</si>
  <si>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</si>
  <si>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</si>
  <si>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</si>
  <si>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</si>
  <si>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</si>
  <si>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</si>
  <si>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</si>
  <si>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</si>
  <si>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</si>
  <si>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</si>
  <si>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</si>
  <si>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</si>
  <si>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</si>
  <si>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</si>
  <si>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</si>
  <si>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</si>
  <si>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</si>
  <si>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</si>
  <si>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</si>
  <si>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</si>
  <si>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</si>
  <si>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</si>
  <si>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</si>
  <si>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</si>
  <si>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</si>
  <si>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</si>
  <si>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</si>
  <si>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Gabriel Alsheeblawy</t>
  </si>
  <si>
    <t>Ali Alameedi</t>
  </si>
  <si>
    <t>Mohamad-Ali Alwatan</t>
  </si>
  <si>
    <t>Ali Alwatan</t>
  </si>
  <si>
    <t>Korey Mucchiello</t>
  </si>
  <si>
    <t>Tyler Litcher</t>
  </si>
  <si>
    <t>Sabrina Leu</t>
  </si>
  <si>
    <t>Sunshine Faimalo</t>
  </si>
  <si>
    <t>Cristina Alcivar</t>
  </si>
  <si>
    <t>Cristina Yocum</t>
  </si>
  <si>
    <t>Ali Hammoud</t>
  </si>
  <si>
    <t>Mehdi Elkhatib</t>
  </si>
  <si>
    <t>Ali Chahine</t>
  </si>
  <si>
    <t>Hassane Zahr</t>
  </si>
  <si>
    <t>Ali Nasser</t>
  </si>
  <si>
    <t>Mohammad Saad</t>
  </si>
  <si>
    <t>Hussein Habhab</t>
  </si>
  <si>
    <t>Ali Khanafer</t>
  </si>
  <si>
    <t>Faye Saad</t>
  </si>
  <si>
    <t>Ali Kawtharani</t>
  </si>
  <si>
    <t>CO</t>
  </si>
  <si>
    <t>Shibil Mahdawe</t>
  </si>
  <si>
    <t>NC</t>
  </si>
  <si>
    <t>Amy Conner</t>
  </si>
  <si>
    <t>Omran Daher</t>
  </si>
  <si>
    <t>Ali Haidar</t>
  </si>
  <si>
    <t>Mohammad Darwish</t>
  </si>
  <si>
    <t>WA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</si>
  <si>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</si>
  <si>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</si>
  <si>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</si>
  <si>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</si>
  <si>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</si>
  <si>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</si>
  <si>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</si>
  <si>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GARY BIXLER</t>
  </si>
  <si>
    <t>MIKE ALWATAN</t>
  </si>
  <si>
    <t>ALWATAN</t>
  </si>
  <si>
    <t>N/A</t>
  </si>
  <si>
    <t>NO</t>
  </si>
  <si>
    <t>CLIENT CANNOT AFFORD RIGHT NOW</t>
  </si>
  <si>
    <t>LS</t>
  </si>
  <si>
    <t>HEGEL, KATHRYN</t>
  </si>
  <si>
    <t>SABEEH, HAJIR</t>
  </si>
  <si>
    <t>CLIENT DOESNT WANT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</si>
</sst>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0" fontId="11" numFmtId="0" xfId="0" applyAlignment="1" applyBorder="1" applyFont="1">
      <alignment readingOrder="0" vertical="center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3" fillId="3" fontId="4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3" fillId="0" fontId="9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3" fontId="4" numFmtId="0" xfId="0" applyAlignment="1" applyBorder="1" applyFont="1">
      <alignment shrinkToFit="0" vertical="bottom" wrapText="1"/>
    </xf>
    <xf borderId="1" fillId="5" fontId="1" numFmtId="3" xfId="0" applyAlignment="1" applyBorder="1" applyFont="1" applyNumberFormat="1">
      <alignment readingOrder="0" vertical="center"/>
    </xf>
    <xf borderId="1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3" fillId="0" fontId="10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1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11" numFmtId="0" xfId="0" applyAlignment="1" applyBorder="1" applyFont="1">
      <alignment vertical="center"/>
    </xf>
    <xf borderId="1" fillId="4" fontId="10" numFmtId="0" xfId="0" applyAlignment="1" applyBorder="1" applyFont="1">
      <alignment shrinkToFit="0" vertical="bottom" wrapText="1"/>
    </xf>
    <xf borderId="3" fillId="4" fontId="10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vertical="center"/>
    </xf>
    <xf borderId="4" fillId="0" fontId="9" numFmtId="0" xfId="0" applyAlignment="1" applyBorder="1" applyFont="1">
      <alignment shrinkToFit="0" vertical="bottom" wrapText="1"/>
    </xf>
    <xf borderId="3" fillId="6" fontId="7" numFmtId="9" xfId="0" applyAlignment="1" applyBorder="1" applyFont="1" applyNumberFormat="1">
      <alignment horizontal="right" readingOrder="0" vertical="center"/>
    </xf>
    <xf borderId="3" fillId="4" fontId="9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readingOrder="0" vertical="bottom"/>
    </xf>
    <xf borderId="3" fillId="4" fontId="10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vertical="bottom"/>
    </xf>
    <xf borderId="3" fillId="0" fontId="1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3" fillId="3" fontId="4" numFmtId="0" xfId="0" applyAlignment="1" applyBorder="1" applyFont="1">
      <alignment vertical="center"/>
    </xf>
    <xf borderId="4" fillId="4" fontId="10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5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9249</v>
      </c>
      <c r="D2" s="9"/>
      <c r="E2" s="8">
        <f t="shared" ref="E2:R2" si="1">SUM(E5,E11)</f>
        <v>9249</v>
      </c>
      <c r="F2" s="8">
        <f t="shared" si="1"/>
        <v>34</v>
      </c>
      <c r="G2" s="10">
        <f t="shared" si="1"/>
        <v>18</v>
      </c>
      <c r="H2" s="10">
        <f t="shared" si="1"/>
        <v>7</v>
      </c>
      <c r="I2" s="10">
        <f t="shared" si="1"/>
        <v>0</v>
      </c>
      <c r="J2" s="10">
        <f t="shared" si="1"/>
        <v>0</v>
      </c>
      <c r="K2" s="10">
        <f t="shared" si="1"/>
        <v>11</v>
      </c>
      <c r="L2" s="10">
        <f t="shared" si="1"/>
        <v>4</v>
      </c>
      <c r="M2" s="10">
        <f t="shared" si="1"/>
        <v>62</v>
      </c>
      <c r="N2" s="10">
        <f t="shared" si="1"/>
        <v>5</v>
      </c>
      <c r="O2" s="10">
        <f t="shared" si="1"/>
        <v>4</v>
      </c>
      <c r="P2" s="10">
        <f t="shared" si="1"/>
        <v>8</v>
      </c>
      <c r="Q2" s="10">
        <f t="shared" si="1"/>
        <v>1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1321.285714</v>
      </c>
      <c r="F4" s="20">
        <f>IFERROR((G2+R2)/F2,0)</f>
        <v>0.6470588235</v>
      </c>
      <c r="G4" s="20">
        <f>IFERROR(H2/G2,0)</f>
        <v>0.3888888889</v>
      </c>
      <c r="H4" s="19">
        <f>(C2/C4)</f>
        <v>280.2727273</v>
      </c>
      <c r="I4" s="21"/>
      <c r="J4" s="20">
        <f>IFERROR(J2/I2,0)</f>
        <v>0</v>
      </c>
      <c r="K4" s="21"/>
      <c r="L4" s="20">
        <f>IFERROR(L2/K2,0)</f>
        <v>0.3636363636</v>
      </c>
      <c r="M4" s="22">
        <f>IFERROR(M2/G2,0)</f>
        <v>3.444444444</v>
      </c>
      <c r="N4" s="21"/>
      <c r="O4" s="20">
        <f>IFERROR(O2/N2,0)</f>
        <v>0.8</v>
      </c>
      <c r="P4" s="22"/>
      <c r="Q4" s="20">
        <f>IFERROR(Q2/P2,0)</f>
        <v>0.125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9249</v>
      </c>
      <c r="D5" s="26"/>
      <c r="E5" s="27">
        <f>SUMIFS(T:T,A:A,B5,D:D,"Y")</f>
        <v>9249</v>
      </c>
      <c r="F5" s="8">
        <f>SUMIF(A:A,B5,G:G)</f>
        <v>34</v>
      </c>
      <c r="G5" s="10">
        <f>SUMIF(A:A,B5,H:H)</f>
        <v>18</v>
      </c>
      <c r="H5" s="10">
        <f>SUMIF(A:A,B5,I:I)</f>
        <v>7</v>
      </c>
      <c r="I5" s="10">
        <f>SUMIF(A:A,B5,P:P)</f>
        <v>0</v>
      </c>
      <c r="J5" s="10">
        <f>SUMIF(A:A,B5,Q:Q)</f>
        <v>0</v>
      </c>
      <c r="K5" s="10">
        <f>SUMIF(A:A,B5,R:R)</f>
        <v>11</v>
      </c>
      <c r="L5" s="10">
        <f>SUMIF(A:A,B5,S:S)</f>
        <v>4</v>
      </c>
      <c r="M5" s="10">
        <f>SUMIF(A:A,B5,M:M)</f>
        <v>62</v>
      </c>
      <c r="N5" s="10">
        <f>SUMIF(A:A,B5,N:N)</f>
        <v>5</v>
      </c>
      <c r="O5" s="10">
        <f>SUMIF(A:A,B5,O:O)</f>
        <v>4</v>
      </c>
      <c r="P5" s="10">
        <f>SUMIF(A:A,B5,J:J)</f>
        <v>8</v>
      </c>
      <c r="Q5" s="10">
        <f>SUMIF(A:A,B5,K:K)</f>
        <v>1</v>
      </c>
      <c r="R5" s="10">
        <f>SUMIF(A:A,B5,L:L)</f>
        <v>4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1321.285714</v>
      </c>
      <c r="F7" s="20">
        <f>IFERROR((G5+R5)/F5,0)</f>
        <v>0.6470588235</v>
      </c>
      <c r="G7" s="20">
        <f>IFERROR(H5/G5,0)</f>
        <v>0.3888888889</v>
      </c>
      <c r="H7" s="19">
        <f>(C5/C7)</f>
        <v>578.0625</v>
      </c>
      <c r="I7" s="21"/>
      <c r="J7" s="20">
        <f>IFERROR(J5/I5,0)</f>
        <v>0</v>
      </c>
      <c r="K7" s="21"/>
      <c r="L7" s="20">
        <f>IFERROR(L5/K5,0)</f>
        <v>0.3636363636</v>
      </c>
      <c r="M7" s="22">
        <f>IFERROR(M5/SUM(R5+G5,0),"")</f>
        <v>2.818181818</v>
      </c>
      <c r="N7" s="21"/>
      <c r="O7" s="20">
        <f>IFERROR(O5/N5,0)</f>
        <v>0.8</v>
      </c>
      <c r="P7" s="22"/>
      <c r="Q7" s="20">
        <f>IFERROR(Q5/P5,0)</f>
        <v>0.125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9249</v>
      </c>
      <c r="D8" s="36"/>
      <c r="E8" s="37">
        <f>SUMIFS(T:T,B:B,B8,D:D,"Y")</f>
        <v>9249</v>
      </c>
      <c r="F8" s="38">
        <f>SUMIF(B19:B1032,B8,G19:G1032)</f>
        <v>34</v>
      </c>
      <c r="G8" s="39">
        <f>SUMIF(B19:B1032,B8,H19:H1032)</f>
        <v>18</v>
      </c>
      <c r="H8" s="38">
        <f>SUMIF(B19:B1032,B8,I19:I1032)</f>
        <v>7</v>
      </c>
      <c r="I8" s="39">
        <f>SUMIF(B19:B1032,B8,P19:P1032)</f>
        <v>0</v>
      </c>
      <c r="J8" s="39">
        <f>SUMIF(B19:B1032,B8,Q19:Q1032)</f>
        <v>0</v>
      </c>
      <c r="K8" s="39">
        <f>SUMIF(B19:B1032,B8,R19:R1032)</f>
        <v>11</v>
      </c>
      <c r="L8" s="39">
        <f>SUMIF(B19:B1032,B8,S19:S1032)</f>
        <v>4</v>
      </c>
      <c r="M8" s="39">
        <f>SUMIF(B19:B1032,B8,M19:M1032)</f>
        <v>62</v>
      </c>
      <c r="N8" s="39">
        <f>SUMIF(B19:B1032,B8,N19:N1032)</f>
        <v>5</v>
      </c>
      <c r="O8" s="38">
        <f>SUMIF(B19:B1032,B8,O19:O1032)</f>
        <v>4</v>
      </c>
      <c r="P8" s="39">
        <f>SUMIF(B19:B1032,B8,J19:J1032)</f>
        <v>8</v>
      </c>
      <c r="Q8" s="39">
        <f>SUMIF(B19:B1032,B8,K19:K1032)</f>
        <v>1</v>
      </c>
      <c r="R8" s="38">
        <f>SUMIF(B19:B1032,B8,L19:L1032)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COUNTIFS(B19:B1032,B8)</f>
        <v>15</v>
      </c>
      <c r="D10" s="42"/>
      <c r="E10" s="50">
        <f>IFERROR(C8/H8,0)</f>
        <v>1321.285714</v>
      </c>
      <c r="F10" s="51">
        <f>IFERROR((G8+R8)/F8,0)</f>
        <v>0.6470588235</v>
      </c>
      <c r="G10" s="51">
        <f>IFERROR(H8/G8,0)</f>
        <v>0.3888888889</v>
      </c>
      <c r="H10" s="50">
        <f>(C8/C10)</f>
        <v>616.6</v>
      </c>
      <c r="I10" s="46"/>
      <c r="J10" s="51">
        <f>IFERROR(J8/I8,0)</f>
        <v>0</v>
      </c>
      <c r="K10" s="46"/>
      <c r="L10" s="51">
        <f>IFERROR(L8/K8,0)</f>
        <v>0.3636363636</v>
      </c>
      <c r="M10" s="52">
        <f>IFERROR(M8/SUM(G8+R8,0),"")</f>
        <v>2.818181818</v>
      </c>
      <c r="N10" s="46"/>
      <c r="O10" s="51">
        <f>IFERROR(O8/N8,0)</f>
        <v>0.8</v>
      </c>
      <c r="P10" s="53"/>
      <c r="Q10" s="51">
        <f>IFERROR(Q8/P8,0)</f>
        <v>0.125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SUMIF(B19:B1032,B14,G19:G1032)</f>
        <v>0</v>
      </c>
      <c r="G14" s="39">
        <f>SUMIF(B19:B1032,B14,H19:H1032)</f>
        <v>0</v>
      </c>
      <c r="H14" s="38">
        <f>SUMIF(B19:B1032,B14,I19:I1032)</f>
        <v>0</v>
      </c>
      <c r="I14" s="39">
        <f>SUMIF(B19:B1032,B14,P19:P1032)</f>
        <v>0</v>
      </c>
      <c r="J14" s="39">
        <f>SUMIF(B19:B1032,B14,Q19:Q1032)</f>
        <v>0</v>
      </c>
      <c r="K14" s="39">
        <f>SUMIF(B19:B1032,B14,R19:R1032)</f>
        <v>0</v>
      </c>
      <c r="L14" s="39">
        <f>SUMIF(B19:B1032,B14,S19:S1032)</f>
        <v>0</v>
      </c>
      <c r="M14" s="39">
        <f>SUMIF(B19:B1032,B14,M19:M1032)</f>
        <v>0</v>
      </c>
      <c r="N14" s="39">
        <f>SUMIF(B19:B1032,B14,N19:N1032)</f>
        <v>0</v>
      </c>
      <c r="O14" s="38">
        <f>SUMIF(B19:B1032,B14,O19:O1032)</f>
        <v>0</v>
      </c>
      <c r="P14" s="39">
        <f>SUMIF(B19:B1032,B14,J19:J1032)</f>
        <v>0</v>
      </c>
      <c r="Q14" s="39">
        <f>SUMIF(B19:B1032,B14,K19:K1032)</f>
        <v>0</v>
      </c>
      <c r="R14" s="38">
        <f>SUMIF(B19:B1032,B14,L19:L1032)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COUNTIFS(B19:B1032,B14)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1</v>
      </c>
      <c r="H21" s="65">
        <f>('Thurs (2)'!H21+Thurs!H21+'Tues '!H21+Wed!H21+Fri!H21+'Mon '!H21+'Wed (2)'!H21+Sun!H21+Sat!H21)</f>
        <v>0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0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0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6</v>
      </c>
      <c r="H22" s="65">
        <f>('Thurs (2)'!H22+Thurs!H22+'Tues '!H22+Wed!H22+Fri!H22+'Mon '!H22+'Wed (2)'!H22+Sun!H22+Sat!H22)</f>
        <v>2</v>
      </c>
      <c r="I22" s="65">
        <f>('Thurs (2)'!I22+Thurs!I22+'Tues '!I22+Wed!I22+Fri!I22+'Mon '!I22+'Wed (2)'!I22+Sun!I22+Sat!I22)</f>
        <v>1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1</v>
      </c>
      <c r="M22" s="65">
        <f>('Thurs (2)'!M22+Thurs!M22+'Tues '!M22+Wed!M22+Fri!M22+'Mon '!M22+'Wed (2)'!M22+Sun!M22+Sat!M22)</f>
        <v>9</v>
      </c>
      <c r="N22" s="65">
        <f>('Thurs (2)'!N22+Thurs!N22+'Tues '!N22+Wed!N22+Fri!N22+'Mon '!N22+'Wed (2)'!N22+Sun!N22+Sat!N22)</f>
        <v>0</v>
      </c>
      <c r="O22" s="65">
        <f>('Thurs (2)'!O22+Thurs!O22+'Tues '!O22+Wed!O22+Fri!O22+'Mon '!O22+'Wed (2)'!O22+Sun!O22+Sat!O22)</f>
        <v>0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2</v>
      </c>
      <c r="S22" s="65">
        <f>('Thurs (2)'!S22+Thurs!S22+'Tues '!S22+Wed!S22+Fri!S22+'Mon '!S22+'Wed (2)'!S22+Sun!S22+Sat!S22)</f>
        <v>2</v>
      </c>
      <c r="T22" s="65">
        <f>('Thurs (2)'!T22+Thurs!T22+'Tues '!T22+Wed!T22+Fri!T22+'Mon '!T22+'Wed (2)'!T22+Sun!T22+Sat!T22)</f>
        <v>205</v>
      </c>
      <c r="U22" s="66">
        <f t="shared" si="2"/>
        <v>0.5</v>
      </c>
      <c r="V22" s="66">
        <f t="shared" si="3"/>
        <v>0.5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3</v>
      </c>
      <c r="H23" s="65">
        <f>('Thurs (2)'!H23+Thurs!H23+'Tues '!H23+Wed!H23+Fri!H23+'Mon '!H23+'Wed (2)'!H23+Sun!H23+Sat!H23)</f>
        <v>1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5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1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0.3333333333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0</v>
      </c>
      <c r="H24" s="65">
        <f>('Thurs (2)'!H24+Thurs!H24+'Tues '!H24+Wed!H24+Fri!H24+'Mon '!H24+'Wed (2)'!H24+Sun!H24+Sat!H24)</f>
        <v>0</v>
      </c>
      <c r="I24" s="65">
        <f>('Thurs (2)'!I24+Thurs!I24+'Tues '!I24+Wed!I24+Fri!I24+'Mon '!I24+'Wed (2)'!I24+Sun!I24+Sat!I24)</f>
        <v>0</v>
      </c>
      <c r="J24" s="65">
        <f>('Thurs (2)'!J24+Thurs!J24+'Tues '!J24+Wed!J24+Fri!J24+'Mon '!J24+'Wed (2)'!J24+Sun!J24+Sat!J24)</f>
        <v>0</v>
      </c>
      <c r="K24" s="65">
        <f>('Thurs (2)'!K24+Thurs!K24+'Tues '!K24+Wed!K24+Fri!K24+'Mon '!K24+'Wed (2)'!K24+Sun!K24+Sat!K24)</f>
        <v>0</v>
      </c>
      <c r="L24" s="65">
        <f>('Thurs (2)'!L24+Thurs!L24+'Tues '!L24+Wed!L24+Fri!L24+'Mon '!L24+'Wed (2)'!L24+Sun!L24+Sat!L24)</f>
        <v>0</v>
      </c>
      <c r="M24" s="65">
        <f>('Thurs (2)'!M24+Thurs!M24+'Tues '!M24+Wed!M24+Fri!M24+'Mon '!M24+'Wed (2)'!M24+Sun!M24+Sat!M24)</f>
        <v>0</v>
      </c>
      <c r="N24" s="65">
        <f>('Thurs (2)'!N24+Thurs!N24+'Tues '!N24+Wed!N24+Fri!N24+'Mon '!N24+'Wed (2)'!N24+Sun!N24+Sat!N24)</f>
        <v>0</v>
      </c>
      <c r="O24" s="65">
        <f>('Thurs (2)'!O24+Thurs!O24+'Tues '!O24+Wed!O24+Fri!O24+'Mon '!O24+'Wed (2)'!O24+Sun!O24+Sat!O24)</f>
        <v>0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0</v>
      </c>
      <c r="S24" s="65">
        <f>('Thurs (2)'!S24+Thurs!S24+'Tues '!S24+Wed!S24+Fri!S24+'Mon '!S24+'Wed (2)'!S24+Sun!S24+Sat!S24)</f>
        <v>0</v>
      </c>
      <c r="T24" s="65">
        <f>('Thurs (2)'!T24+Thurs!T24+'Tues '!T24+Wed!T24+Fri!T24+'Mon '!T24+'Wed (2)'!T24+Sun!T24+Sat!T24)</f>
        <v>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0</v>
      </c>
      <c r="H25" s="65">
        <f>('Thurs (2)'!H25+Thurs!H25+'Tues '!H25+Wed!H25+Fri!H25+'Mon '!H25+'Wed (2)'!H25+Sun!H25+Sat!H25)</f>
        <v>0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0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>
        <f>('Thurs (2)'!G26+Thurs!G26+'Tues '!G26+Wed!G26+Fri!G26+'Mon '!G26+'Wed (2)'!G26+Sun!G26+Sat!G26)</f>
        <v>0</v>
      </c>
      <c r="H26" s="65">
        <f>('Thurs (2)'!H26+Thurs!H26+'Tues '!H26+Wed!H26+Fri!H26+'Mon '!H26+'Wed (2)'!H26+Sun!H26+Sat!H26)</f>
        <v>0</v>
      </c>
      <c r="I26" s="65">
        <f>('Thurs (2)'!I26+Thurs!I26+'Tues '!I26+Wed!I26+Fri!I26+'Mon '!I26+'Wed (2)'!I26+Sun!I26+Sat!I26)</f>
        <v>0</v>
      </c>
      <c r="J26" s="65">
        <f>('Thurs (2)'!J26+Thurs!J26+'Tues '!J26+Wed!J26+Fri!J26+'Mon '!J26+'Wed (2)'!J26+Sun!J26+Sat!J26)</f>
        <v>0</v>
      </c>
      <c r="K26" s="65">
        <f>('Thurs (2)'!K26+Thurs!K26+'Tues '!K26+Wed!K26+Fri!K26+'Mon '!K26+'Wed (2)'!K26+Sun!K26+Sat!K26)</f>
        <v>0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0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0</v>
      </c>
      <c r="S26" s="65">
        <f>('Thurs (2)'!S26+Thurs!S26+'Tues '!S26+Wed!S26+Fri!S26+'Mon '!S26+'Wed (2)'!S26+Sun!S26+Sat!S26)</f>
        <v>0</v>
      </c>
      <c r="T26" s="65">
        <f>('Thurs (2)'!T26+Thurs!T26+'Tues '!T26+Wed!T26+Fri!T26+'Mon '!T26+'Wed (2)'!T26+Sun!T26+Sat!T26)</f>
        <v>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>
        <f>('Thurs (2)'!G27+Thurs!G27+'Tues '!G27+Wed!G27+Fri!G27+'Mon '!G27+'Wed (2)'!G27+Sun!G27+Sat!G27)</f>
        <v>5</v>
      </c>
      <c r="H27" s="65">
        <f>('Thurs (2)'!H27+Thurs!H27+'Tues '!H27+Wed!H27+Fri!H27+'Mon '!H27+'Wed (2)'!H27+Sun!H27+Sat!H27)</f>
        <v>1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1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1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0.2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>
        <f>('Thurs (2)'!G28+Thurs!G28+'Tues '!G28+Wed!G28+Fri!G28+'Mon '!G28+'Wed (2)'!G28+Sun!G28+Sat!G28)</f>
        <v>12</v>
      </c>
      <c r="H28" s="65">
        <f>('Thurs (2)'!H28+Thurs!H28+'Tues '!H28+Wed!H28+Fri!H28+'Mon '!H28+'Wed (2)'!H28+Sun!H28+Sat!H28)</f>
        <v>7</v>
      </c>
      <c r="I28" s="65">
        <f>('Thurs (2)'!I28+Thurs!I28+'Tues '!I28+Wed!I28+Fri!I28+'Mon '!I28+'Wed (2)'!I28+Sun!I28+Sat!I28)</f>
        <v>6</v>
      </c>
      <c r="J28" s="65">
        <f>('Thurs (2)'!J28+Thurs!J28+'Tues '!J28+Wed!J28+Fri!J28+'Mon '!J28+'Wed (2)'!J28+Sun!J28+Sat!J28)</f>
        <v>2</v>
      </c>
      <c r="K28" s="65">
        <f>('Thurs (2)'!K28+Thurs!K28+'Tues '!K28+Wed!K28+Fri!K28+'Mon '!K28+'Wed (2)'!K28+Sun!K28+Sat!K28)</f>
        <v>1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24</v>
      </c>
      <c r="N28" s="65">
        <f>('Thurs (2)'!N28+Thurs!N28+'Tues '!N28+Wed!N28+Fri!N28+'Mon '!N28+'Wed (2)'!N28+Sun!N28+Sat!N28)</f>
        <v>4</v>
      </c>
      <c r="O28" s="65">
        <f>('Thurs (2)'!O28+Thurs!O28+'Tues '!O28+Wed!O28+Fri!O28+'Mon '!O28+'Wed (2)'!O28+Sun!O28+Sat!O28)</f>
        <v>4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3</v>
      </c>
      <c r="S28" s="65">
        <f>('Thurs (2)'!S28+Thurs!S28+'Tues '!S28+Wed!S28+Fri!S28+'Mon '!S28+'Wed (2)'!S28+Sun!S28+Sat!S28)</f>
        <v>2</v>
      </c>
      <c r="T28" s="65">
        <f>('Thurs (2)'!T28+Thurs!T28+'Tues '!T28+Wed!T28+Fri!T28+'Mon '!T28+'Wed (2)'!T28+Sun!T28+Sat!T28)</f>
        <v>9044</v>
      </c>
      <c r="U28" s="66">
        <f t="shared" si="2"/>
        <v>0.8571428571</v>
      </c>
      <c r="V28" s="66">
        <f t="shared" si="3"/>
        <v>0.5833333333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5</v>
      </c>
      <c r="H29" s="65">
        <f>('Thurs (2)'!H29+Thurs!H29+'Tues '!H29+Wed!H29+Fri!H29+'Mon '!H29+'Wed (2)'!H29+Sun!H29+Sat!H29)</f>
        <v>2</v>
      </c>
      <c r="I29" s="65">
        <f>('Thurs (2)'!I29+Thurs!I29+'Tues '!I29+Wed!I29+Fri!I29+'Mon '!I29+'Wed (2)'!I29+Sun!I29+Sat!I29)</f>
        <v>0</v>
      </c>
      <c r="J29" s="65">
        <f>('Thurs (2)'!J29+Thurs!J29+'Tues '!J29+Wed!J29+Fri!J29+'Mon '!J29+'Wed (2)'!J29+Sun!J29+Sat!J29)</f>
        <v>2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3</v>
      </c>
      <c r="N29" s="65">
        <f>('Thurs (2)'!N29+Thurs!N29+'Tues '!N29+Wed!N29+Fri!N29+'Mon '!N29+'Wed (2)'!N29+Sun!N29+Sat!N29)</f>
        <v>0</v>
      </c>
      <c r="O29" s="65">
        <f>('Thurs (2)'!O29+Thurs!O29+'Tues '!O29+Wed!O29+Fri!O29+'Mon '!O29+'Wed (2)'!O29+Sun!O29+Sat!O29)</f>
        <v>0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2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0</v>
      </c>
      <c r="U29" s="66">
        <f t="shared" si="2"/>
        <v>0</v>
      </c>
      <c r="V29" s="66">
        <f t="shared" si="3"/>
        <v>0.4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>
        <f>('Thurs (2)'!G30+Thurs!G30+'Tues '!G30+Wed!G30+Fri!G30+'Mon '!G30+'Wed (2)'!G30+Sun!G30+Sat!G30)</f>
        <v>1</v>
      </c>
      <c r="H30" s="65">
        <f>('Thurs (2)'!H30+Thurs!H30+'Tues '!H30+Wed!H30+Fri!H30+'Mon '!H30+'Wed (2)'!H30+Sun!H30+Sat!H30)</f>
        <v>2</v>
      </c>
      <c r="I30" s="65">
        <f>('Thurs (2)'!I30+Thurs!I30+'Tues '!I30+Wed!I30+Fri!I30+'Mon '!I30+'Wed (2)'!I30+Sun!I30+Sat!I30)</f>
        <v>0</v>
      </c>
      <c r="J30" s="65">
        <f>('Thurs (2)'!J30+Thurs!J30+'Tues '!J30+Wed!J30+Fri!J30+'Mon '!J30+'Wed (2)'!J30+Sun!J30+Sat!J30)</f>
        <v>1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1</v>
      </c>
      <c r="M30" s="65">
        <f>('Thurs (2)'!M30+Thurs!M30+'Tues '!M30+Wed!M30+Fri!M30+'Mon '!M30+'Wed (2)'!M30+Sun!M30+Sat!M30)</f>
        <v>9</v>
      </c>
      <c r="N30" s="65">
        <f>('Thurs (2)'!N30+Thurs!N30+'Tues '!N30+Wed!N30+Fri!N30+'Mon '!N30+'Wed (2)'!N30+Sun!N30+Sat!N30)</f>
        <v>1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2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0</v>
      </c>
      <c r="U30" s="66">
        <f t="shared" si="2"/>
        <v>0</v>
      </c>
      <c r="V30" s="66">
        <f t="shared" si="3"/>
        <v>3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65">
        <f>('Thurs (2)'!G31+Thurs!G31+'Tues '!G31+Wed!G31+Fri!G31+'Mon '!G31+'Wed (2)'!G31+Sun!G31+Sat!G31)</f>
        <v>0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>
        <f>('Thurs (2)'!G33+Thurs!G33+'Tues '!G33+Wed!G33+Fri!G33+'Mon '!G33+'Wed (2)'!G33+Sun!G33+Sat!G33)</f>
        <v>1</v>
      </c>
      <c r="H33" s="65">
        <f>('Thurs (2)'!H33+Thurs!H33+'Tues '!H33+Wed!H33+Fri!H33+'Mon '!H33+'Wed (2)'!H33+Sun!H33+Sat!H33)</f>
        <v>3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2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2</v>
      </c>
      <c r="M33" s="65">
        <f>('Thurs (2)'!M33+Thurs!M33+'Tues '!M33+Wed!M33+Fri!M33+'Mon '!M33+'Wed (2)'!M33+Sun!M33+Sat!M33)</f>
        <v>12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5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>
        <f>('Thurs (2)'!G37+Thurs!G37+'Tues '!G37+Wed!G37+Fri!G37+'Mon '!G37+'Wed (2)'!G37+Sun!G37+Sat!G37)</f>
        <v>0</v>
      </c>
      <c r="H37" s="65">
        <f>('Thurs (2)'!H37+Thurs!H37+'Tues '!H37+Wed!H37+Fri!H37+'Mon '!H37+'Wed (2)'!H37+Sun!H37+Sat!H37)</f>
        <v>0</v>
      </c>
      <c r="I37" s="65">
        <f>('Thurs (2)'!I37+Thurs!I37+'Tues '!I37+Wed!I37+Fri!I37+'Mon '!I37+'Wed (2)'!I37+Sun!I37+Sat!I37)</f>
        <v>0</v>
      </c>
      <c r="J37" s="65">
        <f>('Thurs (2)'!J37+Thurs!J37+'Tues '!J37+Wed!J37+Fri!J37+'Mon '!J37+'Wed (2)'!J37+Sun!J37+Sat!J37)</f>
        <v>0</v>
      </c>
      <c r="K37" s="65">
        <f>('Thurs (2)'!K37+Thurs!K37+'Tues '!K37+Wed!K37+Fri!K37+'Mon '!K37+'Wed (2)'!K37+Sun!K37+Sat!K37)</f>
        <v>0</v>
      </c>
      <c r="L37" s="65">
        <f>('Thurs (2)'!L37+Thurs!L37+'Tues '!L37+Wed!L37+Fri!L37+'Mon '!L37+'Wed (2)'!L37+Sun!L37+Sat!L37)</f>
        <v>0</v>
      </c>
      <c r="M37" s="65">
        <f>('Thurs (2)'!M37+Thurs!M37+'Tues '!M37+Wed!M37+Fri!M37+'Mon '!M37+'Wed (2)'!M37+Sun!M37+Sat!M37)</f>
        <v>0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0</v>
      </c>
      <c r="S37" s="65">
        <f>('Thurs (2)'!S37+Thurs!S37+'Tues '!S37+Wed!S37+Fri!S37+'Mon '!S37+'Wed (2)'!S37+Sun!S37+Sat!S37)</f>
        <v>0</v>
      </c>
      <c r="T37" s="65">
        <f>('Thurs (2)'!T37+Thurs!T37+'Tues '!T37+Wed!T37+Fri!T37+'Mon '!T37+'Wed (2)'!T37+Sun!T37+Sat!T37)</f>
        <v>0</v>
      </c>
      <c r="U37" s="66">
        <f t="shared" ref="U37:U53" si="4">IFERROR(I37/H37,0)</f>
        <v>0</v>
      </c>
      <c r="V37" s="66">
        <f t="shared" ref="V37:V53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>
        <f>('Thurs (2)'!G38+Thurs!G38+'Tues '!G38+Wed!G38+Fri!G38+'Mon '!G38+'Wed (2)'!G38+Sun!G38+Sat!G38)</f>
        <v>0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>
        <f>('Thurs (2)'!G39+Thurs!G39+'Tues '!G39+Wed!G39+Fri!G39+'Mon '!G39+'Wed (2)'!G39+Sun!G39+Sat!G39)</f>
        <v>0</v>
      </c>
      <c r="H39" s="65">
        <f>('Thurs (2)'!H39+Thurs!H39+'Tues '!H39+Wed!H39+Fri!H39+'Mon '!H39+'Wed (2)'!H39+Sun!H39+Sat!H39)</f>
        <v>0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0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>
        <f>('Thurs (2)'!G40+Thurs!G40+'Tues '!G40+Wed!G40+Fri!G40+'Mon '!G40+'Wed (2)'!G40+Sun!G40+Sat!G40)</f>
        <v>0</v>
      </c>
      <c r="H40" s="65">
        <f>('Thurs (2)'!H40+Thurs!H40+'Tues '!H40+Wed!H40+Fri!H40+'Mon '!H40+'Wed (2)'!H40+Sun!H40+Sat!H40)</f>
        <v>0</v>
      </c>
      <c r="I40" s="65">
        <f>('Thurs (2)'!I40+Thurs!I40+'Tues '!I40+Wed!I40+Fri!I40+'Mon '!I40+'Wed (2)'!I40+Sun!I40+Sat!I40)</f>
        <v>0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0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>
        <f>('Thurs (2)'!G41+Thurs!G41+'Tues '!G41+Wed!G41+Fri!G41+'Mon '!G41+'Wed (2)'!G41+Sun!G41+Sat!G41)</f>
        <v>0</v>
      </c>
      <c r="H41" s="65">
        <f>('Thurs (2)'!H41+Thurs!H41+'Tues '!H41+Wed!H41+Fri!H41+'Mon '!H41+'Wed (2)'!H41+Sun!H41+Sat!H41)</f>
        <v>0</v>
      </c>
      <c r="I41" s="65">
        <f>('Thurs (2)'!I41+Thurs!I41+'Tues '!I41+Wed!I41+Fri!I41+'Mon '!I41+'Wed (2)'!I41+Sun!I41+Sat!I41)</f>
        <v>0</v>
      </c>
      <c r="J41" s="65">
        <f>('Thurs (2)'!J41+Thurs!J41+'Tues '!J41+Wed!J41+Fri!J41+'Mon '!J41+'Wed (2)'!J41+Sun!J41+Sat!J41)</f>
        <v>0</v>
      </c>
      <c r="K41" s="65">
        <f>('Thurs (2)'!K41+Thurs!K41+'Tues '!K41+Wed!K41+Fri!K41+'Mon '!K41+'Wed (2)'!K41+Sun!K41+Sat!K41)</f>
        <v>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0</v>
      </c>
      <c r="S41" s="65">
        <f>('Thurs (2)'!S41+Thurs!S41+'Tues '!S41+Wed!S41+Fri!S41+'Mon '!S41+'Wed (2)'!S41+Sun!S41+Sat!S41)</f>
        <v>0</v>
      </c>
      <c r="T41" s="65">
        <f>('Thurs (2)'!T41+Thurs!T41+'Tues '!T41+Wed!T41+Fri!T41+'Mon '!T41+'Wed (2)'!T41+Sun!T41+Sat!T41)</f>
        <v>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>
        <f>('Thurs (2)'!G42+Thurs!G42+'Tues '!G42+Wed!G42+Fri!G42+'Mon '!G42+'Wed (2)'!G42+Sun!G42+Sat!G42)</f>
        <v>0</v>
      </c>
      <c r="H42" s="65">
        <f>('Thurs (2)'!H42+Thurs!H42+'Tues '!H42+Wed!H42+Fri!H42+'Mon '!H42+'Wed (2)'!H42+Sun!H42+Sat!H42)</f>
        <v>0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0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>
        <f>('Thurs (2)'!G43+Thurs!G43+'Tues '!G43+Wed!G43+Fri!G43+'Mon '!G43+'Wed (2)'!G43+Sun!G43+Sat!G43)</f>
        <v>0</v>
      </c>
      <c r="H43" s="65">
        <f>('Thurs (2)'!H43+Thurs!H43+'Tues '!H43+Wed!H43+Fri!H43+'Mon '!H43+'Wed (2)'!H43+Sun!H43+Sat!H43)</f>
        <v>0</v>
      </c>
      <c r="I43" s="65">
        <f>('Thurs (2)'!I43+Thurs!I43+'Tues '!I43+Wed!I43+Fri!I43+'Mon '!I43+'Wed (2)'!I43+Sun!I43+Sat!I43)</f>
        <v>0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0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0</v>
      </c>
      <c r="S43" s="65">
        <f>('Thurs (2)'!S43+Thurs!S43+'Tues '!S43+Wed!S43+Fri!S43+'Mon '!S43+'Wed (2)'!S43+Sun!S43+Sat!S43)</f>
        <v>0</v>
      </c>
      <c r="T43" s="65">
        <f>('Thurs (2)'!T43+Thurs!T43+'Tues '!T43+Wed!T43+Fri!T43+'Mon '!T43+'Wed (2)'!T43+Sun!T43+Sat!T43)</f>
        <v>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>
        <f>('Thurs (2)'!G44+Thurs!G44+'Tues '!G44+Wed!G44+Fri!G44+'Mon '!G44+'Wed (2)'!G44+Sun!G44+Sat!G44)</f>
        <v>0</v>
      </c>
      <c r="H44" s="65">
        <f>('Thurs (2)'!H44+Thurs!H44+'Tues '!H44+Wed!H44+Fri!H44+'Mon '!H44+'Wed (2)'!H44+Sun!H44+Sat!H44)</f>
        <v>0</v>
      </c>
      <c r="I44" s="65">
        <f>('Thurs (2)'!I44+Thurs!I44+'Tues '!I44+Wed!I44+Fri!I44+'Mon '!I44+'Wed (2)'!I44+Sun!I44+Sat!I44)</f>
        <v>0</v>
      </c>
      <c r="J44" s="65">
        <f>('Thurs (2)'!J44+Thurs!J44+'Tues '!J44+Wed!J44+Fri!J44+'Mon '!J44+'Wed (2)'!J44+Sun!J44+Sat!J44)</f>
        <v>0</v>
      </c>
      <c r="K44" s="65">
        <f>('Thurs (2)'!K44+Thurs!K44+'Tues '!K44+Wed!K44+Fri!K44+'Mon '!K44+'Wed (2)'!K44+Sun!K44+Sat!K44)</f>
        <v>0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0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0</v>
      </c>
      <c r="S44" s="65">
        <f>('Thurs (2)'!S44+Thurs!S44+'Tues '!S44+Wed!S44+Fri!S44+'Mon '!S44+'Wed (2)'!S44+Sun!S44+Sat!S44)</f>
        <v>0</v>
      </c>
      <c r="T44" s="65">
        <f>('Thurs (2)'!T44+Thurs!T44+'Tues '!T44+Wed!T44+Fri!T44+'Mon '!T44+'Wed (2)'!T44+Sun!T44+Sat!T44)</f>
        <v>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>
        <f>('Thurs (2)'!G50+Thurs!G50+'Tues '!G50+Wed!G50+Fri!G50+'Mon '!G50+'Wed (2)'!G50+Sun!G50+Sat!G50)</f>
        <v>0</v>
      </c>
      <c r="H50" s="65">
        <f>('Thurs (2)'!H50+Thurs!H50+'Tues '!H50+Wed!H50+Fri!H50+'Mon '!H50+'Wed (2)'!H50+Sun!H50+Sat!H50)</f>
        <v>0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0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>
        <f>('Thurs (2)'!G51+Thurs!G51+'Tues '!G51+Wed!G51+Fri!G51+'Mon '!G51+'Wed (2)'!G51+Sun!G51+Sat!G51)</f>
        <v>0</v>
      </c>
      <c r="H51" s="65">
        <f>('Thurs (2)'!H51+Thurs!H51+'Tues '!H51+Wed!H51+Fri!H51+'Mon '!H51+'Wed (2)'!H51+Sun!H51+Sat!H51)</f>
        <v>0</v>
      </c>
      <c r="I51" s="65">
        <f>('Thurs (2)'!I51+Thurs!I51+'Tues '!I51+Wed!I51+Fri!I51+'Mon '!I51+'Wed (2)'!I51+Sun!I51+Sat!I51)</f>
        <v>0</v>
      </c>
      <c r="J51" s="65">
        <f>('Thurs (2)'!J51+Thurs!J51+'Tues '!J51+Wed!J51+Fri!J51+'Mon '!J51+'Wed (2)'!J51+Sun!J51+Sat!J51)</f>
        <v>0</v>
      </c>
      <c r="K51" s="65">
        <f>('Thurs (2)'!K51+Thurs!K51+'Tues '!K51+Wed!K51+Fri!K51+'Mon '!K51+'Wed (2)'!K51+Sun!K51+Sat!K51)</f>
        <v>0</v>
      </c>
      <c r="L51" s="65">
        <f>('Thurs (2)'!L51+Thurs!L51+'Tues '!L51+Wed!L51+Fri!L51+'Mon '!L51+'Wed (2)'!L51+Sun!L51+Sat!L51)</f>
        <v>0</v>
      </c>
      <c r="M51" s="65">
        <f>('Thurs (2)'!M51+Thurs!M51+'Tues '!M51+Wed!M51+Fri!M51+'Mon '!M51+'Wed (2)'!M51+Sun!M51+Sat!M51)</f>
        <v>0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0</v>
      </c>
      <c r="S51" s="65">
        <f>('Thurs (2)'!S51+Thurs!S51+'Tues '!S51+Wed!S51+Fri!S51+'Mon '!S51+'Wed (2)'!S51+Sun!S51+Sat!S51)</f>
        <v>0</v>
      </c>
      <c r="T51" s="65">
        <f>('Thurs (2)'!T51+Thurs!T51+'Tues '!T51+Wed!T51+Fri!T51+'Mon '!T51+'Wed (2)'!T51+Sun!T51+Sat!T51)</f>
        <v>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>
        <f>('Thurs (2)'!G52+Thurs!G52+'Tues '!G52+Wed!G52+Fri!G52+'Mon '!G52+'Wed (2)'!G52+Sun!G52+Sat!G52)</f>
        <v>0</v>
      </c>
      <c r="H52" s="65">
        <f>('Thurs (2)'!H52+Thurs!H52+'Tues '!H52+Wed!H52+Fri!H52+'Mon '!H52+'Wed (2)'!H52+Sun!H52+Sat!H52)</f>
        <v>0</v>
      </c>
      <c r="I52" s="65">
        <f>('Thurs (2)'!I52+Thurs!I52+'Tues '!I52+Wed!I52+Fri!I52+'Mon '!I52+'Wed (2)'!I52+Sun!I52+Sat!I52)</f>
        <v>0</v>
      </c>
      <c r="J52" s="65">
        <f>('Thurs (2)'!J52+Thurs!J52+'Tues '!J52+Wed!J52+Fri!J52+'Mon '!J52+'Wed (2)'!J52+Sun!J52+Sat!J52)</f>
        <v>0</v>
      </c>
      <c r="K52" s="65">
        <f>('Thurs (2)'!K52+Thurs!K52+'Tues '!K52+Wed!K52+Fri!K52+'Mon '!K52+'Wed (2)'!K52+Sun!K52+Sat!K52)</f>
        <v>0</v>
      </c>
      <c r="L52" s="65">
        <f>('Thurs (2)'!L52+Thurs!L52+'Tues '!L52+Wed!L52+Fri!L52+'Mon '!L52+'Wed (2)'!L52+Sun!L52+Sat!L52)</f>
        <v>0</v>
      </c>
      <c r="M52" s="65">
        <f>('Thurs (2)'!M52+Thurs!M52+'Tues '!M52+Wed!M52+Fri!M52+'Mon '!M52+'Wed (2)'!M52+Sun!M52+Sat!M52)</f>
        <v>0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0</v>
      </c>
      <c r="S52" s="65">
        <f>('Thurs (2)'!S52+Thurs!S52+'Tues '!S52+Wed!S52+Fri!S52+'Mon '!S52+'Wed (2)'!S52+Sun!S52+Sat!S52)</f>
        <v>0</v>
      </c>
      <c r="T52" s="65">
        <f>('Thurs (2)'!T52+Thurs!T52+'Tues '!T52+Wed!T52+Fri!T52+'Mon '!T52+'Wed (2)'!T52+Sun!T52+Sat!T52)</f>
        <v>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>
        <f>('Thurs (2)'!G53+Thurs!G53+'Tues '!G53+Wed!G53+Fri!G53+'Mon '!G53+'Wed (2)'!G53+Sun!G53+Sat!G53)</f>
        <v>0</v>
      </c>
      <c r="H53" s="65">
        <f>('Thurs (2)'!H53+Thurs!H53+'Tues '!H53+Wed!H53+Fri!H53+'Mon '!H53+'Wed (2)'!H53+Sun!H53+Sat!H53)</f>
        <v>0</v>
      </c>
      <c r="I53" s="65">
        <f>('Thurs (2)'!I53+Thurs!I53+'Tues '!I53+Wed!I53+Fri!I53+'Mon '!I53+'Wed (2)'!I53+Sun!I53+Sat!I53)</f>
        <v>0</v>
      </c>
      <c r="J53" s="65">
        <f>('Thurs (2)'!J53+Thurs!J53+'Tues '!J53+Wed!J53+Fri!J53+'Mon '!J53+'Wed (2)'!J53+Sun!J53+Sat!J53)</f>
        <v>0</v>
      </c>
      <c r="K53" s="65">
        <f>('Thurs (2)'!K53+Thurs!K53+'Tues '!K53+Wed!K53+Fri!K53+'Mon '!K53+'Wed (2)'!K53+Sun!K53+Sat!K53)</f>
        <v>0</v>
      </c>
      <c r="L53" s="65">
        <f>('Thurs (2)'!L53+Thurs!L53+'Tues '!L53+Wed!L53+Fri!L53+'Mon '!L53+'Wed (2)'!L53+Sun!L53+Sat!L53)</f>
        <v>0</v>
      </c>
      <c r="M53" s="65">
        <f>('Thurs (2)'!M53+Thurs!M53+'Tues '!M53+Wed!M53+Fri!M53+'Mon '!M53+'Wed (2)'!M53+Sun!M53+Sat!M53)</f>
        <v>0</v>
      </c>
      <c r="N53" s="65">
        <f>('Thurs (2)'!N53+Thurs!N53+'Tues '!N53+Wed!N53+Fri!N53+'Mon '!N53+'Wed (2)'!N53+Sun!N53+Sat!N53)</f>
        <v>0</v>
      </c>
      <c r="O53" s="65">
        <f>('Thurs (2)'!O53+Thurs!O53+'Tues '!O53+Wed!O53+Fri!O53+'Mon '!O53+'Wed (2)'!O53+Sun!O53+Sat!O53)</f>
        <v>0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0</v>
      </c>
      <c r="S53" s="65">
        <f>('Thurs (2)'!S53+Thurs!S53+'Tues '!S53+Wed!S53+Fri!S53+'Mon '!S53+'Wed (2)'!S53+Sun!S53+Sat!S53)</f>
        <v>0</v>
      </c>
      <c r="T53" s="65">
        <f>('Thurs (2)'!T53+Thurs!T53+'Tues '!T53+Wed!T53+Fri!T53+'Mon '!T53+'Wed (2)'!T53+Sun!T53+Sat!T53)</f>
        <v>0</v>
      </c>
      <c r="U53" s="66">
        <f t="shared" si="4"/>
        <v>0</v>
      </c>
      <c r="V53" s="66">
        <f t="shared" si="5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205</v>
      </c>
      <c r="D2" s="9"/>
      <c r="E2" s="8">
        <f t="shared" ref="E2:R2" si="1">SUM(E5,E11)</f>
        <v>205</v>
      </c>
      <c r="F2" s="8">
        <f t="shared" si="1"/>
        <v>2</v>
      </c>
      <c r="G2" s="10">
        <f t="shared" si="1"/>
        <v>2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1</v>
      </c>
      <c r="M2" s="10">
        <f t="shared" si="1"/>
        <v>10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205</v>
      </c>
      <c r="F4" s="20">
        <f>IFERROR((G2+R2)/F2,0)</f>
        <v>1</v>
      </c>
      <c r="G4" s="20">
        <f>IFERROR(H2/G2,0)</f>
        <v>0.5</v>
      </c>
      <c r="H4" s="19">
        <f>(C2/C4)</f>
        <v>6.212121212</v>
      </c>
      <c r="I4" s="21"/>
      <c r="J4" s="20">
        <f>IFERROR(J2/I2,0)</f>
        <v>0</v>
      </c>
      <c r="K4" s="21"/>
      <c r="L4" s="20">
        <f>IFERROR(L2/K2,0)</f>
        <v>0.5</v>
      </c>
      <c r="M4" s="22">
        <f>IFERROR(M2/G2,0)</f>
        <v>5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205</v>
      </c>
      <c r="D5" s="26"/>
      <c r="E5" s="27">
        <f>SUMIFS(T:T,A:A,B5,D:D,"Y")</f>
        <v>205</v>
      </c>
      <c r="F5" s="8">
        <f>SUMIF(A:A,B5,G:G)</f>
        <v>2</v>
      </c>
      <c r="G5" s="10">
        <f>SUMIF(A:A,B5,H:H)</f>
        <v>2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1</v>
      </c>
      <c r="M5" s="10">
        <f>SUMIF(A:A,B5,M:M)</f>
        <v>10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205</v>
      </c>
      <c r="F7" s="20">
        <f>IFERROR((G5+R5)/F5,0)</f>
        <v>1</v>
      </c>
      <c r="G7" s="20">
        <f>IFERROR(H5/G5,0)</f>
        <v>0.5</v>
      </c>
      <c r="H7" s="19">
        <f>(C5/C7)</f>
        <v>12.8125</v>
      </c>
      <c r="I7" s="21"/>
      <c r="J7" s="20">
        <f>IFERROR(J5/I5,0)</f>
        <v>0</v>
      </c>
      <c r="K7" s="21"/>
      <c r="L7" s="20">
        <f>IFERROR(L5/K5,0)</f>
        <v>0.5</v>
      </c>
      <c r="M7" s="22">
        <f>IFERROR(M5/SUM(R5+G5,0),"")</f>
        <v>5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205</v>
      </c>
      <c r="D8" s="36"/>
      <c r="E8" s="37">
        <f>SUMIFS(T:T,B:B,B8,D:D,"Y")</f>
        <v>205</v>
      </c>
      <c r="F8" s="38">
        <f>SUMIF(B19:B1129,B8,G19:G1129)</f>
        <v>2</v>
      </c>
      <c r="G8" s="39">
        <f>SUMIF(B19:B1129,B8,H19:H1129)</f>
        <v>2</v>
      </c>
      <c r="H8" s="38">
        <f>SUMIF(B19:B1129,B8,I19:I1129)</f>
        <v>1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1</v>
      </c>
      <c r="M8" s="39">
        <f>SUMIF(B19:B1129,B8,M19:M1129)</f>
        <v>10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205</v>
      </c>
      <c r="F10" s="51">
        <f>IFERROR((G8+R8)/F8,0)</f>
        <v>1</v>
      </c>
      <c r="G10" s="51">
        <f>IFERROR(H8/G8,0)</f>
        <v>0.5</v>
      </c>
      <c r="H10" s="50">
        <f>(C8/C10)</f>
        <v>13.66666667</v>
      </c>
      <c r="I10" s="46"/>
      <c r="J10" s="51">
        <f>IFERROR(J8/I8,0)</f>
        <v>0</v>
      </c>
      <c r="K10" s="46"/>
      <c r="L10" s="51">
        <f>IFERROR(L8/K8,0)</f>
        <v>0.5</v>
      </c>
      <c r="M10" s="52">
        <f>IFERROR(M8/SUM(G8+R8,0),"")</f>
        <v>5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0.0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2.0</v>
      </c>
      <c r="H22" s="106">
        <v>1.0</v>
      </c>
      <c r="I22" s="106">
        <v>1.0</v>
      </c>
      <c r="J22" s="106">
        <v>0.0</v>
      </c>
      <c r="K22" s="106">
        <v>0.0</v>
      </c>
      <c r="L22" s="106">
        <v>0.0</v>
      </c>
      <c r="M22" s="106">
        <v>6.0</v>
      </c>
      <c r="N22" s="106">
        <v>0.0</v>
      </c>
      <c r="O22" s="106">
        <v>0.0</v>
      </c>
      <c r="P22" s="106">
        <v>0.0</v>
      </c>
      <c r="Q22" s="106">
        <v>0.0</v>
      </c>
      <c r="R22" s="106">
        <v>1.0</v>
      </c>
      <c r="S22" s="106">
        <v>1.0</v>
      </c>
      <c r="T22" s="106">
        <v>205.0</v>
      </c>
      <c r="U22" s="66">
        <f t="shared" si="2"/>
        <v>1</v>
      </c>
      <c r="V22" s="66">
        <f t="shared" si="3"/>
        <v>0.5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0.0</v>
      </c>
      <c r="H23" s="106">
        <v>0.0</v>
      </c>
      <c r="I23" s="106">
        <v>0.0</v>
      </c>
      <c r="J23" s="106">
        <v>0.0</v>
      </c>
      <c r="K23" s="106">
        <v>0.0</v>
      </c>
      <c r="L23" s="106">
        <v>0.0</v>
      </c>
      <c r="M23" s="106">
        <v>0.0</v>
      </c>
      <c r="N23" s="106">
        <v>0.0</v>
      </c>
      <c r="O23" s="106">
        <v>0.0</v>
      </c>
      <c r="P23" s="106">
        <v>0.0</v>
      </c>
      <c r="Q23" s="106">
        <v>0.0</v>
      </c>
      <c r="R23" s="106">
        <v>0.0</v>
      </c>
      <c r="S23" s="106">
        <v>0.0</v>
      </c>
      <c r="T23" s="106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0.0</v>
      </c>
      <c r="H24" s="106">
        <v>0.0</v>
      </c>
      <c r="I24" s="106">
        <v>0.0</v>
      </c>
      <c r="J24" s="106">
        <v>0.0</v>
      </c>
      <c r="K24" s="106">
        <v>0.0</v>
      </c>
      <c r="L24" s="106">
        <v>0.0</v>
      </c>
      <c r="M24" s="106">
        <v>0.0</v>
      </c>
      <c r="N24" s="106">
        <v>0.0</v>
      </c>
      <c r="O24" s="106">
        <v>0.0</v>
      </c>
      <c r="P24" s="106">
        <v>0.0</v>
      </c>
      <c r="Q24" s="106">
        <v>0.0</v>
      </c>
      <c r="R24" s="106">
        <v>0.0</v>
      </c>
      <c r="S24" s="106">
        <v>0.0</v>
      </c>
      <c r="T24" s="106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0.0</v>
      </c>
      <c r="H28" s="106">
        <v>0.0</v>
      </c>
      <c r="I28" s="106">
        <v>0.0</v>
      </c>
      <c r="J28" s="106">
        <v>0.0</v>
      </c>
      <c r="K28" s="106">
        <v>0.0</v>
      </c>
      <c r="L28" s="106">
        <v>0.0</v>
      </c>
      <c r="M28" s="106">
        <v>0.0</v>
      </c>
      <c r="N28" s="106">
        <v>0.0</v>
      </c>
      <c r="O28" s="106">
        <v>0.0</v>
      </c>
      <c r="P28" s="106">
        <v>0.0</v>
      </c>
      <c r="Q28" s="106">
        <v>0.0</v>
      </c>
      <c r="R28" s="106">
        <v>0.0</v>
      </c>
      <c r="S28" s="106">
        <v>0.0</v>
      </c>
      <c r="T28" s="106">
        <v>0.0</v>
      </c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1.0</v>
      </c>
      <c r="I30" s="106">
        <v>0.0</v>
      </c>
      <c r="J30" s="106">
        <v>0.0</v>
      </c>
      <c r="K30" s="106">
        <v>0.0</v>
      </c>
      <c r="L30" s="106">
        <v>0.0</v>
      </c>
      <c r="M30" s="106">
        <v>4.0</v>
      </c>
      <c r="N30" s="106">
        <v>0.0</v>
      </c>
      <c r="O30" s="106">
        <v>0.0</v>
      </c>
      <c r="P30" s="106">
        <v>0.0</v>
      </c>
      <c r="Q30" s="106">
        <v>0.0</v>
      </c>
      <c r="R30" s="106">
        <v>1.0</v>
      </c>
      <c r="S30" s="106">
        <v>0.0</v>
      </c>
      <c r="T30" s="106">
        <v>0.0</v>
      </c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2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4">IFERROR(I37/H37,0)</f>
        <v>0</v>
      </c>
      <c r="V37" s="66">
        <f t="shared" ref="V37:V53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1740</v>
      </c>
      <c r="D2" s="117"/>
      <c r="E2" s="116">
        <f t="shared" ref="E2:R2" si="1">SUM(E5,E11)</f>
        <v>1740</v>
      </c>
      <c r="F2" s="116">
        <f t="shared" si="1"/>
        <v>5</v>
      </c>
      <c r="G2" s="118">
        <f t="shared" si="1"/>
        <v>4</v>
      </c>
      <c r="H2" s="118">
        <f t="shared" si="1"/>
        <v>1</v>
      </c>
      <c r="I2" s="118">
        <f t="shared" si="1"/>
        <v>0</v>
      </c>
      <c r="J2" s="118">
        <f t="shared" si="1"/>
        <v>0</v>
      </c>
      <c r="K2" s="118">
        <f t="shared" si="1"/>
        <v>4</v>
      </c>
      <c r="L2" s="118">
        <f t="shared" si="1"/>
        <v>2</v>
      </c>
      <c r="M2" s="118">
        <f t="shared" si="1"/>
        <v>13</v>
      </c>
      <c r="N2" s="118">
        <f t="shared" si="1"/>
        <v>1</v>
      </c>
      <c r="O2" s="118">
        <f t="shared" si="1"/>
        <v>0</v>
      </c>
      <c r="P2" s="118">
        <f t="shared" si="1"/>
        <v>2</v>
      </c>
      <c r="Q2" s="118">
        <f t="shared" si="1"/>
        <v>1</v>
      </c>
      <c r="R2" s="118">
        <f t="shared" si="1"/>
        <v>2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33</v>
      </c>
      <c r="D4" s="120"/>
      <c r="E4" s="50">
        <f>IFERROR(C2/H2,0)</f>
        <v>1740</v>
      </c>
      <c r="F4" s="51">
        <f>IFERROR((G2+R2)/F2,0)</f>
        <v>1.2</v>
      </c>
      <c r="G4" s="51">
        <f>IFERROR(H2/G2,0)</f>
        <v>0.25</v>
      </c>
      <c r="H4" s="50">
        <f>(C2/C4)</f>
        <v>52.72727273</v>
      </c>
      <c r="I4" s="46"/>
      <c r="J4" s="51">
        <f>IFERROR(J2/I2,0)</f>
        <v>0</v>
      </c>
      <c r="K4" s="46"/>
      <c r="L4" s="51">
        <f>IFERROR(L2/K2,0)</f>
        <v>0.5</v>
      </c>
      <c r="M4" s="52">
        <f>IFERROR(M2/G2,0)</f>
        <v>3.25</v>
      </c>
      <c r="N4" s="46"/>
      <c r="O4" s="51">
        <f>IFERROR(O2/N2,0)</f>
        <v>0</v>
      </c>
      <c r="P4" s="53"/>
      <c r="Q4" s="51">
        <f>IFERROR(Q2/P2,0)</f>
        <v>0.5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1740</v>
      </c>
      <c r="D5" s="125"/>
      <c r="E5" s="126">
        <f>SUMIFS(T:T,A:A,B5,D:D,"Y")</f>
        <v>1740</v>
      </c>
      <c r="F5" s="116">
        <f>SUMIF(A:A,B5,G:G)</f>
        <v>5</v>
      </c>
      <c r="G5" s="118">
        <f>SUMIF(A:A,B5,H:H)</f>
        <v>4</v>
      </c>
      <c r="H5" s="118">
        <f>SUMIF(A:A,B5,I:I)</f>
        <v>1</v>
      </c>
      <c r="I5" s="118">
        <f>SUMIF(A:A,B5,P:P)</f>
        <v>0</v>
      </c>
      <c r="J5" s="118">
        <f>SUMIF(A:A,B5,Q:Q)</f>
        <v>0</v>
      </c>
      <c r="K5" s="118">
        <f>SUMIF(A:A,B5,R:R)</f>
        <v>4</v>
      </c>
      <c r="L5" s="118">
        <f>SUMIF(A:A,B5,S:S)</f>
        <v>2</v>
      </c>
      <c r="M5" s="118">
        <f>SUMIF(A:A,B5,M:M)</f>
        <v>13</v>
      </c>
      <c r="N5" s="118">
        <f>SUMIF(A:A,B5,N:N)</f>
        <v>1</v>
      </c>
      <c r="O5" s="118">
        <f>SUMIF(A:A,B5,O:O)</f>
        <v>0</v>
      </c>
      <c r="P5" s="118">
        <f>SUMIF(A:A,B5,J:J)</f>
        <v>2</v>
      </c>
      <c r="Q5" s="118">
        <f>SUMIF(A:A,B5,K:K)</f>
        <v>1</v>
      </c>
      <c r="R5" s="118">
        <f>SUMIF(A:A,B5,L:L)</f>
        <v>2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1740</v>
      </c>
      <c r="F7" s="51">
        <f>IFERROR((G5+R5)/F5,0)</f>
        <v>1.2</v>
      </c>
      <c r="G7" s="51">
        <f>IFERROR(H5/G5,0)</f>
        <v>0.25</v>
      </c>
      <c r="H7" s="50">
        <f>(C5/C7)</f>
        <v>108.75</v>
      </c>
      <c r="I7" s="46"/>
      <c r="J7" s="51">
        <f>IFERROR(J5/I5,0)</f>
        <v>0</v>
      </c>
      <c r="K7" s="46"/>
      <c r="L7" s="51">
        <f>IFERROR(L5/K5,0)</f>
        <v>0.5</v>
      </c>
      <c r="M7" s="53">
        <f>IFERROR(M5/SUM(R5+G5,0),"")</f>
        <v>2.166666667</v>
      </c>
      <c r="N7" s="46"/>
      <c r="O7" s="51">
        <f>IFERROR(O5/N5,0)</f>
        <v>0</v>
      </c>
      <c r="P7" s="53"/>
      <c r="Q7" s="51">
        <f>IFERROR(Q5/P5,0)</f>
        <v>0.5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1740</v>
      </c>
      <c r="D8" s="36"/>
      <c r="E8" s="37">
        <f>SUMIFS(T:T,B:B,B8,D:D,"Y")</f>
        <v>1740</v>
      </c>
      <c r="F8" s="38">
        <f>SUMIF(B19:B1129,B8,G19:G1129)</f>
        <v>5</v>
      </c>
      <c r="G8" s="39">
        <f>SUMIF(B19:B1129,B8,H19:H1129)</f>
        <v>4</v>
      </c>
      <c r="H8" s="38">
        <f>SUMIF(B19:B1129,B8,I19:I1129)</f>
        <v>1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4</v>
      </c>
      <c r="L8" s="39">
        <f>SUMIF(B19:B1129,B8,S19:S1129)</f>
        <v>2</v>
      </c>
      <c r="M8" s="39">
        <f>SUMIF(B19:B1129,B8,M19:M1129)</f>
        <v>13</v>
      </c>
      <c r="N8" s="39">
        <f>SUMIF(B19:B1129,B8,N19:N1129)</f>
        <v>1</v>
      </c>
      <c r="O8" s="38">
        <f>SUMIF(B19:B1129,B8,O19:O1129)</f>
        <v>0</v>
      </c>
      <c r="P8" s="39">
        <f>SUMIF(B19:B1129,B8,J19:J1129)</f>
        <v>2</v>
      </c>
      <c r="Q8" s="39">
        <f>SUMIF(B19:B1129,B8,K19:K1129)</f>
        <v>1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1740</v>
      </c>
      <c r="F10" s="51">
        <f>IFERROR((G8+R8)/F8,0)</f>
        <v>1.2</v>
      </c>
      <c r="G10" s="51">
        <f>IFERROR(H8/G8,0)</f>
        <v>0.25</v>
      </c>
      <c r="H10" s="50">
        <f>(C8/C10)</f>
        <v>116</v>
      </c>
      <c r="I10" s="46"/>
      <c r="J10" s="51">
        <f>IFERROR(J8/I8,0)</f>
        <v>0</v>
      </c>
      <c r="K10" s="46"/>
      <c r="L10" s="51">
        <f>IFERROR(L8/K8,0)</f>
        <v>0.5</v>
      </c>
      <c r="M10" s="53">
        <f>IFERROR(M8/SUM(G8+R8,0),"")</f>
        <v>2.166666667</v>
      </c>
      <c r="N10" s="46"/>
      <c r="O10" s="51">
        <f>IFERROR(O8/N8,0)</f>
        <v>0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0" si="2">IFERROR(I20/H20,0)</f>
        <v>0</v>
      </c>
      <c r="V20" s="131">
        <f t="shared" ref="V20:V30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1.0</v>
      </c>
      <c r="H21" s="136">
        <v>0.0</v>
      </c>
      <c r="I21" s="136">
        <v>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0.0</v>
      </c>
      <c r="P21" s="136">
        <v>0.0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2.0</v>
      </c>
      <c r="H22" s="136">
        <v>1.0</v>
      </c>
      <c r="I22" s="136">
        <v>0.0</v>
      </c>
      <c r="J22" s="136">
        <v>0.0</v>
      </c>
      <c r="K22" s="136">
        <v>0.0</v>
      </c>
      <c r="L22" s="136">
        <v>1.0</v>
      </c>
      <c r="M22" s="136">
        <v>3.0</v>
      </c>
      <c r="N22" s="136">
        <v>0.0</v>
      </c>
      <c r="O22" s="136">
        <v>0.0</v>
      </c>
      <c r="P22" s="136">
        <v>0.0</v>
      </c>
      <c r="Q22" s="136">
        <v>0.0</v>
      </c>
      <c r="R22" s="136">
        <v>1.0</v>
      </c>
      <c r="S22" s="136">
        <v>1.0</v>
      </c>
      <c r="T22" s="136">
        <v>0.0</v>
      </c>
      <c r="U22" s="131">
        <f t="shared" si="2"/>
        <v>0</v>
      </c>
      <c r="V22" s="131">
        <f t="shared" si="3"/>
        <v>1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1.0</v>
      </c>
      <c r="H23" s="136">
        <v>1.0</v>
      </c>
      <c r="I23" s="136">
        <v>0.0</v>
      </c>
      <c r="J23" s="136">
        <v>0.0</v>
      </c>
      <c r="K23" s="136">
        <v>0.0</v>
      </c>
      <c r="L23" s="136">
        <v>0.0</v>
      </c>
      <c r="M23" s="136">
        <v>3.0</v>
      </c>
      <c r="N23" s="136">
        <v>0.0</v>
      </c>
      <c r="O23" s="136">
        <v>0.0</v>
      </c>
      <c r="P23" s="136">
        <v>0.0</v>
      </c>
      <c r="Q23" s="136">
        <v>0.0</v>
      </c>
      <c r="R23" s="136">
        <v>1.0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1</v>
      </c>
    </row>
    <row r="24" ht="12.75" customHeight="1">
      <c r="A24" s="143" t="s">
        <v>26</v>
      </c>
      <c r="B24" s="144" t="s">
        <v>27</v>
      </c>
      <c r="C24" s="145" t="s">
        <v>51</v>
      </c>
      <c r="D24" s="146" t="s">
        <v>46</v>
      </c>
      <c r="E24" s="144" t="s">
        <v>47</v>
      </c>
      <c r="F24" s="145" t="s">
        <v>51</v>
      </c>
      <c r="G24" s="136">
        <v>0.0</v>
      </c>
      <c r="H24" s="136">
        <v>0.0</v>
      </c>
      <c r="I24" s="136">
        <v>0.0</v>
      </c>
      <c r="J24" s="136">
        <v>0.0</v>
      </c>
      <c r="K24" s="136">
        <v>0.0</v>
      </c>
      <c r="L24" s="136">
        <v>0.0</v>
      </c>
      <c r="M24" s="136">
        <v>0.0</v>
      </c>
      <c r="N24" s="136">
        <v>0.0</v>
      </c>
      <c r="O24" s="136">
        <v>0.0</v>
      </c>
      <c r="P24" s="136">
        <v>0.0</v>
      </c>
      <c r="Q24" s="136">
        <v>0.0</v>
      </c>
      <c r="R24" s="136">
        <v>0.0</v>
      </c>
      <c r="S24" s="136">
        <v>0.0</v>
      </c>
      <c r="T24" s="130"/>
      <c r="U24" s="131">
        <f t="shared" si="2"/>
        <v>0</v>
      </c>
      <c r="V24" s="131">
        <f t="shared" si="3"/>
        <v>0</v>
      </c>
    </row>
    <row r="25" ht="12.75" customHeight="1">
      <c r="A25" s="147" t="s">
        <v>26</v>
      </c>
      <c r="B25" s="148" t="s">
        <v>27</v>
      </c>
      <c r="C25" s="149" t="s">
        <v>51</v>
      </c>
      <c r="D25" s="84"/>
      <c r="E25" s="148" t="s">
        <v>47</v>
      </c>
      <c r="F25" s="149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31">
        <f t="shared" si="2"/>
        <v>0</v>
      </c>
      <c r="V25" s="131">
        <f t="shared" si="3"/>
        <v>0</v>
      </c>
    </row>
    <row r="26" ht="12.75" customHeight="1">
      <c r="A26" s="147" t="s">
        <v>26</v>
      </c>
      <c r="B26" s="148" t="s">
        <v>27</v>
      </c>
      <c r="C26" s="149" t="s">
        <v>51</v>
      </c>
      <c r="D26" s="84"/>
      <c r="E26" s="148" t="s">
        <v>47</v>
      </c>
      <c r="F26" s="149" t="s">
        <v>53</v>
      </c>
      <c r="G26" s="136">
        <v>0.0</v>
      </c>
      <c r="H26" s="136">
        <v>0.0</v>
      </c>
      <c r="I26" s="136">
        <v>0.0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6">
        <v>0.0</v>
      </c>
      <c r="T26" s="136">
        <v>0.0</v>
      </c>
      <c r="U26" s="131">
        <f t="shared" si="2"/>
        <v>0</v>
      </c>
      <c r="V26" s="131">
        <f t="shared" si="3"/>
        <v>0</v>
      </c>
    </row>
    <row r="27" ht="12.75" customHeight="1">
      <c r="A27" s="147" t="s">
        <v>26</v>
      </c>
      <c r="B27" s="148" t="s">
        <v>27</v>
      </c>
      <c r="C27" s="149" t="s">
        <v>51</v>
      </c>
      <c r="D27" s="84"/>
      <c r="E27" s="148" t="s">
        <v>47</v>
      </c>
      <c r="F27" s="149" t="s">
        <v>54</v>
      </c>
      <c r="G27" s="136">
        <v>0.0</v>
      </c>
      <c r="H27" s="136">
        <v>0.0</v>
      </c>
      <c r="I27" s="136">
        <v>0.0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6">
        <v>0.0</v>
      </c>
      <c r="T27" s="136">
        <v>0.0</v>
      </c>
      <c r="U27" s="131">
        <f t="shared" si="2"/>
        <v>0</v>
      </c>
      <c r="V27" s="131">
        <f t="shared" si="3"/>
        <v>0</v>
      </c>
    </row>
    <row r="28" ht="12.75" customHeight="1">
      <c r="A28" s="137" t="s">
        <v>26</v>
      </c>
      <c r="B28" s="138" t="s">
        <v>27</v>
      </c>
      <c r="C28" s="150" t="s">
        <v>55</v>
      </c>
      <c r="D28" s="151" t="s">
        <v>46</v>
      </c>
      <c r="E28" s="152" t="s">
        <v>47</v>
      </c>
      <c r="F28" s="150" t="s">
        <v>55</v>
      </c>
      <c r="G28" s="136">
        <v>0.0</v>
      </c>
      <c r="H28" s="136">
        <v>1.0</v>
      </c>
      <c r="I28" s="136">
        <v>1.0</v>
      </c>
      <c r="J28" s="136">
        <v>1.0</v>
      </c>
      <c r="K28" s="136">
        <v>1.0</v>
      </c>
      <c r="L28" s="136">
        <v>0.0</v>
      </c>
      <c r="M28" s="136">
        <v>2.0</v>
      </c>
      <c r="N28" s="136">
        <v>0.0</v>
      </c>
      <c r="O28" s="136">
        <v>0.0</v>
      </c>
      <c r="P28" s="136">
        <v>0.0</v>
      </c>
      <c r="Q28" s="136">
        <v>0.0</v>
      </c>
      <c r="R28" s="136">
        <v>1.0</v>
      </c>
      <c r="S28" s="136">
        <v>1.0</v>
      </c>
      <c r="T28" s="136">
        <v>1740.0</v>
      </c>
      <c r="U28" s="131">
        <f t="shared" si="2"/>
        <v>1</v>
      </c>
      <c r="V28" s="131">
        <f t="shared" si="3"/>
        <v>0</v>
      </c>
    </row>
    <row r="29" ht="12.75" customHeight="1">
      <c r="A29" s="140" t="s">
        <v>26</v>
      </c>
      <c r="B29" s="141" t="s">
        <v>27</v>
      </c>
      <c r="C29" s="141" t="s">
        <v>55</v>
      </c>
      <c r="D29" s="75"/>
      <c r="E29" s="141" t="s">
        <v>47</v>
      </c>
      <c r="F29" s="63" t="s">
        <v>56</v>
      </c>
      <c r="G29" s="136">
        <v>0.0</v>
      </c>
      <c r="H29" s="136">
        <v>0.0</v>
      </c>
      <c r="I29" s="136">
        <v>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6">
        <v>0.0</v>
      </c>
      <c r="T29" s="136">
        <v>0.0</v>
      </c>
      <c r="U29" s="131">
        <f t="shared" si="2"/>
        <v>0</v>
      </c>
      <c r="V29" s="131">
        <f t="shared" si="3"/>
        <v>0</v>
      </c>
    </row>
    <row r="30" ht="12.75" customHeight="1">
      <c r="A30" s="140" t="s">
        <v>26</v>
      </c>
      <c r="B30" s="141" t="s">
        <v>27</v>
      </c>
      <c r="C30" s="141" t="s">
        <v>55</v>
      </c>
      <c r="D30" s="75"/>
      <c r="E30" s="142"/>
      <c r="F30" s="63" t="s">
        <v>57</v>
      </c>
      <c r="G30" s="136">
        <v>1.0</v>
      </c>
      <c r="H30" s="136">
        <v>1.0</v>
      </c>
      <c r="I30" s="136">
        <v>0.0</v>
      </c>
      <c r="J30" s="136">
        <v>1.0</v>
      </c>
      <c r="K30" s="136">
        <v>0.0</v>
      </c>
      <c r="L30" s="136">
        <v>1.0</v>
      </c>
      <c r="M30" s="136">
        <v>5.0</v>
      </c>
      <c r="N30" s="136">
        <v>1.0</v>
      </c>
      <c r="O30" s="136">
        <v>0.0</v>
      </c>
      <c r="P30" s="136">
        <v>0.0</v>
      </c>
      <c r="Q30" s="136">
        <v>0.0</v>
      </c>
      <c r="R30" s="136">
        <v>1.0</v>
      </c>
      <c r="S30" s="136">
        <v>0.0</v>
      </c>
      <c r="T30" s="136">
        <v>0.0</v>
      </c>
      <c r="U30" s="131">
        <f t="shared" si="2"/>
        <v>0</v>
      </c>
      <c r="V30" s="131">
        <f t="shared" si="3"/>
        <v>2</v>
      </c>
    </row>
    <row r="31" ht="12.75" customHeight="1">
      <c r="A31" s="140" t="s">
        <v>26</v>
      </c>
      <c r="B31" s="141" t="s">
        <v>27</v>
      </c>
      <c r="C31" s="141" t="s">
        <v>55</v>
      </c>
      <c r="D31" s="75"/>
      <c r="E31" s="142"/>
      <c r="F31" s="63" t="s">
        <v>58</v>
      </c>
      <c r="G31" s="136">
        <v>0.0</v>
      </c>
      <c r="H31" s="136">
        <v>0.0</v>
      </c>
      <c r="I31" s="136">
        <v>0.0</v>
      </c>
      <c r="J31" s="136">
        <v>0.0</v>
      </c>
      <c r="K31" s="136">
        <v>0.0</v>
      </c>
      <c r="L31" s="136">
        <v>0.0</v>
      </c>
      <c r="M31" s="136">
        <v>0.0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0.0</v>
      </c>
      <c r="U31" s="153">
        <v>0.0</v>
      </c>
      <c r="V31" s="153">
        <v>0.0</v>
      </c>
    </row>
    <row r="32" ht="12.75" customHeight="1">
      <c r="A32" s="140" t="s">
        <v>26</v>
      </c>
      <c r="B32" s="141" t="s">
        <v>27</v>
      </c>
      <c r="C32" s="141" t="s">
        <v>55</v>
      </c>
      <c r="D32" s="129"/>
      <c r="E32" s="142"/>
      <c r="F32" s="63" t="s">
        <v>59</v>
      </c>
      <c r="G32" s="136">
        <v>0.0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ref="U32:U35" si="4">IFERROR(I32/H32,0)</f>
        <v>0</v>
      </c>
      <c r="V32" s="131">
        <f t="shared" ref="V32:V35" si="5">IFERROR(SUM(H32+L32)/G32,0)</f>
        <v>0</v>
      </c>
    </row>
    <row r="33" ht="12.75" customHeight="1">
      <c r="A33" s="143" t="s">
        <v>26</v>
      </c>
      <c r="B33" s="144" t="s">
        <v>27</v>
      </c>
      <c r="C33" s="154" t="s">
        <v>60</v>
      </c>
      <c r="D33" s="146" t="s">
        <v>46</v>
      </c>
      <c r="E33" s="155" t="s">
        <v>80</v>
      </c>
      <c r="F33" s="154" t="s">
        <v>60</v>
      </c>
      <c r="G33" s="136">
        <v>0.0</v>
      </c>
      <c r="H33" s="136">
        <v>0.0</v>
      </c>
      <c r="I33" s="136">
        <v>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6">
        <v>0.0</v>
      </c>
      <c r="T33" s="136">
        <v>0.0</v>
      </c>
      <c r="U33" s="131">
        <f t="shared" si="4"/>
        <v>0</v>
      </c>
      <c r="V33" s="131">
        <f t="shared" si="5"/>
        <v>0</v>
      </c>
    </row>
    <row r="34" ht="12.75" customHeight="1">
      <c r="A34" s="147" t="s">
        <v>26</v>
      </c>
      <c r="B34" s="148" t="s">
        <v>27</v>
      </c>
      <c r="C34" s="156" t="s">
        <v>60</v>
      </c>
      <c r="D34" s="84"/>
      <c r="E34" s="157"/>
      <c r="F34" s="156" t="s">
        <v>61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5"/>
        <v>0</v>
      </c>
    </row>
    <row r="35" ht="12.75" customHeight="1">
      <c r="A35" s="147" t="s">
        <v>26</v>
      </c>
      <c r="B35" s="148" t="s">
        <v>27</v>
      </c>
      <c r="C35" s="156" t="s">
        <v>60</v>
      </c>
      <c r="D35" s="84"/>
      <c r="E35" s="157"/>
      <c r="F35" s="156" t="s">
        <v>62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5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28" t="s">
        <v>28</v>
      </c>
      <c r="B37" s="129"/>
      <c r="C37" s="129"/>
      <c r="D37" s="158" t="s">
        <v>46</v>
      </c>
      <c r="E37" s="128" t="s">
        <v>47</v>
      </c>
      <c r="F37" s="128" t="s">
        <v>28</v>
      </c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>
        <f t="shared" ref="U37:U53" si="6">IFERROR(I37/H37,0)</f>
        <v>0</v>
      </c>
      <c r="V37" s="131">
        <f t="shared" ref="V37:V53" si="7">IFERROR(SUM(H37+L37)/G37,0)</f>
        <v>0</v>
      </c>
    </row>
    <row r="38" ht="12.75" customHeight="1">
      <c r="A38" s="132" t="s">
        <v>28</v>
      </c>
      <c r="B38" s="124" t="s">
        <v>29</v>
      </c>
      <c r="C38" s="159"/>
      <c r="D38" s="160" t="s">
        <v>46</v>
      </c>
      <c r="E38" s="135" t="s">
        <v>47</v>
      </c>
      <c r="F38" s="124" t="s">
        <v>29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si="6"/>
        <v>0</v>
      </c>
      <c r="V38" s="131">
        <f t="shared" si="7"/>
        <v>0</v>
      </c>
    </row>
    <row r="39" ht="12.75" customHeight="1">
      <c r="A39" s="143" t="s">
        <v>28</v>
      </c>
      <c r="B39" s="144" t="s">
        <v>29</v>
      </c>
      <c r="C39" s="145" t="s">
        <v>63</v>
      </c>
      <c r="D39" s="146" t="s">
        <v>46</v>
      </c>
      <c r="E39" s="144" t="s">
        <v>47</v>
      </c>
      <c r="F39" s="145" t="s">
        <v>63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6"/>
        <v>0</v>
      </c>
      <c r="V39" s="131">
        <f t="shared" si="7"/>
        <v>0</v>
      </c>
    </row>
    <row r="40" ht="12.75" customHeight="1">
      <c r="A40" s="147" t="s">
        <v>28</v>
      </c>
      <c r="B40" s="148" t="s">
        <v>29</v>
      </c>
      <c r="C40" s="147" t="s">
        <v>63</v>
      </c>
      <c r="D40" s="157"/>
      <c r="E40" s="148" t="s">
        <v>47</v>
      </c>
      <c r="F40" s="147" t="s">
        <v>64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6"/>
        <v>0</v>
      </c>
      <c r="V40" s="131">
        <f t="shared" si="7"/>
        <v>0</v>
      </c>
    </row>
    <row r="41" ht="12.75" customHeight="1">
      <c r="A41" s="147" t="s">
        <v>28</v>
      </c>
      <c r="B41" s="148" t="s">
        <v>29</v>
      </c>
      <c r="C41" s="147" t="s">
        <v>63</v>
      </c>
      <c r="D41" s="84"/>
      <c r="E41" s="161" t="s">
        <v>47</v>
      </c>
      <c r="F41" s="149" t="s">
        <v>65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6"/>
        <v>0</v>
      </c>
      <c r="V41" s="131">
        <f t="shared" si="7"/>
        <v>0</v>
      </c>
    </row>
    <row r="42" ht="12.75" customHeight="1">
      <c r="A42" s="147" t="s">
        <v>28</v>
      </c>
      <c r="B42" s="148" t="s">
        <v>29</v>
      </c>
      <c r="C42" s="147" t="s">
        <v>63</v>
      </c>
      <c r="D42" s="84"/>
      <c r="E42" s="161" t="s">
        <v>47</v>
      </c>
      <c r="F42" s="149" t="s">
        <v>66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6"/>
        <v>0</v>
      </c>
      <c r="V42" s="131">
        <f t="shared" si="7"/>
        <v>0</v>
      </c>
    </row>
    <row r="43" ht="12.75" customHeight="1">
      <c r="A43" s="147" t="s">
        <v>28</v>
      </c>
      <c r="B43" s="148" t="s">
        <v>29</v>
      </c>
      <c r="C43" s="147" t="s">
        <v>63</v>
      </c>
      <c r="D43" s="84"/>
      <c r="E43" s="161" t="s">
        <v>47</v>
      </c>
      <c r="F43" s="149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6"/>
        <v>0</v>
      </c>
      <c r="V43" s="131">
        <f t="shared" si="7"/>
        <v>0</v>
      </c>
    </row>
    <row r="44" ht="12.75" customHeight="1">
      <c r="A44" s="147" t="s">
        <v>28</v>
      </c>
      <c r="B44" s="148" t="s">
        <v>29</v>
      </c>
      <c r="C44" s="147" t="s">
        <v>63</v>
      </c>
      <c r="D44" s="84"/>
      <c r="E44" s="161" t="s">
        <v>47</v>
      </c>
      <c r="F44" s="149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6"/>
        <v>0</v>
      </c>
      <c r="V44" s="131">
        <f t="shared" si="7"/>
        <v>0</v>
      </c>
    </row>
    <row r="45" ht="12.75" customHeight="1">
      <c r="A45" s="147" t="s">
        <v>28</v>
      </c>
      <c r="B45" s="148" t="s">
        <v>29</v>
      </c>
      <c r="C45" s="147" t="s">
        <v>63</v>
      </c>
      <c r="D45" s="84"/>
      <c r="E45" s="148" t="s">
        <v>47</v>
      </c>
      <c r="F45" s="149" t="s">
        <v>69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6"/>
        <v>0</v>
      </c>
      <c r="V45" s="131">
        <f t="shared" si="7"/>
        <v>0</v>
      </c>
    </row>
    <row r="46" ht="12.75" customHeight="1">
      <c r="A46" s="147" t="s">
        <v>28</v>
      </c>
      <c r="B46" s="148" t="s">
        <v>29</v>
      </c>
      <c r="C46" s="147" t="s">
        <v>63</v>
      </c>
      <c r="D46" s="84"/>
      <c r="E46" s="148" t="s">
        <v>47</v>
      </c>
      <c r="F46" s="149" t="s">
        <v>70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6"/>
        <v>0</v>
      </c>
      <c r="V46" s="131">
        <f t="shared" si="7"/>
        <v>0</v>
      </c>
    </row>
    <row r="47" ht="12.75" customHeight="1">
      <c r="A47" s="147" t="s">
        <v>28</v>
      </c>
      <c r="B47" s="148" t="s">
        <v>29</v>
      </c>
      <c r="C47" s="147" t="s">
        <v>63</v>
      </c>
      <c r="D47" s="162"/>
      <c r="E47" s="148" t="s">
        <v>47</v>
      </c>
      <c r="F47" s="156" t="s">
        <v>71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6"/>
        <v>0</v>
      </c>
      <c r="V47" s="131">
        <f t="shared" si="7"/>
        <v>0</v>
      </c>
    </row>
    <row r="48" ht="12.75" customHeight="1">
      <c r="A48" s="147" t="s">
        <v>28</v>
      </c>
      <c r="B48" s="148" t="s">
        <v>29</v>
      </c>
      <c r="C48" s="147" t="s">
        <v>63</v>
      </c>
      <c r="D48" s="162"/>
      <c r="E48" s="148" t="s">
        <v>47</v>
      </c>
      <c r="F48" s="156" t="s">
        <v>72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6"/>
        <v>0</v>
      </c>
      <c r="V48" s="131">
        <f t="shared" si="7"/>
        <v>0</v>
      </c>
    </row>
    <row r="49" ht="12.75" customHeight="1">
      <c r="A49" s="147" t="s">
        <v>28</v>
      </c>
      <c r="B49" s="148" t="s">
        <v>29</v>
      </c>
      <c r="C49" s="147" t="s">
        <v>63</v>
      </c>
      <c r="D49" s="162"/>
      <c r="E49" s="148" t="s">
        <v>73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6"/>
        <v>0</v>
      </c>
      <c r="V49" s="131">
        <f t="shared" si="7"/>
        <v>0</v>
      </c>
    </row>
    <row r="50" ht="12.75" customHeight="1">
      <c r="A50" s="147" t="s">
        <v>28</v>
      </c>
      <c r="B50" s="148" t="s">
        <v>29</v>
      </c>
      <c r="C50" s="147" t="s">
        <v>63</v>
      </c>
      <c r="D50" s="162"/>
      <c r="E50" s="148" t="s">
        <v>75</v>
      </c>
      <c r="F50" s="156" t="s">
        <v>76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6"/>
        <v>0</v>
      </c>
      <c r="V50" s="131">
        <f t="shared" si="7"/>
        <v>0</v>
      </c>
    </row>
    <row r="51" ht="12.75" customHeight="1">
      <c r="A51" s="147" t="s">
        <v>28</v>
      </c>
      <c r="B51" s="148" t="s">
        <v>29</v>
      </c>
      <c r="C51" s="147" t="s">
        <v>63</v>
      </c>
      <c r="D51" s="162"/>
      <c r="E51" s="157"/>
      <c r="F51" s="156" t="s">
        <v>77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6"/>
        <v>0</v>
      </c>
      <c r="V51" s="131">
        <f t="shared" si="7"/>
        <v>0</v>
      </c>
    </row>
    <row r="52" ht="12.75" customHeight="1">
      <c r="A52" s="147" t="s">
        <v>28</v>
      </c>
      <c r="B52" s="148" t="s">
        <v>29</v>
      </c>
      <c r="C52" s="147" t="s">
        <v>63</v>
      </c>
      <c r="D52" s="162"/>
      <c r="E52" s="148" t="s">
        <v>47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6"/>
        <v>0</v>
      </c>
      <c r="V52" s="131">
        <f t="shared" si="7"/>
        <v>0</v>
      </c>
    </row>
    <row r="53" ht="12.75" customHeight="1">
      <c r="A53" s="147" t="s">
        <v>28</v>
      </c>
      <c r="B53" s="148" t="s">
        <v>29</v>
      </c>
      <c r="C53" s="147" t="s">
        <v>63</v>
      </c>
      <c r="D53" s="162"/>
      <c r="E53" s="148" t="s">
        <v>47</v>
      </c>
      <c r="F53" s="156" t="s">
        <v>79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6"/>
        <v>0</v>
      </c>
      <c r="V53" s="131">
        <f t="shared" si="7"/>
        <v>0</v>
      </c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3"/>
      <c r="B201" s="163"/>
      <c r="C201" s="163"/>
      <c r="D201" s="1"/>
      <c r="E201" s="163"/>
      <c r="F201" s="11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5"/>
      <c r="V201" s="165"/>
    </row>
    <row r="202" ht="12.75" customHeight="1">
      <c r="A202" s="163"/>
      <c r="B202" s="163"/>
      <c r="C202" s="163"/>
      <c r="D202" s="1"/>
      <c r="E202" s="163"/>
      <c r="F202" s="11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5"/>
      <c r="V202" s="165"/>
    </row>
    <row r="203" ht="12.75" customHeight="1">
      <c r="A203" s="163"/>
      <c r="B203" s="163"/>
      <c r="C203" s="163"/>
      <c r="D203" s="1"/>
      <c r="E203" s="163"/>
      <c r="F203" s="11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5"/>
      <c r="V203" s="165"/>
    </row>
    <row r="204" ht="12.75" customHeight="1">
      <c r="A204" s="163"/>
      <c r="B204" s="163"/>
      <c r="C204" s="163"/>
      <c r="D204" s="1"/>
      <c r="E204" s="163"/>
      <c r="F204" s="11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5"/>
      <c r="V204" s="165"/>
    </row>
    <row r="205" ht="12.75" customHeight="1">
      <c r="A205" s="163"/>
      <c r="B205" s="163"/>
      <c r="C205" s="163"/>
      <c r="D205" s="1"/>
      <c r="E205" s="163"/>
      <c r="F205" s="11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5"/>
      <c r="V205" s="165"/>
    </row>
    <row r="206" ht="12.75" customHeight="1">
      <c r="A206" s="163"/>
      <c r="B206" s="163"/>
      <c r="C206" s="163"/>
      <c r="D206" s="1"/>
      <c r="E206" s="163"/>
      <c r="F206" s="11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5"/>
      <c r="V206" s="165"/>
    </row>
    <row r="207" ht="12.75" customHeight="1">
      <c r="A207" s="163"/>
      <c r="B207" s="163"/>
      <c r="C207" s="163"/>
      <c r="D207" s="1"/>
      <c r="E207" s="163"/>
      <c r="F207" s="11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5"/>
      <c r="V207" s="165"/>
    </row>
    <row r="208" ht="12.75" customHeight="1">
      <c r="A208" s="163"/>
      <c r="B208" s="163"/>
      <c r="C208" s="163"/>
      <c r="D208" s="1"/>
      <c r="E208" s="163"/>
      <c r="F208" s="11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5"/>
      <c r="V208" s="165"/>
    </row>
    <row r="209" ht="12.75" customHeight="1">
      <c r="A209" s="163"/>
      <c r="B209" s="163"/>
      <c r="C209" s="163"/>
      <c r="D209" s="1"/>
      <c r="E209" s="163"/>
      <c r="F209" s="11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5"/>
      <c r="V209" s="165"/>
    </row>
    <row r="210" ht="12.75" customHeight="1">
      <c r="A210" s="163"/>
      <c r="B210" s="163"/>
      <c r="C210" s="163"/>
      <c r="D210" s="1"/>
      <c r="E210" s="163"/>
      <c r="F210" s="11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5"/>
      <c r="V210" s="165"/>
    </row>
    <row r="211" ht="12.75" customHeight="1">
      <c r="A211" s="163"/>
      <c r="B211" s="163"/>
      <c r="C211" s="163"/>
      <c r="D211" s="1"/>
      <c r="E211" s="163"/>
      <c r="F211" s="11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5"/>
      <c r="V211" s="165"/>
    </row>
    <row r="212" ht="12.75" customHeight="1">
      <c r="A212" s="163"/>
      <c r="B212" s="163"/>
      <c r="C212" s="163"/>
      <c r="D212" s="1"/>
      <c r="E212" s="163"/>
      <c r="F212" s="11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5"/>
      <c r="V212" s="165"/>
    </row>
    <row r="213" ht="12.75" customHeight="1">
      <c r="A213" s="163"/>
      <c r="B213" s="163"/>
      <c r="C213" s="163"/>
      <c r="D213" s="1"/>
      <c r="E213" s="163"/>
      <c r="F213" s="11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5"/>
      <c r="V213" s="165"/>
    </row>
    <row r="214" ht="12.75" customHeight="1">
      <c r="A214" s="163"/>
      <c r="B214" s="163"/>
      <c r="C214" s="163"/>
      <c r="D214" s="1"/>
      <c r="E214" s="163"/>
      <c r="F214" s="11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5"/>
      <c r="V214" s="165"/>
    </row>
    <row r="215" ht="12.75" customHeight="1">
      <c r="A215" s="163"/>
      <c r="B215" s="163"/>
      <c r="C215" s="163"/>
      <c r="D215" s="1"/>
      <c r="E215" s="163"/>
      <c r="F215" s="11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5"/>
      <c r="V215" s="165"/>
    </row>
    <row r="216" ht="12.75" customHeight="1">
      <c r="A216" s="163"/>
      <c r="B216" s="163"/>
      <c r="C216" s="163"/>
      <c r="D216" s="1"/>
      <c r="E216" s="163"/>
      <c r="F216" s="11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5"/>
      <c r="V216" s="165"/>
    </row>
    <row r="217" ht="12.75" customHeight="1">
      <c r="A217" s="163"/>
      <c r="B217" s="163"/>
      <c r="C217" s="163"/>
      <c r="D217" s="1"/>
      <c r="E217" s="163"/>
      <c r="F217" s="11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5"/>
      <c r="V217" s="165"/>
    </row>
    <row r="218" ht="12.75" customHeight="1">
      <c r="A218" s="163"/>
      <c r="B218" s="163"/>
      <c r="C218" s="163"/>
      <c r="D218" s="1"/>
      <c r="E218" s="163"/>
      <c r="F218" s="11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5"/>
      <c r="V218" s="165"/>
    </row>
    <row r="219" ht="12.75" customHeight="1">
      <c r="A219" s="163"/>
      <c r="B219" s="163"/>
      <c r="C219" s="163"/>
      <c r="D219" s="1"/>
      <c r="E219" s="163"/>
      <c r="F219" s="11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5"/>
      <c r="V219" s="165"/>
    </row>
    <row r="220" ht="12.75" customHeight="1">
      <c r="A220" s="163"/>
      <c r="B220" s="163"/>
      <c r="C220" s="163"/>
      <c r="D220" s="1"/>
      <c r="E220" s="163"/>
      <c r="F220" s="11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5"/>
      <c r="V220" s="165"/>
    </row>
    <row r="221" ht="12.75" customHeight="1">
      <c r="A221" s="163"/>
      <c r="B221" s="163"/>
      <c r="C221" s="163"/>
      <c r="D221" s="1"/>
      <c r="E221" s="163"/>
      <c r="F221" s="11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5"/>
      <c r="V221" s="165"/>
    </row>
    <row r="222" ht="12.75" customHeight="1">
      <c r="A222" s="163"/>
      <c r="B222" s="163"/>
      <c r="C222" s="163"/>
      <c r="D222" s="1"/>
      <c r="E222" s="163"/>
      <c r="F222" s="11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5"/>
      <c r="V222" s="165"/>
    </row>
    <row r="223" ht="12.75" customHeight="1">
      <c r="A223" s="163"/>
      <c r="B223" s="163"/>
      <c r="C223" s="163"/>
      <c r="D223" s="1"/>
      <c r="E223" s="163"/>
      <c r="F223" s="11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5"/>
      <c r="V223" s="165"/>
    </row>
    <row r="224" ht="12.75" customHeight="1">
      <c r="A224" s="163"/>
      <c r="B224" s="163"/>
      <c r="C224" s="163"/>
      <c r="D224" s="1"/>
      <c r="E224" s="163"/>
      <c r="F224" s="11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5"/>
      <c r="V224" s="165"/>
    </row>
    <row r="225" ht="12.75" customHeight="1">
      <c r="A225" s="163"/>
      <c r="B225" s="163"/>
      <c r="C225" s="163"/>
      <c r="D225" s="1"/>
      <c r="E225" s="163"/>
      <c r="F225" s="11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5"/>
      <c r="V225" s="165"/>
    </row>
    <row r="226" ht="12.75" customHeight="1">
      <c r="A226" s="163"/>
      <c r="B226" s="163"/>
      <c r="C226" s="163"/>
      <c r="D226" s="1"/>
      <c r="E226" s="163"/>
      <c r="F226" s="11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5"/>
      <c r="V226" s="165"/>
    </row>
    <row r="227" ht="12.75" customHeight="1">
      <c r="A227" s="163"/>
      <c r="B227" s="163"/>
      <c r="C227" s="163"/>
      <c r="D227" s="1"/>
      <c r="E227" s="163"/>
      <c r="F227" s="11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5"/>
      <c r="V227" s="165"/>
    </row>
    <row r="228" ht="12.75" customHeight="1">
      <c r="A228" s="163"/>
      <c r="B228" s="163"/>
      <c r="C228" s="163"/>
      <c r="D228" s="1"/>
      <c r="E228" s="163"/>
      <c r="F228" s="11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5"/>
      <c r="V228" s="165"/>
    </row>
    <row r="229" ht="12.75" customHeight="1">
      <c r="A229" s="163"/>
      <c r="B229" s="163"/>
      <c r="C229" s="163"/>
      <c r="D229" s="1"/>
      <c r="E229" s="163"/>
      <c r="F229" s="11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5"/>
      <c r="V229" s="165"/>
    </row>
    <row r="230" ht="12.75" customHeight="1">
      <c r="A230" s="163"/>
      <c r="B230" s="163"/>
      <c r="C230" s="163"/>
      <c r="D230" s="1"/>
      <c r="E230" s="163"/>
      <c r="F230" s="11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5"/>
      <c r="V230" s="165"/>
    </row>
    <row r="231" ht="12.75" customHeight="1">
      <c r="A231" s="163"/>
      <c r="B231" s="163"/>
      <c r="C231" s="163"/>
      <c r="D231" s="1"/>
      <c r="E231" s="163"/>
      <c r="F231" s="11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5"/>
      <c r="V231" s="165"/>
    </row>
    <row r="232" ht="12.75" customHeight="1">
      <c r="A232" s="163"/>
      <c r="B232" s="163"/>
      <c r="C232" s="163"/>
      <c r="D232" s="1"/>
      <c r="E232" s="163"/>
      <c r="F232" s="11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5"/>
      <c r="V232" s="165"/>
    </row>
    <row r="233" ht="12.75" customHeight="1">
      <c r="A233" s="163"/>
      <c r="B233" s="163"/>
      <c r="C233" s="163"/>
      <c r="D233" s="1"/>
      <c r="E233" s="163"/>
      <c r="F233" s="11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5"/>
      <c r="V233" s="165"/>
    </row>
    <row r="234" ht="12.75" customHeight="1">
      <c r="A234" s="163"/>
      <c r="B234" s="163"/>
      <c r="C234" s="163"/>
      <c r="D234" s="1"/>
      <c r="E234" s="163"/>
      <c r="F234" s="11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5"/>
      <c r="V234" s="165"/>
    </row>
    <row r="235" ht="12.75" customHeight="1">
      <c r="A235" s="163"/>
      <c r="B235" s="163"/>
      <c r="C235" s="163"/>
      <c r="D235" s="1"/>
      <c r="E235" s="163"/>
      <c r="F235" s="11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5"/>
      <c r="V235" s="165"/>
    </row>
    <row r="236" ht="12.75" customHeight="1">
      <c r="A236" s="163"/>
      <c r="B236" s="163"/>
      <c r="C236" s="163"/>
      <c r="D236" s="1"/>
      <c r="E236" s="163"/>
      <c r="F236" s="11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5"/>
      <c r="V236" s="165"/>
    </row>
    <row r="237" ht="12.75" customHeight="1">
      <c r="A237" s="163"/>
      <c r="B237" s="163"/>
      <c r="C237" s="163"/>
      <c r="D237" s="1"/>
      <c r="E237" s="163"/>
      <c r="F237" s="11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5"/>
      <c r="V237" s="165"/>
    </row>
    <row r="238" ht="12.75" customHeight="1">
      <c r="A238" s="163"/>
      <c r="B238" s="163"/>
      <c r="C238" s="163"/>
      <c r="D238" s="1"/>
      <c r="E238" s="163"/>
      <c r="F238" s="11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5"/>
      <c r="V238" s="165"/>
    </row>
    <row r="239" ht="12.75" customHeight="1">
      <c r="A239" s="163"/>
      <c r="B239" s="163"/>
      <c r="C239" s="163"/>
      <c r="D239" s="1"/>
      <c r="E239" s="163"/>
      <c r="F239" s="11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5"/>
      <c r="V239" s="165"/>
    </row>
    <row r="240" ht="12.75" customHeight="1">
      <c r="A240" s="163"/>
      <c r="B240" s="163"/>
      <c r="C240" s="163"/>
      <c r="D240" s="1"/>
      <c r="E240" s="163"/>
      <c r="F240" s="11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5"/>
      <c r="V240" s="165"/>
    </row>
    <row r="241" ht="12.75" customHeight="1">
      <c r="A241" s="163"/>
      <c r="B241" s="163"/>
      <c r="C241" s="163"/>
      <c r="D241" s="1"/>
      <c r="E241" s="163"/>
      <c r="F241" s="11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5"/>
      <c r="V241" s="165"/>
    </row>
    <row r="242" ht="12.75" customHeight="1">
      <c r="A242" s="163"/>
      <c r="B242" s="163"/>
      <c r="C242" s="163"/>
      <c r="D242" s="1"/>
      <c r="E242" s="163"/>
      <c r="F242" s="11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5"/>
      <c r="V242" s="165"/>
    </row>
    <row r="243" ht="12.75" customHeight="1">
      <c r="A243" s="163"/>
      <c r="B243" s="163"/>
      <c r="C243" s="163"/>
      <c r="D243" s="1"/>
      <c r="E243" s="163"/>
      <c r="F243" s="11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5"/>
      <c r="V243" s="165"/>
    </row>
    <row r="244" ht="12.75" customHeight="1">
      <c r="A244" s="163"/>
      <c r="B244" s="163"/>
      <c r="C244" s="163"/>
      <c r="D244" s="1"/>
      <c r="E244" s="163"/>
      <c r="F244" s="11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5"/>
      <c r="V244" s="165"/>
    </row>
    <row r="245" ht="12.75" customHeight="1">
      <c r="A245" s="163"/>
      <c r="B245" s="163"/>
      <c r="C245" s="163"/>
      <c r="D245" s="1"/>
      <c r="E245" s="163"/>
      <c r="F245" s="11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5"/>
      <c r="V245" s="165"/>
    </row>
    <row r="246" ht="12.75" customHeight="1">
      <c r="A246" s="163"/>
      <c r="B246" s="163"/>
      <c r="C246" s="163"/>
      <c r="D246" s="1"/>
      <c r="E246" s="163"/>
      <c r="F246" s="11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5"/>
      <c r="V246" s="165"/>
    </row>
    <row r="247" ht="12.75" customHeight="1">
      <c r="A247" s="163"/>
      <c r="B247" s="163"/>
      <c r="C247" s="163"/>
      <c r="D247" s="1"/>
      <c r="E247" s="163"/>
      <c r="F247" s="11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5"/>
      <c r="V247" s="165"/>
    </row>
    <row r="248" ht="12.75" customHeight="1">
      <c r="A248" s="163"/>
      <c r="B248" s="163"/>
      <c r="C248" s="163"/>
      <c r="D248" s="1"/>
      <c r="E248" s="163"/>
      <c r="F248" s="11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5"/>
      <c r="V248" s="165"/>
    </row>
    <row r="249" ht="12.75" customHeight="1">
      <c r="A249" s="163"/>
      <c r="B249" s="163"/>
      <c r="C249" s="163"/>
      <c r="D249" s="1"/>
      <c r="E249" s="163"/>
      <c r="F249" s="11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5"/>
      <c r="V249" s="165"/>
    </row>
    <row r="250" ht="12.75" customHeight="1">
      <c r="A250" s="163"/>
      <c r="B250" s="163"/>
      <c r="C250" s="163"/>
      <c r="D250" s="1"/>
      <c r="E250" s="163"/>
      <c r="F250" s="11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5"/>
      <c r="V250" s="165"/>
    </row>
    <row r="251" ht="12.75" customHeight="1">
      <c r="A251" s="163"/>
      <c r="B251" s="163"/>
      <c r="C251" s="163"/>
      <c r="D251" s="1"/>
      <c r="E251" s="163"/>
      <c r="F251" s="11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5"/>
      <c r="V251" s="165"/>
    </row>
    <row r="252" ht="12.75" customHeight="1">
      <c r="A252" s="163"/>
      <c r="B252" s="163"/>
      <c r="C252" s="163"/>
      <c r="D252" s="1"/>
      <c r="E252" s="163"/>
      <c r="F252" s="11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5"/>
      <c r="V252" s="165"/>
    </row>
    <row r="253" ht="12.75" customHeight="1">
      <c r="A253" s="163"/>
      <c r="B253" s="163"/>
      <c r="C253" s="163"/>
      <c r="D253" s="1"/>
      <c r="E253" s="163"/>
      <c r="F253" s="11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5"/>
      <c r="V253" s="165"/>
    </row>
    <row r="254" ht="12.75" customHeight="1">
      <c r="A254" s="163"/>
      <c r="B254" s="163"/>
      <c r="C254" s="163"/>
      <c r="D254" s="1"/>
      <c r="E254" s="163"/>
      <c r="F254" s="11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5"/>
      <c r="V254" s="165"/>
    </row>
    <row r="255" ht="12.75" customHeight="1">
      <c r="A255" s="163"/>
      <c r="B255" s="163"/>
      <c r="C255" s="163"/>
      <c r="D255" s="1"/>
      <c r="E255" s="163"/>
      <c r="F255" s="11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5"/>
      <c r="V255" s="165"/>
    </row>
    <row r="256" ht="12.75" customHeight="1">
      <c r="A256" s="163"/>
      <c r="B256" s="163"/>
      <c r="C256" s="163"/>
      <c r="D256" s="1"/>
      <c r="E256" s="163"/>
      <c r="F256" s="11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5"/>
      <c r="V256" s="165"/>
    </row>
    <row r="257" ht="12.75" customHeight="1">
      <c r="A257" s="163"/>
      <c r="B257" s="163"/>
      <c r="C257" s="163"/>
      <c r="D257" s="1"/>
      <c r="E257" s="163"/>
      <c r="F257" s="11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5"/>
      <c r="V257" s="165"/>
    </row>
    <row r="258" ht="12.75" customHeight="1">
      <c r="A258" s="163"/>
      <c r="B258" s="163"/>
      <c r="C258" s="163"/>
      <c r="D258" s="1"/>
      <c r="E258" s="163"/>
      <c r="F258" s="11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5"/>
      <c r="V258" s="165"/>
    </row>
    <row r="259" ht="12.75" customHeight="1">
      <c r="A259" s="163"/>
      <c r="B259" s="163"/>
      <c r="C259" s="163"/>
      <c r="D259" s="1"/>
      <c r="E259" s="163"/>
      <c r="F259" s="11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5"/>
      <c r="V259" s="165"/>
    </row>
    <row r="260" ht="12.75" customHeight="1">
      <c r="A260" s="163"/>
      <c r="B260" s="163"/>
      <c r="C260" s="163"/>
      <c r="D260" s="1"/>
      <c r="E260" s="163"/>
      <c r="F260" s="11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5"/>
      <c r="V260" s="165"/>
    </row>
    <row r="261" ht="12.75" customHeight="1">
      <c r="A261" s="163"/>
      <c r="B261" s="163"/>
      <c r="C261" s="163"/>
      <c r="D261" s="1"/>
      <c r="E261" s="163"/>
      <c r="F261" s="11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5"/>
      <c r="V261" s="165"/>
    </row>
    <row r="262" ht="12.75" customHeight="1">
      <c r="A262" s="163"/>
      <c r="B262" s="163"/>
      <c r="C262" s="163"/>
      <c r="D262" s="1"/>
      <c r="E262" s="163"/>
      <c r="F262" s="11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5"/>
      <c r="V262" s="165"/>
    </row>
    <row r="263" ht="12.75" customHeight="1">
      <c r="A263" s="163"/>
      <c r="B263" s="163"/>
      <c r="C263" s="163"/>
      <c r="D263" s="1"/>
      <c r="E263" s="163"/>
      <c r="F263" s="11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5"/>
      <c r="V263" s="165"/>
    </row>
    <row r="264" ht="12.75" customHeight="1">
      <c r="A264" s="163"/>
      <c r="B264" s="163"/>
      <c r="C264" s="163"/>
      <c r="D264" s="1"/>
      <c r="E264" s="163"/>
      <c r="F264" s="11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5"/>
      <c r="V264" s="165"/>
    </row>
    <row r="265" ht="12.75" customHeight="1">
      <c r="A265" s="163"/>
      <c r="B265" s="163"/>
      <c r="C265" s="163"/>
      <c r="D265" s="1"/>
      <c r="E265" s="163"/>
      <c r="F265" s="11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5"/>
      <c r="V265" s="165"/>
    </row>
    <row r="266" ht="12.75" customHeight="1">
      <c r="A266" s="163"/>
      <c r="B266" s="163"/>
      <c r="C266" s="163"/>
      <c r="D266" s="1"/>
      <c r="E266" s="163"/>
      <c r="F266" s="11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5"/>
      <c r="V266" s="165"/>
    </row>
    <row r="267" ht="12.75" customHeight="1">
      <c r="A267" s="163"/>
      <c r="B267" s="163"/>
      <c r="C267" s="163"/>
      <c r="D267" s="1"/>
      <c r="E267" s="163"/>
      <c r="F267" s="11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5"/>
      <c r="V267" s="165"/>
    </row>
    <row r="268" ht="12.75" customHeight="1">
      <c r="A268" s="163"/>
      <c r="B268" s="163"/>
      <c r="C268" s="163"/>
      <c r="D268" s="1"/>
      <c r="E268" s="163"/>
      <c r="F268" s="11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5"/>
      <c r="V268" s="165"/>
    </row>
    <row r="269" ht="12.75" customHeight="1">
      <c r="A269" s="163"/>
      <c r="B269" s="163"/>
      <c r="C269" s="163"/>
      <c r="D269" s="1"/>
      <c r="E269" s="163"/>
      <c r="F269" s="11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5"/>
      <c r="V269" s="165"/>
    </row>
    <row r="270" ht="12.75" customHeight="1">
      <c r="A270" s="163"/>
      <c r="B270" s="163"/>
      <c r="C270" s="163"/>
      <c r="D270" s="1"/>
      <c r="E270" s="163"/>
      <c r="F270" s="11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5"/>
      <c r="V270" s="165"/>
    </row>
    <row r="271" ht="12.75" customHeight="1">
      <c r="A271" s="163"/>
      <c r="B271" s="163"/>
      <c r="C271" s="163"/>
      <c r="D271" s="1"/>
      <c r="E271" s="163"/>
      <c r="F271" s="11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5"/>
      <c r="V271" s="165"/>
    </row>
    <row r="272" ht="12.75" customHeight="1">
      <c r="A272" s="163"/>
      <c r="B272" s="163"/>
      <c r="C272" s="163"/>
      <c r="D272" s="1"/>
      <c r="E272" s="163"/>
      <c r="F272" s="11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5"/>
      <c r="V272" s="165"/>
    </row>
    <row r="273" ht="12.75" customHeight="1">
      <c r="A273" s="163"/>
      <c r="B273" s="163"/>
      <c r="C273" s="163"/>
      <c r="D273" s="1"/>
      <c r="E273" s="163"/>
      <c r="F273" s="11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5"/>
      <c r="V273" s="165"/>
    </row>
    <row r="274" ht="12.75" customHeight="1">
      <c r="A274" s="163"/>
      <c r="B274" s="163"/>
      <c r="C274" s="163"/>
      <c r="D274" s="1"/>
      <c r="E274" s="163"/>
      <c r="F274" s="11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5"/>
      <c r="V274" s="165"/>
    </row>
    <row r="275" ht="12.75" customHeight="1">
      <c r="A275" s="163"/>
      <c r="B275" s="163"/>
      <c r="C275" s="163"/>
      <c r="D275" s="1"/>
      <c r="E275" s="163"/>
      <c r="F275" s="11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5"/>
      <c r="V275" s="165"/>
    </row>
    <row r="276" ht="12.75" customHeight="1">
      <c r="A276" s="163"/>
      <c r="B276" s="163"/>
      <c r="C276" s="163"/>
      <c r="D276" s="1"/>
      <c r="E276" s="163"/>
      <c r="F276" s="11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5"/>
      <c r="V276" s="165"/>
    </row>
    <row r="277" ht="12.75" customHeight="1">
      <c r="A277" s="163"/>
      <c r="B277" s="163"/>
      <c r="C277" s="163"/>
      <c r="D277" s="1"/>
      <c r="E277" s="163"/>
      <c r="F277" s="11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5"/>
      <c r="V277" s="165"/>
    </row>
    <row r="278" ht="12.75" customHeight="1">
      <c r="A278" s="163"/>
      <c r="B278" s="163"/>
      <c r="C278" s="163"/>
      <c r="D278" s="1"/>
      <c r="E278" s="163"/>
      <c r="F278" s="11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5"/>
      <c r="V278" s="165"/>
    </row>
    <row r="279" ht="12.75" customHeight="1">
      <c r="A279" s="163"/>
      <c r="B279" s="163"/>
      <c r="C279" s="163"/>
      <c r="D279" s="1"/>
      <c r="E279" s="163"/>
      <c r="F279" s="11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5"/>
      <c r="V279" s="165"/>
    </row>
    <row r="280" ht="12.75" customHeight="1">
      <c r="A280" s="163"/>
      <c r="B280" s="163"/>
      <c r="C280" s="163"/>
      <c r="D280" s="1"/>
      <c r="E280" s="163"/>
      <c r="F280" s="11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5"/>
      <c r="V280" s="165"/>
    </row>
    <row r="281" ht="12.75" customHeight="1">
      <c r="A281" s="163"/>
      <c r="B281" s="163"/>
      <c r="C281" s="163"/>
      <c r="D281" s="1"/>
      <c r="E281" s="163"/>
      <c r="F281" s="11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5"/>
      <c r="V281" s="165"/>
    </row>
    <row r="282" ht="12.75" customHeight="1">
      <c r="A282" s="163"/>
      <c r="B282" s="163"/>
      <c r="C282" s="163"/>
      <c r="D282" s="1"/>
      <c r="E282" s="163"/>
      <c r="F282" s="11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5"/>
      <c r="V282" s="165"/>
    </row>
    <row r="283" ht="12.75" customHeight="1">
      <c r="A283" s="163"/>
      <c r="B283" s="163"/>
      <c r="C283" s="163"/>
      <c r="D283" s="1"/>
      <c r="E283" s="163"/>
      <c r="F283" s="11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5"/>
      <c r="V283" s="165"/>
    </row>
    <row r="284" ht="12.75" customHeight="1">
      <c r="A284" s="163"/>
      <c r="B284" s="163"/>
      <c r="C284" s="163"/>
      <c r="D284" s="1"/>
      <c r="E284" s="163"/>
      <c r="F284" s="11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5"/>
      <c r="V284" s="165"/>
    </row>
    <row r="285" ht="12.75" customHeight="1">
      <c r="A285" s="163"/>
      <c r="B285" s="163"/>
      <c r="C285" s="163"/>
      <c r="D285" s="1"/>
      <c r="E285" s="163"/>
      <c r="F285" s="11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5"/>
      <c r="V285" s="165"/>
    </row>
    <row r="286" ht="12.75" customHeight="1">
      <c r="A286" s="163"/>
      <c r="B286" s="163"/>
      <c r="C286" s="163"/>
      <c r="D286" s="1"/>
      <c r="E286" s="163"/>
      <c r="F286" s="11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5"/>
      <c r="V286" s="165"/>
    </row>
    <row r="287" ht="12.75" customHeight="1">
      <c r="A287" s="163"/>
      <c r="B287" s="163"/>
      <c r="C287" s="163"/>
      <c r="D287" s="1"/>
      <c r="E287" s="163"/>
      <c r="F287" s="11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5"/>
      <c r="V287" s="165"/>
    </row>
    <row r="288" ht="12.75" customHeight="1">
      <c r="A288" s="163"/>
      <c r="B288" s="163"/>
      <c r="C288" s="163"/>
      <c r="D288" s="1"/>
      <c r="E288" s="163"/>
      <c r="F288" s="11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5"/>
      <c r="V288" s="165"/>
    </row>
    <row r="289" ht="12.75" customHeight="1">
      <c r="A289" s="163"/>
      <c r="B289" s="163"/>
      <c r="C289" s="163"/>
      <c r="D289" s="1"/>
      <c r="E289" s="163"/>
      <c r="F289" s="11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5"/>
      <c r="V289" s="165"/>
    </row>
    <row r="290" ht="12.75" customHeight="1">
      <c r="A290" s="163"/>
      <c r="B290" s="163"/>
      <c r="C290" s="163"/>
      <c r="D290" s="1"/>
      <c r="E290" s="163"/>
      <c r="F290" s="11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5"/>
      <c r="V290" s="165"/>
    </row>
    <row r="291" ht="12.75" customHeight="1">
      <c r="A291" s="163"/>
      <c r="B291" s="163"/>
      <c r="C291" s="163"/>
      <c r="D291" s="1"/>
      <c r="E291" s="163"/>
      <c r="F291" s="11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5"/>
      <c r="V291" s="165"/>
    </row>
    <row r="292" ht="12.75" customHeight="1">
      <c r="A292" s="163"/>
      <c r="B292" s="163"/>
      <c r="C292" s="163"/>
      <c r="D292" s="1"/>
      <c r="E292" s="163"/>
      <c r="F292" s="11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5"/>
      <c r="V292" s="165"/>
    </row>
    <row r="293" ht="12.75" customHeight="1">
      <c r="A293" s="163"/>
      <c r="B293" s="163"/>
      <c r="C293" s="163"/>
      <c r="D293" s="1"/>
      <c r="E293" s="163"/>
      <c r="F293" s="11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5"/>
      <c r="V293" s="165"/>
    </row>
    <row r="294" ht="12.75" customHeight="1">
      <c r="A294" s="163"/>
      <c r="B294" s="163"/>
      <c r="C294" s="163"/>
      <c r="D294" s="1"/>
      <c r="E294" s="163"/>
      <c r="F294" s="11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5"/>
      <c r="V294" s="165"/>
    </row>
    <row r="295" ht="12.75" customHeight="1">
      <c r="A295" s="163"/>
      <c r="B295" s="163"/>
      <c r="C295" s="163"/>
      <c r="D295" s="1"/>
      <c r="E295" s="163"/>
      <c r="F295" s="11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5"/>
      <c r="V295" s="165"/>
    </row>
    <row r="296" ht="12.75" customHeight="1">
      <c r="A296" s="163"/>
      <c r="B296" s="163"/>
      <c r="C296" s="163"/>
      <c r="D296" s="1"/>
      <c r="E296" s="163"/>
      <c r="F296" s="11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5"/>
      <c r="V296" s="165"/>
    </row>
    <row r="297" ht="12.75" customHeight="1">
      <c r="A297" s="163"/>
      <c r="B297" s="163"/>
      <c r="C297" s="163"/>
      <c r="D297" s="1"/>
      <c r="E297" s="163"/>
      <c r="F297" s="11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5"/>
      <c r="V297" s="165"/>
    </row>
    <row r="298" ht="12.75" customHeight="1">
      <c r="A298" s="163"/>
      <c r="B298" s="163"/>
      <c r="C298" s="163"/>
      <c r="D298" s="1"/>
      <c r="E298" s="163"/>
      <c r="F298" s="11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5"/>
      <c r="V298" s="165"/>
    </row>
    <row r="299" ht="12.75" customHeight="1">
      <c r="A299" s="163"/>
      <c r="B299" s="163"/>
      <c r="C299" s="163"/>
      <c r="D299" s="1"/>
      <c r="E299" s="163"/>
      <c r="F299" s="11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5"/>
      <c r="V299" s="165"/>
    </row>
    <row r="300" ht="12.75" customHeight="1">
      <c r="A300" s="163"/>
      <c r="B300" s="163"/>
      <c r="C300" s="163"/>
      <c r="D300" s="1"/>
      <c r="E300" s="163"/>
      <c r="F300" s="11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5"/>
      <c r="V300" s="165"/>
    </row>
    <row r="301" ht="12.75" customHeight="1">
      <c r="A301" s="163"/>
      <c r="B301" s="163"/>
      <c r="C301" s="163"/>
      <c r="D301" s="1"/>
      <c r="E301" s="163"/>
      <c r="F301" s="11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5"/>
      <c r="V301" s="165"/>
    </row>
    <row r="302" ht="12.75" customHeight="1">
      <c r="A302" s="163"/>
      <c r="B302" s="163"/>
      <c r="C302" s="163"/>
      <c r="D302" s="1"/>
      <c r="E302" s="163"/>
      <c r="F302" s="11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5"/>
      <c r="V302" s="165"/>
    </row>
    <row r="303" ht="12.75" customHeight="1">
      <c r="A303" s="163"/>
      <c r="B303" s="163"/>
      <c r="C303" s="163"/>
      <c r="D303" s="1"/>
      <c r="E303" s="163"/>
      <c r="F303" s="11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5"/>
      <c r="V303" s="165"/>
    </row>
    <row r="304" ht="12.75" customHeight="1">
      <c r="A304" s="163"/>
      <c r="B304" s="163"/>
      <c r="C304" s="163"/>
      <c r="D304" s="1"/>
      <c r="E304" s="163"/>
      <c r="F304" s="11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5"/>
      <c r="V304" s="165"/>
    </row>
    <row r="305" ht="12.75" customHeight="1">
      <c r="A305" s="163"/>
      <c r="B305" s="163"/>
      <c r="C305" s="163"/>
      <c r="D305" s="1"/>
      <c r="E305" s="163"/>
      <c r="F305" s="11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5"/>
      <c r="V305" s="165"/>
    </row>
    <row r="306" ht="12.75" customHeight="1">
      <c r="A306" s="163"/>
      <c r="B306" s="163"/>
      <c r="C306" s="163"/>
      <c r="D306" s="1"/>
      <c r="E306" s="163"/>
      <c r="F306" s="11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5"/>
      <c r="V306" s="165"/>
    </row>
    <row r="307" ht="12.75" customHeight="1">
      <c r="A307" s="163"/>
      <c r="B307" s="163"/>
      <c r="C307" s="163"/>
      <c r="D307" s="1"/>
      <c r="E307" s="163"/>
      <c r="F307" s="11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5"/>
      <c r="V307" s="165"/>
    </row>
    <row r="308" ht="12.75" customHeight="1">
      <c r="A308" s="163"/>
      <c r="B308" s="163"/>
      <c r="C308" s="163"/>
      <c r="D308" s="1"/>
      <c r="E308" s="163"/>
      <c r="F308" s="11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5"/>
      <c r="V308" s="165"/>
    </row>
    <row r="309" ht="12.75" customHeight="1">
      <c r="A309" s="163"/>
      <c r="B309" s="163"/>
      <c r="C309" s="163"/>
      <c r="D309" s="1"/>
      <c r="E309" s="163"/>
      <c r="F309" s="11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5"/>
      <c r="V309" s="165"/>
    </row>
    <row r="310" ht="12.75" customHeight="1">
      <c r="A310" s="163"/>
      <c r="B310" s="163"/>
      <c r="C310" s="163"/>
      <c r="D310" s="1"/>
      <c r="E310" s="163"/>
      <c r="F310" s="11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5"/>
      <c r="V310" s="165"/>
    </row>
    <row r="311" ht="12.75" customHeight="1">
      <c r="A311" s="163"/>
      <c r="B311" s="163"/>
      <c r="C311" s="163"/>
      <c r="D311" s="1"/>
      <c r="E311" s="163"/>
      <c r="F311" s="11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5"/>
      <c r="V311" s="165"/>
    </row>
    <row r="312" ht="12.75" customHeight="1">
      <c r="A312" s="163"/>
      <c r="B312" s="163"/>
      <c r="C312" s="163"/>
      <c r="D312" s="1"/>
      <c r="E312" s="163"/>
      <c r="F312" s="11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5"/>
      <c r="V312" s="165"/>
    </row>
    <row r="313" ht="12.75" customHeight="1">
      <c r="A313" s="163"/>
      <c r="B313" s="163"/>
      <c r="C313" s="163"/>
      <c r="D313" s="1"/>
      <c r="E313" s="163"/>
      <c r="F313" s="11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5"/>
      <c r="V313" s="165"/>
    </row>
    <row r="314" ht="12.75" customHeight="1">
      <c r="A314" s="163"/>
      <c r="B314" s="163"/>
      <c r="C314" s="163"/>
      <c r="D314" s="1"/>
      <c r="E314" s="163"/>
      <c r="F314" s="11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5"/>
      <c r="V314" s="165"/>
    </row>
    <row r="315" ht="12.75" customHeight="1">
      <c r="A315" s="163"/>
      <c r="B315" s="163"/>
      <c r="C315" s="163"/>
      <c r="D315" s="1"/>
      <c r="E315" s="163"/>
      <c r="F315" s="11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5"/>
      <c r="V315" s="165"/>
    </row>
    <row r="316" ht="12.75" customHeight="1">
      <c r="A316" s="163"/>
      <c r="B316" s="163"/>
      <c r="C316" s="163"/>
      <c r="D316" s="1"/>
      <c r="E316" s="163"/>
      <c r="F316" s="11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5"/>
      <c r="V316" s="165"/>
    </row>
    <row r="317" ht="12.75" customHeight="1">
      <c r="A317" s="163"/>
      <c r="B317" s="163"/>
      <c r="C317" s="163"/>
      <c r="D317" s="1"/>
      <c r="E317" s="163"/>
      <c r="F317" s="11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5"/>
      <c r="V317" s="165"/>
    </row>
    <row r="318" ht="12.75" customHeight="1">
      <c r="A318" s="163"/>
      <c r="B318" s="163"/>
      <c r="C318" s="163"/>
      <c r="D318" s="1"/>
      <c r="E318" s="163"/>
      <c r="F318" s="11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5"/>
      <c r="V318" s="165"/>
    </row>
    <row r="319" ht="12.75" customHeight="1">
      <c r="A319" s="163"/>
      <c r="B319" s="163"/>
      <c r="C319" s="163"/>
      <c r="D319" s="1"/>
      <c r="E319" s="163"/>
      <c r="F319" s="11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5"/>
      <c r="V319" s="165"/>
    </row>
    <row r="320" ht="12.75" customHeight="1">
      <c r="A320" s="163"/>
      <c r="B320" s="163"/>
      <c r="C320" s="163"/>
      <c r="D320" s="1"/>
      <c r="E320" s="163"/>
      <c r="F320" s="11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5"/>
      <c r="V320" s="165"/>
    </row>
    <row r="321" ht="12.75" customHeight="1">
      <c r="A321" s="163"/>
      <c r="B321" s="163"/>
      <c r="C321" s="163"/>
      <c r="D321" s="1"/>
      <c r="E321" s="163"/>
      <c r="F321" s="11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5"/>
      <c r="V321" s="165"/>
    </row>
    <row r="322" ht="12.75" customHeight="1">
      <c r="A322" s="163"/>
      <c r="B322" s="163"/>
      <c r="C322" s="163"/>
      <c r="D322" s="1"/>
      <c r="E322" s="163"/>
      <c r="F322" s="11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5"/>
      <c r="V322" s="165"/>
    </row>
    <row r="323" ht="12.75" customHeight="1">
      <c r="A323" s="163"/>
      <c r="B323" s="163"/>
      <c r="C323" s="163"/>
      <c r="D323" s="1"/>
      <c r="E323" s="163"/>
      <c r="F323" s="11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5"/>
      <c r="V323" s="165"/>
    </row>
    <row r="324" ht="12.75" customHeight="1">
      <c r="A324" s="163"/>
      <c r="B324" s="163"/>
      <c r="C324" s="163"/>
      <c r="D324" s="1"/>
      <c r="E324" s="163"/>
      <c r="F324" s="11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5"/>
      <c r="V324" s="165"/>
    </row>
    <row r="325" ht="12.75" customHeight="1">
      <c r="A325" s="163"/>
      <c r="B325" s="163"/>
      <c r="C325" s="163"/>
      <c r="D325" s="1"/>
      <c r="E325" s="163"/>
      <c r="F325" s="11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5"/>
      <c r="V325" s="165"/>
    </row>
    <row r="326" ht="12.75" customHeight="1">
      <c r="A326" s="163"/>
      <c r="B326" s="163"/>
      <c r="C326" s="163"/>
      <c r="D326" s="1"/>
      <c r="E326" s="163"/>
      <c r="F326" s="11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5"/>
      <c r="V326" s="165"/>
    </row>
    <row r="327" ht="12.75" customHeight="1">
      <c r="A327" s="163"/>
      <c r="B327" s="163"/>
      <c r="C327" s="163"/>
      <c r="D327" s="1"/>
      <c r="E327" s="163"/>
      <c r="F327" s="11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5"/>
      <c r="V327" s="165"/>
    </row>
    <row r="328" ht="12.75" customHeight="1">
      <c r="A328" s="163"/>
      <c r="B328" s="163"/>
      <c r="C328" s="163"/>
      <c r="D328" s="1"/>
      <c r="E328" s="163"/>
      <c r="F328" s="11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5"/>
      <c r="V328" s="165"/>
    </row>
    <row r="329" ht="12.75" customHeight="1">
      <c r="A329" s="163"/>
      <c r="B329" s="163"/>
      <c r="C329" s="163"/>
      <c r="D329" s="1"/>
      <c r="E329" s="163"/>
      <c r="F329" s="11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5"/>
      <c r="V329" s="165"/>
    </row>
    <row r="330" ht="12.75" customHeight="1">
      <c r="A330" s="163"/>
      <c r="B330" s="163"/>
      <c r="C330" s="163"/>
      <c r="D330" s="1"/>
      <c r="E330" s="163"/>
      <c r="F330" s="11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5"/>
      <c r="V330" s="165"/>
    </row>
    <row r="331" ht="12.75" customHeight="1">
      <c r="A331" s="163"/>
      <c r="B331" s="163"/>
      <c r="C331" s="163"/>
      <c r="D331" s="1"/>
      <c r="E331" s="163"/>
      <c r="F331" s="11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5"/>
      <c r="V331" s="165"/>
    </row>
    <row r="332" ht="12.75" customHeight="1">
      <c r="A332" s="163"/>
      <c r="B332" s="163"/>
      <c r="C332" s="163"/>
      <c r="D332" s="1"/>
      <c r="E332" s="163"/>
      <c r="F332" s="11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5"/>
      <c r="V332" s="165"/>
    </row>
    <row r="333" ht="12.75" customHeight="1">
      <c r="A333" s="163"/>
      <c r="B333" s="163"/>
      <c r="C333" s="163"/>
      <c r="D333" s="1"/>
      <c r="E333" s="163"/>
      <c r="F333" s="11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5"/>
      <c r="V333" s="165"/>
    </row>
    <row r="334" ht="12.75" customHeight="1">
      <c r="A334" s="163"/>
      <c r="B334" s="163"/>
      <c r="C334" s="163"/>
      <c r="D334" s="1"/>
      <c r="E334" s="163"/>
      <c r="F334" s="11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5"/>
      <c r="V334" s="165"/>
    </row>
    <row r="335" ht="12.75" customHeight="1">
      <c r="A335" s="163"/>
      <c r="B335" s="163"/>
      <c r="C335" s="163"/>
      <c r="D335" s="1"/>
      <c r="E335" s="163"/>
      <c r="F335" s="11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5"/>
      <c r="V335" s="165"/>
    </row>
    <row r="336" ht="12.75" customHeight="1">
      <c r="A336" s="163"/>
      <c r="B336" s="163"/>
      <c r="C336" s="163"/>
      <c r="D336" s="1"/>
      <c r="E336" s="163"/>
      <c r="F336" s="11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5"/>
      <c r="V336" s="165"/>
    </row>
    <row r="337" ht="12.75" customHeight="1">
      <c r="A337" s="163"/>
      <c r="B337" s="163"/>
      <c r="C337" s="163"/>
      <c r="D337" s="1"/>
      <c r="E337" s="163"/>
      <c r="F337" s="11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5"/>
      <c r="V337" s="165"/>
    </row>
    <row r="338" ht="12.75" customHeight="1">
      <c r="A338" s="163"/>
      <c r="B338" s="163"/>
      <c r="C338" s="163"/>
      <c r="D338" s="1"/>
      <c r="E338" s="163"/>
      <c r="F338" s="11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5"/>
      <c r="V338" s="165"/>
    </row>
    <row r="339" ht="12.75" customHeight="1">
      <c r="A339" s="163"/>
      <c r="B339" s="163"/>
      <c r="C339" s="163"/>
      <c r="D339" s="1"/>
      <c r="E339" s="163"/>
      <c r="F339" s="11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5"/>
      <c r="V339" s="165"/>
    </row>
    <row r="340" ht="12.75" customHeight="1">
      <c r="A340" s="163"/>
      <c r="B340" s="163"/>
      <c r="C340" s="163"/>
      <c r="D340" s="1"/>
      <c r="E340" s="163"/>
      <c r="F340" s="11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5"/>
      <c r="V340" s="165"/>
    </row>
    <row r="341" ht="12.75" customHeight="1">
      <c r="A341" s="163"/>
      <c r="B341" s="163"/>
      <c r="C341" s="163"/>
      <c r="D341" s="1"/>
      <c r="E341" s="163"/>
      <c r="F341" s="11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5"/>
      <c r="V341" s="165"/>
    </row>
    <row r="342" ht="12.75" customHeight="1">
      <c r="A342" s="163"/>
      <c r="B342" s="163"/>
      <c r="C342" s="163"/>
      <c r="D342" s="1"/>
      <c r="E342" s="163"/>
      <c r="F342" s="11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5"/>
      <c r="V342" s="165"/>
    </row>
    <row r="343" ht="12.75" customHeight="1">
      <c r="A343" s="163"/>
      <c r="B343" s="163"/>
      <c r="C343" s="163"/>
      <c r="D343" s="1"/>
      <c r="E343" s="163"/>
      <c r="F343" s="11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5"/>
      <c r="V343" s="165"/>
    </row>
    <row r="344" ht="12.75" customHeight="1">
      <c r="A344" s="163"/>
      <c r="B344" s="163"/>
      <c r="C344" s="163"/>
      <c r="D344" s="1"/>
      <c r="E344" s="163"/>
      <c r="F344" s="11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5"/>
      <c r="V344" s="165"/>
    </row>
    <row r="345" ht="12.75" customHeight="1">
      <c r="A345" s="163"/>
      <c r="B345" s="163"/>
      <c r="C345" s="163"/>
      <c r="D345" s="1"/>
      <c r="E345" s="163"/>
      <c r="F345" s="11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5"/>
      <c r="V345" s="165"/>
    </row>
    <row r="346" ht="12.75" customHeight="1">
      <c r="A346" s="163"/>
      <c r="B346" s="163"/>
      <c r="C346" s="163"/>
      <c r="D346" s="1"/>
      <c r="E346" s="163"/>
      <c r="F346" s="11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5"/>
      <c r="V346" s="165"/>
    </row>
    <row r="347" ht="12.75" customHeight="1">
      <c r="A347" s="163"/>
      <c r="B347" s="163"/>
      <c r="C347" s="163"/>
      <c r="D347" s="1"/>
      <c r="E347" s="163"/>
      <c r="F347" s="11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5"/>
      <c r="V347" s="165"/>
    </row>
    <row r="348" ht="12.75" customHeight="1">
      <c r="A348" s="163"/>
      <c r="B348" s="163"/>
      <c r="C348" s="163"/>
      <c r="D348" s="1"/>
      <c r="E348" s="163"/>
      <c r="F348" s="11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5"/>
      <c r="V348" s="165"/>
    </row>
    <row r="349" ht="12.75" customHeight="1">
      <c r="A349" s="163"/>
      <c r="B349" s="163"/>
      <c r="C349" s="163"/>
      <c r="D349" s="1"/>
      <c r="E349" s="163"/>
      <c r="F349" s="11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5"/>
      <c r="V349" s="165"/>
    </row>
    <row r="350" ht="12.75" customHeight="1">
      <c r="A350" s="163"/>
      <c r="B350" s="163"/>
      <c r="C350" s="163"/>
      <c r="D350" s="1"/>
      <c r="E350" s="163"/>
      <c r="F350" s="11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5"/>
      <c r="V350" s="165"/>
    </row>
    <row r="351" ht="12.75" customHeight="1">
      <c r="A351" s="163"/>
      <c r="B351" s="163"/>
      <c r="C351" s="163"/>
      <c r="D351" s="1"/>
      <c r="E351" s="163"/>
      <c r="F351" s="11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5"/>
      <c r="V351" s="165"/>
    </row>
    <row r="352" ht="12.75" customHeight="1">
      <c r="A352" s="163"/>
      <c r="B352" s="163"/>
      <c r="C352" s="163"/>
      <c r="D352" s="1"/>
      <c r="E352" s="163"/>
      <c r="F352" s="11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5"/>
      <c r="V352" s="165"/>
    </row>
    <row r="353" ht="12.75" customHeight="1">
      <c r="A353" s="163"/>
      <c r="B353" s="163"/>
      <c r="C353" s="163"/>
      <c r="D353" s="1"/>
      <c r="E353" s="163"/>
      <c r="F353" s="11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5"/>
      <c r="V353" s="165"/>
    </row>
    <row r="354" ht="12.75" customHeight="1">
      <c r="A354" s="163"/>
      <c r="B354" s="163"/>
      <c r="C354" s="163"/>
      <c r="D354" s="1"/>
      <c r="E354" s="163"/>
      <c r="F354" s="11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5"/>
      <c r="V354" s="165"/>
    </row>
    <row r="355" ht="12.75" customHeight="1">
      <c r="A355" s="163"/>
      <c r="B355" s="163"/>
      <c r="C355" s="163"/>
      <c r="D355" s="1"/>
      <c r="E355" s="163"/>
      <c r="F355" s="11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5"/>
      <c r="V355" s="165"/>
    </row>
    <row r="356" ht="12.75" customHeight="1">
      <c r="A356" s="163"/>
      <c r="B356" s="163"/>
      <c r="C356" s="163"/>
      <c r="D356" s="1"/>
      <c r="E356" s="163"/>
      <c r="F356" s="11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5"/>
      <c r="V356" s="165"/>
    </row>
    <row r="357" ht="12.75" customHeight="1">
      <c r="A357" s="163"/>
      <c r="B357" s="163"/>
      <c r="C357" s="163"/>
      <c r="D357" s="1"/>
      <c r="E357" s="163"/>
      <c r="F357" s="11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5"/>
      <c r="V357" s="165"/>
    </row>
    <row r="358" ht="12.75" customHeight="1">
      <c r="A358" s="163"/>
      <c r="B358" s="163"/>
      <c r="C358" s="163"/>
      <c r="D358" s="1"/>
      <c r="E358" s="163"/>
      <c r="F358" s="11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5"/>
      <c r="V358" s="165"/>
    </row>
    <row r="359" ht="12.75" customHeight="1">
      <c r="A359" s="163"/>
      <c r="B359" s="163"/>
      <c r="C359" s="163"/>
      <c r="D359" s="1"/>
      <c r="E359" s="163"/>
      <c r="F359" s="11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5"/>
      <c r="V359" s="165"/>
    </row>
    <row r="360" ht="12.75" customHeight="1">
      <c r="A360" s="163"/>
      <c r="B360" s="163"/>
      <c r="C360" s="163"/>
      <c r="D360" s="1"/>
      <c r="E360" s="163"/>
      <c r="F360" s="11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5"/>
      <c r="V360" s="165"/>
    </row>
    <row r="361" ht="12.75" customHeight="1">
      <c r="A361" s="163"/>
      <c r="B361" s="163"/>
      <c r="C361" s="163"/>
      <c r="D361" s="1"/>
      <c r="E361" s="163"/>
      <c r="F361" s="11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5"/>
      <c r="V361" s="165"/>
    </row>
    <row r="362" ht="12.75" customHeight="1">
      <c r="A362" s="163"/>
      <c r="B362" s="163"/>
      <c r="C362" s="163"/>
      <c r="D362" s="1"/>
      <c r="E362" s="163"/>
      <c r="F362" s="11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5"/>
      <c r="V362" s="165"/>
    </row>
    <row r="363" ht="12.75" customHeight="1">
      <c r="A363" s="163"/>
      <c r="B363" s="163"/>
      <c r="C363" s="163"/>
      <c r="D363" s="1"/>
      <c r="E363" s="163"/>
      <c r="F363" s="11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5"/>
      <c r="V363" s="165"/>
    </row>
    <row r="364" ht="12.75" customHeight="1">
      <c r="A364" s="163"/>
      <c r="B364" s="163"/>
      <c r="C364" s="163"/>
      <c r="D364" s="1"/>
      <c r="E364" s="163"/>
      <c r="F364" s="11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5"/>
      <c r="V364" s="165"/>
    </row>
    <row r="365" ht="12.75" customHeight="1">
      <c r="A365" s="163"/>
      <c r="B365" s="163"/>
      <c r="C365" s="163"/>
      <c r="D365" s="1"/>
      <c r="E365" s="163"/>
      <c r="F365" s="11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5"/>
      <c r="V365" s="165"/>
    </row>
    <row r="366" ht="12.75" customHeight="1">
      <c r="A366" s="163"/>
      <c r="B366" s="163"/>
      <c r="C366" s="163"/>
      <c r="D366" s="1"/>
      <c r="E366" s="163"/>
      <c r="F366" s="11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5"/>
      <c r="V366" s="165"/>
    </row>
    <row r="367" ht="12.75" customHeight="1">
      <c r="A367" s="163"/>
      <c r="B367" s="163"/>
      <c r="C367" s="163"/>
      <c r="D367" s="1"/>
      <c r="E367" s="163"/>
      <c r="F367" s="11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5"/>
      <c r="V367" s="165"/>
    </row>
    <row r="368" ht="12.75" customHeight="1">
      <c r="A368" s="163"/>
      <c r="B368" s="163"/>
      <c r="C368" s="163"/>
      <c r="D368" s="1"/>
      <c r="E368" s="163"/>
      <c r="F368" s="11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5"/>
      <c r="V368" s="165"/>
    </row>
    <row r="369" ht="12.75" customHeight="1">
      <c r="A369" s="163"/>
      <c r="B369" s="163"/>
      <c r="C369" s="163"/>
      <c r="D369" s="1"/>
      <c r="E369" s="163"/>
      <c r="F369" s="11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5"/>
      <c r="V369" s="165"/>
    </row>
    <row r="370" ht="12.75" customHeight="1">
      <c r="A370" s="163"/>
      <c r="B370" s="163"/>
      <c r="C370" s="163"/>
      <c r="D370" s="1"/>
      <c r="E370" s="163"/>
      <c r="F370" s="11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5"/>
      <c r="V370" s="165"/>
    </row>
    <row r="371" ht="12.75" customHeight="1">
      <c r="A371" s="163"/>
      <c r="B371" s="163"/>
      <c r="C371" s="163"/>
      <c r="D371" s="1"/>
      <c r="E371" s="163"/>
      <c r="F371" s="11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5"/>
      <c r="V371" s="165"/>
    </row>
    <row r="372" ht="12.75" customHeight="1">
      <c r="A372" s="163"/>
      <c r="B372" s="163"/>
      <c r="C372" s="163"/>
      <c r="D372" s="1"/>
      <c r="E372" s="163"/>
      <c r="F372" s="11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5"/>
      <c r="V372" s="165"/>
    </row>
    <row r="373" ht="12.75" customHeight="1">
      <c r="A373" s="163"/>
      <c r="B373" s="163"/>
      <c r="C373" s="163"/>
      <c r="D373" s="1"/>
      <c r="E373" s="163"/>
      <c r="F373" s="11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5"/>
      <c r="V373" s="165"/>
    </row>
    <row r="374" ht="12.75" customHeight="1">
      <c r="A374" s="163"/>
      <c r="B374" s="163"/>
      <c r="C374" s="163"/>
      <c r="D374" s="1"/>
      <c r="E374" s="163"/>
      <c r="F374" s="11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5"/>
      <c r="V374" s="165"/>
    </row>
    <row r="375" ht="12.75" customHeight="1">
      <c r="A375" s="163"/>
      <c r="B375" s="163"/>
      <c r="C375" s="163"/>
      <c r="D375" s="1"/>
      <c r="E375" s="163"/>
      <c r="F375" s="11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5"/>
      <c r="V375" s="165"/>
    </row>
    <row r="376" ht="12.75" customHeight="1">
      <c r="A376" s="163"/>
      <c r="B376" s="163"/>
      <c r="C376" s="163"/>
      <c r="D376" s="1"/>
      <c r="E376" s="163"/>
      <c r="F376" s="11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5"/>
      <c r="V376" s="165"/>
    </row>
    <row r="377" ht="12.75" customHeight="1">
      <c r="A377" s="163"/>
      <c r="B377" s="163"/>
      <c r="C377" s="163"/>
      <c r="D377" s="1"/>
      <c r="E377" s="163"/>
      <c r="F377" s="11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5"/>
      <c r="V377" s="165"/>
    </row>
    <row r="378" ht="12.75" customHeight="1">
      <c r="A378" s="163"/>
      <c r="B378" s="163"/>
      <c r="C378" s="163"/>
      <c r="D378" s="1"/>
      <c r="E378" s="163"/>
      <c r="F378" s="11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5"/>
      <c r="V378" s="165"/>
    </row>
    <row r="379" ht="12.75" customHeight="1">
      <c r="A379" s="163"/>
      <c r="B379" s="163"/>
      <c r="C379" s="163"/>
      <c r="D379" s="1"/>
      <c r="E379" s="163"/>
      <c r="F379" s="11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5"/>
      <c r="V379" s="165"/>
    </row>
    <row r="380" ht="12.75" customHeight="1">
      <c r="A380" s="163"/>
      <c r="B380" s="163"/>
      <c r="C380" s="163"/>
      <c r="D380" s="1"/>
      <c r="E380" s="163"/>
      <c r="F380" s="11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5"/>
      <c r="V380" s="165"/>
    </row>
    <row r="381" ht="12.75" customHeight="1">
      <c r="A381" s="163"/>
      <c r="B381" s="163"/>
      <c r="C381" s="163"/>
      <c r="D381" s="1"/>
      <c r="E381" s="163"/>
      <c r="F381" s="11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5"/>
      <c r="V381" s="165"/>
    </row>
    <row r="382" ht="12.75" customHeight="1">
      <c r="A382" s="163"/>
      <c r="B382" s="163"/>
      <c r="C382" s="163"/>
      <c r="D382" s="1"/>
      <c r="E382" s="163"/>
      <c r="F382" s="11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5"/>
      <c r="V382" s="165"/>
    </row>
    <row r="383" ht="12.75" customHeight="1">
      <c r="A383" s="163"/>
      <c r="B383" s="163"/>
      <c r="C383" s="163"/>
      <c r="D383" s="1"/>
      <c r="E383" s="163"/>
      <c r="F383" s="11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5"/>
      <c r="V383" s="165"/>
    </row>
    <row r="384" ht="12.75" customHeight="1">
      <c r="A384" s="163"/>
      <c r="B384" s="163"/>
      <c r="C384" s="163"/>
      <c r="D384" s="1"/>
      <c r="E384" s="163"/>
      <c r="F384" s="11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5"/>
      <c r="V384" s="165"/>
    </row>
    <row r="385" ht="12.75" customHeight="1">
      <c r="A385" s="163"/>
      <c r="B385" s="163"/>
      <c r="C385" s="163"/>
      <c r="D385" s="1"/>
      <c r="E385" s="163"/>
      <c r="F385" s="11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5"/>
      <c r="V385" s="165"/>
    </row>
    <row r="386" ht="12.75" customHeight="1">
      <c r="A386" s="163"/>
      <c r="B386" s="163"/>
      <c r="C386" s="163"/>
      <c r="D386" s="1"/>
      <c r="E386" s="163"/>
      <c r="F386" s="11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5"/>
      <c r="V386" s="165"/>
    </row>
    <row r="387" ht="12.75" customHeight="1">
      <c r="A387" s="163"/>
      <c r="B387" s="163"/>
      <c r="C387" s="163"/>
      <c r="D387" s="1"/>
      <c r="E387" s="163"/>
      <c r="F387" s="11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5"/>
      <c r="V387" s="165"/>
    </row>
    <row r="388" ht="12.75" customHeight="1">
      <c r="A388" s="163"/>
      <c r="B388" s="163"/>
      <c r="C388" s="163"/>
      <c r="D388" s="1"/>
      <c r="E388" s="163"/>
      <c r="F388" s="11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5"/>
      <c r="V388" s="165"/>
    </row>
    <row r="389" ht="12.75" customHeight="1">
      <c r="A389" s="163"/>
      <c r="B389" s="163"/>
      <c r="C389" s="163"/>
      <c r="D389" s="1"/>
      <c r="E389" s="163"/>
      <c r="F389" s="11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5"/>
      <c r="V389" s="165"/>
    </row>
    <row r="390" ht="12.75" customHeight="1">
      <c r="A390" s="163"/>
      <c r="B390" s="163"/>
      <c r="C390" s="163"/>
      <c r="D390" s="1"/>
      <c r="E390" s="163"/>
      <c r="F390" s="11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5"/>
      <c r="V390" s="165"/>
    </row>
    <row r="391" ht="12.75" customHeight="1">
      <c r="A391" s="163"/>
      <c r="B391" s="163"/>
      <c r="C391" s="163"/>
      <c r="D391" s="1"/>
      <c r="E391" s="163"/>
      <c r="F391" s="11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5"/>
      <c r="V391" s="165"/>
    </row>
    <row r="392" ht="12.75" customHeight="1">
      <c r="A392" s="163"/>
      <c r="B392" s="163"/>
      <c r="C392" s="163"/>
      <c r="D392" s="1"/>
      <c r="E392" s="163"/>
      <c r="F392" s="11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5"/>
      <c r="V392" s="165"/>
    </row>
    <row r="393" ht="12.75" customHeight="1">
      <c r="A393" s="163"/>
      <c r="B393" s="163"/>
      <c r="C393" s="163"/>
      <c r="D393" s="1"/>
      <c r="E393" s="163"/>
      <c r="F393" s="11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5"/>
      <c r="V393" s="165"/>
    </row>
    <row r="394" ht="12.75" customHeight="1">
      <c r="A394" s="163"/>
      <c r="B394" s="163"/>
      <c r="C394" s="163"/>
      <c r="D394" s="1"/>
      <c r="E394" s="163"/>
      <c r="F394" s="11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5"/>
      <c r="V394" s="165"/>
    </row>
    <row r="395" ht="12.75" customHeight="1">
      <c r="A395" s="163"/>
      <c r="B395" s="163"/>
      <c r="C395" s="163"/>
      <c r="D395" s="1"/>
      <c r="E395" s="163"/>
      <c r="F395" s="11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5"/>
      <c r="V395" s="165"/>
    </row>
    <row r="396" ht="12.75" customHeight="1">
      <c r="A396" s="163"/>
      <c r="B396" s="163"/>
      <c r="C396" s="163"/>
      <c r="D396" s="1"/>
      <c r="E396" s="163"/>
      <c r="F396" s="11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5"/>
      <c r="V396" s="165"/>
    </row>
    <row r="397" ht="12.75" customHeight="1">
      <c r="A397" s="163"/>
      <c r="B397" s="163"/>
      <c r="C397" s="163"/>
      <c r="D397" s="1"/>
      <c r="E397" s="163"/>
      <c r="F397" s="11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5"/>
      <c r="V397" s="165"/>
    </row>
    <row r="398" ht="12.75" customHeight="1">
      <c r="A398" s="163"/>
      <c r="B398" s="163"/>
      <c r="C398" s="163"/>
      <c r="D398" s="1"/>
      <c r="E398" s="163"/>
      <c r="F398" s="11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5"/>
      <c r="V398" s="165"/>
    </row>
    <row r="399" ht="12.75" customHeight="1">
      <c r="A399" s="163"/>
      <c r="B399" s="163"/>
      <c r="C399" s="163"/>
      <c r="D399" s="1"/>
      <c r="E399" s="163"/>
      <c r="F399" s="11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5"/>
      <c r="V399" s="165"/>
    </row>
    <row r="400" ht="12.75" customHeight="1">
      <c r="A400" s="163"/>
      <c r="B400" s="163"/>
      <c r="C400" s="163"/>
      <c r="D400" s="1"/>
      <c r="E400" s="163"/>
      <c r="F400" s="11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5"/>
      <c r="V400" s="165"/>
    </row>
    <row r="401" ht="12.75" customHeight="1">
      <c r="A401" s="163"/>
      <c r="B401" s="163"/>
      <c r="C401" s="163"/>
      <c r="D401" s="1"/>
      <c r="E401" s="163"/>
      <c r="F401" s="11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5"/>
      <c r="V401" s="165"/>
    </row>
    <row r="402" ht="12.75" customHeight="1">
      <c r="A402" s="163"/>
      <c r="B402" s="163"/>
      <c r="C402" s="163"/>
      <c r="D402" s="1"/>
      <c r="E402" s="163"/>
      <c r="F402" s="11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5"/>
      <c r="V402" s="165"/>
    </row>
    <row r="403" ht="12.75" customHeight="1">
      <c r="A403" s="163"/>
      <c r="B403" s="163"/>
      <c r="C403" s="163"/>
      <c r="D403" s="1"/>
      <c r="E403" s="163"/>
      <c r="F403" s="11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5"/>
      <c r="V403" s="165"/>
    </row>
    <row r="404" ht="12.75" customHeight="1">
      <c r="A404" s="163"/>
      <c r="B404" s="163"/>
      <c r="C404" s="163"/>
      <c r="D404" s="1"/>
      <c r="E404" s="163"/>
      <c r="F404" s="11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5"/>
      <c r="V404" s="165"/>
    </row>
    <row r="405" ht="12.75" customHeight="1">
      <c r="A405" s="163"/>
      <c r="B405" s="163"/>
      <c r="C405" s="163"/>
      <c r="D405" s="1"/>
      <c r="E405" s="163"/>
      <c r="F405" s="11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5"/>
      <c r="V405" s="165"/>
    </row>
    <row r="406" ht="12.75" customHeight="1">
      <c r="A406" s="163"/>
      <c r="B406" s="163"/>
      <c r="C406" s="163"/>
      <c r="D406" s="1"/>
      <c r="E406" s="163"/>
      <c r="F406" s="11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5"/>
      <c r="V406" s="165"/>
    </row>
    <row r="407" ht="12.75" customHeight="1">
      <c r="A407" s="163"/>
      <c r="B407" s="163"/>
      <c r="C407" s="163"/>
      <c r="D407" s="1"/>
      <c r="E407" s="163"/>
      <c r="F407" s="11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5"/>
      <c r="V407" s="165"/>
    </row>
    <row r="408" ht="12.75" customHeight="1">
      <c r="A408" s="163"/>
      <c r="B408" s="163"/>
      <c r="C408" s="163"/>
      <c r="D408" s="1"/>
      <c r="E408" s="163"/>
      <c r="F408" s="11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5"/>
      <c r="V408" s="165"/>
    </row>
    <row r="409" ht="12.75" customHeight="1">
      <c r="A409" s="163"/>
      <c r="B409" s="163"/>
      <c r="C409" s="163"/>
      <c r="D409" s="1"/>
      <c r="E409" s="163"/>
      <c r="F409" s="11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5"/>
      <c r="V409" s="165"/>
    </row>
    <row r="410" ht="12.75" customHeight="1">
      <c r="A410" s="163"/>
      <c r="B410" s="163"/>
      <c r="C410" s="163"/>
      <c r="D410" s="1"/>
      <c r="E410" s="163"/>
      <c r="F410" s="11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5"/>
      <c r="V410" s="165"/>
    </row>
    <row r="411" ht="12.75" customHeight="1">
      <c r="A411" s="163"/>
      <c r="B411" s="163"/>
      <c r="C411" s="163"/>
      <c r="D411" s="1"/>
      <c r="E411" s="163"/>
      <c r="F411" s="11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5"/>
      <c r="V411" s="165"/>
    </row>
    <row r="412" ht="12.75" customHeight="1">
      <c r="A412" s="163"/>
      <c r="B412" s="163"/>
      <c r="C412" s="163"/>
      <c r="D412" s="1"/>
      <c r="E412" s="163"/>
      <c r="F412" s="11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5"/>
      <c r="V412" s="165"/>
    </row>
    <row r="413" ht="12.75" customHeight="1">
      <c r="A413" s="163"/>
      <c r="B413" s="163"/>
      <c r="C413" s="163"/>
      <c r="D413" s="1"/>
      <c r="E413" s="163"/>
      <c r="F413" s="11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5"/>
      <c r="V413" s="165"/>
    </row>
    <row r="414" ht="12.75" customHeight="1">
      <c r="A414" s="163"/>
      <c r="B414" s="163"/>
      <c r="C414" s="163"/>
      <c r="D414" s="1"/>
      <c r="E414" s="163"/>
      <c r="F414" s="11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5"/>
      <c r="V414" s="165"/>
    </row>
    <row r="415" ht="12.75" customHeight="1">
      <c r="A415" s="163"/>
      <c r="B415" s="163"/>
      <c r="C415" s="163"/>
      <c r="D415" s="1"/>
      <c r="E415" s="163"/>
      <c r="F415" s="11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5"/>
      <c r="V415" s="165"/>
    </row>
    <row r="416" ht="12.75" customHeight="1">
      <c r="A416" s="163"/>
      <c r="B416" s="163"/>
      <c r="C416" s="163"/>
      <c r="D416" s="1"/>
      <c r="E416" s="163"/>
      <c r="F416" s="11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5"/>
      <c r="V416" s="165"/>
    </row>
    <row r="417" ht="12.75" customHeight="1">
      <c r="A417" s="163"/>
      <c r="B417" s="163"/>
      <c r="C417" s="163"/>
      <c r="D417" s="1"/>
      <c r="E417" s="163"/>
      <c r="F417" s="11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5"/>
      <c r="V417" s="165"/>
    </row>
    <row r="418" ht="12.75" customHeight="1">
      <c r="A418" s="163"/>
      <c r="B418" s="163"/>
      <c r="C418" s="163"/>
      <c r="D418" s="1"/>
      <c r="E418" s="163"/>
      <c r="F418" s="11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5"/>
      <c r="V418" s="165"/>
    </row>
    <row r="419" ht="12.75" customHeight="1">
      <c r="A419" s="163"/>
      <c r="B419" s="163"/>
      <c r="C419" s="163"/>
      <c r="D419" s="1"/>
      <c r="E419" s="163"/>
      <c r="F419" s="11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5"/>
      <c r="V419" s="165"/>
    </row>
    <row r="420" ht="12.75" customHeight="1">
      <c r="A420" s="163"/>
      <c r="B420" s="163"/>
      <c r="C420" s="163"/>
      <c r="D420" s="1"/>
      <c r="E420" s="163"/>
      <c r="F420" s="11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5"/>
      <c r="V420" s="165"/>
    </row>
    <row r="421" ht="12.75" customHeight="1">
      <c r="A421" s="163"/>
      <c r="B421" s="163"/>
      <c r="C421" s="163"/>
      <c r="D421" s="1"/>
      <c r="E421" s="163"/>
      <c r="F421" s="11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5"/>
      <c r="V421" s="165"/>
    </row>
    <row r="422" ht="12.75" customHeight="1">
      <c r="A422" s="163"/>
      <c r="B422" s="163"/>
      <c r="C422" s="163"/>
      <c r="D422" s="1"/>
      <c r="E422" s="163"/>
      <c r="F422" s="11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5"/>
      <c r="V422" s="165"/>
    </row>
    <row r="423" ht="12.75" customHeight="1">
      <c r="A423" s="163"/>
      <c r="B423" s="163"/>
      <c r="C423" s="163"/>
      <c r="D423" s="1"/>
      <c r="E423" s="163"/>
      <c r="F423" s="11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5"/>
      <c r="V423" s="165"/>
    </row>
    <row r="424" ht="12.75" customHeight="1">
      <c r="A424" s="163"/>
      <c r="B424" s="163"/>
      <c r="C424" s="163"/>
      <c r="D424" s="1"/>
      <c r="E424" s="163"/>
      <c r="F424" s="11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5"/>
      <c r="V424" s="165"/>
    </row>
    <row r="425" ht="12.75" customHeight="1">
      <c r="A425" s="163"/>
      <c r="B425" s="163"/>
      <c r="C425" s="163"/>
      <c r="D425" s="1"/>
      <c r="E425" s="163"/>
      <c r="F425" s="11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5"/>
      <c r="V425" s="165"/>
    </row>
    <row r="426" ht="12.75" customHeight="1">
      <c r="A426" s="163"/>
      <c r="B426" s="163"/>
      <c r="C426" s="163"/>
      <c r="D426" s="1"/>
      <c r="E426" s="163"/>
      <c r="F426" s="11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5"/>
      <c r="V426" s="165"/>
    </row>
    <row r="427" ht="12.75" customHeight="1">
      <c r="A427" s="163"/>
      <c r="B427" s="163"/>
      <c r="C427" s="163"/>
      <c r="D427" s="1"/>
      <c r="E427" s="163"/>
      <c r="F427" s="11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5"/>
      <c r="V427" s="165"/>
    </row>
    <row r="428" ht="12.75" customHeight="1">
      <c r="A428" s="163"/>
      <c r="B428" s="163"/>
      <c r="C428" s="163"/>
      <c r="D428" s="1"/>
      <c r="E428" s="163"/>
      <c r="F428" s="11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5"/>
      <c r="V428" s="165"/>
    </row>
    <row r="429" ht="12.75" customHeight="1">
      <c r="A429" s="163"/>
      <c r="B429" s="163"/>
      <c r="C429" s="163"/>
      <c r="D429" s="1"/>
      <c r="E429" s="163"/>
      <c r="F429" s="11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5"/>
      <c r="V429" s="165"/>
    </row>
    <row r="430" ht="12.75" customHeight="1">
      <c r="A430" s="163"/>
      <c r="B430" s="163"/>
      <c r="C430" s="163"/>
      <c r="D430" s="1"/>
      <c r="E430" s="163"/>
      <c r="F430" s="11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5"/>
      <c r="V430" s="165"/>
    </row>
    <row r="431" ht="12.75" customHeight="1">
      <c r="A431" s="163"/>
      <c r="B431" s="163"/>
      <c r="C431" s="163"/>
      <c r="D431" s="1"/>
      <c r="E431" s="163"/>
      <c r="F431" s="11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5"/>
      <c r="V431" s="165"/>
    </row>
    <row r="432" ht="12.75" customHeight="1">
      <c r="A432" s="163"/>
      <c r="B432" s="163"/>
      <c r="C432" s="163"/>
      <c r="D432" s="1"/>
      <c r="E432" s="163"/>
      <c r="F432" s="11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5"/>
      <c r="V432" s="165"/>
    </row>
    <row r="433" ht="12.75" customHeight="1">
      <c r="A433" s="163"/>
      <c r="B433" s="163"/>
      <c r="C433" s="163"/>
      <c r="D433" s="1"/>
      <c r="E433" s="163"/>
      <c r="F433" s="11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5"/>
      <c r="V433" s="165"/>
    </row>
    <row r="434" ht="12.75" customHeight="1">
      <c r="A434" s="163"/>
      <c r="B434" s="163"/>
      <c r="C434" s="163"/>
      <c r="D434" s="1"/>
      <c r="E434" s="163"/>
      <c r="F434" s="11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5"/>
      <c r="V434" s="165"/>
    </row>
    <row r="435" ht="12.75" customHeight="1">
      <c r="A435" s="163"/>
      <c r="B435" s="163"/>
      <c r="C435" s="163"/>
      <c r="D435" s="1"/>
      <c r="E435" s="163"/>
      <c r="F435" s="11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5"/>
      <c r="V435" s="165"/>
    </row>
    <row r="436" ht="12.75" customHeight="1">
      <c r="A436" s="163"/>
      <c r="B436" s="163"/>
      <c r="C436" s="163"/>
      <c r="D436" s="1"/>
      <c r="E436" s="163"/>
      <c r="F436" s="11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5"/>
      <c r="V436" s="165"/>
    </row>
    <row r="437" ht="12.75" customHeight="1">
      <c r="A437" s="163"/>
      <c r="B437" s="163"/>
      <c r="C437" s="163"/>
      <c r="D437" s="1"/>
      <c r="E437" s="163"/>
      <c r="F437" s="11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5"/>
      <c r="V437" s="165"/>
    </row>
    <row r="438" ht="12.75" customHeight="1">
      <c r="A438" s="163"/>
      <c r="B438" s="163"/>
      <c r="C438" s="163"/>
      <c r="D438" s="1"/>
      <c r="E438" s="163"/>
      <c r="F438" s="11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5"/>
      <c r="V438" s="165"/>
    </row>
    <row r="439" ht="12.75" customHeight="1">
      <c r="A439" s="163"/>
      <c r="B439" s="163"/>
      <c r="C439" s="163"/>
      <c r="D439" s="1"/>
      <c r="E439" s="163"/>
      <c r="F439" s="11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5"/>
      <c r="V439" s="165"/>
    </row>
    <row r="440" ht="12.75" customHeight="1">
      <c r="A440" s="163"/>
      <c r="B440" s="163"/>
      <c r="C440" s="163"/>
      <c r="D440" s="1"/>
      <c r="E440" s="163"/>
      <c r="F440" s="11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5"/>
      <c r="V440" s="165"/>
    </row>
    <row r="441" ht="12.75" customHeight="1">
      <c r="A441" s="163"/>
      <c r="B441" s="163"/>
      <c r="C441" s="163"/>
      <c r="D441" s="1"/>
      <c r="E441" s="163"/>
      <c r="F441" s="11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5"/>
      <c r="V441" s="165"/>
    </row>
    <row r="442" ht="12.75" customHeight="1">
      <c r="A442" s="163"/>
      <c r="B442" s="163"/>
      <c r="C442" s="163"/>
      <c r="D442" s="1"/>
      <c r="E442" s="163"/>
      <c r="F442" s="11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5"/>
      <c r="V442" s="165"/>
    </row>
    <row r="443" ht="12.75" customHeight="1">
      <c r="A443" s="163"/>
      <c r="B443" s="163"/>
      <c r="C443" s="163"/>
      <c r="D443" s="1"/>
      <c r="E443" s="163"/>
      <c r="F443" s="11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5"/>
      <c r="V443" s="165"/>
    </row>
    <row r="444" ht="12.75" customHeight="1">
      <c r="A444" s="163"/>
      <c r="B444" s="163"/>
      <c r="C444" s="163"/>
      <c r="D444" s="1"/>
      <c r="E444" s="163"/>
      <c r="F444" s="11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5"/>
      <c r="V444" s="165"/>
    </row>
    <row r="445" ht="12.75" customHeight="1">
      <c r="A445" s="163"/>
      <c r="B445" s="163"/>
      <c r="C445" s="163"/>
      <c r="D445" s="1"/>
      <c r="E445" s="163"/>
      <c r="F445" s="11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5"/>
      <c r="V445" s="165"/>
    </row>
    <row r="446" ht="12.75" customHeight="1">
      <c r="A446" s="163"/>
      <c r="B446" s="163"/>
      <c r="C446" s="163"/>
      <c r="D446" s="1"/>
      <c r="E446" s="163"/>
      <c r="F446" s="11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5"/>
      <c r="V446" s="165"/>
    </row>
    <row r="447" ht="12.75" customHeight="1">
      <c r="A447" s="163"/>
      <c r="B447" s="163"/>
      <c r="C447" s="163"/>
      <c r="D447" s="1"/>
      <c r="E447" s="163"/>
      <c r="F447" s="11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5"/>
      <c r="V447" s="165"/>
    </row>
    <row r="448" ht="12.75" customHeight="1">
      <c r="A448" s="163"/>
      <c r="B448" s="163"/>
      <c r="C448" s="163"/>
      <c r="D448" s="1"/>
      <c r="E448" s="163"/>
      <c r="F448" s="11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5"/>
      <c r="V448" s="165"/>
    </row>
    <row r="449" ht="12.75" customHeight="1">
      <c r="A449" s="163"/>
      <c r="B449" s="163"/>
      <c r="C449" s="163"/>
      <c r="D449" s="1"/>
      <c r="E449" s="163"/>
      <c r="F449" s="11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5"/>
      <c r="V449" s="165"/>
    </row>
    <row r="450" ht="12.75" customHeight="1">
      <c r="A450" s="163"/>
      <c r="B450" s="163"/>
      <c r="C450" s="163"/>
      <c r="D450" s="1"/>
      <c r="E450" s="163"/>
      <c r="F450" s="11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5"/>
      <c r="V450" s="165"/>
    </row>
    <row r="451" ht="12.75" customHeight="1">
      <c r="A451" s="163"/>
      <c r="B451" s="163"/>
      <c r="C451" s="163"/>
      <c r="D451" s="1"/>
      <c r="E451" s="163"/>
      <c r="F451" s="11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5"/>
      <c r="V451" s="165"/>
    </row>
    <row r="452" ht="12.75" customHeight="1">
      <c r="A452" s="163"/>
      <c r="B452" s="163"/>
      <c r="C452" s="163"/>
      <c r="D452" s="1"/>
      <c r="E452" s="163"/>
      <c r="F452" s="11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5"/>
      <c r="V452" s="165"/>
    </row>
    <row r="453" ht="12.75" customHeight="1">
      <c r="A453" s="163"/>
      <c r="B453" s="163"/>
      <c r="C453" s="163"/>
      <c r="D453" s="1"/>
      <c r="E453" s="163"/>
      <c r="F453" s="11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5"/>
      <c r="V453" s="165"/>
    </row>
    <row r="454" ht="12.75" customHeight="1">
      <c r="A454" s="163"/>
      <c r="B454" s="163"/>
      <c r="C454" s="163"/>
      <c r="D454" s="1"/>
      <c r="E454" s="163"/>
      <c r="F454" s="11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5"/>
      <c r="V454" s="165"/>
    </row>
    <row r="455" ht="12.75" customHeight="1">
      <c r="A455" s="163"/>
      <c r="B455" s="163"/>
      <c r="C455" s="163"/>
      <c r="D455" s="1"/>
      <c r="E455" s="163"/>
      <c r="F455" s="11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5"/>
      <c r="V455" s="165"/>
    </row>
    <row r="456" ht="12.75" customHeight="1">
      <c r="A456" s="163"/>
      <c r="B456" s="163"/>
      <c r="C456" s="163"/>
      <c r="D456" s="1"/>
      <c r="E456" s="163"/>
      <c r="F456" s="11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5"/>
      <c r="V456" s="165"/>
    </row>
    <row r="457" ht="12.75" customHeight="1">
      <c r="A457" s="163"/>
      <c r="B457" s="163"/>
      <c r="C457" s="163"/>
      <c r="D457" s="1"/>
      <c r="E457" s="163"/>
      <c r="F457" s="11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5"/>
      <c r="V457" s="165"/>
    </row>
    <row r="458" ht="12.75" customHeight="1">
      <c r="A458" s="163"/>
      <c r="B458" s="163"/>
      <c r="C458" s="163"/>
      <c r="D458" s="1"/>
      <c r="E458" s="163"/>
      <c r="F458" s="11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5"/>
      <c r="V458" s="165"/>
    </row>
    <row r="459" ht="12.75" customHeight="1">
      <c r="A459" s="163"/>
      <c r="B459" s="163"/>
      <c r="C459" s="163"/>
      <c r="D459" s="1"/>
      <c r="E459" s="163"/>
      <c r="F459" s="11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5"/>
      <c r="V459" s="165"/>
    </row>
    <row r="460" ht="12.75" customHeight="1">
      <c r="A460" s="163"/>
      <c r="B460" s="163"/>
      <c r="C460" s="163"/>
      <c r="D460" s="1"/>
      <c r="E460" s="163"/>
      <c r="F460" s="11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5"/>
      <c r="V460" s="165"/>
    </row>
    <row r="461" ht="12.75" customHeight="1">
      <c r="A461" s="163"/>
      <c r="B461" s="163"/>
      <c r="C461" s="163"/>
      <c r="D461" s="1"/>
      <c r="E461" s="163"/>
      <c r="F461" s="11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5"/>
      <c r="V461" s="165"/>
    </row>
    <row r="462" ht="12.75" customHeight="1">
      <c r="A462" s="163"/>
      <c r="B462" s="163"/>
      <c r="C462" s="163"/>
      <c r="D462" s="1"/>
      <c r="E462" s="163"/>
      <c r="F462" s="11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5"/>
      <c r="V462" s="165"/>
    </row>
    <row r="463" ht="12.75" customHeight="1">
      <c r="A463" s="163"/>
      <c r="B463" s="163"/>
      <c r="C463" s="163"/>
      <c r="D463" s="1"/>
      <c r="E463" s="163"/>
      <c r="F463" s="11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5"/>
      <c r="V463" s="165"/>
    </row>
    <row r="464" ht="12.75" customHeight="1">
      <c r="A464" s="163"/>
      <c r="B464" s="163"/>
      <c r="C464" s="163"/>
      <c r="D464" s="1"/>
      <c r="E464" s="163"/>
      <c r="F464" s="11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5"/>
      <c r="V464" s="165"/>
    </row>
    <row r="465" ht="12.75" customHeight="1">
      <c r="A465" s="163"/>
      <c r="B465" s="163"/>
      <c r="C465" s="163"/>
      <c r="D465" s="1"/>
      <c r="E465" s="163"/>
      <c r="F465" s="11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5"/>
      <c r="V465" s="165"/>
    </row>
    <row r="466" ht="12.75" customHeight="1">
      <c r="A466" s="163"/>
      <c r="B466" s="163"/>
      <c r="C466" s="163"/>
      <c r="D466" s="1"/>
      <c r="E466" s="163"/>
      <c r="F466" s="11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5"/>
      <c r="V466" s="165"/>
    </row>
    <row r="467" ht="12.75" customHeight="1">
      <c r="A467" s="163"/>
      <c r="B467" s="163"/>
      <c r="C467" s="163"/>
      <c r="D467" s="1"/>
      <c r="E467" s="163"/>
      <c r="F467" s="11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5"/>
      <c r="V467" s="165"/>
    </row>
    <row r="468" ht="12.75" customHeight="1">
      <c r="A468" s="163"/>
      <c r="B468" s="163"/>
      <c r="C468" s="163"/>
      <c r="D468" s="1"/>
      <c r="E468" s="163"/>
      <c r="F468" s="11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5"/>
      <c r="V468" s="165"/>
    </row>
    <row r="469" ht="12.75" customHeight="1">
      <c r="A469" s="163"/>
      <c r="B469" s="163"/>
      <c r="C469" s="163"/>
      <c r="D469" s="1"/>
      <c r="E469" s="163"/>
      <c r="F469" s="11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5"/>
      <c r="V469" s="165"/>
    </row>
    <row r="470" ht="12.75" customHeight="1">
      <c r="A470" s="163"/>
      <c r="B470" s="163"/>
      <c r="C470" s="163"/>
      <c r="D470" s="1"/>
      <c r="E470" s="163"/>
      <c r="F470" s="11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5"/>
      <c r="V470" s="165"/>
    </row>
    <row r="471" ht="12.75" customHeight="1">
      <c r="A471" s="163"/>
      <c r="B471" s="163"/>
      <c r="C471" s="163"/>
      <c r="D471" s="1"/>
      <c r="E471" s="163"/>
      <c r="F471" s="11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5"/>
      <c r="V471" s="165"/>
    </row>
    <row r="472" ht="12.75" customHeight="1">
      <c r="A472" s="163"/>
      <c r="B472" s="163"/>
      <c r="C472" s="163"/>
      <c r="D472" s="1"/>
      <c r="E472" s="163"/>
      <c r="F472" s="11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5"/>
      <c r="V472" s="165"/>
    </row>
    <row r="473" ht="12.75" customHeight="1">
      <c r="A473" s="163"/>
      <c r="B473" s="163"/>
      <c r="C473" s="163"/>
      <c r="D473" s="1"/>
      <c r="E473" s="163"/>
      <c r="F473" s="11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5"/>
      <c r="V473" s="165"/>
    </row>
    <row r="474" ht="12.75" customHeight="1">
      <c r="A474" s="163"/>
      <c r="B474" s="163"/>
      <c r="C474" s="163"/>
      <c r="D474" s="1"/>
      <c r="E474" s="163"/>
      <c r="F474" s="11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5"/>
      <c r="V474" s="165"/>
    </row>
    <row r="475" ht="12.75" customHeight="1">
      <c r="A475" s="163"/>
      <c r="B475" s="163"/>
      <c r="C475" s="163"/>
      <c r="D475" s="1"/>
      <c r="E475" s="163"/>
      <c r="F475" s="11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5"/>
      <c r="V475" s="165"/>
    </row>
    <row r="476" ht="12.75" customHeight="1">
      <c r="A476" s="163"/>
      <c r="B476" s="163"/>
      <c r="C476" s="163"/>
      <c r="D476" s="1"/>
      <c r="E476" s="163"/>
      <c r="F476" s="11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5"/>
      <c r="V476" s="165"/>
    </row>
    <row r="477" ht="12.75" customHeight="1">
      <c r="A477" s="163"/>
      <c r="B477" s="163"/>
      <c r="C477" s="163"/>
      <c r="D477" s="1"/>
      <c r="E477" s="163"/>
      <c r="F477" s="11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5"/>
      <c r="V477" s="165"/>
    </row>
    <row r="478" ht="12.75" customHeight="1">
      <c r="A478" s="163"/>
      <c r="B478" s="163"/>
      <c r="C478" s="163"/>
      <c r="D478" s="1"/>
      <c r="E478" s="163"/>
      <c r="F478" s="11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5"/>
      <c r="V478" s="165"/>
    </row>
    <row r="479" ht="12.75" customHeight="1">
      <c r="A479" s="163"/>
      <c r="B479" s="163"/>
      <c r="C479" s="163"/>
      <c r="D479" s="1"/>
      <c r="E479" s="163"/>
      <c r="F479" s="11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5"/>
      <c r="V479" s="165"/>
    </row>
    <row r="480" ht="12.75" customHeight="1">
      <c r="A480" s="163"/>
      <c r="B480" s="163"/>
      <c r="C480" s="163"/>
      <c r="D480" s="1"/>
      <c r="E480" s="163"/>
      <c r="F480" s="11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5"/>
      <c r="V480" s="165"/>
    </row>
    <row r="481" ht="12.75" customHeight="1">
      <c r="A481" s="163"/>
      <c r="B481" s="163"/>
      <c r="C481" s="163"/>
      <c r="D481" s="1"/>
      <c r="E481" s="163"/>
      <c r="F481" s="11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5"/>
      <c r="V481" s="165"/>
    </row>
    <row r="482" ht="12.75" customHeight="1">
      <c r="A482" s="163"/>
      <c r="B482" s="163"/>
      <c r="C482" s="163"/>
      <c r="D482" s="1"/>
      <c r="E482" s="163"/>
      <c r="F482" s="11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5"/>
      <c r="V482" s="165"/>
    </row>
    <row r="483" ht="12.75" customHeight="1">
      <c r="A483" s="163"/>
      <c r="B483" s="163"/>
      <c r="C483" s="163"/>
      <c r="D483" s="1"/>
      <c r="E483" s="163"/>
      <c r="F483" s="11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5"/>
      <c r="V483" s="165"/>
    </row>
    <row r="484" ht="12.75" customHeight="1">
      <c r="A484" s="163"/>
      <c r="B484" s="163"/>
      <c r="C484" s="163"/>
      <c r="D484" s="1"/>
      <c r="E484" s="163"/>
      <c r="F484" s="11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5"/>
      <c r="V484" s="165"/>
    </row>
    <row r="485" ht="12.75" customHeight="1">
      <c r="A485" s="163"/>
      <c r="B485" s="163"/>
      <c r="C485" s="163"/>
      <c r="D485" s="1"/>
      <c r="E485" s="163"/>
      <c r="F485" s="11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5"/>
      <c r="V485" s="165"/>
    </row>
    <row r="486" ht="12.75" customHeight="1">
      <c r="A486" s="163"/>
      <c r="B486" s="163"/>
      <c r="C486" s="163"/>
      <c r="D486" s="1"/>
      <c r="E486" s="163"/>
      <c r="F486" s="11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5"/>
      <c r="V486" s="165"/>
    </row>
    <row r="487" ht="12.75" customHeight="1">
      <c r="A487" s="163"/>
      <c r="B487" s="163"/>
      <c r="C487" s="163"/>
      <c r="D487" s="1"/>
      <c r="E487" s="163"/>
      <c r="F487" s="11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5"/>
      <c r="V487" s="165"/>
    </row>
    <row r="488" ht="12.75" customHeight="1">
      <c r="A488" s="163"/>
      <c r="B488" s="163"/>
      <c r="C488" s="163"/>
      <c r="D488" s="1"/>
      <c r="E488" s="163"/>
      <c r="F488" s="11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5"/>
      <c r="V488" s="165"/>
    </row>
    <row r="489" ht="12.75" customHeight="1">
      <c r="A489" s="163"/>
      <c r="B489" s="163"/>
      <c r="C489" s="163"/>
      <c r="D489" s="1"/>
      <c r="E489" s="163"/>
      <c r="F489" s="11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5"/>
      <c r="V489" s="165"/>
    </row>
    <row r="490" ht="12.75" customHeight="1">
      <c r="A490" s="163"/>
      <c r="B490" s="163"/>
      <c r="C490" s="163"/>
      <c r="D490" s="1"/>
      <c r="E490" s="163"/>
      <c r="F490" s="11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5"/>
      <c r="V490" s="165"/>
    </row>
    <row r="491" ht="12.75" customHeight="1">
      <c r="A491" s="163"/>
      <c r="B491" s="163"/>
      <c r="C491" s="163"/>
      <c r="D491" s="1"/>
      <c r="E491" s="163"/>
      <c r="F491" s="11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5"/>
      <c r="V491" s="165"/>
    </row>
    <row r="492" ht="12.75" customHeight="1">
      <c r="A492" s="163"/>
      <c r="B492" s="163"/>
      <c r="C492" s="163"/>
      <c r="D492" s="1"/>
      <c r="E492" s="163"/>
      <c r="F492" s="11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5"/>
      <c r="V492" s="165"/>
    </row>
    <row r="493" ht="12.75" customHeight="1">
      <c r="A493" s="163"/>
      <c r="B493" s="163"/>
      <c r="C493" s="163"/>
      <c r="D493" s="1"/>
      <c r="E493" s="163"/>
      <c r="F493" s="11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5"/>
      <c r="V493" s="165"/>
    </row>
    <row r="494" ht="12.75" customHeight="1">
      <c r="A494" s="163"/>
      <c r="B494" s="163"/>
      <c r="C494" s="163"/>
      <c r="D494" s="1"/>
      <c r="E494" s="163"/>
      <c r="F494" s="11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5"/>
      <c r="V494" s="165"/>
    </row>
    <row r="495" ht="12.75" customHeight="1">
      <c r="A495" s="163"/>
      <c r="B495" s="163"/>
      <c r="C495" s="163"/>
      <c r="D495" s="1"/>
      <c r="E495" s="163"/>
      <c r="F495" s="11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5"/>
      <c r="V495" s="165"/>
    </row>
    <row r="496" ht="12.75" customHeight="1">
      <c r="A496" s="163"/>
      <c r="B496" s="163"/>
      <c r="C496" s="163"/>
      <c r="D496" s="1"/>
      <c r="E496" s="163"/>
      <c r="F496" s="11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5"/>
      <c r="V496" s="165"/>
    </row>
    <row r="497" ht="12.75" customHeight="1">
      <c r="A497" s="163"/>
      <c r="B497" s="163"/>
      <c r="C497" s="163"/>
      <c r="D497" s="1"/>
      <c r="E497" s="163"/>
      <c r="F497" s="11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5"/>
      <c r="V497" s="165"/>
    </row>
    <row r="498" ht="12.75" customHeight="1">
      <c r="A498" s="163"/>
      <c r="B498" s="163"/>
      <c r="C498" s="163"/>
      <c r="D498" s="1"/>
      <c r="E498" s="163"/>
      <c r="F498" s="11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5"/>
      <c r="V498" s="165"/>
    </row>
    <row r="499" ht="12.75" customHeight="1">
      <c r="A499" s="163"/>
      <c r="B499" s="163"/>
      <c r="C499" s="163"/>
      <c r="D499" s="1"/>
      <c r="E499" s="163"/>
      <c r="F499" s="11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5"/>
      <c r="V499" s="165"/>
    </row>
    <row r="500" ht="12.75" customHeight="1">
      <c r="A500" s="163"/>
      <c r="B500" s="163"/>
      <c r="C500" s="163"/>
      <c r="D500" s="1"/>
      <c r="E500" s="163"/>
      <c r="F500" s="11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5"/>
      <c r="V500" s="165"/>
    </row>
    <row r="501" ht="12.75" customHeight="1">
      <c r="A501" s="163"/>
      <c r="B501" s="163"/>
      <c r="C501" s="163"/>
      <c r="D501" s="1"/>
      <c r="E501" s="163"/>
      <c r="F501" s="11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5"/>
      <c r="V501" s="165"/>
    </row>
    <row r="502" ht="12.75" customHeight="1">
      <c r="A502" s="163"/>
      <c r="B502" s="163"/>
      <c r="C502" s="163"/>
      <c r="D502" s="1"/>
      <c r="E502" s="163"/>
      <c r="F502" s="11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5"/>
      <c r="V502" s="165"/>
    </row>
    <row r="503" ht="12.75" customHeight="1">
      <c r="A503" s="163"/>
      <c r="B503" s="163"/>
      <c r="C503" s="163"/>
      <c r="D503" s="1"/>
      <c r="E503" s="163"/>
      <c r="F503" s="11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5"/>
      <c r="V503" s="165"/>
    </row>
    <row r="504" ht="12.75" customHeight="1">
      <c r="A504" s="163"/>
      <c r="B504" s="163"/>
      <c r="C504" s="163"/>
      <c r="D504" s="1"/>
      <c r="E504" s="163"/>
      <c r="F504" s="11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5"/>
      <c r="V504" s="165"/>
    </row>
    <row r="505" ht="12.75" customHeight="1">
      <c r="A505" s="163"/>
      <c r="B505" s="163"/>
      <c r="C505" s="163"/>
      <c r="D505" s="1"/>
      <c r="E505" s="163"/>
      <c r="F505" s="11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5"/>
      <c r="V505" s="165"/>
    </row>
    <row r="506" ht="12.75" customHeight="1">
      <c r="A506" s="163"/>
      <c r="B506" s="163"/>
      <c r="C506" s="163"/>
      <c r="D506" s="1"/>
      <c r="E506" s="163"/>
      <c r="F506" s="11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5"/>
      <c r="V506" s="165"/>
    </row>
    <row r="507" ht="12.75" customHeight="1">
      <c r="A507" s="163"/>
      <c r="B507" s="163"/>
      <c r="C507" s="163"/>
      <c r="D507" s="1"/>
      <c r="E507" s="163"/>
      <c r="F507" s="11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5"/>
      <c r="V507" s="165"/>
    </row>
    <row r="508" ht="12.75" customHeight="1">
      <c r="A508" s="163"/>
      <c r="B508" s="163"/>
      <c r="C508" s="163"/>
      <c r="D508" s="1"/>
      <c r="E508" s="163"/>
      <c r="F508" s="11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5"/>
      <c r="V508" s="165"/>
    </row>
    <row r="509" ht="12.75" customHeight="1">
      <c r="A509" s="163"/>
      <c r="B509" s="163"/>
      <c r="C509" s="163"/>
      <c r="D509" s="1"/>
      <c r="E509" s="163"/>
      <c r="F509" s="11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5"/>
      <c r="V509" s="165"/>
    </row>
    <row r="510" ht="12.75" customHeight="1">
      <c r="A510" s="163"/>
      <c r="B510" s="163"/>
      <c r="C510" s="163"/>
      <c r="D510" s="1"/>
      <c r="E510" s="163"/>
      <c r="F510" s="11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5"/>
      <c r="V510" s="165"/>
    </row>
    <row r="511" ht="12.75" customHeight="1">
      <c r="A511" s="163"/>
      <c r="B511" s="163"/>
      <c r="C511" s="163"/>
      <c r="D511" s="1"/>
      <c r="E511" s="163"/>
      <c r="F511" s="11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5"/>
      <c r="V511" s="165"/>
    </row>
    <row r="512" ht="12.75" customHeight="1">
      <c r="A512" s="163"/>
      <c r="B512" s="163"/>
      <c r="C512" s="163"/>
      <c r="D512" s="1"/>
      <c r="E512" s="163"/>
      <c r="F512" s="11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5"/>
      <c r="V512" s="165"/>
    </row>
    <row r="513" ht="12.75" customHeight="1">
      <c r="A513" s="163"/>
      <c r="B513" s="163"/>
      <c r="C513" s="163"/>
      <c r="D513" s="1"/>
      <c r="E513" s="163"/>
      <c r="F513" s="11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5"/>
      <c r="V513" s="165"/>
    </row>
    <row r="514" ht="12.75" customHeight="1">
      <c r="A514" s="163"/>
      <c r="B514" s="163"/>
      <c r="C514" s="163"/>
      <c r="D514" s="1"/>
      <c r="E514" s="163"/>
      <c r="F514" s="11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5"/>
      <c r="V514" s="165"/>
    </row>
    <row r="515" ht="12.75" customHeight="1">
      <c r="A515" s="163"/>
      <c r="B515" s="163"/>
      <c r="C515" s="163"/>
      <c r="D515" s="1"/>
      <c r="E515" s="163"/>
      <c r="F515" s="11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5"/>
      <c r="V515" s="165"/>
    </row>
    <row r="516" ht="12.75" customHeight="1">
      <c r="A516" s="163"/>
      <c r="B516" s="163"/>
      <c r="C516" s="163"/>
      <c r="D516" s="1"/>
      <c r="E516" s="163"/>
      <c r="F516" s="11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5"/>
      <c r="V516" s="165"/>
    </row>
    <row r="517" ht="12.75" customHeight="1">
      <c r="A517" s="163"/>
      <c r="B517" s="163"/>
      <c r="C517" s="163"/>
      <c r="D517" s="1"/>
      <c r="E517" s="163"/>
      <c r="F517" s="11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5"/>
      <c r="V517" s="165"/>
    </row>
    <row r="518" ht="12.75" customHeight="1">
      <c r="A518" s="163"/>
      <c r="B518" s="163"/>
      <c r="C518" s="163"/>
      <c r="D518" s="1"/>
      <c r="E518" s="163"/>
      <c r="F518" s="11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5"/>
      <c r="V518" s="165"/>
    </row>
    <row r="519" ht="12.75" customHeight="1">
      <c r="A519" s="163"/>
      <c r="B519" s="163"/>
      <c r="C519" s="163"/>
      <c r="D519" s="1"/>
      <c r="E519" s="163"/>
      <c r="F519" s="11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5"/>
      <c r="V519" s="165"/>
    </row>
    <row r="520" ht="12.75" customHeight="1">
      <c r="A520" s="163"/>
      <c r="B520" s="163"/>
      <c r="C520" s="163"/>
      <c r="D520" s="1"/>
      <c r="E520" s="163"/>
      <c r="F520" s="11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5"/>
      <c r="V520" s="165"/>
    </row>
    <row r="521" ht="12.75" customHeight="1">
      <c r="A521" s="163"/>
      <c r="B521" s="163"/>
      <c r="C521" s="163"/>
      <c r="D521" s="1"/>
      <c r="E521" s="163"/>
      <c r="F521" s="11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5"/>
      <c r="V521" s="165"/>
    </row>
    <row r="522" ht="12.75" customHeight="1">
      <c r="A522" s="163"/>
      <c r="B522" s="163"/>
      <c r="C522" s="163"/>
      <c r="D522" s="1"/>
      <c r="E522" s="163"/>
      <c r="F522" s="11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5"/>
      <c r="V522" s="165"/>
    </row>
    <row r="523" ht="12.75" customHeight="1">
      <c r="A523" s="163"/>
      <c r="B523" s="163"/>
      <c r="C523" s="163"/>
      <c r="D523" s="1"/>
      <c r="E523" s="163"/>
      <c r="F523" s="11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5"/>
      <c r="V523" s="165"/>
    </row>
    <row r="524" ht="12.75" customHeight="1">
      <c r="A524" s="163"/>
      <c r="B524" s="163"/>
      <c r="C524" s="163"/>
      <c r="D524" s="1"/>
      <c r="E524" s="163"/>
      <c r="F524" s="11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5"/>
      <c r="V524" s="165"/>
    </row>
    <row r="525" ht="12.75" customHeight="1">
      <c r="A525" s="163"/>
      <c r="B525" s="163"/>
      <c r="C525" s="163"/>
      <c r="D525" s="1"/>
      <c r="E525" s="163"/>
      <c r="F525" s="11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5"/>
      <c r="V525" s="165"/>
    </row>
    <row r="526" ht="12.75" customHeight="1">
      <c r="A526" s="163"/>
      <c r="B526" s="163"/>
      <c r="C526" s="163"/>
      <c r="D526" s="1"/>
      <c r="E526" s="163"/>
      <c r="F526" s="11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5"/>
      <c r="V526" s="165"/>
    </row>
    <row r="527" ht="12.75" customHeight="1">
      <c r="A527" s="163"/>
      <c r="B527" s="163"/>
      <c r="C527" s="163"/>
      <c r="D527" s="1"/>
      <c r="E527" s="163"/>
      <c r="F527" s="11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5"/>
      <c r="V527" s="165"/>
    </row>
    <row r="528" ht="12.75" customHeight="1">
      <c r="A528" s="163"/>
      <c r="B528" s="163"/>
      <c r="C528" s="163"/>
      <c r="D528" s="1"/>
      <c r="E528" s="163"/>
      <c r="F528" s="11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5"/>
      <c r="V528" s="165"/>
    </row>
    <row r="529" ht="12.75" customHeight="1">
      <c r="A529" s="163"/>
      <c r="B529" s="163"/>
      <c r="C529" s="163"/>
      <c r="D529" s="1"/>
      <c r="E529" s="163"/>
      <c r="F529" s="11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5"/>
      <c r="V529" s="165"/>
    </row>
    <row r="530" ht="12.75" customHeight="1">
      <c r="A530" s="163"/>
      <c r="B530" s="163"/>
      <c r="C530" s="163"/>
      <c r="D530" s="1"/>
      <c r="E530" s="163"/>
      <c r="F530" s="11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5"/>
      <c r="V530" s="165"/>
    </row>
    <row r="531" ht="12.75" customHeight="1">
      <c r="A531" s="163"/>
      <c r="B531" s="163"/>
      <c r="C531" s="163"/>
      <c r="D531" s="1"/>
      <c r="E531" s="163"/>
      <c r="F531" s="11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5"/>
      <c r="V531" s="165"/>
    </row>
    <row r="532" ht="12.75" customHeight="1">
      <c r="A532" s="163"/>
      <c r="B532" s="163"/>
      <c r="C532" s="163"/>
      <c r="D532" s="1"/>
      <c r="E532" s="163"/>
      <c r="F532" s="11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5"/>
      <c r="V532" s="165"/>
    </row>
    <row r="533" ht="12.75" customHeight="1">
      <c r="A533" s="163"/>
      <c r="B533" s="163"/>
      <c r="C533" s="163"/>
      <c r="D533" s="1"/>
      <c r="E533" s="163"/>
      <c r="F533" s="11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5"/>
      <c r="V533" s="165"/>
    </row>
    <row r="534" ht="12.75" customHeight="1">
      <c r="A534" s="163"/>
      <c r="B534" s="163"/>
      <c r="C534" s="163"/>
      <c r="D534" s="1"/>
      <c r="E534" s="163"/>
      <c r="F534" s="11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5"/>
      <c r="V534" s="165"/>
    </row>
    <row r="535" ht="12.75" customHeight="1">
      <c r="A535" s="163"/>
      <c r="B535" s="163"/>
      <c r="C535" s="163"/>
      <c r="D535" s="1"/>
      <c r="E535" s="163"/>
      <c r="F535" s="11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5"/>
      <c r="V535" s="165"/>
    </row>
    <row r="536" ht="12.75" customHeight="1">
      <c r="A536" s="163"/>
      <c r="B536" s="163"/>
      <c r="C536" s="163"/>
      <c r="D536" s="1"/>
      <c r="E536" s="163"/>
      <c r="F536" s="11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5"/>
      <c r="V536" s="165"/>
    </row>
    <row r="537" ht="12.75" customHeight="1">
      <c r="A537" s="163"/>
      <c r="B537" s="163"/>
      <c r="C537" s="163"/>
      <c r="D537" s="1"/>
      <c r="E537" s="163"/>
      <c r="F537" s="11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5"/>
      <c r="V537" s="165"/>
    </row>
    <row r="538" ht="12.75" customHeight="1">
      <c r="A538" s="163"/>
      <c r="B538" s="163"/>
      <c r="C538" s="163"/>
      <c r="D538" s="1"/>
      <c r="E538" s="163"/>
      <c r="F538" s="11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5"/>
      <c r="V538" s="165"/>
    </row>
    <row r="539" ht="12.75" customHeight="1">
      <c r="A539" s="163"/>
      <c r="B539" s="163"/>
      <c r="C539" s="163"/>
      <c r="D539" s="1"/>
      <c r="E539" s="163"/>
      <c r="F539" s="11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5"/>
      <c r="V539" s="165"/>
    </row>
    <row r="540" ht="12.75" customHeight="1">
      <c r="A540" s="163"/>
      <c r="B540" s="163"/>
      <c r="C540" s="163"/>
      <c r="D540" s="1"/>
      <c r="E540" s="163"/>
      <c r="F540" s="11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5"/>
      <c r="V540" s="165"/>
    </row>
    <row r="541" ht="12.75" customHeight="1">
      <c r="A541" s="163"/>
      <c r="B541" s="163"/>
      <c r="C541" s="163"/>
      <c r="D541" s="1"/>
      <c r="E541" s="163"/>
      <c r="F541" s="11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5"/>
      <c r="V541" s="165"/>
    </row>
    <row r="542" ht="12.75" customHeight="1">
      <c r="A542" s="163"/>
      <c r="B542" s="163"/>
      <c r="C542" s="163"/>
      <c r="D542" s="1"/>
      <c r="E542" s="163"/>
      <c r="F542" s="11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5"/>
      <c r="V542" s="165"/>
    </row>
    <row r="543" ht="12.75" customHeight="1">
      <c r="A543" s="163"/>
      <c r="B543" s="163"/>
      <c r="C543" s="163"/>
      <c r="D543" s="1"/>
      <c r="E543" s="163"/>
      <c r="F543" s="11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5"/>
      <c r="V543" s="165"/>
    </row>
    <row r="544" ht="12.75" customHeight="1">
      <c r="A544" s="163"/>
      <c r="B544" s="163"/>
      <c r="C544" s="163"/>
      <c r="D544" s="1"/>
      <c r="E544" s="163"/>
      <c r="F544" s="11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5"/>
      <c r="V544" s="165"/>
    </row>
    <row r="545" ht="12.75" customHeight="1">
      <c r="A545" s="163"/>
      <c r="B545" s="163"/>
      <c r="C545" s="163"/>
      <c r="D545" s="1"/>
      <c r="E545" s="163"/>
      <c r="F545" s="11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5"/>
      <c r="V545" s="165"/>
    </row>
    <row r="546" ht="12.75" customHeight="1">
      <c r="A546" s="163"/>
      <c r="B546" s="163"/>
      <c r="C546" s="163"/>
      <c r="D546" s="1"/>
      <c r="E546" s="163"/>
      <c r="F546" s="11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5"/>
      <c r="V546" s="165"/>
    </row>
    <row r="547" ht="12.75" customHeight="1">
      <c r="A547" s="163"/>
      <c r="B547" s="163"/>
      <c r="C547" s="163"/>
      <c r="D547" s="1"/>
      <c r="E547" s="163"/>
      <c r="F547" s="11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5"/>
      <c r="V547" s="165"/>
    </row>
    <row r="548" ht="12.75" customHeight="1">
      <c r="A548" s="163"/>
      <c r="B548" s="163"/>
      <c r="C548" s="163"/>
      <c r="D548" s="1"/>
      <c r="E548" s="163"/>
      <c r="F548" s="11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5"/>
      <c r="V548" s="165"/>
    </row>
    <row r="549" ht="12.75" customHeight="1">
      <c r="A549" s="163"/>
      <c r="B549" s="163"/>
      <c r="C549" s="163"/>
      <c r="D549" s="1"/>
      <c r="E549" s="163"/>
      <c r="F549" s="11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5"/>
      <c r="V549" s="165"/>
    </row>
    <row r="550" ht="12.75" customHeight="1">
      <c r="A550" s="163"/>
      <c r="B550" s="163"/>
      <c r="C550" s="163"/>
      <c r="D550" s="1"/>
      <c r="E550" s="163"/>
      <c r="F550" s="11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5"/>
      <c r="V550" s="165"/>
    </row>
    <row r="551" ht="12.75" customHeight="1">
      <c r="A551" s="163"/>
      <c r="B551" s="163"/>
      <c r="C551" s="163"/>
      <c r="D551" s="1"/>
      <c r="E551" s="163"/>
      <c r="F551" s="11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5"/>
      <c r="V551" s="165"/>
    </row>
    <row r="552" ht="12.75" customHeight="1">
      <c r="A552" s="163"/>
      <c r="B552" s="163"/>
      <c r="C552" s="163"/>
      <c r="D552" s="1"/>
      <c r="E552" s="163"/>
      <c r="F552" s="11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5"/>
      <c r="V552" s="165"/>
    </row>
    <row r="553" ht="12.75" customHeight="1">
      <c r="A553" s="163"/>
      <c r="B553" s="163"/>
      <c r="C553" s="163"/>
      <c r="D553" s="1"/>
      <c r="E553" s="163"/>
      <c r="F553" s="11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5"/>
      <c r="V553" s="165"/>
    </row>
    <row r="554" ht="12.75" customHeight="1">
      <c r="A554" s="163"/>
      <c r="B554" s="163"/>
      <c r="C554" s="163"/>
      <c r="D554" s="1"/>
      <c r="E554" s="163"/>
      <c r="F554" s="11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5"/>
      <c r="V554" s="165"/>
    </row>
    <row r="555" ht="12.75" customHeight="1">
      <c r="A555" s="163"/>
      <c r="B555" s="163"/>
      <c r="C555" s="163"/>
      <c r="D555" s="1"/>
      <c r="E555" s="163"/>
      <c r="F555" s="11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5"/>
      <c r="V555" s="165"/>
    </row>
    <row r="556" ht="12.75" customHeight="1">
      <c r="A556" s="163"/>
      <c r="B556" s="163"/>
      <c r="C556" s="163"/>
      <c r="D556" s="1"/>
      <c r="E556" s="163"/>
      <c r="F556" s="11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5"/>
      <c r="V556" s="165"/>
    </row>
    <row r="557" ht="12.75" customHeight="1">
      <c r="A557" s="163"/>
      <c r="B557" s="163"/>
      <c r="C557" s="163"/>
      <c r="D557" s="1"/>
      <c r="E557" s="163"/>
      <c r="F557" s="11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5"/>
      <c r="V557" s="165"/>
    </row>
    <row r="558" ht="12.75" customHeight="1">
      <c r="A558" s="163"/>
      <c r="B558" s="163"/>
      <c r="C558" s="163"/>
      <c r="D558" s="1"/>
      <c r="E558" s="163"/>
      <c r="F558" s="11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5"/>
      <c r="V558" s="165"/>
    </row>
    <row r="559" ht="12.75" customHeight="1">
      <c r="A559" s="163"/>
      <c r="B559" s="163"/>
      <c r="C559" s="163"/>
      <c r="D559" s="1"/>
      <c r="E559" s="163"/>
      <c r="F559" s="11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5"/>
      <c r="V559" s="165"/>
    </row>
    <row r="560" ht="12.75" customHeight="1">
      <c r="A560" s="107"/>
      <c r="B560" s="107"/>
      <c r="C560" s="107"/>
      <c r="D560" s="102"/>
      <c r="E560" s="107"/>
      <c r="F560" s="108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10"/>
      <c r="V560" s="110"/>
    </row>
    <row r="561" ht="12.75" customHeight="1">
      <c r="A561" s="107"/>
      <c r="B561" s="107"/>
      <c r="C561" s="107"/>
      <c r="D561" s="102"/>
      <c r="E561" s="107"/>
      <c r="F561" s="108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10"/>
      <c r="V561" s="110"/>
    </row>
    <row r="562" ht="12.75" customHeight="1">
      <c r="A562" s="107"/>
      <c r="B562" s="107"/>
      <c r="C562" s="107"/>
      <c r="D562" s="102"/>
      <c r="E562" s="107"/>
      <c r="F562" s="108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10"/>
      <c r="V562" s="110"/>
    </row>
    <row r="563" ht="12.75" customHeight="1">
      <c r="A563" s="107"/>
      <c r="B563" s="107"/>
      <c r="C563" s="107"/>
      <c r="D563" s="102"/>
      <c r="E563" s="107"/>
      <c r="F563" s="108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10"/>
      <c r="V563" s="110"/>
    </row>
    <row r="564" ht="12.75" customHeight="1">
      <c r="A564" s="107"/>
      <c r="B564" s="107"/>
      <c r="C564" s="107"/>
      <c r="D564" s="102"/>
      <c r="E564" s="107"/>
      <c r="F564" s="108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10"/>
      <c r="V564" s="110"/>
    </row>
    <row r="565" ht="12.75" customHeight="1">
      <c r="A565" s="107"/>
      <c r="B565" s="107"/>
      <c r="C565" s="107"/>
      <c r="D565" s="102"/>
      <c r="E565" s="107"/>
      <c r="F565" s="108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10"/>
      <c r="V565" s="110"/>
    </row>
    <row r="566" ht="12.75" customHeight="1">
      <c r="A566" s="107"/>
      <c r="B566" s="107"/>
      <c r="C566" s="107"/>
      <c r="D566" s="102"/>
      <c r="E566" s="107"/>
      <c r="F566" s="108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10"/>
      <c r="V566" s="110"/>
    </row>
    <row r="567" ht="12.75" customHeight="1">
      <c r="A567" s="107"/>
      <c r="B567" s="107"/>
      <c r="C567" s="107"/>
      <c r="D567" s="102"/>
      <c r="E567" s="107"/>
      <c r="F567" s="108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10"/>
      <c r="V567" s="110"/>
    </row>
    <row r="568" ht="12.75" customHeight="1">
      <c r="A568" s="107"/>
      <c r="B568" s="107"/>
      <c r="C568" s="107"/>
      <c r="D568" s="102"/>
      <c r="E568" s="107"/>
      <c r="F568" s="108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10"/>
      <c r="V568" s="110"/>
    </row>
    <row r="569" ht="12.75" customHeight="1">
      <c r="A569" s="107"/>
      <c r="B569" s="107"/>
      <c r="C569" s="107"/>
      <c r="D569" s="102"/>
      <c r="E569" s="107"/>
      <c r="F569" s="108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10"/>
      <c r="V569" s="110"/>
    </row>
    <row r="570" ht="12.75" customHeight="1">
      <c r="A570" s="107"/>
      <c r="B570" s="107"/>
      <c r="C570" s="107"/>
      <c r="D570" s="102"/>
      <c r="E570" s="107"/>
      <c r="F570" s="108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10"/>
      <c r="V570" s="110"/>
    </row>
    <row r="571" ht="12.75" customHeight="1">
      <c r="A571" s="107"/>
      <c r="B571" s="107"/>
      <c r="C571" s="107"/>
      <c r="D571" s="102"/>
      <c r="E571" s="107"/>
      <c r="F571" s="108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10"/>
      <c r="V571" s="110"/>
    </row>
    <row r="572" ht="12.75" customHeight="1">
      <c r="A572" s="107"/>
      <c r="B572" s="107"/>
      <c r="C572" s="107"/>
      <c r="D572" s="102"/>
      <c r="E572" s="107"/>
      <c r="F572" s="108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10"/>
      <c r="V572" s="110"/>
    </row>
    <row r="573" ht="12.75" customHeight="1">
      <c r="A573" s="107"/>
      <c r="B573" s="107"/>
      <c r="C573" s="107"/>
      <c r="D573" s="102"/>
      <c r="E573" s="107"/>
      <c r="F573" s="108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10"/>
      <c r="V573" s="110"/>
    </row>
    <row r="574" ht="12.75" customHeight="1">
      <c r="A574" s="107"/>
      <c r="B574" s="107"/>
      <c r="C574" s="107"/>
      <c r="D574" s="102"/>
      <c r="E574" s="107"/>
      <c r="F574" s="108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10"/>
      <c r="V574" s="110"/>
    </row>
    <row r="575" ht="12.75" customHeight="1">
      <c r="A575" s="107"/>
      <c r="B575" s="107"/>
      <c r="C575" s="107"/>
      <c r="D575" s="102"/>
      <c r="E575" s="107"/>
      <c r="F575" s="108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10"/>
      <c r="V575" s="110"/>
    </row>
    <row r="576" ht="12.75" customHeight="1">
      <c r="A576" s="107"/>
      <c r="B576" s="107"/>
      <c r="C576" s="107"/>
      <c r="D576" s="102"/>
      <c r="E576" s="107"/>
      <c r="F576" s="108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10"/>
      <c r="V576" s="110"/>
    </row>
    <row r="577" ht="12.75" customHeight="1">
      <c r="A577" s="107"/>
      <c r="B577" s="107"/>
      <c r="C577" s="107"/>
      <c r="D577" s="102"/>
      <c r="E577" s="107"/>
      <c r="F577" s="108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10"/>
      <c r="V577" s="110"/>
    </row>
    <row r="578" ht="12.75" customHeight="1">
      <c r="A578" s="107"/>
      <c r="B578" s="107"/>
      <c r="C578" s="107"/>
      <c r="D578" s="102"/>
      <c r="E578" s="107"/>
      <c r="F578" s="108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10"/>
      <c r="V578" s="110"/>
    </row>
    <row r="579" ht="12.75" customHeight="1">
      <c r="A579" s="107"/>
      <c r="B579" s="107"/>
      <c r="C579" s="107"/>
      <c r="D579" s="102"/>
      <c r="E579" s="107"/>
      <c r="F579" s="108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10"/>
      <c r="V579" s="110"/>
    </row>
    <row r="580" ht="12.75" customHeight="1">
      <c r="A580" s="107"/>
      <c r="B580" s="107"/>
      <c r="C580" s="107"/>
      <c r="D580" s="102"/>
      <c r="E580" s="107"/>
      <c r="F580" s="108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10"/>
      <c r="V580" s="110"/>
    </row>
    <row r="581" ht="12.75" customHeight="1">
      <c r="A581" s="107"/>
      <c r="B581" s="107"/>
      <c r="C581" s="107"/>
      <c r="D581" s="102"/>
      <c r="E581" s="107"/>
      <c r="F581" s="108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10"/>
      <c r="V581" s="110"/>
    </row>
    <row r="582" ht="12.75" customHeight="1">
      <c r="A582" s="107"/>
      <c r="B582" s="107"/>
      <c r="C582" s="107"/>
      <c r="D582" s="102"/>
      <c r="E582" s="107"/>
      <c r="F582" s="108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10"/>
      <c r="V582" s="110"/>
    </row>
    <row r="583" ht="12.75" customHeight="1">
      <c r="A583" s="107"/>
      <c r="B583" s="107"/>
      <c r="C583" s="107"/>
      <c r="D583" s="102"/>
      <c r="E583" s="107"/>
      <c r="F583" s="108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10"/>
      <c r="V583" s="110"/>
    </row>
    <row r="584" ht="12.75" customHeight="1">
      <c r="A584" s="107"/>
      <c r="B584" s="107"/>
      <c r="C584" s="107"/>
      <c r="D584" s="102"/>
      <c r="E584" s="107"/>
      <c r="F584" s="108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10"/>
      <c r="V584" s="110"/>
    </row>
    <row r="585" ht="12.75" customHeight="1">
      <c r="A585" s="107"/>
      <c r="B585" s="107"/>
      <c r="C585" s="107"/>
      <c r="D585" s="102"/>
      <c r="E585" s="107"/>
      <c r="F585" s="108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10"/>
      <c r="V585" s="110"/>
    </row>
    <row r="586" ht="12.75" customHeight="1">
      <c r="A586" s="107"/>
      <c r="B586" s="107"/>
      <c r="C586" s="107"/>
      <c r="D586" s="102"/>
      <c r="E586" s="107"/>
      <c r="F586" s="108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10"/>
      <c r="V586" s="110"/>
    </row>
    <row r="587" ht="12.75" customHeight="1">
      <c r="A587" s="107"/>
      <c r="B587" s="107"/>
      <c r="C587" s="107"/>
      <c r="D587" s="102"/>
      <c r="E587" s="107"/>
      <c r="F587" s="108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10"/>
      <c r="V587" s="110"/>
    </row>
    <row r="588" ht="12.75" customHeight="1">
      <c r="A588" s="107"/>
      <c r="B588" s="107"/>
      <c r="C588" s="107"/>
      <c r="D588" s="102"/>
      <c r="E588" s="107"/>
      <c r="F588" s="108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10"/>
      <c r="V588" s="110"/>
    </row>
    <row r="589" ht="12.75" customHeight="1">
      <c r="A589" s="107"/>
      <c r="B589" s="107"/>
      <c r="C589" s="107"/>
      <c r="D589" s="102"/>
      <c r="E589" s="107"/>
      <c r="F589" s="108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10"/>
      <c r="V589" s="110"/>
    </row>
    <row r="590" ht="12.75" customHeight="1">
      <c r="A590" s="107"/>
      <c r="B590" s="107"/>
      <c r="C590" s="107"/>
      <c r="D590" s="102"/>
      <c r="E590" s="107"/>
      <c r="F590" s="108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10"/>
      <c r="V590" s="110"/>
    </row>
    <row r="591" ht="12.75" customHeight="1">
      <c r="A591" s="107"/>
      <c r="B591" s="107"/>
      <c r="C591" s="107"/>
      <c r="D591" s="102"/>
      <c r="E591" s="107"/>
      <c r="F591" s="108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10"/>
      <c r="V591" s="110"/>
    </row>
    <row r="592" ht="12.75" customHeight="1">
      <c r="A592" s="107"/>
      <c r="B592" s="107"/>
      <c r="C592" s="107"/>
      <c r="D592" s="102"/>
      <c r="E592" s="107"/>
      <c r="F592" s="108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10"/>
      <c r="V592" s="110"/>
    </row>
    <row r="593" ht="12.75" customHeight="1">
      <c r="A593" s="107"/>
      <c r="B593" s="107"/>
      <c r="C593" s="107"/>
      <c r="D593" s="102"/>
      <c r="E593" s="107"/>
      <c r="F593" s="108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10"/>
      <c r="V593" s="110"/>
    </row>
    <row r="594" ht="12.75" customHeight="1">
      <c r="A594" s="107"/>
      <c r="B594" s="107"/>
      <c r="C594" s="107"/>
      <c r="D594" s="102"/>
      <c r="E594" s="107"/>
      <c r="F594" s="108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10"/>
      <c r="V594" s="110"/>
    </row>
    <row r="595" ht="12.75" customHeight="1">
      <c r="A595" s="107"/>
      <c r="B595" s="107"/>
      <c r="C595" s="107"/>
      <c r="D595" s="102"/>
      <c r="E595" s="107"/>
      <c r="F595" s="108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10"/>
      <c r="V595" s="110"/>
    </row>
    <row r="596" ht="12.75" customHeight="1">
      <c r="A596" s="107"/>
      <c r="B596" s="107"/>
      <c r="C596" s="107"/>
      <c r="D596" s="102"/>
      <c r="E596" s="107"/>
      <c r="F596" s="108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10"/>
      <c r="V596" s="110"/>
    </row>
    <row r="597" ht="12.75" customHeight="1">
      <c r="A597" s="107"/>
      <c r="B597" s="107"/>
      <c r="C597" s="107"/>
      <c r="D597" s="102"/>
      <c r="E597" s="107"/>
      <c r="F597" s="108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10"/>
      <c r="V597" s="110"/>
    </row>
    <row r="598" ht="12.75" customHeight="1">
      <c r="A598" s="107"/>
      <c r="B598" s="107"/>
      <c r="C598" s="107"/>
      <c r="D598" s="102"/>
      <c r="E598" s="107"/>
      <c r="F598" s="108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10"/>
      <c r="V598" s="110"/>
    </row>
    <row r="599" ht="12.75" customHeight="1">
      <c r="A599" s="107"/>
      <c r="B599" s="107"/>
      <c r="C599" s="107"/>
      <c r="D599" s="102"/>
      <c r="E599" s="107"/>
      <c r="F599" s="108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10"/>
      <c r="V599" s="110"/>
    </row>
    <row r="600" ht="12.75" customHeight="1">
      <c r="A600" s="107"/>
      <c r="B600" s="107"/>
      <c r="C600" s="107"/>
      <c r="D600" s="102"/>
      <c r="E600" s="107"/>
      <c r="F600" s="108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10"/>
      <c r="V600" s="110"/>
    </row>
    <row r="601" ht="12.75" customHeight="1">
      <c r="A601" s="107"/>
      <c r="B601" s="107"/>
      <c r="C601" s="107"/>
      <c r="D601" s="102"/>
      <c r="E601" s="107"/>
      <c r="F601" s="108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10"/>
      <c r="V601" s="110"/>
    </row>
    <row r="602" ht="12.75" customHeight="1">
      <c r="A602" s="107"/>
      <c r="B602" s="107"/>
      <c r="C602" s="107"/>
      <c r="D602" s="102"/>
      <c r="E602" s="107"/>
      <c r="F602" s="108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10"/>
      <c r="V602" s="110"/>
    </row>
    <row r="603" ht="12.75" customHeight="1">
      <c r="A603" s="107"/>
      <c r="B603" s="107"/>
      <c r="C603" s="107"/>
      <c r="D603" s="102"/>
      <c r="E603" s="107"/>
      <c r="F603" s="108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10"/>
      <c r="V603" s="110"/>
    </row>
    <row r="604" ht="12.75" customHeight="1">
      <c r="A604" s="107"/>
      <c r="B604" s="107"/>
      <c r="C604" s="107"/>
      <c r="D604" s="102"/>
      <c r="E604" s="107"/>
      <c r="F604" s="108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10"/>
      <c r="V604" s="110"/>
    </row>
    <row r="605" ht="12.75" customHeight="1">
      <c r="A605" s="107"/>
      <c r="B605" s="107"/>
      <c r="C605" s="107"/>
      <c r="D605" s="102"/>
      <c r="E605" s="107"/>
      <c r="F605" s="108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10"/>
      <c r="V605" s="110"/>
    </row>
    <row r="606" ht="12.75" customHeight="1">
      <c r="A606" s="107"/>
      <c r="B606" s="107"/>
      <c r="C606" s="107"/>
      <c r="D606" s="102"/>
      <c r="E606" s="107"/>
      <c r="F606" s="108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10"/>
      <c r="V606" s="110"/>
    </row>
    <row r="607" ht="12.75" customHeight="1">
      <c r="A607" s="107"/>
      <c r="B607" s="107"/>
      <c r="C607" s="107"/>
      <c r="D607" s="102"/>
      <c r="E607" s="107"/>
      <c r="F607" s="108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10"/>
      <c r="V607" s="110"/>
    </row>
    <row r="608" ht="12.75" customHeight="1">
      <c r="A608" s="107"/>
      <c r="B608" s="107"/>
      <c r="C608" s="107"/>
      <c r="D608" s="102"/>
      <c r="E608" s="107"/>
      <c r="F608" s="108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10"/>
      <c r="V608" s="110"/>
    </row>
    <row r="609" ht="12.75" customHeight="1">
      <c r="A609" s="107"/>
      <c r="B609" s="107"/>
      <c r="C609" s="107"/>
      <c r="D609" s="102"/>
      <c r="E609" s="107"/>
      <c r="F609" s="108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10"/>
      <c r="V609" s="110"/>
    </row>
    <row r="610" ht="12.75" customHeight="1">
      <c r="A610" s="107"/>
      <c r="B610" s="107"/>
      <c r="C610" s="107"/>
      <c r="D610" s="102"/>
      <c r="E610" s="107"/>
      <c r="F610" s="108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10"/>
      <c r="V610" s="110"/>
    </row>
    <row r="611" ht="12.75" customHeight="1">
      <c r="A611" s="107"/>
      <c r="B611" s="107"/>
      <c r="C611" s="107"/>
      <c r="D611" s="102"/>
      <c r="E611" s="107"/>
      <c r="F611" s="108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10"/>
      <c r="V611" s="110"/>
    </row>
    <row r="612" ht="12.75" customHeight="1">
      <c r="A612" s="107"/>
      <c r="B612" s="107"/>
      <c r="C612" s="107"/>
      <c r="D612" s="102"/>
      <c r="E612" s="107"/>
      <c r="F612" s="108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10"/>
      <c r="V612" s="110"/>
    </row>
    <row r="613" ht="12.75" customHeight="1">
      <c r="A613" s="107"/>
      <c r="B613" s="107"/>
      <c r="C613" s="107"/>
      <c r="D613" s="102"/>
      <c r="E613" s="107"/>
      <c r="F613" s="108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10"/>
      <c r="V613" s="110"/>
    </row>
    <row r="614" ht="12.75" customHeight="1">
      <c r="A614" s="107"/>
      <c r="B614" s="107"/>
      <c r="C614" s="107"/>
      <c r="D614" s="102"/>
      <c r="E614" s="107"/>
      <c r="F614" s="108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10"/>
      <c r="V614" s="110"/>
    </row>
    <row r="615" ht="12.75" customHeight="1">
      <c r="A615" s="107"/>
      <c r="B615" s="107"/>
      <c r="C615" s="107"/>
      <c r="D615" s="102"/>
      <c r="E615" s="107"/>
      <c r="F615" s="108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10"/>
      <c r="V615" s="110"/>
    </row>
    <row r="616" ht="12.75" customHeight="1">
      <c r="A616" s="107"/>
      <c r="B616" s="107"/>
      <c r="C616" s="107"/>
      <c r="D616" s="102"/>
      <c r="E616" s="107"/>
      <c r="F616" s="108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10"/>
      <c r="V616" s="110"/>
    </row>
    <row r="617" ht="12.75" customHeight="1">
      <c r="A617" s="107"/>
      <c r="B617" s="107"/>
      <c r="C617" s="107"/>
      <c r="D617" s="102"/>
      <c r="E617" s="107"/>
      <c r="F617" s="108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10"/>
      <c r="V617" s="110"/>
    </row>
    <row r="618" ht="12.75" customHeight="1">
      <c r="A618" s="107"/>
      <c r="B618" s="107"/>
      <c r="C618" s="107"/>
      <c r="D618" s="102"/>
      <c r="E618" s="107"/>
      <c r="F618" s="108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10"/>
      <c r="V618" s="110"/>
    </row>
    <row r="619" ht="12.75" customHeight="1">
      <c r="A619" s="107"/>
      <c r="B619" s="107"/>
      <c r="C619" s="107"/>
      <c r="D619" s="102"/>
      <c r="E619" s="107"/>
      <c r="F619" s="108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10"/>
      <c r="V619" s="110"/>
    </row>
    <row r="620" ht="12.75" customHeight="1">
      <c r="A620" s="107"/>
      <c r="B620" s="107"/>
      <c r="C620" s="107"/>
      <c r="D620" s="102"/>
      <c r="E620" s="107"/>
      <c r="F620" s="108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10"/>
      <c r="V620" s="110"/>
    </row>
    <row r="621" ht="12.75" customHeight="1">
      <c r="A621" s="107"/>
      <c r="B621" s="107"/>
      <c r="C621" s="107"/>
      <c r="D621" s="102"/>
      <c r="E621" s="107"/>
      <c r="F621" s="108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10"/>
      <c r="V621" s="110"/>
    </row>
    <row r="622" ht="12.75" customHeight="1">
      <c r="A622" s="107"/>
      <c r="B622" s="107"/>
      <c r="C622" s="107"/>
      <c r="D622" s="102"/>
      <c r="E622" s="107"/>
      <c r="F622" s="108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10"/>
      <c r="V622" s="110"/>
    </row>
    <row r="623" ht="12.75" customHeight="1">
      <c r="A623" s="107"/>
      <c r="B623" s="107"/>
      <c r="C623" s="107"/>
      <c r="D623" s="102"/>
      <c r="E623" s="107"/>
      <c r="F623" s="108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10"/>
      <c r="V623" s="110"/>
    </row>
    <row r="624" ht="12.75" customHeight="1">
      <c r="A624" s="107"/>
      <c r="B624" s="107"/>
      <c r="C624" s="107"/>
      <c r="D624" s="102"/>
      <c r="E624" s="107"/>
      <c r="F624" s="108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10"/>
      <c r="V624" s="110"/>
    </row>
    <row r="625" ht="12.75" customHeight="1">
      <c r="A625" s="107"/>
      <c r="B625" s="107"/>
      <c r="C625" s="107"/>
      <c r="D625" s="102"/>
      <c r="E625" s="107"/>
      <c r="F625" s="108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10"/>
      <c r="V625" s="110"/>
    </row>
    <row r="626" ht="12.75" customHeight="1">
      <c r="A626" s="107"/>
      <c r="B626" s="107"/>
      <c r="C626" s="107"/>
      <c r="D626" s="102"/>
      <c r="E626" s="107"/>
      <c r="F626" s="108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10"/>
      <c r="V626" s="110"/>
    </row>
    <row r="627" ht="12.75" customHeight="1">
      <c r="A627" s="107"/>
      <c r="B627" s="107"/>
      <c r="C627" s="107"/>
      <c r="D627" s="102"/>
      <c r="E627" s="107"/>
      <c r="F627" s="108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10"/>
      <c r="V627" s="110"/>
    </row>
    <row r="628" ht="12.75" customHeight="1">
      <c r="A628" s="107"/>
      <c r="B628" s="107"/>
      <c r="C628" s="107"/>
      <c r="D628" s="102"/>
      <c r="E628" s="107"/>
      <c r="F628" s="108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10"/>
      <c r="V628" s="110"/>
    </row>
    <row r="629" ht="12.75" customHeight="1">
      <c r="A629" s="107"/>
      <c r="B629" s="107"/>
      <c r="C629" s="107"/>
      <c r="D629" s="102"/>
      <c r="E629" s="107"/>
      <c r="F629" s="108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10"/>
      <c r="V629" s="110"/>
    </row>
    <row r="630" ht="12.75" customHeight="1">
      <c r="A630" s="107"/>
      <c r="B630" s="107"/>
      <c r="C630" s="107"/>
      <c r="D630" s="102"/>
      <c r="E630" s="107"/>
      <c r="F630" s="108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10"/>
      <c r="V630" s="110"/>
    </row>
    <row r="631" ht="12.75" customHeight="1">
      <c r="A631" s="107"/>
      <c r="B631" s="107"/>
      <c r="C631" s="107"/>
      <c r="D631" s="102"/>
      <c r="E631" s="107"/>
      <c r="F631" s="108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10"/>
      <c r="V631" s="110"/>
    </row>
    <row r="632" ht="12.75" customHeight="1">
      <c r="A632" s="107"/>
      <c r="B632" s="107"/>
      <c r="C632" s="107"/>
      <c r="D632" s="102"/>
      <c r="E632" s="107"/>
      <c r="F632" s="108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10"/>
      <c r="V632" s="110"/>
    </row>
    <row r="633" ht="12.75" customHeight="1">
      <c r="A633" s="107"/>
      <c r="B633" s="107"/>
      <c r="C633" s="107"/>
      <c r="D633" s="102"/>
      <c r="E633" s="107"/>
      <c r="F633" s="108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10"/>
      <c r="V633" s="110"/>
    </row>
    <row r="634" ht="12.75" customHeight="1">
      <c r="A634" s="107"/>
      <c r="B634" s="107"/>
      <c r="C634" s="107"/>
      <c r="D634" s="102"/>
      <c r="E634" s="107"/>
      <c r="F634" s="108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10"/>
      <c r="V634" s="110"/>
    </row>
    <row r="635" ht="12.75" customHeight="1">
      <c r="A635" s="107"/>
      <c r="B635" s="107"/>
      <c r="C635" s="107"/>
      <c r="D635" s="102"/>
      <c r="E635" s="107"/>
      <c r="F635" s="108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10"/>
      <c r="V635" s="110"/>
    </row>
    <row r="636" ht="12.75" customHeight="1">
      <c r="A636" s="107"/>
      <c r="B636" s="107"/>
      <c r="C636" s="107"/>
      <c r="D636" s="102"/>
      <c r="E636" s="107"/>
      <c r="F636" s="108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10"/>
      <c r="V636" s="110"/>
    </row>
    <row r="637" ht="12.75" customHeight="1">
      <c r="A637" s="107"/>
      <c r="B637" s="107"/>
      <c r="C637" s="107"/>
      <c r="D637" s="102"/>
      <c r="E637" s="107"/>
      <c r="F637" s="108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10"/>
      <c r="V637" s="110"/>
    </row>
    <row r="638" ht="12.75" customHeight="1">
      <c r="A638" s="107"/>
      <c r="B638" s="107"/>
      <c r="C638" s="107"/>
      <c r="D638" s="102"/>
      <c r="E638" s="107"/>
      <c r="F638" s="108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10"/>
      <c r="V638" s="110"/>
    </row>
    <row r="639" ht="12.75" customHeight="1">
      <c r="A639" s="107"/>
      <c r="B639" s="107"/>
      <c r="C639" s="107"/>
      <c r="D639" s="102"/>
      <c r="E639" s="107"/>
      <c r="F639" s="108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10"/>
      <c r="V639" s="110"/>
    </row>
    <row r="640" ht="12.75" customHeight="1">
      <c r="A640" s="107"/>
      <c r="B640" s="107"/>
      <c r="C640" s="107"/>
      <c r="D640" s="102"/>
      <c r="E640" s="107"/>
      <c r="F640" s="108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10"/>
      <c r="V640" s="110"/>
    </row>
    <row r="641" ht="12.75" customHeight="1">
      <c r="A641" s="107"/>
      <c r="B641" s="107"/>
      <c r="C641" s="107"/>
      <c r="D641" s="102"/>
      <c r="E641" s="107"/>
      <c r="F641" s="108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10"/>
      <c r="V641" s="110"/>
    </row>
    <row r="642" ht="12.75" customHeight="1">
      <c r="A642" s="107"/>
      <c r="B642" s="107"/>
      <c r="C642" s="107"/>
      <c r="D642" s="102"/>
      <c r="E642" s="107"/>
      <c r="F642" s="108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10"/>
      <c r="V642" s="110"/>
    </row>
    <row r="643" ht="12.75" customHeight="1">
      <c r="A643" s="107"/>
      <c r="B643" s="107"/>
      <c r="C643" s="107"/>
      <c r="D643" s="102"/>
      <c r="E643" s="107"/>
      <c r="F643" s="108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10"/>
      <c r="V643" s="110"/>
    </row>
    <row r="644" ht="12.75" customHeight="1">
      <c r="A644" s="107"/>
      <c r="B644" s="107"/>
      <c r="C644" s="107"/>
      <c r="D644" s="102"/>
      <c r="E644" s="107"/>
      <c r="F644" s="108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10"/>
      <c r="V644" s="110"/>
    </row>
    <row r="645" ht="12.75" customHeight="1">
      <c r="A645" s="107"/>
      <c r="B645" s="107"/>
      <c r="C645" s="107"/>
      <c r="D645" s="102"/>
      <c r="E645" s="107"/>
      <c r="F645" s="108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10"/>
      <c r="V645" s="110"/>
    </row>
    <row r="646" ht="12.75" customHeight="1">
      <c r="A646" s="107"/>
      <c r="B646" s="107"/>
      <c r="C646" s="107"/>
      <c r="D646" s="102"/>
      <c r="E646" s="107"/>
      <c r="F646" s="108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10"/>
      <c r="V646" s="110"/>
    </row>
    <row r="647" ht="12.75" customHeight="1">
      <c r="A647" s="107"/>
      <c r="B647" s="107"/>
      <c r="C647" s="107"/>
      <c r="D647" s="102"/>
      <c r="E647" s="107"/>
      <c r="F647" s="108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10"/>
      <c r="V647" s="110"/>
    </row>
    <row r="648" ht="12.75" customHeight="1">
      <c r="A648" s="107"/>
      <c r="B648" s="107"/>
      <c r="C648" s="107"/>
      <c r="D648" s="102"/>
      <c r="E648" s="107"/>
      <c r="F648" s="108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10"/>
      <c r="V648" s="110"/>
    </row>
    <row r="649" ht="12.75" customHeight="1">
      <c r="A649" s="107"/>
      <c r="B649" s="107"/>
      <c r="C649" s="107"/>
      <c r="D649" s="102"/>
      <c r="E649" s="107"/>
      <c r="F649" s="108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10"/>
      <c r="V649" s="110"/>
    </row>
    <row r="650" ht="12.75" customHeight="1">
      <c r="A650" s="107"/>
      <c r="B650" s="107"/>
      <c r="C650" s="107"/>
      <c r="D650" s="102"/>
      <c r="E650" s="107"/>
      <c r="F650" s="108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10"/>
      <c r="V650" s="110"/>
    </row>
    <row r="651" ht="12.75" customHeight="1">
      <c r="A651" s="107"/>
      <c r="B651" s="107"/>
      <c r="C651" s="107"/>
      <c r="D651" s="102"/>
      <c r="E651" s="107"/>
      <c r="F651" s="108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10"/>
      <c r="V651" s="110"/>
    </row>
    <row r="652" ht="12.75" customHeight="1">
      <c r="A652" s="107"/>
      <c r="B652" s="107"/>
      <c r="C652" s="107"/>
      <c r="D652" s="102"/>
      <c r="E652" s="107"/>
      <c r="F652" s="108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10"/>
      <c r="V652" s="110"/>
    </row>
    <row r="653" ht="12.75" customHeight="1">
      <c r="A653" s="107"/>
      <c r="B653" s="107"/>
      <c r="C653" s="107"/>
      <c r="D653" s="102"/>
      <c r="E653" s="107"/>
      <c r="F653" s="108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10"/>
      <c r="V653" s="110"/>
    </row>
    <row r="654" ht="12.75" customHeight="1">
      <c r="A654" s="107"/>
      <c r="B654" s="107"/>
      <c r="C654" s="107"/>
      <c r="D654" s="102"/>
      <c r="E654" s="107"/>
      <c r="F654" s="108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10"/>
      <c r="V654" s="110"/>
    </row>
    <row r="655" ht="12.75" customHeight="1">
      <c r="A655" s="107"/>
      <c r="B655" s="107"/>
      <c r="C655" s="107"/>
      <c r="D655" s="102"/>
      <c r="E655" s="107"/>
      <c r="F655" s="108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10"/>
      <c r="V655" s="110"/>
    </row>
    <row r="656" ht="12.75" customHeight="1">
      <c r="A656" s="107"/>
      <c r="B656" s="107"/>
      <c r="C656" s="107"/>
      <c r="D656" s="102"/>
      <c r="E656" s="107"/>
      <c r="F656" s="108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10"/>
      <c r="V656" s="110"/>
    </row>
    <row r="657" ht="12.75" customHeight="1">
      <c r="A657" s="107"/>
      <c r="B657" s="107"/>
      <c r="C657" s="107"/>
      <c r="D657" s="102"/>
      <c r="E657" s="107"/>
      <c r="F657" s="108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10"/>
      <c r="V657" s="110"/>
    </row>
    <row r="658" ht="12.75" customHeight="1">
      <c r="A658" s="107"/>
      <c r="B658" s="107"/>
      <c r="C658" s="107"/>
      <c r="D658" s="102"/>
      <c r="E658" s="107"/>
      <c r="F658" s="108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10"/>
      <c r="V658" s="110"/>
    </row>
    <row r="659" ht="12.75" customHeight="1">
      <c r="A659" s="107"/>
      <c r="B659" s="107"/>
      <c r="C659" s="107"/>
      <c r="D659" s="102"/>
      <c r="E659" s="107"/>
      <c r="F659" s="108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10"/>
      <c r="V659" s="110"/>
    </row>
    <row r="660" ht="12.75" customHeight="1">
      <c r="A660" s="107"/>
      <c r="B660" s="107"/>
      <c r="C660" s="107"/>
      <c r="D660" s="102"/>
      <c r="E660" s="107"/>
      <c r="F660" s="108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10"/>
      <c r="V660" s="110"/>
    </row>
    <row r="661" ht="12.75" customHeight="1">
      <c r="A661" s="107"/>
      <c r="B661" s="107"/>
      <c r="C661" s="107"/>
      <c r="D661" s="102"/>
      <c r="E661" s="107"/>
      <c r="F661" s="108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10"/>
      <c r="V661" s="110"/>
    </row>
    <row r="662" ht="12.75" customHeight="1">
      <c r="A662" s="107"/>
      <c r="B662" s="107"/>
      <c r="C662" s="107"/>
      <c r="D662" s="102"/>
      <c r="E662" s="107"/>
      <c r="F662" s="108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10"/>
      <c r="V662" s="110"/>
    </row>
    <row r="663" ht="12.75" customHeight="1">
      <c r="A663" s="107"/>
      <c r="B663" s="107"/>
      <c r="C663" s="107"/>
      <c r="D663" s="102"/>
      <c r="E663" s="107"/>
      <c r="F663" s="108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10"/>
      <c r="V663" s="110"/>
    </row>
    <row r="664" ht="12.75" customHeight="1">
      <c r="A664" s="107"/>
      <c r="B664" s="107"/>
      <c r="C664" s="107"/>
      <c r="D664" s="102"/>
      <c r="E664" s="107"/>
      <c r="F664" s="108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10"/>
      <c r="V664" s="110"/>
    </row>
    <row r="665" ht="12.75" customHeight="1">
      <c r="A665" s="107"/>
      <c r="B665" s="107"/>
      <c r="C665" s="107"/>
      <c r="D665" s="102"/>
      <c r="E665" s="107"/>
      <c r="F665" s="108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10"/>
      <c r="V665" s="110"/>
    </row>
    <row r="666" ht="12.75" customHeight="1">
      <c r="A666" s="107"/>
      <c r="B666" s="107"/>
      <c r="C666" s="107"/>
      <c r="D666" s="102"/>
      <c r="E666" s="107"/>
      <c r="F666" s="108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10"/>
      <c r="V666" s="110"/>
    </row>
    <row r="667" ht="12.75" customHeight="1">
      <c r="A667" s="107"/>
      <c r="B667" s="107"/>
      <c r="C667" s="107"/>
      <c r="D667" s="102"/>
      <c r="E667" s="107"/>
      <c r="F667" s="108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10"/>
      <c r="V667" s="110"/>
    </row>
    <row r="668" ht="12.75" customHeight="1">
      <c r="A668" s="107"/>
      <c r="B668" s="107"/>
      <c r="C668" s="107"/>
      <c r="D668" s="102"/>
      <c r="E668" s="107"/>
      <c r="F668" s="108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10"/>
      <c r="V668" s="110"/>
    </row>
    <row r="669" ht="12.75" customHeight="1">
      <c r="A669" s="107"/>
      <c r="B669" s="107"/>
      <c r="C669" s="107"/>
      <c r="D669" s="102"/>
      <c r="E669" s="107"/>
      <c r="F669" s="108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10"/>
      <c r="V669" s="110"/>
    </row>
    <row r="670" ht="12.75" customHeight="1">
      <c r="A670" s="107"/>
      <c r="B670" s="107"/>
      <c r="C670" s="107"/>
      <c r="D670" s="102"/>
      <c r="E670" s="107"/>
      <c r="F670" s="108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10"/>
      <c r="V670" s="110"/>
    </row>
    <row r="671" ht="12.75" customHeight="1">
      <c r="A671" s="107"/>
      <c r="B671" s="107"/>
      <c r="C671" s="107"/>
      <c r="D671" s="102"/>
      <c r="E671" s="107"/>
      <c r="F671" s="108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10"/>
      <c r="V671" s="110"/>
    </row>
    <row r="672" ht="12.75" customHeight="1">
      <c r="A672" s="107"/>
      <c r="B672" s="107"/>
      <c r="C672" s="107"/>
      <c r="D672" s="102"/>
      <c r="E672" s="107"/>
      <c r="F672" s="108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10"/>
      <c r="V672" s="110"/>
    </row>
    <row r="673" ht="12.75" customHeight="1">
      <c r="A673" s="107"/>
      <c r="B673" s="107"/>
      <c r="C673" s="107"/>
      <c r="D673" s="102"/>
      <c r="E673" s="107"/>
      <c r="F673" s="108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10"/>
      <c r="V673" s="110"/>
    </row>
    <row r="674" ht="12.75" customHeight="1">
      <c r="A674" s="107"/>
      <c r="B674" s="107"/>
      <c r="C674" s="107"/>
      <c r="D674" s="102"/>
      <c r="E674" s="107"/>
      <c r="F674" s="108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10"/>
      <c r="V674" s="110"/>
    </row>
    <row r="675" ht="12.75" customHeight="1">
      <c r="A675" s="107"/>
      <c r="B675" s="107"/>
      <c r="C675" s="107"/>
      <c r="D675" s="102"/>
      <c r="E675" s="107"/>
      <c r="F675" s="108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10"/>
      <c r="V675" s="110"/>
    </row>
    <row r="676" ht="12.75" customHeight="1">
      <c r="A676" s="107"/>
      <c r="B676" s="107"/>
      <c r="C676" s="107"/>
      <c r="D676" s="102"/>
      <c r="E676" s="107"/>
      <c r="F676" s="108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10"/>
      <c r="V676" s="110"/>
    </row>
    <row r="677" ht="12.75" customHeight="1">
      <c r="A677" s="107"/>
      <c r="B677" s="107"/>
      <c r="C677" s="107"/>
      <c r="D677" s="102"/>
      <c r="E677" s="107"/>
      <c r="F677" s="108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10"/>
      <c r="V677" s="110"/>
    </row>
    <row r="678" ht="12.75" customHeight="1">
      <c r="A678" s="107"/>
      <c r="B678" s="107"/>
      <c r="C678" s="107"/>
      <c r="D678" s="102"/>
      <c r="E678" s="107"/>
      <c r="F678" s="108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10"/>
      <c r="V678" s="110"/>
    </row>
    <row r="679" ht="12.75" customHeight="1">
      <c r="A679" s="107"/>
      <c r="B679" s="107"/>
      <c r="C679" s="107"/>
      <c r="D679" s="102"/>
      <c r="E679" s="107"/>
      <c r="F679" s="108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10"/>
      <c r="V679" s="110"/>
    </row>
    <row r="680" ht="12.75" customHeight="1">
      <c r="A680" s="107"/>
      <c r="B680" s="107"/>
      <c r="C680" s="107"/>
      <c r="D680" s="102"/>
      <c r="E680" s="107"/>
      <c r="F680" s="108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10"/>
      <c r="V680" s="110"/>
    </row>
    <row r="681" ht="12.75" customHeight="1">
      <c r="A681" s="107"/>
      <c r="B681" s="107"/>
      <c r="C681" s="107"/>
      <c r="D681" s="102"/>
      <c r="E681" s="107"/>
      <c r="F681" s="108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10"/>
      <c r="V681" s="110"/>
    </row>
    <row r="682" ht="12.75" customHeight="1">
      <c r="A682" s="107"/>
      <c r="B682" s="107"/>
      <c r="C682" s="107"/>
      <c r="D682" s="102"/>
      <c r="E682" s="107"/>
      <c r="F682" s="108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10"/>
      <c r="V682" s="110"/>
    </row>
    <row r="683" ht="12.75" customHeight="1">
      <c r="A683" s="107"/>
      <c r="B683" s="107"/>
      <c r="C683" s="107"/>
      <c r="D683" s="102"/>
      <c r="E683" s="107"/>
      <c r="F683" s="108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10"/>
      <c r="V683" s="110"/>
    </row>
    <row r="684" ht="12.75" customHeight="1">
      <c r="A684" s="107"/>
      <c r="B684" s="107"/>
      <c r="C684" s="107"/>
      <c r="D684" s="102"/>
      <c r="E684" s="107"/>
      <c r="F684" s="108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10"/>
      <c r="V684" s="110"/>
    </row>
    <row r="685" ht="12.75" customHeight="1">
      <c r="A685" s="107"/>
      <c r="B685" s="107"/>
      <c r="C685" s="107"/>
      <c r="D685" s="102"/>
      <c r="E685" s="107"/>
      <c r="F685" s="108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10"/>
      <c r="V685" s="110"/>
    </row>
    <row r="686" ht="12.75" customHeight="1">
      <c r="A686" s="107"/>
      <c r="B686" s="107"/>
      <c r="C686" s="107"/>
      <c r="D686" s="102"/>
      <c r="E686" s="107"/>
      <c r="F686" s="108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10"/>
      <c r="V686" s="110"/>
    </row>
    <row r="687" ht="12.75" customHeight="1">
      <c r="A687" s="107"/>
      <c r="B687" s="107"/>
      <c r="C687" s="107"/>
      <c r="D687" s="102"/>
      <c r="E687" s="107"/>
      <c r="F687" s="108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10"/>
      <c r="V687" s="110"/>
    </row>
    <row r="688" ht="12.75" customHeight="1">
      <c r="A688" s="107"/>
      <c r="B688" s="107"/>
      <c r="C688" s="107"/>
      <c r="D688" s="102"/>
      <c r="E688" s="107"/>
      <c r="F688" s="108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10"/>
      <c r="V688" s="110"/>
    </row>
    <row r="689" ht="12.75" customHeight="1">
      <c r="A689" s="107"/>
      <c r="B689" s="107"/>
      <c r="C689" s="107"/>
      <c r="D689" s="102"/>
      <c r="E689" s="107"/>
      <c r="F689" s="108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10"/>
      <c r="V689" s="110"/>
    </row>
    <row r="690" ht="12.75" customHeight="1">
      <c r="A690" s="107"/>
      <c r="B690" s="107"/>
      <c r="C690" s="107"/>
      <c r="D690" s="102"/>
      <c r="E690" s="107"/>
      <c r="F690" s="108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10"/>
      <c r="V690" s="110"/>
    </row>
    <row r="691" ht="12.75" customHeight="1">
      <c r="A691" s="107"/>
      <c r="B691" s="107"/>
      <c r="C691" s="107"/>
      <c r="D691" s="102"/>
      <c r="E691" s="107"/>
      <c r="F691" s="108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10"/>
      <c r="V691" s="110"/>
    </row>
    <row r="692" ht="12.75" customHeight="1">
      <c r="A692" s="107"/>
      <c r="B692" s="107"/>
      <c r="C692" s="107"/>
      <c r="D692" s="102"/>
      <c r="E692" s="107"/>
      <c r="F692" s="108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10"/>
      <c r="V692" s="110"/>
    </row>
    <row r="693" ht="12.75" customHeight="1">
      <c r="A693" s="107"/>
      <c r="B693" s="107"/>
      <c r="C693" s="107"/>
      <c r="D693" s="102"/>
      <c r="E693" s="107"/>
      <c r="F693" s="108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10"/>
      <c r="V693" s="110"/>
    </row>
    <row r="694" ht="12.75" customHeight="1">
      <c r="A694" s="107"/>
      <c r="B694" s="107"/>
      <c r="C694" s="107"/>
      <c r="D694" s="102"/>
      <c r="E694" s="107"/>
      <c r="F694" s="108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10"/>
      <c r="V694" s="110"/>
    </row>
    <row r="695" ht="12.75" customHeight="1">
      <c r="A695" s="107"/>
      <c r="B695" s="107"/>
      <c r="C695" s="107"/>
      <c r="D695" s="102"/>
      <c r="E695" s="107"/>
      <c r="F695" s="108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10"/>
      <c r="V695" s="110"/>
    </row>
    <row r="696" ht="12.75" customHeight="1">
      <c r="A696" s="107"/>
      <c r="B696" s="107"/>
      <c r="C696" s="107"/>
      <c r="D696" s="102"/>
      <c r="E696" s="107"/>
      <c r="F696" s="108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10"/>
      <c r="V696" s="110"/>
    </row>
    <row r="697" ht="12.75" customHeight="1">
      <c r="A697" s="107"/>
      <c r="B697" s="107"/>
      <c r="C697" s="107"/>
      <c r="D697" s="102"/>
      <c r="E697" s="107"/>
      <c r="F697" s="108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10"/>
      <c r="V697" s="110"/>
    </row>
    <row r="698" ht="12.75" customHeight="1">
      <c r="A698" s="107"/>
      <c r="B698" s="107"/>
      <c r="C698" s="107"/>
      <c r="D698" s="102"/>
      <c r="E698" s="107"/>
      <c r="F698" s="108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10"/>
      <c r="V698" s="110"/>
    </row>
    <row r="699" ht="12.75" customHeight="1">
      <c r="A699" s="107"/>
      <c r="B699" s="107"/>
      <c r="C699" s="107"/>
      <c r="D699" s="102"/>
      <c r="E699" s="107"/>
      <c r="F699" s="108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10"/>
      <c r="V699" s="110"/>
    </row>
    <row r="700" ht="12.75" customHeight="1">
      <c r="A700" s="107"/>
      <c r="B700" s="107"/>
      <c r="C700" s="107"/>
      <c r="D700" s="102"/>
      <c r="E700" s="107"/>
      <c r="F700" s="108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10"/>
      <c r="V700" s="110"/>
    </row>
    <row r="701" ht="12.75" customHeight="1">
      <c r="A701" s="107"/>
      <c r="B701" s="107"/>
      <c r="C701" s="107"/>
      <c r="D701" s="102"/>
      <c r="E701" s="107"/>
      <c r="F701" s="108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10"/>
      <c r="V701" s="110"/>
    </row>
    <row r="702" ht="12.75" customHeight="1">
      <c r="A702" s="107"/>
      <c r="B702" s="107"/>
      <c r="C702" s="107"/>
      <c r="D702" s="102"/>
      <c r="E702" s="107"/>
      <c r="F702" s="108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10"/>
      <c r="V702" s="110"/>
    </row>
    <row r="703" ht="12.75" customHeight="1">
      <c r="A703" s="107"/>
      <c r="B703" s="107"/>
      <c r="C703" s="107"/>
      <c r="D703" s="102"/>
      <c r="E703" s="107"/>
      <c r="F703" s="108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10"/>
      <c r="V703" s="110"/>
    </row>
    <row r="704" ht="12.75" customHeight="1">
      <c r="A704" s="107"/>
      <c r="B704" s="107"/>
      <c r="C704" s="107"/>
      <c r="D704" s="102"/>
      <c r="E704" s="107"/>
      <c r="F704" s="108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10"/>
      <c r="V704" s="110"/>
    </row>
    <row r="705" ht="12.75" customHeight="1">
      <c r="A705" s="107"/>
      <c r="B705" s="107"/>
      <c r="C705" s="107"/>
      <c r="D705" s="102"/>
      <c r="E705" s="107"/>
      <c r="F705" s="108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10"/>
      <c r="V705" s="110"/>
    </row>
    <row r="706" ht="12.75" customHeight="1">
      <c r="A706" s="107"/>
      <c r="B706" s="107"/>
      <c r="C706" s="107"/>
      <c r="D706" s="102"/>
      <c r="E706" s="107"/>
      <c r="F706" s="108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10"/>
      <c r="V706" s="110"/>
    </row>
    <row r="707" ht="12.75" customHeight="1">
      <c r="A707" s="107"/>
      <c r="B707" s="107"/>
      <c r="C707" s="107"/>
      <c r="D707" s="102"/>
      <c r="E707" s="107"/>
      <c r="F707" s="108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10"/>
      <c r="V707" s="110"/>
    </row>
    <row r="708" ht="12.75" customHeight="1">
      <c r="A708" s="107"/>
      <c r="B708" s="107"/>
      <c r="C708" s="107"/>
      <c r="D708" s="102"/>
      <c r="E708" s="107"/>
      <c r="F708" s="108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10"/>
      <c r="V708" s="110"/>
    </row>
    <row r="709" ht="12.75" customHeight="1">
      <c r="A709" s="107"/>
      <c r="B709" s="107"/>
      <c r="C709" s="107"/>
      <c r="D709" s="102"/>
      <c r="E709" s="107"/>
      <c r="F709" s="108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10"/>
      <c r="V709" s="110"/>
    </row>
    <row r="710" ht="12.75" customHeight="1">
      <c r="A710" s="107"/>
      <c r="B710" s="107"/>
      <c r="C710" s="107"/>
      <c r="D710" s="102"/>
      <c r="E710" s="107"/>
      <c r="F710" s="108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10"/>
      <c r="V710" s="110"/>
    </row>
    <row r="711" ht="12.75" customHeight="1">
      <c r="A711" s="107"/>
      <c r="B711" s="107"/>
      <c r="C711" s="107"/>
      <c r="D711" s="102"/>
      <c r="E711" s="107"/>
      <c r="F711" s="108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10"/>
      <c r="V711" s="110"/>
    </row>
    <row r="712" ht="12.75" customHeight="1">
      <c r="A712" s="107"/>
      <c r="B712" s="107"/>
      <c r="C712" s="107"/>
      <c r="D712" s="102"/>
      <c r="E712" s="107"/>
      <c r="F712" s="108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10"/>
      <c r="V712" s="110"/>
    </row>
    <row r="713" ht="12.75" customHeight="1">
      <c r="A713" s="107"/>
      <c r="B713" s="107"/>
      <c r="C713" s="107"/>
      <c r="D713" s="102"/>
      <c r="E713" s="107"/>
      <c r="F713" s="108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10"/>
      <c r="V713" s="110"/>
    </row>
    <row r="714" ht="12.75" customHeight="1">
      <c r="A714" s="107"/>
      <c r="B714" s="107"/>
      <c r="C714" s="107"/>
      <c r="D714" s="102"/>
      <c r="E714" s="107"/>
      <c r="F714" s="108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10"/>
      <c r="V714" s="110"/>
    </row>
    <row r="715" ht="12.75" customHeight="1">
      <c r="A715" s="107"/>
      <c r="B715" s="107"/>
      <c r="C715" s="107"/>
      <c r="D715" s="102"/>
      <c r="E715" s="107"/>
      <c r="F715" s="108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10"/>
      <c r="V715" s="110"/>
    </row>
    <row r="716" ht="12.75" customHeight="1">
      <c r="A716" s="107"/>
      <c r="B716" s="107"/>
      <c r="C716" s="107"/>
      <c r="D716" s="102"/>
      <c r="E716" s="107"/>
      <c r="F716" s="108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10"/>
      <c r="V716" s="110"/>
    </row>
    <row r="717" ht="12.75" customHeight="1">
      <c r="A717" s="107"/>
      <c r="B717" s="107"/>
      <c r="C717" s="107"/>
      <c r="D717" s="102"/>
      <c r="E717" s="107"/>
      <c r="F717" s="108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10"/>
      <c r="V717" s="110"/>
    </row>
    <row r="718" ht="12.75" customHeight="1">
      <c r="A718" s="107"/>
      <c r="B718" s="107"/>
      <c r="C718" s="107"/>
      <c r="D718" s="102"/>
      <c r="E718" s="107"/>
      <c r="F718" s="108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10"/>
      <c r="V718" s="110"/>
    </row>
    <row r="719" ht="12.75" customHeight="1">
      <c r="A719" s="107"/>
      <c r="B719" s="107"/>
      <c r="C719" s="107"/>
      <c r="D719" s="102"/>
      <c r="E719" s="107"/>
      <c r="F719" s="108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10"/>
      <c r="V719" s="110"/>
    </row>
    <row r="720" ht="12.75" customHeight="1">
      <c r="A720" s="107"/>
      <c r="B720" s="107"/>
      <c r="C720" s="107"/>
      <c r="D720" s="102"/>
      <c r="E720" s="107"/>
      <c r="F720" s="108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10"/>
      <c r="V720" s="110"/>
    </row>
    <row r="721" ht="12.75" customHeight="1">
      <c r="A721" s="107"/>
      <c r="B721" s="107"/>
      <c r="C721" s="107"/>
      <c r="D721" s="102"/>
      <c r="E721" s="107"/>
      <c r="F721" s="108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10"/>
      <c r="V721" s="110"/>
    </row>
    <row r="722" ht="12.75" customHeight="1">
      <c r="A722" s="107"/>
      <c r="B722" s="107"/>
      <c r="C722" s="107"/>
      <c r="D722" s="102"/>
      <c r="E722" s="107"/>
      <c r="F722" s="108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10"/>
      <c r="V722" s="110"/>
    </row>
    <row r="723" ht="12.75" customHeight="1">
      <c r="A723" s="107"/>
      <c r="B723" s="107"/>
      <c r="C723" s="107"/>
      <c r="D723" s="102"/>
      <c r="E723" s="107"/>
      <c r="F723" s="108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10"/>
      <c r="V723" s="110"/>
    </row>
    <row r="724" ht="12.75" customHeight="1">
      <c r="A724" s="107"/>
      <c r="B724" s="107"/>
      <c r="C724" s="107"/>
      <c r="D724" s="102"/>
      <c r="E724" s="107"/>
      <c r="F724" s="108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10"/>
      <c r="V724" s="110"/>
    </row>
    <row r="725" ht="12.75" customHeight="1">
      <c r="A725" s="107"/>
      <c r="B725" s="107"/>
      <c r="C725" s="107"/>
      <c r="D725" s="102"/>
      <c r="E725" s="107"/>
      <c r="F725" s="108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10"/>
      <c r="V725" s="110"/>
    </row>
    <row r="726" ht="12.75" customHeight="1">
      <c r="A726" s="107"/>
      <c r="B726" s="107"/>
      <c r="C726" s="107"/>
      <c r="D726" s="102"/>
      <c r="E726" s="107"/>
      <c r="F726" s="108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10"/>
      <c r="V726" s="110"/>
    </row>
    <row r="727" ht="12.75" customHeight="1">
      <c r="A727" s="107"/>
      <c r="B727" s="107"/>
      <c r="C727" s="107"/>
      <c r="D727" s="102"/>
      <c r="E727" s="107"/>
      <c r="F727" s="108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10"/>
      <c r="V727" s="110"/>
    </row>
    <row r="728" ht="12.75" customHeight="1">
      <c r="A728" s="107"/>
      <c r="B728" s="107"/>
      <c r="C728" s="107"/>
      <c r="D728" s="102"/>
      <c r="E728" s="107"/>
      <c r="F728" s="108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10"/>
      <c r="V728" s="110"/>
    </row>
    <row r="729" ht="12.75" customHeight="1">
      <c r="A729" s="107"/>
      <c r="B729" s="107"/>
      <c r="C729" s="107"/>
      <c r="D729" s="102"/>
      <c r="E729" s="107"/>
      <c r="F729" s="108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10"/>
      <c r="V729" s="110"/>
    </row>
    <row r="730" ht="12.75" customHeight="1">
      <c r="A730" s="107"/>
      <c r="B730" s="107"/>
      <c r="C730" s="107"/>
      <c r="D730" s="102"/>
      <c r="E730" s="107"/>
      <c r="F730" s="108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10"/>
      <c r="V730" s="110"/>
    </row>
    <row r="731" ht="12.75" customHeight="1">
      <c r="A731" s="107"/>
      <c r="B731" s="107"/>
      <c r="C731" s="107"/>
      <c r="D731" s="102"/>
      <c r="E731" s="107"/>
      <c r="F731" s="108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10"/>
      <c r="V731" s="110"/>
    </row>
    <row r="732" ht="12.75" customHeight="1">
      <c r="A732" s="107"/>
      <c r="B732" s="107"/>
      <c r="C732" s="107"/>
      <c r="D732" s="102"/>
      <c r="E732" s="107"/>
      <c r="F732" s="108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10"/>
      <c r="V732" s="110"/>
    </row>
    <row r="733" ht="12.75" customHeight="1">
      <c r="A733" s="107"/>
      <c r="B733" s="107"/>
      <c r="C733" s="107"/>
      <c r="D733" s="102"/>
      <c r="E733" s="107"/>
      <c r="F733" s="108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10"/>
      <c r="V733" s="110"/>
    </row>
    <row r="734" ht="12.75" customHeight="1">
      <c r="A734" s="107"/>
      <c r="B734" s="107"/>
      <c r="C734" s="107"/>
      <c r="D734" s="102"/>
      <c r="E734" s="107"/>
      <c r="F734" s="108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10"/>
      <c r="V734" s="110"/>
    </row>
    <row r="735" ht="12.75" customHeight="1">
      <c r="A735" s="107"/>
      <c r="B735" s="107"/>
      <c r="C735" s="107"/>
      <c r="D735" s="102"/>
      <c r="E735" s="107"/>
      <c r="F735" s="108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10"/>
      <c r="V735" s="110"/>
    </row>
    <row r="736" ht="12.75" customHeight="1">
      <c r="A736" s="107"/>
      <c r="B736" s="107"/>
      <c r="C736" s="107"/>
      <c r="D736" s="102"/>
      <c r="E736" s="107"/>
      <c r="F736" s="108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10"/>
      <c r="V736" s="110"/>
    </row>
    <row r="737" ht="12.75" customHeight="1">
      <c r="A737" s="107"/>
      <c r="B737" s="107"/>
      <c r="C737" s="107"/>
      <c r="D737" s="102"/>
      <c r="E737" s="107"/>
      <c r="F737" s="108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10"/>
      <c r="V737" s="110"/>
    </row>
    <row r="738" ht="12.75" customHeight="1">
      <c r="A738" s="107"/>
      <c r="B738" s="107"/>
      <c r="C738" s="107"/>
      <c r="D738" s="102"/>
      <c r="E738" s="107"/>
      <c r="F738" s="108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10"/>
      <c r="V738" s="110"/>
    </row>
    <row r="739" ht="12.75" customHeight="1">
      <c r="A739" s="107"/>
      <c r="B739" s="107"/>
      <c r="C739" s="107"/>
      <c r="D739" s="102"/>
      <c r="E739" s="107"/>
      <c r="F739" s="108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10"/>
      <c r="V739" s="110"/>
    </row>
    <row r="740" ht="12.75" customHeight="1">
      <c r="A740" s="107"/>
      <c r="B740" s="107"/>
      <c r="C740" s="107"/>
      <c r="D740" s="102"/>
      <c r="E740" s="107"/>
      <c r="F740" s="108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10"/>
      <c r="V740" s="110"/>
    </row>
    <row r="741" ht="12.75" customHeight="1">
      <c r="A741" s="107"/>
      <c r="B741" s="107"/>
      <c r="C741" s="107"/>
      <c r="D741" s="102"/>
      <c r="E741" s="107"/>
      <c r="F741" s="108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10"/>
      <c r="V741" s="110"/>
    </row>
    <row r="742" ht="12.75" customHeight="1">
      <c r="A742" s="107"/>
      <c r="B742" s="107"/>
      <c r="C742" s="107"/>
      <c r="D742" s="102"/>
      <c r="E742" s="107"/>
      <c r="F742" s="108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10"/>
      <c r="V742" s="110"/>
    </row>
    <row r="743" ht="12.75" customHeight="1">
      <c r="A743" s="107"/>
      <c r="B743" s="107"/>
      <c r="C743" s="107"/>
      <c r="D743" s="102"/>
      <c r="E743" s="107"/>
      <c r="F743" s="108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10"/>
      <c r="V743" s="110"/>
    </row>
    <row r="744" ht="12.75" customHeight="1">
      <c r="A744" s="107"/>
      <c r="B744" s="107"/>
      <c r="C744" s="107"/>
      <c r="D744" s="102"/>
      <c r="E744" s="107"/>
      <c r="F744" s="108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10"/>
      <c r="V744" s="110"/>
    </row>
    <row r="745" ht="12.75" customHeight="1">
      <c r="A745" s="107"/>
      <c r="B745" s="107"/>
      <c r="C745" s="107"/>
      <c r="D745" s="102"/>
      <c r="E745" s="107"/>
      <c r="F745" s="108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10"/>
      <c r="V745" s="110"/>
    </row>
    <row r="746" ht="12.75" customHeight="1">
      <c r="A746" s="107"/>
      <c r="B746" s="107"/>
      <c r="C746" s="107"/>
      <c r="D746" s="102"/>
      <c r="E746" s="107"/>
      <c r="F746" s="108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10"/>
      <c r="V746" s="110"/>
    </row>
    <row r="747" ht="12.75" customHeight="1">
      <c r="A747" s="107"/>
      <c r="B747" s="107"/>
      <c r="C747" s="107"/>
      <c r="D747" s="102"/>
      <c r="E747" s="107"/>
      <c r="F747" s="108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10"/>
      <c r="V747" s="110"/>
    </row>
    <row r="748" ht="12.75" customHeight="1">
      <c r="A748" s="107"/>
      <c r="B748" s="107"/>
      <c r="C748" s="107"/>
      <c r="D748" s="102"/>
      <c r="E748" s="107"/>
      <c r="F748" s="108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10"/>
      <c r="V748" s="110"/>
    </row>
    <row r="749" ht="12.75" customHeight="1">
      <c r="A749" s="107"/>
      <c r="B749" s="107"/>
      <c r="C749" s="107"/>
      <c r="D749" s="102"/>
      <c r="E749" s="107"/>
      <c r="F749" s="108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10"/>
      <c r="V749" s="110"/>
    </row>
    <row r="750" ht="12.75" customHeight="1">
      <c r="A750" s="107"/>
      <c r="B750" s="107"/>
      <c r="C750" s="107"/>
      <c r="D750" s="102"/>
      <c r="E750" s="107"/>
      <c r="F750" s="108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10"/>
      <c r="V750" s="110"/>
    </row>
    <row r="751" ht="12.75" customHeight="1">
      <c r="A751" s="107"/>
      <c r="B751" s="107"/>
      <c r="C751" s="107"/>
      <c r="D751" s="102"/>
      <c r="E751" s="107"/>
      <c r="F751" s="108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10"/>
      <c r="V751" s="110"/>
    </row>
    <row r="752" ht="12.75" customHeight="1">
      <c r="A752" s="107"/>
      <c r="B752" s="107"/>
      <c r="C752" s="107"/>
      <c r="D752" s="102"/>
      <c r="E752" s="107"/>
      <c r="F752" s="108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10"/>
      <c r="V752" s="110"/>
    </row>
    <row r="753" ht="12.75" customHeight="1">
      <c r="A753" s="107"/>
      <c r="B753" s="107"/>
      <c r="C753" s="107"/>
      <c r="D753" s="102"/>
      <c r="E753" s="107"/>
      <c r="F753" s="108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10"/>
      <c r="V753" s="110"/>
    </row>
    <row r="754" ht="12.75" customHeight="1">
      <c r="A754" s="107"/>
      <c r="B754" s="107"/>
      <c r="C754" s="107"/>
      <c r="D754" s="102"/>
      <c r="E754" s="107"/>
      <c r="F754" s="108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10"/>
      <c r="V754" s="110"/>
    </row>
    <row r="755" ht="12.75" customHeight="1">
      <c r="A755" s="107"/>
      <c r="B755" s="107"/>
      <c r="C755" s="107"/>
      <c r="D755" s="102"/>
      <c r="E755" s="107"/>
      <c r="F755" s="108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10"/>
      <c r="V755" s="110"/>
    </row>
    <row r="756" ht="12.75" customHeight="1">
      <c r="A756" s="107"/>
      <c r="B756" s="107"/>
      <c r="C756" s="107"/>
      <c r="D756" s="102"/>
      <c r="E756" s="107"/>
      <c r="F756" s="108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10"/>
      <c r="V756" s="110"/>
    </row>
    <row r="757" ht="12.75" customHeight="1">
      <c r="A757" s="107"/>
      <c r="B757" s="107"/>
      <c r="C757" s="107"/>
      <c r="D757" s="102"/>
      <c r="E757" s="107"/>
      <c r="F757" s="108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10"/>
      <c r="V757" s="110"/>
    </row>
    <row r="758" ht="12.75" customHeight="1">
      <c r="A758" s="107"/>
      <c r="B758" s="107"/>
      <c r="C758" s="107"/>
      <c r="D758" s="102"/>
      <c r="E758" s="107"/>
      <c r="F758" s="108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10"/>
      <c r="V758" s="110"/>
    </row>
    <row r="759" ht="12.75" customHeight="1">
      <c r="A759" s="107"/>
      <c r="B759" s="107"/>
      <c r="C759" s="107"/>
      <c r="D759" s="102"/>
      <c r="E759" s="107"/>
      <c r="F759" s="108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10"/>
      <c r="V759" s="110"/>
    </row>
    <row r="760" ht="12.75" customHeight="1">
      <c r="A760" s="107"/>
      <c r="B760" s="107"/>
      <c r="C760" s="107"/>
      <c r="D760" s="102"/>
      <c r="E760" s="107"/>
      <c r="F760" s="108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10"/>
      <c r="V760" s="110"/>
    </row>
    <row r="761" ht="12.75" customHeight="1">
      <c r="A761" s="107"/>
      <c r="B761" s="107"/>
      <c r="C761" s="107"/>
      <c r="D761" s="102"/>
      <c r="E761" s="107"/>
      <c r="F761" s="108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10"/>
      <c r="V761" s="110"/>
    </row>
    <row r="762" ht="12.75" customHeight="1">
      <c r="A762" s="107"/>
      <c r="B762" s="107"/>
      <c r="C762" s="107"/>
      <c r="D762" s="102"/>
      <c r="E762" s="107"/>
      <c r="F762" s="108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10"/>
      <c r="V762" s="110"/>
    </row>
    <row r="763" ht="12.75" customHeight="1">
      <c r="A763" s="107"/>
      <c r="B763" s="107"/>
      <c r="C763" s="107"/>
      <c r="D763" s="102"/>
      <c r="E763" s="107"/>
      <c r="F763" s="108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10"/>
      <c r="V763" s="110"/>
    </row>
    <row r="764" ht="12.75" customHeight="1">
      <c r="A764" s="107"/>
      <c r="B764" s="107"/>
      <c r="C764" s="107"/>
      <c r="D764" s="102"/>
      <c r="E764" s="107"/>
      <c r="F764" s="108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10"/>
      <c r="V764" s="110"/>
    </row>
    <row r="765" ht="12.75" customHeight="1">
      <c r="A765" s="107"/>
      <c r="B765" s="107"/>
      <c r="C765" s="107"/>
      <c r="D765" s="102"/>
      <c r="E765" s="107"/>
      <c r="F765" s="108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10"/>
      <c r="V765" s="110"/>
    </row>
    <row r="766" ht="12.75" customHeight="1">
      <c r="A766" s="107"/>
      <c r="B766" s="107"/>
      <c r="C766" s="107"/>
      <c r="D766" s="102"/>
      <c r="E766" s="107"/>
      <c r="F766" s="108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10"/>
      <c r="V766" s="110"/>
    </row>
    <row r="767" ht="12.75" customHeight="1">
      <c r="A767" s="107"/>
      <c r="B767" s="107"/>
      <c r="C767" s="107"/>
      <c r="D767" s="102"/>
      <c r="E767" s="107"/>
      <c r="F767" s="108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10"/>
      <c r="V767" s="110"/>
    </row>
    <row r="768" ht="12.75" customHeight="1">
      <c r="A768" s="107"/>
      <c r="B768" s="107"/>
      <c r="C768" s="107"/>
      <c r="D768" s="102"/>
      <c r="E768" s="107"/>
      <c r="F768" s="108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10"/>
      <c r="V768" s="110"/>
    </row>
    <row r="769" ht="12.75" customHeight="1">
      <c r="A769" s="107"/>
      <c r="B769" s="107"/>
      <c r="C769" s="107"/>
      <c r="D769" s="102"/>
      <c r="E769" s="107"/>
      <c r="F769" s="108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10"/>
      <c r="V769" s="110"/>
    </row>
    <row r="770" ht="12.75" customHeight="1">
      <c r="A770" s="107"/>
      <c r="B770" s="107"/>
      <c r="C770" s="107"/>
      <c r="D770" s="102"/>
      <c r="E770" s="107"/>
      <c r="F770" s="108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10"/>
      <c r="V770" s="110"/>
    </row>
    <row r="771" ht="12.75" customHeight="1">
      <c r="A771" s="107"/>
      <c r="B771" s="107"/>
      <c r="C771" s="107"/>
      <c r="D771" s="102"/>
      <c r="E771" s="107"/>
      <c r="F771" s="108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10"/>
      <c r="V771" s="110"/>
    </row>
    <row r="772" ht="12.75" customHeight="1">
      <c r="A772" s="107"/>
      <c r="B772" s="107"/>
      <c r="C772" s="107"/>
      <c r="D772" s="102"/>
      <c r="E772" s="107"/>
      <c r="F772" s="108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10"/>
      <c r="V772" s="110"/>
    </row>
    <row r="773" ht="12.75" customHeight="1">
      <c r="A773" s="107"/>
      <c r="B773" s="107"/>
      <c r="C773" s="107"/>
      <c r="D773" s="102"/>
      <c r="E773" s="107"/>
      <c r="F773" s="108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10"/>
      <c r="V773" s="110"/>
    </row>
    <row r="774" ht="12.75" customHeight="1">
      <c r="A774" s="107"/>
      <c r="B774" s="107"/>
      <c r="C774" s="107"/>
      <c r="D774" s="102"/>
      <c r="E774" s="107"/>
      <c r="F774" s="108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10"/>
      <c r="V774" s="110"/>
    </row>
    <row r="775" ht="12.75" customHeight="1">
      <c r="A775" s="107"/>
      <c r="B775" s="107"/>
      <c r="C775" s="107"/>
      <c r="D775" s="102"/>
      <c r="E775" s="107"/>
      <c r="F775" s="108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10"/>
      <c r="V775" s="110"/>
    </row>
    <row r="776" ht="12.75" customHeight="1">
      <c r="A776" s="107"/>
      <c r="B776" s="107"/>
      <c r="C776" s="107"/>
      <c r="D776" s="102"/>
      <c r="E776" s="107"/>
      <c r="F776" s="108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10"/>
      <c r="V776" s="110"/>
    </row>
    <row r="777" ht="12.75" customHeight="1">
      <c r="A777" s="107"/>
      <c r="B777" s="107"/>
      <c r="C777" s="107"/>
      <c r="D777" s="102"/>
      <c r="E777" s="107"/>
      <c r="F777" s="108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10"/>
      <c r="V777" s="110"/>
    </row>
    <row r="778" ht="12.75" customHeight="1">
      <c r="A778" s="107"/>
      <c r="B778" s="107"/>
      <c r="C778" s="107"/>
      <c r="D778" s="102"/>
      <c r="E778" s="107"/>
      <c r="F778" s="108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10"/>
      <c r="V778" s="110"/>
    </row>
    <row r="779" ht="12.75" customHeight="1">
      <c r="A779" s="107"/>
      <c r="B779" s="107"/>
      <c r="C779" s="107"/>
      <c r="D779" s="102"/>
      <c r="E779" s="107"/>
      <c r="F779" s="108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10"/>
      <c r="V779" s="110"/>
    </row>
    <row r="780" ht="12.75" customHeight="1">
      <c r="A780" s="107"/>
      <c r="B780" s="107"/>
      <c r="C780" s="107"/>
      <c r="D780" s="102"/>
      <c r="E780" s="107"/>
      <c r="F780" s="108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10"/>
      <c r="V780" s="110"/>
    </row>
    <row r="781" ht="12.75" customHeight="1">
      <c r="A781" s="107"/>
      <c r="B781" s="107"/>
      <c r="C781" s="107"/>
      <c r="D781" s="102"/>
      <c r="E781" s="107"/>
      <c r="F781" s="108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10"/>
      <c r="V781" s="110"/>
    </row>
    <row r="782" ht="12.75" customHeight="1">
      <c r="A782" s="107"/>
      <c r="B782" s="107"/>
      <c r="C782" s="107"/>
      <c r="D782" s="102"/>
      <c r="E782" s="107"/>
      <c r="F782" s="108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10"/>
      <c r="V782" s="110"/>
    </row>
    <row r="783" ht="12.75" customHeight="1">
      <c r="A783" s="107"/>
      <c r="B783" s="107"/>
      <c r="C783" s="107"/>
      <c r="D783" s="102"/>
      <c r="E783" s="107"/>
      <c r="F783" s="108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10"/>
      <c r="V783" s="110"/>
    </row>
    <row r="784" ht="12.75" customHeight="1">
      <c r="A784" s="107"/>
      <c r="B784" s="107"/>
      <c r="C784" s="107"/>
      <c r="D784" s="102"/>
      <c r="E784" s="107"/>
      <c r="F784" s="108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10"/>
      <c r="V784" s="110"/>
    </row>
    <row r="785" ht="12.75" customHeight="1">
      <c r="A785" s="107"/>
      <c r="B785" s="107"/>
      <c r="C785" s="107"/>
      <c r="D785" s="102"/>
      <c r="E785" s="107"/>
      <c r="F785" s="108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10"/>
      <c r="V785" s="110"/>
    </row>
    <row r="786" ht="12.75" customHeight="1">
      <c r="A786" s="107"/>
      <c r="B786" s="107"/>
      <c r="C786" s="107"/>
      <c r="D786" s="102"/>
      <c r="E786" s="107"/>
      <c r="F786" s="108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10"/>
      <c r="V786" s="110"/>
    </row>
    <row r="787" ht="12.75" customHeight="1">
      <c r="A787" s="107"/>
      <c r="B787" s="107"/>
      <c r="C787" s="107"/>
      <c r="D787" s="102"/>
      <c r="E787" s="107"/>
      <c r="F787" s="108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10"/>
      <c r="V787" s="110"/>
    </row>
    <row r="788" ht="12.75" customHeight="1">
      <c r="A788" s="107"/>
      <c r="B788" s="107"/>
      <c r="C788" s="107"/>
      <c r="D788" s="102"/>
      <c r="E788" s="107"/>
      <c r="F788" s="108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10"/>
      <c r="V788" s="110"/>
    </row>
    <row r="789" ht="12.75" customHeight="1">
      <c r="A789" s="107"/>
      <c r="B789" s="107"/>
      <c r="C789" s="107"/>
      <c r="D789" s="102"/>
      <c r="E789" s="107"/>
      <c r="F789" s="108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10"/>
      <c r="V789" s="110"/>
    </row>
    <row r="790" ht="12.75" customHeight="1">
      <c r="A790" s="107"/>
      <c r="B790" s="107"/>
      <c r="C790" s="107"/>
      <c r="D790" s="102"/>
      <c r="E790" s="107"/>
      <c r="F790" s="108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10"/>
      <c r="V790" s="110"/>
    </row>
    <row r="791" ht="12.75" customHeight="1">
      <c r="A791" s="107"/>
      <c r="B791" s="107"/>
      <c r="C791" s="107"/>
      <c r="D791" s="102"/>
      <c r="E791" s="107"/>
      <c r="F791" s="108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10"/>
      <c r="V791" s="110"/>
    </row>
    <row r="792" ht="12.75" customHeight="1">
      <c r="A792" s="107"/>
      <c r="B792" s="107"/>
      <c r="C792" s="107"/>
      <c r="D792" s="102"/>
      <c r="E792" s="107"/>
      <c r="F792" s="108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10"/>
      <c r="V792" s="110"/>
    </row>
    <row r="793" ht="12.75" customHeight="1">
      <c r="A793" s="107"/>
      <c r="B793" s="107"/>
      <c r="C793" s="107"/>
      <c r="D793" s="102"/>
      <c r="E793" s="107"/>
      <c r="F793" s="108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10"/>
      <c r="V793" s="110"/>
    </row>
    <row r="794" ht="12.75" customHeight="1">
      <c r="A794" s="107"/>
      <c r="B794" s="107"/>
      <c r="C794" s="107"/>
      <c r="D794" s="102"/>
      <c r="E794" s="107"/>
      <c r="F794" s="108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10"/>
      <c r="V794" s="110"/>
    </row>
    <row r="795" ht="12.75" customHeight="1">
      <c r="A795" s="107"/>
      <c r="B795" s="107"/>
      <c r="C795" s="107"/>
      <c r="D795" s="102"/>
      <c r="E795" s="107"/>
      <c r="F795" s="108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10"/>
      <c r="V795" s="110"/>
    </row>
    <row r="796" ht="12.75" customHeight="1">
      <c r="A796" s="107"/>
      <c r="B796" s="107"/>
      <c r="C796" s="107"/>
      <c r="D796" s="102"/>
      <c r="E796" s="107"/>
      <c r="F796" s="108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10"/>
      <c r="V796" s="110"/>
    </row>
    <row r="797" ht="12.75" customHeight="1">
      <c r="A797" s="107"/>
      <c r="B797" s="107"/>
      <c r="C797" s="107"/>
      <c r="D797" s="102"/>
      <c r="E797" s="107"/>
      <c r="F797" s="108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10"/>
      <c r="V797" s="110"/>
    </row>
    <row r="798" ht="12.75" customHeight="1">
      <c r="A798" s="107"/>
      <c r="B798" s="107"/>
      <c r="C798" s="107"/>
      <c r="D798" s="102"/>
      <c r="E798" s="107"/>
      <c r="F798" s="108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10"/>
      <c r="V798" s="110"/>
    </row>
    <row r="799" ht="12.75" customHeight="1">
      <c r="A799" s="107"/>
      <c r="B799" s="107"/>
      <c r="C799" s="107"/>
      <c r="D799" s="102"/>
      <c r="E799" s="107"/>
      <c r="F799" s="108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10"/>
      <c r="V799" s="110"/>
    </row>
    <row r="800" ht="12.75" customHeight="1">
      <c r="A800" s="107"/>
      <c r="B800" s="107"/>
      <c r="C800" s="107"/>
      <c r="D800" s="102"/>
      <c r="E800" s="107"/>
      <c r="F800" s="108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10"/>
      <c r="V800" s="110"/>
    </row>
    <row r="801" ht="12.75" customHeight="1">
      <c r="A801" s="107"/>
      <c r="B801" s="107"/>
      <c r="C801" s="107"/>
      <c r="D801" s="102"/>
      <c r="E801" s="107"/>
      <c r="F801" s="108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10"/>
      <c r="V801" s="110"/>
    </row>
    <row r="802" ht="12.75" customHeight="1">
      <c r="A802" s="107"/>
      <c r="B802" s="107"/>
      <c r="C802" s="107"/>
      <c r="D802" s="102"/>
      <c r="E802" s="107"/>
      <c r="F802" s="108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10"/>
      <c r="V802" s="110"/>
    </row>
    <row r="803" ht="12.75" customHeight="1">
      <c r="A803" s="107"/>
      <c r="B803" s="107"/>
      <c r="C803" s="107"/>
      <c r="D803" s="102"/>
      <c r="E803" s="107"/>
      <c r="F803" s="108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10"/>
      <c r="V803" s="110"/>
    </row>
    <row r="804" ht="12.75" customHeight="1">
      <c r="A804" s="107"/>
      <c r="B804" s="107"/>
      <c r="C804" s="107"/>
      <c r="D804" s="102"/>
      <c r="E804" s="107"/>
      <c r="F804" s="108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10"/>
      <c r="V804" s="110"/>
    </row>
    <row r="805" ht="12.75" customHeight="1">
      <c r="A805" s="107"/>
      <c r="B805" s="107"/>
      <c r="C805" s="107"/>
      <c r="D805" s="102"/>
      <c r="E805" s="107"/>
      <c r="F805" s="108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10"/>
      <c r="V805" s="110"/>
    </row>
    <row r="806" ht="12.75" customHeight="1">
      <c r="A806" s="107"/>
      <c r="B806" s="107"/>
      <c r="C806" s="107"/>
      <c r="D806" s="102"/>
      <c r="E806" s="107"/>
      <c r="F806" s="108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10"/>
      <c r="V806" s="110"/>
    </row>
    <row r="807" ht="12.75" customHeight="1">
      <c r="A807" s="107"/>
      <c r="B807" s="107"/>
      <c r="C807" s="107"/>
      <c r="D807" s="102"/>
      <c r="E807" s="107"/>
      <c r="F807" s="108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10"/>
      <c r="V807" s="110"/>
    </row>
    <row r="808" ht="12.75" customHeight="1">
      <c r="A808" s="107"/>
      <c r="B808" s="107"/>
      <c r="C808" s="107"/>
      <c r="D808" s="102"/>
      <c r="E808" s="107"/>
      <c r="F808" s="108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10"/>
      <c r="V808" s="110"/>
    </row>
    <row r="809" ht="12.75" customHeight="1">
      <c r="A809" s="107"/>
      <c r="B809" s="107"/>
      <c r="C809" s="107"/>
      <c r="D809" s="102"/>
      <c r="E809" s="107"/>
      <c r="F809" s="108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10"/>
      <c r="V809" s="110"/>
    </row>
    <row r="810" ht="12.75" customHeight="1">
      <c r="A810" s="107"/>
      <c r="B810" s="107"/>
      <c r="C810" s="107"/>
      <c r="D810" s="102"/>
      <c r="E810" s="107"/>
      <c r="F810" s="108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10"/>
      <c r="V810" s="110"/>
    </row>
    <row r="811" ht="12.75" customHeight="1">
      <c r="A811" s="107"/>
      <c r="B811" s="107"/>
      <c r="C811" s="107"/>
      <c r="D811" s="102"/>
      <c r="E811" s="107"/>
      <c r="F811" s="108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10"/>
      <c r="V811" s="110"/>
    </row>
    <row r="812" ht="12.75" customHeight="1">
      <c r="A812" s="107"/>
      <c r="B812" s="107"/>
      <c r="C812" s="107"/>
      <c r="D812" s="102"/>
      <c r="E812" s="107"/>
      <c r="F812" s="108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10"/>
      <c r="V812" s="110"/>
    </row>
    <row r="813" ht="12.75" customHeight="1">
      <c r="A813" s="107"/>
      <c r="B813" s="107"/>
      <c r="C813" s="107"/>
      <c r="D813" s="102"/>
      <c r="E813" s="107"/>
      <c r="F813" s="108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10"/>
      <c r="V813" s="110"/>
    </row>
    <row r="814" ht="12.75" customHeight="1">
      <c r="A814" s="107"/>
      <c r="B814" s="107"/>
      <c r="C814" s="107"/>
      <c r="D814" s="102"/>
      <c r="E814" s="107"/>
      <c r="F814" s="108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10"/>
      <c r="V814" s="110"/>
    </row>
    <row r="815" ht="12.75" customHeight="1">
      <c r="A815" s="107"/>
      <c r="B815" s="107"/>
      <c r="C815" s="107"/>
      <c r="D815" s="102"/>
      <c r="E815" s="107"/>
      <c r="F815" s="108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10"/>
      <c r="V815" s="110"/>
    </row>
    <row r="816" ht="12.75" customHeight="1">
      <c r="A816" s="107"/>
      <c r="B816" s="107"/>
      <c r="C816" s="107"/>
      <c r="D816" s="102"/>
      <c r="E816" s="107"/>
      <c r="F816" s="108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10"/>
      <c r="V816" s="110"/>
    </row>
    <row r="817" ht="12.75" customHeight="1">
      <c r="A817" s="107"/>
      <c r="B817" s="107"/>
      <c r="C817" s="107"/>
      <c r="D817" s="102"/>
      <c r="E817" s="107"/>
      <c r="F817" s="108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10"/>
      <c r="V817" s="110"/>
    </row>
    <row r="818" ht="12.75" customHeight="1">
      <c r="A818" s="107"/>
      <c r="B818" s="107"/>
      <c r="C818" s="107"/>
      <c r="D818" s="102"/>
      <c r="E818" s="107"/>
      <c r="F818" s="108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10"/>
      <c r="V818" s="110"/>
    </row>
    <row r="819" ht="12.75" customHeight="1">
      <c r="A819" s="107"/>
      <c r="B819" s="107"/>
      <c r="C819" s="107"/>
      <c r="D819" s="102"/>
      <c r="E819" s="107"/>
      <c r="F819" s="108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10"/>
      <c r="V819" s="110"/>
    </row>
    <row r="820" ht="12.75" customHeight="1">
      <c r="A820" s="107"/>
      <c r="B820" s="107"/>
      <c r="C820" s="107"/>
      <c r="D820" s="102"/>
      <c r="E820" s="107"/>
      <c r="F820" s="108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10"/>
      <c r="V820" s="110"/>
    </row>
    <row r="821" ht="12.75" customHeight="1">
      <c r="A821" s="107"/>
      <c r="B821" s="107"/>
      <c r="C821" s="107"/>
      <c r="D821" s="102"/>
      <c r="E821" s="107"/>
      <c r="F821" s="108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10"/>
      <c r="V821" s="110"/>
    </row>
    <row r="822" ht="12.75" customHeight="1">
      <c r="A822" s="107"/>
      <c r="B822" s="107"/>
      <c r="C822" s="107"/>
      <c r="D822" s="102"/>
      <c r="E822" s="107"/>
      <c r="F822" s="108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10"/>
      <c r="V822" s="110"/>
    </row>
    <row r="823" ht="12.75" customHeight="1">
      <c r="A823" s="107"/>
      <c r="B823" s="107"/>
      <c r="C823" s="107"/>
      <c r="D823" s="102"/>
      <c r="E823" s="107"/>
      <c r="F823" s="108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10"/>
      <c r="V823" s="110"/>
    </row>
    <row r="824" ht="12.75" customHeight="1">
      <c r="A824" s="107"/>
      <c r="B824" s="107"/>
      <c r="C824" s="107"/>
      <c r="D824" s="102"/>
      <c r="E824" s="107"/>
      <c r="F824" s="108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10"/>
      <c r="V824" s="110"/>
    </row>
    <row r="825" ht="12.75" customHeight="1">
      <c r="A825" s="107"/>
      <c r="B825" s="107"/>
      <c r="C825" s="107"/>
      <c r="D825" s="102"/>
      <c r="E825" s="107"/>
      <c r="F825" s="108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10"/>
      <c r="V825" s="110"/>
    </row>
    <row r="826" ht="12.75" customHeight="1">
      <c r="A826" s="107"/>
      <c r="B826" s="107"/>
      <c r="C826" s="107"/>
      <c r="D826" s="102"/>
      <c r="E826" s="107"/>
      <c r="F826" s="108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10"/>
      <c r="V826" s="110"/>
    </row>
    <row r="827" ht="12.75" customHeight="1">
      <c r="A827" s="107"/>
      <c r="B827" s="107"/>
      <c r="C827" s="107"/>
      <c r="D827" s="102"/>
      <c r="E827" s="107"/>
      <c r="F827" s="108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10"/>
      <c r="V827" s="110"/>
    </row>
    <row r="828" ht="12.75" customHeight="1">
      <c r="A828" s="107"/>
      <c r="B828" s="107"/>
      <c r="C828" s="107"/>
      <c r="D828" s="102"/>
      <c r="E828" s="107"/>
      <c r="F828" s="108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10"/>
      <c r="V828" s="110"/>
    </row>
    <row r="829" ht="12.75" customHeight="1">
      <c r="A829" s="107"/>
      <c r="B829" s="107"/>
      <c r="C829" s="107"/>
      <c r="D829" s="102"/>
      <c r="E829" s="107"/>
      <c r="F829" s="108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10"/>
      <c r="V829" s="110"/>
    </row>
    <row r="830" ht="12.75" customHeight="1">
      <c r="A830" s="107"/>
      <c r="B830" s="107"/>
      <c r="C830" s="107"/>
      <c r="D830" s="102"/>
      <c r="E830" s="107"/>
      <c r="F830" s="108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10"/>
      <c r="V830" s="110"/>
    </row>
    <row r="831" ht="12.75" customHeight="1">
      <c r="A831" s="107"/>
      <c r="B831" s="107"/>
      <c r="C831" s="107"/>
      <c r="D831" s="102"/>
      <c r="E831" s="107"/>
      <c r="F831" s="108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10"/>
      <c r="V831" s="110"/>
    </row>
    <row r="832" ht="12.75" customHeight="1">
      <c r="A832" s="107"/>
      <c r="B832" s="107"/>
      <c r="C832" s="107"/>
      <c r="D832" s="102"/>
      <c r="E832" s="107"/>
      <c r="F832" s="108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10"/>
      <c r="V832" s="110"/>
    </row>
    <row r="833" ht="12.75" customHeight="1">
      <c r="A833" s="107"/>
      <c r="B833" s="107"/>
      <c r="C833" s="107"/>
      <c r="D833" s="102"/>
      <c r="E833" s="107"/>
      <c r="F833" s="108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10"/>
      <c r="V833" s="110"/>
    </row>
    <row r="834" ht="12.75" customHeight="1">
      <c r="A834" s="107"/>
      <c r="B834" s="107"/>
      <c r="C834" s="107"/>
      <c r="D834" s="102"/>
      <c r="E834" s="107"/>
      <c r="F834" s="108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10"/>
      <c r="V834" s="110"/>
    </row>
    <row r="835" ht="12.75" customHeight="1">
      <c r="A835" s="107"/>
      <c r="B835" s="107"/>
      <c r="C835" s="107"/>
      <c r="D835" s="102"/>
      <c r="E835" s="107"/>
      <c r="F835" s="108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10"/>
      <c r="V835" s="110"/>
    </row>
    <row r="836" ht="12.75" customHeight="1">
      <c r="A836" s="107"/>
      <c r="B836" s="107"/>
      <c r="C836" s="107"/>
      <c r="D836" s="102"/>
      <c r="E836" s="107"/>
      <c r="F836" s="108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10"/>
      <c r="V836" s="110"/>
    </row>
    <row r="837" ht="12.75" customHeight="1">
      <c r="A837" s="107"/>
      <c r="B837" s="107"/>
      <c r="C837" s="107"/>
      <c r="D837" s="102"/>
      <c r="E837" s="107"/>
      <c r="F837" s="108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10"/>
      <c r="V837" s="110"/>
    </row>
    <row r="838" ht="12.75" customHeight="1">
      <c r="A838" s="107"/>
      <c r="B838" s="107"/>
      <c r="C838" s="107"/>
      <c r="D838" s="102"/>
      <c r="E838" s="107"/>
      <c r="F838" s="108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10"/>
      <c r="V838" s="110"/>
    </row>
    <row r="839" ht="12.75" customHeight="1">
      <c r="A839" s="107"/>
      <c r="B839" s="107"/>
      <c r="C839" s="107"/>
      <c r="D839" s="102"/>
      <c r="E839" s="107"/>
      <c r="F839" s="108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10"/>
      <c r="V839" s="110"/>
    </row>
    <row r="840" ht="12.75" customHeight="1">
      <c r="A840" s="107"/>
      <c r="B840" s="107"/>
      <c r="C840" s="107"/>
      <c r="D840" s="102"/>
      <c r="E840" s="107"/>
      <c r="F840" s="108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10"/>
      <c r="V840" s="110"/>
    </row>
    <row r="841" ht="12.75" customHeight="1">
      <c r="A841" s="107"/>
      <c r="B841" s="107"/>
      <c r="C841" s="107"/>
      <c r="D841" s="102"/>
      <c r="E841" s="107"/>
      <c r="F841" s="108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10"/>
      <c r="V841" s="110"/>
    </row>
    <row r="842" ht="12.75" customHeight="1">
      <c r="A842" s="107"/>
      <c r="B842" s="107"/>
      <c r="C842" s="107"/>
      <c r="D842" s="102"/>
      <c r="E842" s="107"/>
      <c r="F842" s="108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10"/>
      <c r="V842" s="110"/>
    </row>
    <row r="843" ht="12.75" customHeight="1">
      <c r="A843" s="107"/>
      <c r="B843" s="107"/>
      <c r="C843" s="107"/>
      <c r="D843" s="102"/>
      <c r="E843" s="107"/>
      <c r="F843" s="108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10"/>
      <c r="V843" s="110"/>
    </row>
    <row r="844" ht="12.75" customHeight="1">
      <c r="A844" s="107"/>
      <c r="B844" s="107"/>
      <c r="C844" s="107"/>
      <c r="D844" s="102"/>
      <c r="E844" s="107"/>
      <c r="F844" s="108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10"/>
      <c r="V844" s="110"/>
    </row>
    <row r="845" ht="12.75" customHeight="1">
      <c r="A845" s="107"/>
      <c r="B845" s="107"/>
      <c r="C845" s="107"/>
      <c r="D845" s="102"/>
      <c r="E845" s="107"/>
      <c r="F845" s="108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10"/>
      <c r="V845" s="110"/>
    </row>
    <row r="846" ht="12.75" customHeight="1">
      <c r="A846" s="107"/>
      <c r="B846" s="107"/>
      <c r="C846" s="107"/>
      <c r="D846" s="102"/>
      <c r="E846" s="107"/>
      <c r="F846" s="108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10"/>
      <c r="V846" s="110"/>
    </row>
    <row r="847" ht="12.75" customHeight="1">
      <c r="A847" s="107"/>
      <c r="B847" s="107"/>
      <c r="C847" s="107"/>
      <c r="D847" s="102"/>
      <c r="E847" s="107"/>
      <c r="F847" s="108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10"/>
      <c r="V847" s="110"/>
    </row>
    <row r="848" ht="12.75" customHeight="1">
      <c r="A848" s="107"/>
      <c r="B848" s="107"/>
      <c r="C848" s="107"/>
      <c r="D848" s="102"/>
      <c r="E848" s="107"/>
      <c r="F848" s="108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10"/>
      <c r="V848" s="110"/>
    </row>
    <row r="849" ht="12.75" customHeight="1">
      <c r="A849" s="107"/>
      <c r="B849" s="107"/>
      <c r="C849" s="107"/>
      <c r="D849" s="102"/>
      <c r="E849" s="107"/>
      <c r="F849" s="108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10"/>
      <c r="V849" s="110"/>
    </row>
    <row r="850" ht="12.75" customHeight="1">
      <c r="A850" s="107"/>
      <c r="B850" s="107"/>
      <c r="C850" s="107"/>
      <c r="D850" s="102"/>
      <c r="E850" s="107"/>
      <c r="F850" s="108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10"/>
      <c r="V850" s="110"/>
    </row>
    <row r="851" ht="12.75" customHeight="1">
      <c r="A851" s="107"/>
      <c r="B851" s="107"/>
      <c r="C851" s="107"/>
      <c r="D851" s="102"/>
      <c r="E851" s="107"/>
      <c r="F851" s="108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10"/>
      <c r="V851" s="110"/>
    </row>
    <row r="852" ht="12.75" customHeight="1">
      <c r="A852" s="107"/>
      <c r="B852" s="107"/>
      <c r="C852" s="107"/>
      <c r="D852" s="102"/>
      <c r="E852" s="107"/>
      <c r="F852" s="108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10"/>
      <c r="V852" s="110"/>
    </row>
    <row r="853" ht="12.75" customHeight="1">
      <c r="A853" s="107"/>
      <c r="B853" s="107"/>
      <c r="C853" s="107"/>
      <c r="D853" s="102"/>
      <c r="E853" s="107"/>
      <c r="F853" s="108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10"/>
      <c r="V853" s="110"/>
    </row>
    <row r="854" ht="12.75" customHeight="1">
      <c r="A854" s="107"/>
      <c r="B854" s="107"/>
      <c r="C854" s="107"/>
      <c r="D854" s="102"/>
      <c r="E854" s="107"/>
      <c r="F854" s="108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10"/>
      <c r="V854" s="110"/>
    </row>
    <row r="855" ht="12.75" customHeight="1">
      <c r="A855" s="107"/>
      <c r="B855" s="107"/>
      <c r="C855" s="107"/>
      <c r="D855" s="102"/>
      <c r="E855" s="107"/>
      <c r="F855" s="108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10"/>
      <c r="V855" s="110"/>
    </row>
    <row r="856" ht="12.75" customHeight="1">
      <c r="A856" s="107"/>
      <c r="B856" s="107"/>
      <c r="C856" s="107"/>
      <c r="D856" s="102"/>
      <c r="E856" s="107"/>
      <c r="F856" s="108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10"/>
      <c r="V856" s="110"/>
    </row>
    <row r="857" ht="12.75" customHeight="1">
      <c r="A857" s="107"/>
      <c r="B857" s="107"/>
      <c r="C857" s="107"/>
      <c r="D857" s="102"/>
      <c r="E857" s="107"/>
      <c r="F857" s="108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10"/>
      <c r="V857" s="110"/>
    </row>
    <row r="858" ht="12.75" customHeight="1">
      <c r="A858" s="107"/>
      <c r="B858" s="107"/>
      <c r="C858" s="107"/>
      <c r="D858" s="102"/>
      <c r="E858" s="107"/>
      <c r="F858" s="108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10"/>
      <c r="V858" s="110"/>
    </row>
    <row r="859" ht="12.75" customHeight="1">
      <c r="A859" s="107"/>
      <c r="B859" s="107"/>
      <c r="C859" s="107"/>
      <c r="D859" s="102"/>
      <c r="E859" s="107"/>
      <c r="F859" s="108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10"/>
      <c r="V859" s="110"/>
    </row>
    <row r="860" ht="12.75" customHeight="1">
      <c r="A860" s="107"/>
      <c r="B860" s="107"/>
      <c r="C860" s="107"/>
      <c r="D860" s="102"/>
      <c r="E860" s="107"/>
      <c r="F860" s="108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10"/>
      <c r="V860" s="110"/>
    </row>
    <row r="861" ht="12.75" customHeight="1">
      <c r="A861" s="107"/>
      <c r="B861" s="107"/>
      <c r="C861" s="107"/>
      <c r="D861" s="102"/>
      <c r="E861" s="107"/>
      <c r="F861" s="108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10"/>
      <c r="V861" s="110"/>
    </row>
    <row r="862" ht="12.75" customHeight="1">
      <c r="A862" s="107"/>
      <c r="B862" s="107"/>
      <c r="C862" s="107"/>
      <c r="D862" s="102"/>
      <c r="E862" s="107"/>
      <c r="F862" s="108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10"/>
      <c r="V862" s="110"/>
    </row>
    <row r="863" ht="12.75" customHeight="1">
      <c r="A863" s="107"/>
      <c r="B863" s="107"/>
      <c r="C863" s="107"/>
      <c r="D863" s="102"/>
      <c r="E863" s="107"/>
      <c r="F863" s="108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10"/>
      <c r="V863" s="110"/>
    </row>
    <row r="864" ht="12.75" customHeight="1">
      <c r="A864" s="107"/>
      <c r="B864" s="107"/>
      <c r="C864" s="107"/>
      <c r="D864" s="102"/>
      <c r="E864" s="107"/>
      <c r="F864" s="108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10"/>
      <c r="V864" s="110"/>
    </row>
    <row r="865" ht="12.75" customHeight="1">
      <c r="A865" s="107"/>
      <c r="B865" s="107"/>
      <c r="C865" s="107"/>
      <c r="D865" s="102"/>
      <c r="E865" s="107"/>
      <c r="F865" s="108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10"/>
      <c r="V865" s="110"/>
    </row>
    <row r="866" ht="12.75" customHeight="1">
      <c r="A866" s="107"/>
      <c r="B866" s="107"/>
      <c r="C866" s="107"/>
      <c r="D866" s="102"/>
      <c r="E866" s="107"/>
      <c r="F866" s="108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10"/>
      <c r="V866" s="110"/>
    </row>
    <row r="867" ht="12.75" customHeight="1">
      <c r="A867" s="107"/>
      <c r="B867" s="107"/>
      <c r="C867" s="107"/>
      <c r="D867" s="102"/>
      <c r="E867" s="107"/>
      <c r="F867" s="108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10"/>
      <c r="V867" s="110"/>
    </row>
    <row r="868" ht="12.75" customHeight="1">
      <c r="A868" s="107"/>
      <c r="B868" s="107"/>
      <c r="C868" s="107"/>
      <c r="D868" s="102"/>
      <c r="E868" s="107"/>
      <c r="F868" s="108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10"/>
      <c r="V868" s="110"/>
    </row>
    <row r="869" ht="12.75" customHeight="1">
      <c r="A869" s="107"/>
      <c r="B869" s="107"/>
      <c r="C869" s="107"/>
      <c r="D869" s="102"/>
      <c r="E869" s="107"/>
      <c r="F869" s="108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10"/>
      <c r="V869" s="110"/>
    </row>
    <row r="870" ht="12.75" customHeight="1">
      <c r="A870" s="107"/>
      <c r="B870" s="107"/>
      <c r="C870" s="107"/>
      <c r="D870" s="102"/>
      <c r="E870" s="107"/>
      <c r="F870" s="108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10"/>
      <c r="V870" s="110"/>
    </row>
    <row r="871" ht="12.75" customHeight="1">
      <c r="A871" s="107"/>
      <c r="B871" s="107"/>
      <c r="C871" s="107"/>
      <c r="D871" s="102"/>
      <c r="E871" s="107"/>
      <c r="F871" s="108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10"/>
      <c r="V871" s="110"/>
    </row>
    <row r="872" ht="12.75" customHeight="1">
      <c r="A872" s="107"/>
      <c r="B872" s="107"/>
      <c r="C872" s="107"/>
      <c r="D872" s="102"/>
      <c r="E872" s="107"/>
      <c r="F872" s="108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10"/>
      <c r="V872" s="110"/>
    </row>
    <row r="873" ht="12.75" customHeight="1">
      <c r="A873" s="107"/>
      <c r="B873" s="107"/>
      <c r="C873" s="107"/>
      <c r="D873" s="102"/>
      <c r="E873" s="107"/>
      <c r="F873" s="108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10"/>
      <c r="V873" s="110"/>
    </row>
    <row r="874" ht="12.75" customHeight="1">
      <c r="A874" s="107"/>
      <c r="B874" s="107"/>
      <c r="C874" s="107"/>
      <c r="D874" s="102"/>
      <c r="E874" s="107"/>
      <c r="F874" s="108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10"/>
      <c r="V874" s="110"/>
    </row>
    <row r="875" ht="12.75" customHeight="1">
      <c r="A875" s="107"/>
      <c r="B875" s="107"/>
      <c r="C875" s="107"/>
      <c r="D875" s="102"/>
      <c r="E875" s="107"/>
      <c r="F875" s="108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10"/>
      <c r="V875" s="110"/>
    </row>
    <row r="876" ht="12.75" customHeight="1">
      <c r="A876" s="107"/>
      <c r="B876" s="107"/>
      <c r="C876" s="107"/>
      <c r="D876" s="102"/>
      <c r="E876" s="107"/>
      <c r="F876" s="108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10"/>
      <c r="V876" s="110"/>
    </row>
    <row r="877" ht="12.75" customHeight="1">
      <c r="A877" s="107"/>
      <c r="B877" s="107"/>
      <c r="C877" s="107"/>
      <c r="D877" s="102"/>
      <c r="E877" s="107"/>
      <c r="F877" s="108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10"/>
      <c r="V877" s="110"/>
    </row>
    <row r="878" ht="12.75" customHeight="1">
      <c r="A878" s="107"/>
      <c r="B878" s="107"/>
      <c r="C878" s="107"/>
      <c r="D878" s="102"/>
      <c r="E878" s="107"/>
      <c r="F878" s="108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10"/>
      <c r="V878" s="110"/>
    </row>
    <row r="879" ht="12.75" customHeight="1">
      <c r="A879" s="107"/>
      <c r="B879" s="107"/>
      <c r="C879" s="107"/>
      <c r="D879" s="102"/>
      <c r="E879" s="107"/>
      <c r="F879" s="108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10"/>
      <c r="V879" s="110"/>
    </row>
    <row r="880" ht="12.75" customHeight="1">
      <c r="A880" s="107"/>
      <c r="B880" s="107"/>
      <c r="C880" s="107"/>
      <c r="D880" s="102"/>
      <c r="E880" s="107"/>
      <c r="F880" s="108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10"/>
      <c r="V880" s="110"/>
    </row>
    <row r="881" ht="12.75" customHeight="1">
      <c r="A881" s="107"/>
      <c r="B881" s="107"/>
      <c r="C881" s="107"/>
      <c r="D881" s="102"/>
      <c r="E881" s="107"/>
      <c r="F881" s="108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10"/>
      <c r="V881" s="110"/>
    </row>
    <row r="882" ht="12.75" customHeight="1">
      <c r="A882" s="107"/>
      <c r="B882" s="107"/>
      <c r="C882" s="107"/>
      <c r="D882" s="102"/>
      <c r="E882" s="107"/>
      <c r="F882" s="108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10"/>
      <c r="V882" s="110"/>
    </row>
    <row r="883" ht="12.75" customHeight="1">
      <c r="A883" s="107"/>
      <c r="B883" s="107"/>
      <c r="C883" s="107"/>
      <c r="D883" s="102"/>
      <c r="E883" s="107"/>
      <c r="F883" s="108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10"/>
      <c r="V883" s="110"/>
    </row>
    <row r="884" ht="12.75" customHeight="1">
      <c r="A884" s="107"/>
      <c r="B884" s="107"/>
      <c r="C884" s="107"/>
      <c r="D884" s="102"/>
      <c r="E884" s="107"/>
      <c r="F884" s="108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10"/>
      <c r="V884" s="110"/>
    </row>
    <row r="885" ht="12.75" customHeight="1">
      <c r="A885" s="107"/>
      <c r="B885" s="107"/>
      <c r="C885" s="107"/>
      <c r="D885" s="102"/>
      <c r="E885" s="107"/>
      <c r="F885" s="108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10"/>
      <c r="V885" s="110"/>
    </row>
    <row r="886" ht="12.75" customHeight="1">
      <c r="A886" s="107"/>
      <c r="B886" s="107"/>
      <c r="C886" s="107"/>
      <c r="D886" s="102"/>
      <c r="E886" s="107"/>
      <c r="F886" s="108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10"/>
      <c r="V886" s="110"/>
    </row>
    <row r="887" ht="12.75" customHeight="1">
      <c r="A887" s="107"/>
      <c r="B887" s="107"/>
      <c r="C887" s="107"/>
      <c r="D887" s="102"/>
      <c r="E887" s="107"/>
      <c r="F887" s="108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10"/>
      <c r="V887" s="110"/>
    </row>
    <row r="888" ht="12.75" customHeight="1">
      <c r="A888" s="107"/>
      <c r="B888" s="107"/>
      <c r="C888" s="107"/>
      <c r="D888" s="102"/>
      <c r="E888" s="107"/>
      <c r="F888" s="108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10"/>
      <c r="V888" s="110"/>
    </row>
    <row r="889" ht="12.75" customHeight="1">
      <c r="A889" s="107"/>
      <c r="B889" s="107"/>
      <c r="C889" s="107"/>
      <c r="D889" s="102"/>
      <c r="E889" s="107"/>
      <c r="F889" s="108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10"/>
      <c r="V889" s="110"/>
    </row>
    <row r="890" ht="12.75" customHeight="1">
      <c r="A890" s="107"/>
      <c r="B890" s="107"/>
      <c r="C890" s="107"/>
      <c r="D890" s="102"/>
      <c r="E890" s="107"/>
      <c r="F890" s="108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10"/>
      <c r="V890" s="110"/>
    </row>
    <row r="891" ht="12.75" customHeight="1">
      <c r="A891" s="107"/>
      <c r="B891" s="107"/>
      <c r="C891" s="107"/>
      <c r="D891" s="102"/>
      <c r="E891" s="107"/>
      <c r="F891" s="108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10"/>
      <c r="V891" s="110"/>
    </row>
    <row r="892" ht="12.75" customHeight="1">
      <c r="A892" s="107"/>
      <c r="B892" s="107"/>
      <c r="C892" s="107"/>
      <c r="D892" s="102"/>
      <c r="E892" s="107"/>
      <c r="F892" s="108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10"/>
      <c r="V892" s="110"/>
    </row>
    <row r="893" ht="12.75" customHeight="1">
      <c r="A893" s="107"/>
      <c r="B893" s="107"/>
      <c r="C893" s="107"/>
      <c r="D893" s="102"/>
      <c r="E893" s="107"/>
      <c r="F893" s="108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10"/>
      <c r="V893" s="110"/>
    </row>
    <row r="894" ht="12.75" customHeight="1">
      <c r="A894" s="107"/>
      <c r="B894" s="107"/>
      <c r="C894" s="107"/>
      <c r="D894" s="102"/>
      <c r="E894" s="107"/>
      <c r="F894" s="108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10"/>
      <c r="V894" s="110"/>
    </row>
    <row r="895" ht="12.75" customHeight="1">
      <c r="A895" s="107"/>
      <c r="B895" s="107"/>
      <c r="C895" s="107"/>
      <c r="D895" s="102"/>
      <c r="E895" s="107"/>
      <c r="F895" s="108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10"/>
      <c r="V895" s="110"/>
    </row>
    <row r="896" ht="12.75" customHeight="1">
      <c r="A896" s="107"/>
      <c r="B896" s="107"/>
      <c r="C896" s="107"/>
      <c r="D896" s="102"/>
      <c r="E896" s="107"/>
      <c r="F896" s="108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10"/>
      <c r="V896" s="110"/>
    </row>
    <row r="897" ht="12.75" customHeight="1">
      <c r="A897" s="107"/>
      <c r="B897" s="107"/>
      <c r="C897" s="107"/>
      <c r="D897" s="102"/>
      <c r="E897" s="107"/>
      <c r="F897" s="108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10"/>
      <c r="V897" s="110"/>
    </row>
    <row r="898" ht="12.75" customHeight="1">
      <c r="A898" s="107"/>
      <c r="B898" s="107"/>
      <c r="C898" s="107"/>
      <c r="D898" s="102"/>
      <c r="E898" s="107"/>
      <c r="F898" s="108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10"/>
      <c r="V898" s="110"/>
    </row>
    <row r="899" ht="12.75" customHeight="1">
      <c r="A899" s="107"/>
      <c r="B899" s="107"/>
      <c r="C899" s="107"/>
      <c r="D899" s="102"/>
      <c r="E899" s="107"/>
      <c r="F899" s="108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10"/>
      <c r="V899" s="110"/>
    </row>
    <row r="900" ht="12.75" customHeight="1">
      <c r="A900" s="107"/>
      <c r="B900" s="107"/>
      <c r="C900" s="107"/>
      <c r="D900" s="102"/>
      <c r="E900" s="107"/>
      <c r="F900" s="108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10"/>
      <c r="V900" s="110"/>
    </row>
    <row r="901" ht="12.75" customHeight="1">
      <c r="A901" s="107"/>
      <c r="B901" s="107"/>
      <c r="C901" s="107"/>
      <c r="D901" s="102"/>
      <c r="E901" s="107"/>
      <c r="F901" s="108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10"/>
      <c r="V901" s="110"/>
    </row>
    <row r="902" ht="12.75" customHeight="1">
      <c r="A902" s="107"/>
      <c r="B902" s="107"/>
      <c r="C902" s="107"/>
      <c r="D902" s="102"/>
      <c r="E902" s="107"/>
      <c r="F902" s="108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10"/>
      <c r="V902" s="110"/>
    </row>
    <row r="903" ht="12.75" customHeight="1">
      <c r="A903" s="107"/>
      <c r="B903" s="107"/>
      <c r="C903" s="107"/>
      <c r="D903" s="102"/>
      <c r="E903" s="107"/>
      <c r="F903" s="108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10"/>
      <c r="V903" s="110"/>
    </row>
    <row r="904" ht="12.75" customHeight="1">
      <c r="A904" s="107"/>
      <c r="B904" s="107"/>
      <c r="C904" s="107"/>
      <c r="D904" s="102"/>
      <c r="E904" s="107"/>
      <c r="F904" s="108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10"/>
      <c r="V904" s="110"/>
    </row>
    <row r="905" ht="12.75" customHeight="1">
      <c r="A905" s="107"/>
      <c r="B905" s="107"/>
      <c r="C905" s="107"/>
      <c r="D905" s="102"/>
      <c r="E905" s="107"/>
      <c r="F905" s="108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10"/>
      <c r="V905" s="110"/>
    </row>
    <row r="906" ht="12.75" customHeight="1">
      <c r="A906" s="107"/>
      <c r="B906" s="107"/>
      <c r="C906" s="107"/>
      <c r="D906" s="102"/>
      <c r="E906" s="107"/>
      <c r="F906" s="108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10"/>
      <c r="V906" s="110"/>
    </row>
    <row r="907" ht="12.75" customHeight="1">
      <c r="A907" s="107"/>
      <c r="B907" s="107"/>
      <c r="C907" s="107"/>
      <c r="D907" s="102"/>
      <c r="E907" s="107"/>
      <c r="F907" s="108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10"/>
      <c r="V907" s="110"/>
    </row>
    <row r="908" ht="12.75" customHeight="1">
      <c r="A908" s="107"/>
      <c r="B908" s="107"/>
      <c r="C908" s="107"/>
      <c r="D908" s="102"/>
      <c r="E908" s="107"/>
      <c r="F908" s="108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10"/>
      <c r="V908" s="110"/>
    </row>
    <row r="909" ht="12.75" customHeight="1">
      <c r="A909" s="107"/>
      <c r="B909" s="107"/>
      <c r="C909" s="107"/>
      <c r="D909" s="102"/>
      <c r="E909" s="107"/>
      <c r="F909" s="108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10"/>
      <c r="V909" s="110"/>
    </row>
    <row r="910" ht="12.75" customHeight="1">
      <c r="A910" s="107"/>
      <c r="B910" s="107"/>
      <c r="C910" s="107"/>
      <c r="D910" s="102"/>
      <c r="E910" s="107"/>
      <c r="F910" s="108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10"/>
      <c r="V910" s="110"/>
    </row>
    <row r="911" ht="12.75" customHeight="1">
      <c r="A911" s="107"/>
      <c r="B911" s="107"/>
      <c r="C911" s="107"/>
      <c r="D911" s="102"/>
      <c r="E911" s="107"/>
      <c r="F911" s="108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10"/>
      <c r="V911" s="110"/>
    </row>
    <row r="912" ht="12.75" customHeight="1">
      <c r="A912" s="107"/>
      <c r="B912" s="107"/>
      <c r="C912" s="107"/>
      <c r="D912" s="102"/>
      <c r="E912" s="107"/>
      <c r="F912" s="108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10"/>
      <c r="V912" s="110"/>
    </row>
    <row r="913" ht="12.75" customHeight="1">
      <c r="A913" s="107"/>
      <c r="B913" s="107"/>
      <c r="C913" s="107"/>
      <c r="D913" s="102"/>
      <c r="E913" s="107"/>
      <c r="F913" s="108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10"/>
      <c r="V913" s="110"/>
    </row>
    <row r="914" ht="12.75" customHeight="1">
      <c r="A914" s="107"/>
      <c r="B914" s="107"/>
      <c r="C914" s="107"/>
      <c r="D914" s="102"/>
      <c r="E914" s="107"/>
      <c r="F914" s="108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10"/>
      <c r="V914" s="110"/>
    </row>
    <row r="915" ht="12.75" customHeight="1">
      <c r="A915" s="107"/>
      <c r="B915" s="107"/>
      <c r="C915" s="107"/>
      <c r="D915" s="102"/>
      <c r="E915" s="107"/>
      <c r="F915" s="108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10"/>
      <c r="V915" s="110"/>
    </row>
    <row r="916" ht="12.75" customHeight="1">
      <c r="A916" s="107"/>
      <c r="B916" s="107"/>
      <c r="C916" s="107"/>
      <c r="D916" s="102"/>
      <c r="E916" s="107"/>
      <c r="F916" s="108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10"/>
      <c r="V916" s="110"/>
    </row>
    <row r="917" ht="12.75" customHeight="1">
      <c r="A917" s="107"/>
      <c r="B917" s="107"/>
      <c r="C917" s="107"/>
      <c r="D917" s="102"/>
      <c r="E917" s="107"/>
      <c r="F917" s="108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10"/>
      <c r="V917" s="110"/>
    </row>
    <row r="918" ht="12.75" customHeight="1">
      <c r="A918" s="107"/>
      <c r="B918" s="107"/>
      <c r="C918" s="107"/>
      <c r="D918" s="102"/>
      <c r="E918" s="107"/>
      <c r="F918" s="108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10"/>
      <c r="V918" s="110"/>
    </row>
    <row r="919" ht="12.75" customHeight="1">
      <c r="A919" s="107"/>
      <c r="B919" s="107"/>
      <c r="C919" s="107"/>
      <c r="D919" s="102"/>
      <c r="E919" s="107"/>
      <c r="F919" s="108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10"/>
      <c r="V919" s="110"/>
    </row>
    <row r="920" ht="12.75" customHeight="1">
      <c r="A920" s="107"/>
      <c r="B920" s="107"/>
      <c r="C920" s="107"/>
      <c r="D920" s="102"/>
      <c r="E920" s="107"/>
      <c r="F920" s="108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10"/>
      <c r="V920" s="110"/>
    </row>
    <row r="921" ht="12.75" customHeight="1">
      <c r="A921" s="107"/>
      <c r="B921" s="107"/>
      <c r="C921" s="107"/>
      <c r="D921" s="102"/>
      <c r="E921" s="107"/>
      <c r="F921" s="108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10"/>
      <c r="V921" s="110"/>
    </row>
    <row r="922" ht="12.75" customHeight="1">
      <c r="A922" s="107"/>
      <c r="B922" s="107"/>
      <c r="C922" s="107"/>
      <c r="D922" s="102"/>
      <c r="E922" s="107"/>
      <c r="F922" s="108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10"/>
      <c r="V922" s="110"/>
    </row>
    <row r="923" ht="12.75" customHeight="1">
      <c r="A923" s="107"/>
      <c r="B923" s="107"/>
      <c r="C923" s="107"/>
      <c r="D923" s="102"/>
      <c r="E923" s="107"/>
      <c r="F923" s="108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10"/>
      <c r="V923" s="110"/>
    </row>
    <row r="924" ht="12.75" customHeight="1">
      <c r="A924" s="107"/>
      <c r="B924" s="107"/>
      <c r="C924" s="107"/>
      <c r="D924" s="102"/>
      <c r="E924" s="107"/>
      <c r="F924" s="108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10"/>
      <c r="V924" s="110"/>
    </row>
    <row r="925" ht="12.75" customHeight="1">
      <c r="A925" s="107"/>
      <c r="B925" s="107"/>
      <c r="C925" s="107"/>
      <c r="D925" s="102"/>
      <c r="E925" s="107"/>
      <c r="F925" s="108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10"/>
      <c r="V925" s="110"/>
    </row>
    <row r="926" ht="12.75" customHeight="1">
      <c r="A926" s="107"/>
      <c r="B926" s="107"/>
      <c r="C926" s="107"/>
      <c r="D926" s="102"/>
      <c r="E926" s="107"/>
      <c r="F926" s="108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10"/>
      <c r="V926" s="110"/>
    </row>
    <row r="927" ht="12.75" customHeight="1">
      <c r="A927" s="107"/>
      <c r="B927" s="107"/>
      <c r="C927" s="107"/>
      <c r="D927" s="102"/>
      <c r="E927" s="107"/>
      <c r="F927" s="108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10"/>
      <c r="V927" s="110"/>
    </row>
    <row r="928" ht="12.75" customHeight="1">
      <c r="A928" s="107"/>
      <c r="B928" s="107"/>
      <c r="C928" s="107"/>
      <c r="D928" s="102"/>
      <c r="E928" s="107"/>
      <c r="F928" s="108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10"/>
      <c r="V928" s="110"/>
    </row>
    <row r="929" ht="12.75" customHeight="1">
      <c r="A929" s="107"/>
      <c r="B929" s="107"/>
      <c r="C929" s="107"/>
      <c r="D929" s="102"/>
      <c r="E929" s="107"/>
      <c r="F929" s="108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10"/>
      <c r="V929" s="110"/>
    </row>
    <row r="930" ht="12.75" customHeight="1">
      <c r="A930" s="107"/>
      <c r="B930" s="107"/>
      <c r="C930" s="107"/>
      <c r="D930" s="102"/>
      <c r="E930" s="107"/>
      <c r="F930" s="108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10"/>
      <c r="V930" s="110"/>
    </row>
    <row r="931" ht="12.75" customHeight="1">
      <c r="A931" s="107"/>
      <c r="B931" s="107"/>
      <c r="C931" s="107"/>
      <c r="D931" s="102"/>
      <c r="E931" s="107"/>
      <c r="F931" s="108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10"/>
      <c r="V931" s="110"/>
    </row>
    <row r="932" ht="12.75" customHeight="1">
      <c r="A932" s="107"/>
      <c r="B932" s="107"/>
      <c r="C932" s="107"/>
      <c r="D932" s="102"/>
      <c r="E932" s="107"/>
      <c r="F932" s="108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10"/>
      <c r="V932" s="110"/>
    </row>
    <row r="933" ht="12.75" customHeight="1">
      <c r="A933" s="107"/>
      <c r="B933" s="107"/>
      <c r="C933" s="107"/>
      <c r="D933" s="102"/>
      <c r="E933" s="107"/>
      <c r="F933" s="108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10"/>
      <c r="V933" s="110"/>
    </row>
    <row r="934" ht="12.75" customHeight="1">
      <c r="A934" s="107"/>
      <c r="B934" s="107"/>
      <c r="C934" s="107"/>
      <c r="D934" s="102"/>
      <c r="E934" s="107"/>
      <c r="F934" s="108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10"/>
      <c r="V934" s="110"/>
    </row>
    <row r="935" ht="12.75" customHeight="1">
      <c r="A935" s="107"/>
      <c r="B935" s="107"/>
      <c r="C935" s="107"/>
      <c r="D935" s="102"/>
      <c r="E935" s="107"/>
      <c r="F935" s="108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10"/>
      <c r="V935" s="110"/>
    </row>
    <row r="936" ht="12.75" customHeight="1">
      <c r="A936" s="107"/>
      <c r="B936" s="107"/>
      <c r="C936" s="107"/>
      <c r="D936" s="102"/>
      <c r="E936" s="107"/>
      <c r="F936" s="108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10"/>
      <c r="V936" s="110"/>
    </row>
    <row r="937" ht="12.75" customHeight="1">
      <c r="A937" s="107"/>
      <c r="B937" s="107"/>
      <c r="C937" s="107"/>
      <c r="D937" s="102"/>
      <c r="E937" s="107"/>
      <c r="F937" s="108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10"/>
      <c r="V937" s="110"/>
    </row>
    <row r="938" ht="12.75" customHeight="1">
      <c r="A938" s="107"/>
      <c r="B938" s="107"/>
      <c r="C938" s="107"/>
      <c r="D938" s="102"/>
      <c r="E938" s="107"/>
      <c r="F938" s="108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10"/>
      <c r="V938" s="110"/>
    </row>
    <row r="939" ht="12.75" customHeight="1">
      <c r="A939" s="107"/>
      <c r="B939" s="107"/>
      <c r="C939" s="107"/>
      <c r="D939" s="102"/>
      <c r="E939" s="107"/>
      <c r="F939" s="108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10"/>
      <c r="V939" s="110"/>
    </row>
    <row r="940" ht="12.75" customHeight="1">
      <c r="A940" s="107"/>
      <c r="B940" s="107"/>
      <c r="C940" s="107"/>
      <c r="D940" s="102"/>
      <c r="E940" s="107"/>
      <c r="F940" s="108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10"/>
      <c r="V940" s="110"/>
    </row>
    <row r="941" ht="12.75" customHeight="1">
      <c r="A941" s="107"/>
      <c r="B941" s="107"/>
      <c r="C941" s="107"/>
      <c r="D941" s="102"/>
      <c r="E941" s="107"/>
      <c r="F941" s="108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10"/>
      <c r="V941" s="110"/>
    </row>
    <row r="942" ht="12.75" customHeight="1">
      <c r="A942" s="107"/>
      <c r="B942" s="107"/>
      <c r="C942" s="107"/>
      <c r="D942" s="102"/>
      <c r="E942" s="107"/>
      <c r="F942" s="108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10"/>
      <c r="V942" s="110"/>
    </row>
    <row r="943" ht="12.75" customHeight="1">
      <c r="A943" s="107"/>
      <c r="B943" s="107"/>
      <c r="C943" s="107"/>
      <c r="D943" s="102"/>
      <c r="E943" s="107"/>
      <c r="F943" s="108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10"/>
      <c r="V943" s="110"/>
    </row>
    <row r="944" ht="12.75" customHeight="1">
      <c r="A944" s="107"/>
      <c r="B944" s="107"/>
      <c r="C944" s="107"/>
      <c r="D944" s="102"/>
      <c r="E944" s="107"/>
      <c r="F944" s="108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10"/>
      <c r="V944" s="110"/>
    </row>
    <row r="945" ht="12.75" customHeight="1">
      <c r="A945" s="107"/>
      <c r="B945" s="107"/>
      <c r="C945" s="107"/>
      <c r="D945" s="102"/>
      <c r="E945" s="107"/>
      <c r="F945" s="108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10"/>
      <c r="V945" s="110"/>
    </row>
    <row r="946" ht="12.75" customHeight="1">
      <c r="A946" s="107"/>
      <c r="B946" s="107"/>
      <c r="C946" s="107"/>
      <c r="D946" s="102"/>
      <c r="E946" s="107"/>
      <c r="F946" s="108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10"/>
      <c r="V946" s="110"/>
    </row>
    <row r="947" ht="12.75" customHeight="1">
      <c r="A947" s="107"/>
      <c r="B947" s="107"/>
      <c r="C947" s="107"/>
      <c r="D947" s="102"/>
      <c r="E947" s="107"/>
      <c r="F947" s="108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10"/>
      <c r="V947" s="110"/>
    </row>
    <row r="948" ht="12.75" customHeight="1">
      <c r="A948" s="107"/>
      <c r="B948" s="107"/>
      <c r="C948" s="107"/>
      <c r="D948" s="102"/>
      <c r="E948" s="107"/>
      <c r="F948" s="108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10"/>
      <c r="V948" s="110"/>
    </row>
    <row r="949" ht="12.75" customHeight="1">
      <c r="A949" s="107"/>
      <c r="B949" s="107"/>
      <c r="C949" s="107"/>
      <c r="D949" s="102"/>
      <c r="E949" s="107"/>
      <c r="F949" s="108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10"/>
      <c r="V949" s="110"/>
    </row>
    <row r="950" ht="12.75" customHeight="1">
      <c r="A950" s="107"/>
      <c r="B950" s="107"/>
      <c r="C950" s="107"/>
      <c r="D950" s="102"/>
      <c r="E950" s="107"/>
      <c r="F950" s="108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10"/>
      <c r="V950" s="110"/>
    </row>
    <row r="951" ht="12.75" customHeight="1">
      <c r="A951" s="107"/>
      <c r="B951" s="107"/>
      <c r="C951" s="107"/>
      <c r="D951" s="102"/>
      <c r="E951" s="107"/>
      <c r="F951" s="108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10"/>
      <c r="V951" s="110"/>
    </row>
    <row r="952" ht="12.75" customHeight="1">
      <c r="A952" s="107"/>
      <c r="B952" s="107"/>
      <c r="C952" s="107"/>
      <c r="D952" s="102"/>
      <c r="E952" s="107"/>
      <c r="F952" s="108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10"/>
      <c r="V952" s="110"/>
    </row>
    <row r="953" ht="12.75" customHeight="1">
      <c r="A953" s="107"/>
      <c r="B953" s="107"/>
      <c r="C953" s="107"/>
      <c r="D953" s="102"/>
      <c r="E953" s="107"/>
      <c r="F953" s="108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10"/>
      <c r="V953" s="110"/>
    </row>
    <row r="954" ht="12.75" customHeight="1">
      <c r="A954" s="107"/>
      <c r="B954" s="107"/>
      <c r="C954" s="107"/>
      <c r="D954" s="102"/>
      <c r="E954" s="107"/>
      <c r="F954" s="108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10"/>
      <c r="V954" s="110"/>
    </row>
    <row r="955" ht="12.75" customHeight="1">
      <c r="A955" s="107"/>
      <c r="B955" s="107"/>
      <c r="C955" s="107"/>
      <c r="D955" s="102"/>
      <c r="E955" s="107"/>
      <c r="F955" s="108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10"/>
      <c r="V955" s="110"/>
    </row>
    <row r="956" ht="12.75" customHeight="1">
      <c r="A956" s="107"/>
      <c r="B956" s="107"/>
      <c r="C956" s="107"/>
      <c r="D956" s="102"/>
      <c r="E956" s="107"/>
      <c r="F956" s="108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10"/>
      <c r="V956" s="110"/>
    </row>
    <row r="957" ht="12.75" customHeight="1">
      <c r="A957" s="107"/>
      <c r="B957" s="107"/>
      <c r="C957" s="107"/>
      <c r="D957" s="102"/>
      <c r="E957" s="107"/>
      <c r="F957" s="108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10"/>
      <c r="V957" s="110"/>
    </row>
    <row r="958" ht="12.75" customHeight="1">
      <c r="A958" s="107"/>
      <c r="B958" s="107"/>
      <c r="C958" s="107"/>
      <c r="D958" s="102"/>
      <c r="E958" s="107"/>
      <c r="F958" s="108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10"/>
      <c r="V958" s="110"/>
    </row>
    <row r="959" ht="12.75" customHeight="1">
      <c r="A959" s="107"/>
      <c r="B959" s="107"/>
      <c r="C959" s="107"/>
      <c r="D959" s="102"/>
      <c r="E959" s="107"/>
      <c r="F959" s="108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10"/>
      <c r="V959" s="110"/>
    </row>
    <row r="960" ht="12.75" customHeight="1">
      <c r="A960" s="107"/>
      <c r="B960" s="107"/>
      <c r="C960" s="107"/>
      <c r="D960" s="102"/>
      <c r="E960" s="107"/>
      <c r="F960" s="108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10"/>
      <c r="V960" s="110"/>
    </row>
    <row r="961" ht="12.75" customHeight="1">
      <c r="A961" s="107"/>
      <c r="B961" s="107"/>
      <c r="C961" s="107"/>
      <c r="D961" s="102"/>
      <c r="E961" s="107"/>
      <c r="F961" s="108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10"/>
      <c r="V961" s="110"/>
    </row>
    <row r="962" ht="12.75" customHeight="1">
      <c r="A962" s="107"/>
      <c r="B962" s="107"/>
      <c r="C962" s="107"/>
      <c r="D962" s="102"/>
      <c r="E962" s="107"/>
      <c r="F962" s="108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10"/>
      <c r="V962" s="110"/>
    </row>
    <row r="963" ht="12.75" customHeight="1">
      <c r="A963" s="107"/>
      <c r="B963" s="107"/>
      <c r="C963" s="107"/>
      <c r="D963" s="102"/>
      <c r="E963" s="107"/>
      <c r="F963" s="108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10"/>
      <c r="V963" s="110"/>
    </row>
    <row r="964" ht="12.75" customHeight="1">
      <c r="A964" s="107"/>
      <c r="B964" s="107"/>
      <c r="C964" s="107"/>
      <c r="D964" s="102"/>
      <c r="E964" s="107"/>
      <c r="F964" s="108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10"/>
      <c r="V964" s="110"/>
    </row>
    <row r="965" ht="12.75" customHeight="1">
      <c r="A965" s="107"/>
      <c r="B965" s="107"/>
      <c r="C965" s="107"/>
      <c r="D965" s="102"/>
      <c r="E965" s="107"/>
      <c r="F965" s="108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10"/>
      <c r="V965" s="110"/>
    </row>
    <row r="966" ht="12.75" customHeight="1">
      <c r="A966" s="107"/>
      <c r="B966" s="107"/>
      <c r="C966" s="107"/>
      <c r="D966" s="102"/>
      <c r="E966" s="107"/>
      <c r="F966" s="108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10"/>
      <c r="V966" s="110"/>
    </row>
    <row r="967" ht="12.75" customHeight="1">
      <c r="A967" s="107"/>
      <c r="B967" s="107"/>
      <c r="C967" s="107"/>
      <c r="D967" s="102"/>
      <c r="E967" s="107"/>
      <c r="F967" s="108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10"/>
      <c r="V967" s="110"/>
    </row>
    <row r="968" ht="12.75" customHeight="1">
      <c r="A968" s="107"/>
      <c r="B968" s="107"/>
      <c r="C968" s="107"/>
      <c r="D968" s="102"/>
      <c r="E968" s="107"/>
      <c r="F968" s="108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10"/>
      <c r="V968" s="110"/>
    </row>
    <row r="969" ht="12.75" customHeight="1">
      <c r="A969" s="107"/>
      <c r="B969" s="107"/>
      <c r="C969" s="107"/>
      <c r="D969" s="102"/>
      <c r="E969" s="107"/>
      <c r="F969" s="108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10"/>
      <c r="V969" s="110"/>
    </row>
    <row r="970" ht="12.75" customHeight="1">
      <c r="A970" s="107"/>
      <c r="B970" s="107"/>
      <c r="C970" s="107"/>
      <c r="D970" s="102"/>
      <c r="E970" s="107"/>
      <c r="F970" s="108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10"/>
      <c r="V970" s="110"/>
    </row>
    <row r="971" ht="12.75" customHeight="1">
      <c r="A971" s="107"/>
      <c r="B971" s="107"/>
      <c r="C971" s="107"/>
      <c r="D971" s="102"/>
      <c r="E971" s="107"/>
      <c r="F971" s="108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10"/>
      <c r="V971" s="110"/>
    </row>
    <row r="972" ht="12.75" customHeight="1">
      <c r="A972" s="107"/>
      <c r="B972" s="107"/>
      <c r="C972" s="107"/>
      <c r="D972" s="102"/>
      <c r="E972" s="107"/>
      <c r="F972" s="108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10"/>
      <c r="V972" s="110"/>
    </row>
    <row r="973" ht="12.75" customHeight="1">
      <c r="A973" s="107"/>
      <c r="B973" s="107"/>
      <c r="C973" s="107"/>
      <c r="D973" s="102"/>
      <c r="E973" s="107"/>
      <c r="F973" s="108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10"/>
      <c r="V973" s="110"/>
    </row>
    <row r="974" ht="12.75" customHeight="1">
      <c r="A974" s="107"/>
      <c r="B974" s="107"/>
      <c r="C974" s="107"/>
      <c r="D974" s="102"/>
      <c r="E974" s="107"/>
      <c r="F974" s="108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10"/>
      <c r="V974" s="110"/>
    </row>
    <row r="975" ht="12.75" customHeight="1">
      <c r="A975" s="107"/>
      <c r="B975" s="107"/>
      <c r="C975" s="107"/>
      <c r="D975" s="102"/>
      <c r="E975" s="107"/>
      <c r="F975" s="108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10"/>
      <c r="V975" s="110"/>
    </row>
    <row r="976" ht="12.75" customHeight="1">
      <c r="A976" s="107"/>
      <c r="B976" s="107"/>
      <c r="C976" s="107"/>
      <c r="D976" s="102"/>
      <c r="E976" s="107"/>
      <c r="F976" s="108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10"/>
      <c r="V976" s="110"/>
    </row>
    <row r="977" ht="12.75" customHeight="1">
      <c r="A977" s="107"/>
      <c r="B977" s="107"/>
      <c r="C977" s="107"/>
      <c r="D977" s="102"/>
      <c r="E977" s="107"/>
      <c r="F977" s="108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10"/>
      <c r="V977" s="110"/>
    </row>
    <row r="978" ht="12.75" customHeight="1">
      <c r="A978" s="107"/>
      <c r="B978" s="107"/>
      <c r="C978" s="107"/>
      <c r="D978" s="102"/>
      <c r="E978" s="107"/>
      <c r="F978" s="108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10"/>
      <c r="V978" s="110"/>
    </row>
    <row r="979" ht="12.75" customHeight="1">
      <c r="A979" s="107"/>
      <c r="B979" s="107"/>
      <c r="C979" s="107"/>
      <c r="D979" s="102"/>
      <c r="E979" s="107"/>
      <c r="F979" s="108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10"/>
      <c r="V979" s="110"/>
    </row>
    <row r="980" ht="12.75" customHeight="1">
      <c r="A980" s="107"/>
      <c r="B980" s="107"/>
      <c r="C980" s="107"/>
      <c r="D980" s="102"/>
      <c r="E980" s="107"/>
      <c r="F980" s="108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10"/>
      <c r="V980" s="110"/>
    </row>
    <row r="981" ht="12.75" customHeight="1">
      <c r="A981" s="107"/>
      <c r="B981" s="107"/>
      <c r="C981" s="107"/>
      <c r="D981" s="102"/>
      <c r="E981" s="107"/>
      <c r="F981" s="108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10"/>
      <c r="V981" s="110"/>
    </row>
    <row r="982" ht="12.75" customHeight="1">
      <c r="A982" s="107"/>
      <c r="B982" s="107"/>
      <c r="C982" s="107"/>
      <c r="D982" s="102"/>
      <c r="E982" s="107"/>
      <c r="F982" s="108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10"/>
      <c r="V982" s="110"/>
    </row>
    <row r="983" ht="12.75" customHeight="1">
      <c r="A983" s="107"/>
      <c r="B983" s="107"/>
      <c r="C983" s="107"/>
      <c r="D983" s="102"/>
      <c r="E983" s="107"/>
      <c r="F983" s="108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10"/>
      <c r="V983" s="110"/>
    </row>
    <row r="984" ht="12.75" customHeight="1">
      <c r="A984" s="107"/>
      <c r="B984" s="107"/>
      <c r="C984" s="107"/>
      <c r="D984" s="102"/>
      <c r="E984" s="107"/>
      <c r="F984" s="108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10"/>
      <c r="V984" s="110"/>
    </row>
    <row r="985" ht="12.75" customHeight="1">
      <c r="A985" s="107"/>
      <c r="B985" s="107"/>
      <c r="C985" s="107"/>
      <c r="D985" s="102"/>
      <c r="E985" s="107"/>
      <c r="F985" s="108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10"/>
      <c r="V985" s="110"/>
    </row>
    <row r="986" ht="12.75" customHeight="1">
      <c r="A986" s="107"/>
      <c r="B986" s="107"/>
      <c r="C986" s="107"/>
      <c r="D986" s="102"/>
      <c r="E986" s="107"/>
      <c r="F986" s="108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10"/>
      <c r="V986" s="110"/>
    </row>
    <row r="987" ht="12.75" customHeight="1">
      <c r="A987" s="107"/>
      <c r="B987" s="107"/>
      <c r="C987" s="107"/>
      <c r="D987" s="102"/>
      <c r="E987" s="107"/>
      <c r="F987" s="108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10"/>
      <c r="V987" s="110"/>
    </row>
    <row r="988" ht="12.75" customHeight="1">
      <c r="A988" s="107"/>
      <c r="B988" s="107"/>
      <c r="C988" s="107"/>
      <c r="D988" s="102"/>
      <c r="E988" s="107"/>
      <c r="F988" s="108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10"/>
      <c r="V988" s="110"/>
    </row>
    <row r="989" ht="12.75" customHeight="1">
      <c r="A989" s="107"/>
      <c r="B989" s="107"/>
      <c r="C989" s="107"/>
      <c r="D989" s="102"/>
      <c r="E989" s="107"/>
      <c r="F989" s="108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10"/>
      <c r="V989" s="110"/>
    </row>
    <row r="990" ht="12.75" customHeight="1">
      <c r="A990" s="107"/>
      <c r="B990" s="107"/>
      <c r="C990" s="107"/>
      <c r="D990" s="102"/>
      <c r="E990" s="107"/>
      <c r="F990" s="108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10"/>
      <c r="V990" s="110"/>
    </row>
    <row r="991" ht="12.75" customHeight="1">
      <c r="A991" s="107"/>
      <c r="B991" s="107"/>
      <c r="C991" s="107"/>
      <c r="D991" s="102"/>
      <c r="E991" s="107"/>
      <c r="F991" s="108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10"/>
      <c r="V991" s="110"/>
    </row>
    <row r="992" ht="12.75" customHeight="1">
      <c r="A992" s="107"/>
      <c r="B992" s="107"/>
      <c r="C992" s="107"/>
      <c r="D992" s="102"/>
      <c r="E992" s="107"/>
      <c r="F992" s="108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10"/>
      <c r="V992" s="110"/>
    </row>
    <row r="993" ht="12.75" customHeight="1">
      <c r="A993" s="107"/>
      <c r="B993" s="107"/>
      <c r="C993" s="107"/>
      <c r="D993" s="102"/>
      <c r="E993" s="107"/>
      <c r="F993" s="108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10"/>
      <c r="V993" s="110"/>
    </row>
    <row r="994" ht="12.75" customHeight="1">
      <c r="A994" s="107"/>
      <c r="B994" s="107"/>
      <c r="C994" s="107"/>
      <c r="D994" s="102"/>
      <c r="E994" s="107"/>
      <c r="F994" s="108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10"/>
      <c r="V994" s="110"/>
    </row>
    <row r="995" ht="12.75" customHeight="1">
      <c r="A995" s="107"/>
      <c r="B995" s="107"/>
      <c r="C995" s="107"/>
      <c r="D995" s="102"/>
      <c r="E995" s="107"/>
      <c r="F995" s="108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10"/>
      <c r="V995" s="110"/>
    </row>
    <row r="996" ht="12.75" customHeight="1">
      <c r="A996" s="107"/>
      <c r="B996" s="107"/>
      <c r="C996" s="107"/>
      <c r="D996" s="102"/>
      <c r="E996" s="107"/>
      <c r="F996" s="108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10"/>
      <c r="V996" s="110"/>
    </row>
    <row r="997" ht="12.75" customHeight="1">
      <c r="A997" s="107"/>
      <c r="B997" s="107"/>
      <c r="C997" s="107"/>
      <c r="D997" s="102"/>
      <c r="E997" s="107"/>
      <c r="F997" s="108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10"/>
      <c r="V997" s="110"/>
    </row>
    <row r="998" ht="12.75" customHeight="1">
      <c r="A998" s="107"/>
      <c r="B998" s="107"/>
      <c r="C998" s="107"/>
      <c r="D998" s="102"/>
      <c r="E998" s="107"/>
      <c r="F998" s="108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10"/>
      <c r="V998" s="110"/>
    </row>
    <row r="999" ht="12.75" customHeight="1">
      <c r="A999" s="107"/>
      <c r="B999" s="107"/>
      <c r="C999" s="107"/>
      <c r="D999" s="102"/>
      <c r="E999" s="107"/>
      <c r="F999" s="108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10"/>
      <c r="V999" s="110"/>
    </row>
    <row r="1000" ht="12.75" customHeight="1">
      <c r="A1000" s="107"/>
      <c r="B1000" s="107"/>
      <c r="C1000" s="107"/>
      <c r="D1000" s="102"/>
      <c r="E1000" s="107"/>
      <c r="F1000" s="108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10"/>
      <c r="V1000" s="110"/>
    </row>
    <row r="1001" ht="12.75" customHeight="1">
      <c r="A1001" s="107"/>
      <c r="B1001" s="107"/>
      <c r="C1001" s="107"/>
      <c r="D1001" s="102"/>
      <c r="E1001" s="107"/>
      <c r="F1001" s="108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10"/>
      <c r="V1001" s="110"/>
    </row>
    <row r="1002" ht="12.75" customHeight="1">
      <c r="A1002" s="107"/>
      <c r="B1002" s="107"/>
      <c r="C1002" s="107"/>
      <c r="D1002" s="102"/>
      <c r="E1002" s="107"/>
      <c r="F1002" s="108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10"/>
      <c r="V1002" s="110"/>
    </row>
    <row r="1003" ht="12.75" customHeight="1">
      <c r="A1003" s="107"/>
      <c r="B1003" s="107"/>
      <c r="C1003" s="107"/>
      <c r="D1003" s="102"/>
      <c r="E1003" s="107"/>
      <c r="F1003" s="108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10"/>
      <c r="V1003" s="110"/>
    </row>
    <row r="1004" ht="12.75" customHeight="1">
      <c r="A1004" s="107"/>
      <c r="B1004" s="107"/>
      <c r="C1004" s="107"/>
      <c r="D1004" s="102"/>
      <c r="E1004" s="107"/>
      <c r="F1004" s="108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10"/>
      <c r="V1004" s="110"/>
    </row>
    <row r="1005" ht="12.75" customHeight="1">
      <c r="A1005" s="107"/>
      <c r="B1005" s="107"/>
      <c r="C1005" s="107"/>
      <c r="D1005" s="102"/>
      <c r="E1005" s="107"/>
      <c r="F1005" s="108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10"/>
      <c r="V1005" s="110"/>
    </row>
    <row r="1006" ht="12.75" customHeight="1">
      <c r="A1006" s="107"/>
      <c r="B1006" s="107"/>
      <c r="C1006" s="107"/>
      <c r="D1006" s="102"/>
      <c r="E1006" s="107"/>
      <c r="F1006" s="108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10"/>
      <c r="V1006" s="110"/>
    </row>
    <row r="1007" ht="12.75" customHeight="1">
      <c r="A1007" s="107"/>
      <c r="B1007" s="107"/>
      <c r="C1007" s="107"/>
      <c r="D1007" s="102"/>
      <c r="E1007" s="107"/>
      <c r="F1007" s="108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10"/>
      <c r="V1007" s="110"/>
    </row>
    <row r="1008" ht="12.75" customHeight="1">
      <c r="A1008" s="107"/>
      <c r="B1008" s="107"/>
      <c r="C1008" s="107"/>
      <c r="D1008" s="102"/>
      <c r="E1008" s="107"/>
      <c r="F1008" s="108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10"/>
      <c r="V1008" s="110"/>
    </row>
    <row r="1009" ht="12.75" customHeight="1">
      <c r="A1009" s="107"/>
      <c r="B1009" s="107"/>
      <c r="C1009" s="107"/>
      <c r="D1009" s="102"/>
      <c r="E1009" s="107"/>
      <c r="F1009" s="108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10"/>
      <c r="V1009" s="110"/>
    </row>
    <row r="1010" ht="12.75" customHeight="1">
      <c r="A1010" s="107"/>
      <c r="B1010" s="107"/>
      <c r="C1010" s="107"/>
      <c r="D1010" s="102"/>
      <c r="E1010" s="107"/>
      <c r="F1010" s="108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10"/>
      <c r="V1010" s="110"/>
    </row>
    <row r="1011" ht="12.75" customHeight="1">
      <c r="A1011" s="107"/>
      <c r="B1011" s="107"/>
      <c r="C1011" s="107"/>
      <c r="D1011" s="102"/>
      <c r="E1011" s="107"/>
      <c r="F1011" s="108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10"/>
      <c r="V1011" s="110"/>
    </row>
    <row r="1012" ht="12.75" customHeight="1">
      <c r="A1012" s="107"/>
      <c r="B1012" s="107"/>
      <c r="C1012" s="107"/>
      <c r="D1012" s="102"/>
      <c r="E1012" s="107"/>
      <c r="F1012" s="108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10"/>
      <c r="V1012" s="110"/>
    </row>
    <row r="1013" ht="12.75" customHeight="1">
      <c r="A1013" s="107"/>
      <c r="B1013" s="107"/>
      <c r="C1013" s="107"/>
      <c r="D1013" s="102"/>
      <c r="E1013" s="107"/>
      <c r="F1013" s="108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10"/>
      <c r="V1013" s="110"/>
    </row>
    <row r="1014" ht="12.75" customHeight="1">
      <c r="A1014" s="107"/>
      <c r="B1014" s="107"/>
      <c r="C1014" s="107"/>
      <c r="D1014" s="102"/>
      <c r="E1014" s="107"/>
      <c r="F1014" s="108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10"/>
      <c r="V1014" s="110"/>
    </row>
    <row r="1015" ht="12.75" customHeight="1">
      <c r="A1015" s="107"/>
      <c r="B1015" s="107"/>
      <c r="C1015" s="107"/>
      <c r="D1015" s="102"/>
      <c r="E1015" s="107"/>
      <c r="F1015" s="108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10"/>
      <c r="V1015" s="110"/>
    </row>
    <row r="1016" ht="12.75" customHeight="1">
      <c r="A1016" s="107"/>
      <c r="B1016" s="107"/>
      <c r="C1016" s="107"/>
      <c r="D1016" s="102"/>
      <c r="E1016" s="107"/>
      <c r="F1016" s="108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10"/>
      <c r="V1016" s="110"/>
    </row>
    <row r="1017" ht="12.75" customHeight="1">
      <c r="A1017" s="107"/>
      <c r="B1017" s="107"/>
      <c r="C1017" s="107"/>
      <c r="D1017" s="102"/>
      <c r="E1017" s="107"/>
      <c r="F1017" s="108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10"/>
      <c r="V1017" s="110"/>
    </row>
    <row r="1018" ht="12.75" customHeight="1">
      <c r="A1018" s="107"/>
      <c r="B1018" s="107"/>
      <c r="C1018" s="107"/>
      <c r="D1018" s="102"/>
      <c r="E1018" s="107"/>
      <c r="F1018" s="108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10"/>
      <c r="V1018" s="110"/>
    </row>
    <row r="1019" ht="12.75" customHeight="1">
      <c r="A1019" s="107"/>
      <c r="B1019" s="107"/>
      <c r="C1019" s="107"/>
      <c r="D1019" s="102"/>
      <c r="E1019" s="107"/>
      <c r="F1019" s="108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10"/>
      <c r="V1019" s="110"/>
    </row>
    <row r="1020" ht="12.75" customHeight="1">
      <c r="A1020" s="107"/>
      <c r="B1020" s="107"/>
      <c r="C1020" s="107"/>
      <c r="D1020" s="102"/>
      <c r="E1020" s="107"/>
      <c r="F1020" s="108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10"/>
      <c r="V1020" s="110"/>
    </row>
    <row r="1021" ht="12.75" customHeight="1">
      <c r="A1021" s="107"/>
      <c r="B1021" s="107"/>
      <c r="C1021" s="107"/>
      <c r="D1021" s="102"/>
      <c r="E1021" s="107"/>
      <c r="F1021" s="108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10"/>
      <c r="V1021" s="110"/>
    </row>
    <row r="1022" ht="12.75" customHeight="1">
      <c r="A1022" s="107"/>
      <c r="B1022" s="107"/>
      <c r="C1022" s="107"/>
      <c r="D1022" s="102"/>
      <c r="E1022" s="107"/>
      <c r="F1022" s="108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10"/>
      <c r="V1022" s="110"/>
    </row>
    <row r="1023" ht="12.75" customHeight="1">
      <c r="A1023" s="107"/>
      <c r="B1023" s="107"/>
      <c r="C1023" s="107"/>
      <c r="D1023" s="102"/>
      <c r="E1023" s="107"/>
      <c r="F1023" s="108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10"/>
      <c r="V1023" s="110"/>
    </row>
    <row r="1024" ht="12.75" customHeight="1">
      <c r="A1024" s="107"/>
      <c r="B1024" s="107"/>
      <c r="C1024" s="107"/>
      <c r="D1024" s="102"/>
      <c r="E1024" s="107"/>
      <c r="F1024" s="108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10"/>
      <c r="V1024" s="110"/>
    </row>
    <row r="1025" ht="12.75" customHeight="1">
      <c r="A1025" s="107"/>
      <c r="B1025" s="107"/>
      <c r="C1025" s="107"/>
      <c r="D1025" s="102"/>
      <c r="E1025" s="107"/>
      <c r="F1025" s="108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10"/>
      <c r="V1025" s="110"/>
    </row>
    <row r="1026" ht="12.75" customHeight="1">
      <c r="A1026" s="107"/>
      <c r="B1026" s="107"/>
      <c r="C1026" s="107"/>
      <c r="D1026" s="102"/>
      <c r="E1026" s="107"/>
      <c r="F1026" s="108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10"/>
      <c r="V1026" s="110"/>
    </row>
    <row r="1027" ht="12.75" customHeight="1">
      <c r="A1027" s="107"/>
      <c r="B1027" s="107"/>
      <c r="C1027" s="107"/>
      <c r="D1027" s="102"/>
      <c r="E1027" s="107"/>
      <c r="F1027" s="108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10"/>
      <c r="V1027" s="110"/>
    </row>
    <row r="1028" ht="12.75" customHeight="1">
      <c r="A1028" s="107"/>
      <c r="B1028" s="107"/>
      <c r="C1028" s="107"/>
      <c r="D1028" s="102"/>
      <c r="E1028" s="107"/>
      <c r="F1028" s="108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10"/>
      <c r="V1028" s="110"/>
    </row>
    <row r="1029" ht="12.75" customHeight="1">
      <c r="A1029" s="107"/>
      <c r="B1029" s="107"/>
      <c r="C1029" s="107"/>
      <c r="D1029" s="102"/>
      <c r="E1029" s="107"/>
      <c r="F1029" s="108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10"/>
      <c r="V1029" s="110"/>
    </row>
    <row r="1030" ht="12.75" customHeight="1">
      <c r="A1030" s="107"/>
      <c r="B1030" s="107"/>
      <c r="C1030" s="107"/>
      <c r="D1030" s="102"/>
      <c r="E1030" s="107"/>
      <c r="F1030" s="108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10"/>
      <c r="V1030" s="110"/>
    </row>
    <row r="1031" ht="12.75" customHeight="1">
      <c r="A1031" s="107"/>
      <c r="B1031" s="107"/>
      <c r="C1031" s="107"/>
      <c r="D1031" s="102"/>
      <c r="E1031" s="107"/>
      <c r="F1031" s="108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10"/>
      <c r="V1031" s="110"/>
    </row>
    <row r="1032" ht="12.75" customHeight="1">
      <c r="A1032" s="107"/>
      <c r="B1032" s="107"/>
      <c r="C1032" s="107"/>
      <c r="D1032" s="102"/>
      <c r="E1032" s="107"/>
      <c r="F1032" s="108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10"/>
      <c r="V1032" s="110"/>
    </row>
    <row r="1033" ht="12.75" customHeight="1">
      <c r="A1033" s="107"/>
      <c r="B1033" s="107"/>
      <c r="C1033" s="107"/>
      <c r="D1033" s="102"/>
      <c r="E1033" s="107"/>
      <c r="F1033" s="108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10"/>
      <c r="V1033" s="110"/>
    </row>
    <row r="1034" ht="12.75" customHeight="1">
      <c r="A1034" s="107"/>
      <c r="B1034" s="107"/>
      <c r="C1034" s="107"/>
      <c r="D1034" s="102"/>
      <c r="E1034" s="107"/>
      <c r="F1034" s="108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10"/>
      <c r="V1034" s="110"/>
    </row>
    <row r="1035" ht="12.75" customHeight="1">
      <c r="A1035" s="107"/>
      <c r="B1035" s="107"/>
      <c r="C1035" s="107"/>
      <c r="D1035" s="102"/>
      <c r="E1035" s="107"/>
      <c r="F1035" s="108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10"/>
      <c r="V1035" s="110"/>
    </row>
    <row r="1036" ht="12.75" customHeight="1">
      <c r="A1036" s="107"/>
      <c r="B1036" s="107"/>
      <c r="C1036" s="107"/>
      <c r="D1036" s="102"/>
      <c r="E1036" s="107"/>
      <c r="F1036" s="108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10"/>
      <c r="V1036" s="110"/>
    </row>
    <row r="1037" ht="12.75" customHeight="1">
      <c r="A1037" s="107"/>
      <c r="B1037" s="107"/>
      <c r="C1037" s="107"/>
      <c r="D1037" s="102"/>
      <c r="E1037" s="107"/>
      <c r="F1037" s="108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10"/>
      <c r="V1037" s="110"/>
    </row>
    <row r="1038" ht="12.75" customHeight="1">
      <c r="A1038" s="107"/>
      <c r="B1038" s="107"/>
      <c r="C1038" s="107"/>
      <c r="D1038" s="102"/>
      <c r="E1038" s="107"/>
      <c r="F1038" s="108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10"/>
      <c r="V1038" s="110"/>
    </row>
    <row r="1039" ht="12.75" customHeight="1">
      <c r="A1039" s="107"/>
      <c r="B1039" s="107"/>
      <c r="C1039" s="107"/>
      <c r="D1039" s="102"/>
      <c r="E1039" s="107"/>
      <c r="F1039" s="108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10"/>
      <c r="V1039" s="110"/>
    </row>
    <row r="1040" ht="12.75" customHeight="1">
      <c r="A1040" s="107"/>
      <c r="B1040" s="107"/>
      <c r="C1040" s="107"/>
      <c r="D1040" s="102"/>
      <c r="E1040" s="107"/>
      <c r="F1040" s="108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10"/>
      <c r="V1040" s="110"/>
    </row>
    <row r="1041" ht="12.75" customHeight="1">
      <c r="A1041" s="107"/>
      <c r="B1041" s="107"/>
      <c r="C1041" s="107"/>
      <c r="D1041" s="102"/>
      <c r="E1041" s="107"/>
      <c r="F1041" s="108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10"/>
      <c r="V1041" s="110"/>
    </row>
    <row r="1042" ht="12.75" customHeight="1">
      <c r="A1042" s="107"/>
      <c r="B1042" s="107"/>
      <c r="C1042" s="107"/>
      <c r="D1042" s="102"/>
      <c r="E1042" s="107"/>
      <c r="F1042" s="108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10"/>
      <c r="V1042" s="110"/>
    </row>
    <row r="1043" ht="12.75" customHeight="1">
      <c r="A1043" s="107"/>
      <c r="B1043" s="107"/>
      <c r="C1043" s="107"/>
      <c r="D1043" s="102"/>
      <c r="E1043" s="107"/>
      <c r="F1043" s="108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10"/>
      <c r="V1043" s="110"/>
    </row>
    <row r="1044" ht="12.75" customHeight="1">
      <c r="A1044" s="107"/>
      <c r="B1044" s="107"/>
      <c r="C1044" s="107"/>
      <c r="D1044" s="102"/>
      <c r="E1044" s="107"/>
      <c r="F1044" s="108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10"/>
      <c r="V1044" s="110"/>
    </row>
    <row r="1045" ht="12.75" customHeight="1">
      <c r="A1045" s="107"/>
      <c r="B1045" s="107"/>
      <c r="C1045" s="107"/>
      <c r="D1045" s="102"/>
      <c r="E1045" s="107"/>
      <c r="F1045" s="108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10"/>
      <c r="V1045" s="110"/>
    </row>
    <row r="1046" ht="12.75" customHeight="1">
      <c r="A1046" s="107"/>
      <c r="B1046" s="107"/>
      <c r="C1046" s="107"/>
      <c r="D1046" s="102"/>
      <c r="E1046" s="107"/>
      <c r="F1046" s="108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10"/>
      <c r="V1046" s="110"/>
    </row>
    <row r="1047" ht="12.75" customHeight="1">
      <c r="A1047" s="107"/>
      <c r="B1047" s="107"/>
      <c r="C1047" s="107"/>
      <c r="D1047" s="102"/>
      <c r="E1047" s="107"/>
      <c r="F1047" s="108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10"/>
      <c r="V1047" s="110"/>
    </row>
    <row r="1048" ht="12.75" customHeight="1">
      <c r="A1048" s="107"/>
      <c r="B1048" s="107"/>
      <c r="C1048" s="107"/>
      <c r="D1048" s="102"/>
      <c r="E1048" s="107"/>
      <c r="F1048" s="108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10"/>
      <c r="V1048" s="110"/>
    </row>
    <row r="1049" ht="12.75" customHeight="1">
      <c r="A1049" s="107"/>
      <c r="B1049" s="107"/>
      <c r="C1049" s="107"/>
      <c r="D1049" s="102"/>
      <c r="E1049" s="107"/>
      <c r="F1049" s="108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10"/>
      <c r="V1049" s="110"/>
    </row>
    <row r="1050" ht="12.75" customHeight="1">
      <c r="A1050" s="107"/>
      <c r="B1050" s="107"/>
      <c r="C1050" s="107"/>
      <c r="D1050" s="102"/>
      <c r="E1050" s="107"/>
      <c r="F1050" s="108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10"/>
      <c r="V1050" s="110"/>
    </row>
    <row r="1051" ht="12.75" customHeight="1">
      <c r="A1051" s="107"/>
      <c r="B1051" s="107"/>
      <c r="C1051" s="107"/>
      <c r="D1051" s="102"/>
      <c r="E1051" s="107"/>
      <c r="F1051" s="108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10"/>
      <c r="V1051" s="110"/>
    </row>
    <row r="1052" ht="12.75" customHeight="1">
      <c r="A1052" s="107"/>
      <c r="B1052" s="107"/>
      <c r="C1052" s="107"/>
      <c r="D1052" s="102"/>
      <c r="E1052" s="107"/>
      <c r="F1052" s="108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10"/>
      <c r="V1052" s="110"/>
    </row>
    <row r="1053" ht="12.75" customHeight="1">
      <c r="A1053" s="107"/>
      <c r="B1053" s="107"/>
      <c r="C1053" s="107"/>
      <c r="D1053" s="102"/>
      <c r="E1053" s="107"/>
      <c r="F1053" s="108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10"/>
      <c r="V1053" s="110"/>
    </row>
    <row r="1054" ht="12.75" customHeight="1">
      <c r="A1054" s="107"/>
      <c r="B1054" s="107"/>
      <c r="C1054" s="107"/>
      <c r="D1054" s="102"/>
      <c r="E1054" s="107"/>
      <c r="F1054" s="108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10"/>
      <c r="V1054" s="110"/>
    </row>
    <row r="1055" ht="12.75" customHeight="1">
      <c r="A1055" s="107"/>
      <c r="B1055" s="107"/>
      <c r="C1055" s="107"/>
      <c r="D1055" s="102"/>
      <c r="E1055" s="107"/>
      <c r="F1055" s="108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10"/>
      <c r="V1055" s="110"/>
    </row>
    <row r="1056" ht="12.75" customHeight="1">
      <c r="A1056" s="107"/>
      <c r="B1056" s="107"/>
      <c r="C1056" s="107"/>
      <c r="D1056" s="102"/>
      <c r="E1056" s="107"/>
      <c r="F1056" s="108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10"/>
      <c r="V1056" s="110"/>
    </row>
    <row r="1057" ht="12.75" customHeight="1">
      <c r="A1057" s="107"/>
      <c r="B1057" s="107"/>
      <c r="C1057" s="107"/>
      <c r="D1057" s="102"/>
      <c r="E1057" s="107"/>
      <c r="F1057" s="108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10"/>
      <c r="V1057" s="110"/>
    </row>
    <row r="1058" ht="12.75" customHeight="1">
      <c r="A1058" s="107"/>
      <c r="B1058" s="107"/>
      <c r="C1058" s="107"/>
      <c r="D1058" s="102"/>
      <c r="E1058" s="107"/>
      <c r="F1058" s="108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10"/>
      <c r="V1058" s="110"/>
    </row>
    <row r="1059" ht="12.75" customHeight="1">
      <c r="A1059" s="107"/>
      <c r="B1059" s="107"/>
      <c r="C1059" s="107"/>
      <c r="D1059" s="102"/>
      <c r="E1059" s="107"/>
      <c r="F1059" s="108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10"/>
      <c r="V1059" s="110"/>
    </row>
    <row r="1060" ht="12.75" customHeight="1">
      <c r="A1060" s="107"/>
      <c r="B1060" s="107"/>
      <c r="C1060" s="107"/>
      <c r="D1060" s="102"/>
      <c r="E1060" s="107"/>
      <c r="F1060" s="108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10"/>
      <c r="V1060" s="110"/>
    </row>
    <row r="1061" ht="12.75" customHeight="1">
      <c r="A1061" s="107"/>
      <c r="B1061" s="107"/>
      <c r="C1061" s="107"/>
      <c r="D1061" s="102"/>
      <c r="E1061" s="107"/>
      <c r="F1061" s="108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10"/>
      <c r="V1061" s="110"/>
    </row>
    <row r="1062" ht="12.75" customHeight="1">
      <c r="A1062" s="107"/>
      <c r="B1062" s="107"/>
      <c r="C1062" s="107"/>
      <c r="D1062" s="102"/>
      <c r="E1062" s="107"/>
      <c r="F1062" s="108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10"/>
      <c r="V1062" s="110"/>
    </row>
    <row r="1063" ht="12.75" customHeight="1">
      <c r="A1063" s="107"/>
      <c r="B1063" s="107"/>
      <c r="C1063" s="107"/>
      <c r="D1063" s="102"/>
      <c r="E1063" s="107"/>
      <c r="F1063" s="108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10"/>
      <c r="V1063" s="110"/>
    </row>
    <row r="1064" ht="12.75" customHeight="1">
      <c r="A1064" s="107"/>
      <c r="B1064" s="107"/>
      <c r="C1064" s="107"/>
      <c r="D1064" s="102"/>
      <c r="E1064" s="107"/>
      <c r="F1064" s="108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10"/>
      <c r="V1064" s="110"/>
    </row>
    <row r="1065" ht="12.75" customHeight="1">
      <c r="A1065" s="107"/>
      <c r="B1065" s="107"/>
      <c r="C1065" s="107"/>
      <c r="D1065" s="102"/>
      <c r="E1065" s="107"/>
      <c r="F1065" s="108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10"/>
      <c r="V1065" s="110"/>
    </row>
    <row r="1066" ht="12.75" customHeight="1">
      <c r="A1066" s="107"/>
      <c r="B1066" s="107"/>
      <c r="C1066" s="107"/>
      <c r="D1066" s="102"/>
      <c r="E1066" s="107"/>
      <c r="F1066" s="108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10"/>
      <c r="V1066" s="110"/>
    </row>
    <row r="1067" ht="12.75" customHeight="1">
      <c r="A1067" s="107"/>
      <c r="B1067" s="107"/>
      <c r="C1067" s="107"/>
      <c r="D1067" s="102"/>
      <c r="E1067" s="107"/>
      <c r="F1067" s="108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10"/>
      <c r="V1067" s="110"/>
    </row>
    <row r="1068" ht="12.75" customHeight="1">
      <c r="A1068" s="107"/>
      <c r="B1068" s="107"/>
      <c r="C1068" s="107"/>
      <c r="D1068" s="102"/>
      <c r="E1068" s="107"/>
      <c r="F1068" s="108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10"/>
      <c r="V1068" s="110"/>
    </row>
    <row r="1069" ht="12.75" customHeight="1">
      <c r="A1069" s="107"/>
      <c r="B1069" s="107"/>
      <c r="C1069" s="107"/>
      <c r="D1069" s="102"/>
      <c r="E1069" s="107"/>
      <c r="F1069" s="108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10"/>
      <c r="V1069" s="110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1796</v>
      </c>
      <c r="D2" s="117"/>
      <c r="E2" s="116">
        <f t="shared" ref="E2:R2" si="1">SUM(E5,E11)</f>
        <v>1796</v>
      </c>
      <c r="F2" s="116">
        <f t="shared" si="1"/>
        <v>9</v>
      </c>
      <c r="G2" s="118">
        <f t="shared" si="1"/>
        <v>6</v>
      </c>
      <c r="H2" s="118">
        <f t="shared" si="1"/>
        <v>2</v>
      </c>
      <c r="I2" s="118">
        <f t="shared" si="1"/>
        <v>0</v>
      </c>
      <c r="J2" s="118">
        <f t="shared" si="1"/>
        <v>0</v>
      </c>
      <c r="K2" s="118">
        <f t="shared" si="1"/>
        <v>2</v>
      </c>
      <c r="L2" s="118">
        <f t="shared" si="1"/>
        <v>1</v>
      </c>
      <c r="M2" s="118">
        <f t="shared" si="1"/>
        <v>19</v>
      </c>
      <c r="N2" s="118">
        <f t="shared" si="1"/>
        <v>1</v>
      </c>
      <c r="O2" s="118">
        <f t="shared" si="1"/>
        <v>1</v>
      </c>
      <c r="P2" s="118">
        <f t="shared" si="1"/>
        <v>3</v>
      </c>
      <c r="Q2" s="118">
        <f t="shared" si="1"/>
        <v>0</v>
      </c>
      <c r="R2" s="118">
        <f t="shared" si="1"/>
        <v>2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33</v>
      </c>
      <c r="D4" s="120"/>
      <c r="E4" s="50">
        <f>IFERROR(C2/H2,0)</f>
        <v>898</v>
      </c>
      <c r="F4" s="51">
        <f>IFERROR((G2+R2)/F2,0)</f>
        <v>0.8888888889</v>
      </c>
      <c r="G4" s="51">
        <f>IFERROR(H2/G2,0)</f>
        <v>0.3333333333</v>
      </c>
      <c r="H4" s="50">
        <f>(C2/C4)</f>
        <v>54.42424242</v>
      </c>
      <c r="I4" s="46"/>
      <c r="J4" s="51">
        <f>IFERROR(J2/I2,0)</f>
        <v>0</v>
      </c>
      <c r="K4" s="46"/>
      <c r="L4" s="51">
        <f>IFERROR(L2/K2,0)</f>
        <v>0.5</v>
      </c>
      <c r="M4" s="52">
        <f>IFERROR(M2/G2,0)</f>
        <v>3.166666667</v>
      </c>
      <c r="N4" s="46"/>
      <c r="O4" s="51">
        <f>IFERROR(O2/N2,0)</f>
        <v>1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1796</v>
      </c>
      <c r="D5" s="125"/>
      <c r="E5" s="126">
        <f>SUMIFS(T:T,A:A,B5,D:D,"Y")</f>
        <v>1796</v>
      </c>
      <c r="F5" s="116">
        <f>SUMIF(A:A,B5,G:G)</f>
        <v>9</v>
      </c>
      <c r="G5" s="118">
        <f>SUMIF(A:A,B5,H:H)</f>
        <v>6</v>
      </c>
      <c r="H5" s="118">
        <f>SUMIF(A:A,B5,I:I)</f>
        <v>2</v>
      </c>
      <c r="I5" s="118">
        <f>SUMIF(A:A,B5,P:P)</f>
        <v>0</v>
      </c>
      <c r="J5" s="118">
        <f>SUMIF(A:A,B5,Q:Q)</f>
        <v>0</v>
      </c>
      <c r="K5" s="118">
        <f>SUMIF(A:A,B5,R:R)</f>
        <v>2</v>
      </c>
      <c r="L5" s="118">
        <f>SUMIF(A:A,B5,S:S)</f>
        <v>1</v>
      </c>
      <c r="M5" s="118">
        <f>SUMIF(A:A,B5,M:M)</f>
        <v>19</v>
      </c>
      <c r="N5" s="118">
        <f>SUMIF(A:A,B5,N:N)</f>
        <v>1</v>
      </c>
      <c r="O5" s="118">
        <f>SUMIF(A:A,B5,O:O)</f>
        <v>1</v>
      </c>
      <c r="P5" s="118">
        <f>SUMIF(A:A,B5,J:J)</f>
        <v>3</v>
      </c>
      <c r="Q5" s="118">
        <f>SUMIF(A:A,B5,K:K)</f>
        <v>0</v>
      </c>
      <c r="R5" s="118">
        <f>SUMIF(A:A,B5,L:L)</f>
        <v>2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898</v>
      </c>
      <c r="F7" s="51">
        <f>IFERROR((G5+R5)/F5,0)</f>
        <v>0.8888888889</v>
      </c>
      <c r="G7" s="51">
        <f>IFERROR(H5/G5,0)</f>
        <v>0.3333333333</v>
      </c>
      <c r="H7" s="50">
        <f>(C5/C7)</f>
        <v>112.25</v>
      </c>
      <c r="I7" s="46"/>
      <c r="J7" s="51">
        <f>IFERROR(J5/I5,0)</f>
        <v>0</v>
      </c>
      <c r="K7" s="46"/>
      <c r="L7" s="51">
        <f>IFERROR(L5/K5,0)</f>
        <v>0.5</v>
      </c>
      <c r="M7" s="53">
        <f>IFERROR(M5/SUM(R5+G5,0),"")</f>
        <v>2.375</v>
      </c>
      <c r="N7" s="46"/>
      <c r="O7" s="51">
        <f>IFERROR(O5/N5,0)</f>
        <v>1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1796</v>
      </c>
      <c r="D8" s="36"/>
      <c r="E8" s="37">
        <f>SUMIFS(T:T,B:B,B8,D:D,"Y")</f>
        <v>1796</v>
      </c>
      <c r="F8" s="38">
        <f>SUMIF(B19:B1129,B8,G19:G1129)</f>
        <v>9</v>
      </c>
      <c r="G8" s="39">
        <f>SUMIF(B19:B1129,B8,H19:H1129)</f>
        <v>6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1</v>
      </c>
      <c r="M8" s="39">
        <f>SUMIF(B19:B1129,B8,M19:M1129)</f>
        <v>19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3</v>
      </c>
      <c r="Q8" s="39">
        <f>SUMIF(B19:B1129,B8,K19:K1129)</f>
        <v>0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898</v>
      </c>
      <c r="F10" s="51">
        <f>IFERROR((G8+R8)/F8,0)</f>
        <v>0.8888888889</v>
      </c>
      <c r="G10" s="51">
        <f>IFERROR(H8/G8,0)</f>
        <v>0.3333333333</v>
      </c>
      <c r="H10" s="50">
        <f>(C8/C10)</f>
        <v>119.7333333</v>
      </c>
      <c r="I10" s="46"/>
      <c r="J10" s="51">
        <f>IFERROR(J8/I8,0)</f>
        <v>0</v>
      </c>
      <c r="K10" s="46"/>
      <c r="L10" s="51">
        <f>IFERROR(L8/K8,0)</f>
        <v>0.5</v>
      </c>
      <c r="M10" s="53">
        <f>IFERROR(M8/SUM(G8+R8,0),"")</f>
        <v>2.375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4" si="2">IFERROR(I20/H20,0)</f>
        <v>0</v>
      </c>
      <c r="V20" s="131">
        <f t="shared" ref="V20:V25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0.0</v>
      </c>
      <c r="H21" s="136">
        <v>0.0</v>
      </c>
      <c r="I21" s="136">
        <v>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0.0</v>
      </c>
      <c r="P21" s="136">
        <v>0.0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0.0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1.0</v>
      </c>
      <c r="H23" s="136">
        <v>0.0</v>
      </c>
      <c r="I23" s="136">
        <v>0.0</v>
      </c>
      <c r="J23" s="136">
        <v>0.0</v>
      </c>
      <c r="K23" s="136">
        <v>0.0</v>
      </c>
      <c r="L23" s="136">
        <v>0.0</v>
      </c>
      <c r="M23" s="136">
        <v>0.0</v>
      </c>
      <c r="N23" s="136">
        <v>0.0</v>
      </c>
      <c r="O23" s="136">
        <v>0.0</v>
      </c>
      <c r="P23" s="136">
        <v>0.0</v>
      </c>
      <c r="Q23" s="136">
        <v>0.0</v>
      </c>
      <c r="R23" s="136">
        <v>0.0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3" t="s">
        <v>26</v>
      </c>
      <c r="B24" s="144" t="s">
        <v>27</v>
      </c>
      <c r="C24" s="145" t="s">
        <v>51</v>
      </c>
      <c r="D24" s="146" t="s">
        <v>46</v>
      </c>
      <c r="E24" s="144" t="s">
        <v>47</v>
      </c>
      <c r="F24" s="145" t="s">
        <v>51</v>
      </c>
      <c r="G24" s="136">
        <v>0.0</v>
      </c>
      <c r="H24" s="136">
        <v>0.0</v>
      </c>
      <c r="I24" s="136">
        <v>0.0</v>
      </c>
      <c r="J24" s="136">
        <v>0.0</v>
      </c>
      <c r="K24" s="136">
        <v>0.0</v>
      </c>
      <c r="L24" s="136">
        <v>0.0</v>
      </c>
      <c r="M24" s="136">
        <v>0.0</v>
      </c>
      <c r="N24" s="136">
        <v>0.0</v>
      </c>
      <c r="O24" s="136">
        <v>0.0</v>
      </c>
      <c r="P24" s="136">
        <v>0.0</v>
      </c>
      <c r="Q24" s="136">
        <v>0.0</v>
      </c>
      <c r="R24" s="136">
        <v>0.0</v>
      </c>
      <c r="S24" s="136">
        <v>0.0</v>
      </c>
      <c r="T24" s="136">
        <v>0.0</v>
      </c>
      <c r="U24" s="131">
        <f t="shared" si="2"/>
        <v>0</v>
      </c>
      <c r="V24" s="131">
        <f t="shared" si="3"/>
        <v>0</v>
      </c>
    </row>
    <row r="25" ht="12.75" customHeight="1">
      <c r="A25" s="147" t="s">
        <v>26</v>
      </c>
      <c r="B25" s="148" t="s">
        <v>27</v>
      </c>
      <c r="C25" s="149" t="s">
        <v>51</v>
      </c>
      <c r="D25" s="84"/>
      <c r="E25" s="148" t="s">
        <v>47</v>
      </c>
      <c r="F25" s="149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53">
        <v>0.0</v>
      </c>
      <c r="V25" s="131">
        <f t="shared" si="3"/>
        <v>0</v>
      </c>
    </row>
    <row r="26" ht="12.75" customHeight="1">
      <c r="A26" s="147" t="s">
        <v>26</v>
      </c>
      <c r="B26" s="148" t="s">
        <v>27</v>
      </c>
      <c r="C26" s="149" t="s">
        <v>51</v>
      </c>
      <c r="D26" s="84"/>
      <c r="E26" s="148" t="s">
        <v>47</v>
      </c>
      <c r="F26" s="149" t="s">
        <v>53</v>
      </c>
      <c r="G26" s="136">
        <v>0.0</v>
      </c>
      <c r="H26" s="136">
        <v>0.0</v>
      </c>
      <c r="I26" s="136">
        <v>0.0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6">
        <v>0.0</v>
      </c>
      <c r="T26" s="136">
        <v>0.0</v>
      </c>
      <c r="U26" s="153">
        <v>0.0</v>
      </c>
      <c r="V26" s="153">
        <v>0.0</v>
      </c>
    </row>
    <row r="27" ht="12.75" customHeight="1">
      <c r="A27" s="147" t="s">
        <v>26</v>
      </c>
      <c r="B27" s="148" t="s">
        <v>27</v>
      </c>
      <c r="C27" s="149" t="s">
        <v>51</v>
      </c>
      <c r="D27" s="84"/>
      <c r="E27" s="148" t="s">
        <v>47</v>
      </c>
      <c r="F27" s="149" t="s">
        <v>54</v>
      </c>
      <c r="G27" s="136">
        <v>4.0</v>
      </c>
      <c r="H27" s="136">
        <v>1.0</v>
      </c>
      <c r="I27" s="136">
        <v>0.0</v>
      </c>
      <c r="J27" s="136">
        <v>1.0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1.0</v>
      </c>
      <c r="S27" s="136">
        <v>0.0</v>
      </c>
      <c r="T27" s="136">
        <v>0.0</v>
      </c>
      <c r="U27" s="131">
        <f t="shared" ref="U27:U35" si="4">IFERROR(I27/H27,0)</f>
        <v>0</v>
      </c>
      <c r="V27" s="131">
        <f t="shared" ref="V27:V35" si="5">IFERROR(SUM(H27+L27)/G27,0)</f>
        <v>0.25</v>
      </c>
    </row>
    <row r="28" ht="12.75" customHeight="1">
      <c r="A28" s="137" t="s">
        <v>26</v>
      </c>
      <c r="B28" s="138" t="s">
        <v>27</v>
      </c>
      <c r="C28" s="150" t="s">
        <v>55</v>
      </c>
      <c r="D28" s="151" t="s">
        <v>46</v>
      </c>
      <c r="E28" s="152" t="s">
        <v>47</v>
      </c>
      <c r="F28" s="150" t="s">
        <v>55</v>
      </c>
      <c r="G28" s="136">
        <v>3.0</v>
      </c>
      <c r="H28" s="136">
        <v>2.0</v>
      </c>
      <c r="I28" s="136">
        <v>2.0</v>
      </c>
      <c r="J28" s="136">
        <v>0.0</v>
      </c>
      <c r="K28" s="136">
        <v>0.0</v>
      </c>
      <c r="L28" s="136">
        <v>0.0</v>
      </c>
      <c r="M28" s="136">
        <v>7.0</v>
      </c>
      <c r="N28" s="136">
        <v>1.0</v>
      </c>
      <c r="O28" s="136">
        <v>1.0</v>
      </c>
      <c r="P28" s="136">
        <v>0.0</v>
      </c>
      <c r="Q28" s="136">
        <v>0.0</v>
      </c>
      <c r="R28" s="136">
        <v>1.0</v>
      </c>
      <c r="S28" s="136">
        <v>1.0</v>
      </c>
      <c r="T28" s="136">
        <v>1796.0</v>
      </c>
      <c r="U28" s="131">
        <f t="shared" si="4"/>
        <v>1</v>
      </c>
      <c r="V28" s="131">
        <f t="shared" si="5"/>
        <v>0.6666666667</v>
      </c>
    </row>
    <row r="29" ht="12.75" customHeight="1">
      <c r="A29" s="140" t="s">
        <v>26</v>
      </c>
      <c r="B29" s="141" t="s">
        <v>27</v>
      </c>
      <c r="C29" s="141" t="s">
        <v>55</v>
      </c>
      <c r="D29" s="75"/>
      <c r="E29" s="141" t="s">
        <v>47</v>
      </c>
      <c r="F29" s="63" t="s">
        <v>56</v>
      </c>
      <c r="G29" s="136">
        <v>0.0</v>
      </c>
      <c r="H29" s="136">
        <v>0.0</v>
      </c>
      <c r="I29" s="136">
        <v>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6">
        <v>0.0</v>
      </c>
      <c r="T29" s="136">
        <v>0.0</v>
      </c>
      <c r="U29" s="131">
        <f t="shared" si="4"/>
        <v>0</v>
      </c>
      <c r="V29" s="131">
        <f t="shared" si="5"/>
        <v>0</v>
      </c>
    </row>
    <row r="30" ht="12.75" customHeight="1">
      <c r="A30" s="140" t="s">
        <v>26</v>
      </c>
      <c r="B30" s="141" t="s">
        <v>27</v>
      </c>
      <c r="C30" s="141" t="s">
        <v>55</v>
      </c>
      <c r="D30" s="75"/>
      <c r="E30" s="142"/>
      <c r="F30" s="63" t="s">
        <v>57</v>
      </c>
      <c r="G30" s="136">
        <v>0.0</v>
      </c>
      <c r="H30" s="136">
        <v>0.0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4"/>
        <v>0</v>
      </c>
      <c r="V30" s="131">
        <f t="shared" si="5"/>
        <v>0</v>
      </c>
    </row>
    <row r="31" ht="12.75" customHeight="1">
      <c r="A31" s="140" t="s">
        <v>26</v>
      </c>
      <c r="B31" s="141" t="s">
        <v>27</v>
      </c>
      <c r="C31" s="141" t="s">
        <v>55</v>
      </c>
      <c r="D31" s="75"/>
      <c r="E31" s="142"/>
      <c r="F31" s="63" t="s">
        <v>58</v>
      </c>
      <c r="G31" s="136">
        <v>0.0</v>
      </c>
      <c r="H31" s="136">
        <v>0.0</v>
      </c>
      <c r="I31" s="136">
        <v>0.0</v>
      </c>
      <c r="J31" s="136">
        <v>0.0</v>
      </c>
      <c r="K31" s="136">
        <v>0.0</v>
      </c>
      <c r="L31" s="136">
        <v>0.0</v>
      </c>
      <c r="M31" s="136">
        <v>0.0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0.0</v>
      </c>
      <c r="U31" s="131">
        <f t="shared" si="4"/>
        <v>0</v>
      </c>
      <c r="V31" s="131">
        <f t="shared" si="5"/>
        <v>0</v>
      </c>
    </row>
    <row r="32" ht="12.75" customHeight="1">
      <c r="A32" s="140" t="s">
        <v>26</v>
      </c>
      <c r="B32" s="141" t="s">
        <v>27</v>
      </c>
      <c r="C32" s="141" t="s">
        <v>55</v>
      </c>
      <c r="D32" s="129"/>
      <c r="E32" s="142"/>
      <c r="F32" s="63" t="s">
        <v>59</v>
      </c>
      <c r="G32" s="136">
        <v>0.0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si="4"/>
        <v>0</v>
      </c>
      <c r="V32" s="131">
        <f t="shared" si="5"/>
        <v>0</v>
      </c>
    </row>
    <row r="33" ht="12.75" customHeight="1">
      <c r="A33" s="143" t="s">
        <v>26</v>
      </c>
      <c r="B33" s="144" t="s">
        <v>27</v>
      </c>
      <c r="C33" s="154" t="s">
        <v>60</v>
      </c>
      <c r="D33" s="146" t="s">
        <v>46</v>
      </c>
      <c r="E33" s="157"/>
      <c r="F33" s="154" t="s">
        <v>60</v>
      </c>
      <c r="G33" s="136">
        <v>1.0</v>
      </c>
      <c r="H33" s="136">
        <v>3.0</v>
      </c>
      <c r="I33" s="136">
        <v>0.0</v>
      </c>
      <c r="J33" s="136">
        <v>2.0</v>
      </c>
      <c r="K33" s="136">
        <v>0.0</v>
      </c>
      <c r="L33" s="136">
        <v>2.0</v>
      </c>
      <c r="M33" s="136">
        <v>12.0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6">
        <v>0.0</v>
      </c>
      <c r="T33" s="136">
        <v>0.0</v>
      </c>
      <c r="U33" s="131">
        <f t="shared" si="4"/>
        <v>0</v>
      </c>
      <c r="V33" s="131">
        <f t="shared" si="5"/>
        <v>5</v>
      </c>
    </row>
    <row r="34" ht="12.75" customHeight="1">
      <c r="A34" s="147" t="s">
        <v>26</v>
      </c>
      <c r="B34" s="148" t="s">
        <v>27</v>
      </c>
      <c r="C34" s="156" t="s">
        <v>60</v>
      </c>
      <c r="D34" s="84"/>
      <c r="E34" s="157"/>
      <c r="F34" s="156" t="s">
        <v>61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5"/>
        <v>0</v>
      </c>
    </row>
    <row r="35" ht="12.75" customHeight="1">
      <c r="A35" s="147" t="s">
        <v>26</v>
      </c>
      <c r="B35" s="148" t="s">
        <v>27</v>
      </c>
      <c r="C35" s="156" t="s">
        <v>60</v>
      </c>
      <c r="D35" s="84"/>
      <c r="E35" s="157"/>
      <c r="F35" s="156" t="s">
        <v>62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5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28" t="s">
        <v>28</v>
      </c>
      <c r="B37" s="129"/>
      <c r="C37" s="129"/>
      <c r="D37" s="158" t="s">
        <v>46</v>
      </c>
      <c r="E37" s="128" t="s">
        <v>47</v>
      </c>
      <c r="F37" s="128" t="s">
        <v>28</v>
      </c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>
        <f t="shared" ref="U37:U53" si="6">IFERROR(I37/H37,0)</f>
        <v>0</v>
      </c>
      <c r="V37" s="131">
        <f t="shared" ref="V37:V53" si="7">IFERROR(SUM(H37+L37)/G37,0)</f>
        <v>0</v>
      </c>
    </row>
    <row r="38" ht="12.75" customHeight="1">
      <c r="A38" s="132" t="s">
        <v>28</v>
      </c>
      <c r="B38" s="124" t="s">
        <v>29</v>
      </c>
      <c r="C38" s="159"/>
      <c r="D38" s="160" t="s">
        <v>46</v>
      </c>
      <c r="E38" s="135" t="s">
        <v>47</v>
      </c>
      <c r="F38" s="124" t="s">
        <v>29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si="6"/>
        <v>0</v>
      </c>
      <c r="V38" s="131">
        <f t="shared" si="7"/>
        <v>0</v>
      </c>
    </row>
    <row r="39" ht="12.75" customHeight="1">
      <c r="A39" s="143" t="s">
        <v>28</v>
      </c>
      <c r="B39" s="144" t="s">
        <v>29</v>
      </c>
      <c r="C39" s="145" t="s">
        <v>63</v>
      </c>
      <c r="D39" s="146" t="s">
        <v>46</v>
      </c>
      <c r="E39" s="144" t="s">
        <v>47</v>
      </c>
      <c r="F39" s="145" t="s">
        <v>63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6"/>
        <v>0</v>
      </c>
      <c r="V39" s="131">
        <f t="shared" si="7"/>
        <v>0</v>
      </c>
    </row>
    <row r="40" ht="12.75" customHeight="1">
      <c r="A40" s="147" t="s">
        <v>28</v>
      </c>
      <c r="B40" s="148" t="s">
        <v>29</v>
      </c>
      <c r="C40" s="147" t="s">
        <v>63</v>
      </c>
      <c r="D40" s="157"/>
      <c r="E40" s="148" t="s">
        <v>47</v>
      </c>
      <c r="F40" s="147" t="s">
        <v>64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6"/>
        <v>0</v>
      </c>
      <c r="V40" s="131">
        <f t="shared" si="7"/>
        <v>0</v>
      </c>
    </row>
    <row r="41" ht="12.75" customHeight="1">
      <c r="A41" s="147" t="s">
        <v>28</v>
      </c>
      <c r="B41" s="148" t="s">
        <v>29</v>
      </c>
      <c r="C41" s="147" t="s">
        <v>63</v>
      </c>
      <c r="D41" s="84"/>
      <c r="E41" s="161" t="s">
        <v>47</v>
      </c>
      <c r="F41" s="149" t="s">
        <v>65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6"/>
        <v>0</v>
      </c>
      <c r="V41" s="131">
        <f t="shared" si="7"/>
        <v>0</v>
      </c>
    </row>
    <row r="42" ht="12.75" customHeight="1">
      <c r="A42" s="147" t="s">
        <v>28</v>
      </c>
      <c r="B42" s="148" t="s">
        <v>29</v>
      </c>
      <c r="C42" s="147" t="s">
        <v>63</v>
      </c>
      <c r="D42" s="84"/>
      <c r="E42" s="161" t="s">
        <v>47</v>
      </c>
      <c r="F42" s="149" t="s">
        <v>66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6"/>
        <v>0</v>
      </c>
      <c r="V42" s="131">
        <f t="shared" si="7"/>
        <v>0</v>
      </c>
    </row>
    <row r="43" ht="12.75" customHeight="1">
      <c r="A43" s="147" t="s">
        <v>28</v>
      </c>
      <c r="B43" s="148" t="s">
        <v>29</v>
      </c>
      <c r="C43" s="147" t="s">
        <v>63</v>
      </c>
      <c r="D43" s="84"/>
      <c r="E43" s="161" t="s">
        <v>47</v>
      </c>
      <c r="F43" s="149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6"/>
        <v>0</v>
      </c>
      <c r="V43" s="131">
        <f t="shared" si="7"/>
        <v>0</v>
      </c>
    </row>
    <row r="44" ht="12.75" customHeight="1">
      <c r="A44" s="147" t="s">
        <v>28</v>
      </c>
      <c r="B44" s="148" t="s">
        <v>29</v>
      </c>
      <c r="C44" s="147" t="s">
        <v>63</v>
      </c>
      <c r="D44" s="84"/>
      <c r="E44" s="161" t="s">
        <v>47</v>
      </c>
      <c r="F44" s="149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6"/>
        <v>0</v>
      </c>
      <c r="V44" s="131">
        <f t="shared" si="7"/>
        <v>0</v>
      </c>
    </row>
    <row r="45" ht="12.75" customHeight="1">
      <c r="A45" s="147" t="s">
        <v>28</v>
      </c>
      <c r="B45" s="148" t="s">
        <v>29</v>
      </c>
      <c r="C45" s="147" t="s">
        <v>63</v>
      </c>
      <c r="D45" s="84"/>
      <c r="E45" s="148" t="s">
        <v>47</v>
      </c>
      <c r="F45" s="149" t="s">
        <v>69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6"/>
        <v>0</v>
      </c>
      <c r="V45" s="131">
        <f t="shared" si="7"/>
        <v>0</v>
      </c>
    </row>
    <row r="46" ht="12.75" customHeight="1">
      <c r="A46" s="147" t="s">
        <v>28</v>
      </c>
      <c r="B46" s="148" t="s">
        <v>29</v>
      </c>
      <c r="C46" s="147" t="s">
        <v>63</v>
      </c>
      <c r="D46" s="84"/>
      <c r="E46" s="148" t="s">
        <v>47</v>
      </c>
      <c r="F46" s="149" t="s">
        <v>70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6"/>
        <v>0</v>
      </c>
      <c r="V46" s="131">
        <f t="shared" si="7"/>
        <v>0</v>
      </c>
    </row>
    <row r="47" ht="12.75" customHeight="1">
      <c r="A47" s="147" t="s">
        <v>28</v>
      </c>
      <c r="B47" s="148" t="s">
        <v>29</v>
      </c>
      <c r="C47" s="147" t="s">
        <v>63</v>
      </c>
      <c r="D47" s="162"/>
      <c r="E47" s="148" t="s">
        <v>47</v>
      </c>
      <c r="F47" s="156" t="s">
        <v>71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6"/>
        <v>0</v>
      </c>
      <c r="V47" s="131">
        <f t="shared" si="7"/>
        <v>0</v>
      </c>
    </row>
    <row r="48" ht="12.75" customHeight="1">
      <c r="A48" s="147" t="s">
        <v>28</v>
      </c>
      <c r="B48" s="148" t="s">
        <v>29</v>
      </c>
      <c r="C48" s="147" t="s">
        <v>63</v>
      </c>
      <c r="D48" s="162"/>
      <c r="E48" s="148" t="s">
        <v>47</v>
      </c>
      <c r="F48" s="156" t="s">
        <v>72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6"/>
        <v>0</v>
      </c>
      <c r="V48" s="131">
        <f t="shared" si="7"/>
        <v>0</v>
      </c>
    </row>
    <row r="49" ht="12.75" customHeight="1">
      <c r="A49" s="147" t="s">
        <v>28</v>
      </c>
      <c r="B49" s="148" t="s">
        <v>29</v>
      </c>
      <c r="C49" s="147" t="s">
        <v>63</v>
      </c>
      <c r="D49" s="162"/>
      <c r="E49" s="148" t="s">
        <v>73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6"/>
        <v>0</v>
      </c>
      <c r="V49" s="131">
        <f t="shared" si="7"/>
        <v>0</v>
      </c>
    </row>
    <row r="50" ht="12.75" customHeight="1">
      <c r="A50" s="147" t="s">
        <v>28</v>
      </c>
      <c r="B50" s="148" t="s">
        <v>29</v>
      </c>
      <c r="C50" s="147" t="s">
        <v>63</v>
      </c>
      <c r="D50" s="162"/>
      <c r="E50" s="148" t="s">
        <v>75</v>
      </c>
      <c r="F50" s="156" t="s">
        <v>76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6"/>
        <v>0</v>
      </c>
      <c r="V50" s="131">
        <f t="shared" si="7"/>
        <v>0</v>
      </c>
    </row>
    <row r="51" ht="12.75" customHeight="1">
      <c r="A51" s="147" t="s">
        <v>28</v>
      </c>
      <c r="B51" s="148" t="s">
        <v>29</v>
      </c>
      <c r="C51" s="147" t="s">
        <v>63</v>
      </c>
      <c r="D51" s="162"/>
      <c r="E51" s="157"/>
      <c r="F51" s="156" t="s">
        <v>77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6"/>
        <v>0</v>
      </c>
      <c r="V51" s="131">
        <f t="shared" si="7"/>
        <v>0</v>
      </c>
    </row>
    <row r="52" ht="12.75" customHeight="1">
      <c r="A52" s="147" t="s">
        <v>28</v>
      </c>
      <c r="B52" s="148" t="s">
        <v>29</v>
      </c>
      <c r="C52" s="147" t="s">
        <v>63</v>
      </c>
      <c r="D52" s="162"/>
      <c r="E52" s="148" t="s">
        <v>47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6"/>
        <v>0</v>
      </c>
      <c r="V52" s="131">
        <f t="shared" si="7"/>
        <v>0</v>
      </c>
    </row>
    <row r="53" ht="12.75" customHeight="1">
      <c r="A53" s="147" t="s">
        <v>28</v>
      </c>
      <c r="B53" s="148" t="s">
        <v>29</v>
      </c>
      <c r="C53" s="147" t="s">
        <v>63</v>
      </c>
      <c r="D53" s="162"/>
      <c r="E53" s="148" t="s">
        <v>47</v>
      </c>
      <c r="F53" s="156" t="s">
        <v>79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6"/>
        <v>0</v>
      </c>
      <c r="V53" s="131">
        <f t="shared" si="7"/>
        <v>0</v>
      </c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3"/>
      <c r="B201" s="163"/>
      <c r="C201" s="163"/>
      <c r="D201" s="1"/>
      <c r="E201" s="163"/>
      <c r="F201" s="11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5"/>
      <c r="V201" s="165"/>
    </row>
    <row r="202" ht="12.75" customHeight="1">
      <c r="A202" s="163"/>
      <c r="B202" s="163"/>
      <c r="C202" s="163"/>
      <c r="D202" s="1"/>
      <c r="E202" s="163"/>
      <c r="F202" s="11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5"/>
      <c r="V202" s="165"/>
    </row>
    <row r="203" ht="12.75" customHeight="1">
      <c r="A203" s="163"/>
      <c r="B203" s="163"/>
      <c r="C203" s="163"/>
      <c r="D203" s="1"/>
      <c r="E203" s="163"/>
      <c r="F203" s="11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5"/>
      <c r="V203" s="165"/>
    </row>
    <row r="204" ht="12.75" customHeight="1">
      <c r="A204" s="163"/>
      <c r="B204" s="163"/>
      <c r="C204" s="163"/>
      <c r="D204" s="1"/>
      <c r="E204" s="163"/>
      <c r="F204" s="11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5"/>
      <c r="V204" s="165"/>
    </row>
    <row r="205" ht="12.75" customHeight="1">
      <c r="A205" s="163"/>
      <c r="B205" s="163"/>
      <c r="C205" s="163"/>
      <c r="D205" s="1"/>
      <c r="E205" s="163"/>
      <c r="F205" s="11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5"/>
      <c r="V205" s="165"/>
    </row>
    <row r="206" ht="12.75" customHeight="1">
      <c r="A206" s="163"/>
      <c r="B206" s="163"/>
      <c r="C206" s="163"/>
      <c r="D206" s="1"/>
      <c r="E206" s="163"/>
      <c r="F206" s="11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5"/>
      <c r="V206" s="165"/>
    </row>
    <row r="207" ht="12.75" customHeight="1">
      <c r="A207" s="163"/>
      <c r="B207" s="163"/>
      <c r="C207" s="163"/>
      <c r="D207" s="1"/>
      <c r="E207" s="163"/>
      <c r="F207" s="11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5"/>
      <c r="V207" s="165"/>
    </row>
    <row r="208" ht="12.75" customHeight="1">
      <c r="A208" s="163"/>
      <c r="B208" s="163"/>
      <c r="C208" s="163"/>
      <c r="D208" s="1"/>
      <c r="E208" s="163"/>
      <c r="F208" s="11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5"/>
      <c r="V208" s="165"/>
    </row>
    <row r="209" ht="12.75" customHeight="1">
      <c r="A209" s="163"/>
      <c r="B209" s="163"/>
      <c r="C209" s="163"/>
      <c r="D209" s="1"/>
      <c r="E209" s="163"/>
      <c r="F209" s="11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5"/>
      <c r="V209" s="165"/>
    </row>
    <row r="210" ht="12.75" customHeight="1">
      <c r="A210" s="163"/>
      <c r="B210" s="163"/>
      <c r="C210" s="163"/>
      <c r="D210" s="1"/>
      <c r="E210" s="163"/>
      <c r="F210" s="11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5"/>
      <c r="V210" s="165"/>
    </row>
    <row r="211" ht="12.75" customHeight="1">
      <c r="A211" s="163"/>
      <c r="B211" s="163"/>
      <c r="C211" s="163"/>
      <c r="D211" s="1"/>
      <c r="E211" s="163"/>
      <c r="F211" s="11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5"/>
      <c r="V211" s="165"/>
    </row>
    <row r="212" ht="12.75" customHeight="1">
      <c r="A212" s="163"/>
      <c r="B212" s="163"/>
      <c r="C212" s="163"/>
      <c r="D212" s="1"/>
      <c r="E212" s="163"/>
      <c r="F212" s="11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5"/>
      <c r="V212" s="165"/>
    </row>
    <row r="213" ht="12.75" customHeight="1">
      <c r="A213" s="163"/>
      <c r="B213" s="163"/>
      <c r="C213" s="163"/>
      <c r="D213" s="1"/>
      <c r="E213" s="163"/>
      <c r="F213" s="11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5"/>
      <c r="V213" s="165"/>
    </row>
    <row r="214" ht="12.75" customHeight="1">
      <c r="A214" s="163"/>
      <c r="B214" s="163"/>
      <c r="C214" s="163"/>
      <c r="D214" s="1"/>
      <c r="E214" s="163"/>
      <c r="F214" s="11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5"/>
      <c r="V214" s="165"/>
    </row>
    <row r="215" ht="12.75" customHeight="1">
      <c r="A215" s="163"/>
      <c r="B215" s="163"/>
      <c r="C215" s="163"/>
      <c r="D215" s="1"/>
      <c r="E215" s="163"/>
      <c r="F215" s="11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5"/>
      <c r="V215" s="165"/>
    </row>
    <row r="216" ht="12.75" customHeight="1">
      <c r="A216" s="163"/>
      <c r="B216" s="163"/>
      <c r="C216" s="163"/>
      <c r="D216" s="1"/>
      <c r="E216" s="163"/>
      <c r="F216" s="11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5"/>
      <c r="V216" s="165"/>
    </row>
    <row r="217" ht="12.75" customHeight="1">
      <c r="A217" s="163"/>
      <c r="B217" s="163"/>
      <c r="C217" s="163"/>
      <c r="D217" s="1"/>
      <c r="E217" s="163"/>
      <c r="F217" s="11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5"/>
      <c r="V217" s="165"/>
    </row>
    <row r="218" ht="12.75" customHeight="1">
      <c r="A218" s="163"/>
      <c r="B218" s="163"/>
      <c r="C218" s="163"/>
      <c r="D218" s="1"/>
      <c r="E218" s="163"/>
      <c r="F218" s="11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5"/>
      <c r="V218" s="165"/>
    </row>
    <row r="219" ht="12.75" customHeight="1">
      <c r="A219" s="163"/>
      <c r="B219" s="163"/>
      <c r="C219" s="163"/>
      <c r="D219" s="1"/>
      <c r="E219" s="163"/>
      <c r="F219" s="11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5"/>
      <c r="V219" s="165"/>
    </row>
    <row r="220" ht="12.75" customHeight="1">
      <c r="A220" s="163"/>
      <c r="B220" s="163"/>
      <c r="C220" s="163"/>
      <c r="D220" s="1"/>
      <c r="E220" s="163"/>
      <c r="F220" s="11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5"/>
      <c r="V220" s="165"/>
    </row>
    <row r="221" ht="12.75" customHeight="1">
      <c r="A221" s="163"/>
      <c r="B221" s="163"/>
      <c r="C221" s="163"/>
      <c r="D221" s="1"/>
      <c r="E221" s="163"/>
      <c r="F221" s="11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5"/>
      <c r="V221" s="165"/>
    </row>
    <row r="222" ht="12.75" customHeight="1">
      <c r="A222" s="163"/>
      <c r="B222" s="163"/>
      <c r="C222" s="163"/>
      <c r="D222" s="1"/>
      <c r="E222" s="163"/>
      <c r="F222" s="11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5"/>
      <c r="V222" s="165"/>
    </row>
    <row r="223" ht="12.75" customHeight="1">
      <c r="A223" s="163"/>
      <c r="B223" s="163"/>
      <c r="C223" s="163"/>
      <c r="D223" s="1"/>
      <c r="E223" s="163"/>
      <c r="F223" s="11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5"/>
      <c r="V223" s="165"/>
    </row>
    <row r="224" ht="12.75" customHeight="1">
      <c r="A224" s="163"/>
      <c r="B224" s="163"/>
      <c r="C224" s="163"/>
      <c r="D224" s="1"/>
      <c r="E224" s="163"/>
      <c r="F224" s="11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5"/>
      <c r="V224" s="165"/>
    </row>
    <row r="225" ht="12.75" customHeight="1">
      <c r="A225" s="163"/>
      <c r="B225" s="163"/>
      <c r="C225" s="163"/>
      <c r="D225" s="1"/>
      <c r="E225" s="163"/>
      <c r="F225" s="11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5"/>
      <c r="V225" s="165"/>
    </row>
    <row r="226" ht="12.75" customHeight="1">
      <c r="A226" s="163"/>
      <c r="B226" s="163"/>
      <c r="C226" s="163"/>
      <c r="D226" s="1"/>
      <c r="E226" s="163"/>
      <c r="F226" s="11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5"/>
      <c r="V226" s="165"/>
    </row>
    <row r="227" ht="12.75" customHeight="1">
      <c r="A227" s="163"/>
      <c r="B227" s="163"/>
      <c r="C227" s="163"/>
      <c r="D227" s="1"/>
      <c r="E227" s="163"/>
      <c r="F227" s="11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5"/>
      <c r="V227" s="165"/>
    </row>
    <row r="228" ht="12.75" customHeight="1">
      <c r="A228" s="163"/>
      <c r="B228" s="163"/>
      <c r="C228" s="163"/>
      <c r="D228" s="1"/>
      <c r="E228" s="163"/>
      <c r="F228" s="11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5"/>
      <c r="V228" s="165"/>
    </row>
    <row r="229" ht="12.75" customHeight="1">
      <c r="A229" s="163"/>
      <c r="B229" s="163"/>
      <c r="C229" s="163"/>
      <c r="D229" s="1"/>
      <c r="E229" s="163"/>
      <c r="F229" s="11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5"/>
      <c r="V229" s="165"/>
    </row>
    <row r="230" ht="12.75" customHeight="1">
      <c r="A230" s="163"/>
      <c r="B230" s="163"/>
      <c r="C230" s="163"/>
      <c r="D230" s="1"/>
      <c r="E230" s="163"/>
      <c r="F230" s="11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5"/>
      <c r="V230" s="165"/>
    </row>
    <row r="231" ht="12.75" customHeight="1">
      <c r="A231" s="163"/>
      <c r="B231" s="163"/>
      <c r="C231" s="163"/>
      <c r="D231" s="1"/>
      <c r="E231" s="163"/>
      <c r="F231" s="11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5"/>
      <c r="V231" s="165"/>
    </row>
    <row r="232" ht="12.75" customHeight="1">
      <c r="A232" s="163"/>
      <c r="B232" s="163"/>
      <c r="C232" s="163"/>
      <c r="D232" s="1"/>
      <c r="E232" s="163"/>
      <c r="F232" s="11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5"/>
      <c r="V232" s="165"/>
    </row>
    <row r="233" ht="12.75" customHeight="1">
      <c r="A233" s="163"/>
      <c r="B233" s="163"/>
      <c r="C233" s="163"/>
      <c r="D233" s="1"/>
      <c r="E233" s="163"/>
      <c r="F233" s="11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5"/>
      <c r="V233" s="165"/>
    </row>
    <row r="234" ht="12.75" customHeight="1">
      <c r="A234" s="163"/>
      <c r="B234" s="163"/>
      <c r="C234" s="163"/>
      <c r="D234" s="1"/>
      <c r="E234" s="163"/>
      <c r="F234" s="11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5"/>
      <c r="V234" s="165"/>
    </row>
    <row r="235" ht="12.75" customHeight="1">
      <c r="A235" s="163"/>
      <c r="B235" s="163"/>
      <c r="C235" s="163"/>
      <c r="D235" s="1"/>
      <c r="E235" s="163"/>
      <c r="F235" s="11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5"/>
      <c r="V235" s="165"/>
    </row>
    <row r="236" ht="12.75" customHeight="1">
      <c r="A236" s="163"/>
      <c r="B236" s="163"/>
      <c r="C236" s="163"/>
      <c r="D236" s="1"/>
      <c r="E236" s="163"/>
      <c r="F236" s="11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5"/>
      <c r="V236" s="165"/>
    </row>
    <row r="237" ht="12.75" customHeight="1">
      <c r="A237" s="163"/>
      <c r="B237" s="163"/>
      <c r="C237" s="163"/>
      <c r="D237" s="1"/>
      <c r="E237" s="163"/>
      <c r="F237" s="11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5"/>
      <c r="V237" s="165"/>
    </row>
    <row r="238" ht="12.75" customHeight="1">
      <c r="A238" s="163"/>
      <c r="B238" s="163"/>
      <c r="C238" s="163"/>
      <c r="D238" s="1"/>
      <c r="E238" s="163"/>
      <c r="F238" s="11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5"/>
      <c r="V238" s="165"/>
    </row>
    <row r="239" ht="12.75" customHeight="1">
      <c r="A239" s="163"/>
      <c r="B239" s="163"/>
      <c r="C239" s="163"/>
      <c r="D239" s="1"/>
      <c r="E239" s="163"/>
      <c r="F239" s="11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5"/>
      <c r="V239" s="165"/>
    </row>
    <row r="240" ht="12.75" customHeight="1">
      <c r="A240" s="163"/>
      <c r="B240" s="163"/>
      <c r="C240" s="163"/>
      <c r="D240" s="1"/>
      <c r="E240" s="163"/>
      <c r="F240" s="11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5"/>
      <c r="V240" s="165"/>
    </row>
    <row r="241" ht="12.75" customHeight="1">
      <c r="A241" s="163"/>
      <c r="B241" s="163"/>
      <c r="C241" s="163"/>
      <c r="D241" s="1"/>
      <c r="E241" s="163"/>
      <c r="F241" s="11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5"/>
      <c r="V241" s="165"/>
    </row>
    <row r="242" ht="12.75" customHeight="1">
      <c r="A242" s="163"/>
      <c r="B242" s="163"/>
      <c r="C242" s="163"/>
      <c r="D242" s="1"/>
      <c r="E242" s="163"/>
      <c r="F242" s="11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5"/>
      <c r="V242" s="165"/>
    </row>
    <row r="243" ht="12.75" customHeight="1">
      <c r="A243" s="163"/>
      <c r="B243" s="163"/>
      <c r="C243" s="163"/>
      <c r="D243" s="1"/>
      <c r="E243" s="163"/>
      <c r="F243" s="11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5"/>
      <c r="V243" s="165"/>
    </row>
    <row r="244" ht="12.75" customHeight="1">
      <c r="A244" s="163"/>
      <c r="B244" s="163"/>
      <c r="C244" s="163"/>
      <c r="D244" s="1"/>
      <c r="E244" s="163"/>
      <c r="F244" s="11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5"/>
      <c r="V244" s="165"/>
    </row>
    <row r="245" ht="12.75" customHeight="1">
      <c r="A245" s="163"/>
      <c r="B245" s="163"/>
      <c r="C245" s="163"/>
      <c r="D245" s="1"/>
      <c r="E245" s="163"/>
      <c r="F245" s="11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5"/>
      <c r="V245" s="165"/>
    </row>
    <row r="246" ht="12.75" customHeight="1">
      <c r="A246" s="163"/>
      <c r="B246" s="163"/>
      <c r="C246" s="163"/>
      <c r="D246" s="1"/>
      <c r="E246" s="163"/>
      <c r="F246" s="11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5"/>
      <c r="V246" s="165"/>
    </row>
    <row r="247" ht="12.75" customHeight="1">
      <c r="A247" s="163"/>
      <c r="B247" s="163"/>
      <c r="C247" s="163"/>
      <c r="D247" s="1"/>
      <c r="E247" s="163"/>
      <c r="F247" s="11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5"/>
      <c r="V247" s="165"/>
    </row>
    <row r="248" ht="12.75" customHeight="1">
      <c r="A248" s="163"/>
      <c r="B248" s="163"/>
      <c r="C248" s="163"/>
      <c r="D248" s="1"/>
      <c r="E248" s="163"/>
      <c r="F248" s="11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5"/>
      <c r="V248" s="165"/>
    </row>
    <row r="249" ht="12.75" customHeight="1">
      <c r="A249" s="163"/>
      <c r="B249" s="163"/>
      <c r="C249" s="163"/>
      <c r="D249" s="1"/>
      <c r="E249" s="163"/>
      <c r="F249" s="11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5"/>
      <c r="V249" s="165"/>
    </row>
    <row r="250" ht="12.75" customHeight="1">
      <c r="A250" s="163"/>
      <c r="B250" s="163"/>
      <c r="C250" s="163"/>
      <c r="D250" s="1"/>
      <c r="E250" s="163"/>
      <c r="F250" s="11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5"/>
      <c r="V250" s="165"/>
    </row>
    <row r="251" ht="12.75" customHeight="1">
      <c r="A251" s="163"/>
      <c r="B251" s="163"/>
      <c r="C251" s="163"/>
      <c r="D251" s="1"/>
      <c r="E251" s="163"/>
      <c r="F251" s="11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5"/>
      <c r="V251" s="165"/>
    </row>
    <row r="252" ht="12.75" customHeight="1">
      <c r="A252" s="163"/>
      <c r="B252" s="163"/>
      <c r="C252" s="163"/>
      <c r="D252" s="1"/>
      <c r="E252" s="163"/>
      <c r="F252" s="11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5"/>
      <c r="V252" s="165"/>
    </row>
    <row r="253" ht="12.75" customHeight="1">
      <c r="A253" s="163"/>
      <c r="B253" s="163"/>
      <c r="C253" s="163"/>
      <c r="D253" s="1"/>
      <c r="E253" s="163"/>
      <c r="F253" s="11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5"/>
      <c r="V253" s="165"/>
    </row>
    <row r="254" ht="12.75" customHeight="1">
      <c r="A254" s="163"/>
      <c r="B254" s="163"/>
      <c r="C254" s="163"/>
      <c r="D254" s="1"/>
      <c r="E254" s="163"/>
      <c r="F254" s="11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5"/>
      <c r="V254" s="165"/>
    </row>
    <row r="255" ht="12.75" customHeight="1">
      <c r="A255" s="163"/>
      <c r="B255" s="163"/>
      <c r="C255" s="163"/>
      <c r="D255" s="1"/>
      <c r="E255" s="163"/>
      <c r="F255" s="11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5"/>
      <c r="V255" s="165"/>
    </row>
    <row r="256" ht="12.75" customHeight="1">
      <c r="A256" s="163"/>
      <c r="B256" s="163"/>
      <c r="C256" s="163"/>
      <c r="D256" s="1"/>
      <c r="E256" s="163"/>
      <c r="F256" s="11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5"/>
      <c r="V256" s="165"/>
    </row>
    <row r="257" ht="12.75" customHeight="1">
      <c r="A257" s="163"/>
      <c r="B257" s="163"/>
      <c r="C257" s="163"/>
      <c r="D257" s="1"/>
      <c r="E257" s="163"/>
      <c r="F257" s="11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5"/>
      <c r="V257" s="165"/>
    </row>
    <row r="258" ht="12.75" customHeight="1">
      <c r="A258" s="163"/>
      <c r="B258" s="163"/>
      <c r="C258" s="163"/>
      <c r="D258" s="1"/>
      <c r="E258" s="163"/>
      <c r="F258" s="11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5"/>
      <c r="V258" s="165"/>
    </row>
    <row r="259" ht="12.75" customHeight="1">
      <c r="A259" s="163"/>
      <c r="B259" s="163"/>
      <c r="C259" s="163"/>
      <c r="D259" s="1"/>
      <c r="E259" s="163"/>
      <c r="F259" s="11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5"/>
      <c r="V259" s="165"/>
    </row>
    <row r="260" ht="12.75" customHeight="1">
      <c r="A260" s="163"/>
      <c r="B260" s="163"/>
      <c r="C260" s="163"/>
      <c r="D260" s="1"/>
      <c r="E260" s="163"/>
      <c r="F260" s="11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5"/>
      <c r="V260" s="165"/>
    </row>
    <row r="261" ht="12.75" customHeight="1">
      <c r="A261" s="163"/>
      <c r="B261" s="163"/>
      <c r="C261" s="163"/>
      <c r="D261" s="1"/>
      <c r="E261" s="163"/>
      <c r="F261" s="11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5"/>
      <c r="V261" s="165"/>
    </row>
    <row r="262" ht="12.75" customHeight="1">
      <c r="A262" s="163"/>
      <c r="B262" s="163"/>
      <c r="C262" s="163"/>
      <c r="D262" s="1"/>
      <c r="E262" s="163"/>
      <c r="F262" s="11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5"/>
      <c r="V262" s="165"/>
    </row>
    <row r="263" ht="12.75" customHeight="1">
      <c r="A263" s="163"/>
      <c r="B263" s="163"/>
      <c r="C263" s="163"/>
      <c r="D263" s="1"/>
      <c r="E263" s="163"/>
      <c r="F263" s="11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5"/>
      <c r="V263" s="165"/>
    </row>
    <row r="264" ht="12.75" customHeight="1">
      <c r="A264" s="163"/>
      <c r="B264" s="163"/>
      <c r="C264" s="163"/>
      <c r="D264" s="1"/>
      <c r="E264" s="163"/>
      <c r="F264" s="11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5"/>
      <c r="V264" s="165"/>
    </row>
    <row r="265" ht="12.75" customHeight="1">
      <c r="A265" s="163"/>
      <c r="B265" s="163"/>
      <c r="C265" s="163"/>
      <c r="D265" s="1"/>
      <c r="E265" s="163"/>
      <c r="F265" s="11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5"/>
      <c r="V265" s="165"/>
    </row>
    <row r="266" ht="12.75" customHeight="1">
      <c r="A266" s="163"/>
      <c r="B266" s="163"/>
      <c r="C266" s="163"/>
      <c r="D266" s="1"/>
      <c r="E266" s="163"/>
      <c r="F266" s="11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5"/>
      <c r="V266" s="165"/>
    </row>
    <row r="267" ht="12.75" customHeight="1">
      <c r="A267" s="163"/>
      <c r="B267" s="163"/>
      <c r="C267" s="163"/>
      <c r="D267" s="1"/>
      <c r="E267" s="163"/>
      <c r="F267" s="11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5"/>
      <c r="V267" s="165"/>
    </row>
    <row r="268" ht="12.75" customHeight="1">
      <c r="A268" s="163"/>
      <c r="B268" s="163"/>
      <c r="C268" s="163"/>
      <c r="D268" s="1"/>
      <c r="E268" s="163"/>
      <c r="F268" s="11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5"/>
      <c r="V268" s="165"/>
    </row>
    <row r="269" ht="12.75" customHeight="1">
      <c r="A269" s="163"/>
      <c r="B269" s="163"/>
      <c r="C269" s="163"/>
      <c r="D269" s="1"/>
      <c r="E269" s="163"/>
      <c r="F269" s="11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5"/>
      <c r="V269" s="165"/>
    </row>
    <row r="270" ht="12.75" customHeight="1">
      <c r="A270" s="163"/>
      <c r="B270" s="163"/>
      <c r="C270" s="163"/>
      <c r="D270" s="1"/>
      <c r="E270" s="163"/>
      <c r="F270" s="11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5"/>
      <c r="V270" s="165"/>
    </row>
    <row r="271" ht="12.75" customHeight="1">
      <c r="A271" s="163"/>
      <c r="B271" s="163"/>
      <c r="C271" s="163"/>
      <c r="D271" s="1"/>
      <c r="E271" s="163"/>
      <c r="F271" s="11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5"/>
      <c r="V271" s="165"/>
    </row>
    <row r="272" ht="12.75" customHeight="1">
      <c r="A272" s="163"/>
      <c r="B272" s="163"/>
      <c r="C272" s="163"/>
      <c r="D272" s="1"/>
      <c r="E272" s="163"/>
      <c r="F272" s="11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5"/>
      <c r="V272" s="165"/>
    </row>
    <row r="273" ht="12.75" customHeight="1">
      <c r="A273" s="163"/>
      <c r="B273" s="163"/>
      <c r="C273" s="163"/>
      <c r="D273" s="1"/>
      <c r="E273" s="163"/>
      <c r="F273" s="11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5"/>
      <c r="V273" s="165"/>
    </row>
    <row r="274" ht="12.75" customHeight="1">
      <c r="A274" s="163"/>
      <c r="B274" s="163"/>
      <c r="C274" s="163"/>
      <c r="D274" s="1"/>
      <c r="E274" s="163"/>
      <c r="F274" s="11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5"/>
      <c r="V274" s="165"/>
    </row>
    <row r="275" ht="12.75" customHeight="1">
      <c r="A275" s="163"/>
      <c r="B275" s="163"/>
      <c r="C275" s="163"/>
      <c r="D275" s="1"/>
      <c r="E275" s="163"/>
      <c r="F275" s="11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5"/>
      <c r="V275" s="165"/>
    </row>
    <row r="276" ht="12.75" customHeight="1">
      <c r="A276" s="163"/>
      <c r="B276" s="163"/>
      <c r="C276" s="163"/>
      <c r="D276" s="1"/>
      <c r="E276" s="163"/>
      <c r="F276" s="11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5"/>
      <c r="V276" s="165"/>
    </row>
    <row r="277" ht="12.75" customHeight="1">
      <c r="A277" s="163"/>
      <c r="B277" s="163"/>
      <c r="C277" s="163"/>
      <c r="D277" s="1"/>
      <c r="E277" s="163"/>
      <c r="F277" s="11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5"/>
      <c r="V277" s="165"/>
    </row>
    <row r="278" ht="12.75" customHeight="1">
      <c r="A278" s="163"/>
      <c r="B278" s="163"/>
      <c r="C278" s="163"/>
      <c r="D278" s="1"/>
      <c r="E278" s="163"/>
      <c r="F278" s="11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5"/>
      <c r="V278" s="165"/>
    </row>
    <row r="279" ht="12.75" customHeight="1">
      <c r="A279" s="163"/>
      <c r="B279" s="163"/>
      <c r="C279" s="163"/>
      <c r="D279" s="1"/>
      <c r="E279" s="163"/>
      <c r="F279" s="11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5"/>
      <c r="V279" s="165"/>
    </row>
    <row r="280" ht="12.75" customHeight="1">
      <c r="A280" s="163"/>
      <c r="B280" s="163"/>
      <c r="C280" s="163"/>
      <c r="D280" s="1"/>
      <c r="E280" s="163"/>
      <c r="F280" s="11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5"/>
      <c r="V280" s="165"/>
    </row>
    <row r="281" ht="12.75" customHeight="1">
      <c r="A281" s="163"/>
      <c r="B281" s="163"/>
      <c r="C281" s="163"/>
      <c r="D281" s="1"/>
      <c r="E281" s="163"/>
      <c r="F281" s="11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5"/>
      <c r="V281" s="165"/>
    </row>
    <row r="282" ht="12.75" customHeight="1">
      <c r="A282" s="163"/>
      <c r="B282" s="163"/>
      <c r="C282" s="163"/>
      <c r="D282" s="1"/>
      <c r="E282" s="163"/>
      <c r="F282" s="11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5"/>
      <c r="V282" s="165"/>
    </row>
    <row r="283" ht="12.75" customHeight="1">
      <c r="A283" s="163"/>
      <c r="B283" s="163"/>
      <c r="C283" s="163"/>
      <c r="D283" s="1"/>
      <c r="E283" s="163"/>
      <c r="F283" s="11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5"/>
      <c r="V283" s="165"/>
    </row>
    <row r="284" ht="12.75" customHeight="1">
      <c r="A284" s="163"/>
      <c r="B284" s="163"/>
      <c r="C284" s="163"/>
      <c r="D284" s="1"/>
      <c r="E284" s="163"/>
      <c r="F284" s="11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5"/>
      <c r="V284" s="165"/>
    </row>
    <row r="285" ht="12.75" customHeight="1">
      <c r="A285" s="163"/>
      <c r="B285" s="163"/>
      <c r="C285" s="163"/>
      <c r="D285" s="1"/>
      <c r="E285" s="163"/>
      <c r="F285" s="11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5"/>
      <c r="V285" s="165"/>
    </row>
    <row r="286" ht="12.75" customHeight="1">
      <c r="A286" s="163"/>
      <c r="B286" s="163"/>
      <c r="C286" s="163"/>
      <c r="D286" s="1"/>
      <c r="E286" s="163"/>
      <c r="F286" s="11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5"/>
      <c r="V286" s="165"/>
    </row>
    <row r="287" ht="12.75" customHeight="1">
      <c r="A287" s="163"/>
      <c r="B287" s="163"/>
      <c r="C287" s="163"/>
      <c r="D287" s="1"/>
      <c r="E287" s="163"/>
      <c r="F287" s="11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5"/>
      <c r="V287" s="165"/>
    </row>
    <row r="288" ht="12.75" customHeight="1">
      <c r="A288" s="163"/>
      <c r="B288" s="163"/>
      <c r="C288" s="163"/>
      <c r="D288" s="1"/>
      <c r="E288" s="163"/>
      <c r="F288" s="11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5"/>
      <c r="V288" s="165"/>
    </row>
    <row r="289" ht="12.75" customHeight="1">
      <c r="A289" s="163"/>
      <c r="B289" s="163"/>
      <c r="C289" s="163"/>
      <c r="D289" s="1"/>
      <c r="E289" s="163"/>
      <c r="F289" s="11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5"/>
      <c r="V289" s="165"/>
    </row>
    <row r="290" ht="12.75" customHeight="1">
      <c r="A290" s="163"/>
      <c r="B290" s="163"/>
      <c r="C290" s="163"/>
      <c r="D290" s="1"/>
      <c r="E290" s="163"/>
      <c r="F290" s="11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5"/>
      <c r="V290" s="165"/>
    </row>
    <row r="291" ht="12.75" customHeight="1">
      <c r="A291" s="163"/>
      <c r="B291" s="163"/>
      <c r="C291" s="163"/>
      <c r="D291" s="1"/>
      <c r="E291" s="163"/>
      <c r="F291" s="11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5"/>
      <c r="V291" s="165"/>
    </row>
    <row r="292" ht="12.75" customHeight="1">
      <c r="A292" s="163"/>
      <c r="B292" s="163"/>
      <c r="C292" s="163"/>
      <c r="D292" s="1"/>
      <c r="E292" s="163"/>
      <c r="F292" s="11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5"/>
      <c r="V292" s="165"/>
    </row>
    <row r="293" ht="12.75" customHeight="1">
      <c r="A293" s="163"/>
      <c r="B293" s="163"/>
      <c r="C293" s="163"/>
      <c r="D293" s="1"/>
      <c r="E293" s="163"/>
      <c r="F293" s="11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5"/>
      <c r="V293" s="165"/>
    </row>
    <row r="294" ht="12.75" customHeight="1">
      <c r="A294" s="163"/>
      <c r="B294" s="163"/>
      <c r="C294" s="163"/>
      <c r="D294" s="1"/>
      <c r="E294" s="163"/>
      <c r="F294" s="11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5"/>
      <c r="V294" s="165"/>
    </row>
    <row r="295" ht="12.75" customHeight="1">
      <c r="A295" s="163"/>
      <c r="B295" s="163"/>
      <c r="C295" s="163"/>
      <c r="D295" s="1"/>
      <c r="E295" s="163"/>
      <c r="F295" s="11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5"/>
      <c r="V295" s="165"/>
    </row>
    <row r="296" ht="12.75" customHeight="1">
      <c r="A296" s="163"/>
      <c r="B296" s="163"/>
      <c r="C296" s="163"/>
      <c r="D296" s="1"/>
      <c r="E296" s="163"/>
      <c r="F296" s="11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5"/>
      <c r="V296" s="165"/>
    </row>
    <row r="297" ht="12.75" customHeight="1">
      <c r="A297" s="163"/>
      <c r="B297" s="163"/>
      <c r="C297" s="163"/>
      <c r="D297" s="1"/>
      <c r="E297" s="163"/>
      <c r="F297" s="11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5"/>
      <c r="V297" s="165"/>
    </row>
    <row r="298" ht="12.75" customHeight="1">
      <c r="A298" s="163"/>
      <c r="B298" s="163"/>
      <c r="C298" s="163"/>
      <c r="D298" s="1"/>
      <c r="E298" s="163"/>
      <c r="F298" s="11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5"/>
      <c r="V298" s="165"/>
    </row>
    <row r="299" ht="12.75" customHeight="1">
      <c r="A299" s="163"/>
      <c r="B299" s="163"/>
      <c r="C299" s="163"/>
      <c r="D299" s="1"/>
      <c r="E299" s="163"/>
      <c r="F299" s="11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5"/>
      <c r="V299" s="165"/>
    </row>
    <row r="300" ht="12.75" customHeight="1">
      <c r="A300" s="163"/>
      <c r="B300" s="163"/>
      <c r="C300" s="163"/>
      <c r="D300" s="1"/>
      <c r="E300" s="163"/>
      <c r="F300" s="11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5"/>
      <c r="V300" s="165"/>
    </row>
    <row r="301" ht="12.75" customHeight="1">
      <c r="A301" s="163"/>
      <c r="B301" s="163"/>
      <c r="C301" s="163"/>
      <c r="D301" s="1"/>
      <c r="E301" s="163"/>
      <c r="F301" s="11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5"/>
      <c r="V301" s="165"/>
    </row>
    <row r="302" ht="12.75" customHeight="1">
      <c r="A302" s="163"/>
      <c r="B302" s="163"/>
      <c r="C302" s="163"/>
      <c r="D302" s="1"/>
      <c r="E302" s="163"/>
      <c r="F302" s="11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5"/>
      <c r="V302" s="165"/>
    </row>
    <row r="303" ht="12.75" customHeight="1">
      <c r="A303" s="163"/>
      <c r="B303" s="163"/>
      <c r="C303" s="163"/>
      <c r="D303" s="1"/>
      <c r="E303" s="163"/>
      <c r="F303" s="11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5"/>
      <c r="V303" s="165"/>
    </row>
    <row r="304" ht="12.75" customHeight="1">
      <c r="A304" s="163"/>
      <c r="B304" s="163"/>
      <c r="C304" s="163"/>
      <c r="D304" s="1"/>
      <c r="E304" s="163"/>
      <c r="F304" s="11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5"/>
      <c r="V304" s="165"/>
    </row>
    <row r="305" ht="12.75" customHeight="1">
      <c r="A305" s="163"/>
      <c r="B305" s="163"/>
      <c r="C305" s="163"/>
      <c r="D305" s="1"/>
      <c r="E305" s="163"/>
      <c r="F305" s="11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5"/>
      <c r="V305" s="165"/>
    </row>
    <row r="306" ht="12.75" customHeight="1">
      <c r="A306" s="163"/>
      <c r="B306" s="163"/>
      <c r="C306" s="163"/>
      <c r="D306" s="1"/>
      <c r="E306" s="163"/>
      <c r="F306" s="11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5"/>
      <c r="V306" s="165"/>
    </row>
    <row r="307" ht="12.75" customHeight="1">
      <c r="A307" s="163"/>
      <c r="B307" s="163"/>
      <c r="C307" s="163"/>
      <c r="D307" s="1"/>
      <c r="E307" s="163"/>
      <c r="F307" s="11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5"/>
      <c r="V307" s="165"/>
    </row>
    <row r="308" ht="12.75" customHeight="1">
      <c r="A308" s="163"/>
      <c r="B308" s="163"/>
      <c r="C308" s="163"/>
      <c r="D308" s="1"/>
      <c r="E308" s="163"/>
      <c r="F308" s="11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5"/>
      <c r="V308" s="165"/>
    </row>
    <row r="309" ht="12.75" customHeight="1">
      <c r="A309" s="163"/>
      <c r="B309" s="163"/>
      <c r="C309" s="163"/>
      <c r="D309" s="1"/>
      <c r="E309" s="163"/>
      <c r="F309" s="11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5"/>
      <c r="V309" s="165"/>
    </row>
    <row r="310" ht="12.75" customHeight="1">
      <c r="A310" s="163"/>
      <c r="B310" s="163"/>
      <c r="C310" s="163"/>
      <c r="D310" s="1"/>
      <c r="E310" s="163"/>
      <c r="F310" s="11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5"/>
      <c r="V310" s="165"/>
    </row>
    <row r="311" ht="12.75" customHeight="1">
      <c r="A311" s="163"/>
      <c r="B311" s="163"/>
      <c r="C311" s="163"/>
      <c r="D311" s="1"/>
      <c r="E311" s="163"/>
      <c r="F311" s="11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5"/>
      <c r="V311" s="165"/>
    </row>
    <row r="312" ht="12.75" customHeight="1">
      <c r="A312" s="163"/>
      <c r="B312" s="163"/>
      <c r="C312" s="163"/>
      <c r="D312" s="1"/>
      <c r="E312" s="163"/>
      <c r="F312" s="11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5"/>
      <c r="V312" s="165"/>
    </row>
    <row r="313" ht="12.75" customHeight="1">
      <c r="A313" s="163"/>
      <c r="B313" s="163"/>
      <c r="C313" s="163"/>
      <c r="D313" s="1"/>
      <c r="E313" s="163"/>
      <c r="F313" s="11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5"/>
      <c r="V313" s="165"/>
    </row>
    <row r="314" ht="12.75" customHeight="1">
      <c r="A314" s="163"/>
      <c r="B314" s="163"/>
      <c r="C314" s="163"/>
      <c r="D314" s="1"/>
      <c r="E314" s="163"/>
      <c r="F314" s="11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5"/>
      <c r="V314" s="165"/>
    </row>
    <row r="315" ht="12.75" customHeight="1">
      <c r="A315" s="163"/>
      <c r="B315" s="163"/>
      <c r="C315" s="163"/>
      <c r="D315" s="1"/>
      <c r="E315" s="163"/>
      <c r="F315" s="11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5"/>
      <c r="V315" s="165"/>
    </row>
    <row r="316" ht="12.75" customHeight="1">
      <c r="A316" s="163"/>
      <c r="B316" s="163"/>
      <c r="C316" s="163"/>
      <c r="D316" s="1"/>
      <c r="E316" s="163"/>
      <c r="F316" s="11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5"/>
      <c r="V316" s="165"/>
    </row>
    <row r="317" ht="12.75" customHeight="1">
      <c r="A317" s="163"/>
      <c r="B317" s="163"/>
      <c r="C317" s="163"/>
      <c r="D317" s="1"/>
      <c r="E317" s="163"/>
      <c r="F317" s="11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5"/>
      <c r="V317" s="165"/>
    </row>
    <row r="318" ht="12.75" customHeight="1">
      <c r="A318" s="163"/>
      <c r="B318" s="163"/>
      <c r="C318" s="163"/>
      <c r="D318" s="1"/>
      <c r="E318" s="163"/>
      <c r="F318" s="11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5"/>
      <c r="V318" s="165"/>
    </row>
    <row r="319" ht="12.75" customHeight="1">
      <c r="A319" s="163"/>
      <c r="B319" s="163"/>
      <c r="C319" s="163"/>
      <c r="D319" s="1"/>
      <c r="E319" s="163"/>
      <c r="F319" s="11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5"/>
      <c r="V319" s="165"/>
    </row>
    <row r="320" ht="12.75" customHeight="1">
      <c r="A320" s="163"/>
      <c r="B320" s="163"/>
      <c r="C320" s="163"/>
      <c r="D320" s="1"/>
      <c r="E320" s="163"/>
      <c r="F320" s="11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5"/>
      <c r="V320" s="165"/>
    </row>
    <row r="321" ht="12.75" customHeight="1">
      <c r="A321" s="163"/>
      <c r="B321" s="163"/>
      <c r="C321" s="163"/>
      <c r="D321" s="1"/>
      <c r="E321" s="163"/>
      <c r="F321" s="11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5"/>
      <c r="V321" s="165"/>
    </row>
    <row r="322" ht="12.75" customHeight="1">
      <c r="A322" s="163"/>
      <c r="B322" s="163"/>
      <c r="C322" s="163"/>
      <c r="D322" s="1"/>
      <c r="E322" s="163"/>
      <c r="F322" s="11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5"/>
      <c r="V322" s="165"/>
    </row>
    <row r="323" ht="12.75" customHeight="1">
      <c r="A323" s="163"/>
      <c r="B323" s="163"/>
      <c r="C323" s="163"/>
      <c r="D323" s="1"/>
      <c r="E323" s="163"/>
      <c r="F323" s="11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5"/>
      <c r="V323" s="165"/>
    </row>
    <row r="324" ht="12.75" customHeight="1">
      <c r="A324" s="163"/>
      <c r="B324" s="163"/>
      <c r="C324" s="163"/>
      <c r="D324" s="1"/>
      <c r="E324" s="163"/>
      <c r="F324" s="11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5"/>
      <c r="V324" s="165"/>
    </row>
    <row r="325" ht="12.75" customHeight="1">
      <c r="A325" s="163"/>
      <c r="B325" s="163"/>
      <c r="C325" s="163"/>
      <c r="D325" s="1"/>
      <c r="E325" s="163"/>
      <c r="F325" s="11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5"/>
      <c r="V325" s="165"/>
    </row>
    <row r="326" ht="12.75" customHeight="1">
      <c r="A326" s="163"/>
      <c r="B326" s="163"/>
      <c r="C326" s="163"/>
      <c r="D326" s="1"/>
      <c r="E326" s="163"/>
      <c r="F326" s="11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5"/>
      <c r="V326" s="165"/>
    </row>
    <row r="327" ht="12.75" customHeight="1">
      <c r="A327" s="163"/>
      <c r="B327" s="163"/>
      <c r="C327" s="163"/>
      <c r="D327" s="1"/>
      <c r="E327" s="163"/>
      <c r="F327" s="11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5"/>
      <c r="V327" s="165"/>
    </row>
    <row r="328" ht="12.75" customHeight="1">
      <c r="A328" s="163"/>
      <c r="B328" s="163"/>
      <c r="C328" s="163"/>
      <c r="D328" s="1"/>
      <c r="E328" s="163"/>
      <c r="F328" s="11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5"/>
      <c r="V328" s="165"/>
    </row>
    <row r="329" ht="12.75" customHeight="1">
      <c r="A329" s="163"/>
      <c r="B329" s="163"/>
      <c r="C329" s="163"/>
      <c r="D329" s="1"/>
      <c r="E329" s="163"/>
      <c r="F329" s="11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5"/>
      <c r="V329" s="165"/>
    </row>
    <row r="330" ht="12.75" customHeight="1">
      <c r="A330" s="163"/>
      <c r="B330" s="163"/>
      <c r="C330" s="163"/>
      <c r="D330" s="1"/>
      <c r="E330" s="163"/>
      <c r="F330" s="11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5"/>
      <c r="V330" s="165"/>
    </row>
    <row r="331" ht="12.75" customHeight="1">
      <c r="A331" s="163"/>
      <c r="B331" s="163"/>
      <c r="C331" s="163"/>
      <c r="D331" s="1"/>
      <c r="E331" s="163"/>
      <c r="F331" s="11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5"/>
      <c r="V331" s="165"/>
    </row>
    <row r="332" ht="12.75" customHeight="1">
      <c r="A332" s="163"/>
      <c r="B332" s="163"/>
      <c r="C332" s="163"/>
      <c r="D332" s="1"/>
      <c r="E332" s="163"/>
      <c r="F332" s="11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5"/>
      <c r="V332" s="165"/>
    </row>
    <row r="333" ht="12.75" customHeight="1">
      <c r="A333" s="163"/>
      <c r="B333" s="163"/>
      <c r="C333" s="163"/>
      <c r="D333" s="1"/>
      <c r="E333" s="163"/>
      <c r="F333" s="11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5"/>
      <c r="V333" s="165"/>
    </row>
    <row r="334" ht="12.75" customHeight="1">
      <c r="A334" s="163"/>
      <c r="B334" s="163"/>
      <c r="C334" s="163"/>
      <c r="D334" s="1"/>
      <c r="E334" s="163"/>
      <c r="F334" s="11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5"/>
      <c r="V334" s="165"/>
    </row>
    <row r="335" ht="12.75" customHeight="1">
      <c r="A335" s="163"/>
      <c r="B335" s="163"/>
      <c r="C335" s="163"/>
      <c r="D335" s="1"/>
      <c r="E335" s="163"/>
      <c r="F335" s="11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5"/>
      <c r="V335" s="165"/>
    </row>
    <row r="336" ht="12.75" customHeight="1">
      <c r="A336" s="163"/>
      <c r="B336" s="163"/>
      <c r="C336" s="163"/>
      <c r="D336" s="1"/>
      <c r="E336" s="163"/>
      <c r="F336" s="11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5"/>
      <c r="V336" s="165"/>
    </row>
    <row r="337" ht="12.75" customHeight="1">
      <c r="A337" s="163"/>
      <c r="B337" s="163"/>
      <c r="C337" s="163"/>
      <c r="D337" s="1"/>
      <c r="E337" s="163"/>
      <c r="F337" s="11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5"/>
      <c r="V337" s="165"/>
    </row>
    <row r="338" ht="12.75" customHeight="1">
      <c r="A338" s="163"/>
      <c r="B338" s="163"/>
      <c r="C338" s="163"/>
      <c r="D338" s="1"/>
      <c r="E338" s="163"/>
      <c r="F338" s="11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5"/>
      <c r="V338" s="165"/>
    </row>
    <row r="339" ht="12.75" customHeight="1">
      <c r="A339" s="163"/>
      <c r="B339" s="163"/>
      <c r="C339" s="163"/>
      <c r="D339" s="1"/>
      <c r="E339" s="163"/>
      <c r="F339" s="11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5"/>
      <c r="V339" s="165"/>
    </row>
    <row r="340" ht="12.75" customHeight="1">
      <c r="A340" s="163"/>
      <c r="B340" s="163"/>
      <c r="C340" s="163"/>
      <c r="D340" s="1"/>
      <c r="E340" s="163"/>
      <c r="F340" s="11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5"/>
      <c r="V340" s="165"/>
    </row>
    <row r="341" ht="12.75" customHeight="1">
      <c r="A341" s="163"/>
      <c r="B341" s="163"/>
      <c r="C341" s="163"/>
      <c r="D341" s="1"/>
      <c r="E341" s="163"/>
      <c r="F341" s="11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5"/>
      <c r="V341" s="165"/>
    </row>
    <row r="342" ht="12.75" customHeight="1">
      <c r="A342" s="163"/>
      <c r="B342" s="163"/>
      <c r="C342" s="163"/>
      <c r="D342" s="1"/>
      <c r="E342" s="163"/>
      <c r="F342" s="11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5"/>
      <c r="V342" s="165"/>
    </row>
    <row r="343" ht="12.75" customHeight="1">
      <c r="A343" s="163"/>
      <c r="B343" s="163"/>
      <c r="C343" s="163"/>
      <c r="D343" s="1"/>
      <c r="E343" s="163"/>
      <c r="F343" s="11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5"/>
      <c r="V343" s="165"/>
    </row>
    <row r="344" ht="12.75" customHeight="1">
      <c r="A344" s="163"/>
      <c r="B344" s="163"/>
      <c r="C344" s="163"/>
      <c r="D344" s="1"/>
      <c r="E344" s="163"/>
      <c r="F344" s="11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5"/>
      <c r="V344" s="165"/>
    </row>
    <row r="345" ht="12.75" customHeight="1">
      <c r="A345" s="163"/>
      <c r="B345" s="163"/>
      <c r="C345" s="163"/>
      <c r="D345" s="1"/>
      <c r="E345" s="163"/>
      <c r="F345" s="11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5"/>
      <c r="V345" s="165"/>
    </row>
    <row r="346" ht="12.75" customHeight="1">
      <c r="A346" s="163"/>
      <c r="B346" s="163"/>
      <c r="C346" s="163"/>
      <c r="D346" s="1"/>
      <c r="E346" s="163"/>
      <c r="F346" s="11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5"/>
      <c r="V346" s="165"/>
    </row>
    <row r="347" ht="12.75" customHeight="1">
      <c r="A347" s="163"/>
      <c r="B347" s="163"/>
      <c r="C347" s="163"/>
      <c r="D347" s="1"/>
      <c r="E347" s="163"/>
      <c r="F347" s="11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5"/>
      <c r="V347" s="165"/>
    </row>
    <row r="348" ht="12.75" customHeight="1">
      <c r="A348" s="163"/>
      <c r="B348" s="163"/>
      <c r="C348" s="163"/>
      <c r="D348" s="1"/>
      <c r="E348" s="163"/>
      <c r="F348" s="11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5"/>
      <c r="V348" s="165"/>
    </row>
    <row r="349" ht="12.75" customHeight="1">
      <c r="A349" s="163"/>
      <c r="B349" s="163"/>
      <c r="C349" s="163"/>
      <c r="D349" s="1"/>
      <c r="E349" s="163"/>
      <c r="F349" s="11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5"/>
      <c r="V349" s="165"/>
    </row>
    <row r="350" ht="12.75" customHeight="1">
      <c r="A350" s="163"/>
      <c r="B350" s="163"/>
      <c r="C350" s="163"/>
      <c r="D350" s="1"/>
      <c r="E350" s="163"/>
      <c r="F350" s="11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5"/>
      <c r="V350" s="165"/>
    </row>
    <row r="351" ht="12.75" customHeight="1">
      <c r="A351" s="163"/>
      <c r="B351" s="163"/>
      <c r="C351" s="163"/>
      <c r="D351" s="1"/>
      <c r="E351" s="163"/>
      <c r="F351" s="11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5"/>
      <c r="V351" s="165"/>
    </row>
    <row r="352" ht="12.75" customHeight="1">
      <c r="A352" s="163"/>
      <c r="B352" s="163"/>
      <c r="C352" s="163"/>
      <c r="D352" s="1"/>
      <c r="E352" s="163"/>
      <c r="F352" s="11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5"/>
      <c r="V352" s="165"/>
    </row>
    <row r="353" ht="12.75" customHeight="1">
      <c r="A353" s="163"/>
      <c r="B353" s="163"/>
      <c r="C353" s="163"/>
      <c r="D353" s="1"/>
      <c r="E353" s="163"/>
      <c r="F353" s="11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5"/>
      <c r="V353" s="165"/>
    </row>
    <row r="354" ht="12.75" customHeight="1">
      <c r="A354" s="163"/>
      <c r="B354" s="163"/>
      <c r="C354" s="163"/>
      <c r="D354" s="1"/>
      <c r="E354" s="163"/>
      <c r="F354" s="11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5"/>
      <c r="V354" s="165"/>
    </row>
    <row r="355" ht="12.75" customHeight="1">
      <c r="A355" s="163"/>
      <c r="B355" s="163"/>
      <c r="C355" s="163"/>
      <c r="D355" s="1"/>
      <c r="E355" s="163"/>
      <c r="F355" s="11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5"/>
      <c r="V355" s="165"/>
    </row>
    <row r="356" ht="12.75" customHeight="1">
      <c r="A356" s="163"/>
      <c r="B356" s="163"/>
      <c r="C356" s="163"/>
      <c r="D356" s="1"/>
      <c r="E356" s="163"/>
      <c r="F356" s="11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5"/>
      <c r="V356" s="165"/>
    </row>
    <row r="357" ht="12.75" customHeight="1">
      <c r="A357" s="163"/>
      <c r="B357" s="163"/>
      <c r="C357" s="163"/>
      <c r="D357" s="1"/>
      <c r="E357" s="163"/>
      <c r="F357" s="11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5"/>
      <c r="V357" s="165"/>
    </row>
    <row r="358" ht="12.75" customHeight="1">
      <c r="A358" s="163"/>
      <c r="B358" s="163"/>
      <c r="C358" s="163"/>
      <c r="D358" s="1"/>
      <c r="E358" s="163"/>
      <c r="F358" s="11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5"/>
      <c r="V358" s="165"/>
    </row>
    <row r="359" ht="12.75" customHeight="1">
      <c r="A359" s="163"/>
      <c r="B359" s="163"/>
      <c r="C359" s="163"/>
      <c r="D359" s="1"/>
      <c r="E359" s="163"/>
      <c r="F359" s="11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5"/>
      <c r="V359" s="165"/>
    </row>
    <row r="360" ht="12.75" customHeight="1">
      <c r="A360" s="163"/>
      <c r="B360" s="163"/>
      <c r="C360" s="163"/>
      <c r="D360" s="1"/>
      <c r="E360" s="163"/>
      <c r="F360" s="11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5"/>
      <c r="V360" s="165"/>
    </row>
    <row r="361" ht="12.75" customHeight="1">
      <c r="A361" s="163"/>
      <c r="B361" s="163"/>
      <c r="C361" s="163"/>
      <c r="D361" s="1"/>
      <c r="E361" s="163"/>
      <c r="F361" s="11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5"/>
      <c r="V361" s="165"/>
    </row>
    <row r="362" ht="12.75" customHeight="1">
      <c r="A362" s="163"/>
      <c r="B362" s="163"/>
      <c r="C362" s="163"/>
      <c r="D362" s="1"/>
      <c r="E362" s="163"/>
      <c r="F362" s="11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5"/>
      <c r="V362" s="165"/>
    </row>
    <row r="363" ht="12.75" customHeight="1">
      <c r="A363" s="163"/>
      <c r="B363" s="163"/>
      <c r="C363" s="163"/>
      <c r="D363" s="1"/>
      <c r="E363" s="163"/>
      <c r="F363" s="11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5"/>
      <c r="V363" s="165"/>
    </row>
    <row r="364" ht="12.75" customHeight="1">
      <c r="A364" s="163"/>
      <c r="B364" s="163"/>
      <c r="C364" s="163"/>
      <c r="D364" s="1"/>
      <c r="E364" s="163"/>
      <c r="F364" s="11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5"/>
      <c r="V364" s="165"/>
    </row>
    <row r="365" ht="12.75" customHeight="1">
      <c r="A365" s="163"/>
      <c r="B365" s="163"/>
      <c r="C365" s="163"/>
      <c r="D365" s="1"/>
      <c r="E365" s="163"/>
      <c r="F365" s="11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5"/>
      <c r="V365" s="165"/>
    </row>
    <row r="366" ht="12.75" customHeight="1">
      <c r="A366" s="163"/>
      <c r="B366" s="163"/>
      <c r="C366" s="163"/>
      <c r="D366" s="1"/>
      <c r="E366" s="163"/>
      <c r="F366" s="11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5"/>
      <c r="V366" s="165"/>
    </row>
    <row r="367" ht="12.75" customHeight="1">
      <c r="A367" s="163"/>
      <c r="B367" s="163"/>
      <c r="C367" s="163"/>
      <c r="D367" s="1"/>
      <c r="E367" s="163"/>
      <c r="F367" s="11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5"/>
      <c r="V367" s="165"/>
    </row>
    <row r="368" ht="12.75" customHeight="1">
      <c r="A368" s="163"/>
      <c r="B368" s="163"/>
      <c r="C368" s="163"/>
      <c r="D368" s="1"/>
      <c r="E368" s="163"/>
      <c r="F368" s="11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5"/>
      <c r="V368" s="165"/>
    </row>
    <row r="369" ht="12.75" customHeight="1">
      <c r="A369" s="163"/>
      <c r="B369" s="163"/>
      <c r="C369" s="163"/>
      <c r="D369" s="1"/>
      <c r="E369" s="163"/>
      <c r="F369" s="11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5"/>
      <c r="V369" s="165"/>
    </row>
    <row r="370" ht="12.75" customHeight="1">
      <c r="A370" s="163"/>
      <c r="B370" s="163"/>
      <c r="C370" s="163"/>
      <c r="D370" s="1"/>
      <c r="E370" s="163"/>
      <c r="F370" s="11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5"/>
      <c r="V370" s="165"/>
    </row>
    <row r="371" ht="12.75" customHeight="1">
      <c r="A371" s="163"/>
      <c r="B371" s="163"/>
      <c r="C371" s="163"/>
      <c r="D371" s="1"/>
      <c r="E371" s="163"/>
      <c r="F371" s="11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5"/>
      <c r="V371" s="165"/>
    </row>
    <row r="372" ht="12.75" customHeight="1">
      <c r="A372" s="163"/>
      <c r="B372" s="163"/>
      <c r="C372" s="163"/>
      <c r="D372" s="1"/>
      <c r="E372" s="163"/>
      <c r="F372" s="11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5"/>
      <c r="V372" s="165"/>
    </row>
    <row r="373" ht="12.75" customHeight="1">
      <c r="A373" s="163"/>
      <c r="B373" s="163"/>
      <c r="C373" s="163"/>
      <c r="D373" s="1"/>
      <c r="E373" s="163"/>
      <c r="F373" s="11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5"/>
      <c r="V373" s="165"/>
    </row>
    <row r="374" ht="12.75" customHeight="1">
      <c r="A374" s="163"/>
      <c r="B374" s="163"/>
      <c r="C374" s="163"/>
      <c r="D374" s="1"/>
      <c r="E374" s="163"/>
      <c r="F374" s="11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5"/>
      <c r="V374" s="165"/>
    </row>
    <row r="375" ht="12.75" customHeight="1">
      <c r="A375" s="163"/>
      <c r="B375" s="163"/>
      <c r="C375" s="163"/>
      <c r="D375" s="1"/>
      <c r="E375" s="163"/>
      <c r="F375" s="11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5"/>
      <c r="V375" s="165"/>
    </row>
    <row r="376" ht="12.75" customHeight="1">
      <c r="A376" s="163"/>
      <c r="B376" s="163"/>
      <c r="C376" s="163"/>
      <c r="D376" s="1"/>
      <c r="E376" s="163"/>
      <c r="F376" s="11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5"/>
      <c r="V376" s="165"/>
    </row>
    <row r="377" ht="12.75" customHeight="1">
      <c r="A377" s="163"/>
      <c r="B377" s="163"/>
      <c r="C377" s="163"/>
      <c r="D377" s="1"/>
      <c r="E377" s="163"/>
      <c r="F377" s="11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5"/>
      <c r="V377" s="165"/>
    </row>
    <row r="378" ht="12.75" customHeight="1">
      <c r="A378" s="163"/>
      <c r="B378" s="163"/>
      <c r="C378" s="163"/>
      <c r="D378" s="1"/>
      <c r="E378" s="163"/>
      <c r="F378" s="11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5"/>
      <c r="V378" s="165"/>
    </row>
    <row r="379" ht="12.75" customHeight="1">
      <c r="A379" s="163"/>
      <c r="B379" s="163"/>
      <c r="C379" s="163"/>
      <c r="D379" s="1"/>
      <c r="E379" s="163"/>
      <c r="F379" s="11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5"/>
      <c r="V379" s="165"/>
    </row>
    <row r="380" ht="12.75" customHeight="1">
      <c r="A380" s="163"/>
      <c r="B380" s="163"/>
      <c r="C380" s="163"/>
      <c r="D380" s="1"/>
      <c r="E380" s="163"/>
      <c r="F380" s="11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5"/>
      <c r="V380" s="165"/>
    </row>
    <row r="381" ht="12.75" customHeight="1">
      <c r="A381" s="163"/>
      <c r="B381" s="163"/>
      <c r="C381" s="163"/>
      <c r="D381" s="1"/>
      <c r="E381" s="163"/>
      <c r="F381" s="11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5"/>
      <c r="V381" s="165"/>
    </row>
    <row r="382" ht="12.75" customHeight="1">
      <c r="A382" s="163"/>
      <c r="B382" s="163"/>
      <c r="C382" s="163"/>
      <c r="D382" s="1"/>
      <c r="E382" s="163"/>
      <c r="F382" s="11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5"/>
      <c r="V382" s="165"/>
    </row>
    <row r="383" ht="12.75" customHeight="1">
      <c r="A383" s="163"/>
      <c r="B383" s="163"/>
      <c r="C383" s="163"/>
      <c r="D383" s="1"/>
      <c r="E383" s="163"/>
      <c r="F383" s="11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5"/>
      <c r="V383" s="165"/>
    </row>
    <row r="384" ht="12.75" customHeight="1">
      <c r="A384" s="163"/>
      <c r="B384" s="163"/>
      <c r="C384" s="163"/>
      <c r="D384" s="1"/>
      <c r="E384" s="163"/>
      <c r="F384" s="11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5"/>
      <c r="V384" s="165"/>
    </row>
    <row r="385" ht="12.75" customHeight="1">
      <c r="A385" s="163"/>
      <c r="B385" s="163"/>
      <c r="C385" s="163"/>
      <c r="D385" s="1"/>
      <c r="E385" s="163"/>
      <c r="F385" s="11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5"/>
      <c r="V385" s="165"/>
    </row>
    <row r="386" ht="12.75" customHeight="1">
      <c r="A386" s="163"/>
      <c r="B386" s="163"/>
      <c r="C386" s="163"/>
      <c r="D386" s="1"/>
      <c r="E386" s="163"/>
      <c r="F386" s="11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5"/>
      <c r="V386" s="165"/>
    </row>
    <row r="387" ht="12.75" customHeight="1">
      <c r="A387" s="163"/>
      <c r="B387" s="163"/>
      <c r="C387" s="163"/>
      <c r="D387" s="1"/>
      <c r="E387" s="163"/>
      <c r="F387" s="11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5"/>
      <c r="V387" s="165"/>
    </row>
    <row r="388" ht="12.75" customHeight="1">
      <c r="A388" s="163"/>
      <c r="B388" s="163"/>
      <c r="C388" s="163"/>
      <c r="D388" s="1"/>
      <c r="E388" s="163"/>
      <c r="F388" s="11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5"/>
      <c r="V388" s="165"/>
    </row>
    <row r="389" ht="12.75" customHeight="1">
      <c r="A389" s="163"/>
      <c r="B389" s="163"/>
      <c r="C389" s="163"/>
      <c r="D389" s="1"/>
      <c r="E389" s="163"/>
      <c r="F389" s="11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5"/>
      <c r="V389" s="165"/>
    </row>
    <row r="390" ht="12.75" customHeight="1">
      <c r="A390" s="163"/>
      <c r="B390" s="163"/>
      <c r="C390" s="163"/>
      <c r="D390" s="1"/>
      <c r="E390" s="163"/>
      <c r="F390" s="11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5"/>
      <c r="V390" s="165"/>
    </row>
    <row r="391" ht="12.75" customHeight="1">
      <c r="A391" s="163"/>
      <c r="B391" s="163"/>
      <c r="C391" s="163"/>
      <c r="D391" s="1"/>
      <c r="E391" s="163"/>
      <c r="F391" s="11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5"/>
      <c r="V391" s="165"/>
    </row>
    <row r="392" ht="12.75" customHeight="1">
      <c r="A392" s="163"/>
      <c r="B392" s="163"/>
      <c r="C392" s="163"/>
      <c r="D392" s="1"/>
      <c r="E392" s="163"/>
      <c r="F392" s="11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5"/>
      <c r="V392" s="165"/>
    </row>
    <row r="393" ht="12.75" customHeight="1">
      <c r="A393" s="163"/>
      <c r="B393" s="163"/>
      <c r="C393" s="163"/>
      <c r="D393" s="1"/>
      <c r="E393" s="163"/>
      <c r="F393" s="11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5"/>
      <c r="V393" s="165"/>
    </row>
    <row r="394" ht="12.75" customHeight="1">
      <c r="A394" s="163"/>
      <c r="B394" s="163"/>
      <c r="C394" s="163"/>
      <c r="D394" s="1"/>
      <c r="E394" s="163"/>
      <c r="F394" s="11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5"/>
      <c r="V394" s="165"/>
    </row>
    <row r="395" ht="12.75" customHeight="1">
      <c r="A395" s="163"/>
      <c r="B395" s="163"/>
      <c r="C395" s="163"/>
      <c r="D395" s="1"/>
      <c r="E395" s="163"/>
      <c r="F395" s="11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5"/>
      <c r="V395" s="165"/>
    </row>
    <row r="396" ht="12.75" customHeight="1">
      <c r="A396" s="163"/>
      <c r="B396" s="163"/>
      <c r="C396" s="163"/>
      <c r="D396" s="1"/>
      <c r="E396" s="163"/>
      <c r="F396" s="11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5"/>
      <c r="V396" s="165"/>
    </row>
    <row r="397" ht="12.75" customHeight="1">
      <c r="A397" s="163"/>
      <c r="B397" s="163"/>
      <c r="C397" s="163"/>
      <c r="D397" s="1"/>
      <c r="E397" s="163"/>
      <c r="F397" s="11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5"/>
      <c r="V397" s="165"/>
    </row>
    <row r="398" ht="12.75" customHeight="1">
      <c r="A398" s="163"/>
      <c r="B398" s="163"/>
      <c r="C398" s="163"/>
      <c r="D398" s="1"/>
      <c r="E398" s="163"/>
      <c r="F398" s="11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5"/>
      <c r="V398" s="165"/>
    </row>
    <row r="399" ht="12.75" customHeight="1">
      <c r="A399" s="163"/>
      <c r="B399" s="163"/>
      <c r="C399" s="163"/>
      <c r="D399" s="1"/>
      <c r="E399" s="163"/>
      <c r="F399" s="11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5"/>
      <c r="V399" s="165"/>
    </row>
    <row r="400" ht="12.75" customHeight="1">
      <c r="A400" s="163"/>
      <c r="B400" s="163"/>
      <c r="C400" s="163"/>
      <c r="D400" s="1"/>
      <c r="E400" s="163"/>
      <c r="F400" s="11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5"/>
      <c r="V400" s="165"/>
    </row>
    <row r="401" ht="12.75" customHeight="1">
      <c r="A401" s="163"/>
      <c r="B401" s="163"/>
      <c r="C401" s="163"/>
      <c r="D401" s="1"/>
      <c r="E401" s="163"/>
      <c r="F401" s="11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5"/>
      <c r="V401" s="165"/>
    </row>
    <row r="402" ht="12.75" customHeight="1">
      <c r="A402" s="163"/>
      <c r="B402" s="163"/>
      <c r="C402" s="163"/>
      <c r="D402" s="1"/>
      <c r="E402" s="163"/>
      <c r="F402" s="11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5"/>
      <c r="V402" s="165"/>
    </row>
    <row r="403" ht="12.75" customHeight="1">
      <c r="A403" s="163"/>
      <c r="B403" s="163"/>
      <c r="C403" s="163"/>
      <c r="D403" s="1"/>
      <c r="E403" s="163"/>
      <c r="F403" s="11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5"/>
      <c r="V403" s="165"/>
    </row>
    <row r="404" ht="12.75" customHeight="1">
      <c r="A404" s="163"/>
      <c r="B404" s="163"/>
      <c r="C404" s="163"/>
      <c r="D404" s="1"/>
      <c r="E404" s="163"/>
      <c r="F404" s="11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5"/>
      <c r="V404" s="165"/>
    </row>
    <row r="405" ht="12.75" customHeight="1">
      <c r="A405" s="163"/>
      <c r="B405" s="163"/>
      <c r="C405" s="163"/>
      <c r="D405" s="1"/>
      <c r="E405" s="163"/>
      <c r="F405" s="11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5"/>
      <c r="V405" s="165"/>
    </row>
    <row r="406" ht="12.75" customHeight="1">
      <c r="A406" s="163"/>
      <c r="B406" s="163"/>
      <c r="C406" s="163"/>
      <c r="D406" s="1"/>
      <c r="E406" s="163"/>
      <c r="F406" s="11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5"/>
      <c r="V406" s="165"/>
    </row>
    <row r="407" ht="12.75" customHeight="1">
      <c r="A407" s="163"/>
      <c r="B407" s="163"/>
      <c r="C407" s="163"/>
      <c r="D407" s="1"/>
      <c r="E407" s="163"/>
      <c r="F407" s="11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5"/>
      <c r="V407" s="165"/>
    </row>
    <row r="408" ht="12.75" customHeight="1">
      <c r="A408" s="163"/>
      <c r="B408" s="163"/>
      <c r="C408" s="163"/>
      <c r="D408" s="1"/>
      <c r="E408" s="163"/>
      <c r="F408" s="11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5"/>
      <c r="V408" s="165"/>
    </row>
    <row r="409" ht="12.75" customHeight="1">
      <c r="A409" s="163"/>
      <c r="B409" s="163"/>
      <c r="C409" s="163"/>
      <c r="D409" s="1"/>
      <c r="E409" s="163"/>
      <c r="F409" s="11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5"/>
      <c r="V409" s="165"/>
    </row>
    <row r="410" ht="12.75" customHeight="1">
      <c r="A410" s="163"/>
      <c r="B410" s="163"/>
      <c r="C410" s="163"/>
      <c r="D410" s="1"/>
      <c r="E410" s="163"/>
      <c r="F410" s="11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5"/>
      <c r="V410" s="165"/>
    </row>
    <row r="411" ht="12.75" customHeight="1">
      <c r="A411" s="163"/>
      <c r="B411" s="163"/>
      <c r="C411" s="163"/>
      <c r="D411" s="1"/>
      <c r="E411" s="163"/>
      <c r="F411" s="11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5"/>
      <c r="V411" s="165"/>
    </row>
    <row r="412" ht="12.75" customHeight="1">
      <c r="A412" s="163"/>
      <c r="B412" s="163"/>
      <c r="C412" s="163"/>
      <c r="D412" s="1"/>
      <c r="E412" s="163"/>
      <c r="F412" s="11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5"/>
      <c r="V412" s="165"/>
    </row>
    <row r="413" ht="12.75" customHeight="1">
      <c r="A413" s="163"/>
      <c r="B413" s="163"/>
      <c r="C413" s="163"/>
      <c r="D413" s="1"/>
      <c r="E413" s="163"/>
      <c r="F413" s="11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5"/>
      <c r="V413" s="165"/>
    </row>
    <row r="414" ht="12.75" customHeight="1">
      <c r="A414" s="163"/>
      <c r="B414" s="163"/>
      <c r="C414" s="163"/>
      <c r="D414" s="1"/>
      <c r="E414" s="163"/>
      <c r="F414" s="11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5"/>
      <c r="V414" s="165"/>
    </row>
    <row r="415" ht="12.75" customHeight="1">
      <c r="A415" s="163"/>
      <c r="B415" s="163"/>
      <c r="C415" s="163"/>
      <c r="D415" s="1"/>
      <c r="E415" s="163"/>
      <c r="F415" s="11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5"/>
      <c r="V415" s="165"/>
    </row>
    <row r="416" ht="12.75" customHeight="1">
      <c r="A416" s="163"/>
      <c r="B416" s="163"/>
      <c r="C416" s="163"/>
      <c r="D416" s="1"/>
      <c r="E416" s="163"/>
      <c r="F416" s="11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5"/>
      <c r="V416" s="165"/>
    </row>
    <row r="417" ht="12.75" customHeight="1">
      <c r="A417" s="163"/>
      <c r="B417" s="163"/>
      <c r="C417" s="163"/>
      <c r="D417" s="1"/>
      <c r="E417" s="163"/>
      <c r="F417" s="11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5"/>
      <c r="V417" s="165"/>
    </row>
    <row r="418" ht="12.75" customHeight="1">
      <c r="A418" s="163"/>
      <c r="B418" s="163"/>
      <c r="C418" s="163"/>
      <c r="D418" s="1"/>
      <c r="E418" s="163"/>
      <c r="F418" s="11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5"/>
      <c r="V418" s="165"/>
    </row>
    <row r="419" ht="12.75" customHeight="1">
      <c r="A419" s="163"/>
      <c r="B419" s="163"/>
      <c r="C419" s="163"/>
      <c r="D419" s="1"/>
      <c r="E419" s="163"/>
      <c r="F419" s="11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5"/>
      <c r="V419" s="165"/>
    </row>
    <row r="420" ht="12.75" customHeight="1">
      <c r="A420" s="163"/>
      <c r="B420" s="163"/>
      <c r="C420" s="163"/>
      <c r="D420" s="1"/>
      <c r="E420" s="163"/>
      <c r="F420" s="11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5"/>
      <c r="V420" s="165"/>
    </row>
    <row r="421" ht="12.75" customHeight="1">
      <c r="A421" s="163"/>
      <c r="B421" s="163"/>
      <c r="C421" s="163"/>
      <c r="D421" s="1"/>
      <c r="E421" s="163"/>
      <c r="F421" s="11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5"/>
      <c r="V421" s="165"/>
    </row>
    <row r="422" ht="12.75" customHeight="1">
      <c r="A422" s="163"/>
      <c r="B422" s="163"/>
      <c r="C422" s="163"/>
      <c r="D422" s="1"/>
      <c r="E422" s="163"/>
      <c r="F422" s="11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5"/>
      <c r="V422" s="165"/>
    </row>
    <row r="423" ht="12.75" customHeight="1">
      <c r="A423" s="163"/>
      <c r="B423" s="163"/>
      <c r="C423" s="163"/>
      <c r="D423" s="1"/>
      <c r="E423" s="163"/>
      <c r="F423" s="11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5"/>
      <c r="V423" s="165"/>
    </row>
    <row r="424" ht="12.75" customHeight="1">
      <c r="A424" s="163"/>
      <c r="B424" s="163"/>
      <c r="C424" s="163"/>
      <c r="D424" s="1"/>
      <c r="E424" s="163"/>
      <c r="F424" s="11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5"/>
      <c r="V424" s="165"/>
    </row>
    <row r="425" ht="12.75" customHeight="1">
      <c r="A425" s="163"/>
      <c r="B425" s="163"/>
      <c r="C425" s="163"/>
      <c r="D425" s="1"/>
      <c r="E425" s="163"/>
      <c r="F425" s="11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5"/>
      <c r="V425" s="165"/>
    </row>
    <row r="426" ht="12.75" customHeight="1">
      <c r="A426" s="163"/>
      <c r="B426" s="163"/>
      <c r="C426" s="163"/>
      <c r="D426" s="1"/>
      <c r="E426" s="163"/>
      <c r="F426" s="11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5"/>
      <c r="V426" s="165"/>
    </row>
    <row r="427" ht="12.75" customHeight="1">
      <c r="A427" s="163"/>
      <c r="B427" s="163"/>
      <c r="C427" s="163"/>
      <c r="D427" s="1"/>
      <c r="E427" s="163"/>
      <c r="F427" s="11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5"/>
      <c r="V427" s="165"/>
    </row>
    <row r="428" ht="12.75" customHeight="1">
      <c r="A428" s="163"/>
      <c r="B428" s="163"/>
      <c r="C428" s="163"/>
      <c r="D428" s="1"/>
      <c r="E428" s="163"/>
      <c r="F428" s="11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5"/>
      <c r="V428" s="165"/>
    </row>
    <row r="429" ht="12.75" customHeight="1">
      <c r="A429" s="163"/>
      <c r="B429" s="163"/>
      <c r="C429" s="163"/>
      <c r="D429" s="1"/>
      <c r="E429" s="163"/>
      <c r="F429" s="11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5"/>
      <c r="V429" s="165"/>
    </row>
    <row r="430" ht="12.75" customHeight="1">
      <c r="A430" s="163"/>
      <c r="B430" s="163"/>
      <c r="C430" s="163"/>
      <c r="D430" s="1"/>
      <c r="E430" s="163"/>
      <c r="F430" s="11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5"/>
      <c r="V430" s="165"/>
    </row>
    <row r="431" ht="12.75" customHeight="1">
      <c r="A431" s="163"/>
      <c r="B431" s="163"/>
      <c r="C431" s="163"/>
      <c r="D431" s="1"/>
      <c r="E431" s="163"/>
      <c r="F431" s="11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5"/>
      <c r="V431" s="165"/>
    </row>
    <row r="432" ht="12.75" customHeight="1">
      <c r="A432" s="163"/>
      <c r="B432" s="163"/>
      <c r="C432" s="163"/>
      <c r="D432" s="1"/>
      <c r="E432" s="163"/>
      <c r="F432" s="11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5"/>
      <c r="V432" s="165"/>
    </row>
    <row r="433" ht="12.75" customHeight="1">
      <c r="A433" s="163"/>
      <c r="B433" s="163"/>
      <c r="C433" s="163"/>
      <c r="D433" s="1"/>
      <c r="E433" s="163"/>
      <c r="F433" s="11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5"/>
      <c r="V433" s="165"/>
    </row>
    <row r="434" ht="12.75" customHeight="1">
      <c r="A434" s="163"/>
      <c r="B434" s="163"/>
      <c r="C434" s="163"/>
      <c r="D434" s="1"/>
      <c r="E434" s="163"/>
      <c r="F434" s="11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5"/>
      <c r="V434" s="165"/>
    </row>
    <row r="435" ht="12.75" customHeight="1">
      <c r="A435" s="163"/>
      <c r="B435" s="163"/>
      <c r="C435" s="163"/>
      <c r="D435" s="1"/>
      <c r="E435" s="163"/>
      <c r="F435" s="11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5"/>
      <c r="V435" s="165"/>
    </row>
    <row r="436" ht="12.75" customHeight="1">
      <c r="A436" s="163"/>
      <c r="B436" s="163"/>
      <c r="C436" s="163"/>
      <c r="D436" s="1"/>
      <c r="E436" s="163"/>
      <c r="F436" s="11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5"/>
      <c r="V436" s="165"/>
    </row>
    <row r="437" ht="12.75" customHeight="1">
      <c r="A437" s="163"/>
      <c r="B437" s="163"/>
      <c r="C437" s="163"/>
      <c r="D437" s="1"/>
      <c r="E437" s="163"/>
      <c r="F437" s="11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5"/>
      <c r="V437" s="165"/>
    </row>
    <row r="438" ht="12.75" customHeight="1">
      <c r="A438" s="163"/>
      <c r="B438" s="163"/>
      <c r="C438" s="163"/>
      <c r="D438" s="1"/>
      <c r="E438" s="163"/>
      <c r="F438" s="11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5"/>
      <c r="V438" s="165"/>
    </row>
    <row r="439" ht="12.75" customHeight="1">
      <c r="A439" s="163"/>
      <c r="B439" s="163"/>
      <c r="C439" s="163"/>
      <c r="D439" s="1"/>
      <c r="E439" s="163"/>
      <c r="F439" s="11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5"/>
      <c r="V439" s="165"/>
    </row>
    <row r="440" ht="12.75" customHeight="1">
      <c r="A440" s="163"/>
      <c r="B440" s="163"/>
      <c r="C440" s="163"/>
      <c r="D440" s="1"/>
      <c r="E440" s="163"/>
      <c r="F440" s="11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5"/>
      <c r="V440" s="165"/>
    </row>
    <row r="441" ht="12.75" customHeight="1">
      <c r="A441" s="163"/>
      <c r="B441" s="163"/>
      <c r="C441" s="163"/>
      <c r="D441" s="1"/>
      <c r="E441" s="163"/>
      <c r="F441" s="11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5"/>
      <c r="V441" s="165"/>
    </row>
    <row r="442" ht="12.75" customHeight="1">
      <c r="A442" s="163"/>
      <c r="B442" s="163"/>
      <c r="C442" s="163"/>
      <c r="D442" s="1"/>
      <c r="E442" s="163"/>
      <c r="F442" s="11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5"/>
      <c r="V442" s="165"/>
    </row>
    <row r="443" ht="12.75" customHeight="1">
      <c r="A443" s="163"/>
      <c r="B443" s="163"/>
      <c r="C443" s="163"/>
      <c r="D443" s="1"/>
      <c r="E443" s="163"/>
      <c r="F443" s="11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5"/>
      <c r="V443" s="165"/>
    </row>
    <row r="444" ht="12.75" customHeight="1">
      <c r="A444" s="163"/>
      <c r="B444" s="163"/>
      <c r="C444" s="163"/>
      <c r="D444" s="1"/>
      <c r="E444" s="163"/>
      <c r="F444" s="11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5"/>
      <c r="V444" s="165"/>
    </row>
    <row r="445" ht="12.75" customHeight="1">
      <c r="A445" s="163"/>
      <c r="B445" s="163"/>
      <c r="C445" s="163"/>
      <c r="D445" s="1"/>
      <c r="E445" s="163"/>
      <c r="F445" s="11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5"/>
      <c r="V445" s="165"/>
    </row>
    <row r="446" ht="12.75" customHeight="1">
      <c r="A446" s="163"/>
      <c r="B446" s="163"/>
      <c r="C446" s="163"/>
      <c r="D446" s="1"/>
      <c r="E446" s="163"/>
      <c r="F446" s="11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5"/>
      <c r="V446" s="165"/>
    </row>
    <row r="447" ht="12.75" customHeight="1">
      <c r="A447" s="163"/>
      <c r="B447" s="163"/>
      <c r="C447" s="163"/>
      <c r="D447" s="1"/>
      <c r="E447" s="163"/>
      <c r="F447" s="11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5"/>
      <c r="V447" s="165"/>
    </row>
    <row r="448" ht="12.75" customHeight="1">
      <c r="A448" s="163"/>
      <c r="B448" s="163"/>
      <c r="C448" s="163"/>
      <c r="D448" s="1"/>
      <c r="E448" s="163"/>
      <c r="F448" s="11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5"/>
      <c r="V448" s="165"/>
    </row>
    <row r="449" ht="12.75" customHeight="1">
      <c r="A449" s="163"/>
      <c r="B449" s="163"/>
      <c r="C449" s="163"/>
      <c r="D449" s="1"/>
      <c r="E449" s="163"/>
      <c r="F449" s="11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5"/>
      <c r="V449" s="165"/>
    </row>
    <row r="450" ht="12.75" customHeight="1">
      <c r="A450" s="163"/>
      <c r="B450" s="163"/>
      <c r="C450" s="163"/>
      <c r="D450" s="1"/>
      <c r="E450" s="163"/>
      <c r="F450" s="11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5"/>
      <c r="V450" s="165"/>
    </row>
    <row r="451" ht="12.75" customHeight="1">
      <c r="A451" s="163"/>
      <c r="B451" s="163"/>
      <c r="C451" s="163"/>
      <c r="D451" s="1"/>
      <c r="E451" s="163"/>
      <c r="F451" s="11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5"/>
      <c r="V451" s="165"/>
    </row>
    <row r="452" ht="12.75" customHeight="1">
      <c r="A452" s="163"/>
      <c r="B452" s="163"/>
      <c r="C452" s="163"/>
      <c r="D452" s="1"/>
      <c r="E452" s="163"/>
      <c r="F452" s="11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5"/>
      <c r="V452" s="165"/>
    </row>
    <row r="453" ht="12.75" customHeight="1">
      <c r="A453" s="163"/>
      <c r="B453" s="163"/>
      <c r="C453" s="163"/>
      <c r="D453" s="1"/>
      <c r="E453" s="163"/>
      <c r="F453" s="11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5"/>
      <c r="V453" s="165"/>
    </row>
    <row r="454" ht="12.75" customHeight="1">
      <c r="A454" s="163"/>
      <c r="B454" s="163"/>
      <c r="C454" s="163"/>
      <c r="D454" s="1"/>
      <c r="E454" s="163"/>
      <c r="F454" s="11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5"/>
      <c r="V454" s="165"/>
    </row>
    <row r="455" ht="12.75" customHeight="1">
      <c r="A455" s="163"/>
      <c r="B455" s="163"/>
      <c r="C455" s="163"/>
      <c r="D455" s="1"/>
      <c r="E455" s="163"/>
      <c r="F455" s="11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5"/>
      <c r="V455" s="165"/>
    </row>
    <row r="456" ht="12.75" customHeight="1">
      <c r="A456" s="163"/>
      <c r="B456" s="163"/>
      <c r="C456" s="163"/>
      <c r="D456" s="1"/>
      <c r="E456" s="163"/>
      <c r="F456" s="11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5"/>
      <c r="V456" s="165"/>
    </row>
    <row r="457" ht="12.75" customHeight="1">
      <c r="A457" s="163"/>
      <c r="B457" s="163"/>
      <c r="C457" s="163"/>
      <c r="D457" s="1"/>
      <c r="E457" s="163"/>
      <c r="F457" s="11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5"/>
      <c r="V457" s="165"/>
    </row>
    <row r="458" ht="12.75" customHeight="1">
      <c r="A458" s="163"/>
      <c r="B458" s="163"/>
      <c r="C458" s="163"/>
      <c r="D458" s="1"/>
      <c r="E458" s="163"/>
      <c r="F458" s="11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5"/>
      <c r="V458" s="165"/>
    </row>
    <row r="459" ht="12.75" customHeight="1">
      <c r="A459" s="163"/>
      <c r="B459" s="163"/>
      <c r="C459" s="163"/>
      <c r="D459" s="1"/>
      <c r="E459" s="163"/>
      <c r="F459" s="11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5"/>
      <c r="V459" s="165"/>
    </row>
    <row r="460" ht="12.75" customHeight="1">
      <c r="A460" s="163"/>
      <c r="B460" s="163"/>
      <c r="C460" s="163"/>
      <c r="D460" s="1"/>
      <c r="E460" s="163"/>
      <c r="F460" s="11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5"/>
      <c r="V460" s="165"/>
    </row>
    <row r="461" ht="12.75" customHeight="1">
      <c r="A461" s="163"/>
      <c r="B461" s="163"/>
      <c r="C461" s="163"/>
      <c r="D461" s="1"/>
      <c r="E461" s="163"/>
      <c r="F461" s="11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5"/>
      <c r="V461" s="165"/>
    </row>
    <row r="462" ht="12.75" customHeight="1">
      <c r="A462" s="163"/>
      <c r="B462" s="163"/>
      <c r="C462" s="163"/>
      <c r="D462" s="1"/>
      <c r="E462" s="163"/>
      <c r="F462" s="11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5"/>
      <c r="V462" s="165"/>
    </row>
    <row r="463" ht="12.75" customHeight="1">
      <c r="A463" s="163"/>
      <c r="B463" s="163"/>
      <c r="C463" s="163"/>
      <c r="D463" s="1"/>
      <c r="E463" s="163"/>
      <c r="F463" s="11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5"/>
      <c r="V463" s="165"/>
    </row>
    <row r="464" ht="12.75" customHeight="1">
      <c r="A464" s="163"/>
      <c r="B464" s="163"/>
      <c r="C464" s="163"/>
      <c r="D464" s="1"/>
      <c r="E464" s="163"/>
      <c r="F464" s="11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5"/>
      <c r="V464" s="165"/>
    </row>
    <row r="465" ht="12.75" customHeight="1">
      <c r="A465" s="163"/>
      <c r="B465" s="163"/>
      <c r="C465" s="163"/>
      <c r="D465" s="1"/>
      <c r="E465" s="163"/>
      <c r="F465" s="11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5"/>
      <c r="V465" s="165"/>
    </row>
    <row r="466" ht="12.75" customHeight="1">
      <c r="A466" s="163"/>
      <c r="B466" s="163"/>
      <c r="C466" s="163"/>
      <c r="D466" s="1"/>
      <c r="E466" s="163"/>
      <c r="F466" s="11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5"/>
      <c r="V466" s="165"/>
    </row>
    <row r="467" ht="12.75" customHeight="1">
      <c r="A467" s="163"/>
      <c r="B467" s="163"/>
      <c r="C467" s="163"/>
      <c r="D467" s="1"/>
      <c r="E467" s="163"/>
      <c r="F467" s="11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5"/>
      <c r="V467" s="165"/>
    </row>
    <row r="468" ht="12.75" customHeight="1">
      <c r="A468" s="163"/>
      <c r="B468" s="163"/>
      <c r="C468" s="163"/>
      <c r="D468" s="1"/>
      <c r="E468" s="163"/>
      <c r="F468" s="11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5"/>
      <c r="V468" s="165"/>
    </row>
    <row r="469" ht="12.75" customHeight="1">
      <c r="A469" s="163"/>
      <c r="B469" s="163"/>
      <c r="C469" s="163"/>
      <c r="D469" s="1"/>
      <c r="E469" s="163"/>
      <c r="F469" s="11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5"/>
      <c r="V469" s="165"/>
    </row>
    <row r="470" ht="12.75" customHeight="1">
      <c r="A470" s="163"/>
      <c r="B470" s="163"/>
      <c r="C470" s="163"/>
      <c r="D470" s="1"/>
      <c r="E470" s="163"/>
      <c r="F470" s="11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5"/>
      <c r="V470" s="165"/>
    </row>
    <row r="471" ht="12.75" customHeight="1">
      <c r="A471" s="163"/>
      <c r="B471" s="163"/>
      <c r="C471" s="163"/>
      <c r="D471" s="1"/>
      <c r="E471" s="163"/>
      <c r="F471" s="11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5"/>
      <c r="V471" s="165"/>
    </row>
    <row r="472" ht="12.75" customHeight="1">
      <c r="A472" s="163"/>
      <c r="B472" s="163"/>
      <c r="C472" s="163"/>
      <c r="D472" s="1"/>
      <c r="E472" s="163"/>
      <c r="F472" s="11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5"/>
      <c r="V472" s="165"/>
    </row>
    <row r="473" ht="12.75" customHeight="1">
      <c r="A473" s="163"/>
      <c r="B473" s="163"/>
      <c r="C473" s="163"/>
      <c r="D473" s="1"/>
      <c r="E473" s="163"/>
      <c r="F473" s="11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5"/>
      <c r="V473" s="165"/>
    </row>
    <row r="474" ht="12.75" customHeight="1">
      <c r="A474" s="163"/>
      <c r="B474" s="163"/>
      <c r="C474" s="163"/>
      <c r="D474" s="1"/>
      <c r="E474" s="163"/>
      <c r="F474" s="11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5"/>
      <c r="V474" s="165"/>
    </row>
    <row r="475" ht="12.75" customHeight="1">
      <c r="A475" s="163"/>
      <c r="B475" s="163"/>
      <c r="C475" s="163"/>
      <c r="D475" s="1"/>
      <c r="E475" s="163"/>
      <c r="F475" s="11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5"/>
      <c r="V475" s="165"/>
    </row>
    <row r="476" ht="12.75" customHeight="1">
      <c r="A476" s="163"/>
      <c r="B476" s="163"/>
      <c r="C476" s="163"/>
      <c r="D476" s="1"/>
      <c r="E476" s="163"/>
      <c r="F476" s="11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5"/>
      <c r="V476" s="165"/>
    </row>
    <row r="477" ht="12.75" customHeight="1">
      <c r="A477" s="163"/>
      <c r="B477" s="163"/>
      <c r="C477" s="163"/>
      <c r="D477" s="1"/>
      <c r="E477" s="163"/>
      <c r="F477" s="11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5"/>
      <c r="V477" s="165"/>
    </row>
    <row r="478" ht="12.75" customHeight="1">
      <c r="A478" s="163"/>
      <c r="B478" s="163"/>
      <c r="C478" s="163"/>
      <c r="D478" s="1"/>
      <c r="E478" s="163"/>
      <c r="F478" s="11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5"/>
      <c r="V478" s="165"/>
    </row>
    <row r="479" ht="12.75" customHeight="1">
      <c r="A479" s="163"/>
      <c r="B479" s="163"/>
      <c r="C479" s="163"/>
      <c r="D479" s="1"/>
      <c r="E479" s="163"/>
      <c r="F479" s="11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5"/>
      <c r="V479" s="165"/>
    </row>
    <row r="480" ht="12.75" customHeight="1">
      <c r="A480" s="163"/>
      <c r="B480" s="163"/>
      <c r="C480" s="163"/>
      <c r="D480" s="1"/>
      <c r="E480" s="163"/>
      <c r="F480" s="11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5"/>
      <c r="V480" s="165"/>
    </row>
    <row r="481" ht="12.75" customHeight="1">
      <c r="A481" s="163"/>
      <c r="B481" s="163"/>
      <c r="C481" s="163"/>
      <c r="D481" s="1"/>
      <c r="E481" s="163"/>
      <c r="F481" s="11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5"/>
      <c r="V481" s="165"/>
    </row>
    <row r="482" ht="12.75" customHeight="1">
      <c r="A482" s="163"/>
      <c r="B482" s="163"/>
      <c r="C482" s="163"/>
      <c r="D482" s="1"/>
      <c r="E482" s="163"/>
      <c r="F482" s="11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5"/>
      <c r="V482" s="165"/>
    </row>
    <row r="483" ht="12.75" customHeight="1">
      <c r="A483" s="163"/>
      <c r="B483" s="163"/>
      <c r="C483" s="163"/>
      <c r="D483" s="1"/>
      <c r="E483" s="163"/>
      <c r="F483" s="11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5"/>
      <c r="V483" s="165"/>
    </row>
    <row r="484" ht="12.75" customHeight="1">
      <c r="A484" s="163"/>
      <c r="B484" s="163"/>
      <c r="C484" s="163"/>
      <c r="D484" s="1"/>
      <c r="E484" s="163"/>
      <c r="F484" s="11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5"/>
      <c r="V484" s="165"/>
    </row>
    <row r="485" ht="12.75" customHeight="1">
      <c r="A485" s="163"/>
      <c r="B485" s="163"/>
      <c r="C485" s="163"/>
      <c r="D485" s="1"/>
      <c r="E485" s="163"/>
      <c r="F485" s="11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5"/>
      <c r="V485" s="165"/>
    </row>
    <row r="486" ht="12.75" customHeight="1">
      <c r="A486" s="163"/>
      <c r="B486" s="163"/>
      <c r="C486" s="163"/>
      <c r="D486" s="1"/>
      <c r="E486" s="163"/>
      <c r="F486" s="11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5"/>
      <c r="V486" s="165"/>
    </row>
    <row r="487" ht="12.75" customHeight="1">
      <c r="A487" s="163"/>
      <c r="B487" s="163"/>
      <c r="C487" s="163"/>
      <c r="D487" s="1"/>
      <c r="E487" s="163"/>
      <c r="F487" s="11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5"/>
      <c r="V487" s="165"/>
    </row>
    <row r="488" ht="12.75" customHeight="1">
      <c r="A488" s="163"/>
      <c r="B488" s="163"/>
      <c r="C488" s="163"/>
      <c r="D488" s="1"/>
      <c r="E488" s="163"/>
      <c r="F488" s="11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5"/>
      <c r="V488" s="165"/>
    </row>
    <row r="489" ht="12.75" customHeight="1">
      <c r="A489" s="163"/>
      <c r="B489" s="163"/>
      <c r="C489" s="163"/>
      <c r="D489" s="1"/>
      <c r="E489" s="163"/>
      <c r="F489" s="11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5"/>
      <c r="V489" s="165"/>
    </row>
    <row r="490" ht="12.75" customHeight="1">
      <c r="A490" s="163"/>
      <c r="B490" s="163"/>
      <c r="C490" s="163"/>
      <c r="D490" s="1"/>
      <c r="E490" s="163"/>
      <c r="F490" s="11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5"/>
      <c r="V490" s="165"/>
    </row>
    <row r="491" ht="12.75" customHeight="1">
      <c r="A491" s="163"/>
      <c r="B491" s="163"/>
      <c r="C491" s="163"/>
      <c r="D491" s="1"/>
      <c r="E491" s="163"/>
      <c r="F491" s="11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5"/>
      <c r="V491" s="165"/>
    </row>
    <row r="492" ht="12.75" customHeight="1">
      <c r="A492" s="163"/>
      <c r="B492" s="163"/>
      <c r="C492" s="163"/>
      <c r="D492" s="1"/>
      <c r="E492" s="163"/>
      <c r="F492" s="11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5"/>
      <c r="V492" s="165"/>
    </row>
    <row r="493" ht="12.75" customHeight="1">
      <c r="A493" s="163"/>
      <c r="B493" s="163"/>
      <c r="C493" s="163"/>
      <c r="D493" s="1"/>
      <c r="E493" s="163"/>
      <c r="F493" s="11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5"/>
      <c r="V493" s="165"/>
    </row>
    <row r="494" ht="12.75" customHeight="1">
      <c r="A494" s="163"/>
      <c r="B494" s="163"/>
      <c r="C494" s="163"/>
      <c r="D494" s="1"/>
      <c r="E494" s="163"/>
      <c r="F494" s="11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5"/>
      <c r="V494" s="165"/>
    </row>
    <row r="495" ht="12.75" customHeight="1">
      <c r="A495" s="163"/>
      <c r="B495" s="163"/>
      <c r="C495" s="163"/>
      <c r="D495" s="1"/>
      <c r="E495" s="163"/>
      <c r="F495" s="11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5"/>
      <c r="V495" s="165"/>
    </row>
    <row r="496" ht="12.75" customHeight="1">
      <c r="A496" s="163"/>
      <c r="B496" s="163"/>
      <c r="C496" s="163"/>
      <c r="D496" s="1"/>
      <c r="E496" s="163"/>
      <c r="F496" s="11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5"/>
      <c r="V496" s="165"/>
    </row>
    <row r="497" ht="12.75" customHeight="1">
      <c r="A497" s="163"/>
      <c r="B497" s="163"/>
      <c r="C497" s="163"/>
      <c r="D497" s="1"/>
      <c r="E497" s="163"/>
      <c r="F497" s="11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5"/>
      <c r="V497" s="165"/>
    </row>
    <row r="498" ht="12.75" customHeight="1">
      <c r="A498" s="163"/>
      <c r="B498" s="163"/>
      <c r="C498" s="163"/>
      <c r="D498" s="1"/>
      <c r="E498" s="163"/>
      <c r="F498" s="11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5"/>
      <c r="V498" s="165"/>
    </row>
    <row r="499" ht="12.75" customHeight="1">
      <c r="A499" s="163"/>
      <c r="B499" s="163"/>
      <c r="C499" s="163"/>
      <c r="D499" s="1"/>
      <c r="E499" s="163"/>
      <c r="F499" s="11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5"/>
      <c r="V499" s="165"/>
    </row>
    <row r="500" ht="12.75" customHeight="1">
      <c r="A500" s="163"/>
      <c r="B500" s="163"/>
      <c r="C500" s="163"/>
      <c r="D500" s="1"/>
      <c r="E500" s="163"/>
      <c r="F500" s="11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5"/>
      <c r="V500" s="165"/>
    </row>
    <row r="501" ht="12.75" customHeight="1">
      <c r="A501" s="163"/>
      <c r="B501" s="163"/>
      <c r="C501" s="163"/>
      <c r="D501" s="1"/>
      <c r="E501" s="163"/>
      <c r="F501" s="11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5"/>
      <c r="V501" s="165"/>
    </row>
    <row r="502" ht="12.75" customHeight="1">
      <c r="A502" s="163"/>
      <c r="B502" s="163"/>
      <c r="C502" s="163"/>
      <c r="D502" s="1"/>
      <c r="E502" s="163"/>
      <c r="F502" s="11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5"/>
      <c r="V502" s="165"/>
    </row>
    <row r="503" ht="12.75" customHeight="1">
      <c r="A503" s="163"/>
      <c r="B503" s="163"/>
      <c r="C503" s="163"/>
      <c r="D503" s="1"/>
      <c r="E503" s="163"/>
      <c r="F503" s="11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5"/>
      <c r="V503" s="165"/>
    </row>
    <row r="504" ht="12.75" customHeight="1">
      <c r="A504" s="163"/>
      <c r="B504" s="163"/>
      <c r="C504" s="163"/>
      <c r="D504" s="1"/>
      <c r="E504" s="163"/>
      <c r="F504" s="11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5"/>
      <c r="V504" s="165"/>
    </row>
    <row r="505" ht="12.75" customHeight="1">
      <c r="A505" s="163"/>
      <c r="B505" s="163"/>
      <c r="C505" s="163"/>
      <c r="D505" s="1"/>
      <c r="E505" s="163"/>
      <c r="F505" s="11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5"/>
      <c r="V505" s="165"/>
    </row>
    <row r="506" ht="12.75" customHeight="1">
      <c r="A506" s="163"/>
      <c r="B506" s="163"/>
      <c r="C506" s="163"/>
      <c r="D506" s="1"/>
      <c r="E506" s="163"/>
      <c r="F506" s="11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5"/>
      <c r="V506" s="165"/>
    </row>
    <row r="507" ht="12.75" customHeight="1">
      <c r="A507" s="163"/>
      <c r="B507" s="163"/>
      <c r="C507" s="163"/>
      <c r="D507" s="1"/>
      <c r="E507" s="163"/>
      <c r="F507" s="11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5"/>
      <c r="V507" s="165"/>
    </row>
    <row r="508" ht="12.75" customHeight="1">
      <c r="A508" s="163"/>
      <c r="B508" s="163"/>
      <c r="C508" s="163"/>
      <c r="D508" s="1"/>
      <c r="E508" s="163"/>
      <c r="F508" s="11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5"/>
      <c r="V508" s="165"/>
    </row>
    <row r="509" ht="12.75" customHeight="1">
      <c r="A509" s="163"/>
      <c r="B509" s="163"/>
      <c r="C509" s="163"/>
      <c r="D509" s="1"/>
      <c r="E509" s="163"/>
      <c r="F509" s="11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5"/>
      <c r="V509" s="165"/>
    </row>
    <row r="510" ht="12.75" customHeight="1">
      <c r="A510" s="163"/>
      <c r="B510" s="163"/>
      <c r="C510" s="163"/>
      <c r="D510" s="1"/>
      <c r="E510" s="163"/>
      <c r="F510" s="11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5"/>
      <c r="V510" s="165"/>
    </row>
    <row r="511" ht="12.75" customHeight="1">
      <c r="A511" s="163"/>
      <c r="B511" s="163"/>
      <c r="C511" s="163"/>
      <c r="D511" s="1"/>
      <c r="E511" s="163"/>
      <c r="F511" s="11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5"/>
      <c r="V511" s="165"/>
    </row>
    <row r="512" ht="12.75" customHeight="1">
      <c r="A512" s="163"/>
      <c r="B512" s="163"/>
      <c r="C512" s="163"/>
      <c r="D512" s="1"/>
      <c r="E512" s="163"/>
      <c r="F512" s="11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5"/>
      <c r="V512" s="165"/>
    </row>
    <row r="513" ht="12.75" customHeight="1">
      <c r="A513" s="163"/>
      <c r="B513" s="163"/>
      <c r="C513" s="163"/>
      <c r="D513" s="1"/>
      <c r="E513" s="163"/>
      <c r="F513" s="11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5"/>
      <c r="V513" s="165"/>
    </row>
    <row r="514" ht="12.75" customHeight="1">
      <c r="A514" s="163"/>
      <c r="B514" s="163"/>
      <c r="C514" s="163"/>
      <c r="D514" s="1"/>
      <c r="E514" s="163"/>
      <c r="F514" s="11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5"/>
      <c r="V514" s="165"/>
    </row>
    <row r="515" ht="12.75" customHeight="1">
      <c r="A515" s="163"/>
      <c r="B515" s="163"/>
      <c r="C515" s="163"/>
      <c r="D515" s="1"/>
      <c r="E515" s="163"/>
      <c r="F515" s="11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5"/>
      <c r="V515" s="165"/>
    </row>
    <row r="516" ht="12.75" customHeight="1">
      <c r="A516" s="163"/>
      <c r="B516" s="163"/>
      <c r="C516" s="163"/>
      <c r="D516" s="1"/>
      <c r="E516" s="163"/>
      <c r="F516" s="11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5"/>
      <c r="V516" s="165"/>
    </row>
    <row r="517" ht="12.75" customHeight="1">
      <c r="A517" s="163"/>
      <c r="B517" s="163"/>
      <c r="C517" s="163"/>
      <c r="D517" s="1"/>
      <c r="E517" s="163"/>
      <c r="F517" s="11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5"/>
      <c r="V517" s="165"/>
    </row>
    <row r="518" ht="12.75" customHeight="1">
      <c r="A518" s="163"/>
      <c r="B518" s="163"/>
      <c r="C518" s="163"/>
      <c r="D518" s="1"/>
      <c r="E518" s="163"/>
      <c r="F518" s="11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5"/>
      <c r="V518" s="165"/>
    </row>
    <row r="519" ht="12.75" customHeight="1">
      <c r="A519" s="163"/>
      <c r="B519" s="163"/>
      <c r="C519" s="163"/>
      <c r="D519" s="1"/>
      <c r="E519" s="163"/>
      <c r="F519" s="11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5"/>
      <c r="V519" s="165"/>
    </row>
    <row r="520" ht="12.75" customHeight="1">
      <c r="A520" s="163"/>
      <c r="B520" s="163"/>
      <c r="C520" s="163"/>
      <c r="D520" s="1"/>
      <c r="E520" s="163"/>
      <c r="F520" s="11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5"/>
      <c r="V520" s="165"/>
    </row>
    <row r="521" ht="12.75" customHeight="1">
      <c r="A521" s="163"/>
      <c r="B521" s="163"/>
      <c r="C521" s="163"/>
      <c r="D521" s="1"/>
      <c r="E521" s="163"/>
      <c r="F521" s="11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5"/>
      <c r="V521" s="165"/>
    </row>
    <row r="522" ht="12.75" customHeight="1">
      <c r="A522" s="163"/>
      <c r="B522" s="163"/>
      <c r="C522" s="163"/>
      <c r="D522" s="1"/>
      <c r="E522" s="163"/>
      <c r="F522" s="11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5"/>
      <c r="V522" s="165"/>
    </row>
    <row r="523" ht="12.75" customHeight="1">
      <c r="A523" s="163"/>
      <c r="B523" s="163"/>
      <c r="C523" s="163"/>
      <c r="D523" s="1"/>
      <c r="E523" s="163"/>
      <c r="F523" s="11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5"/>
      <c r="V523" s="165"/>
    </row>
    <row r="524" ht="12.75" customHeight="1">
      <c r="A524" s="163"/>
      <c r="B524" s="163"/>
      <c r="C524" s="163"/>
      <c r="D524" s="1"/>
      <c r="E524" s="163"/>
      <c r="F524" s="11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5"/>
      <c r="V524" s="165"/>
    </row>
    <row r="525" ht="12.75" customHeight="1">
      <c r="A525" s="163"/>
      <c r="B525" s="163"/>
      <c r="C525" s="163"/>
      <c r="D525" s="1"/>
      <c r="E525" s="163"/>
      <c r="F525" s="11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5"/>
      <c r="V525" s="165"/>
    </row>
    <row r="526" ht="12.75" customHeight="1">
      <c r="A526" s="163"/>
      <c r="B526" s="163"/>
      <c r="C526" s="163"/>
      <c r="D526" s="1"/>
      <c r="E526" s="163"/>
      <c r="F526" s="11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5"/>
      <c r="V526" s="165"/>
    </row>
    <row r="527" ht="12.75" customHeight="1">
      <c r="A527" s="163"/>
      <c r="B527" s="163"/>
      <c r="C527" s="163"/>
      <c r="D527" s="1"/>
      <c r="E527" s="163"/>
      <c r="F527" s="11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5"/>
      <c r="V527" s="165"/>
    </row>
    <row r="528" ht="12.75" customHeight="1">
      <c r="A528" s="163"/>
      <c r="B528" s="163"/>
      <c r="C528" s="163"/>
      <c r="D528" s="1"/>
      <c r="E528" s="163"/>
      <c r="F528" s="11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5"/>
      <c r="V528" s="165"/>
    </row>
    <row r="529" ht="12.75" customHeight="1">
      <c r="A529" s="163"/>
      <c r="B529" s="163"/>
      <c r="C529" s="163"/>
      <c r="D529" s="1"/>
      <c r="E529" s="163"/>
      <c r="F529" s="11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5"/>
      <c r="V529" s="165"/>
    </row>
    <row r="530" ht="12.75" customHeight="1">
      <c r="A530" s="163"/>
      <c r="B530" s="163"/>
      <c r="C530" s="163"/>
      <c r="D530" s="1"/>
      <c r="E530" s="163"/>
      <c r="F530" s="11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5"/>
      <c r="V530" s="165"/>
    </row>
    <row r="531" ht="12.75" customHeight="1">
      <c r="A531" s="163"/>
      <c r="B531" s="163"/>
      <c r="C531" s="163"/>
      <c r="D531" s="1"/>
      <c r="E531" s="163"/>
      <c r="F531" s="11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5"/>
      <c r="V531" s="165"/>
    </row>
    <row r="532" ht="12.75" customHeight="1">
      <c r="A532" s="163"/>
      <c r="B532" s="163"/>
      <c r="C532" s="163"/>
      <c r="D532" s="1"/>
      <c r="E532" s="163"/>
      <c r="F532" s="11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5"/>
      <c r="V532" s="165"/>
    </row>
    <row r="533" ht="12.75" customHeight="1">
      <c r="A533" s="163"/>
      <c r="B533" s="163"/>
      <c r="C533" s="163"/>
      <c r="D533" s="1"/>
      <c r="E533" s="163"/>
      <c r="F533" s="11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5"/>
      <c r="V533" s="165"/>
    </row>
    <row r="534" ht="12.75" customHeight="1">
      <c r="A534" s="163"/>
      <c r="B534" s="163"/>
      <c r="C534" s="163"/>
      <c r="D534" s="1"/>
      <c r="E534" s="163"/>
      <c r="F534" s="11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5"/>
      <c r="V534" s="165"/>
    </row>
    <row r="535" ht="12.75" customHeight="1">
      <c r="A535" s="163"/>
      <c r="B535" s="163"/>
      <c r="C535" s="163"/>
      <c r="D535" s="1"/>
      <c r="E535" s="163"/>
      <c r="F535" s="11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5"/>
      <c r="V535" s="165"/>
    </row>
    <row r="536" ht="12.75" customHeight="1">
      <c r="A536" s="163"/>
      <c r="B536" s="163"/>
      <c r="C536" s="163"/>
      <c r="D536" s="1"/>
      <c r="E536" s="163"/>
      <c r="F536" s="11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5"/>
      <c r="V536" s="165"/>
    </row>
    <row r="537" ht="12.75" customHeight="1">
      <c r="A537" s="163"/>
      <c r="B537" s="163"/>
      <c r="C537" s="163"/>
      <c r="D537" s="1"/>
      <c r="E537" s="163"/>
      <c r="F537" s="11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5"/>
      <c r="V537" s="165"/>
    </row>
    <row r="538" ht="12.75" customHeight="1">
      <c r="A538" s="163"/>
      <c r="B538" s="163"/>
      <c r="C538" s="163"/>
      <c r="D538" s="1"/>
      <c r="E538" s="163"/>
      <c r="F538" s="11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5"/>
      <c r="V538" s="165"/>
    </row>
    <row r="539" ht="12.75" customHeight="1">
      <c r="A539" s="163"/>
      <c r="B539" s="163"/>
      <c r="C539" s="163"/>
      <c r="D539" s="1"/>
      <c r="E539" s="163"/>
      <c r="F539" s="11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5"/>
      <c r="V539" s="165"/>
    </row>
    <row r="540" ht="12.75" customHeight="1">
      <c r="A540" s="163"/>
      <c r="B540" s="163"/>
      <c r="C540" s="163"/>
      <c r="D540" s="1"/>
      <c r="E540" s="163"/>
      <c r="F540" s="11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5"/>
      <c r="V540" s="165"/>
    </row>
    <row r="541" ht="12.75" customHeight="1">
      <c r="A541" s="163"/>
      <c r="B541" s="163"/>
      <c r="C541" s="163"/>
      <c r="D541" s="1"/>
      <c r="E541" s="163"/>
      <c r="F541" s="11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5"/>
      <c r="V541" s="165"/>
    </row>
    <row r="542" ht="12.75" customHeight="1">
      <c r="A542" s="163"/>
      <c r="B542" s="163"/>
      <c r="C542" s="163"/>
      <c r="D542" s="1"/>
      <c r="E542" s="163"/>
      <c r="F542" s="11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5"/>
      <c r="V542" s="165"/>
    </row>
    <row r="543" ht="12.75" customHeight="1">
      <c r="A543" s="163"/>
      <c r="B543" s="163"/>
      <c r="C543" s="163"/>
      <c r="D543" s="1"/>
      <c r="E543" s="163"/>
      <c r="F543" s="11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5"/>
      <c r="V543" s="165"/>
    </row>
    <row r="544" ht="12.75" customHeight="1">
      <c r="A544" s="163"/>
      <c r="B544" s="163"/>
      <c r="C544" s="163"/>
      <c r="D544" s="1"/>
      <c r="E544" s="163"/>
      <c r="F544" s="11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5"/>
      <c r="V544" s="165"/>
    </row>
    <row r="545" ht="12.75" customHeight="1">
      <c r="A545" s="163"/>
      <c r="B545" s="163"/>
      <c r="C545" s="163"/>
      <c r="D545" s="1"/>
      <c r="E545" s="163"/>
      <c r="F545" s="11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5"/>
      <c r="V545" s="165"/>
    </row>
    <row r="546" ht="12.75" customHeight="1">
      <c r="A546" s="163"/>
      <c r="B546" s="163"/>
      <c r="C546" s="163"/>
      <c r="D546" s="1"/>
      <c r="E546" s="163"/>
      <c r="F546" s="11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5"/>
      <c r="V546" s="165"/>
    </row>
    <row r="547" ht="12.75" customHeight="1">
      <c r="A547" s="163"/>
      <c r="B547" s="163"/>
      <c r="C547" s="163"/>
      <c r="D547" s="1"/>
      <c r="E547" s="163"/>
      <c r="F547" s="11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5"/>
      <c r="V547" s="165"/>
    </row>
    <row r="548" ht="12.75" customHeight="1">
      <c r="A548" s="163"/>
      <c r="B548" s="163"/>
      <c r="C548" s="163"/>
      <c r="D548" s="1"/>
      <c r="E548" s="163"/>
      <c r="F548" s="11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5"/>
      <c r="V548" s="165"/>
    </row>
    <row r="549" ht="12.75" customHeight="1">
      <c r="A549" s="163"/>
      <c r="B549" s="163"/>
      <c r="C549" s="163"/>
      <c r="D549" s="1"/>
      <c r="E549" s="163"/>
      <c r="F549" s="11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5"/>
      <c r="V549" s="165"/>
    </row>
    <row r="550" ht="12.75" customHeight="1">
      <c r="A550" s="163"/>
      <c r="B550" s="163"/>
      <c r="C550" s="163"/>
      <c r="D550" s="1"/>
      <c r="E550" s="163"/>
      <c r="F550" s="11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5"/>
      <c r="V550" s="165"/>
    </row>
    <row r="551" ht="12.75" customHeight="1">
      <c r="A551" s="163"/>
      <c r="B551" s="163"/>
      <c r="C551" s="163"/>
      <c r="D551" s="1"/>
      <c r="E551" s="163"/>
      <c r="F551" s="11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5"/>
      <c r="V551" s="165"/>
    </row>
    <row r="552" ht="12.75" customHeight="1">
      <c r="A552" s="163"/>
      <c r="B552" s="163"/>
      <c r="C552" s="163"/>
      <c r="D552" s="1"/>
      <c r="E552" s="163"/>
      <c r="F552" s="11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5"/>
      <c r="V552" s="165"/>
    </row>
    <row r="553" ht="12.75" customHeight="1">
      <c r="A553" s="163"/>
      <c r="B553" s="163"/>
      <c r="C553" s="163"/>
      <c r="D553" s="1"/>
      <c r="E553" s="163"/>
      <c r="F553" s="11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5"/>
      <c r="V553" s="165"/>
    </row>
    <row r="554" ht="12.75" customHeight="1">
      <c r="A554" s="163"/>
      <c r="B554" s="163"/>
      <c r="C554" s="163"/>
      <c r="D554" s="1"/>
      <c r="E554" s="163"/>
      <c r="F554" s="11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5"/>
      <c r="V554" s="165"/>
    </row>
    <row r="555" ht="12.75" customHeight="1">
      <c r="A555" s="163"/>
      <c r="B555" s="163"/>
      <c r="C555" s="163"/>
      <c r="D555" s="1"/>
      <c r="E555" s="163"/>
      <c r="F555" s="11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5"/>
      <c r="V555" s="165"/>
    </row>
    <row r="556" ht="12.75" customHeight="1">
      <c r="A556" s="163"/>
      <c r="B556" s="163"/>
      <c r="C556" s="163"/>
      <c r="D556" s="1"/>
      <c r="E556" s="163"/>
      <c r="F556" s="11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5"/>
      <c r="V556" s="165"/>
    </row>
    <row r="557" ht="12.75" customHeight="1">
      <c r="A557" s="163"/>
      <c r="B557" s="163"/>
      <c r="C557" s="163"/>
      <c r="D557" s="1"/>
      <c r="E557" s="163"/>
      <c r="F557" s="11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5"/>
      <c r="V557" s="165"/>
    </row>
    <row r="558" ht="12.75" customHeight="1">
      <c r="A558" s="163"/>
      <c r="B558" s="163"/>
      <c r="C558" s="163"/>
      <c r="D558" s="1"/>
      <c r="E558" s="163"/>
      <c r="F558" s="11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5"/>
      <c r="V558" s="165"/>
    </row>
    <row r="559" ht="12.75" customHeight="1">
      <c r="A559" s="163"/>
      <c r="B559" s="163"/>
      <c r="C559" s="163"/>
      <c r="D559" s="1"/>
      <c r="E559" s="163"/>
      <c r="F559" s="11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5"/>
      <c r="V559" s="165"/>
    </row>
    <row r="560" ht="12.75" customHeight="1">
      <c r="A560" s="107"/>
      <c r="B560" s="107"/>
      <c r="C560" s="107"/>
      <c r="D560" s="102"/>
      <c r="E560" s="107"/>
      <c r="F560" s="108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10"/>
      <c r="V560" s="110"/>
    </row>
    <row r="561" ht="12.75" customHeight="1">
      <c r="A561" s="107"/>
      <c r="B561" s="107"/>
      <c r="C561" s="107"/>
      <c r="D561" s="102"/>
      <c r="E561" s="107"/>
      <c r="F561" s="108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10"/>
      <c r="V561" s="110"/>
    </row>
    <row r="562" ht="12.75" customHeight="1">
      <c r="A562" s="107"/>
      <c r="B562" s="107"/>
      <c r="C562" s="107"/>
      <c r="D562" s="102"/>
      <c r="E562" s="107"/>
      <c r="F562" s="108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10"/>
      <c r="V562" s="110"/>
    </row>
    <row r="563" ht="12.75" customHeight="1">
      <c r="A563" s="107"/>
      <c r="B563" s="107"/>
      <c r="C563" s="107"/>
      <c r="D563" s="102"/>
      <c r="E563" s="107"/>
      <c r="F563" s="108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10"/>
      <c r="V563" s="110"/>
    </row>
    <row r="564" ht="12.75" customHeight="1">
      <c r="A564" s="107"/>
      <c r="B564" s="107"/>
      <c r="C564" s="107"/>
      <c r="D564" s="102"/>
      <c r="E564" s="107"/>
      <c r="F564" s="108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10"/>
      <c r="V564" s="110"/>
    </row>
    <row r="565" ht="12.75" customHeight="1">
      <c r="A565" s="107"/>
      <c r="B565" s="107"/>
      <c r="C565" s="107"/>
      <c r="D565" s="102"/>
      <c r="E565" s="107"/>
      <c r="F565" s="108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10"/>
      <c r="V565" s="110"/>
    </row>
    <row r="566" ht="12.75" customHeight="1">
      <c r="A566" s="107"/>
      <c r="B566" s="107"/>
      <c r="C566" s="107"/>
      <c r="D566" s="102"/>
      <c r="E566" s="107"/>
      <c r="F566" s="108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10"/>
      <c r="V566" s="110"/>
    </row>
    <row r="567" ht="12.75" customHeight="1">
      <c r="A567" s="107"/>
      <c r="B567" s="107"/>
      <c r="C567" s="107"/>
      <c r="D567" s="102"/>
      <c r="E567" s="107"/>
      <c r="F567" s="108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10"/>
      <c r="V567" s="110"/>
    </row>
    <row r="568" ht="12.75" customHeight="1">
      <c r="A568" s="107"/>
      <c r="B568" s="107"/>
      <c r="C568" s="107"/>
      <c r="D568" s="102"/>
      <c r="E568" s="107"/>
      <c r="F568" s="108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10"/>
      <c r="V568" s="110"/>
    </row>
    <row r="569" ht="12.75" customHeight="1">
      <c r="A569" s="107"/>
      <c r="B569" s="107"/>
      <c r="C569" s="107"/>
      <c r="D569" s="102"/>
      <c r="E569" s="107"/>
      <c r="F569" s="108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10"/>
      <c r="V569" s="110"/>
    </row>
    <row r="570" ht="12.75" customHeight="1">
      <c r="A570" s="107"/>
      <c r="B570" s="107"/>
      <c r="C570" s="107"/>
      <c r="D570" s="102"/>
      <c r="E570" s="107"/>
      <c r="F570" s="108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10"/>
      <c r="V570" s="110"/>
    </row>
    <row r="571" ht="12.75" customHeight="1">
      <c r="A571" s="107"/>
      <c r="B571" s="107"/>
      <c r="C571" s="107"/>
      <c r="D571" s="102"/>
      <c r="E571" s="107"/>
      <c r="F571" s="108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10"/>
      <c r="V571" s="110"/>
    </row>
    <row r="572" ht="12.75" customHeight="1">
      <c r="A572" s="107"/>
      <c r="B572" s="107"/>
      <c r="C572" s="107"/>
      <c r="D572" s="102"/>
      <c r="E572" s="107"/>
      <c r="F572" s="108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10"/>
      <c r="V572" s="110"/>
    </row>
    <row r="573" ht="12.75" customHeight="1">
      <c r="A573" s="107"/>
      <c r="B573" s="107"/>
      <c r="C573" s="107"/>
      <c r="D573" s="102"/>
      <c r="E573" s="107"/>
      <c r="F573" s="108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10"/>
      <c r="V573" s="110"/>
    </row>
    <row r="574" ht="12.75" customHeight="1">
      <c r="A574" s="107"/>
      <c r="B574" s="107"/>
      <c r="C574" s="107"/>
      <c r="D574" s="102"/>
      <c r="E574" s="107"/>
      <c r="F574" s="108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10"/>
      <c r="V574" s="110"/>
    </row>
    <row r="575" ht="12.75" customHeight="1">
      <c r="A575" s="107"/>
      <c r="B575" s="107"/>
      <c r="C575" s="107"/>
      <c r="D575" s="102"/>
      <c r="E575" s="107"/>
      <c r="F575" s="108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10"/>
      <c r="V575" s="110"/>
    </row>
    <row r="576" ht="12.75" customHeight="1">
      <c r="A576" s="107"/>
      <c r="B576" s="107"/>
      <c r="C576" s="107"/>
      <c r="D576" s="102"/>
      <c r="E576" s="107"/>
      <c r="F576" s="108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10"/>
      <c r="V576" s="110"/>
    </row>
    <row r="577" ht="12.75" customHeight="1">
      <c r="A577" s="107"/>
      <c r="B577" s="107"/>
      <c r="C577" s="107"/>
      <c r="D577" s="102"/>
      <c r="E577" s="107"/>
      <c r="F577" s="108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10"/>
      <c r="V577" s="110"/>
    </row>
    <row r="578" ht="12.75" customHeight="1">
      <c r="A578" s="107"/>
      <c r="B578" s="107"/>
      <c r="C578" s="107"/>
      <c r="D578" s="102"/>
      <c r="E578" s="107"/>
      <c r="F578" s="108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10"/>
      <c r="V578" s="110"/>
    </row>
    <row r="579" ht="12.75" customHeight="1">
      <c r="A579" s="107"/>
      <c r="B579" s="107"/>
      <c r="C579" s="107"/>
      <c r="D579" s="102"/>
      <c r="E579" s="107"/>
      <c r="F579" s="108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10"/>
      <c r="V579" s="110"/>
    </row>
    <row r="580" ht="12.75" customHeight="1">
      <c r="A580" s="107"/>
      <c r="B580" s="107"/>
      <c r="C580" s="107"/>
      <c r="D580" s="102"/>
      <c r="E580" s="107"/>
      <c r="F580" s="108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10"/>
      <c r="V580" s="110"/>
    </row>
    <row r="581" ht="12.75" customHeight="1">
      <c r="A581" s="107"/>
      <c r="B581" s="107"/>
      <c r="C581" s="107"/>
      <c r="D581" s="102"/>
      <c r="E581" s="107"/>
      <c r="F581" s="108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10"/>
      <c r="V581" s="110"/>
    </row>
    <row r="582" ht="12.75" customHeight="1">
      <c r="A582" s="107"/>
      <c r="B582" s="107"/>
      <c r="C582" s="107"/>
      <c r="D582" s="102"/>
      <c r="E582" s="107"/>
      <c r="F582" s="108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10"/>
      <c r="V582" s="110"/>
    </row>
    <row r="583" ht="12.75" customHeight="1">
      <c r="A583" s="107"/>
      <c r="B583" s="107"/>
      <c r="C583" s="107"/>
      <c r="D583" s="102"/>
      <c r="E583" s="107"/>
      <c r="F583" s="108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10"/>
      <c r="V583" s="110"/>
    </row>
    <row r="584" ht="12.75" customHeight="1">
      <c r="A584" s="107"/>
      <c r="B584" s="107"/>
      <c r="C584" s="107"/>
      <c r="D584" s="102"/>
      <c r="E584" s="107"/>
      <c r="F584" s="108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10"/>
      <c r="V584" s="110"/>
    </row>
    <row r="585" ht="12.75" customHeight="1">
      <c r="A585" s="107"/>
      <c r="B585" s="107"/>
      <c r="C585" s="107"/>
      <c r="D585" s="102"/>
      <c r="E585" s="107"/>
      <c r="F585" s="108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10"/>
      <c r="V585" s="110"/>
    </row>
    <row r="586" ht="12.75" customHeight="1">
      <c r="A586" s="107"/>
      <c r="B586" s="107"/>
      <c r="C586" s="107"/>
      <c r="D586" s="102"/>
      <c r="E586" s="107"/>
      <c r="F586" s="108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10"/>
      <c r="V586" s="110"/>
    </row>
    <row r="587" ht="12.75" customHeight="1">
      <c r="A587" s="107"/>
      <c r="B587" s="107"/>
      <c r="C587" s="107"/>
      <c r="D587" s="102"/>
      <c r="E587" s="107"/>
      <c r="F587" s="108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10"/>
      <c r="V587" s="110"/>
    </row>
    <row r="588" ht="12.75" customHeight="1">
      <c r="A588" s="107"/>
      <c r="B588" s="107"/>
      <c r="C588" s="107"/>
      <c r="D588" s="102"/>
      <c r="E588" s="107"/>
      <c r="F588" s="108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10"/>
      <c r="V588" s="110"/>
    </row>
    <row r="589" ht="12.75" customHeight="1">
      <c r="A589" s="107"/>
      <c r="B589" s="107"/>
      <c r="C589" s="107"/>
      <c r="D589" s="102"/>
      <c r="E589" s="107"/>
      <c r="F589" s="108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10"/>
      <c r="V589" s="110"/>
    </row>
    <row r="590" ht="12.75" customHeight="1">
      <c r="A590" s="107"/>
      <c r="B590" s="107"/>
      <c r="C590" s="107"/>
      <c r="D590" s="102"/>
      <c r="E590" s="107"/>
      <c r="F590" s="108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10"/>
      <c r="V590" s="110"/>
    </row>
    <row r="591" ht="12.75" customHeight="1">
      <c r="A591" s="107"/>
      <c r="B591" s="107"/>
      <c r="C591" s="107"/>
      <c r="D591" s="102"/>
      <c r="E591" s="107"/>
      <c r="F591" s="108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10"/>
      <c r="V591" s="110"/>
    </row>
    <row r="592" ht="12.75" customHeight="1">
      <c r="A592" s="107"/>
      <c r="B592" s="107"/>
      <c r="C592" s="107"/>
      <c r="D592" s="102"/>
      <c r="E592" s="107"/>
      <c r="F592" s="108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10"/>
      <c r="V592" s="110"/>
    </row>
    <row r="593" ht="12.75" customHeight="1">
      <c r="A593" s="107"/>
      <c r="B593" s="107"/>
      <c r="C593" s="107"/>
      <c r="D593" s="102"/>
      <c r="E593" s="107"/>
      <c r="F593" s="108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10"/>
      <c r="V593" s="110"/>
    </row>
    <row r="594" ht="12.75" customHeight="1">
      <c r="A594" s="107"/>
      <c r="B594" s="107"/>
      <c r="C594" s="107"/>
      <c r="D594" s="102"/>
      <c r="E594" s="107"/>
      <c r="F594" s="108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10"/>
      <c r="V594" s="110"/>
    </row>
    <row r="595" ht="12.75" customHeight="1">
      <c r="A595" s="107"/>
      <c r="B595" s="107"/>
      <c r="C595" s="107"/>
      <c r="D595" s="102"/>
      <c r="E595" s="107"/>
      <c r="F595" s="108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10"/>
      <c r="V595" s="110"/>
    </row>
    <row r="596" ht="12.75" customHeight="1">
      <c r="A596" s="107"/>
      <c r="B596" s="107"/>
      <c r="C596" s="107"/>
      <c r="D596" s="102"/>
      <c r="E596" s="107"/>
      <c r="F596" s="108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10"/>
      <c r="V596" s="110"/>
    </row>
    <row r="597" ht="12.75" customHeight="1">
      <c r="A597" s="107"/>
      <c r="B597" s="107"/>
      <c r="C597" s="107"/>
      <c r="D597" s="102"/>
      <c r="E597" s="107"/>
      <c r="F597" s="108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10"/>
      <c r="V597" s="110"/>
    </row>
    <row r="598" ht="12.75" customHeight="1">
      <c r="A598" s="107"/>
      <c r="B598" s="107"/>
      <c r="C598" s="107"/>
      <c r="D598" s="102"/>
      <c r="E598" s="107"/>
      <c r="F598" s="108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10"/>
      <c r="V598" s="110"/>
    </row>
    <row r="599" ht="12.75" customHeight="1">
      <c r="A599" s="107"/>
      <c r="B599" s="107"/>
      <c r="C599" s="107"/>
      <c r="D599" s="102"/>
      <c r="E599" s="107"/>
      <c r="F599" s="108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10"/>
      <c r="V599" s="110"/>
    </row>
    <row r="600" ht="12.75" customHeight="1">
      <c r="A600" s="107"/>
      <c r="B600" s="107"/>
      <c r="C600" s="107"/>
      <c r="D600" s="102"/>
      <c r="E600" s="107"/>
      <c r="F600" s="108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10"/>
      <c r="V600" s="110"/>
    </row>
    <row r="601" ht="12.75" customHeight="1">
      <c r="A601" s="107"/>
      <c r="B601" s="107"/>
      <c r="C601" s="107"/>
      <c r="D601" s="102"/>
      <c r="E601" s="107"/>
      <c r="F601" s="108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10"/>
      <c r="V601" s="110"/>
    </row>
    <row r="602" ht="12.75" customHeight="1">
      <c r="A602" s="107"/>
      <c r="B602" s="107"/>
      <c r="C602" s="107"/>
      <c r="D602" s="102"/>
      <c r="E602" s="107"/>
      <c r="F602" s="108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10"/>
      <c r="V602" s="110"/>
    </row>
    <row r="603" ht="12.75" customHeight="1">
      <c r="A603" s="107"/>
      <c r="B603" s="107"/>
      <c r="C603" s="107"/>
      <c r="D603" s="102"/>
      <c r="E603" s="107"/>
      <c r="F603" s="108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10"/>
      <c r="V603" s="110"/>
    </row>
    <row r="604" ht="12.75" customHeight="1">
      <c r="A604" s="107"/>
      <c r="B604" s="107"/>
      <c r="C604" s="107"/>
      <c r="D604" s="102"/>
      <c r="E604" s="107"/>
      <c r="F604" s="108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10"/>
      <c r="V604" s="110"/>
    </row>
    <row r="605" ht="12.75" customHeight="1">
      <c r="A605" s="107"/>
      <c r="B605" s="107"/>
      <c r="C605" s="107"/>
      <c r="D605" s="102"/>
      <c r="E605" s="107"/>
      <c r="F605" s="108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10"/>
      <c r="V605" s="110"/>
    </row>
    <row r="606" ht="12.75" customHeight="1">
      <c r="A606" s="107"/>
      <c r="B606" s="107"/>
      <c r="C606" s="107"/>
      <c r="D606" s="102"/>
      <c r="E606" s="107"/>
      <c r="F606" s="108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10"/>
      <c r="V606" s="110"/>
    </row>
    <row r="607" ht="12.75" customHeight="1">
      <c r="A607" s="107"/>
      <c r="B607" s="107"/>
      <c r="C607" s="107"/>
      <c r="D607" s="102"/>
      <c r="E607" s="107"/>
      <c r="F607" s="108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10"/>
      <c r="V607" s="110"/>
    </row>
    <row r="608" ht="12.75" customHeight="1">
      <c r="A608" s="107"/>
      <c r="B608" s="107"/>
      <c r="C608" s="107"/>
      <c r="D608" s="102"/>
      <c r="E608" s="107"/>
      <c r="F608" s="108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10"/>
      <c r="V608" s="110"/>
    </row>
    <row r="609" ht="12.75" customHeight="1">
      <c r="A609" s="107"/>
      <c r="B609" s="107"/>
      <c r="C609" s="107"/>
      <c r="D609" s="102"/>
      <c r="E609" s="107"/>
      <c r="F609" s="108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10"/>
      <c r="V609" s="110"/>
    </row>
    <row r="610" ht="12.75" customHeight="1">
      <c r="A610" s="107"/>
      <c r="B610" s="107"/>
      <c r="C610" s="107"/>
      <c r="D610" s="102"/>
      <c r="E610" s="107"/>
      <c r="F610" s="108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10"/>
      <c r="V610" s="110"/>
    </row>
    <row r="611" ht="12.75" customHeight="1">
      <c r="A611" s="107"/>
      <c r="B611" s="107"/>
      <c r="C611" s="107"/>
      <c r="D611" s="102"/>
      <c r="E611" s="107"/>
      <c r="F611" s="108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10"/>
      <c r="V611" s="110"/>
    </row>
    <row r="612" ht="12.75" customHeight="1">
      <c r="A612" s="107"/>
      <c r="B612" s="107"/>
      <c r="C612" s="107"/>
      <c r="D612" s="102"/>
      <c r="E612" s="107"/>
      <c r="F612" s="108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10"/>
      <c r="V612" s="110"/>
    </row>
    <row r="613" ht="12.75" customHeight="1">
      <c r="A613" s="107"/>
      <c r="B613" s="107"/>
      <c r="C613" s="107"/>
      <c r="D613" s="102"/>
      <c r="E613" s="107"/>
      <c r="F613" s="108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10"/>
      <c r="V613" s="110"/>
    </row>
    <row r="614" ht="12.75" customHeight="1">
      <c r="A614" s="107"/>
      <c r="B614" s="107"/>
      <c r="C614" s="107"/>
      <c r="D614" s="102"/>
      <c r="E614" s="107"/>
      <c r="F614" s="108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10"/>
      <c r="V614" s="110"/>
    </row>
    <row r="615" ht="12.75" customHeight="1">
      <c r="A615" s="107"/>
      <c r="B615" s="107"/>
      <c r="C615" s="107"/>
      <c r="D615" s="102"/>
      <c r="E615" s="107"/>
      <c r="F615" s="108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10"/>
      <c r="V615" s="110"/>
    </row>
    <row r="616" ht="12.75" customHeight="1">
      <c r="A616" s="107"/>
      <c r="B616" s="107"/>
      <c r="C616" s="107"/>
      <c r="D616" s="102"/>
      <c r="E616" s="107"/>
      <c r="F616" s="108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10"/>
      <c r="V616" s="110"/>
    </row>
    <row r="617" ht="12.75" customHeight="1">
      <c r="A617" s="107"/>
      <c r="B617" s="107"/>
      <c r="C617" s="107"/>
      <c r="D617" s="102"/>
      <c r="E617" s="107"/>
      <c r="F617" s="108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10"/>
      <c r="V617" s="110"/>
    </row>
    <row r="618" ht="12.75" customHeight="1">
      <c r="A618" s="107"/>
      <c r="B618" s="107"/>
      <c r="C618" s="107"/>
      <c r="D618" s="102"/>
      <c r="E618" s="107"/>
      <c r="F618" s="108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10"/>
      <c r="V618" s="110"/>
    </row>
    <row r="619" ht="12.75" customHeight="1">
      <c r="A619" s="107"/>
      <c r="B619" s="107"/>
      <c r="C619" s="107"/>
      <c r="D619" s="102"/>
      <c r="E619" s="107"/>
      <c r="F619" s="108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10"/>
      <c r="V619" s="110"/>
    </row>
    <row r="620" ht="12.75" customHeight="1">
      <c r="A620" s="107"/>
      <c r="B620" s="107"/>
      <c r="C620" s="107"/>
      <c r="D620" s="102"/>
      <c r="E620" s="107"/>
      <c r="F620" s="108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10"/>
      <c r="V620" s="110"/>
    </row>
    <row r="621" ht="12.75" customHeight="1">
      <c r="A621" s="107"/>
      <c r="B621" s="107"/>
      <c r="C621" s="107"/>
      <c r="D621" s="102"/>
      <c r="E621" s="107"/>
      <c r="F621" s="108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10"/>
      <c r="V621" s="110"/>
    </row>
    <row r="622" ht="12.75" customHeight="1">
      <c r="A622" s="107"/>
      <c r="B622" s="107"/>
      <c r="C622" s="107"/>
      <c r="D622" s="102"/>
      <c r="E622" s="107"/>
      <c r="F622" s="108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10"/>
      <c r="V622" s="110"/>
    </row>
    <row r="623" ht="12.75" customHeight="1">
      <c r="A623" s="107"/>
      <c r="B623" s="107"/>
      <c r="C623" s="107"/>
      <c r="D623" s="102"/>
      <c r="E623" s="107"/>
      <c r="F623" s="108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10"/>
      <c r="V623" s="110"/>
    </row>
    <row r="624" ht="12.75" customHeight="1">
      <c r="A624" s="107"/>
      <c r="B624" s="107"/>
      <c r="C624" s="107"/>
      <c r="D624" s="102"/>
      <c r="E624" s="107"/>
      <c r="F624" s="108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10"/>
      <c r="V624" s="110"/>
    </row>
    <row r="625" ht="12.75" customHeight="1">
      <c r="A625" s="107"/>
      <c r="B625" s="107"/>
      <c r="C625" s="107"/>
      <c r="D625" s="102"/>
      <c r="E625" s="107"/>
      <c r="F625" s="108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10"/>
      <c r="V625" s="110"/>
    </row>
    <row r="626" ht="12.75" customHeight="1">
      <c r="A626" s="107"/>
      <c r="B626" s="107"/>
      <c r="C626" s="107"/>
      <c r="D626" s="102"/>
      <c r="E626" s="107"/>
      <c r="F626" s="108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10"/>
      <c r="V626" s="110"/>
    </row>
    <row r="627" ht="12.75" customHeight="1">
      <c r="A627" s="107"/>
      <c r="B627" s="107"/>
      <c r="C627" s="107"/>
      <c r="D627" s="102"/>
      <c r="E627" s="107"/>
      <c r="F627" s="108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10"/>
      <c r="V627" s="110"/>
    </row>
    <row r="628" ht="12.75" customHeight="1">
      <c r="A628" s="107"/>
      <c r="B628" s="107"/>
      <c r="C628" s="107"/>
      <c r="D628" s="102"/>
      <c r="E628" s="107"/>
      <c r="F628" s="108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10"/>
      <c r="V628" s="110"/>
    </row>
    <row r="629" ht="12.75" customHeight="1">
      <c r="A629" s="107"/>
      <c r="B629" s="107"/>
      <c r="C629" s="107"/>
      <c r="D629" s="102"/>
      <c r="E629" s="107"/>
      <c r="F629" s="108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10"/>
      <c r="V629" s="110"/>
    </row>
    <row r="630" ht="12.75" customHeight="1">
      <c r="A630" s="107"/>
      <c r="B630" s="107"/>
      <c r="C630" s="107"/>
      <c r="D630" s="102"/>
      <c r="E630" s="107"/>
      <c r="F630" s="108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10"/>
      <c r="V630" s="110"/>
    </row>
    <row r="631" ht="12.75" customHeight="1">
      <c r="A631" s="107"/>
      <c r="B631" s="107"/>
      <c r="C631" s="107"/>
      <c r="D631" s="102"/>
      <c r="E631" s="107"/>
      <c r="F631" s="108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10"/>
      <c r="V631" s="110"/>
    </row>
    <row r="632" ht="12.75" customHeight="1">
      <c r="A632" s="107"/>
      <c r="B632" s="107"/>
      <c r="C632" s="107"/>
      <c r="D632" s="102"/>
      <c r="E632" s="107"/>
      <c r="F632" s="108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10"/>
      <c r="V632" s="110"/>
    </row>
    <row r="633" ht="12.75" customHeight="1">
      <c r="A633" s="107"/>
      <c r="B633" s="107"/>
      <c r="C633" s="107"/>
      <c r="D633" s="102"/>
      <c r="E633" s="107"/>
      <c r="F633" s="108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10"/>
      <c r="V633" s="110"/>
    </row>
    <row r="634" ht="12.75" customHeight="1">
      <c r="A634" s="107"/>
      <c r="B634" s="107"/>
      <c r="C634" s="107"/>
      <c r="D634" s="102"/>
      <c r="E634" s="107"/>
      <c r="F634" s="108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10"/>
      <c r="V634" s="110"/>
    </row>
    <row r="635" ht="12.75" customHeight="1">
      <c r="A635" s="107"/>
      <c r="B635" s="107"/>
      <c r="C635" s="107"/>
      <c r="D635" s="102"/>
      <c r="E635" s="107"/>
      <c r="F635" s="108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10"/>
      <c r="V635" s="110"/>
    </row>
    <row r="636" ht="12.75" customHeight="1">
      <c r="A636" s="107"/>
      <c r="B636" s="107"/>
      <c r="C636" s="107"/>
      <c r="D636" s="102"/>
      <c r="E636" s="107"/>
      <c r="F636" s="108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10"/>
      <c r="V636" s="110"/>
    </row>
    <row r="637" ht="12.75" customHeight="1">
      <c r="A637" s="107"/>
      <c r="B637" s="107"/>
      <c r="C637" s="107"/>
      <c r="D637" s="102"/>
      <c r="E637" s="107"/>
      <c r="F637" s="108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10"/>
      <c r="V637" s="110"/>
    </row>
    <row r="638" ht="12.75" customHeight="1">
      <c r="A638" s="107"/>
      <c r="B638" s="107"/>
      <c r="C638" s="107"/>
      <c r="D638" s="102"/>
      <c r="E638" s="107"/>
      <c r="F638" s="108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10"/>
      <c r="V638" s="110"/>
    </row>
    <row r="639" ht="12.75" customHeight="1">
      <c r="A639" s="107"/>
      <c r="B639" s="107"/>
      <c r="C639" s="107"/>
      <c r="D639" s="102"/>
      <c r="E639" s="107"/>
      <c r="F639" s="108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10"/>
      <c r="V639" s="110"/>
    </row>
    <row r="640" ht="12.75" customHeight="1">
      <c r="A640" s="107"/>
      <c r="B640" s="107"/>
      <c r="C640" s="107"/>
      <c r="D640" s="102"/>
      <c r="E640" s="107"/>
      <c r="F640" s="108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10"/>
      <c r="V640" s="110"/>
    </row>
    <row r="641" ht="12.75" customHeight="1">
      <c r="A641" s="107"/>
      <c r="B641" s="107"/>
      <c r="C641" s="107"/>
      <c r="D641" s="102"/>
      <c r="E641" s="107"/>
      <c r="F641" s="108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10"/>
      <c r="V641" s="110"/>
    </row>
    <row r="642" ht="12.75" customHeight="1">
      <c r="A642" s="107"/>
      <c r="B642" s="107"/>
      <c r="C642" s="107"/>
      <c r="D642" s="102"/>
      <c r="E642" s="107"/>
      <c r="F642" s="108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10"/>
      <c r="V642" s="110"/>
    </row>
    <row r="643" ht="12.75" customHeight="1">
      <c r="A643" s="107"/>
      <c r="B643" s="107"/>
      <c r="C643" s="107"/>
      <c r="D643" s="102"/>
      <c r="E643" s="107"/>
      <c r="F643" s="108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10"/>
      <c r="V643" s="110"/>
    </row>
    <row r="644" ht="12.75" customHeight="1">
      <c r="A644" s="107"/>
      <c r="B644" s="107"/>
      <c r="C644" s="107"/>
      <c r="D644" s="102"/>
      <c r="E644" s="107"/>
      <c r="F644" s="108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10"/>
      <c r="V644" s="110"/>
    </row>
    <row r="645" ht="12.75" customHeight="1">
      <c r="A645" s="107"/>
      <c r="B645" s="107"/>
      <c r="C645" s="107"/>
      <c r="D645" s="102"/>
      <c r="E645" s="107"/>
      <c r="F645" s="108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10"/>
      <c r="V645" s="110"/>
    </row>
    <row r="646" ht="12.75" customHeight="1">
      <c r="A646" s="107"/>
      <c r="B646" s="107"/>
      <c r="C646" s="107"/>
      <c r="D646" s="102"/>
      <c r="E646" s="107"/>
      <c r="F646" s="108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10"/>
      <c r="V646" s="110"/>
    </row>
    <row r="647" ht="12.75" customHeight="1">
      <c r="A647" s="107"/>
      <c r="B647" s="107"/>
      <c r="C647" s="107"/>
      <c r="D647" s="102"/>
      <c r="E647" s="107"/>
      <c r="F647" s="108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10"/>
      <c r="V647" s="110"/>
    </row>
    <row r="648" ht="12.75" customHeight="1">
      <c r="A648" s="107"/>
      <c r="B648" s="107"/>
      <c r="C648" s="107"/>
      <c r="D648" s="102"/>
      <c r="E648" s="107"/>
      <c r="F648" s="108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10"/>
      <c r="V648" s="110"/>
    </row>
    <row r="649" ht="12.75" customHeight="1">
      <c r="A649" s="107"/>
      <c r="B649" s="107"/>
      <c r="C649" s="107"/>
      <c r="D649" s="102"/>
      <c r="E649" s="107"/>
      <c r="F649" s="108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10"/>
      <c r="V649" s="110"/>
    </row>
    <row r="650" ht="12.75" customHeight="1">
      <c r="A650" s="107"/>
      <c r="B650" s="107"/>
      <c r="C650" s="107"/>
      <c r="D650" s="102"/>
      <c r="E650" s="107"/>
      <c r="F650" s="108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10"/>
      <c r="V650" s="110"/>
    </row>
    <row r="651" ht="12.75" customHeight="1">
      <c r="A651" s="107"/>
      <c r="B651" s="107"/>
      <c r="C651" s="107"/>
      <c r="D651" s="102"/>
      <c r="E651" s="107"/>
      <c r="F651" s="108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10"/>
      <c r="V651" s="110"/>
    </row>
    <row r="652" ht="12.75" customHeight="1">
      <c r="A652" s="107"/>
      <c r="B652" s="107"/>
      <c r="C652" s="107"/>
      <c r="D652" s="102"/>
      <c r="E652" s="107"/>
      <c r="F652" s="108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10"/>
      <c r="V652" s="110"/>
    </row>
    <row r="653" ht="12.75" customHeight="1">
      <c r="A653" s="107"/>
      <c r="B653" s="107"/>
      <c r="C653" s="107"/>
      <c r="D653" s="102"/>
      <c r="E653" s="107"/>
      <c r="F653" s="108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10"/>
      <c r="V653" s="110"/>
    </row>
    <row r="654" ht="12.75" customHeight="1">
      <c r="A654" s="107"/>
      <c r="B654" s="107"/>
      <c r="C654" s="107"/>
      <c r="D654" s="102"/>
      <c r="E654" s="107"/>
      <c r="F654" s="108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10"/>
      <c r="V654" s="110"/>
    </row>
    <row r="655" ht="12.75" customHeight="1">
      <c r="A655" s="107"/>
      <c r="B655" s="107"/>
      <c r="C655" s="107"/>
      <c r="D655" s="102"/>
      <c r="E655" s="107"/>
      <c r="F655" s="108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10"/>
      <c r="V655" s="110"/>
    </row>
    <row r="656" ht="12.75" customHeight="1">
      <c r="A656" s="107"/>
      <c r="B656" s="107"/>
      <c r="C656" s="107"/>
      <c r="D656" s="102"/>
      <c r="E656" s="107"/>
      <c r="F656" s="108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10"/>
      <c r="V656" s="110"/>
    </row>
    <row r="657" ht="12.75" customHeight="1">
      <c r="A657" s="107"/>
      <c r="B657" s="107"/>
      <c r="C657" s="107"/>
      <c r="D657" s="102"/>
      <c r="E657" s="107"/>
      <c r="F657" s="108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10"/>
      <c r="V657" s="110"/>
    </row>
    <row r="658" ht="12.75" customHeight="1">
      <c r="A658" s="107"/>
      <c r="B658" s="107"/>
      <c r="C658" s="107"/>
      <c r="D658" s="102"/>
      <c r="E658" s="107"/>
      <c r="F658" s="108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10"/>
      <c r="V658" s="110"/>
    </row>
    <row r="659" ht="12.75" customHeight="1">
      <c r="A659" s="107"/>
      <c r="B659" s="107"/>
      <c r="C659" s="107"/>
      <c r="D659" s="102"/>
      <c r="E659" s="107"/>
      <c r="F659" s="108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10"/>
      <c r="V659" s="110"/>
    </row>
    <row r="660" ht="12.75" customHeight="1">
      <c r="A660" s="107"/>
      <c r="B660" s="107"/>
      <c r="C660" s="107"/>
      <c r="D660" s="102"/>
      <c r="E660" s="107"/>
      <c r="F660" s="108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10"/>
      <c r="V660" s="110"/>
    </row>
    <row r="661" ht="12.75" customHeight="1">
      <c r="A661" s="107"/>
      <c r="B661" s="107"/>
      <c r="C661" s="107"/>
      <c r="D661" s="102"/>
      <c r="E661" s="107"/>
      <c r="F661" s="108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10"/>
      <c r="V661" s="110"/>
    </row>
    <row r="662" ht="12.75" customHeight="1">
      <c r="A662" s="107"/>
      <c r="B662" s="107"/>
      <c r="C662" s="107"/>
      <c r="D662" s="102"/>
      <c r="E662" s="107"/>
      <c r="F662" s="108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10"/>
      <c r="V662" s="110"/>
    </row>
    <row r="663" ht="12.75" customHeight="1">
      <c r="A663" s="107"/>
      <c r="B663" s="107"/>
      <c r="C663" s="107"/>
      <c r="D663" s="102"/>
      <c r="E663" s="107"/>
      <c r="F663" s="108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10"/>
      <c r="V663" s="110"/>
    </row>
    <row r="664" ht="12.75" customHeight="1">
      <c r="A664" s="107"/>
      <c r="B664" s="107"/>
      <c r="C664" s="107"/>
      <c r="D664" s="102"/>
      <c r="E664" s="107"/>
      <c r="F664" s="108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10"/>
      <c r="V664" s="110"/>
    </row>
    <row r="665" ht="12.75" customHeight="1">
      <c r="A665" s="107"/>
      <c r="B665" s="107"/>
      <c r="C665" s="107"/>
      <c r="D665" s="102"/>
      <c r="E665" s="107"/>
      <c r="F665" s="108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10"/>
      <c r="V665" s="110"/>
    </row>
    <row r="666" ht="12.75" customHeight="1">
      <c r="A666" s="107"/>
      <c r="B666" s="107"/>
      <c r="C666" s="107"/>
      <c r="D666" s="102"/>
      <c r="E666" s="107"/>
      <c r="F666" s="108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10"/>
      <c r="V666" s="110"/>
    </row>
    <row r="667" ht="12.75" customHeight="1">
      <c r="A667" s="107"/>
      <c r="B667" s="107"/>
      <c r="C667" s="107"/>
      <c r="D667" s="102"/>
      <c r="E667" s="107"/>
      <c r="F667" s="108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10"/>
      <c r="V667" s="110"/>
    </row>
    <row r="668" ht="12.75" customHeight="1">
      <c r="A668" s="107"/>
      <c r="B668" s="107"/>
      <c r="C668" s="107"/>
      <c r="D668" s="102"/>
      <c r="E668" s="107"/>
      <c r="F668" s="108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10"/>
      <c r="V668" s="110"/>
    </row>
    <row r="669" ht="12.75" customHeight="1">
      <c r="A669" s="107"/>
      <c r="B669" s="107"/>
      <c r="C669" s="107"/>
      <c r="D669" s="102"/>
      <c r="E669" s="107"/>
      <c r="F669" s="108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10"/>
      <c r="V669" s="110"/>
    </row>
    <row r="670" ht="12.75" customHeight="1">
      <c r="A670" s="107"/>
      <c r="B670" s="107"/>
      <c r="C670" s="107"/>
      <c r="D670" s="102"/>
      <c r="E670" s="107"/>
      <c r="F670" s="108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10"/>
      <c r="V670" s="110"/>
    </row>
    <row r="671" ht="12.75" customHeight="1">
      <c r="A671" s="107"/>
      <c r="B671" s="107"/>
      <c r="C671" s="107"/>
      <c r="D671" s="102"/>
      <c r="E671" s="107"/>
      <c r="F671" s="108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10"/>
      <c r="V671" s="110"/>
    </row>
    <row r="672" ht="12.75" customHeight="1">
      <c r="A672" s="107"/>
      <c r="B672" s="107"/>
      <c r="C672" s="107"/>
      <c r="D672" s="102"/>
      <c r="E672" s="107"/>
      <c r="F672" s="108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10"/>
      <c r="V672" s="110"/>
    </row>
    <row r="673" ht="12.75" customHeight="1">
      <c r="A673" s="107"/>
      <c r="B673" s="107"/>
      <c r="C673" s="107"/>
      <c r="D673" s="102"/>
      <c r="E673" s="107"/>
      <c r="F673" s="108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10"/>
      <c r="V673" s="110"/>
    </row>
    <row r="674" ht="12.75" customHeight="1">
      <c r="A674" s="107"/>
      <c r="B674" s="107"/>
      <c r="C674" s="107"/>
      <c r="D674" s="102"/>
      <c r="E674" s="107"/>
      <c r="F674" s="108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10"/>
      <c r="V674" s="110"/>
    </row>
    <row r="675" ht="12.75" customHeight="1">
      <c r="A675" s="107"/>
      <c r="B675" s="107"/>
      <c r="C675" s="107"/>
      <c r="D675" s="102"/>
      <c r="E675" s="107"/>
      <c r="F675" s="108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10"/>
      <c r="V675" s="110"/>
    </row>
    <row r="676" ht="12.75" customHeight="1">
      <c r="A676" s="107"/>
      <c r="B676" s="107"/>
      <c r="C676" s="107"/>
      <c r="D676" s="102"/>
      <c r="E676" s="107"/>
      <c r="F676" s="108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10"/>
      <c r="V676" s="110"/>
    </row>
    <row r="677" ht="12.75" customHeight="1">
      <c r="A677" s="107"/>
      <c r="B677" s="107"/>
      <c r="C677" s="107"/>
      <c r="D677" s="102"/>
      <c r="E677" s="107"/>
      <c r="F677" s="108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10"/>
      <c r="V677" s="110"/>
    </row>
    <row r="678" ht="12.75" customHeight="1">
      <c r="A678" s="107"/>
      <c r="B678" s="107"/>
      <c r="C678" s="107"/>
      <c r="D678" s="102"/>
      <c r="E678" s="107"/>
      <c r="F678" s="108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10"/>
      <c r="V678" s="110"/>
    </row>
    <row r="679" ht="12.75" customHeight="1">
      <c r="A679" s="107"/>
      <c r="B679" s="107"/>
      <c r="C679" s="107"/>
      <c r="D679" s="102"/>
      <c r="E679" s="107"/>
      <c r="F679" s="108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10"/>
      <c r="V679" s="110"/>
    </row>
    <row r="680" ht="12.75" customHeight="1">
      <c r="A680" s="107"/>
      <c r="B680" s="107"/>
      <c r="C680" s="107"/>
      <c r="D680" s="102"/>
      <c r="E680" s="107"/>
      <c r="F680" s="108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10"/>
      <c r="V680" s="110"/>
    </row>
    <row r="681" ht="12.75" customHeight="1">
      <c r="A681" s="107"/>
      <c r="B681" s="107"/>
      <c r="C681" s="107"/>
      <c r="D681" s="102"/>
      <c r="E681" s="107"/>
      <c r="F681" s="108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10"/>
      <c r="V681" s="110"/>
    </row>
    <row r="682" ht="12.75" customHeight="1">
      <c r="A682" s="107"/>
      <c r="B682" s="107"/>
      <c r="C682" s="107"/>
      <c r="D682" s="102"/>
      <c r="E682" s="107"/>
      <c r="F682" s="108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10"/>
      <c r="V682" s="110"/>
    </row>
    <row r="683" ht="12.75" customHeight="1">
      <c r="A683" s="107"/>
      <c r="B683" s="107"/>
      <c r="C683" s="107"/>
      <c r="D683" s="102"/>
      <c r="E683" s="107"/>
      <c r="F683" s="108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10"/>
      <c r="V683" s="110"/>
    </row>
    <row r="684" ht="12.75" customHeight="1">
      <c r="A684" s="107"/>
      <c r="B684" s="107"/>
      <c r="C684" s="107"/>
      <c r="D684" s="102"/>
      <c r="E684" s="107"/>
      <c r="F684" s="108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10"/>
      <c r="V684" s="110"/>
    </row>
    <row r="685" ht="12.75" customHeight="1">
      <c r="A685" s="107"/>
      <c r="B685" s="107"/>
      <c r="C685" s="107"/>
      <c r="D685" s="102"/>
      <c r="E685" s="107"/>
      <c r="F685" s="108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10"/>
      <c r="V685" s="110"/>
    </row>
    <row r="686" ht="12.75" customHeight="1">
      <c r="A686" s="107"/>
      <c r="B686" s="107"/>
      <c r="C686" s="107"/>
      <c r="D686" s="102"/>
      <c r="E686" s="107"/>
      <c r="F686" s="108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10"/>
      <c r="V686" s="110"/>
    </row>
    <row r="687" ht="12.75" customHeight="1">
      <c r="A687" s="107"/>
      <c r="B687" s="107"/>
      <c r="C687" s="107"/>
      <c r="D687" s="102"/>
      <c r="E687" s="107"/>
      <c r="F687" s="108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10"/>
      <c r="V687" s="110"/>
    </row>
    <row r="688" ht="12.75" customHeight="1">
      <c r="A688" s="107"/>
      <c r="B688" s="107"/>
      <c r="C688" s="107"/>
      <c r="D688" s="102"/>
      <c r="E688" s="107"/>
      <c r="F688" s="108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10"/>
      <c r="V688" s="110"/>
    </row>
    <row r="689" ht="12.75" customHeight="1">
      <c r="A689" s="107"/>
      <c r="B689" s="107"/>
      <c r="C689" s="107"/>
      <c r="D689" s="102"/>
      <c r="E689" s="107"/>
      <c r="F689" s="108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10"/>
      <c r="V689" s="110"/>
    </row>
    <row r="690" ht="12.75" customHeight="1">
      <c r="A690" s="107"/>
      <c r="B690" s="107"/>
      <c r="C690" s="107"/>
      <c r="D690" s="102"/>
      <c r="E690" s="107"/>
      <c r="F690" s="108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10"/>
      <c r="V690" s="110"/>
    </row>
    <row r="691" ht="12.75" customHeight="1">
      <c r="A691" s="107"/>
      <c r="B691" s="107"/>
      <c r="C691" s="107"/>
      <c r="D691" s="102"/>
      <c r="E691" s="107"/>
      <c r="F691" s="108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10"/>
      <c r="V691" s="110"/>
    </row>
    <row r="692" ht="12.75" customHeight="1">
      <c r="A692" s="107"/>
      <c r="B692" s="107"/>
      <c r="C692" s="107"/>
      <c r="D692" s="102"/>
      <c r="E692" s="107"/>
      <c r="F692" s="108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10"/>
      <c r="V692" s="110"/>
    </row>
    <row r="693" ht="12.75" customHeight="1">
      <c r="A693" s="107"/>
      <c r="B693" s="107"/>
      <c r="C693" s="107"/>
      <c r="D693" s="102"/>
      <c r="E693" s="107"/>
      <c r="F693" s="108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10"/>
      <c r="V693" s="110"/>
    </row>
    <row r="694" ht="12.75" customHeight="1">
      <c r="A694" s="107"/>
      <c r="B694" s="107"/>
      <c r="C694" s="107"/>
      <c r="D694" s="102"/>
      <c r="E694" s="107"/>
      <c r="F694" s="108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10"/>
      <c r="V694" s="110"/>
    </row>
    <row r="695" ht="12.75" customHeight="1">
      <c r="A695" s="107"/>
      <c r="B695" s="107"/>
      <c r="C695" s="107"/>
      <c r="D695" s="102"/>
      <c r="E695" s="107"/>
      <c r="F695" s="108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10"/>
      <c r="V695" s="110"/>
    </row>
    <row r="696" ht="12.75" customHeight="1">
      <c r="A696" s="107"/>
      <c r="B696" s="107"/>
      <c r="C696" s="107"/>
      <c r="D696" s="102"/>
      <c r="E696" s="107"/>
      <c r="F696" s="108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10"/>
      <c r="V696" s="110"/>
    </row>
    <row r="697" ht="12.75" customHeight="1">
      <c r="A697" s="107"/>
      <c r="B697" s="107"/>
      <c r="C697" s="107"/>
      <c r="D697" s="102"/>
      <c r="E697" s="107"/>
      <c r="F697" s="108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10"/>
      <c r="V697" s="110"/>
    </row>
    <row r="698" ht="12.75" customHeight="1">
      <c r="A698" s="107"/>
      <c r="B698" s="107"/>
      <c r="C698" s="107"/>
      <c r="D698" s="102"/>
      <c r="E698" s="107"/>
      <c r="F698" s="108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10"/>
      <c r="V698" s="110"/>
    </row>
    <row r="699" ht="12.75" customHeight="1">
      <c r="A699" s="107"/>
      <c r="B699" s="107"/>
      <c r="C699" s="107"/>
      <c r="D699" s="102"/>
      <c r="E699" s="107"/>
      <c r="F699" s="108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10"/>
      <c r="V699" s="110"/>
    </row>
    <row r="700" ht="12.75" customHeight="1">
      <c r="A700" s="107"/>
      <c r="B700" s="107"/>
      <c r="C700" s="107"/>
      <c r="D700" s="102"/>
      <c r="E700" s="107"/>
      <c r="F700" s="108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10"/>
      <c r="V700" s="110"/>
    </row>
    <row r="701" ht="12.75" customHeight="1">
      <c r="A701" s="107"/>
      <c r="B701" s="107"/>
      <c r="C701" s="107"/>
      <c r="D701" s="102"/>
      <c r="E701" s="107"/>
      <c r="F701" s="108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10"/>
      <c r="V701" s="110"/>
    </row>
    <row r="702" ht="12.75" customHeight="1">
      <c r="A702" s="107"/>
      <c r="B702" s="107"/>
      <c r="C702" s="107"/>
      <c r="D702" s="102"/>
      <c r="E702" s="107"/>
      <c r="F702" s="108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10"/>
      <c r="V702" s="110"/>
    </row>
    <row r="703" ht="12.75" customHeight="1">
      <c r="A703" s="107"/>
      <c r="B703" s="107"/>
      <c r="C703" s="107"/>
      <c r="D703" s="102"/>
      <c r="E703" s="107"/>
      <c r="F703" s="108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10"/>
      <c r="V703" s="110"/>
    </row>
    <row r="704" ht="12.75" customHeight="1">
      <c r="A704" s="107"/>
      <c r="B704" s="107"/>
      <c r="C704" s="107"/>
      <c r="D704" s="102"/>
      <c r="E704" s="107"/>
      <c r="F704" s="108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10"/>
      <c r="V704" s="110"/>
    </row>
    <row r="705" ht="12.75" customHeight="1">
      <c r="A705" s="107"/>
      <c r="B705" s="107"/>
      <c r="C705" s="107"/>
      <c r="D705" s="102"/>
      <c r="E705" s="107"/>
      <c r="F705" s="108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10"/>
      <c r="V705" s="110"/>
    </row>
    <row r="706" ht="12.75" customHeight="1">
      <c r="A706" s="107"/>
      <c r="B706" s="107"/>
      <c r="C706" s="107"/>
      <c r="D706" s="102"/>
      <c r="E706" s="107"/>
      <c r="F706" s="108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10"/>
      <c r="V706" s="110"/>
    </row>
    <row r="707" ht="12.75" customHeight="1">
      <c r="A707" s="107"/>
      <c r="B707" s="107"/>
      <c r="C707" s="107"/>
      <c r="D707" s="102"/>
      <c r="E707" s="107"/>
      <c r="F707" s="108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10"/>
      <c r="V707" s="110"/>
    </row>
    <row r="708" ht="12.75" customHeight="1">
      <c r="A708" s="107"/>
      <c r="B708" s="107"/>
      <c r="C708" s="107"/>
      <c r="D708" s="102"/>
      <c r="E708" s="107"/>
      <c r="F708" s="108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10"/>
      <c r="V708" s="110"/>
    </row>
    <row r="709" ht="12.75" customHeight="1">
      <c r="A709" s="107"/>
      <c r="B709" s="107"/>
      <c r="C709" s="107"/>
      <c r="D709" s="102"/>
      <c r="E709" s="107"/>
      <c r="F709" s="108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10"/>
      <c r="V709" s="110"/>
    </row>
    <row r="710" ht="12.75" customHeight="1">
      <c r="A710" s="107"/>
      <c r="B710" s="107"/>
      <c r="C710" s="107"/>
      <c r="D710" s="102"/>
      <c r="E710" s="107"/>
      <c r="F710" s="108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10"/>
      <c r="V710" s="110"/>
    </row>
    <row r="711" ht="12.75" customHeight="1">
      <c r="A711" s="107"/>
      <c r="B711" s="107"/>
      <c r="C711" s="107"/>
      <c r="D711" s="102"/>
      <c r="E711" s="107"/>
      <c r="F711" s="108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10"/>
      <c r="V711" s="110"/>
    </row>
    <row r="712" ht="12.75" customHeight="1">
      <c r="A712" s="107"/>
      <c r="B712" s="107"/>
      <c r="C712" s="107"/>
      <c r="D712" s="102"/>
      <c r="E712" s="107"/>
      <c r="F712" s="108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10"/>
      <c r="V712" s="110"/>
    </row>
    <row r="713" ht="12.75" customHeight="1">
      <c r="A713" s="107"/>
      <c r="B713" s="107"/>
      <c r="C713" s="107"/>
      <c r="D713" s="102"/>
      <c r="E713" s="107"/>
      <c r="F713" s="108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10"/>
      <c r="V713" s="110"/>
    </row>
    <row r="714" ht="12.75" customHeight="1">
      <c r="A714" s="107"/>
      <c r="B714" s="107"/>
      <c r="C714" s="107"/>
      <c r="D714" s="102"/>
      <c r="E714" s="107"/>
      <c r="F714" s="108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10"/>
      <c r="V714" s="110"/>
    </row>
    <row r="715" ht="12.75" customHeight="1">
      <c r="A715" s="107"/>
      <c r="B715" s="107"/>
      <c r="C715" s="107"/>
      <c r="D715" s="102"/>
      <c r="E715" s="107"/>
      <c r="F715" s="108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10"/>
      <c r="V715" s="110"/>
    </row>
    <row r="716" ht="12.75" customHeight="1">
      <c r="A716" s="107"/>
      <c r="B716" s="107"/>
      <c r="C716" s="107"/>
      <c r="D716" s="102"/>
      <c r="E716" s="107"/>
      <c r="F716" s="108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10"/>
      <c r="V716" s="110"/>
    </row>
    <row r="717" ht="12.75" customHeight="1">
      <c r="A717" s="107"/>
      <c r="B717" s="107"/>
      <c r="C717" s="107"/>
      <c r="D717" s="102"/>
      <c r="E717" s="107"/>
      <c r="F717" s="108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10"/>
      <c r="V717" s="110"/>
    </row>
    <row r="718" ht="12.75" customHeight="1">
      <c r="A718" s="107"/>
      <c r="B718" s="107"/>
      <c r="C718" s="107"/>
      <c r="D718" s="102"/>
      <c r="E718" s="107"/>
      <c r="F718" s="108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10"/>
      <c r="V718" s="110"/>
    </row>
    <row r="719" ht="12.75" customHeight="1">
      <c r="A719" s="107"/>
      <c r="B719" s="107"/>
      <c r="C719" s="107"/>
      <c r="D719" s="102"/>
      <c r="E719" s="107"/>
      <c r="F719" s="108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10"/>
      <c r="V719" s="110"/>
    </row>
    <row r="720" ht="12.75" customHeight="1">
      <c r="A720" s="107"/>
      <c r="B720" s="107"/>
      <c r="C720" s="107"/>
      <c r="D720" s="102"/>
      <c r="E720" s="107"/>
      <c r="F720" s="108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10"/>
      <c r="V720" s="110"/>
    </row>
    <row r="721" ht="12.75" customHeight="1">
      <c r="A721" s="107"/>
      <c r="B721" s="107"/>
      <c r="C721" s="107"/>
      <c r="D721" s="102"/>
      <c r="E721" s="107"/>
      <c r="F721" s="108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10"/>
      <c r="V721" s="110"/>
    </row>
    <row r="722" ht="12.75" customHeight="1">
      <c r="A722" s="107"/>
      <c r="B722" s="107"/>
      <c r="C722" s="107"/>
      <c r="D722" s="102"/>
      <c r="E722" s="107"/>
      <c r="F722" s="108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10"/>
      <c r="V722" s="110"/>
    </row>
    <row r="723" ht="12.75" customHeight="1">
      <c r="A723" s="107"/>
      <c r="B723" s="107"/>
      <c r="C723" s="107"/>
      <c r="D723" s="102"/>
      <c r="E723" s="107"/>
      <c r="F723" s="108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10"/>
      <c r="V723" s="110"/>
    </row>
    <row r="724" ht="12.75" customHeight="1">
      <c r="A724" s="107"/>
      <c r="B724" s="107"/>
      <c r="C724" s="107"/>
      <c r="D724" s="102"/>
      <c r="E724" s="107"/>
      <c r="F724" s="108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10"/>
      <c r="V724" s="110"/>
    </row>
    <row r="725" ht="12.75" customHeight="1">
      <c r="A725" s="107"/>
      <c r="B725" s="107"/>
      <c r="C725" s="107"/>
      <c r="D725" s="102"/>
      <c r="E725" s="107"/>
      <c r="F725" s="108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10"/>
      <c r="V725" s="110"/>
    </row>
    <row r="726" ht="12.75" customHeight="1">
      <c r="A726" s="107"/>
      <c r="B726" s="107"/>
      <c r="C726" s="107"/>
      <c r="D726" s="102"/>
      <c r="E726" s="107"/>
      <c r="F726" s="108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10"/>
      <c r="V726" s="110"/>
    </row>
    <row r="727" ht="12.75" customHeight="1">
      <c r="A727" s="107"/>
      <c r="B727" s="107"/>
      <c r="C727" s="107"/>
      <c r="D727" s="102"/>
      <c r="E727" s="107"/>
      <c r="F727" s="108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10"/>
      <c r="V727" s="110"/>
    </row>
    <row r="728" ht="12.75" customHeight="1">
      <c r="A728" s="107"/>
      <c r="B728" s="107"/>
      <c r="C728" s="107"/>
      <c r="D728" s="102"/>
      <c r="E728" s="107"/>
      <c r="F728" s="108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10"/>
      <c r="V728" s="110"/>
    </row>
    <row r="729" ht="12.75" customHeight="1">
      <c r="A729" s="107"/>
      <c r="B729" s="107"/>
      <c r="C729" s="107"/>
      <c r="D729" s="102"/>
      <c r="E729" s="107"/>
      <c r="F729" s="108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10"/>
      <c r="V729" s="110"/>
    </row>
    <row r="730" ht="12.75" customHeight="1">
      <c r="A730" s="107"/>
      <c r="B730" s="107"/>
      <c r="C730" s="107"/>
      <c r="D730" s="102"/>
      <c r="E730" s="107"/>
      <c r="F730" s="108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10"/>
      <c r="V730" s="110"/>
    </row>
    <row r="731" ht="12.75" customHeight="1">
      <c r="A731" s="107"/>
      <c r="B731" s="107"/>
      <c r="C731" s="107"/>
      <c r="D731" s="102"/>
      <c r="E731" s="107"/>
      <c r="F731" s="108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10"/>
      <c r="V731" s="110"/>
    </row>
    <row r="732" ht="12.75" customHeight="1">
      <c r="A732" s="107"/>
      <c r="B732" s="107"/>
      <c r="C732" s="107"/>
      <c r="D732" s="102"/>
      <c r="E732" s="107"/>
      <c r="F732" s="108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10"/>
      <c r="V732" s="110"/>
    </row>
    <row r="733" ht="12.75" customHeight="1">
      <c r="A733" s="107"/>
      <c r="B733" s="107"/>
      <c r="C733" s="107"/>
      <c r="D733" s="102"/>
      <c r="E733" s="107"/>
      <c r="F733" s="108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10"/>
      <c r="V733" s="110"/>
    </row>
    <row r="734" ht="12.75" customHeight="1">
      <c r="A734" s="107"/>
      <c r="B734" s="107"/>
      <c r="C734" s="107"/>
      <c r="D734" s="102"/>
      <c r="E734" s="107"/>
      <c r="F734" s="108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10"/>
      <c r="V734" s="110"/>
    </row>
    <row r="735" ht="12.75" customHeight="1">
      <c r="A735" s="107"/>
      <c r="B735" s="107"/>
      <c r="C735" s="107"/>
      <c r="D735" s="102"/>
      <c r="E735" s="107"/>
      <c r="F735" s="108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10"/>
      <c r="V735" s="110"/>
    </row>
    <row r="736" ht="12.75" customHeight="1">
      <c r="A736" s="107"/>
      <c r="B736" s="107"/>
      <c r="C736" s="107"/>
      <c r="D736" s="102"/>
      <c r="E736" s="107"/>
      <c r="F736" s="108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10"/>
      <c r="V736" s="110"/>
    </row>
    <row r="737" ht="12.75" customHeight="1">
      <c r="A737" s="107"/>
      <c r="B737" s="107"/>
      <c r="C737" s="107"/>
      <c r="D737" s="102"/>
      <c r="E737" s="107"/>
      <c r="F737" s="108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10"/>
      <c r="V737" s="110"/>
    </row>
    <row r="738" ht="12.75" customHeight="1">
      <c r="A738" s="107"/>
      <c r="B738" s="107"/>
      <c r="C738" s="107"/>
      <c r="D738" s="102"/>
      <c r="E738" s="107"/>
      <c r="F738" s="108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10"/>
      <c r="V738" s="110"/>
    </row>
    <row r="739" ht="12.75" customHeight="1">
      <c r="A739" s="107"/>
      <c r="B739" s="107"/>
      <c r="C739" s="107"/>
      <c r="D739" s="102"/>
      <c r="E739" s="107"/>
      <c r="F739" s="108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10"/>
      <c r="V739" s="110"/>
    </row>
    <row r="740" ht="12.75" customHeight="1">
      <c r="A740" s="107"/>
      <c r="B740" s="107"/>
      <c r="C740" s="107"/>
      <c r="D740" s="102"/>
      <c r="E740" s="107"/>
      <c r="F740" s="108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10"/>
      <c r="V740" s="110"/>
    </row>
    <row r="741" ht="12.75" customHeight="1">
      <c r="A741" s="107"/>
      <c r="B741" s="107"/>
      <c r="C741" s="107"/>
      <c r="D741" s="102"/>
      <c r="E741" s="107"/>
      <c r="F741" s="108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10"/>
      <c r="V741" s="110"/>
    </row>
    <row r="742" ht="12.75" customHeight="1">
      <c r="A742" s="107"/>
      <c r="B742" s="107"/>
      <c r="C742" s="107"/>
      <c r="D742" s="102"/>
      <c r="E742" s="107"/>
      <c r="F742" s="108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10"/>
      <c r="V742" s="110"/>
    </row>
    <row r="743" ht="12.75" customHeight="1">
      <c r="A743" s="107"/>
      <c r="B743" s="107"/>
      <c r="C743" s="107"/>
      <c r="D743" s="102"/>
      <c r="E743" s="107"/>
      <c r="F743" s="108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10"/>
      <c r="V743" s="110"/>
    </row>
    <row r="744" ht="12.75" customHeight="1">
      <c r="A744" s="107"/>
      <c r="B744" s="107"/>
      <c r="C744" s="107"/>
      <c r="D744" s="102"/>
      <c r="E744" s="107"/>
      <c r="F744" s="108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10"/>
      <c r="V744" s="110"/>
    </row>
    <row r="745" ht="12.75" customHeight="1">
      <c r="A745" s="107"/>
      <c r="B745" s="107"/>
      <c r="C745" s="107"/>
      <c r="D745" s="102"/>
      <c r="E745" s="107"/>
      <c r="F745" s="108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10"/>
      <c r="V745" s="110"/>
    </row>
    <row r="746" ht="12.75" customHeight="1">
      <c r="A746" s="107"/>
      <c r="B746" s="107"/>
      <c r="C746" s="107"/>
      <c r="D746" s="102"/>
      <c r="E746" s="107"/>
      <c r="F746" s="108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10"/>
      <c r="V746" s="110"/>
    </row>
    <row r="747" ht="12.75" customHeight="1">
      <c r="A747" s="107"/>
      <c r="B747" s="107"/>
      <c r="C747" s="107"/>
      <c r="D747" s="102"/>
      <c r="E747" s="107"/>
      <c r="F747" s="108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10"/>
      <c r="V747" s="110"/>
    </row>
    <row r="748" ht="12.75" customHeight="1">
      <c r="A748" s="107"/>
      <c r="B748" s="107"/>
      <c r="C748" s="107"/>
      <c r="D748" s="102"/>
      <c r="E748" s="107"/>
      <c r="F748" s="108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10"/>
      <c r="V748" s="110"/>
    </row>
    <row r="749" ht="12.75" customHeight="1">
      <c r="A749" s="107"/>
      <c r="B749" s="107"/>
      <c r="C749" s="107"/>
      <c r="D749" s="102"/>
      <c r="E749" s="107"/>
      <c r="F749" s="108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10"/>
      <c r="V749" s="110"/>
    </row>
    <row r="750" ht="12.75" customHeight="1">
      <c r="A750" s="107"/>
      <c r="B750" s="107"/>
      <c r="C750" s="107"/>
      <c r="D750" s="102"/>
      <c r="E750" s="107"/>
      <c r="F750" s="108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10"/>
      <c r="V750" s="110"/>
    </row>
    <row r="751" ht="12.75" customHeight="1">
      <c r="A751" s="107"/>
      <c r="B751" s="107"/>
      <c r="C751" s="107"/>
      <c r="D751" s="102"/>
      <c r="E751" s="107"/>
      <c r="F751" s="108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10"/>
      <c r="V751" s="110"/>
    </row>
    <row r="752" ht="12.75" customHeight="1">
      <c r="A752" s="107"/>
      <c r="B752" s="107"/>
      <c r="C752" s="107"/>
      <c r="D752" s="102"/>
      <c r="E752" s="107"/>
      <c r="F752" s="108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10"/>
      <c r="V752" s="110"/>
    </row>
    <row r="753" ht="12.75" customHeight="1">
      <c r="A753" s="107"/>
      <c r="B753" s="107"/>
      <c r="C753" s="107"/>
      <c r="D753" s="102"/>
      <c r="E753" s="107"/>
      <c r="F753" s="108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10"/>
      <c r="V753" s="110"/>
    </row>
    <row r="754" ht="12.75" customHeight="1">
      <c r="A754" s="107"/>
      <c r="B754" s="107"/>
      <c r="C754" s="107"/>
      <c r="D754" s="102"/>
      <c r="E754" s="107"/>
      <c r="F754" s="108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10"/>
      <c r="V754" s="110"/>
    </row>
    <row r="755" ht="12.75" customHeight="1">
      <c r="A755" s="107"/>
      <c r="B755" s="107"/>
      <c r="C755" s="107"/>
      <c r="D755" s="102"/>
      <c r="E755" s="107"/>
      <c r="F755" s="108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10"/>
      <c r="V755" s="110"/>
    </row>
    <row r="756" ht="12.75" customHeight="1">
      <c r="A756" s="107"/>
      <c r="B756" s="107"/>
      <c r="C756" s="107"/>
      <c r="D756" s="102"/>
      <c r="E756" s="107"/>
      <c r="F756" s="108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10"/>
      <c r="V756" s="110"/>
    </row>
    <row r="757" ht="12.75" customHeight="1">
      <c r="A757" s="107"/>
      <c r="B757" s="107"/>
      <c r="C757" s="107"/>
      <c r="D757" s="102"/>
      <c r="E757" s="107"/>
      <c r="F757" s="108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10"/>
      <c r="V757" s="110"/>
    </row>
    <row r="758" ht="12.75" customHeight="1">
      <c r="A758" s="107"/>
      <c r="B758" s="107"/>
      <c r="C758" s="107"/>
      <c r="D758" s="102"/>
      <c r="E758" s="107"/>
      <c r="F758" s="108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10"/>
      <c r="V758" s="110"/>
    </row>
    <row r="759" ht="12.75" customHeight="1">
      <c r="A759" s="107"/>
      <c r="B759" s="107"/>
      <c r="C759" s="107"/>
      <c r="D759" s="102"/>
      <c r="E759" s="107"/>
      <c r="F759" s="108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10"/>
      <c r="V759" s="110"/>
    </row>
    <row r="760" ht="12.75" customHeight="1">
      <c r="A760" s="107"/>
      <c r="B760" s="107"/>
      <c r="C760" s="107"/>
      <c r="D760" s="102"/>
      <c r="E760" s="107"/>
      <c r="F760" s="108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10"/>
      <c r="V760" s="110"/>
    </row>
    <row r="761" ht="12.75" customHeight="1">
      <c r="A761" s="107"/>
      <c r="B761" s="107"/>
      <c r="C761" s="107"/>
      <c r="D761" s="102"/>
      <c r="E761" s="107"/>
      <c r="F761" s="108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10"/>
      <c r="V761" s="110"/>
    </row>
    <row r="762" ht="12.75" customHeight="1">
      <c r="A762" s="107"/>
      <c r="B762" s="107"/>
      <c r="C762" s="107"/>
      <c r="D762" s="102"/>
      <c r="E762" s="107"/>
      <c r="F762" s="108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10"/>
      <c r="V762" s="110"/>
    </row>
    <row r="763" ht="12.75" customHeight="1">
      <c r="A763" s="107"/>
      <c r="B763" s="107"/>
      <c r="C763" s="107"/>
      <c r="D763" s="102"/>
      <c r="E763" s="107"/>
      <c r="F763" s="108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10"/>
      <c r="V763" s="110"/>
    </row>
    <row r="764" ht="12.75" customHeight="1">
      <c r="A764" s="107"/>
      <c r="B764" s="107"/>
      <c r="C764" s="107"/>
      <c r="D764" s="102"/>
      <c r="E764" s="107"/>
      <c r="F764" s="108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10"/>
      <c r="V764" s="110"/>
    </row>
    <row r="765" ht="12.75" customHeight="1">
      <c r="A765" s="107"/>
      <c r="B765" s="107"/>
      <c r="C765" s="107"/>
      <c r="D765" s="102"/>
      <c r="E765" s="107"/>
      <c r="F765" s="108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10"/>
      <c r="V765" s="110"/>
    </row>
    <row r="766" ht="12.75" customHeight="1">
      <c r="A766" s="107"/>
      <c r="B766" s="107"/>
      <c r="C766" s="107"/>
      <c r="D766" s="102"/>
      <c r="E766" s="107"/>
      <c r="F766" s="108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10"/>
      <c r="V766" s="110"/>
    </row>
    <row r="767" ht="12.75" customHeight="1">
      <c r="A767" s="107"/>
      <c r="B767" s="107"/>
      <c r="C767" s="107"/>
      <c r="D767" s="102"/>
      <c r="E767" s="107"/>
      <c r="F767" s="108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10"/>
      <c r="V767" s="110"/>
    </row>
    <row r="768" ht="12.75" customHeight="1">
      <c r="A768" s="107"/>
      <c r="B768" s="107"/>
      <c r="C768" s="107"/>
      <c r="D768" s="102"/>
      <c r="E768" s="107"/>
      <c r="F768" s="108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10"/>
      <c r="V768" s="110"/>
    </row>
    <row r="769" ht="12.75" customHeight="1">
      <c r="A769" s="107"/>
      <c r="B769" s="107"/>
      <c r="C769" s="107"/>
      <c r="D769" s="102"/>
      <c r="E769" s="107"/>
      <c r="F769" s="108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10"/>
      <c r="V769" s="110"/>
    </row>
    <row r="770" ht="12.75" customHeight="1">
      <c r="A770" s="107"/>
      <c r="B770" s="107"/>
      <c r="C770" s="107"/>
      <c r="D770" s="102"/>
      <c r="E770" s="107"/>
      <c r="F770" s="108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10"/>
      <c r="V770" s="110"/>
    </row>
    <row r="771" ht="12.75" customHeight="1">
      <c r="A771" s="107"/>
      <c r="B771" s="107"/>
      <c r="C771" s="107"/>
      <c r="D771" s="102"/>
      <c r="E771" s="107"/>
      <c r="F771" s="108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10"/>
      <c r="V771" s="110"/>
    </row>
    <row r="772" ht="12.75" customHeight="1">
      <c r="A772" s="107"/>
      <c r="B772" s="107"/>
      <c r="C772" s="107"/>
      <c r="D772" s="102"/>
      <c r="E772" s="107"/>
      <c r="F772" s="108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10"/>
      <c r="V772" s="110"/>
    </row>
    <row r="773" ht="12.75" customHeight="1">
      <c r="A773" s="107"/>
      <c r="B773" s="107"/>
      <c r="C773" s="107"/>
      <c r="D773" s="102"/>
      <c r="E773" s="107"/>
      <c r="F773" s="108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10"/>
      <c r="V773" s="110"/>
    </row>
    <row r="774" ht="12.75" customHeight="1">
      <c r="A774" s="107"/>
      <c r="B774" s="107"/>
      <c r="C774" s="107"/>
      <c r="D774" s="102"/>
      <c r="E774" s="107"/>
      <c r="F774" s="108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10"/>
      <c r="V774" s="110"/>
    </row>
    <row r="775" ht="12.75" customHeight="1">
      <c r="A775" s="107"/>
      <c r="B775" s="107"/>
      <c r="C775" s="107"/>
      <c r="D775" s="102"/>
      <c r="E775" s="107"/>
      <c r="F775" s="108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10"/>
      <c r="V775" s="110"/>
    </row>
    <row r="776" ht="12.75" customHeight="1">
      <c r="A776" s="107"/>
      <c r="B776" s="107"/>
      <c r="C776" s="107"/>
      <c r="D776" s="102"/>
      <c r="E776" s="107"/>
      <c r="F776" s="108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10"/>
      <c r="V776" s="110"/>
    </row>
    <row r="777" ht="12.75" customHeight="1">
      <c r="A777" s="107"/>
      <c r="B777" s="107"/>
      <c r="C777" s="107"/>
      <c r="D777" s="102"/>
      <c r="E777" s="107"/>
      <c r="F777" s="108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10"/>
      <c r="V777" s="110"/>
    </row>
    <row r="778" ht="12.75" customHeight="1">
      <c r="A778" s="107"/>
      <c r="B778" s="107"/>
      <c r="C778" s="107"/>
      <c r="D778" s="102"/>
      <c r="E778" s="107"/>
      <c r="F778" s="108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10"/>
      <c r="V778" s="110"/>
    </row>
    <row r="779" ht="12.75" customHeight="1">
      <c r="A779" s="107"/>
      <c r="B779" s="107"/>
      <c r="C779" s="107"/>
      <c r="D779" s="102"/>
      <c r="E779" s="107"/>
      <c r="F779" s="108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10"/>
      <c r="V779" s="110"/>
    </row>
    <row r="780" ht="12.75" customHeight="1">
      <c r="A780" s="107"/>
      <c r="B780" s="107"/>
      <c r="C780" s="107"/>
      <c r="D780" s="102"/>
      <c r="E780" s="107"/>
      <c r="F780" s="108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10"/>
      <c r="V780" s="110"/>
    </row>
    <row r="781" ht="12.75" customHeight="1">
      <c r="A781" s="107"/>
      <c r="B781" s="107"/>
      <c r="C781" s="107"/>
      <c r="D781" s="102"/>
      <c r="E781" s="107"/>
      <c r="F781" s="108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10"/>
      <c r="V781" s="110"/>
    </row>
    <row r="782" ht="12.75" customHeight="1">
      <c r="A782" s="107"/>
      <c r="B782" s="107"/>
      <c r="C782" s="107"/>
      <c r="D782" s="102"/>
      <c r="E782" s="107"/>
      <c r="F782" s="108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10"/>
      <c r="V782" s="110"/>
    </row>
    <row r="783" ht="12.75" customHeight="1">
      <c r="A783" s="107"/>
      <c r="B783" s="107"/>
      <c r="C783" s="107"/>
      <c r="D783" s="102"/>
      <c r="E783" s="107"/>
      <c r="F783" s="108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10"/>
      <c r="V783" s="110"/>
    </row>
    <row r="784" ht="12.75" customHeight="1">
      <c r="A784" s="107"/>
      <c r="B784" s="107"/>
      <c r="C784" s="107"/>
      <c r="D784" s="102"/>
      <c r="E784" s="107"/>
      <c r="F784" s="108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10"/>
      <c r="V784" s="110"/>
    </row>
    <row r="785" ht="12.75" customHeight="1">
      <c r="A785" s="107"/>
      <c r="B785" s="107"/>
      <c r="C785" s="107"/>
      <c r="D785" s="102"/>
      <c r="E785" s="107"/>
      <c r="F785" s="108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10"/>
      <c r="V785" s="110"/>
    </row>
    <row r="786" ht="12.75" customHeight="1">
      <c r="A786" s="107"/>
      <c r="B786" s="107"/>
      <c r="C786" s="107"/>
      <c r="D786" s="102"/>
      <c r="E786" s="107"/>
      <c r="F786" s="108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10"/>
      <c r="V786" s="110"/>
    </row>
    <row r="787" ht="12.75" customHeight="1">
      <c r="A787" s="107"/>
      <c r="B787" s="107"/>
      <c r="C787" s="107"/>
      <c r="D787" s="102"/>
      <c r="E787" s="107"/>
      <c r="F787" s="108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10"/>
      <c r="V787" s="110"/>
    </row>
    <row r="788" ht="12.75" customHeight="1">
      <c r="A788" s="107"/>
      <c r="B788" s="107"/>
      <c r="C788" s="107"/>
      <c r="D788" s="102"/>
      <c r="E788" s="107"/>
      <c r="F788" s="108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10"/>
      <c r="V788" s="110"/>
    </row>
    <row r="789" ht="12.75" customHeight="1">
      <c r="A789" s="107"/>
      <c r="B789" s="107"/>
      <c r="C789" s="107"/>
      <c r="D789" s="102"/>
      <c r="E789" s="107"/>
      <c r="F789" s="108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10"/>
      <c r="V789" s="110"/>
    </row>
    <row r="790" ht="12.75" customHeight="1">
      <c r="A790" s="107"/>
      <c r="B790" s="107"/>
      <c r="C790" s="107"/>
      <c r="D790" s="102"/>
      <c r="E790" s="107"/>
      <c r="F790" s="108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10"/>
      <c r="V790" s="110"/>
    </row>
    <row r="791" ht="12.75" customHeight="1">
      <c r="A791" s="107"/>
      <c r="B791" s="107"/>
      <c r="C791" s="107"/>
      <c r="D791" s="102"/>
      <c r="E791" s="107"/>
      <c r="F791" s="108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10"/>
      <c r="V791" s="110"/>
    </row>
    <row r="792" ht="12.75" customHeight="1">
      <c r="A792" s="107"/>
      <c r="B792" s="107"/>
      <c r="C792" s="107"/>
      <c r="D792" s="102"/>
      <c r="E792" s="107"/>
      <c r="F792" s="108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10"/>
      <c r="V792" s="110"/>
    </row>
    <row r="793" ht="12.75" customHeight="1">
      <c r="A793" s="107"/>
      <c r="B793" s="107"/>
      <c r="C793" s="107"/>
      <c r="D793" s="102"/>
      <c r="E793" s="107"/>
      <c r="F793" s="108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10"/>
      <c r="V793" s="110"/>
    </row>
    <row r="794" ht="12.75" customHeight="1">
      <c r="A794" s="107"/>
      <c r="B794" s="107"/>
      <c r="C794" s="107"/>
      <c r="D794" s="102"/>
      <c r="E794" s="107"/>
      <c r="F794" s="108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10"/>
      <c r="V794" s="110"/>
    </row>
    <row r="795" ht="12.75" customHeight="1">
      <c r="A795" s="107"/>
      <c r="B795" s="107"/>
      <c r="C795" s="107"/>
      <c r="D795" s="102"/>
      <c r="E795" s="107"/>
      <c r="F795" s="108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10"/>
      <c r="V795" s="110"/>
    </row>
    <row r="796" ht="12.75" customHeight="1">
      <c r="A796" s="107"/>
      <c r="B796" s="107"/>
      <c r="C796" s="107"/>
      <c r="D796" s="102"/>
      <c r="E796" s="107"/>
      <c r="F796" s="108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10"/>
      <c r="V796" s="110"/>
    </row>
    <row r="797" ht="12.75" customHeight="1">
      <c r="A797" s="107"/>
      <c r="B797" s="107"/>
      <c r="C797" s="107"/>
      <c r="D797" s="102"/>
      <c r="E797" s="107"/>
      <c r="F797" s="108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10"/>
      <c r="V797" s="110"/>
    </row>
    <row r="798" ht="12.75" customHeight="1">
      <c r="A798" s="107"/>
      <c r="B798" s="107"/>
      <c r="C798" s="107"/>
      <c r="D798" s="102"/>
      <c r="E798" s="107"/>
      <c r="F798" s="108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10"/>
      <c r="V798" s="110"/>
    </row>
    <row r="799" ht="12.75" customHeight="1">
      <c r="A799" s="107"/>
      <c r="B799" s="107"/>
      <c r="C799" s="107"/>
      <c r="D799" s="102"/>
      <c r="E799" s="107"/>
      <c r="F799" s="108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10"/>
      <c r="V799" s="110"/>
    </row>
    <row r="800" ht="12.75" customHeight="1">
      <c r="A800" s="107"/>
      <c r="B800" s="107"/>
      <c r="C800" s="107"/>
      <c r="D800" s="102"/>
      <c r="E800" s="107"/>
      <c r="F800" s="108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10"/>
      <c r="V800" s="110"/>
    </row>
    <row r="801" ht="12.75" customHeight="1">
      <c r="A801" s="107"/>
      <c r="B801" s="107"/>
      <c r="C801" s="107"/>
      <c r="D801" s="102"/>
      <c r="E801" s="107"/>
      <c r="F801" s="108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10"/>
      <c r="V801" s="110"/>
    </row>
    <row r="802" ht="12.75" customHeight="1">
      <c r="A802" s="107"/>
      <c r="B802" s="107"/>
      <c r="C802" s="107"/>
      <c r="D802" s="102"/>
      <c r="E802" s="107"/>
      <c r="F802" s="108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10"/>
      <c r="V802" s="110"/>
    </row>
    <row r="803" ht="12.75" customHeight="1">
      <c r="A803" s="107"/>
      <c r="B803" s="107"/>
      <c r="C803" s="107"/>
      <c r="D803" s="102"/>
      <c r="E803" s="107"/>
      <c r="F803" s="108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10"/>
      <c r="V803" s="110"/>
    </row>
    <row r="804" ht="12.75" customHeight="1">
      <c r="A804" s="107"/>
      <c r="B804" s="107"/>
      <c r="C804" s="107"/>
      <c r="D804" s="102"/>
      <c r="E804" s="107"/>
      <c r="F804" s="108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10"/>
      <c r="V804" s="110"/>
    </row>
    <row r="805" ht="12.75" customHeight="1">
      <c r="A805" s="107"/>
      <c r="B805" s="107"/>
      <c r="C805" s="107"/>
      <c r="D805" s="102"/>
      <c r="E805" s="107"/>
      <c r="F805" s="108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10"/>
      <c r="V805" s="110"/>
    </row>
    <row r="806" ht="12.75" customHeight="1">
      <c r="A806" s="107"/>
      <c r="B806" s="107"/>
      <c r="C806" s="107"/>
      <c r="D806" s="102"/>
      <c r="E806" s="107"/>
      <c r="F806" s="108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10"/>
      <c r="V806" s="110"/>
    </row>
    <row r="807" ht="12.75" customHeight="1">
      <c r="A807" s="107"/>
      <c r="B807" s="107"/>
      <c r="C807" s="107"/>
      <c r="D807" s="102"/>
      <c r="E807" s="107"/>
      <c r="F807" s="108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10"/>
      <c r="V807" s="110"/>
    </row>
    <row r="808" ht="12.75" customHeight="1">
      <c r="A808" s="107"/>
      <c r="B808" s="107"/>
      <c r="C808" s="107"/>
      <c r="D808" s="102"/>
      <c r="E808" s="107"/>
      <c r="F808" s="108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10"/>
      <c r="V808" s="110"/>
    </row>
    <row r="809" ht="12.75" customHeight="1">
      <c r="A809" s="107"/>
      <c r="B809" s="107"/>
      <c r="C809" s="107"/>
      <c r="D809" s="102"/>
      <c r="E809" s="107"/>
      <c r="F809" s="108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10"/>
      <c r="V809" s="110"/>
    </row>
    <row r="810" ht="12.75" customHeight="1">
      <c r="A810" s="107"/>
      <c r="B810" s="107"/>
      <c r="C810" s="107"/>
      <c r="D810" s="102"/>
      <c r="E810" s="107"/>
      <c r="F810" s="108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10"/>
      <c r="V810" s="110"/>
    </row>
    <row r="811" ht="12.75" customHeight="1">
      <c r="A811" s="107"/>
      <c r="B811" s="107"/>
      <c r="C811" s="107"/>
      <c r="D811" s="102"/>
      <c r="E811" s="107"/>
      <c r="F811" s="108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10"/>
      <c r="V811" s="110"/>
    </row>
    <row r="812" ht="12.75" customHeight="1">
      <c r="A812" s="107"/>
      <c r="B812" s="107"/>
      <c r="C812" s="107"/>
      <c r="D812" s="102"/>
      <c r="E812" s="107"/>
      <c r="F812" s="108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10"/>
      <c r="V812" s="110"/>
    </row>
    <row r="813" ht="12.75" customHeight="1">
      <c r="A813" s="107"/>
      <c r="B813" s="107"/>
      <c r="C813" s="107"/>
      <c r="D813" s="102"/>
      <c r="E813" s="107"/>
      <c r="F813" s="108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10"/>
      <c r="V813" s="110"/>
    </row>
    <row r="814" ht="12.75" customHeight="1">
      <c r="A814" s="107"/>
      <c r="B814" s="107"/>
      <c r="C814" s="107"/>
      <c r="D814" s="102"/>
      <c r="E814" s="107"/>
      <c r="F814" s="108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10"/>
      <c r="V814" s="110"/>
    </row>
    <row r="815" ht="12.75" customHeight="1">
      <c r="A815" s="107"/>
      <c r="B815" s="107"/>
      <c r="C815" s="107"/>
      <c r="D815" s="102"/>
      <c r="E815" s="107"/>
      <c r="F815" s="108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10"/>
      <c r="V815" s="110"/>
    </row>
    <row r="816" ht="12.75" customHeight="1">
      <c r="A816" s="107"/>
      <c r="B816" s="107"/>
      <c r="C816" s="107"/>
      <c r="D816" s="102"/>
      <c r="E816" s="107"/>
      <c r="F816" s="108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10"/>
      <c r="V816" s="110"/>
    </row>
    <row r="817" ht="12.75" customHeight="1">
      <c r="A817" s="107"/>
      <c r="B817" s="107"/>
      <c r="C817" s="107"/>
      <c r="D817" s="102"/>
      <c r="E817" s="107"/>
      <c r="F817" s="108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10"/>
      <c r="V817" s="110"/>
    </row>
    <row r="818" ht="12.75" customHeight="1">
      <c r="A818" s="107"/>
      <c r="B818" s="107"/>
      <c r="C818" s="107"/>
      <c r="D818" s="102"/>
      <c r="E818" s="107"/>
      <c r="F818" s="108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10"/>
      <c r="V818" s="110"/>
    </row>
    <row r="819" ht="12.75" customHeight="1">
      <c r="A819" s="107"/>
      <c r="B819" s="107"/>
      <c r="C819" s="107"/>
      <c r="D819" s="102"/>
      <c r="E819" s="107"/>
      <c r="F819" s="108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10"/>
      <c r="V819" s="110"/>
    </row>
    <row r="820" ht="12.75" customHeight="1">
      <c r="A820" s="107"/>
      <c r="B820" s="107"/>
      <c r="C820" s="107"/>
      <c r="D820" s="102"/>
      <c r="E820" s="107"/>
      <c r="F820" s="108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10"/>
      <c r="V820" s="110"/>
    </row>
    <row r="821" ht="12.75" customHeight="1">
      <c r="A821" s="107"/>
      <c r="B821" s="107"/>
      <c r="C821" s="107"/>
      <c r="D821" s="102"/>
      <c r="E821" s="107"/>
      <c r="F821" s="108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10"/>
      <c r="V821" s="110"/>
    </row>
    <row r="822" ht="12.75" customHeight="1">
      <c r="A822" s="107"/>
      <c r="B822" s="107"/>
      <c r="C822" s="107"/>
      <c r="D822" s="102"/>
      <c r="E822" s="107"/>
      <c r="F822" s="108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10"/>
      <c r="V822" s="110"/>
    </row>
    <row r="823" ht="12.75" customHeight="1">
      <c r="A823" s="107"/>
      <c r="B823" s="107"/>
      <c r="C823" s="107"/>
      <c r="D823" s="102"/>
      <c r="E823" s="107"/>
      <c r="F823" s="108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10"/>
      <c r="V823" s="110"/>
    </row>
    <row r="824" ht="12.75" customHeight="1">
      <c r="A824" s="107"/>
      <c r="B824" s="107"/>
      <c r="C824" s="107"/>
      <c r="D824" s="102"/>
      <c r="E824" s="107"/>
      <c r="F824" s="108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10"/>
      <c r="V824" s="110"/>
    </row>
    <row r="825" ht="12.75" customHeight="1">
      <c r="A825" s="107"/>
      <c r="B825" s="107"/>
      <c r="C825" s="107"/>
      <c r="D825" s="102"/>
      <c r="E825" s="107"/>
      <c r="F825" s="108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10"/>
      <c r="V825" s="110"/>
    </row>
    <row r="826" ht="12.75" customHeight="1">
      <c r="A826" s="107"/>
      <c r="B826" s="107"/>
      <c r="C826" s="107"/>
      <c r="D826" s="102"/>
      <c r="E826" s="107"/>
      <c r="F826" s="108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10"/>
      <c r="V826" s="110"/>
    </row>
    <row r="827" ht="12.75" customHeight="1">
      <c r="A827" s="107"/>
      <c r="B827" s="107"/>
      <c r="C827" s="107"/>
      <c r="D827" s="102"/>
      <c r="E827" s="107"/>
      <c r="F827" s="108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10"/>
      <c r="V827" s="110"/>
    </row>
    <row r="828" ht="12.75" customHeight="1">
      <c r="A828" s="107"/>
      <c r="B828" s="107"/>
      <c r="C828" s="107"/>
      <c r="D828" s="102"/>
      <c r="E828" s="107"/>
      <c r="F828" s="108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10"/>
      <c r="V828" s="110"/>
    </row>
    <row r="829" ht="12.75" customHeight="1">
      <c r="A829" s="107"/>
      <c r="B829" s="107"/>
      <c r="C829" s="107"/>
      <c r="D829" s="102"/>
      <c r="E829" s="107"/>
      <c r="F829" s="108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10"/>
      <c r="V829" s="110"/>
    </row>
    <row r="830" ht="12.75" customHeight="1">
      <c r="A830" s="107"/>
      <c r="B830" s="107"/>
      <c r="C830" s="107"/>
      <c r="D830" s="102"/>
      <c r="E830" s="107"/>
      <c r="F830" s="108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10"/>
      <c r="V830" s="110"/>
    </row>
    <row r="831" ht="12.75" customHeight="1">
      <c r="A831" s="107"/>
      <c r="B831" s="107"/>
      <c r="C831" s="107"/>
      <c r="D831" s="102"/>
      <c r="E831" s="107"/>
      <c r="F831" s="108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10"/>
      <c r="V831" s="110"/>
    </row>
    <row r="832" ht="12.75" customHeight="1">
      <c r="A832" s="107"/>
      <c r="B832" s="107"/>
      <c r="C832" s="107"/>
      <c r="D832" s="102"/>
      <c r="E832" s="107"/>
      <c r="F832" s="108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10"/>
      <c r="V832" s="110"/>
    </row>
    <row r="833" ht="12.75" customHeight="1">
      <c r="A833" s="107"/>
      <c r="B833" s="107"/>
      <c r="C833" s="107"/>
      <c r="D833" s="102"/>
      <c r="E833" s="107"/>
      <c r="F833" s="108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10"/>
      <c r="V833" s="110"/>
    </row>
    <row r="834" ht="12.75" customHeight="1">
      <c r="A834" s="107"/>
      <c r="B834" s="107"/>
      <c r="C834" s="107"/>
      <c r="D834" s="102"/>
      <c r="E834" s="107"/>
      <c r="F834" s="108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10"/>
      <c r="V834" s="110"/>
    </row>
    <row r="835" ht="12.75" customHeight="1">
      <c r="A835" s="107"/>
      <c r="B835" s="107"/>
      <c r="C835" s="107"/>
      <c r="D835" s="102"/>
      <c r="E835" s="107"/>
      <c r="F835" s="108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10"/>
      <c r="V835" s="110"/>
    </row>
    <row r="836" ht="12.75" customHeight="1">
      <c r="A836" s="107"/>
      <c r="B836" s="107"/>
      <c r="C836" s="107"/>
      <c r="D836" s="102"/>
      <c r="E836" s="107"/>
      <c r="F836" s="108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10"/>
      <c r="V836" s="110"/>
    </row>
    <row r="837" ht="12.75" customHeight="1">
      <c r="A837" s="107"/>
      <c r="B837" s="107"/>
      <c r="C837" s="107"/>
      <c r="D837" s="102"/>
      <c r="E837" s="107"/>
      <c r="F837" s="108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10"/>
      <c r="V837" s="110"/>
    </row>
    <row r="838" ht="12.75" customHeight="1">
      <c r="A838" s="107"/>
      <c r="B838" s="107"/>
      <c r="C838" s="107"/>
      <c r="D838" s="102"/>
      <c r="E838" s="107"/>
      <c r="F838" s="108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10"/>
      <c r="V838" s="110"/>
    </row>
    <row r="839" ht="12.75" customHeight="1">
      <c r="A839" s="107"/>
      <c r="B839" s="107"/>
      <c r="C839" s="107"/>
      <c r="D839" s="102"/>
      <c r="E839" s="107"/>
      <c r="F839" s="108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10"/>
      <c r="V839" s="110"/>
    </row>
    <row r="840" ht="12.75" customHeight="1">
      <c r="A840" s="107"/>
      <c r="B840" s="107"/>
      <c r="C840" s="107"/>
      <c r="D840" s="102"/>
      <c r="E840" s="107"/>
      <c r="F840" s="108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10"/>
      <c r="V840" s="110"/>
    </row>
    <row r="841" ht="12.75" customHeight="1">
      <c r="A841" s="107"/>
      <c r="B841" s="107"/>
      <c r="C841" s="107"/>
      <c r="D841" s="102"/>
      <c r="E841" s="107"/>
      <c r="F841" s="108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10"/>
      <c r="V841" s="110"/>
    </row>
    <row r="842" ht="12.75" customHeight="1">
      <c r="A842" s="107"/>
      <c r="B842" s="107"/>
      <c r="C842" s="107"/>
      <c r="D842" s="102"/>
      <c r="E842" s="107"/>
      <c r="F842" s="108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10"/>
      <c r="V842" s="110"/>
    </row>
    <row r="843" ht="12.75" customHeight="1">
      <c r="A843" s="107"/>
      <c r="B843" s="107"/>
      <c r="C843" s="107"/>
      <c r="D843" s="102"/>
      <c r="E843" s="107"/>
      <c r="F843" s="108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10"/>
      <c r="V843" s="110"/>
    </row>
    <row r="844" ht="12.75" customHeight="1">
      <c r="A844" s="107"/>
      <c r="B844" s="107"/>
      <c r="C844" s="107"/>
      <c r="D844" s="102"/>
      <c r="E844" s="107"/>
      <c r="F844" s="108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10"/>
      <c r="V844" s="110"/>
    </row>
    <row r="845" ht="12.75" customHeight="1">
      <c r="A845" s="107"/>
      <c r="B845" s="107"/>
      <c r="C845" s="107"/>
      <c r="D845" s="102"/>
      <c r="E845" s="107"/>
      <c r="F845" s="108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10"/>
      <c r="V845" s="110"/>
    </row>
    <row r="846" ht="12.75" customHeight="1">
      <c r="A846" s="107"/>
      <c r="B846" s="107"/>
      <c r="C846" s="107"/>
      <c r="D846" s="102"/>
      <c r="E846" s="107"/>
      <c r="F846" s="108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10"/>
      <c r="V846" s="110"/>
    </row>
    <row r="847" ht="12.75" customHeight="1">
      <c r="A847" s="107"/>
      <c r="B847" s="107"/>
      <c r="C847" s="107"/>
      <c r="D847" s="102"/>
      <c r="E847" s="107"/>
      <c r="F847" s="108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10"/>
      <c r="V847" s="110"/>
    </row>
    <row r="848" ht="12.75" customHeight="1">
      <c r="A848" s="107"/>
      <c r="B848" s="107"/>
      <c r="C848" s="107"/>
      <c r="D848" s="102"/>
      <c r="E848" s="107"/>
      <c r="F848" s="108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10"/>
      <c r="V848" s="110"/>
    </row>
    <row r="849" ht="12.75" customHeight="1">
      <c r="A849" s="107"/>
      <c r="B849" s="107"/>
      <c r="C849" s="107"/>
      <c r="D849" s="102"/>
      <c r="E849" s="107"/>
      <c r="F849" s="108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10"/>
      <c r="V849" s="110"/>
    </row>
    <row r="850" ht="12.75" customHeight="1">
      <c r="A850" s="107"/>
      <c r="B850" s="107"/>
      <c r="C850" s="107"/>
      <c r="D850" s="102"/>
      <c r="E850" s="107"/>
      <c r="F850" s="108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10"/>
      <c r="V850" s="110"/>
    </row>
    <row r="851" ht="12.75" customHeight="1">
      <c r="A851" s="107"/>
      <c r="B851" s="107"/>
      <c r="C851" s="107"/>
      <c r="D851" s="102"/>
      <c r="E851" s="107"/>
      <c r="F851" s="108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10"/>
      <c r="V851" s="110"/>
    </row>
    <row r="852" ht="12.75" customHeight="1">
      <c r="A852" s="107"/>
      <c r="B852" s="107"/>
      <c r="C852" s="107"/>
      <c r="D852" s="102"/>
      <c r="E852" s="107"/>
      <c r="F852" s="108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10"/>
      <c r="V852" s="110"/>
    </row>
    <row r="853" ht="12.75" customHeight="1">
      <c r="A853" s="107"/>
      <c r="B853" s="107"/>
      <c r="C853" s="107"/>
      <c r="D853" s="102"/>
      <c r="E853" s="107"/>
      <c r="F853" s="108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10"/>
      <c r="V853" s="110"/>
    </row>
    <row r="854" ht="12.75" customHeight="1">
      <c r="A854" s="107"/>
      <c r="B854" s="107"/>
      <c r="C854" s="107"/>
      <c r="D854" s="102"/>
      <c r="E854" s="107"/>
      <c r="F854" s="108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10"/>
      <c r="V854" s="110"/>
    </row>
    <row r="855" ht="12.75" customHeight="1">
      <c r="A855" s="107"/>
      <c r="B855" s="107"/>
      <c r="C855" s="107"/>
      <c r="D855" s="102"/>
      <c r="E855" s="107"/>
      <c r="F855" s="108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10"/>
      <c r="V855" s="110"/>
    </row>
    <row r="856" ht="12.75" customHeight="1">
      <c r="A856" s="107"/>
      <c r="B856" s="107"/>
      <c r="C856" s="107"/>
      <c r="D856" s="102"/>
      <c r="E856" s="107"/>
      <c r="F856" s="108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10"/>
      <c r="V856" s="110"/>
    </row>
    <row r="857" ht="12.75" customHeight="1">
      <c r="A857" s="107"/>
      <c r="B857" s="107"/>
      <c r="C857" s="107"/>
      <c r="D857" s="102"/>
      <c r="E857" s="107"/>
      <c r="F857" s="108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10"/>
      <c r="V857" s="110"/>
    </row>
    <row r="858" ht="12.75" customHeight="1">
      <c r="A858" s="107"/>
      <c r="B858" s="107"/>
      <c r="C858" s="107"/>
      <c r="D858" s="102"/>
      <c r="E858" s="107"/>
      <c r="F858" s="108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10"/>
      <c r="V858" s="110"/>
    </row>
    <row r="859" ht="12.75" customHeight="1">
      <c r="A859" s="107"/>
      <c r="B859" s="107"/>
      <c r="C859" s="107"/>
      <c r="D859" s="102"/>
      <c r="E859" s="107"/>
      <c r="F859" s="108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10"/>
      <c r="V859" s="110"/>
    </row>
    <row r="860" ht="12.75" customHeight="1">
      <c r="A860" s="107"/>
      <c r="B860" s="107"/>
      <c r="C860" s="107"/>
      <c r="D860" s="102"/>
      <c r="E860" s="107"/>
      <c r="F860" s="108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10"/>
      <c r="V860" s="110"/>
    </row>
    <row r="861" ht="12.75" customHeight="1">
      <c r="A861" s="107"/>
      <c r="B861" s="107"/>
      <c r="C861" s="107"/>
      <c r="D861" s="102"/>
      <c r="E861" s="107"/>
      <c r="F861" s="108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10"/>
      <c r="V861" s="110"/>
    </row>
    <row r="862" ht="12.75" customHeight="1">
      <c r="A862" s="107"/>
      <c r="B862" s="107"/>
      <c r="C862" s="107"/>
      <c r="D862" s="102"/>
      <c r="E862" s="107"/>
      <c r="F862" s="108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10"/>
      <c r="V862" s="110"/>
    </row>
    <row r="863" ht="12.75" customHeight="1">
      <c r="A863" s="107"/>
      <c r="B863" s="107"/>
      <c r="C863" s="107"/>
      <c r="D863" s="102"/>
      <c r="E863" s="107"/>
      <c r="F863" s="108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10"/>
      <c r="V863" s="110"/>
    </row>
    <row r="864" ht="12.75" customHeight="1">
      <c r="A864" s="107"/>
      <c r="B864" s="107"/>
      <c r="C864" s="107"/>
      <c r="D864" s="102"/>
      <c r="E864" s="107"/>
      <c r="F864" s="108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10"/>
      <c r="V864" s="110"/>
    </row>
    <row r="865" ht="12.75" customHeight="1">
      <c r="A865" s="107"/>
      <c r="B865" s="107"/>
      <c r="C865" s="107"/>
      <c r="D865" s="102"/>
      <c r="E865" s="107"/>
      <c r="F865" s="108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10"/>
      <c r="V865" s="110"/>
    </row>
    <row r="866" ht="12.75" customHeight="1">
      <c r="A866" s="107"/>
      <c r="B866" s="107"/>
      <c r="C866" s="107"/>
      <c r="D866" s="102"/>
      <c r="E866" s="107"/>
      <c r="F866" s="108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10"/>
      <c r="V866" s="110"/>
    </row>
    <row r="867" ht="12.75" customHeight="1">
      <c r="A867" s="107"/>
      <c r="B867" s="107"/>
      <c r="C867" s="107"/>
      <c r="D867" s="102"/>
      <c r="E867" s="107"/>
      <c r="F867" s="108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10"/>
      <c r="V867" s="110"/>
    </row>
    <row r="868" ht="12.75" customHeight="1">
      <c r="A868" s="107"/>
      <c r="B868" s="107"/>
      <c r="C868" s="107"/>
      <c r="D868" s="102"/>
      <c r="E868" s="107"/>
      <c r="F868" s="108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10"/>
      <c r="V868" s="110"/>
    </row>
    <row r="869" ht="12.75" customHeight="1">
      <c r="A869" s="107"/>
      <c r="B869" s="107"/>
      <c r="C869" s="107"/>
      <c r="D869" s="102"/>
      <c r="E869" s="107"/>
      <c r="F869" s="108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10"/>
      <c r="V869" s="110"/>
    </row>
    <row r="870" ht="12.75" customHeight="1">
      <c r="A870" s="107"/>
      <c r="B870" s="107"/>
      <c r="C870" s="107"/>
      <c r="D870" s="102"/>
      <c r="E870" s="107"/>
      <c r="F870" s="108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10"/>
      <c r="V870" s="110"/>
    </row>
    <row r="871" ht="12.75" customHeight="1">
      <c r="A871" s="107"/>
      <c r="B871" s="107"/>
      <c r="C871" s="107"/>
      <c r="D871" s="102"/>
      <c r="E871" s="107"/>
      <c r="F871" s="108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10"/>
      <c r="V871" s="110"/>
    </row>
    <row r="872" ht="12.75" customHeight="1">
      <c r="A872" s="107"/>
      <c r="B872" s="107"/>
      <c r="C872" s="107"/>
      <c r="D872" s="102"/>
      <c r="E872" s="107"/>
      <c r="F872" s="108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10"/>
      <c r="V872" s="110"/>
    </row>
    <row r="873" ht="12.75" customHeight="1">
      <c r="A873" s="107"/>
      <c r="B873" s="107"/>
      <c r="C873" s="107"/>
      <c r="D873" s="102"/>
      <c r="E873" s="107"/>
      <c r="F873" s="108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10"/>
      <c r="V873" s="110"/>
    </row>
    <row r="874" ht="12.75" customHeight="1">
      <c r="A874" s="107"/>
      <c r="B874" s="107"/>
      <c r="C874" s="107"/>
      <c r="D874" s="102"/>
      <c r="E874" s="107"/>
      <c r="F874" s="108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10"/>
      <c r="V874" s="110"/>
    </row>
    <row r="875" ht="12.75" customHeight="1">
      <c r="A875" s="107"/>
      <c r="B875" s="107"/>
      <c r="C875" s="107"/>
      <c r="D875" s="102"/>
      <c r="E875" s="107"/>
      <c r="F875" s="108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10"/>
      <c r="V875" s="110"/>
    </row>
    <row r="876" ht="12.75" customHeight="1">
      <c r="A876" s="107"/>
      <c r="B876" s="107"/>
      <c r="C876" s="107"/>
      <c r="D876" s="102"/>
      <c r="E876" s="107"/>
      <c r="F876" s="108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10"/>
      <c r="V876" s="110"/>
    </row>
    <row r="877" ht="12.75" customHeight="1">
      <c r="A877" s="107"/>
      <c r="B877" s="107"/>
      <c r="C877" s="107"/>
      <c r="D877" s="102"/>
      <c r="E877" s="107"/>
      <c r="F877" s="108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10"/>
      <c r="V877" s="110"/>
    </row>
    <row r="878" ht="12.75" customHeight="1">
      <c r="A878" s="107"/>
      <c r="B878" s="107"/>
      <c r="C878" s="107"/>
      <c r="D878" s="102"/>
      <c r="E878" s="107"/>
      <c r="F878" s="108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10"/>
      <c r="V878" s="110"/>
    </row>
    <row r="879" ht="12.75" customHeight="1">
      <c r="A879" s="107"/>
      <c r="B879" s="107"/>
      <c r="C879" s="107"/>
      <c r="D879" s="102"/>
      <c r="E879" s="107"/>
      <c r="F879" s="108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10"/>
      <c r="V879" s="110"/>
    </row>
    <row r="880" ht="12.75" customHeight="1">
      <c r="A880" s="107"/>
      <c r="B880" s="107"/>
      <c r="C880" s="107"/>
      <c r="D880" s="102"/>
      <c r="E880" s="107"/>
      <c r="F880" s="108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10"/>
      <c r="V880" s="110"/>
    </row>
    <row r="881" ht="12.75" customHeight="1">
      <c r="A881" s="107"/>
      <c r="B881" s="107"/>
      <c r="C881" s="107"/>
      <c r="D881" s="102"/>
      <c r="E881" s="107"/>
      <c r="F881" s="108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10"/>
      <c r="V881" s="110"/>
    </row>
    <row r="882" ht="12.75" customHeight="1">
      <c r="A882" s="107"/>
      <c r="B882" s="107"/>
      <c r="C882" s="107"/>
      <c r="D882" s="102"/>
      <c r="E882" s="107"/>
      <c r="F882" s="108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10"/>
      <c r="V882" s="110"/>
    </row>
    <row r="883" ht="12.75" customHeight="1">
      <c r="A883" s="107"/>
      <c r="B883" s="107"/>
      <c r="C883" s="107"/>
      <c r="D883" s="102"/>
      <c r="E883" s="107"/>
      <c r="F883" s="108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10"/>
      <c r="V883" s="110"/>
    </row>
    <row r="884" ht="12.75" customHeight="1">
      <c r="A884" s="107"/>
      <c r="B884" s="107"/>
      <c r="C884" s="107"/>
      <c r="D884" s="102"/>
      <c r="E884" s="107"/>
      <c r="F884" s="108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10"/>
      <c r="V884" s="110"/>
    </row>
    <row r="885" ht="12.75" customHeight="1">
      <c r="A885" s="107"/>
      <c r="B885" s="107"/>
      <c r="C885" s="107"/>
      <c r="D885" s="102"/>
      <c r="E885" s="107"/>
      <c r="F885" s="108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10"/>
      <c r="V885" s="110"/>
    </row>
    <row r="886" ht="12.75" customHeight="1">
      <c r="A886" s="107"/>
      <c r="B886" s="107"/>
      <c r="C886" s="107"/>
      <c r="D886" s="102"/>
      <c r="E886" s="107"/>
      <c r="F886" s="108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10"/>
      <c r="V886" s="110"/>
    </row>
    <row r="887" ht="12.75" customHeight="1">
      <c r="A887" s="107"/>
      <c r="B887" s="107"/>
      <c r="C887" s="107"/>
      <c r="D887" s="102"/>
      <c r="E887" s="107"/>
      <c r="F887" s="108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10"/>
      <c r="V887" s="110"/>
    </row>
    <row r="888" ht="12.75" customHeight="1">
      <c r="A888" s="107"/>
      <c r="B888" s="107"/>
      <c r="C888" s="107"/>
      <c r="D888" s="102"/>
      <c r="E888" s="107"/>
      <c r="F888" s="108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10"/>
      <c r="V888" s="110"/>
    </row>
    <row r="889" ht="12.75" customHeight="1">
      <c r="A889" s="107"/>
      <c r="B889" s="107"/>
      <c r="C889" s="107"/>
      <c r="D889" s="102"/>
      <c r="E889" s="107"/>
      <c r="F889" s="108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10"/>
      <c r="V889" s="110"/>
    </row>
    <row r="890" ht="12.75" customHeight="1">
      <c r="A890" s="107"/>
      <c r="B890" s="107"/>
      <c r="C890" s="107"/>
      <c r="D890" s="102"/>
      <c r="E890" s="107"/>
      <c r="F890" s="108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10"/>
      <c r="V890" s="110"/>
    </row>
    <row r="891" ht="12.75" customHeight="1">
      <c r="A891" s="107"/>
      <c r="B891" s="107"/>
      <c r="C891" s="107"/>
      <c r="D891" s="102"/>
      <c r="E891" s="107"/>
      <c r="F891" s="108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10"/>
      <c r="V891" s="110"/>
    </row>
    <row r="892" ht="12.75" customHeight="1">
      <c r="A892" s="107"/>
      <c r="B892" s="107"/>
      <c r="C892" s="107"/>
      <c r="D892" s="102"/>
      <c r="E892" s="107"/>
      <c r="F892" s="108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10"/>
      <c r="V892" s="110"/>
    </row>
    <row r="893" ht="12.75" customHeight="1">
      <c r="A893" s="107"/>
      <c r="B893" s="107"/>
      <c r="C893" s="107"/>
      <c r="D893" s="102"/>
      <c r="E893" s="107"/>
      <c r="F893" s="108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10"/>
      <c r="V893" s="110"/>
    </row>
    <row r="894" ht="12.75" customHeight="1">
      <c r="A894" s="107"/>
      <c r="B894" s="107"/>
      <c r="C894" s="107"/>
      <c r="D894" s="102"/>
      <c r="E894" s="107"/>
      <c r="F894" s="108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10"/>
      <c r="V894" s="110"/>
    </row>
    <row r="895" ht="12.75" customHeight="1">
      <c r="A895" s="107"/>
      <c r="B895" s="107"/>
      <c r="C895" s="107"/>
      <c r="D895" s="102"/>
      <c r="E895" s="107"/>
      <c r="F895" s="108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10"/>
      <c r="V895" s="110"/>
    </row>
    <row r="896" ht="12.75" customHeight="1">
      <c r="A896" s="107"/>
      <c r="B896" s="107"/>
      <c r="C896" s="107"/>
      <c r="D896" s="102"/>
      <c r="E896" s="107"/>
      <c r="F896" s="108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10"/>
      <c r="V896" s="110"/>
    </row>
    <row r="897" ht="12.75" customHeight="1">
      <c r="A897" s="107"/>
      <c r="B897" s="107"/>
      <c r="C897" s="107"/>
      <c r="D897" s="102"/>
      <c r="E897" s="107"/>
      <c r="F897" s="108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10"/>
      <c r="V897" s="110"/>
    </row>
    <row r="898" ht="12.75" customHeight="1">
      <c r="A898" s="107"/>
      <c r="B898" s="107"/>
      <c r="C898" s="107"/>
      <c r="D898" s="102"/>
      <c r="E898" s="107"/>
      <c r="F898" s="108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10"/>
      <c r="V898" s="110"/>
    </row>
    <row r="899" ht="12.75" customHeight="1">
      <c r="A899" s="107"/>
      <c r="B899" s="107"/>
      <c r="C899" s="107"/>
      <c r="D899" s="102"/>
      <c r="E899" s="107"/>
      <c r="F899" s="108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10"/>
      <c r="V899" s="110"/>
    </row>
    <row r="900" ht="12.75" customHeight="1">
      <c r="A900" s="107"/>
      <c r="B900" s="107"/>
      <c r="C900" s="107"/>
      <c r="D900" s="102"/>
      <c r="E900" s="107"/>
      <c r="F900" s="108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10"/>
      <c r="V900" s="110"/>
    </row>
    <row r="901" ht="12.75" customHeight="1">
      <c r="A901" s="107"/>
      <c r="B901" s="107"/>
      <c r="C901" s="107"/>
      <c r="D901" s="102"/>
      <c r="E901" s="107"/>
      <c r="F901" s="108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10"/>
      <c r="V901" s="110"/>
    </row>
    <row r="902" ht="12.75" customHeight="1">
      <c r="A902" s="107"/>
      <c r="B902" s="107"/>
      <c r="C902" s="107"/>
      <c r="D902" s="102"/>
      <c r="E902" s="107"/>
      <c r="F902" s="108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10"/>
      <c r="V902" s="110"/>
    </row>
    <row r="903" ht="12.75" customHeight="1">
      <c r="A903" s="107"/>
      <c r="B903" s="107"/>
      <c r="C903" s="107"/>
      <c r="D903" s="102"/>
      <c r="E903" s="107"/>
      <c r="F903" s="108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10"/>
      <c r="V903" s="110"/>
    </row>
    <row r="904" ht="12.75" customHeight="1">
      <c r="A904" s="107"/>
      <c r="B904" s="107"/>
      <c r="C904" s="107"/>
      <c r="D904" s="102"/>
      <c r="E904" s="107"/>
      <c r="F904" s="108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10"/>
      <c r="V904" s="110"/>
    </row>
    <row r="905" ht="12.75" customHeight="1">
      <c r="A905" s="107"/>
      <c r="B905" s="107"/>
      <c r="C905" s="107"/>
      <c r="D905" s="102"/>
      <c r="E905" s="107"/>
      <c r="F905" s="108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10"/>
      <c r="V905" s="110"/>
    </row>
    <row r="906" ht="12.75" customHeight="1">
      <c r="A906" s="107"/>
      <c r="B906" s="107"/>
      <c r="C906" s="107"/>
      <c r="D906" s="102"/>
      <c r="E906" s="107"/>
      <c r="F906" s="108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10"/>
      <c r="V906" s="110"/>
    </row>
    <row r="907" ht="12.75" customHeight="1">
      <c r="A907" s="107"/>
      <c r="B907" s="107"/>
      <c r="C907" s="107"/>
      <c r="D907" s="102"/>
      <c r="E907" s="107"/>
      <c r="F907" s="108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10"/>
      <c r="V907" s="110"/>
    </row>
    <row r="908" ht="12.75" customHeight="1">
      <c r="A908" s="107"/>
      <c r="B908" s="107"/>
      <c r="C908" s="107"/>
      <c r="D908" s="102"/>
      <c r="E908" s="107"/>
      <c r="F908" s="108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10"/>
      <c r="V908" s="110"/>
    </row>
    <row r="909" ht="12.75" customHeight="1">
      <c r="A909" s="107"/>
      <c r="B909" s="107"/>
      <c r="C909" s="107"/>
      <c r="D909" s="102"/>
      <c r="E909" s="107"/>
      <c r="F909" s="108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10"/>
      <c r="V909" s="110"/>
    </row>
    <row r="910" ht="12.75" customHeight="1">
      <c r="A910" s="107"/>
      <c r="B910" s="107"/>
      <c r="C910" s="107"/>
      <c r="D910" s="102"/>
      <c r="E910" s="107"/>
      <c r="F910" s="108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10"/>
      <c r="V910" s="110"/>
    </row>
    <row r="911" ht="12.75" customHeight="1">
      <c r="A911" s="107"/>
      <c r="B911" s="107"/>
      <c r="C911" s="107"/>
      <c r="D911" s="102"/>
      <c r="E911" s="107"/>
      <c r="F911" s="108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10"/>
      <c r="V911" s="110"/>
    </row>
    <row r="912" ht="12.75" customHeight="1">
      <c r="A912" s="107"/>
      <c r="B912" s="107"/>
      <c r="C912" s="107"/>
      <c r="D912" s="102"/>
      <c r="E912" s="107"/>
      <c r="F912" s="108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10"/>
      <c r="V912" s="110"/>
    </row>
    <row r="913" ht="12.75" customHeight="1">
      <c r="A913" s="107"/>
      <c r="B913" s="107"/>
      <c r="C913" s="107"/>
      <c r="D913" s="102"/>
      <c r="E913" s="107"/>
      <c r="F913" s="108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10"/>
      <c r="V913" s="110"/>
    </row>
    <row r="914" ht="12.75" customHeight="1">
      <c r="A914" s="107"/>
      <c r="B914" s="107"/>
      <c r="C914" s="107"/>
      <c r="D914" s="102"/>
      <c r="E914" s="107"/>
      <c r="F914" s="108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10"/>
      <c r="V914" s="110"/>
    </row>
    <row r="915" ht="12.75" customHeight="1">
      <c r="A915" s="107"/>
      <c r="B915" s="107"/>
      <c r="C915" s="107"/>
      <c r="D915" s="102"/>
      <c r="E915" s="107"/>
      <c r="F915" s="108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10"/>
      <c r="V915" s="110"/>
    </row>
    <row r="916" ht="12.75" customHeight="1">
      <c r="A916" s="107"/>
      <c r="B916" s="107"/>
      <c r="C916" s="107"/>
      <c r="D916" s="102"/>
      <c r="E916" s="107"/>
      <c r="F916" s="108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10"/>
      <c r="V916" s="110"/>
    </row>
    <row r="917" ht="12.75" customHeight="1">
      <c r="A917" s="107"/>
      <c r="B917" s="107"/>
      <c r="C917" s="107"/>
      <c r="D917" s="102"/>
      <c r="E917" s="107"/>
      <c r="F917" s="108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10"/>
      <c r="V917" s="110"/>
    </row>
    <row r="918" ht="12.75" customHeight="1">
      <c r="A918" s="107"/>
      <c r="B918" s="107"/>
      <c r="C918" s="107"/>
      <c r="D918" s="102"/>
      <c r="E918" s="107"/>
      <c r="F918" s="108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10"/>
      <c r="V918" s="110"/>
    </row>
    <row r="919" ht="12.75" customHeight="1">
      <c r="A919" s="107"/>
      <c r="B919" s="107"/>
      <c r="C919" s="107"/>
      <c r="D919" s="102"/>
      <c r="E919" s="107"/>
      <c r="F919" s="108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10"/>
      <c r="V919" s="110"/>
    </row>
    <row r="920" ht="12.75" customHeight="1">
      <c r="A920" s="107"/>
      <c r="B920" s="107"/>
      <c r="C920" s="107"/>
      <c r="D920" s="102"/>
      <c r="E920" s="107"/>
      <c r="F920" s="108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10"/>
      <c r="V920" s="110"/>
    </row>
    <row r="921" ht="12.75" customHeight="1">
      <c r="A921" s="107"/>
      <c r="B921" s="107"/>
      <c r="C921" s="107"/>
      <c r="D921" s="102"/>
      <c r="E921" s="107"/>
      <c r="F921" s="108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10"/>
      <c r="V921" s="110"/>
    </row>
    <row r="922" ht="12.75" customHeight="1">
      <c r="A922" s="107"/>
      <c r="B922" s="107"/>
      <c r="C922" s="107"/>
      <c r="D922" s="102"/>
      <c r="E922" s="107"/>
      <c r="F922" s="108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10"/>
      <c r="V922" s="110"/>
    </row>
    <row r="923" ht="12.75" customHeight="1">
      <c r="A923" s="107"/>
      <c r="B923" s="107"/>
      <c r="C923" s="107"/>
      <c r="D923" s="102"/>
      <c r="E923" s="107"/>
      <c r="F923" s="108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10"/>
      <c r="V923" s="110"/>
    </row>
    <row r="924" ht="12.75" customHeight="1">
      <c r="A924" s="107"/>
      <c r="B924" s="107"/>
      <c r="C924" s="107"/>
      <c r="D924" s="102"/>
      <c r="E924" s="107"/>
      <c r="F924" s="108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10"/>
      <c r="V924" s="110"/>
    </row>
    <row r="925" ht="12.75" customHeight="1">
      <c r="A925" s="107"/>
      <c r="B925" s="107"/>
      <c r="C925" s="107"/>
      <c r="D925" s="102"/>
      <c r="E925" s="107"/>
      <c r="F925" s="108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10"/>
      <c r="V925" s="110"/>
    </row>
    <row r="926" ht="12.75" customHeight="1">
      <c r="A926" s="107"/>
      <c r="B926" s="107"/>
      <c r="C926" s="107"/>
      <c r="D926" s="102"/>
      <c r="E926" s="107"/>
      <c r="F926" s="108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10"/>
      <c r="V926" s="110"/>
    </row>
    <row r="927" ht="12.75" customHeight="1">
      <c r="A927" s="107"/>
      <c r="B927" s="107"/>
      <c r="C927" s="107"/>
      <c r="D927" s="102"/>
      <c r="E927" s="107"/>
      <c r="F927" s="108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10"/>
      <c r="V927" s="110"/>
    </row>
    <row r="928" ht="12.75" customHeight="1">
      <c r="A928" s="107"/>
      <c r="B928" s="107"/>
      <c r="C928" s="107"/>
      <c r="D928" s="102"/>
      <c r="E928" s="107"/>
      <c r="F928" s="108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10"/>
      <c r="V928" s="110"/>
    </row>
    <row r="929" ht="12.75" customHeight="1">
      <c r="A929" s="107"/>
      <c r="B929" s="107"/>
      <c r="C929" s="107"/>
      <c r="D929" s="102"/>
      <c r="E929" s="107"/>
      <c r="F929" s="108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10"/>
      <c r="V929" s="110"/>
    </row>
    <row r="930" ht="12.75" customHeight="1">
      <c r="A930" s="107"/>
      <c r="B930" s="107"/>
      <c r="C930" s="107"/>
      <c r="D930" s="102"/>
      <c r="E930" s="107"/>
      <c r="F930" s="108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10"/>
      <c r="V930" s="110"/>
    </row>
    <row r="931" ht="12.75" customHeight="1">
      <c r="A931" s="107"/>
      <c r="B931" s="107"/>
      <c r="C931" s="107"/>
      <c r="D931" s="102"/>
      <c r="E931" s="107"/>
      <c r="F931" s="108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10"/>
      <c r="V931" s="110"/>
    </row>
    <row r="932" ht="12.75" customHeight="1">
      <c r="A932" s="107"/>
      <c r="B932" s="107"/>
      <c r="C932" s="107"/>
      <c r="D932" s="102"/>
      <c r="E932" s="107"/>
      <c r="F932" s="108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10"/>
      <c r="V932" s="110"/>
    </row>
    <row r="933" ht="12.75" customHeight="1">
      <c r="A933" s="107"/>
      <c r="B933" s="107"/>
      <c r="C933" s="107"/>
      <c r="D933" s="102"/>
      <c r="E933" s="107"/>
      <c r="F933" s="108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10"/>
      <c r="V933" s="110"/>
    </row>
    <row r="934" ht="12.75" customHeight="1">
      <c r="A934" s="107"/>
      <c r="B934" s="107"/>
      <c r="C934" s="107"/>
      <c r="D934" s="102"/>
      <c r="E934" s="107"/>
      <c r="F934" s="108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10"/>
      <c r="V934" s="110"/>
    </row>
    <row r="935" ht="12.75" customHeight="1">
      <c r="A935" s="107"/>
      <c r="B935" s="107"/>
      <c r="C935" s="107"/>
      <c r="D935" s="102"/>
      <c r="E935" s="107"/>
      <c r="F935" s="108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10"/>
      <c r="V935" s="110"/>
    </row>
    <row r="936" ht="12.75" customHeight="1">
      <c r="A936" s="107"/>
      <c r="B936" s="107"/>
      <c r="C936" s="107"/>
      <c r="D936" s="102"/>
      <c r="E936" s="107"/>
      <c r="F936" s="108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10"/>
      <c r="V936" s="110"/>
    </row>
    <row r="937" ht="12.75" customHeight="1">
      <c r="A937" s="107"/>
      <c r="B937" s="107"/>
      <c r="C937" s="107"/>
      <c r="D937" s="102"/>
      <c r="E937" s="107"/>
      <c r="F937" s="108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10"/>
      <c r="V937" s="110"/>
    </row>
    <row r="938" ht="12.75" customHeight="1">
      <c r="A938" s="107"/>
      <c r="B938" s="107"/>
      <c r="C938" s="107"/>
      <c r="D938" s="102"/>
      <c r="E938" s="107"/>
      <c r="F938" s="108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10"/>
      <c r="V938" s="110"/>
    </row>
    <row r="939" ht="12.75" customHeight="1">
      <c r="A939" s="107"/>
      <c r="B939" s="107"/>
      <c r="C939" s="107"/>
      <c r="D939" s="102"/>
      <c r="E939" s="107"/>
      <c r="F939" s="108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10"/>
      <c r="V939" s="110"/>
    </row>
    <row r="940" ht="12.75" customHeight="1">
      <c r="A940" s="107"/>
      <c r="B940" s="107"/>
      <c r="C940" s="107"/>
      <c r="D940" s="102"/>
      <c r="E940" s="107"/>
      <c r="F940" s="108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10"/>
      <c r="V940" s="110"/>
    </row>
    <row r="941" ht="12.75" customHeight="1">
      <c r="A941" s="107"/>
      <c r="B941" s="107"/>
      <c r="C941" s="107"/>
      <c r="D941" s="102"/>
      <c r="E941" s="107"/>
      <c r="F941" s="108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10"/>
      <c r="V941" s="110"/>
    </row>
    <row r="942" ht="12.75" customHeight="1">
      <c r="A942" s="107"/>
      <c r="B942" s="107"/>
      <c r="C942" s="107"/>
      <c r="D942" s="102"/>
      <c r="E942" s="107"/>
      <c r="F942" s="108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10"/>
      <c r="V942" s="110"/>
    </row>
    <row r="943" ht="12.75" customHeight="1">
      <c r="A943" s="107"/>
      <c r="B943" s="107"/>
      <c r="C943" s="107"/>
      <c r="D943" s="102"/>
      <c r="E943" s="107"/>
      <c r="F943" s="108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10"/>
      <c r="V943" s="110"/>
    </row>
    <row r="944" ht="12.75" customHeight="1">
      <c r="A944" s="107"/>
      <c r="B944" s="107"/>
      <c r="C944" s="107"/>
      <c r="D944" s="102"/>
      <c r="E944" s="107"/>
      <c r="F944" s="108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10"/>
      <c r="V944" s="110"/>
    </row>
    <row r="945" ht="12.75" customHeight="1">
      <c r="A945" s="107"/>
      <c r="B945" s="107"/>
      <c r="C945" s="107"/>
      <c r="D945" s="102"/>
      <c r="E945" s="107"/>
      <c r="F945" s="108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10"/>
      <c r="V945" s="110"/>
    </row>
    <row r="946" ht="12.75" customHeight="1">
      <c r="A946" s="107"/>
      <c r="B946" s="107"/>
      <c r="C946" s="107"/>
      <c r="D946" s="102"/>
      <c r="E946" s="107"/>
      <c r="F946" s="108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10"/>
      <c r="V946" s="110"/>
    </row>
    <row r="947" ht="12.75" customHeight="1">
      <c r="A947" s="107"/>
      <c r="B947" s="107"/>
      <c r="C947" s="107"/>
      <c r="D947" s="102"/>
      <c r="E947" s="107"/>
      <c r="F947" s="108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10"/>
      <c r="V947" s="110"/>
    </row>
    <row r="948" ht="12.75" customHeight="1">
      <c r="A948" s="107"/>
      <c r="B948" s="107"/>
      <c r="C948" s="107"/>
      <c r="D948" s="102"/>
      <c r="E948" s="107"/>
      <c r="F948" s="108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10"/>
      <c r="V948" s="110"/>
    </row>
    <row r="949" ht="12.75" customHeight="1">
      <c r="A949" s="107"/>
      <c r="B949" s="107"/>
      <c r="C949" s="107"/>
      <c r="D949" s="102"/>
      <c r="E949" s="107"/>
      <c r="F949" s="108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10"/>
      <c r="V949" s="110"/>
    </row>
    <row r="950" ht="12.75" customHeight="1">
      <c r="A950" s="107"/>
      <c r="B950" s="107"/>
      <c r="C950" s="107"/>
      <c r="D950" s="102"/>
      <c r="E950" s="107"/>
      <c r="F950" s="108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10"/>
      <c r="V950" s="110"/>
    </row>
    <row r="951" ht="12.75" customHeight="1">
      <c r="A951" s="107"/>
      <c r="B951" s="107"/>
      <c r="C951" s="107"/>
      <c r="D951" s="102"/>
      <c r="E951" s="107"/>
      <c r="F951" s="108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10"/>
      <c r="V951" s="110"/>
    </row>
    <row r="952" ht="12.75" customHeight="1">
      <c r="A952" s="107"/>
      <c r="B952" s="107"/>
      <c r="C952" s="107"/>
      <c r="D952" s="102"/>
      <c r="E952" s="107"/>
      <c r="F952" s="108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10"/>
      <c r="V952" s="110"/>
    </row>
    <row r="953" ht="12.75" customHeight="1">
      <c r="A953" s="107"/>
      <c r="B953" s="107"/>
      <c r="C953" s="107"/>
      <c r="D953" s="102"/>
      <c r="E953" s="107"/>
      <c r="F953" s="108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10"/>
      <c r="V953" s="110"/>
    </row>
    <row r="954" ht="12.75" customHeight="1">
      <c r="A954" s="107"/>
      <c r="B954" s="107"/>
      <c r="C954" s="107"/>
      <c r="D954" s="102"/>
      <c r="E954" s="107"/>
      <c r="F954" s="108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10"/>
      <c r="V954" s="110"/>
    </row>
    <row r="955" ht="12.75" customHeight="1">
      <c r="A955" s="107"/>
      <c r="B955" s="107"/>
      <c r="C955" s="107"/>
      <c r="D955" s="102"/>
      <c r="E955" s="107"/>
      <c r="F955" s="108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10"/>
      <c r="V955" s="110"/>
    </row>
    <row r="956" ht="12.75" customHeight="1">
      <c r="A956" s="107"/>
      <c r="B956" s="107"/>
      <c r="C956" s="107"/>
      <c r="D956" s="102"/>
      <c r="E956" s="107"/>
      <c r="F956" s="108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10"/>
      <c r="V956" s="110"/>
    </row>
    <row r="957" ht="12.75" customHeight="1">
      <c r="A957" s="107"/>
      <c r="B957" s="107"/>
      <c r="C957" s="107"/>
      <c r="D957" s="102"/>
      <c r="E957" s="107"/>
      <c r="F957" s="108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10"/>
      <c r="V957" s="110"/>
    </row>
    <row r="958" ht="12.75" customHeight="1">
      <c r="A958" s="107"/>
      <c r="B958" s="107"/>
      <c r="C958" s="107"/>
      <c r="D958" s="102"/>
      <c r="E958" s="107"/>
      <c r="F958" s="108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10"/>
      <c r="V958" s="110"/>
    </row>
    <row r="959" ht="12.75" customHeight="1">
      <c r="A959" s="107"/>
      <c r="B959" s="107"/>
      <c r="C959" s="107"/>
      <c r="D959" s="102"/>
      <c r="E959" s="107"/>
      <c r="F959" s="108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10"/>
      <c r="V959" s="110"/>
    </row>
    <row r="960" ht="12.75" customHeight="1">
      <c r="A960" s="107"/>
      <c r="B960" s="107"/>
      <c r="C960" s="107"/>
      <c r="D960" s="102"/>
      <c r="E960" s="107"/>
      <c r="F960" s="108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10"/>
      <c r="V960" s="110"/>
    </row>
    <row r="961" ht="12.75" customHeight="1">
      <c r="A961" s="107"/>
      <c r="B961" s="107"/>
      <c r="C961" s="107"/>
      <c r="D961" s="102"/>
      <c r="E961" s="107"/>
      <c r="F961" s="108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10"/>
      <c r="V961" s="110"/>
    </row>
    <row r="962" ht="12.75" customHeight="1">
      <c r="A962" s="107"/>
      <c r="B962" s="107"/>
      <c r="C962" s="107"/>
      <c r="D962" s="102"/>
      <c r="E962" s="107"/>
      <c r="F962" s="108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10"/>
      <c r="V962" s="110"/>
    </row>
    <row r="963" ht="12.75" customHeight="1">
      <c r="A963" s="107"/>
      <c r="B963" s="107"/>
      <c r="C963" s="107"/>
      <c r="D963" s="102"/>
      <c r="E963" s="107"/>
      <c r="F963" s="108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10"/>
      <c r="V963" s="110"/>
    </row>
    <row r="964" ht="12.75" customHeight="1">
      <c r="A964" s="107"/>
      <c r="B964" s="107"/>
      <c r="C964" s="107"/>
      <c r="D964" s="102"/>
      <c r="E964" s="107"/>
      <c r="F964" s="108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10"/>
      <c r="V964" s="110"/>
    </row>
    <row r="965" ht="12.75" customHeight="1">
      <c r="A965" s="107"/>
      <c r="B965" s="107"/>
      <c r="C965" s="107"/>
      <c r="D965" s="102"/>
      <c r="E965" s="107"/>
      <c r="F965" s="108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10"/>
      <c r="V965" s="110"/>
    </row>
    <row r="966" ht="12.75" customHeight="1">
      <c r="A966" s="107"/>
      <c r="B966" s="107"/>
      <c r="C966" s="107"/>
      <c r="D966" s="102"/>
      <c r="E966" s="107"/>
      <c r="F966" s="108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10"/>
      <c r="V966" s="110"/>
    </row>
    <row r="967" ht="12.75" customHeight="1">
      <c r="A967" s="107"/>
      <c r="B967" s="107"/>
      <c r="C967" s="107"/>
      <c r="D967" s="102"/>
      <c r="E967" s="107"/>
      <c r="F967" s="108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10"/>
      <c r="V967" s="110"/>
    </row>
    <row r="968" ht="12.75" customHeight="1">
      <c r="A968" s="107"/>
      <c r="B968" s="107"/>
      <c r="C968" s="107"/>
      <c r="D968" s="102"/>
      <c r="E968" s="107"/>
      <c r="F968" s="108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10"/>
      <c r="V968" s="110"/>
    </row>
    <row r="969" ht="12.75" customHeight="1">
      <c r="A969" s="107"/>
      <c r="B969" s="107"/>
      <c r="C969" s="107"/>
      <c r="D969" s="102"/>
      <c r="E969" s="107"/>
      <c r="F969" s="108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10"/>
      <c r="V969" s="110"/>
    </row>
    <row r="970" ht="12.75" customHeight="1">
      <c r="A970" s="107"/>
      <c r="B970" s="107"/>
      <c r="C970" s="107"/>
      <c r="D970" s="102"/>
      <c r="E970" s="107"/>
      <c r="F970" s="108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10"/>
      <c r="V970" s="110"/>
    </row>
    <row r="971" ht="12.75" customHeight="1">
      <c r="A971" s="107"/>
      <c r="B971" s="107"/>
      <c r="C971" s="107"/>
      <c r="D971" s="102"/>
      <c r="E971" s="107"/>
      <c r="F971" s="108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10"/>
      <c r="V971" s="110"/>
    </row>
    <row r="972" ht="12.75" customHeight="1">
      <c r="A972" s="107"/>
      <c r="B972" s="107"/>
      <c r="C972" s="107"/>
      <c r="D972" s="102"/>
      <c r="E972" s="107"/>
      <c r="F972" s="108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10"/>
      <c r="V972" s="110"/>
    </row>
    <row r="973" ht="12.75" customHeight="1">
      <c r="A973" s="107"/>
      <c r="B973" s="107"/>
      <c r="C973" s="107"/>
      <c r="D973" s="102"/>
      <c r="E973" s="107"/>
      <c r="F973" s="108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10"/>
      <c r="V973" s="110"/>
    </row>
    <row r="974" ht="12.75" customHeight="1">
      <c r="A974" s="107"/>
      <c r="B974" s="107"/>
      <c r="C974" s="107"/>
      <c r="D974" s="102"/>
      <c r="E974" s="107"/>
      <c r="F974" s="108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10"/>
      <c r="V974" s="110"/>
    </row>
    <row r="975" ht="12.75" customHeight="1">
      <c r="A975" s="107"/>
      <c r="B975" s="107"/>
      <c r="C975" s="107"/>
      <c r="D975" s="102"/>
      <c r="E975" s="107"/>
      <c r="F975" s="108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10"/>
      <c r="V975" s="110"/>
    </row>
    <row r="976" ht="12.75" customHeight="1">
      <c r="A976" s="107"/>
      <c r="B976" s="107"/>
      <c r="C976" s="107"/>
      <c r="D976" s="102"/>
      <c r="E976" s="107"/>
      <c r="F976" s="108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10"/>
      <c r="V976" s="110"/>
    </row>
    <row r="977" ht="12.75" customHeight="1">
      <c r="A977" s="107"/>
      <c r="B977" s="107"/>
      <c r="C977" s="107"/>
      <c r="D977" s="102"/>
      <c r="E977" s="107"/>
      <c r="F977" s="108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10"/>
      <c r="V977" s="110"/>
    </row>
    <row r="978" ht="12.75" customHeight="1">
      <c r="A978" s="107"/>
      <c r="B978" s="107"/>
      <c r="C978" s="107"/>
      <c r="D978" s="102"/>
      <c r="E978" s="107"/>
      <c r="F978" s="108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10"/>
      <c r="V978" s="110"/>
    </row>
    <row r="979" ht="12.75" customHeight="1">
      <c r="A979" s="107"/>
      <c r="B979" s="107"/>
      <c r="C979" s="107"/>
      <c r="D979" s="102"/>
      <c r="E979" s="107"/>
      <c r="F979" s="108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10"/>
      <c r="V979" s="110"/>
    </row>
    <row r="980" ht="12.75" customHeight="1">
      <c r="A980" s="107"/>
      <c r="B980" s="107"/>
      <c r="C980" s="107"/>
      <c r="D980" s="102"/>
      <c r="E980" s="107"/>
      <c r="F980" s="108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10"/>
      <c r="V980" s="110"/>
    </row>
    <row r="981" ht="12.75" customHeight="1">
      <c r="A981" s="107"/>
      <c r="B981" s="107"/>
      <c r="C981" s="107"/>
      <c r="D981" s="102"/>
      <c r="E981" s="107"/>
      <c r="F981" s="108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10"/>
      <c r="V981" s="110"/>
    </row>
    <row r="982" ht="12.75" customHeight="1">
      <c r="A982" s="107"/>
      <c r="B982" s="107"/>
      <c r="C982" s="107"/>
      <c r="D982" s="102"/>
      <c r="E982" s="107"/>
      <c r="F982" s="108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10"/>
      <c r="V982" s="110"/>
    </row>
    <row r="983" ht="12.75" customHeight="1">
      <c r="A983" s="107"/>
      <c r="B983" s="107"/>
      <c r="C983" s="107"/>
      <c r="D983" s="102"/>
      <c r="E983" s="107"/>
      <c r="F983" s="108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10"/>
      <c r="V983" s="110"/>
    </row>
    <row r="984" ht="12.75" customHeight="1">
      <c r="A984" s="107"/>
      <c r="B984" s="107"/>
      <c r="C984" s="107"/>
      <c r="D984" s="102"/>
      <c r="E984" s="107"/>
      <c r="F984" s="108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10"/>
      <c r="V984" s="110"/>
    </row>
    <row r="985" ht="12.75" customHeight="1">
      <c r="A985" s="107"/>
      <c r="B985" s="107"/>
      <c r="C985" s="107"/>
      <c r="D985" s="102"/>
      <c r="E985" s="107"/>
      <c r="F985" s="108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10"/>
      <c r="V985" s="110"/>
    </row>
    <row r="986" ht="12.75" customHeight="1">
      <c r="A986" s="107"/>
      <c r="B986" s="107"/>
      <c r="C986" s="107"/>
      <c r="D986" s="102"/>
      <c r="E986" s="107"/>
      <c r="F986" s="108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10"/>
      <c r="V986" s="110"/>
    </row>
    <row r="987" ht="12.75" customHeight="1">
      <c r="A987" s="107"/>
      <c r="B987" s="107"/>
      <c r="C987" s="107"/>
      <c r="D987" s="102"/>
      <c r="E987" s="107"/>
      <c r="F987" s="108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10"/>
      <c r="V987" s="110"/>
    </row>
    <row r="988" ht="12.75" customHeight="1">
      <c r="A988" s="107"/>
      <c r="B988" s="107"/>
      <c r="C988" s="107"/>
      <c r="D988" s="102"/>
      <c r="E988" s="107"/>
      <c r="F988" s="108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10"/>
      <c r="V988" s="110"/>
    </row>
    <row r="989" ht="12.75" customHeight="1">
      <c r="A989" s="107"/>
      <c r="B989" s="107"/>
      <c r="C989" s="107"/>
      <c r="D989" s="102"/>
      <c r="E989" s="107"/>
      <c r="F989" s="108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10"/>
      <c r="V989" s="110"/>
    </row>
    <row r="990" ht="12.75" customHeight="1">
      <c r="A990" s="107"/>
      <c r="B990" s="107"/>
      <c r="C990" s="107"/>
      <c r="D990" s="102"/>
      <c r="E990" s="107"/>
      <c r="F990" s="108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10"/>
      <c r="V990" s="110"/>
    </row>
    <row r="991" ht="12.75" customHeight="1">
      <c r="A991" s="107"/>
      <c r="B991" s="107"/>
      <c r="C991" s="107"/>
      <c r="D991" s="102"/>
      <c r="E991" s="107"/>
      <c r="F991" s="108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10"/>
      <c r="V991" s="110"/>
    </row>
    <row r="992" ht="12.75" customHeight="1">
      <c r="A992" s="107"/>
      <c r="B992" s="107"/>
      <c r="C992" s="107"/>
      <c r="D992" s="102"/>
      <c r="E992" s="107"/>
      <c r="F992" s="108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10"/>
      <c r="V992" s="110"/>
    </row>
    <row r="993" ht="12.75" customHeight="1">
      <c r="A993" s="107"/>
      <c r="B993" s="107"/>
      <c r="C993" s="107"/>
      <c r="D993" s="102"/>
      <c r="E993" s="107"/>
      <c r="F993" s="108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10"/>
      <c r="V993" s="110"/>
    </row>
    <row r="994" ht="12.75" customHeight="1">
      <c r="A994" s="107"/>
      <c r="B994" s="107"/>
      <c r="C994" s="107"/>
      <c r="D994" s="102"/>
      <c r="E994" s="107"/>
      <c r="F994" s="108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10"/>
      <c r="V994" s="110"/>
    </row>
    <row r="995" ht="12.75" customHeight="1">
      <c r="A995" s="107"/>
      <c r="B995" s="107"/>
      <c r="C995" s="107"/>
      <c r="D995" s="102"/>
      <c r="E995" s="107"/>
      <c r="F995" s="108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10"/>
      <c r="V995" s="110"/>
    </row>
    <row r="996" ht="12.75" customHeight="1">
      <c r="A996" s="107"/>
      <c r="B996" s="107"/>
      <c r="C996" s="107"/>
      <c r="D996" s="102"/>
      <c r="E996" s="107"/>
      <c r="F996" s="108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10"/>
      <c r="V996" s="110"/>
    </row>
    <row r="997" ht="12.75" customHeight="1">
      <c r="A997" s="107"/>
      <c r="B997" s="107"/>
      <c r="C997" s="107"/>
      <c r="D997" s="102"/>
      <c r="E997" s="107"/>
      <c r="F997" s="108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10"/>
      <c r="V997" s="110"/>
    </row>
    <row r="998" ht="12.75" customHeight="1">
      <c r="A998" s="107"/>
      <c r="B998" s="107"/>
      <c r="C998" s="107"/>
      <c r="D998" s="102"/>
      <c r="E998" s="107"/>
      <c r="F998" s="108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10"/>
      <c r="V998" s="110"/>
    </row>
    <row r="999" ht="12.75" customHeight="1">
      <c r="A999" s="107"/>
      <c r="B999" s="107"/>
      <c r="C999" s="107"/>
      <c r="D999" s="102"/>
      <c r="E999" s="107"/>
      <c r="F999" s="108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10"/>
      <c r="V999" s="110"/>
    </row>
    <row r="1000" ht="12.75" customHeight="1">
      <c r="A1000" s="107"/>
      <c r="B1000" s="107"/>
      <c r="C1000" s="107"/>
      <c r="D1000" s="102"/>
      <c r="E1000" s="107"/>
      <c r="F1000" s="108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10"/>
      <c r="V1000" s="110"/>
    </row>
    <row r="1001" ht="12.75" customHeight="1">
      <c r="A1001" s="107"/>
      <c r="B1001" s="107"/>
      <c r="C1001" s="107"/>
      <c r="D1001" s="102"/>
      <c r="E1001" s="107"/>
      <c r="F1001" s="108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10"/>
      <c r="V1001" s="110"/>
    </row>
    <row r="1002" ht="12.75" customHeight="1">
      <c r="A1002" s="107"/>
      <c r="B1002" s="107"/>
      <c r="C1002" s="107"/>
      <c r="D1002" s="102"/>
      <c r="E1002" s="107"/>
      <c r="F1002" s="108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10"/>
      <c r="V1002" s="110"/>
    </row>
    <row r="1003" ht="12.75" customHeight="1">
      <c r="A1003" s="107"/>
      <c r="B1003" s="107"/>
      <c r="C1003" s="107"/>
      <c r="D1003" s="102"/>
      <c r="E1003" s="107"/>
      <c r="F1003" s="108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10"/>
      <c r="V1003" s="110"/>
    </row>
    <row r="1004" ht="12.75" customHeight="1">
      <c r="A1004" s="107"/>
      <c r="B1004" s="107"/>
      <c r="C1004" s="107"/>
      <c r="D1004" s="102"/>
      <c r="E1004" s="107"/>
      <c r="F1004" s="108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10"/>
      <c r="V1004" s="110"/>
    </row>
    <row r="1005" ht="12.75" customHeight="1">
      <c r="A1005" s="107"/>
      <c r="B1005" s="107"/>
      <c r="C1005" s="107"/>
      <c r="D1005" s="102"/>
      <c r="E1005" s="107"/>
      <c r="F1005" s="108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10"/>
      <c r="V1005" s="110"/>
    </row>
    <row r="1006" ht="12.75" customHeight="1">
      <c r="A1006" s="107"/>
      <c r="B1006" s="107"/>
      <c r="C1006" s="107"/>
      <c r="D1006" s="102"/>
      <c r="E1006" s="107"/>
      <c r="F1006" s="108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10"/>
      <c r="V1006" s="110"/>
    </row>
    <row r="1007" ht="12.75" customHeight="1">
      <c r="A1007" s="107"/>
      <c r="B1007" s="107"/>
      <c r="C1007" s="107"/>
      <c r="D1007" s="102"/>
      <c r="E1007" s="107"/>
      <c r="F1007" s="108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10"/>
      <c r="V1007" s="110"/>
    </row>
    <row r="1008" ht="12.75" customHeight="1">
      <c r="A1008" s="107"/>
      <c r="B1008" s="107"/>
      <c r="C1008" s="107"/>
      <c r="D1008" s="102"/>
      <c r="E1008" s="107"/>
      <c r="F1008" s="108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10"/>
      <c r="V1008" s="110"/>
    </row>
    <row r="1009" ht="12.75" customHeight="1">
      <c r="A1009" s="107"/>
      <c r="B1009" s="107"/>
      <c r="C1009" s="107"/>
      <c r="D1009" s="102"/>
      <c r="E1009" s="107"/>
      <c r="F1009" s="108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10"/>
      <c r="V1009" s="110"/>
    </row>
    <row r="1010" ht="12.75" customHeight="1">
      <c r="A1010" s="107"/>
      <c r="B1010" s="107"/>
      <c r="C1010" s="107"/>
      <c r="D1010" s="102"/>
      <c r="E1010" s="107"/>
      <c r="F1010" s="108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10"/>
      <c r="V1010" s="110"/>
    </row>
    <row r="1011" ht="12.75" customHeight="1">
      <c r="A1011" s="107"/>
      <c r="B1011" s="107"/>
      <c r="C1011" s="107"/>
      <c r="D1011" s="102"/>
      <c r="E1011" s="107"/>
      <c r="F1011" s="108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10"/>
      <c r="V1011" s="110"/>
    </row>
    <row r="1012" ht="12.75" customHeight="1">
      <c r="A1012" s="107"/>
      <c r="B1012" s="107"/>
      <c r="C1012" s="107"/>
      <c r="D1012" s="102"/>
      <c r="E1012" s="107"/>
      <c r="F1012" s="108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10"/>
      <c r="V1012" s="110"/>
    </row>
    <row r="1013" ht="12.75" customHeight="1">
      <c r="A1013" s="107"/>
      <c r="B1013" s="107"/>
      <c r="C1013" s="107"/>
      <c r="D1013" s="102"/>
      <c r="E1013" s="107"/>
      <c r="F1013" s="108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10"/>
      <c r="V1013" s="110"/>
    </row>
    <row r="1014" ht="12.75" customHeight="1">
      <c r="A1014" s="107"/>
      <c r="B1014" s="107"/>
      <c r="C1014" s="107"/>
      <c r="D1014" s="102"/>
      <c r="E1014" s="107"/>
      <c r="F1014" s="108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10"/>
      <c r="V1014" s="110"/>
    </row>
    <row r="1015" ht="12.75" customHeight="1">
      <c r="A1015" s="107"/>
      <c r="B1015" s="107"/>
      <c r="C1015" s="107"/>
      <c r="D1015" s="102"/>
      <c r="E1015" s="107"/>
      <c r="F1015" s="108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10"/>
      <c r="V1015" s="110"/>
    </row>
    <row r="1016" ht="12.75" customHeight="1">
      <c r="A1016" s="107"/>
      <c r="B1016" s="107"/>
      <c r="C1016" s="107"/>
      <c r="D1016" s="102"/>
      <c r="E1016" s="107"/>
      <c r="F1016" s="108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10"/>
      <c r="V1016" s="110"/>
    </row>
    <row r="1017" ht="12.75" customHeight="1">
      <c r="A1017" s="107"/>
      <c r="B1017" s="107"/>
      <c r="C1017" s="107"/>
      <c r="D1017" s="102"/>
      <c r="E1017" s="107"/>
      <c r="F1017" s="108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10"/>
      <c r="V1017" s="110"/>
    </row>
    <row r="1018" ht="12.75" customHeight="1">
      <c r="A1018" s="107"/>
      <c r="B1018" s="107"/>
      <c r="C1018" s="107"/>
      <c r="D1018" s="102"/>
      <c r="E1018" s="107"/>
      <c r="F1018" s="108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10"/>
      <c r="V1018" s="110"/>
    </row>
    <row r="1019" ht="12.75" customHeight="1">
      <c r="A1019" s="107"/>
      <c r="B1019" s="107"/>
      <c r="C1019" s="107"/>
      <c r="D1019" s="102"/>
      <c r="E1019" s="107"/>
      <c r="F1019" s="108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10"/>
      <c r="V1019" s="110"/>
    </row>
    <row r="1020" ht="12.75" customHeight="1">
      <c r="A1020" s="107"/>
      <c r="B1020" s="107"/>
      <c r="C1020" s="107"/>
      <c r="D1020" s="102"/>
      <c r="E1020" s="107"/>
      <c r="F1020" s="108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10"/>
      <c r="V1020" s="110"/>
    </row>
    <row r="1021" ht="12.75" customHeight="1">
      <c r="A1021" s="107"/>
      <c r="B1021" s="107"/>
      <c r="C1021" s="107"/>
      <c r="D1021" s="102"/>
      <c r="E1021" s="107"/>
      <c r="F1021" s="108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10"/>
      <c r="V1021" s="110"/>
    </row>
    <row r="1022" ht="12.75" customHeight="1">
      <c r="A1022" s="107"/>
      <c r="B1022" s="107"/>
      <c r="C1022" s="107"/>
      <c r="D1022" s="102"/>
      <c r="E1022" s="107"/>
      <c r="F1022" s="108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10"/>
      <c r="V1022" s="110"/>
    </row>
    <row r="1023" ht="12.75" customHeight="1">
      <c r="A1023" s="107"/>
      <c r="B1023" s="107"/>
      <c r="C1023" s="107"/>
      <c r="D1023" s="102"/>
      <c r="E1023" s="107"/>
      <c r="F1023" s="108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10"/>
      <c r="V1023" s="110"/>
    </row>
    <row r="1024" ht="12.75" customHeight="1">
      <c r="A1024" s="107"/>
      <c r="B1024" s="107"/>
      <c r="C1024" s="107"/>
      <c r="D1024" s="102"/>
      <c r="E1024" s="107"/>
      <c r="F1024" s="108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10"/>
      <c r="V1024" s="110"/>
    </row>
    <row r="1025" ht="12.75" customHeight="1">
      <c r="A1025" s="107"/>
      <c r="B1025" s="107"/>
      <c r="C1025" s="107"/>
      <c r="D1025" s="102"/>
      <c r="E1025" s="107"/>
      <c r="F1025" s="108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10"/>
      <c r="V1025" s="110"/>
    </row>
    <row r="1026" ht="12.75" customHeight="1">
      <c r="A1026" s="107"/>
      <c r="B1026" s="107"/>
      <c r="C1026" s="107"/>
      <c r="D1026" s="102"/>
      <c r="E1026" s="107"/>
      <c r="F1026" s="108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10"/>
      <c r="V1026" s="110"/>
    </row>
    <row r="1027" ht="12.75" customHeight="1">
      <c r="A1027" s="107"/>
      <c r="B1027" s="107"/>
      <c r="C1027" s="107"/>
      <c r="D1027" s="102"/>
      <c r="E1027" s="107"/>
      <c r="F1027" s="108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10"/>
      <c r="V1027" s="110"/>
    </row>
    <row r="1028" ht="12.75" customHeight="1">
      <c r="A1028" s="107"/>
      <c r="B1028" s="107"/>
      <c r="C1028" s="107"/>
      <c r="D1028" s="102"/>
      <c r="E1028" s="107"/>
      <c r="F1028" s="108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10"/>
      <c r="V1028" s="110"/>
    </row>
    <row r="1029" ht="12.75" customHeight="1">
      <c r="A1029" s="107"/>
      <c r="B1029" s="107"/>
      <c r="C1029" s="107"/>
      <c r="D1029" s="102"/>
      <c r="E1029" s="107"/>
      <c r="F1029" s="108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10"/>
      <c r="V1029" s="110"/>
    </row>
    <row r="1030" ht="12.75" customHeight="1">
      <c r="A1030" s="107"/>
      <c r="B1030" s="107"/>
      <c r="C1030" s="107"/>
      <c r="D1030" s="102"/>
      <c r="E1030" s="107"/>
      <c r="F1030" s="108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10"/>
      <c r="V1030" s="110"/>
    </row>
    <row r="1031" ht="12.75" customHeight="1">
      <c r="A1031" s="107"/>
      <c r="B1031" s="107"/>
      <c r="C1031" s="107"/>
      <c r="D1031" s="102"/>
      <c r="E1031" s="107"/>
      <c r="F1031" s="108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10"/>
      <c r="V1031" s="110"/>
    </row>
    <row r="1032" ht="12.75" customHeight="1">
      <c r="A1032" s="107"/>
      <c r="B1032" s="107"/>
      <c r="C1032" s="107"/>
      <c r="D1032" s="102"/>
      <c r="E1032" s="107"/>
      <c r="F1032" s="108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10"/>
      <c r="V1032" s="110"/>
    </row>
    <row r="1033" ht="12.75" customHeight="1">
      <c r="A1033" s="107"/>
      <c r="B1033" s="107"/>
      <c r="C1033" s="107"/>
      <c r="D1033" s="102"/>
      <c r="E1033" s="107"/>
      <c r="F1033" s="108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10"/>
      <c r="V1033" s="110"/>
    </row>
    <row r="1034" ht="12.75" customHeight="1">
      <c r="A1034" s="107"/>
      <c r="B1034" s="107"/>
      <c r="C1034" s="107"/>
      <c r="D1034" s="102"/>
      <c r="E1034" s="107"/>
      <c r="F1034" s="108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10"/>
      <c r="V1034" s="110"/>
    </row>
    <row r="1035" ht="12.75" customHeight="1">
      <c r="A1035" s="107"/>
      <c r="B1035" s="107"/>
      <c r="C1035" s="107"/>
      <c r="D1035" s="102"/>
      <c r="E1035" s="107"/>
      <c r="F1035" s="108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10"/>
      <c r="V1035" s="110"/>
    </row>
    <row r="1036" ht="12.75" customHeight="1">
      <c r="A1036" s="107"/>
      <c r="B1036" s="107"/>
      <c r="C1036" s="107"/>
      <c r="D1036" s="102"/>
      <c r="E1036" s="107"/>
      <c r="F1036" s="108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10"/>
      <c r="V1036" s="110"/>
    </row>
    <row r="1037" ht="12.75" customHeight="1">
      <c r="A1037" s="107"/>
      <c r="B1037" s="107"/>
      <c r="C1037" s="107"/>
      <c r="D1037" s="102"/>
      <c r="E1037" s="107"/>
      <c r="F1037" s="108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10"/>
      <c r="V1037" s="110"/>
    </row>
    <row r="1038" ht="12.75" customHeight="1">
      <c r="A1038" s="107"/>
      <c r="B1038" s="107"/>
      <c r="C1038" s="107"/>
      <c r="D1038" s="102"/>
      <c r="E1038" s="107"/>
      <c r="F1038" s="108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10"/>
      <c r="V1038" s="110"/>
    </row>
    <row r="1039" ht="12.75" customHeight="1">
      <c r="A1039" s="107"/>
      <c r="B1039" s="107"/>
      <c r="C1039" s="107"/>
      <c r="D1039" s="102"/>
      <c r="E1039" s="107"/>
      <c r="F1039" s="108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10"/>
      <c r="V1039" s="110"/>
    </row>
    <row r="1040" ht="12.75" customHeight="1">
      <c r="A1040" s="107"/>
      <c r="B1040" s="107"/>
      <c r="C1040" s="107"/>
      <c r="D1040" s="102"/>
      <c r="E1040" s="107"/>
      <c r="F1040" s="108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10"/>
      <c r="V1040" s="110"/>
    </row>
    <row r="1041" ht="12.75" customHeight="1">
      <c r="A1041" s="107"/>
      <c r="B1041" s="107"/>
      <c r="C1041" s="107"/>
      <c r="D1041" s="102"/>
      <c r="E1041" s="107"/>
      <c r="F1041" s="108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10"/>
      <c r="V1041" s="110"/>
    </row>
    <row r="1042" ht="12.75" customHeight="1">
      <c r="A1042" s="107"/>
      <c r="B1042" s="107"/>
      <c r="C1042" s="107"/>
      <c r="D1042" s="102"/>
      <c r="E1042" s="107"/>
      <c r="F1042" s="108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10"/>
      <c r="V1042" s="110"/>
    </row>
    <row r="1043" ht="12.75" customHeight="1">
      <c r="A1043" s="107"/>
      <c r="B1043" s="107"/>
      <c r="C1043" s="107"/>
      <c r="D1043" s="102"/>
      <c r="E1043" s="107"/>
      <c r="F1043" s="108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10"/>
      <c r="V1043" s="110"/>
    </row>
    <row r="1044" ht="12.75" customHeight="1">
      <c r="A1044" s="107"/>
      <c r="B1044" s="107"/>
      <c r="C1044" s="107"/>
      <c r="D1044" s="102"/>
      <c r="E1044" s="107"/>
      <c r="F1044" s="108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10"/>
      <c r="V1044" s="110"/>
    </row>
    <row r="1045" ht="12.75" customHeight="1">
      <c r="A1045" s="107"/>
      <c r="B1045" s="107"/>
      <c r="C1045" s="107"/>
      <c r="D1045" s="102"/>
      <c r="E1045" s="107"/>
      <c r="F1045" s="108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10"/>
      <c r="V1045" s="110"/>
    </row>
    <row r="1046" ht="12.75" customHeight="1">
      <c r="A1046" s="107"/>
      <c r="B1046" s="107"/>
      <c r="C1046" s="107"/>
      <c r="D1046" s="102"/>
      <c r="E1046" s="107"/>
      <c r="F1046" s="108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10"/>
      <c r="V1046" s="110"/>
    </row>
    <row r="1047" ht="12.75" customHeight="1">
      <c r="A1047" s="107"/>
      <c r="B1047" s="107"/>
      <c r="C1047" s="107"/>
      <c r="D1047" s="102"/>
      <c r="E1047" s="107"/>
      <c r="F1047" s="108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10"/>
      <c r="V1047" s="110"/>
    </row>
    <row r="1048" ht="12.75" customHeight="1">
      <c r="A1048" s="107"/>
      <c r="B1048" s="107"/>
      <c r="C1048" s="107"/>
      <c r="D1048" s="102"/>
      <c r="E1048" s="107"/>
      <c r="F1048" s="108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10"/>
      <c r="V1048" s="110"/>
    </row>
    <row r="1049" ht="12.75" customHeight="1">
      <c r="A1049" s="107"/>
      <c r="B1049" s="107"/>
      <c r="C1049" s="107"/>
      <c r="D1049" s="102"/>
      <c r="E1049" s="107"/>
      <c r="F1049" s="108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10"/>
      <c r="V1049" s="110"/>
    </row>
    <row r="1050" ht="12.75" customHeight="1">
      <c r="A1050" s="107"/>
      <c r="B1050" s="107"/>
      <c r="C1050" s="107"/>
      <c r="D1050" s="102"/>
      <c r="E1050" s="107"/>
      <c r="F1050" s="108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10"/>
      <c r="V1050" s="110"/>
    </row>
    <row r="1051" ht="12.75" customHeight="1">
      <c r="A1051" s="107"/>
      <c r="B1051" s="107"/>
      <c r="C1051" s="107"/>
      <c r="D1051" s="102"/>
      <c r="E1051" s="107"/>
      <c r="F1051" s="108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10"/>
      <c r="V1051" s="110"/>
    </row>
    <row r="1052" ht="12.75" customHeight="1">
      <c r="A1052" s="107"/>
      <c r="B1052" s="107"/>
      <c r="C1052" s="107"/>
      <c r="D1052" s="102"/>
      <c r="E1052" s="107"/>
      <c r="F1052" s="108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10"/>
      <c r="V1052" s="110"/>
    </row>
    <row r="1053" ht="12.75" customHeight="1">
      <c r="A1053" s="107"/>
      <c r="B1053" s="107"/>
      <c r="C1053" s="107"/>
      <c r="D1053" s="102"/>
      <c r="E1053" s="107"/>
      <c r="F1053" s="108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10"/>
      <c r="V1053" s="110"/>
    </row>
    <row r="1054" ht="12.75" customHeight="1">
      <c r="A1054" s="107"/>
      <c r="B1054" s="107"/>
      <c r="C1054" s="107"/>
      <c r="D1054" s="102"/>
      <c r="E1054" s="107"/>
      <c r="F1054" s="108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10"/>
      <c r="V1054" s="110"/>
    </row>
    <row r="1055" ht="12.75" customHeight="1">
      <c r="A1055" s="107"/>
      <c r="B1055" s="107"/>
      <c r="C1055" s="107"/>
      <c r="D1055" s="102"/>
      <c r="E1055" s="107"/>
      <c r="F1055" s="108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10"/>
      <c r="V1055" s="110"/>
    </row>
    <row r="1056" ht="12.75" customHeight="1">
      <c r="A1056" s="107"/>
      <c r="B1056" s="107"/>
      <c r="C1056" s="107"/>
      <c r="D1056" s="102"/>
      <c r="E1056" s="107"/>
      <c r="F1056" s="108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10"/>
      <c r="V1056" s="110"/>
    </row>
    <row r="1057" ht="12.75" customHeight="1">
      <c r="A1057" s="107"/>
      <c r="B1057" s="107"/>
      <c r="C1057" s="107"/>
      <c r="D1057" s="102"/>
      <c r="E1057" s="107"/>
      <c r="F1057" s="108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10"/>
      <c r="V1057" s="110"/>
    </row>
    <row r="1058" ht="12.75" customHeight="1">
      <c r="A1058" s="107"/>
      <c r="B1058" s="107"/>
      <c r="C1058" s="107"/>
      <c r="D1058" s="102"/>
      <c r="E1058" s="107"/>
      <c r="F1058" s="108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10"/>
      <c r="V1058" s="110"/>
    </row>
    <row r="1059" ht="12.75" customHeight="1">
      <c r="A1059" s="107"/>
      <c r="B1059" s="107"/>
      <c r="C1059" s="107"/>
      <c r="D1059" s="102"/>
      <c r="E1059" s="107"/>
      <c r="F1059" s="108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10"/>
      <c r="V1059" s="110"/>
    </row>
    <row r="1060" ht="12.75" customHeight="1">
      <c r="A1060" s="107"/>
      <c r="B1060" s="107"/>
      <c r="C1060" s="107"/>
      <c r="D1060" s="102"/>
      <c r="E1060" s="107"/>
      <c r="F1060" s="108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10"/>
      <c r="V1060" s="110"/>
    </row>
    <row r="1061" ht="12.75" customHeight="1">
      <c r="A1061" s="107"/>
      <c r="B1061" s="107"/>
      <c r="C1061" s="107"/>
      <c r="D1061" s="102"/>
      <c r="E1061" s="107"/>
      <c r="F1061" s="108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10"/>
      <c r="V1061" s="110"/>
    </row>
    <row r="1062" ht="12.75" customHeight="1">
      <c r="A1062" s="107"/>
      <c r="B1062" s="107"/>
      <c r="C1062" s="107"/>
      <c r="D1062" s="102"/>
      <c r="E1062" s="107"/>
      <c r="F1062" s="108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10"/>
      <c r="V1062" s="110"/>
    </row>
    <row r="1063" ht="12.75" customHeight="1">
      <c r="A1063" s="107"/>
      <c r="B1063" s="107"/>
      <c r="C1063" s="107"/>
      <c r="D1063" s="102"/>
      <c r="E1063" s="107"/>
      <c r="F1063" s="108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10"/>
      <c r="V1063" s="110"/>
    </row>
    <row r="1064" ht="12.75" customHeight="1">
      <c r="A1064" s="107"/>
      <c r="B1064" s="107"/>
      <c r="C1064" s="107"/>
      <c r="D1064" s="102"/>
      <c r="E1064" s="107"/>
      <c r="F1064" s="108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10"/>
      <c r="V1064" s="110"/>
    </row>
    <row r="1065" ht="12.75" customHeight="1">
      <c r="A1065" s="107"/>
      <c r="B1065" s="107"/>
      <c r="C1065" s="107"/>
      <c r="D1065" s="102"/>
      <c r="E1065" s="107"/>
      <c r="F1065" s="108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10"/>
      <c r="V1065" s="110"/>
    </row>
    <row r="1066" ht="12.75" customHeight="1">
      <c r="A1066" s="107"/>
      <c r="B1066" s="107"/>
      <c r="C1066" s="107"/>
      <c r="D1066" s="102"/>
      <c r="E1066" s="107"/>
      <c r="F1066" s="108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10"/>
      <c r="V1066" s="110"/>
    </row>
    <row r="1067" ht="12.75" customHeight="1">
      <c r="A1067" s="107"/>
      <c r="B1067" s="107"/>
      <c r="C1067" s="107"/>
      <c r="D1067" s="102"/>
      <c r="E1067" s="107"/>
      <c r="F1067" s="108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10"/>
      <c r="V1067" s="110"/>
    </row>
    <row r="1068" ht="12.75" customHeight="1">
      <c r="A1068" s="107"/>
      <c r="B1068" s="107"/>
      <c r="C1068" s="107"/>
      <c r="D1068" s="102"/>
      <c r="E1068" s="107"/>
      <c r="F1068" s="108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10"/>
      <c r="V1068" s="110"/>
    </row>
    <row r="1069" ht="12.75" customHeight="1">
      <c r="A1069" s="107"/>
      <c r="B1069" s="107"/>
      <c r="C1069" s="107"/>
      <c r="D1069" s="102"/>
      <c r="E1069" s="107"/>
      <c r="F1069" s="108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10"/>
      <c r="V1069" s="110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3531</v>
      </c>
      <c r="D2" s="117"/>
      <c r="E2" s="116">
        <f t="shared" ref="E2:R2" si="1">SUM(E5,E11)</f>
        <v>3531</v>
      </c>
      <c r="F2" s="116">
        <f t="shared" si="1"/>
        <v>5</v>
      </c>
      <c r="G2" s="118">
        <f t="shared" si="1"/>
        <v>2</v>
      </c>
      <c r="H2" s="118">
        <f t="shared" si="1"/>
        <v>2</v>
      </c>
      <c r="I2" s="118">
        <f t="shared" si="1"/>
        <v>0</v>
      </c>
      <c r="J2" s="118">
        <f t="shared" si="1"/>
        <v>0</v>
      </c>
      <c r="K2" s="118">
        <f t="shared" si="1"/>
        <v>0</v>
      </c>
      <c r="L2" s="118">
        <f t="shared" si="1"/>
        <v>0</v>
      </c>
      <c r="M2" s="118">
        <f t="shared" si="1"/>
        <v>12</v>
      </c>
      <c r="N2" s="118">
        <f t="shared" si="1"/>
        <v>2</v>
      </c>
      <c r="O2" s="118">
        <f t="shared" si="1"/>
        <v>2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33</v>
      </c>
      <c r="D4" s="120"/>
      <c r="E4" s="50">
        <f>IFERROR(C2/H2,0)</f>
        <v>1765.5</v>
      </c>
      <c r="F4" s="51">
        <f>IFERROR((G2+R2)/F2,0)</f>
        <v>0.4</v>
      </c>
      <c r="G4" s="51">
        <f>IFERROR(H2/G2,0)</f>
        <v>1</v>
      </c>
      <c r="H4" s="50">
        <f>(C2/C4)</f>
        <v>107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6</v>
      </c>
      <c r="N4" s="46"/>
      <c r="O4" s="51">
        <f>IFERROR(O2/N2,0)</f>
        <v>1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3531</v>
      </c>
      <c r="D5" s="125"/>
      <c r="E5" s="126">
        <f>SUMIFS(T:T,A:A,B5,D:D,"Y")</f>
        <v>3531</v>
      </c>
      <c r="F5" s="116">
        <f>SUMIF(A:A,B5,G:G)</f>
        <v>5</v>
      </c>
      <c r="G5" s="118">
        <f>SUMIF(A:A,B5,H:H)</f>
        <v>2</v>
      </c>
      <c r="H5" s="118">
        <f>SUMIF(A:A,B5,I:I)</f>
        <v>2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12</v>
      </c>
      <c r="N5" s="118">
        <f>SUMIF(A:A,B5,N:N)</f>
        <v>2</v>
      </c>
      <c r="O5" s="118">
        <f>SUMIF(A:A,B5,O:O)</f>
        <v>2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1765.5</v>
      </c>
      <c r="F7" s="51">
        <f>IFERROR((G5+R5)/F5,0)</f>
        <v>0.4</v>
      </c>
      <c r="G7" s="51">
        <f>IFERROR(H5/G5,0)</f>
        <v>1</v>
      </c>
      <c r="H7" s="50">
        <f>(C5/C7)</f>
        <v>220.6875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6</v>
      </c>
      <c r="N7" s="46"/>
      <c r="O7" s="51">
        <f>IFERROR(O5/N5,0)</f>
        <v>1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3531</v>
      </c>
      <c r="D8" s="36"/>
      <c r="E8" s="37">
        <f>SUMIFS(T:T,B:B,B8,D:D,"Y")</f>
        <v>3531</v>
      </c>
      <c r="F8" s="38">
        <f>SUMIF(B19:B1129,B8,G19:G1129)</f>
        <v>5</v>
      </c>
      <c r="G8" s="39">
        <f>SUMIF(B19:B1129,B8,H19:H1129)</f>
        <v>2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12</v>
      </c>
      <c r="N8" s="39">
        <f>SUMIF(B19:B1129,B8,N19:N1129)</f>
        <v>2</v>
      </c>
      <c r="O8" s="38">
        <f>SUMIF(B19:B1129,B8,O19:O1129)</f>
        <v>2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1765.5</v>
      </c>
      <c r="F10" s="51">
        <f>IFERROR((G8+R8)/F8,0)</f>
        <v>0.4</v>
      </c>
      <c r="G10" s="51">
        <f>IFERROR(H8/G8,0)</f>
        <v>1</v>
      </c>
      <c r="H10" s="50">
        <f>(C8/C10)</f>
        <v>235.4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6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5" si="2">IFERROR(I20/H20,0)</f>
        <v>0</v>
      </c>
      <c r="V20" s="131">
        <f t="shared" ref="V20:V35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0.0</v>
      </c>
      <c r="H21" s="136">
        <v>0.0</v>
      </c>
      <c r="I21" s="136">
        <v>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0.0</v>
      </c>
      <c r="P21" s="136">
        <v>0.0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0.0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1.0</v>
      </c>
      <c r="H23" s="136">
        <v>0.0</v>
      </c>
      <c r="I23" s="136">
        <v>0.0</v>
      </c>
      <c r="J23" s="136">
        <v>0.0</v>
      </c>
      <c r="K23" s="136">
        <v>0.0</v>
      </c>
      <c r="L23" s="136">
        <v>0.0</v>
      </c>
      <c r="M23" s="136">
        <v>2.0</v>
      </c>
      <c r="N23" s="136">
        <v>0.0</v>
      </c>
      <c r="O23" s="136">
        <v>0.0</v>
      </c>
      <c r="P23" s="136">
        <v>0.0</v>
      </c>
      <c r="Q23" s="136">
        <v>0.0</v>
      </c>
      <c r="R23" s="136">
        <v>0.0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3" t="s">
        <v>26</v>
      </c>
      <c r="B24" s="144" t="s">
        <v>27</v>
      </c>
      <c r="C24" s="145" t="s">
        <v>51</v>
      </c>
      <c r="D24" s="146" t="s">
        <v>46</v>
      </c>
      <c r="E24" s="144" t="s">
        <v>47</v>
      </c>
      <c r="F24" s="145" t="s">
        <v>51</v>
      </c>
      <c r="G24" s="136">
        <v>0.0</v>
      </c>
      <c r="H24" s="136">
        <v>0.0</v>
      </c>
      <c r="I24" s="136">
        <v>0.0</v>
      </c>
      <c r="J24" s="136">
        <v>0.0</v>
      </c>
      <c r="K24" s="136">
        <v>0.0</v>
      </c>
      <c r="L24" s="136">
        <v>0.0</v>
      </c>
      <c r="M24" s="136">
        <v>0.0</v>
      </c>
      <c r="N24" s="136">
        <v>0.0</v>
      </c>
      <c r="O24" s="136">
        <v>0.0</v>
      </c>
      <c r="P24" s="136">
        <v>0.0</v>
      </c>
      <c r="Q24" s="136">
        <v>0.0</v>
      </c>
      <c r="R24" s="136">
        <v>0.0</v>
      </c>
      <c r="S24" s="136">
        <v>0.0</v>
      </c>
      <c r="T24" s="136">
        <v>0.0</v>
      </c>
      <c r="U24" s="131">
        <f t="shared" si="2"/>
        <v>0</v>
      </c>
      <c r="V24" s="131">
        <f t="shared" si="3"/>
        <v>0</v>
      </c>
    </row>
    <row r="25" ht="12.75" customHeight="1">
      <c r="A25" s="147" t="s">
        <v>26</v>
      </c>
      <c r="B25" s="148" t="s">
        <v>27</v>
      </c>
      <c r="C25" s="149" t="s">
        <v>51</v>
      </c>
      <c r="D25" s="84"/>
      <c r="E25" s="148" t="s">
        <v>47</v>
      </c>
      <c r="F25" s="149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31">
        <f t="shared" si="2"/>
        <v>0</v>
      </c>
      <c r="V25" s="131">
        <f t="shared" si="3"/>
        <v>0</v>
      </c>
    </row>
    <row r="26" ht="12.75" customHeight="1">
      <c r="A26" s="147" t="s">
        <v>26</v>
      </c>
      <c r="B26" s="148" t="s">
        <v>27</v>
      </c>
      <c r="C26" s="149" t="s">
        <v>51</v>
      </c>
      <c r="D26" s="84"/>
      <c r="E26" s="148" t="s">
        <v>47</v>
      </c>
      <c r="F26" s="149" t="s">
        <v>53</v>
      </c>
      <c r="G26" s="136">
        <v>0.0</v>
      </c>
      <c r="H26" s="136">
        <v>0.0</v>
      </c>
      <c r="I26" s="136">
        <v>0.0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6">
        <v>0.0</v>
      </c>
      <c r="T26" s="136">
        <v>0.0</v>
      </c>
      <c r="U26" s="153">
        <v>0.0</v>
      </c>
      <c r="V26" s="131">
        <f t="shared" si="3"/>
        <v>0</v>
      </c>
    </row>
    <row r="27" ht="12.75" customHeight="1">
      <c r="A27" s="147" t="s">
        <v>26</v>
      </c>
      <c r="B27" s="148" t="s">
        <v>27</v>
      </c>
      <c r="C27" s="149" t="s">
        <v>51</v>
      </c>
      <c r="D27" s="84"/>
      <c r="E27" s="148" t="s">
        <v>47</v>
      </c>
      <c r="F27" s="149" t="s">
        <v>54</v>
      </c>
      <c r="G27" s="136">
        <v>0.0</v>
      </c>
      <c r="H27" s="136">
        <v>0.0</v>
      </c>
      <c r="I27" s="136">
        <v>0.0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6">
        <v>0.0</v>
      </c>
      <c r="T27" s="136">
        <v>0.0</v>
      </c>
      <c r="U27" s="131">
        <f t="shared" ref="U27:U35" si="4">IFERROR(I27/H27,0)</f>
        <v>0</v>
      </c>
      <c r="V27" s="131">
        <f t="shared" si="3"/>
        <v>0</v>
      </c>
    </row>
    <row r="28" ht="12.75" customHeight="1">
      <c r="A28" s="137" t="s">
        <v>26</v>
      </c>
      <c r="B28" s="138" t="s">
        <v>27</v>
      </c>
      <c r="C28" s="150" t="s">
        <v>55</v>
      </c>
      <c r="D28" s="151" t="s">
        <v>46</v>
      </c>
      <c r="E28" s="152" t="s">
        <v>47</v>
      </c>
      <c r="F28" s="150" t="s">
        <v>55</v>
      </c>
      <c r="G28" s="136">
        <v>4.0</v>
      </c>
      <c r="H28" s="136">
        <v>2.0</v>
      </c>
      <c r="I28" s="136">
        <v>2.0</v>
      </c>
      <c r="J28" s="136">
        <v>0.0</v>
      </c>
      <c r="K28" s="136">
        <v>0.0</v>
      </c>
      <c r="L28" s="136">
        <v>0.0</v>
      </c>
      <c r="M28" s="136">
        <v>10.0</v>
      </c>
      <c r="N28" s="136">
        <v>2.0</v>
      </c>
      <c r="O28" s="136">
        <v>2.0</v>
      </c>
      <c r="P28" s="136">
        <v>0.0</v>
      </c>
      <c r="Q28" s="136">
        <v>0.0</v>
      </c>
      <c r="R28" s="136">
        <v>0.0</v>
      </c>
      <c r="S28" s="136">
        <v>0.0</v>
      </c>
      <c r="T28" s="136">
        <v>3531.0</v>
      </c>
      <c r="U28" s="131">
        <f t="shared" si="4"/>
        <v>1</v>
      </c>
      <c r="V28" s="131">
        <f t="shared" si="3"/>
        <v>0.5</v>
      </c>
    </row>
    <row r="29" ht="12.75" customHeight="1">
      <c r="A29" s="140" t="s">
        <v>26</v>
      </c>
      <c r="B29" s="141" t="s">
        <v>27</v>
      </c>
      <c r="C29" s="141" t="s">
        <v>55</v>
      </c>
      <c r="D29" s="75"/>
      <c r="E29" s="141" t="s">
        <v>47</v>
      </c>
      <c r="F29" s="63" t="s">
        <v>56</v>
      </c>
      <c r="G29" s="136">
        <v>0.0</v>
      </c>
      <c r="H29" s="136">
        <v>0.0</v>
      </c>
      <c r="I29" s="136">
        <v>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6">
        <v>0.0</v>
      </c>
      <c r="T29" s="136">
        <v>0.0</v>
      </c>
      <c r="U29" s="131">
        <f t="shared" si="4"/>
        <v>0</v>
      </c>
      <c r="V29" s="131">
        <f t="shared" si="3"/>
        <v>0</v>
      </c>
    </row>
    <row r="30" ht="12.75" customHeight="1">
      <c r="A30" s="140" t="s">
        <v>26</v>
      </c>
      <c r="B30" s="141" t="s">
        <v>27</v>
      </c>
      <c r="C30" s="141" t="s">
        <v>55</v>
      </c>
      <c r="D30" s="75"/>
      <c r="E30" s="142"/>
      <c r="F30" s="63" t="s">
        <v>57</v>
      </c>
      <c r="G30" s="136">
        <v>0.0</v>
      </c>
      <c r="H30" s="136">
        <v>0.0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4"/>
        <v>0</v>
      </c>
      <c r="V30" s="131">
        <f t="shared" si="3"/>
        <v>0</v>
      </c>
    </row>
    <row r="31" ht="12.75" customHeight="1">
      <c r="A31" s="140" t="s">
        <v>26</v>
      </c>
      <c r="B31" s="141" t="s">
        <v>27</v>
      </c>
      <c r="C31" s="141" t="s">
        <v>55</v>
      </c>
      <c r="D31" s="75"/>
      <c r="E31" s="142"/>
      <c r="F31" s="63" t="s">
        <v>58</v>
      </c>
      <c r="G31" s="136">
        <v>0.0</v>
      </c>
      <c r="H31" s="136">
        <v>0.0</v>
      </c>
      <c r="I31" s="136">
        <v>0.0</v>
      </c>
      <c r="J31" s="136">
        <v>0.0</v>
      </c>
      <c r="K31" s="136">
        <v>0.0</v>
      </c>
      <c r="L31" s="136">
        <v>0.0</v>
      </c>
      <c r="M31" s="136">
        <v>0.0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0.0</v>
      </c>
      <c r="U31" s="131">
        <f t="shared" si="4"/>
        <v>0</v>
      </c>
      <c r="V31" s="131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55</v>
      </c>
      <c r="D32" s="129"/>
      <c r="E32" s="142"/>
      <c r="F32" s="63" t="s">
        <v>59</v>
      </c>
      <c r="G32" s="136">
        <v>0.0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si="4"/>
        <v>0</v>
      </c>
      <c r="V32" s="131">
        <f t="shared" si="3"/>
        <v>0</v>
      </c>
    </row>
    <row r="33" ht="12.75" customHeight="1">
      <c r="A33" s="143" t="s">
        <v>26</v>
      </c>
      <c r="B33" s="144" t="s">
        <v>27</v>
      </c>
      <c r="C33" s="154" t="s">
        <v>60</v>
      </c>
      <c r="D33" s="146" t="s">
        <v>46</v>
      </c>
      <c r="E33" s="157"/>
      <c r="F33" s="154" t="s">
        <v>60</v>
      </c>
      <c r="G33" s="136">
        <v>0.0</v>
      </c>
      <c r="H33" s="136">
        <v>0.0</v>
      </c>
      <c r="I33" s="136">
        <v>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6">
        <v>0.0</v>
      </c>
      <c r="T33" s="136">
        <v>0.0</v>
      </c>
      <c r="U33" s="131">
        <f t="shared" si="4"/>
        <v>0</v>
      </c>
      <c r="V33" s="131">
        <f t="shared" si="3"/>
        <v>0</v>
      </c>
    </row>
    <row r="34" ht="12.75" customHeight="1">
      <c r="A34" s="147" t="s">
        <v>26</v>
      </c>
      <c r="B34" s="148" t="s">
        <v>27</v>
      </c>
      <c r="C34" s="156" t="s">
        <v>60</v>
      </c>
      <c r="D34" s="84"/>
      <c r="E34" s="157"/>
      <c r="F34" s="156" t="s">
        <v>61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3"/>
        <v>0</v>
      </c>
    </row>
    <row r="35" ht="12.75" customHeight="1">
      <c r="A35" s="147" t="s">
        <v>26</v>
      </c>
      <c r="B35" s="148" t="s">
        <v>27</v>
      </c>
      <c r="C35" s="156" t="s">
        <v>60</v>
      </c>
      <c r="D35" s="84"/>
      <c r="E35" s="157"/>
      <c r="F35" s="156" t="s">
        <v>62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28" t="s">
        <v>28</v>
      </c>
      <c r="B37" s="129"/>
      <c r="C37" s="129"/>
      <c r="D37" s="158" t="s">
        <v>46</v>
      </c>
      <c r="E37" s="128" t="s">
        <v>47</v>
      </c>
      <c r="F37" s="128" t="s">
        <v>28</v>
      </c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>
        <f t="shared" ref="U37:U53" si="5">IFERROR(I37/H37,0)</f>
        <v>0</v>
      </c>
      <c r="V37" s="131">
        <f t="shared" ref="V37:V53" si="6">IFERROR(SUM(H37+L37)/G37,0)</f>
        <v>0</v>
      </c>
    </row>
    <row r="38" ht="12.75" customHeight="1">
      <c r="A38" s="132" t="s">
        <v>28</v>
      </c>
      <c r="B38" s="124" t="s">
        <v>29</v>
      </c>
      <c r="C38" s="159"/>
      <c r="D38" s="160" t="s">
        <v>46</v>
      </c>
      <c r="E38" s="135" t="s">
        <v>47</v>
      </c>
      <c r="F38" s="124" t="s">
        <v>29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si="5"/>
        <v>0</v>
      </c>
      <c r="V38" s="131">
        <f t="shared" si="6"/>
        <v>0</v>
      </c>
    </row>
    <row r="39" ht="12.75" customHeight="1">
      <c r="A39" s="143" t="s">
        <v>28</v>
      </c>
      <c r="B39" s="144" t="s">
        <v>29</v>
      </c>
      <c r="C39" s="145" t="s">
        <v>63</v>
      </c>
      <c r="D39" s="146" t="s">
        <v>46</v>
      </c>
      <c r="E39" s="144" t="s">
        <v>47</v>
      </c>
      <c r="F39" s="145" t="s">
        <v>63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5"/>
        <v>0</v>
      </c>
      <c r="V39" s="131">
        <f t="shared" si="6"/>
        <v>0</v>
      </c>
    </row>
    <row r="40" ht="12.75" customHeight="1">
      <c r="A40" s="147" t="s">
        <v>28</v>
      </c>
      <c r="B40" s="148" t="s">
        <v>29</v>
      </c>
      <c r="C40" s="147" t="s">
        <v>63</v>
      </c>
      <c r="D40" s="157"/>
      <c r="E40" s="148" t="s">
        <v>47</v>
      </c>
      <c r="F40" s="147" t="s">
        <v>64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5"/>
        <v>0</v>
      </c>
      <c r="V40" s="131">
        <f t="shared" si="6"/>
        <v>0</v>
      </c>
    </row>
    <row r="41" ht="12.75" customHeight="1">
      <c r="A41" s="147" t="s">
        <v>28</v>
      </c>
      <c r="B41" s="148" t="s">
        <v>29</v>
      </c>
      <c r="C41" s="147" t="s">
        <v>63</v>
      </c>
      <c r="D41" s="84"/>
      <c r="E41" s="161" t="s">
        <v>47</v>
      </c>
      <c r="F41" s="149" t="s">
        <v>65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5"/>
        <v>0</v>
      </c>
      <c r="V41" s="131">
        <f t="shared" si="6"/>
        <v>0</v>
      </c>
    </row>
    <row r="42" ht="12.75" customHeight="1">
      <c r="A42" s="147" t="s">
        <v>28</v>
      </c>
      <c r="B42" s="148" t="s">
        <v>29</v>
      </c>
      <c r="C42" s="147" t="s">
        <v>63</v>
      </c>
      <c r="D42" s="84"/>
      <c r="E42" s="161" t="s">
        <v>47</v>
      </c>
      <c r="F42" s="149" t="s">
        <v>66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5"/>
        <v>0</v>
      </c>
      <c r="V42" s="131">
        <f t="shared" si="6"/>
        <v>0</v>
      </c>
    </row>
    <row r="43" ht="12.75" customHeight="1">
      <c r="A43" s="147" t="s">
        <v>28</v>
      </c>
      <c r="B43" s="148" t="s">
        <v>29</v>
      </c>
      <c r="C43" s="147" t="s">
        <v>63</v>
      </c>
      <c r="D43" s="84"/>
      <c r="E43" s="161" t="s">
        <v>47</v>
      </c>
      <c r="F43" s="149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5"/>
        <v>0</v>
      </c>
      <c r="V43" s="131">
        <f t="shared" si="6"/>
        <v>0</v>
      </c>
    </row>
    <row r="44" ht="12.75" customHeight="1">
      <c r="A44" s="147" t="s">
        <v>28</v>
      </c>
      <c r="B44" s="148" t="s">
        <v>29</v>
      </c>
      <c r="C44" s="147" t="s">
        <v>63</v>
      </c>
      <c r="D44" s="84"/>
      <c r="E44" s="161" t="s">
        <v>47</v>
      </c>
      <c r="F44" s="149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5"/>
        <v>0</v>
      </c>
      <c r="V44" s="131">
        <f t="shared" si="6"/>
        <v>0</v>
      </c>
    </row>
    <row r="45" ht="12.75" customHeight="1">
      <c r="A45" s="147" t="s">
        <v>28</v>
      </c>
      <c r="B45" s="148" t="s">
        <v>29</v>
      </c>
      <c r="C45" s="147" t="s">
        <v>63</v>
      </c>
      <c r="D45" s="84"/>
      <c r="E45" s="148" t="s">
        <v>47</v>
      </c>
      <c r="F45" s="149" t="s">
        <v>69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5"/>
        <v>0</v>
      </c>
      <c r="V45" s="131">
        <f t="shared" si="6"/>
        <v>0</v>
      </c>
    </row>
    <row r="46" ht="12.75" customHeight="1">
      <c r="A46" s="147" t="s">
        <v>28</v>
      </c>
      <c r="B46" s="148" t="s">
        <v>29</v>
      </c>
      <c r="C46" s="147" t="s">
        <v>63</v>
      </c>
      <c r="D46" s="84"/>
      <c r="E46" s="148" t="s">
        <v>47</v>
      </c>
      <c r="F46" s="149" t="s">
        <v>70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5"/>
        <v>0</v>
      </c>
      <c r="V46" s="131">
        <f t="shared" si="6"/>
        <v>0</v>
      </c>
    </row>
    <row r="47" ht="12.75" customHeight="1">
      <c r="A47" s="147" t="s">
        <v>28</v>
      </c>
      <c r="B47" s="148" t="s">
        <v>29</v>
      </c>
      <c r="C47" s="147" t="s">
        <v>63</v>
      </c>
      <c r="D47" s="162"/>
      <c r="E47" s="148" t="s">
        <v>47</v>
      </c>
      <c r="F47" s="156" t="s">
        <v>71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5"/>
        <v>0</v>
      </c>
      <c r="V47" s="131">
        <f t="shared" si="6"/>
        <v>0</v>
      </c>
    </row>
    <row r="48" ht="12.75" customHeight="1">
      <c r="A48" s="147" t="s">
        <v>28</v>
      </c>
      <c r="B48" s="148" t="s">
        <v>29</v>
      </c>
      <c r="C48" s="147" t="s">
        <v>63</v>
      </c>
      <c r="D48" s="162"/>
      <c r="E48" s="148" t="s">
        <v>47</v>
      </c>
      <c r="F48" s="156" t="s">
        <v>72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5"/>
        <v>0</v>
      </c>
      <c r="V48" s="131">
        <f t="shared" si="6"/>
        <v>0</v>
      </c>
    </row>
    <row r="49" ht="12.75" customHeight="1">
      <c r="A49" s="147" t="s">
        <v>28</v>
      </c>
      <c r="B49" s="148" t="s">
        <v>29</v>
      </c>
      <c r="C49" s="147" t="s">
        <v>63</v>
      </c>
      <c r="D49" s="162"/>
      <c r="E49" s="148" t="s">
        <v>73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5"/>
        <v>0</v>
      </c>
      <c r="V49" s="131">
        <f t="shared" si="6"/>
        <v>0</v>
      </c>
    </row>
    <row r="50" ht="12.75" customHeight="1">
      <c r="A50" s="147" t="s">
        <v>28</v>
      </c>
      <c r="B50" s="148" t="s">
        <v>29</v>
      </c>
      <c r="C50" s="147" t="s">
        <v>63</v>
      </c>
      <c r="D50" s="162"/>
      <c r="E50" s="148" t="s">
        <v>75</v>
      </c>
      <c r="F50" s="156" t="s">
        <v>76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5"/>
        <v>0</v>
      </c>
      <c r="V50" s="131">
        <f t="shared" si="6"/>
        <v>0</v>
      </c>
    </row>
    <row r="51" ht="12.75" customHeight="1">
      <c r="A51" s="147" t="s">
        <v>28</v>
      </c>
      <c r="B51" s="148" t="s">
        <v>29</v>
      </c>
      <c r="C51" s="147" t="s">
        <v>63</v>
      </c>
      <c r="D51" s="162"/>
      <c r="E51" s="157"/>
      <c r="F51" s="156" t="s">
        <v>77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5"/>
        <v>0</v>
      </c>
      <c r="V51" s="131">
        <f t="shared" si="6"/>
        <v>0</v>
      </c>
    </row>
    <row r="52" ht="12.75" customHeight="1">
      <c r="A52" s="147" t="s">
        <v>28</v>
      </c>
      <c r="B52" s="148" t="s">
        <v>29</v>
      </c>
      <c r="C52" s="147" t="s">
        <v>63</v>
      </c>
      <c r="D52" s="162"/>
      <c r="E52" s="148" t="s">
        <v>47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5"/>
        <v>0</v>
      </c>
      <c r="V52" s="131">
        <f t="shared" si="6"/>
        <v>0</v>
      </c>
    </row>
    <row r="53" ht="12.75" customHeight="1">
      <c r="A53" s="147" t="s">
        <v>28</v>
      </c>
      <c r="B53" s="148" t="s">
        <v>29</v>
      </c>
      <c r="C53" s="147" t="s">
        <v>63</v>
      </c>
      <c r="D53" s="162"/>
      <c r="E53" s="148" t="s">
        <v>47</v>
      </c>
      <c r="F53" s="156" t="s">
        <v>79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5"/>
        <v>0</v>
      </c>
      <c r="V53" s="131">
        <f t="shared" si="6"/>
        <v>0</v>
      </c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3"/>
      <c r="B201" s="163"/>
      <c r="C201" s="163"/>
      <c r="D201" s="1"/>
      <c r="E201" s="163"/>
      <c r="F201" s="11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5"/>
      <c r="V201" s="165"/>
    </row>
    <row r="202" ht="12.75" customHeight="1">
      <c r="A202" s="163"/>
      <c r="B202" s="163"/>
      <c r="C202" s="163"/>
      <c r="D202" s="1"/>
      <c r="E202" s="163"/>
      <c r="F202" s="11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5"/>
      <c r="V202" s="165"/>
    </row>
    <row r="203" ht="12.75" customHeight="1">
      <c r="A203" s="163"/>
      <c r="B203" s="163"/>
      <c r="C203" s="163"/>
      <c r="D203" s="1"/>
      <c r="E203" s="163"/>
      <c r="F203" s="11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5"/>
      <c r="V203" s="165"/>
    </row>
    <row r="204" ht="12.75" customHeight="1">
      <c r="A204" s="163"/>
      <c r="B204" s="163"/>
      <c r="C204" s="163"/>
      <c r="D204" s="1"/>
      <c r="E204" s="163"/>
      <c r="F204" s="11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5"/>
      <c r="V204" s="165"/>
    </row>
    <row r="205" ht="12.75" customHeight="1">
      <c r="A205" s="163"/>
      <c r="B205" s="163"/>
      <c r="C205" s="163"/>
      <c r="D205" s="1"/>
      <c r="E205" s="163"/>
      <c r="F205" s="11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5"/>
      <c r="V205" s="165"/>
    </row>
    <row r="206" ht="12.75" customHeight="1">
      <c r="A206" s="163"/>
      <c r="B206" s="163"/>
      <c r="C206" s="163"/>
      <c r="D206" s="1"/>
      <c r="E206" s="163"/>
      <c r="F206" s="11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5"/>
      <c r="V206" s="165"/>
    </row>
    <row r="207" ht="12.75" customHeight="1">
      <c r="A207" s="163"/>
      <c r="B207" s="163"/>
      <c r="C207" s="163"/>
      <c r="D207" s="1"/>
      <c r="E207" s="163"/>
      <c r="F207" s="11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5"/>
      <c r="V207" s="165"/>
    </row>
    <row r="208" ht="12.75" customHeight="1">
      <c r="A208" s="163"/>
      <c r="B208" s="163"/>
      <c r="C208" s="163"/>
      <c r="D208" s="1"/>
      <c r="E208" s="163"/>
      <c r="F208" s="11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5"/>
      <c r="V208" s="165"/>
    </row>
    <row r="209" ht="12.75" customHeight="1">
      <c r="A209" s="163"/>
      <c r="B209" s="163"/>
      <c r="C209" s="163"/>
      <c r="D209" s="1"/>
      <c r="E209" s="163"/>
      <c r="F209" s="11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5"/>
      <c r="V209" s="165"/>
    </row>
    <row r="210" ht="12.75" customHeight="1">
      <c r="A210" s="163"/>
      <c r="B210" s="163"/>
      <c r="C210" s="163"/>
      <c r="D210" s="1"/>
      <c r="E210" s="163"/>
      <c r="F210" s="11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5"/>
      <c r="V210" s="165"/>
    </row>
    <row r="211" ht="12.75" customHeight="1">
      <c r="A211" s="163"/>
      <c r="B211" s="163"/>
      <c r="C211" s="163"/>
      <c r="D211" s="1"/>
      <c r="E211" s="163"/>
      <c r="F211" s="11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5"/>
      <c r="V211" s="165"/>
    </row>
    <row r="212" ht="12.75" customHeight="1">
      <c r="A212" s="163"/>
      <c r="B212" s="163"/>
      <c r="C212" s="163"/>
      <c r="D212" s="1"/>
      <c r="E212" s="163"/>
      <c r="F212" s="11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5"/>
      <c r="V212" s="165"/>
    </row>
    <row r="213" ht="12.75" customHeight="1">
      <c r="A213" s="163"/>
      <c r="B213" s="163"/>
      <c r="C213" s="163"/>
      <c r="D213" s="1"/>
      <c r="E213" s="163"/>
      <c r="F213" s="11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5"/>
      <c r="V213" s="165"/>
    </row>
    <row r="214" ht="12.75" customHeight="1">
      <c r="A214" s="163"/>
      <c r="B214" s="163"/>
      <c r="C214" s="163"/>
      <c r="D214" s="1"/>
      <c r="E214" s="163"/>
      <c r="F214" s="11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5"/>
      <c r="V214" s="165"/>
    </row>
    <row r="215" ht="12.75" customHeight="1">
      <c r="A215" s="163"/>
      <c r="B215" s="163"/>
      <c r="C215" s="163"/>
      <c r="D215" s="1"/>
      <c r="E215" s="163"/>
      <c r="F215" s="11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5"/>
      <c r="V215" s="165"/>
    </row>
    <row r="216" ht="12.75" customHeight="1">
      <c r="A216" s="163"/>
      <c r="B216" s="163"/>
      <c r="C216" s="163"/>
      <c r="D216" s="1"/>
      <c r="E216" s="163"/>
      <c r="F216" s="11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5"/>
      <c r="V216" s="165"/>
    </row>
    <row r="217" ht="12.75" customHeight="1">
      <c r="A217" s="163"/>
      <c r="B217" s="163"/>
      <c r="C217" s="163"/>
      <c r="D217" s="1"/>
      <c r="E217" s="163"/>
      <c r="F217" s="11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5"/>
      <c r="V217" s="165"/>
    </row>
    <row r="218" ht="12.75" customHeight="1">
      <c r="A218" s="163"/>
      <c r="B218" s="163"/>
      <c r="C218" s="163"/>
      <c r="D218" s="1"/>
      <c r="E218" s="163"/>
      <c r="F218" s="11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5"/>
      <c r="V218" s="165"/>
    </row>
    <row r="219" ht="12.75" customHeight="1">
      <c r="A219" s="163"/>
      <c r="B219" s="163"/>
      <c r="C219" s="163"/>
      <c r="D219" s="1"/>
      <c r="E219" s="163"/>
      <c r="F219" s="11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5"/>
      <c r="V219" s="165"/>
    </row>
    <row r="220" ht="12.75" customHeight="1">
      <c r="A220" s="163"/>
      <c r="B220" s="163"/>
      <c r="C220" s="163"/>
      <c r="D220" s="1"/>
      <c r="E220" s="163"/>
      <c r="F220" s="11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5"/>
      <c r="V220" s="165"/>
    </row>
    <row r="221" ht="12.75" customHeight="1">
      <c r="A221" s="163"/>
      <c r="B221" s="163"/>
      <c r="C221" s="163"/>
      <c r="D221" s="1"/>
      <c r="E221" s="163"/>
      <c r="F221" s="11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5"/>
      <c r="V221" s="165"/>
    </row>
    <row r="222" ht="12.75" customHeight="1">
      <c r="A222" s="163"/>
      <c r="B222" s="163"/>
      <c r="C222" s="163"/>
      <c r="D222" s="1"/>
      <c r="E222" s="163"/>
      <c r="F222" s="11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5"/>
      <c r="V222" s="165"/>
    </row>
    <row r="223" ht="12.75" customHeight="1">
      <c r="A223" s="163"/>
      <c r="B223" s="163"/>
      <c r="C223" s="163"/>
      <c r="D223" s="1"/>
      <c r="E223" s="163"/>
      <c r="F223" s="11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5"/>
      <c r="V223" s="165"/>
    </row>
    <row r="224" ht="12.75" customHeight="1">
      <c r="A224" s="163"/>
      <c r="B224" s="163"/>
      <c r="C224" s="163"/>
      <c r="D224" s="1"/>
      <c r="E224" s="163"/>
      <c r="F224" s="11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5"/>
      <c r="V224" s="165"/>
    </row>
    <row r="225" ht="12.75" customHeight="1">
      <c r="A225" s="163"/>
      <c r="B225" s="163"/>
      <c r="C225" s="163"/>
      <c r="D225" s="1"/>
      <c r="E225" s="163"/>
      <c r="F225" s="11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5"/>
      <c r="V225" s="165"/>
    </row>
    <row r="226" ht="12.75" customHeight="1">
      <c r="A226" s="163"/>
      <c r="B226" s="163"/>
      <c r="C226" s="163"/>
      <c r="D226" s="1"/>
      <c r="E226" s="163"/>
      <c r="F226" s="11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5"/>
      <c r="V226" s="165"/>
    </row>
    <row r="227" ht="12.75" customHeight="1">
      <c r="A227" s="163"/>
      <c r="B227" s="163"/>
      <c r="C227" s="163"/>
      <c r="D227" s="1"/>
      <c r="E227" s="163"/>
      <c r="F227" s="11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5"/>
      <c r="V227" s="165"/>
    </row>
    <row r="228" ht="12.75" customHeight="1">
      <c r="A228" s="163"/>
      <c r="B228" s="163"/>
      <c r="C228" s="163"/>
      <c r="D228" s="1"/>
      <c r="E228" s="163"/>
      <c r="F228" s="11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5"/>
      <c r="V228" s="165"/>
    </row>
    <row r="229" ht="12.75" customHeight="1">
      <c r="A229" s="163"/>
      <c r="B229" s="163"/>
      <c r="C229" s="163"/>
      <c r="D229" s="1"/>
      <c r="E229" s="163"/>
      <c r="F229" s="11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5"/>
      <c r="V229" s="165"/>
    </row>
    <row r="230" ht="12.75" customHeight="1">
      <c r="A230" s="163"/>
      <c r="B230" s="163"/>
      <c r="C230" s="163"/>
      <c r="D230" s="1"/>
      <c r="E230" s="163"/>
      <c r="F230" s="11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5"/>
      <c r="V230" s="165"/>
    </row>
    <row r="231" ht="12.75" customHeight="1">
      <c r="A231" s="163"/>
      <c r="B231" s="163"/>
      <c r="C231" s="163"/>
      <c r="D231" s="1"/>
      <c r="E231" s="163"/>
      <c r="F231" s="11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5"/>
      <c r="V231" s="165"/>
    </row>
    <row r="232" ht="12.75" customHeight="1">
      <c r="A232" s="163"/>
      <c r="B232" s="163"/>
      <c r="C232" s="163"/>
      <c r="D232" s="1"/>
      <c r="E232" s="163"/>
      <c r="F232" s="11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5"/>
      <c r="V232" s="165"/>
    </row>
    <row r="233" ht="12.75" customHeight="1">
      <c r="A233" s="163"/>
      <c r="B233" s="163"/>
      <c r="C233" s="163"/>
      <c r="D233" s="1"/>
      <c r="E233" s="163"/>
      <c r="F233" s="11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5"/>
      <c r="V233" s="165"/>
    </row>
    <row r="234" ht="12.75" customHeight="1">
      <c r="A234" s="163"/>
      <c r="B234" s="163"/>
      <c r="C234" s="163"/>
      <c r="D234" s="1"/>
      <c r="E234" s="163"/>
      <c r="F234" s="11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5"/>
      <c r="V234" s="165"/>
    </row>
    <row r="235" ht="12.75" customHeight="1">
      <c r="A235" s="163"/>
      <c r="B235" s="163"/>
      <c r="C235" s="163"/>
      <c r="D235" s="1"/>
      <c r="E235" s="163"/>
      <c r="F235" s="11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5"/>
      <c r="V235" s="165"/>
    </row>
    <row r="236" ht="12.75" customHeight="1">
      <c r="A236" s="163"/>
      <c r="B236" s="163"/>
      <c r="C236" s="163"/>
      <c r="D236" s="1"/>
      <c r="E236" s="163"/>
      <c r="F236" s="11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5"/>
      <c r="V236" s="165"/>
    </row>
    <row r="237" ht="12.75" customHeight="1">
      <c r="A237" s="163"/>
      <c r="B237" s="163"/>
      <c r="C237" s="163"/>
      <c r="D237" s="1"/>
      <c r="E237" s="163"/>
      <c r="F237" s="11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5"/>
      <c r="V237" s="165"/>
    </row>
    <row r="238" ht="12.75" customHeight="1">
      <c r="A238" s="163"/>
      <c r="B238" s="163"/>
      <c r="C238" s="163"/>
      <c r="D238" s="1"/>
      <c r="E238" s="163"/>
      <c r="F238" s="11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5"/>
      <c r="V238" s="165"/>
    </row>
    <row r="239" ht="12.75" customHeight="1">
      <c r="A239" s="163"/>
      <c r="B239" s="163"/>
      <c r="C239" s="163"/>
      <c r="D239" s="1"/>
      <c r="E239" s="163"/>
      <c r="F239" s="11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5"/>
      <c r="V239" s="165"/>
    </row>
    <row r="240" ht="12.75" customHeight="1">
      <c r="A240" s="163"/>
      <c r="B240" s="163"/>
      <c r="C240" s="163"/>
      <c r="D240" s="1"/>
      <c r="E240" s="163"/>
      <c r="F240" s="11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5"/>
      <c r="V240" s="165"/>
    </row>
    <row r="241" ht="12.75" customHeight="1">
      <c r="A241" s="163"/>
      <c r="B241" s="163"/>
      <c r="C241" s="163"/>
      <c r="D241" s="1"/>
      <c r="E241" s="163"/>
      <c r="F241" s="11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5"/>
      <c r="V241" s="165"/>
    </row>
    <row r="242" ht="12.75" customHeight="1">
      <c r="A242" s="163"/>
      <c r="B242" s="163"/>
      <c r="C242" s="163"/>
      <c r="D242" s="1"/>
      <c r="E242" s="163"/>
      <c r="F242" s="11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5"/>
      <c r="V242" s="165"/>
    </row>
    <row r="243" ht="12.75" customHeight="1">
      <c r="A243" s="163"/>
      <c r="B243" s="163"/>
      <c r="C243" s="163"/>
      <c r="D243" s="1"/>
      <c r="E243" s="163"/>
      <c r="F243" s="11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5"/>
      <c r="V243" s="165"/>
    </row>
    <row r="244" ht="12.75" customHeight="1">
      <c r="A244" s="163"/>
      <c r="B244" s="163"/>
      <c r="C244" s="163"/>
      <c r="D244" s="1"/>
      <c r="E244" s="163"/>
      <c r="F244" s="11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5"/>
      <c r="V244" s="165"/>
    </row>
    <row r="245" ht="12.75" customHeight="1">
      <c r="A245" s="163"/>
      <c r="B245" s="163"/>
      <c r="C245" s="163"/>
      <c r="D245" s="1"/>
      <c r="E245" s="163"/>
      <c r="F245" s="11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5"/>
      <c r="V245" s="165"/>
    </row>
    <row r="246" ht="12.75" customHeight="1">
      <c r="A246" s="163"/>
      <c r="B246" s="163"/>
      <c r="C246" s="163"/>
      <c r="D246" s="1"/>
      <c r="E246" s="163"/>
      <c r="F246" s="11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5"/>
      <c r="V246" s="165"/>
    </row>
    <row r="247" ht="12.75" customHeight="1">
      <c r="A247" s="163"/>
      <c r="B247" s="163"/>
      <c r="C247" s="163"/>
      <c r="D247" s="1"/>
      <c r="E247" s="163"/>
      <c r="F247" s="11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5"/>
      <c r="V247" s="165"/>
    </row>
    <row r="248" ht="12.75" customHeight="1">
      <c r="A248" s="163"/>
      <c r="B248" s="163"/>
      <c r="C248" s="163"/>
      <c r="D248" s="1"/>
      <c r="E248" s="163"/>
      <c r="F248" s="11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5"/>
      <c r="V248" s="165"/>
    </row>
    <row r="249" ht="12.75" customHeight="1">
      <c r="A249" s="163"/>
      <c r="B249" s="163"/>
      <c r="C249" s="163"/>
      <c r="D249" s="1"/>
      <c r="E249" s="163"/>
      <c r="F249" s="11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5"/>
      <c r="V249" s="165"/>
    </row>
    <row r="250" ht="12.75" customHeight="1">
      <c r="A250" s="163"/>
      <c r="B250" s="163"/>
      <c r="C250" s="163"/>
      <c r="D250" s="1"/>
      <c r="E250" s="163"/>
      <c r="F250" s="11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5"/>
      <c r="V250" s="165"/>
    </row>
    <row r="251" ht="12.75" customHeight="1">
      <c r="A251" s="163"/>
      <c r="B251" s="163"/>
      <c r="C251" s="163"/>
      <c r="D251" s="1"/>
      <c r="E251" s="163"/>
      <c r="F251" s="11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5"/>
      <c r="V251" s="165"/>
    </row>
    <row r="252" ht="12.75" customHeight="1">
      <c r="A252" s="163"/>
      <c r="B252" s="163"/>
      <c r="C252" s="163"/>
      <c r="D252" s="1"/>
      <c r="E252" s="163"/>
      <c r="F252" s="11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5"/>
      <c r="V252" s="165"/>
    </row>
    <row r="253" ht="12.75" customHeight="1">
      <c r="A253" s="163"/>
      <c r="B253" s="163"/>
      <c r="C253" s="163"/>
      <c r="D253" s="1"/>
      <c r="E253" s="163"/>
      <c r="F253" s="11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5"/>
      <c r="V253" s="165"/>
    </row>
    <row r="254" ht="12.75" customHeight="1">
      <c r="A254" s="163"/>
      <c r="B254" s="163"/>
      <c r="C254" s="163"/>
      <c r="D254" s="1"/>
      <c r="E254" s="163"/>
      <c r="F254" s="11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5"/>
      <c r="V254" s="165"/>
    </row>
    <row r="255" ht="12.75" customHeight="1">
      <c r="A255" s="163"/>
      <c r="B255" s="163"/>
      <c r="C255" s="163"/>
      <c r="D255" s="1"/>
      <c r="E255" s="163"/>
      <c r="F255" s="11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5"/>
      <c r="V255" s="165"/>
    </row>
    <row r="256" ht="12.75" customHeight="1">
      <c r="A256" s="163"/>
      <c r="B256" s="163"/>
      <c r="C256" s="163"/>
      <c r="D256" s="1"/>
      <c r="E256" s="163"/>
      <c r="F256" s="11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5"/>
      <c r="V256" s="165"/>
    </row>
    <row r="257" ht="12.75" customHeight="1">
      <c r="A257" s="163"/>
      <c r="B257" s="163"/>
      <c r="C257" s="163"/>
      <c r="D257" s="1"/>
      <c r="E257" s="163"/>
      <c r="F257" s="11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5"/>
      <c r="V257" s="165"/>
    </row>
    <row r="258" ht="12.75" customHeight="1">
      <c r="A258" s="163"/>
      <c r="B258" s="163"/>
      <c r="C258" s="163"/>
      <c r="D258" s="1"/>
      <c r="E258" s="163"/>
      <c r="F258" s="11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5"/>
      <c r="V258" s="165"/>
    </row>
    <row r="259" ht="12.75" customHeight="1">
      <c r="A259" s="163"/>
      <c r="B259" s="163"/>
      <c r="C259" s="163"/>
      <c r="D259" s="1"/>
      <c r="E259" s="163"/>
      <c r="F259" s="11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5"/>
      <c r="V259" s="165"/>
    </row>
    <row r="260" ht="12.75" customHeight="1">
      <c r="A260" s="163"/>
      <c r="B260" s="163"/>
      <c r="C260" s="163"/>
      <c r="D260" s="1"/>
      <c r="E260" s="163"/>
      <c r="F260" s="11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5"/>
      <c r="V260" s="165"/>
    </row>
    <row r="261" ht="12.75" customHeight="1">
      <c r="A261" s="163"/>
      <c r="B261" s="163"/>
      <c r="C261" s="163"/>
      <c r="D261" s="1"/>
      <c r="E261" s="163"/>
      <c r="F261" s="11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5"/>
      <c r="V261" s="165"/>
    </row>
    <row r="262" ht="12.75" customHeight="1">
      <c r="A262" s="163"/>
      <c r="B262" s="163"/>
      <c r="C262" s="163"/>
      <c r="D262" s="1"/>
      <c r="E262" s="163"/>
      <c r="F262" s="11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5"/>
      <c r="V262" s="165"/>
    </row>
    <row r="263" ht="12.75" customHeight="1">
      <c r="A263" s="163"/>
      <c r="B263" s="163"/>
      <c r="C263" s="163"/>
      <c r="D263" s="1"/>
      <c r="E263" s="163"/>
      <c r="F263" s="11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5"/>
      <c r="V263" s="165"/>
    </row>
    <row r="264" ht="12.75" customHeight="1">
      <c r="A264" s="163"/>
      <c r="B264" s="163"/>
      <c r="C264" s="163"/>
      <c r="D264" s="1"/>
      <c r="E264" s="163"/>
      <c r="F264" s="11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5"/>
      <c r="V264" s="165"/>
    </row>
    <row r="265" ht="12.75" customHeight="1">
      <c r="A265" s="163"/>
      <c r="B265" s="163"/>
      <c r="C265" s="163"/>
      <c r="D265" s="1"/>
      <c r="E265" s="163"/>
      <c r="F265" s="11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5"/>
      <c r="V265" s="165"/>
    </row>
    <row r="266" ht="12.75" customHeight="1">
      <c r="A266" s="163"/>
      <c r="B266" s="163"/>
      <c r="C266" s="163"/>
      <c r="D266" s="1"/>
      <c r="E266" s="163"/>
      <c r="F266" s="11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5"/>
      <c r="V266" s="165"/>
    </row>
    <row r="267" ht="12.75" customHeight="1">
      <c r="A267" s="163"/>
      <c r="B267" s="163"/>
      <c r="C267" s="163"/>
      <c r="D267" s="1"/>
      <c r="E267" s="163"/>
      <c r="F267" s="11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5"/>
      <c r="V267" s="165"/>
    </row>
    <row r="268" ht="12.75" customHeight="1">
      <c r="A268" s="163"/>
      <c r="B268" s="163"/>
      <c r="C268" s="163"/>
      <c r="D268" s="1"/>
      <c r="E268" s="163"/>
      <c r="F268" s="11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5"/>
      <c r="V268" s="165"/>
    </row>
    <row r="269" ht="12.75" customHeight="1">
      <c r="A269" s="163"/>
      <c r="B269" s="163"/>
      <c r="C269" s="163"/>
      <c r="D269" s="1"/>
      <c r="E269" s="163"/>
      <c r="F269" s="11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5"/>
      <c r="V269" s="165"/>
    </row>
    <row r="270" ht="12.75" customHeight="1">
      <c r="A270" s="163"/>
      <c r="B270" s="163"/>
      <c r="C270" s="163"/>
      <c r="D270" s="1"/>
      <c r="E270" s="163"/>
      <c r="F270" s="11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5"/>
      <c r="V270" s="165"/>
    </row>
    <row r="271" ht="12.75" customHeight="1">
      <c r="A271" s="163"/>
      <c r="B271" s="163"/>
      <c r="C271" s="163"/>
      <c r="D271" s="1"/>
      <c r="E271" s="163"/>
      <c r="F271" s="11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5"/>
      <c r="V271" s="165"/>
    </row>
    <row r="272" ht="12.75" customHeight="1">
      <c r="A272" s="163"/>
      <c r="B272" s="163"/>
      <c r="C272" s="163"/>
      <c r="D272" s="1"/>
      <c r="E272" s="163"/>
      <c r="F272" s="11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5"/>
      <c r="V272" s="165"/>
    </row>
    <row r="273" ht="12.75" customHeight="1">
      <c r="A273" s="163"/>
      <c r="B273" s="163"/>
      <c r="C273" s="163"/>
      <c r="D273" s="1"/>
      <c r="E273" s="163"/>
      <c r="F273" s="11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5"/>
      <c r="V273" s="165"/>
    </row>
    <row r="274" ht="12.75" customHeight="1">
      <c r="A274" s="163"/>
      <c r="B274" s="163"/>
      <c r="C274" s="163"/>
      <c r="D274" s="1"/>
      <c r="E274" s="163"/>
      <c r="F274" s="11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5"/>
      <c r="V274" s="165"/>
    </row>
    <row r="275" ht="12.75" customHeight="1">
      <c r="A275" s="163"/>
      <c r="B275" s="163"/>
      <c r="C275" s="163"/>
      <c r="D275" s="1"/>
      <c r="E275" s="163"/>
      <c r="F275" s="11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5"/>
      <c r="V275" s="165"/>
    </row>
    <row r="276" ht="12.75" customHeight="1">
      <c r="A276" s="163"/>
      <c r="B276" s="163"/>
      <c r="C276" s="163"/>
      <c r="D276" s="1"/>
      <c r="E276" s="163"/>
      <c r="F276" s="11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5"/>
      <c r="V276" s="165"/>
    </row>
    <row r="277" ht="12.75" customHeight="1">
      <c r="A277" s="163"/>
      <c r="B277" s="163"/>
      <c r="C277" s="163"/>
      <c r="D277" s="1"/>
      <c r="E277" s="163"/>
      <c r="F277" s="11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5"/>
      <c r="V277" s="165"/>
    </row>
    <row r="278" ht="12.75" customHeight="1">
      <c r="A278" s="163"/>
      <c r="B278" s="163"/>
      <c r="C278" s="163"/>
      <c r="D278" s="1"/>
      <c r="E278" s="163"/>
      <c r="F278" s="11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5"/>
      <c r="V278" s="165"/>
    </row>
    <row r="279" ht="12.75" customHeight="1">
      <c r="A279" s="163"/>
      <c r="B279" s="163"/>
      <c r="C279" s="163"/>
      <c r="D279" s="1"/>
      <c r="E279" s="163"/>
      <c r="F279" s="11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5"/>
      <c r="V279" s="165"/>
    </row>
    <row r="280" ht="12.75" customHeight="1">
      <c r="A280" s="163"/>
      <c r="B280" s="163"/>
      <c r="C280" s="163"/>
      <c r="D280" s="1"/>
      <c r="E280" s="163"/>
      <c r="F280" s="11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5"/>
      <c r="V280" s="165"/>
    </row>
    <row r="281" ht="12.75" customHeight="1">
      <c r="A281" s="163"/>
      <c r="B281" s="163"/>
      <c r="C281" s="163"/>
      <c r="D281" s="1"/>
      <c r="E281" s="163"/>
      <c r="F281" s="11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5"/>
      <c r="V281" s="165"/>
    </row>
    <row r="282" ht="12.75" customHeight="1">
      <c r="A282" s="163"/>
      <c r="B282" s="163"/>
      <c r="C282" s="163"/>
      <c r="D282" s="1"/>
      <c r="E282" s="163"/>
      <c r="F282" s="11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5"/>
      <c r="V282" s="165"/>
    </row>
    <row r="283" ht="12.75" customHeight="1">
      <c r="A283" s="163"/>
      <c r="B283" s="163"/>
      <c r="C283" s="163"/>
      <c r="D283" s="1"/>
      <c r="E283" s="163"/>
      <c r="F283" s="11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5"/>
      <c r="V283" s="165"/>
    </row>
    <row r="284" ht="12.75" customHeight="1">
      <c r="A284" s="163"/>
      <c r="B284" s="163"/>
      <c r="C284" s="163"/>
      <c r="D284" s="1"/>
      <c r="E284" s="163"/>
      <c r="F284" s="11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5"/>
      <c r="V284" s="165"/>
    </row>
    <row r="285" ht="12.75" customHeight="1">
      <c r="A285" s="163"/>
      <c r="B285" s="163"/>
      <c r="C285" s="163"/>
      <c r="D285" s="1"/>
      <c r="E285" s="163"/>
      <c r="F285" s="11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5"/>
      <c r="V285" s="165"/>
    </row>
    <row r="286" ht="12.75" customHeight="1">
      <c r="A286" s="163"/>
      <c r="B286" s="163"/>
      <c r="C286" s="163"/>
      <c r="D286" s="1"/>
      <c r="E286" s="163"/>
      <c r="F286" s="11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5"/>
      <c r="V286" s="165"/>
    </row>
    <row r="287" ht="12.75" customHeight="1">
      <c r="A287" s="163"/>
      <c r="B287" s="163"/>
      <c r="C287" s="163"/>
      <c r="D287" s="1"/>
      <c r="E287" s="163"/>
      <c r="F287" s="11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5"/>
      <c r="V287" s="165"/>
    </row>
    <row r="288" ht="12.75" customHeight="1">
      <c r="A288" s="163"/>
      <c r="B288" s="163"/>
      <c r="C288" s="163"/>
      <c r="D288" s="1"/>
      <c r="E288" s="163"/>
      <c r="F288" s="11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5"/>
      <c r="V288" s="165"/>
    </row>
    <row r="289" ht="12.75" customHeight="1">
      <c r="A289" s="163"/>
      <c r="B289" s="163"/>
      <c r="C289" s="163"/>
      <c r="D289" s="1"/>
      <c r="E289" s="163"/>
      <c r="F289" s="11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5"/>
      <c r="V289" s="165"/>
    </row>
    <row r="290" ht="12.75" customHeight="1">
      <c r="A290" s="163"/>
      <c r="B290" s="163"/>
      <c r="C290" s="163"/>
      <c r="D290" s="1"/>
      <c r="E290" s="163"/>
      <c r="F290" s="11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5"/>
      <c r="V290" s="165"/>
    </row>
    <row r="291" ht="12.75" customHeight="1">
      <c r="A291" s="163"/>
      <c r="B291" s="163"/>
      <c r="C291" s="163"/>
      <c r="D291" s="1"/>
      <c r="E291" s="163"/>
      <c r="F291" s="11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5"/>
      <c r="V291" s="165"/>
    </row>
    <row r="292" ht="12.75" customHeight="1">
      <c r="A292" s="163"/>
      <c r="B292" s="163"/>
      <c r="C292" s="163"/>
      <c r="D292" s="1"/>
      <c r="E292" s="163"/>
      <c r="F292" s="11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5"/>
      <c r="V292" s="165"/>
    </row>
    <row r="293" ht="12.75" customHeight="1">
      <c r="A293" s="163"/>
      <c r="B293" s="163"/>
      <c r="C293" s="163"/>
      <c r="D293" s="1"/>
      <c r="E293" s="163"/>
      <c r="F293" s="11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5"/>
      <c r="V293" s="165"/>
    </row>
    <row r="294" ht="12.75" customHeight="1">
      <c r="A294" s="163"/>
      <c r="B294" s="163"/>
      <c r="C294" s="163"/>
      <c r="D294" s="1"/>
      <c r="E294" s="163"/>
      <c r="F294" s="11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5"/>
      <c r="V294" s="165"/>
    </row>
    <row r="295" ht="12.75" customHeight="1">
      <c r="A295" s="163"/>
      <c r="B295" s="163"/>
      <c r="C295" s="163"/>
      <c r="D295" s="1"/>
      <c r="E295" s="163"/>
      <c r="F295" s="11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5"/>
      <c r="V295" s="165"/>
    </row>
    <row r="296" ht="12.75" customHeight="1">
      <c r="A296" s="163"/>
      <c r="B296" s="163"/>
      <c r="C296" s="163"/>
      <c r="D296" s="1"/>
      <c r="E296" s="163"/>
      <c r="F296" s="11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5"/>
      <c r="V296" s="165"/>
    </row>
    <row r="297" ht="12.75" customHeight="1">
      <c r="A297" s="163"/>
      <c r="B297" s="163"/>
      <c r="C297" s="163"/>
      <c r="D297" s="1"/>
      <c r="E297" s="163"/>
      <c r="F297" s="11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5"/>
      <c r="V297" s="165"/>
    </row>
    <row r="298" ht="12.75" customHeight="1">
      <c r="A298" s="163"/>
      <c r="B298" s="163"/>
      <c r="C298" s="163"/>
      <c r="D298" s="1"/>
      <c r="E298" s="163"/>
      <c r="F298" s="11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5"/>
      <c r="V298" s="165"/>
    </row>
    <row r="299" ht="12.75" customHeight="1">
      <c r="A299" s="163"/>
      <c r="B299" s="163"/>
      <c r="C299" s="163"/>
      <c r="D299" s="1"/>
      <c r="E299" s="163"/>
      <c r="F299" s="11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5"/>
      <c r="V299" s="165"/>
    </row>
    <row r="300" ht="12.75" customHeight="1">
      <c r="A300" s="163"/>
      <c r="B300" s="163"/>
      <c r="C300" s="163"/>
      <c r="D300" s="1"/>
      <c r="E300" s="163"/>
      <c r="F300" s="11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5"/>
      <c r="V300" s="165"/>
    </row>
    <row r="301" ht="12.75" customHeight="1">
      <c r="A301" s="163"/>
      <c r="B301" s="163"/>
      <c r="C301" s="163"/>
      <c r="D301" s="1"/>
      <c r="E301" s="163"/>
      <c r="F301" s="11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5"/>
      <c r="V301" s="165"/>
    </row>
    <row r="302" ht="12.75" customHeight="1">
      <c r="A302" s="163"/>
      <c r="B302" s="163"/>
      <c r="C302" s="163"/>
      <c r="D302" s="1"/>
      <c r="E302" s="163"/>
      <c r="F302" s="11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5"/>
      <c r="V302" s="165"/>
    </row>
    <row r="303" ht="12.75" customHeight="1">
      <c r="A303" s="163"/>
      <c r="B303" s="163"/>
      <c r="C303" s="163"/>
      <c r="D303" s="1"/>
      <c r="E303" s="163"/>
      <c r="F303" s="11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5"/>
      <c r="V303" s="165"/>
    </row>
    <row r="304" ht="12.75" customHeight="1">
      <c r="A304" s="163"/>
      <c r="B304" s="163"/>
      <c r="C304" s="163"/>
      <c r="D304" s="1"/>
      <c r="E304" s="163"/>
      <c r="F304" s="11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5"/>
      <c r="V304" s="165"/>
    </row>
    <row r="305" ht="12.75" customHeight="1">
      <c r="A305" s="163"/>
      <c r="B305" s="163"/>
      <c r="C305" s="163"/>
      <c r="D305" s="1"/>
      <c r="E305" s="163"/>
      <c r="F305" s="11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5"/>
      <c r="V305" s="165"/>
    </row>
    <row r="306" ht="12.75" customHeight="1">
      <c r="A306" s="163"/>
      <c r="B306" s="163"/>
      <c r="C306" s="163"/>
      <c r="D306" s="1"/>
      <c r="E306" s="163"/>
      <c r="F306" s="11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5"/>
      <c r="V306" s="165"/>
    </row>
    <row r="307" ht="12.75" customHeight="1">
      <c r="A307" s="163"/>
      <c r="B307" s="163"/>
      <c r="C307" s="163"/>
      <c r="D307" s="1"/>
      <c r="E307" s="163"/>
      <c r="F307" s="11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5"/>
      <c r="V307" s="165"/>
    </row>
    <row r="308" ht="12.75" customHeight="1">
      <c r="A308" s="163"/>
      <c r="B308" s="163"/>
      <c r="C308" s="163"/>
      <c r="D308" s="1"/>
      <c r="E308" s="163"/>
      <c r="F308" s="11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5"/>
      <c r="V308" s="165"/>
    </row>
    <row r="309" ht="12.75" customHeight="1">
      <c r="A309" s="163"/>
      <c r="B309" s="163"/>
      <c r="C309" s="163"/>
      <c r="D309" s="1"/>
      <c r="E309" s="163"/>
      <c r="F309" s="11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5"/>
      <c r="V309" s="165"/>
    </row>
    <row r="310" ht="12.75" customHeight="1">
      <c r="A310" s="163"/>
      <c r="B310" s="163"/>
      <c r="C310" s="163"/>
      <c r="D310" s="1"/>
      <c r="E310" s="163"/>
      <c r="F310" s="11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5"/>
      <c r="V310" s="165"/>
    </row>
    <row r="311" ht="12.75" customHeight="1">
      <c r="A311" s="163"/>
      <c r="B311" s="163"/>
      <c r="C311" s="163"/>
      <c r="D311" s="1"/>
      <c r="E311" s="163"/>
      <c r="F311" s="11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5"/>
      <c r="V311" s="165"/>
    </row>
    <row r="312" ht="12.75" customHeight="1">
      <c r="A312" s="163"/>
      <c r="B312" s="163"/>
      <c r="C312" s="163"/>
      <c r="D312" s="1"/>
      <c r="E312" s="163"/>
      <c r="F312" s="11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5"/>
      <c r="V312" s="165"/>
    </row>
    <row r="313" ht="12.75" customHeight="1">
      <c r="A313" s="163"/>
      <c r="B313" s="163"/>
      <c r="C313" s="163"/>
      <c r="D313" s="1"/>
      <c r="E313" s="163"/>
      <c r="F313" s="11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5"/>
      <c r="V313" s="165"/>
    </row>
    <row r="314" ht="12.75" customHeight="1">
      <c r="A314" s="163"/>
      <c r="B314" s="163"/>
      <c r="C314" s="163"/>
      <c r="D314" s="1"/>
      <c r="E314" s="163"/>
      <c r="F314" s="11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5"/>
      <c r="V314" s="165"/>
    </row>
    <row r="315" ht="12.75" customHeight="1">
      <c r="A315" s="163"/>
      <c r="B315" s="163"/>
      <c r="C315" s="163"/>
      <c r="D315" s="1"/>
      <c r="E315" s="163"/>
      <c r="F315" s="11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5"/>
      <c r="V315" s="165"/>
    </row>
    <row r="316" ht="12.75" customHeight="1">
      <c r="A316" s="163"/>
      <c r="B316" s="163"/>
      <c r="C316" s="163"/>
      <c r="D316" s="1"/>
      <c r="E316" s="163"/>
      <c r="F316" s="11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5"/>
      <c r="V316" s="165"/>
    </row>
    <row r="317" ht="12.75" customHeight="1">
      <c r="A317" s="163"/>
      <c r="B317" s="163"/>
      <c r="C317" s="163"/>
      <c r="D317" s="1"/>
      <c r="E317" s="163"/>
      <c r="F317" s="11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5"/>
      <c r="V317" s="165"/>
    </row>
    <row r="318" ht="12.75" customHeight="1">
      <c r="A318" s="163"/>
      <c r="B318" s="163"/>
      <c r="C318" s="163"/>
      <c r="D318" s="1"/>
      <c r="E318" s="163"/>
      <c r="F318" s="11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5"/>
      <c r="V318" s="165"/>
    </row>
    <row r="319" ht="12.75" customHeight="1">
      <c r="A319" s="163"/>
      <c r="B319" s="163"/>
      <c r="C319" s="163"/>
      <c r="D319" s="1"/>
      <c r="E319" s="163"/>
      <c r="F319" s="11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5"/>
      <c r="V319" s="165"/>
    </row>
    <row r="320" ht="12.75" customHeight="1">
      <c r="A320" s="163"/>
      <c r="B320" s="163"/>
      <c r="C320" s="163"/>
      <c r="D320" s="1"/>
      <c r="E320" s="163"/>
      <c r="F320" s="11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5"/>
      <c r="V320" s="165"/>
    </row>
    <row r="321" ht="12.75" customHeight="1">
      <c r="A321" s="163"/>
      <c r="B321" s="163"/>
      <c r="C321" s="163"/>
      <c r="D321" s="1"/>
      <c r="E321" s="163"/>
      <c r="F321" s="11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5"/>
      <c r="V321" s="165"/>
    </row>
    <row r="322" ht="12.75" customHeight="1">
      <c r="A322" s="163"/>
      <c r="B322" s="163"/>
      <c r="C322" s="163"/>
      <c r="D322" s="1"/>
      <c r="E322" s="163"/>
      <c r="F322" s="11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5"/>
      <c r="V322" s="165"/>
    </row>
    <row r="323" ht="12.75" customHeight="1">
      <c r="A323" s="163"/>
      <c r="B323" s="163"/>
      <c r="C323" s="163"/>
      <c r="D323" s="1"/>
      <c r="E323" s="163"/>
      <c r="F323" s="11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5"/>
      <c r="V323" s="165"/>
    </row>
    <row r="324" ht="12.75" customHeight="1">
      <c r="A324" s="163"/>
      <c r="B324" s="163"/>
      <c r="C324" s="163"/>
      <c r="D324" s="1"/>
      <c r="E324" s="163"/>
      <c r="F324" s="11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5"/>
      <c r="V324" s="165"/>
    </row>
    <row r="325" ht="12.75" customHeight="1">
      <c r="A325" s="163"/>
      <c r="B325" s="163"/>
      <c r="C325" s="163"/>
      <c r="D325" s="1"/>
      <c r="E325" s="163"/>
      <c r="F325" s="11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5"/>
      <c r="V325" s="165"/>
    </row>
    <row r="326" ht="12.75" customHeight="1">
      <c r="A326" s="163"/>
      <c r="B326" s="163"/>
      <c r="C326" s="163"/>
      <c r="D326" s="1"/>
      <c r="E326" s="163"/>
      <c r="F326" s="11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5"/>
      <c r="V326" s="165"/>
    </row>
    <row r="327" ht="12.75" customHeight="1">
      <c r="A327" s="163"/>
      <c r="B327" s="163"/>
      <c r="C327" s="163"/>
      <c r="D327" s="1"/>
      <c r="E327" s="163"/>
      <c r="F327" s="11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5"/>
      <c r="V327" s="165"/>
    </row>
    <row r="328" ht="12.75" customHeight="1">
      <c r="A328" s="163"/>
      <c r="B328" s="163"/>
      <c r="C328" s="163"/>
      <c r="D328" s="1"/>
      <c r="E328" s="163"/>
      <c r="F328" s="11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5"/>
      <c r="V328" s="165"/>
    </row>
    <row r="329" ht="12.75" customHeight="1">
      <c r="A329" s="163"/>
      <c r="B329" s="163"/>
      <c r="C329" s="163"/>
      <c r="D329" s="1"/>
      <c r="E329" s="163"/>
      <c r="F329" s="11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5"/>
      <c r="V329" s="165"/>
    </row>
    <row r="330" ht="12.75" customHeight="1">
      <c r="A330" s="163"/>
      <c r="B330" s="163"/>
      <c r="C330" s="163"/>
      <c r="D330" s="1"/>
      <c r="E330" s="163"/>
      <c r="F330" s="11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5"/>
      <c r="V330" s="165"/>
    </row>
    <row r="331" ht="12.75" customHeight="1">
      <c r="A331" s="163"/>
      <c r="B331" s="163"/>
      <c r="C331" s="163"/>
      <c r="D331" s="1"/>
      <c r="E331" s="163"/>
      <c r="F331" s="11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5"/>
      <c r="V331" s="165"/>
    </row>
    <row r="332" ht="12.75" customHeight="1">
      <c r="A332" s="163"/>
      <c r="B332" s="163"/>
      <c r="C332" s="163"/>
      <c r="D332" s="1"/>
      <c r="E332" s="163"/>
      <c r="F332" s="11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5"/>
      <c r="V332" s="165"/>
    </row>
    <row r="333" ht="12.75" customHeight="1">
      <c r="A333" s="163"/>
      <c r="B333" s="163"/>
      <c r="C333" s="163"/>
      <c r="D333" s="1"/>
      <c r="E333" s="163"/>
      <c r="F333" s="11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5"/>
      <c r="V333" s="165"/>
    </row>
    <row r="334" ht="12.75" customHeight="1">
      <c r="A334" s="163"/>
      <c r="B334" s="163"/>
      <c r="C334" s="163"/>
      <c r="D334" s="1"/>
      <c r="E334" s="163"/>
      <c r="F334" s="11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5"/>
      <c r="V334" s="165"/>
    </row>
    <row r="335" ht="12.75" customHeight="1">
      <c r="A335" s="163"/>
      <c r="B335" s="163"/>
      <c r="C335" s="163"/>
      <c r="D335" s="1"/>
      <c r="E335" s="163"/>
      <c r="F335" s="11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5"/>
      <c r="V335" s="165"/>
    </row>
    <row r="336" ht="12.75" customHeight="1">
      <c r="A336" s="163"/>
      <c r="B336" s="163"/>
      <c r="C336" s="163"/>
      <c r="D336" s="1"/>
      <c r="E336" s="163"/>
      <c r="F336" s="11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5"/>
      <c r="V336" s="165"/>
    </row>
    <row r="337" ht="12.75" customHeight="1">
      <c r="A337" s="163"/>
      <c r="B337" s="163"/>
      <c r="C337" s="163"/>
      <c r="D337" s="1"/>
      <c r="E337" s="163"/>
      <c r="F337" s="11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5"/>
      <c r="V337" s="165"/>
    </row>
    <row r="338" ht="12.75" customHeight="1">
      <c r="A338" s="163"/>
      <c r="B338" s="163"/>
      <c r="C338" s="163"/>
      <c r="D338" s="1"/>
      <c r="E338" s="163"/>
      <c r="F338" s="11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5"/>
      <c r="V338" s="165"/>
    </row>
    <row r="339" ht="12.75" customHeight="1">
      <c r="A339" s="163"/>
      <c r="B339" s="163"/>
      <c r="C339" s="163"/>
      <c r="D339" s="1"/>
      <c r="E339" s="163"/>
      <c r="F339" s="11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5"/>
      <c r="V339" s="165"/>
    </row>
    <row r="340" ht="12.75" customHeight="1">
      <c r="A340" s="163"/>
      <c r="B340" s="163"/>
      <c r="C340" s="163"/>
      <c r="D340" s="1"/>
      <c r="E340" s="163"/>
      <c r="F340" s="11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5"/>
      <c r="V340" s="165"/>
    </row>
    <row r="341" ht="12.75" customHeight="1">
      <c r="A341" s="163"/>
      <c r="B341" s="163"/>
      <c r="C341" s="163"/>
      <c r="D341" s="1"/>
      <c r="E341" s="163"/>
      <c r="F341" s="11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5"/>
      <c r="V341" s="165"/>
    </row>
    <row r="342" ht="12.75" customHeight="1">
      <c r="A342" s="163"/>
      <c r="B342" s="163"/>
      <c r="C342" s="163"/>
      <c r="D342" s="1"/>
      <c r="E342" s="163"/>
      <c r="F342" s="11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5"/>
      <c r="V342" s="165"/>
    </row>
    <row r="343" ht="12.75" customHeight="1">
      <c r="A343" s="163"/>
      <c r="B343" s="163"/>
      <c r="C343" s="163"/>
      <c r="D343" s="1"/>
      <c r="E343" s="163"/>
      <c r="F343" s="11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5"/>
      <c r="V343" s="165"/>
    </row>
    <row r="344" ht="12.75" customHeight="1">
      <c r="A344" s="163"/>
      <c r="B344" s="163"/>
      <c r="C344" s="163"/>
      <c r="D344" s="1"/>
      <c r="E344" s="163"/>
      <c r="F344" s="11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5"/>
      <c r="V344" s="165"/>
    </row>
    <row r="345" ht="12.75" customHeight="1">
      <c r="A345" s="163"/>
      <c r="B345" s="163"/>
      <c r="C345" s="163"/>
      <c r="D345" s="1"/>
      <c r="E345" s="163"/>
      <c r="F345" s="11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5"/>
      <c r="V345" s="165"/>
    </row>
    <row r="346" ht="12.75" customHeight="1">
      <c r="A346" s="163"/>
      <c r="B346" s="163"/>
      <c r="C346" s="163"/>
      <c r="D346" s="1"/>
      <c r="E346" s="163"/>
      <c r="F346" s="11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5"/>
      <c r="V346" s="165"/>
    </row>
    <row r="347" ht="12.75" customHeight="1">
      <c r="A347" s="163"/>
      <c r="B347" s="163"/>
      <c r="C347" s="163"/>
      <c r="D347" s="1"/>
      <c r="E347" s="163"/>
      <c r="F347" s="11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5"/>
      <c r="V347" s="165"/>
    </row>
    <row r="348" ht="12.75" customHeight="1">
      <c r="A348" s="163"/>
      <c r="B348" s="163"/>
      <c r="C348" s="163"/>
      <c r="D348" s="1"/>
      <c r="E348" s="163"/>
      <c r="F348" s="11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5"/>
      <c r="V348" s="165"/>
    </row>
    <row r="349" ht="12.75" customHeight="1">
      <c r="A349" s="163"/>
      <c r="B349" s="163"/>
      <c r="C349" s="163"/>
      <c r="D349" s="1"/>
      <c r="E349" s="163"/>
      <c r="F349" s="11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5"/>
      <c r="V349" s="165"/>
    </row>
    <row r="350" ht="12.75" customHeight="1">
      <c r="A350" s="163"/>
      <c r="B350" s="163"/>
      <c r="C350" s="163"/>
      <c r="D350" s="1"/>
      <c r="E350" s="163"/>
      <c r="F350" s="11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5"/>
      <c r="V350" s="165"/>
    </row>
    <row r="351" ht="12.75" customHeight="1">
      <c r="A351" s="163"/>
      <c r="B351" s="163"/>
      <c r="C351" s="163"/>
      <c r="D351" s="1"/>
      <c r="E351" s="163"/>
      <c r="F351" s="11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5"/>
      <c r="V351" s="165"/>
    </row>
    <row r="352" ht="12.75" customHeight="1">
      <c r="A352" s="163"/>
      <c r="B352" s="163"/>
      <c r="C352" s="163"/>
      <c r="D352" s="1"/>
      <c r="E352" s="163"/>
      <c r="F352" s="11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5"/>
      <c r="V352" s="165"/>
    </row>
    <row r="353" ht="12.75" customHeight="1">
      <c r="A353" s="163"/>
      <c r="B353" s="163"/>
      <c r="C353" s="163"/>
      <c r="D353" s="1"/>
      <c r="E353" s="163"/>
      <c r="F353" s="11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5"/>
      <c r="V353" s="165"/>
    </row>
    <row r="354" ht="12.75" customHeight="1">
      <c r="A354" s="163"/>
      <c r="B354" s="163"/>
      <c r="C354" s="163"/>
      <c r="D354" s="1"/>
      <c r="E354" s="163"/>
      <c r="F354" s="11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5"/>
      <c r="V354" s="165"/>
    </row>
    <row r="355" ht="12.75" customHeight="1">
      <c r="A355" s="163"/>
      <c r="B355" s="163"/>
      <c r="C355" s="163"/>
      <c r="D355" s="1"/>
      <c r="E355" s="163"/>
      <c r="F355" s="11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5"/>
      <c r="V355" s="165"/>
    </row>
    <row r="356" ht="12.75" customHeight="1">
      <c r="A356" s="163"/>
      <c r="B356" s="163"/>
      <c r="C356" s="163"/>
      <c r="D356" s="1"/>
      <c r="E356" s="163"/>
      <c r="F356" s="11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5"/>
      <c r="V356" s="165"/>
    </row>
    <row r="357" ht="12.75" customHeight="1">
      <c r="A357" s="163"/>
      <c r="B357" s="163"/>
      <c r="C357" s="163"/>
      <c r="D357" s="1"/>
      <c r="E357" s="163"/>
      <c r="F357" s="11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5"/>
      <c r="V357" s="165"/>
    </row>
    <row r="358" ht="12.75" customHeight="1">
      <c r="A358" s="163"/>
      <c r="B358" s="163"/>
      <c r="C358" s="163"/>
      <c r="D358" s="1"/>
      <c r="E358" s="163"/>
      <c r="F358" s="11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5"/>
      <c r="V358" s="165"/>
    </row>
    <row r="359" ht="12.75" customHeight="1">
      <c r="A359" s="163"/>
      <c r="B359" s="163"/>
      <c r="C359" s="163"/>
      <c r="D359" s="1"/>
      <c r="E359" s="163"/>
      <c r="F359" s="11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5"/>
      <c r="V359" s="165"/>
    </row>
    <row r="360" ht="12.75" customHeight="1">
      <c r="A360" s="163"/>
      <c r="B360" s="163"/>
      <c r="C360" s="163"/>
      <c r="D360" s="1"/>
      <c r="E360" s="163"/>
      <c r="F360" s="11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5"/>
      <c r="V360" s="165"/>
    </row>
    <row r="361" ht="12.75" customHeight="1">
      <c r="A361" s="163"/>
      <c r="B361" s="163"/>
      <c r="C361" s="163"/>
      <c r="D361" s="1"/>
      <c r="E361" s="163"/>
      <c r="F361" s="11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5"/>
      <c r="V361" s="165"/>
    </row>
    <row r="362" ht="12.75" customHeight="1">
      <c r="A362" s="163"/>
      <c r="B362" s="163"/>
      <c r="C362" s="163"/>
      <c r="D362" s="1"/>
      <c r="E362" s="163"/>
      <c r="F362" s="11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5"/>
      <c r="V362" s="165"/>
    </row>
    <row r="363" ht="12.75" customHeight="1">
      <c r="A363" s="163"/>
      <c r="B363" s="163"/>
      <c r="C363" s="163"/>
      <c r="D363" s="1"/>
      <c r="E363" s="163"/>
      <c r="F363" s="11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5"/>
      <c r="V363" s="165"/>
    </row>
    <row r="364" ht="12.75" customHeight="1">
      <c r="A364" s="163"/>
      <c r="B364" s="163"/>
      <c r="C364" s="163"/>
      <c r="D364" s="1"/>
      <c r="E364" s="163"/>
      <c r="F364" s="11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5"/>
      <c r="V364" s="165"/>
    </row>
    <row r="365" ht="12.75" customHeight="1">
      <c r="A365" s="163"/>
      <c r="B365" s="163"/>
      <c r="C365" s="163"/>
      <c r="D365" s="1"/>
      <c r="E365" s="163"/>
      <c r="F365" s="11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5"/>
      <c r="V365" s="165"/>
    </row>
    <row r="366" ht="12.75" customHeight="1">
      <c r="A366" s="163"/>
      <c r="B366" s="163"/>
      <c r="C366" s="163"/>
      <c r="D366" s="1"/>
      <c r="E366" s="163"/>
      <c r="F366" s="11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5"/>
      <c r="V366" s="165"/>
    </row>
    <row r="367" ht="12.75" customHeight="1">
      <c r="A367" s="163"/>
      <c r="B367" s="163"/>
      <c r="C367" s="163"/>
      <c r="D367" s="1"/>
      <c r="E367" s="163"/>
      <c r="F367" s="11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5"/>
      <c r="V367" s="165"/>
    </row>
    <row r="368" ht="12.75" customHeight="1">
      <c r="A368" s="163"/>
      <c r="B368" s="163"/>
      <c r="C368" s="163"/>
      <c r="D368" s="1"/>
      <c r="E368" s="163"/>
      <c r="F368" s="11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5"/>
      <c r="V368" s="165"/>
    </row>
    <row r="369" ht="12.75" customHeight="1">
      <c r="A369" s="163"/>
      <c r="B369" s="163"/>
      <c r="C369" s="163"/>
      <c r="D369" s="1"/>
      <c r="E369" s="163"/>
      <c r="F369" s="11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5"/>
      <c r="V369" s="165"/>
    </row>
    <row r="370" ht="12.75" customHeight="1">
      <c r="A370" s="163"/>
      <c r="B370" s="163"/>
      <c r="C370" s="163"/>
      <c r="D370" s="1"/>
      <c r="E370" s="163"/>
      <c r="F370" s="11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5"/>
      <c r="V370" s="165"/>
    </row>
    <row r="371" ht="12.75" customHeight="1">
      <c r="A371" s="163"/>
      <c r="B371" s="163"/>
      <c r="C371" s="163"/>
      <c r="D371" s="1"/>
      <c r="E371" s="163"/>
      <c r="F371" s="11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5"/>
      <c r="V371" s="165"/>
    </row>
    <row r="372" ht="12.75" customHeight="1">
      <c r="A372" s="163"/>
      <c r="B372" s="163"/>
      <c r="C372" s="163"/>
      <c r="D372" s="1"/>
      <c r="E372" s="163"/>
      <c r="F372" s="11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5"/>
      <c r="V372" s="165"/>
    </row>
    <row r="373" ht="12.75" customHeight="1">
      <c r="A373" s="163"/>
      <c r="B373" s="163"/>
      <c r="C373" s="163"/>
      <c r="D373" s="1"/>
      <c r="E373" s="163"/>
      <c r="F373" s="11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5"/>
      <c r="V373" s="165"/>
    </row>
    <row r="374" ht="12.75" customHeight="1">
      <c r="A374" s="163"/>
      <c r="B374" s="163"/>
      <c r="C374" s="163"/>
      <c r="D374" s="1"/>
      <c r="E374" s="163"/>
      <c r="F374" s="11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5"/>
      <c r="V374" s="165"/>
    </row>
    <row r="375" ht="12.75" customHeight="1">
      <c r="A375" s="163"/>
      <c r="B375" s="163"/>
      <c r="C375" s="163"/>
      <c r="D375" s="1"/>
      <c r="E375" s="163"/>
      <c r="F375" s="11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5"/>
      <c r="V375" s="165"/>
    </row>
    <row r="376" ht="12.75" customHeight="1">
      <c r="A376" s="163"/>
      <c r="B376" s="163"/>
      <c r="C376" s="163"/>
      <c r="D376" s="1"/>
      <c r="E376" s="163"/>
      <c r="F376" s="11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5"/>
      <c r="V376" s="165"/>
    </row>
    <row r="377" ht="12.75" customHeight="1">
      <c r="A377" s="163"/>
      <c r="B377" s="163"/>
      <c r="C377" s="163"/>
      <c r="D377" s="1"/>
      <c r="E377" s="163"/>
      <c r="F377" s="11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5"/>
      <c r="V377" s="165"/>
    </row>
    <row r="378" ht="12.75" customHeight="1">
      <c r="A378" s="163"/>
      <c r="B378" s="163"/>
      <c r="C378" s="163"/>
      <c r="D378" s="1"/>
      <c r="E378" s="163"/>
      <c r="F378" s="11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5"/>
      <c r="V378" s="165"/>
    </row>
    <row r="379" ht="12.75" customHeight="1">
      <c r="A379" s="163"/>
      <c r="B379" s="163"/>
      <c r="C379" s="163"/>
      <c r="D379" s="1"/>
      <c r="E379" s="163"/>
      <c r="F379" s="11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5"/>
      <c r="V379" s="165"/>
    </row>
    <row r="380" ht="12.75" customHeight="1">
      <c r="A380" s="163"/>
      <c r="B380" s="163"/>
      <c r="C380" s="163"/>
      <c r="D380" s="1"/>
      <c r="E380" s="163"/>
      <c r="F380" s="11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5"/>
      <c r="V380" s="165"/>
    </row>
    <row r="381" ht="12.75" customHeight="1">
      <c r="A381" s="163"/>
      <c r="B381" s="163"/>
      <c r="C381" s="163"/>
      <c r="D381" s="1"/>
      <c r="E381" s="163"/>
      <c r="F381" s="11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5"/>
      <c r="V381" s="165"/>
    </row>
    <row r="382" ht="12.75" customHeight="1">
      <c r="A382" s="163"/>
      <c r="B382" s="163"/>
      <c r="C382" s="163"/>
      <c r="D382" s="1"/>
      <c r="E382" s="163"/>
      <c r="F382" s="11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5"/>
      <c r="V382" s="165"/>
    </row>
    <row r="383" ht="12.75" customHeight="1">
      <c r="A383" s="163"/>
      <c r="B383" s="163"/>
      <c r="C383" s="163"/>
      <c r="D383" s="1"/>
      <c r="E383" s="163"/>
      <c r="F383" s="11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5"/>
      <c r="V383" s="165"/>
    </row>
    <row r="384" ht="12.75" customHeight="1">
      <c r="A384" s="163"/>
      <c r="B384" s="163"/>
      <c r="C384" s="163"/>
      <c r="D384" s="1"/>
      <c r="E384" s="163"/>
      <c r="F384" s="11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5"/>
      <c r="V384" s="165"/>
    </row>
    <row r="385" ht="12.75" customHeight="1">
      <c r="A385" s="163"/>
      <c r="B385" s="163"/>
      <c r="C385" s="163"/>
      <c r="D385" s="1"/>
      <c r="E385" s="163"/>
      <c r="F385" s="11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5"/>
      <c r="V385" s="165"/>
    </row>
    <row r="386" ht="12.75" customHeight="1">
      <c r="A386" s="163"/>
      <c r="B386" s="163"/>
      <c r="C386" s="163"/>
      <c r="D386" s="1"/>
      <c r="E386" s="163"/>
      <c r="F386" s="11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5"/>
      <c r="V386" s="165"/>
    </row>
    <row r="387" ht="12.75" customHeight="1">
      <c r="A387" s="163"/>
      <c r="B387" s="163"/>
      <c r="C387" s="163"/>
      <c r="D387" s="1"/>
      <c r="E387" s="163"/>
      <c r="F387" s="11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5"/>
      <c r="V387" s="165"/>
    </row>
    <row r="388" ht="12.75" customHeight="1">
      <c r="A388" s="163"/>
      <c r="B388" s="163"/>
      <c r="C388" s="163"/>
      <c r="D388" s="1"/>
      <c r="E388" s="163"/>
      <c r="F388" s="11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5"/>
      <c r="V388" s="165"/>
    </row>
    <row r="389" ht="12.75" customHeight="1">
      <c r="A389" s="163"/>
      <c r="B389" s="163"/>
      <c r="C389" s="163"/>
      <c r="D389" s="1"/>
      <c r="E389" s="163"/>
      <c r="F389" s="11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5"/>
      <c r="V389" s="165"/>
    </row>
    <row r="390" ht="12.75" customHeight="1">
      <c r="A390" s="163"/>
      <c r="B390" s="163"/>
      <c r="C390" s="163"/>
      <c r="D390" s="1"/>
      <c r="E390" s="163"/>
      <c r="F390" s="11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5"/>
      <c r="V390" s="165"/>
    </row>
    <row r="391" ht="12.75" customHeight="1">
      <c r="A391" s="163"/>
      <c r="B391" s="163"/>
      <c r="C391" s="163"/>
      <c r="D391" s="1"/>
      <c r="E391" s="163"/>
      <c r="F391" s="11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5"/>
      <c r="V391" s="165"/>
    </row>
    <row r="392" ht="12.75" customHeight="1">
      <c r="A392" s="163"/>
      <c r="B392" s="163"/>
      <c r="C392" s="163"/>
      <c r="D392" s="1"/>
      <c r="E392" s="163"/>
      <c r="F392" s="11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5"/>
      <c r="V392" s="165"/>
    </row>
    <row r="393" ht="12.75" customHeight="1">
      <c r="A393" s="163"/>
      <c r="B393" s="163"/>
      <c r="C393" s="163"/>
      <c r="D393" s="1"/>
      <c r="E393" s="163"/>
      <c r="F393" s="11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5"/>
      <c r="V393" s="165"/>
    </row>
    <row r="394" ht="12.75" customHeight="1">
      <c r="A394" s="163"/>
      <c r="B394" s="163"/>
      <c r="C394" s="163"/>
      <c r="D394" s="1"/>
      <c r="E394" s="163"/>
      <c r="F394" s="11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5"/>
      <c r="V394" s="165"/>
    </row>
    <row r="395" ht="12.75" customHeight="1">
      <c r="A395" s="163"/>
      <c r="B395" s="163"/>
      <c r="C395" s="163"/>
      <c r="D395" s="1"/>
      <c r="E395" s="163"/>
      <c r="F395" s="11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5"/>
      <c r="V395" s="165"/>
    </row>
    <row r="396" ht="12.75" customHeight="1">
      <c r="A396" s="163"/>
      <c r="B396" s="163"/>
      <c r="C396" s="163"/>
      <c r="D396" s="1"/>
      <c r="E396" s="163"/>
      <c r="F396" s="11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5"/>
      <c r="V396" s="165"/>
    </row>
    <row r="397" ht="12.75" customHeight="1">
      <c r="A397" s="163"/>
      <c r="B397" s="163"/>
      <c r="C397" s="163"/>
      <c r="D397" s="1"/>
      <c r="E397" s="163"/>
      <c r="F397" s="11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5"/>
      <c r="V397" s="165"/>
    </row>
    <row r="398" ht="12.75" customHeight="1">
      <c r="A398" s="163"/>
      <c r="B398" s="163"/>
      <c r="C398" s="163"/>
      <c r="D398" s="1"/>
      <c r="E398" s="163"/>
      <c r="F398" s="11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5"/>
      <c r="V398" s="165"/>
    </row>
    <row r="399" ht="12.75" customHeight="1">
      <c r="A399" s="163"/>
      <c r="B399" s="163"/>
      <c r="C399" s="163"/>
      <c r="D399" s="1"/>
      <c r="E399" s="163"/>
      <c r="F399" s="11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5"/>
      <c r="V399" s="165"/>
    </row>
    <row r="400" ht="12.75" customHeight="1">
      <c r="A400" s="163"/>
      <c r="B400" s="163"/>
      <c r="C400" s="163"/>
      <c r="D400" s="1"/>
      <c r="E400" s="163"/>
      <c r="F400" s="11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5"/>
      <c r="V400" s="165"/>
    </row>
    <row r="401" ht="12.75" customHeight="1">
      <c r="A401" s="163"/>
      <c r="B401" s="163"/>
      <c r="C401" s="163"/>
      <c r="D401" s="1"/>
      <c r="E401" s="163"/>
      <c r="F401" s="11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5"/>
      <c r="V401" s="165"/>
    </row>
    <row r="402" ht="12.75" customHeight="1">
      <c r="A402" s="163"/>
      <c r="B402" s="163"/>
      <c r="C402" s="163"/>
      <c r="D402" s="1"/>
      <c r="E402" s="163"/>
      <c r="F402" s="11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5"/>
      <c r="V402" s="165"/>
    </row>
    <row r="403" ht="12.75" customHeight="1">
      <c r="A403" s="163"/>
      <c r="B403" s="163"/>
      <c r="C403" s="163"/>
      <c r="D403" s="1"/>
      <c r="E403" s="163"/>
      <c r="F403" s="11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5"/>
      <c r="V403" s="165"/>
    </row>
    <row r="404" ht="12.75" customHeight="1">
      <c r="A404" s="163"/>
      <c r="B404" s="163"/>
      <c r="C404" s="163"/>
      <c r="D404" s="1"/>
      <c r="E404" s="163"/>
      <c r="F404" s="11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5"/>
      <c r="V404" s="165"/>
    </row>
    <row r="405" ht="12.75" customHeight="1">
      <c r="A405" s="163"/>
      <c r="B405" s="163"/>
      <c r="C405" s="163"/>
      <c r="D405" s="1"/>
      <c r="E405" s="163"/>
      <c r="F405" s="11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5"/>
      <c r="V405" s="165"/>
    </row>
    <row r="406" ht="12.75" customHeight="1">
      <c r="A406" s="163"/>
      <c r="B406" s="163"/>
      <c r="C406" s="163"/>
      <c r="D406" s="1"/>
      <c r="E406" s="163"/>
      <c r="F406" s="11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5"/>
      <c r="V406" s="165"/>
    </row>
    <row r="407" ht="12.75" customHeight="1">
      <c r="A407" s="163"/>
      <c r="B407" s="163"/>
      <c r="C407" s="163"/>
      <c r="D407" s="1"/>
      <c r="E407" s="163"/>
      <c r="F407" s="11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5"/>
      <c r="V407" s="165"/>
    </row>
    <row r="408" ht="12.75" customHeight="1">
      <c r="A408" s="163"/>
      <c r="B408" s="163"/>
      <c r="C408" s="163"/>
      <c r="D408" s="1"/>
      <c r="E408" s="163"/>
      <c r="F408" s="11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5"/>
      <c r="V408" s="165"/>
    </row>
    <row r="409" ht="12.75" customHeight="1">
      <c r="A409" s="163"/>
      <c r="B409" s="163"/>
      <c r="C409" s="163"/>
      <c r="D409" s="1"/>
      <c r="E409" s="163"/>
      <c r="F409" s="11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5"/>
      <c r="V409" s="165"/>
    </row>
    <row r="410" ht="12.75" customHeight="1">
      <c r="A410" s="163"/>
      <c r="B410" s="163"/>
      <c r="C410" s="163"/>
      <c r="D410" s="1"/>
      <c r="E410" s="163"/>
      <c r="F410" s="11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5"/>
      <c r="V410" s="165"/>
    </row>
    <row r="411" ht="12.75" customHeight="1">
      <c r="A411" s="163"/>
      <c r="B411" s="163"/>
      <c r="C411" s="163"/>
      <c r="D411" s="1"/>
      <c r="E411" s="163"/>
      <c r="F411" s="11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5"/>
      <c r="V411" s="165"/>
    </row>
    <row r="412" ht="12.75" customHeight="1">
      <c r="A412" s="163"/>
      <c r="B412" s="163"/>
      <c r="C412" s="163"/>
      <c r="D412" s="1"/>
      <c r="E412" s="163"/>
      <c r="F412" s="11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5"/>
      <c r="V412" s="165"/>
    </row>
    <row r="413" ht="12.75" customHeight="1">
      <c r="A413" s="163"/>
      <c r="B413" s="163"/>
      <c r="C413" s="163"/>
      <c r="D413" s="1"/>
      <c r="E413" s="163"/>
      <c r="F413" s="11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5"/>
      <c r="V413" s="165"/>
    </row>
    <row r="414" ht="12.75" customHeight="1">
      <c r="A414" s="163"/>
      <c r="B414" s="163"/>
      <c r="C414" s="163"/>
      <c r="D414" s="1"/>
      <c r="E414" s="163"/>
      <c r="F414" s="11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5"/>
      <c r="V414" s="165"/>
    </row>
    <row r="415" ht="12.75" customHeight="1">
      <c r="A415" s="163"/>
      <c r="B415" s="163"/>
      <c r="C415" s="163"/>
      <c r="D415" s="1"/>
      <c r="E415" s="163"/>
      <c r="F415" s="11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5"/>
      <c r="V415" s="165"/>
    </row>
    <row r="416" ht="12.75" customHeight="1">
      <c r="A416" s="163"/>
      <c r="B416" s="163"/>
      <c r="C416" s="163"/>
      <c r="D416" s="1"/>
      <c r="E416" s="163"/>
      <c r="F416" s="11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5"/>
      <c r="V416" s="165"/>
    </row>
    <row r="417" ht="12.75" customHeight="1">
      <c r="A417" s="163"/>
      <c r="B417" s="163"/>
      <c r="C417" s="163"/>
      <c r="D417" s="1"/>
      <c r="E417" s="163"/>
      <c r="F417" s="11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5"/>
      <c r="V417" s="165"/>
    </row>
    <row r="418" ht="12.75" customHeight="1">
      <c r="A418" s="163"/>
      <c r="B418" s="163"/>
      <c r="C418" s="163"/>
      <c r="D418" s="1"/>
      <c r="E418" s="163"/>
      <c r="F418" s="11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5"/>
      <c r="V418" s="165"/>
    </row>
    <row r="419" ht="12.75" customHeight="1">
      <c r="A419" s="163"/>
      <c r="B419" s="163"/>
      <c r="C419" s="163"/>
      <c r="D419" s="1"/>
      <c r="E419" s="163"/>
      <c r="F419" s="11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5"/>
      <c r="V419" s="165"/>
    </row>
    <row r="420" ht="12.75" customHeight="1">
      <c r="A420" s="163"/>
      <c r="B420" s="163"/>
      <c r="C420" s="163"/>
      <c r="D420" s="1"/>
      <c r="E420" s="163"/>
      <c r="F420" s="11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5"/>
      <c r="V420" s="165"/>
    </row>
    <row r="421" ht="12.75" customHeight="1">
      <c r="A421" s="163"/>
      <c r="B421" s="163"/>
      <c r="C421" s="163"/>
      <c r="D421" s="1"/>
      <c r="E421" s="163"/>
      <c r="F421" s="11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5"/>
      <c r="V421" s="165"/>
    </row>
    <row r="422" ht="12.75" customHeight="1">
      <c r="A422" s="163"/>
      <c r="B422" s="163"/>
      <c r="C422" s="163"/>
      <c r="D422" s="1"/>
      <c r="E422" s="163"/>
      <c r="F422" s="11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5"/>
      <c r="V422" s="165"/>
    </row>
    <row r="423" ht="12.75" customHeight="1">
      <c r="A423" s="163"/>
      <c r="B423" s="163"/>
      <c r="C423" s="163"/>
      <c r="D423" s="1"/>
      <c r="E423" s="163"/>
      <c r="F423" s="11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5"/>
      <c r="V423" s="165"/>
    </row>
    <row r="424" ht="12.75" customHeight="1">
      <c r="A424" s="163"/>
      <c r="B424" s="163"/>
      <c r="C424" s="163"/>
      <c r="D424" s="1"/>
      <c r="E424" s="163"/>
      <c r="F424" s="11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5"/>
      <c r="V424" s="165"/>
    </row>
    <row r="425" ht="12.75" customHeight="1">
      <c r="A425" s="163"/>
      <c r="B425" s="163"/>
      <c r="C425" s="163"/>
      <c r="D425" s="1"/>
      <c r="E425" s="163"/>
      <c r="F425" s="11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5"/>
      <c r="V425" s="165"/>
    </row>
    <row r="426" ht="12.75" customHeight="1">
      <c r="A426" s="163"/>
      <c r="B426" s="163"/>
      <c r="C426" s="163"/>
      <c r="D426" s="1"/>
      <c r="E426" s="163"/>
      <c r="F426" s="11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5"/>
      <c r="V426" s="165"/>
    </row>
    <row r="427" ht="12.75" customHeight="1">
      <c r="A427" s="163"/>
      <c r="B427" s="163"/>
      <c r="C427" s="163"/>
      <c r="D427" s="1"/>
      <c r="E427" s="163"/>
      <c r="F427" s="11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5"/>
      <c r="V427" s="165"/>
    </row>
    <row r="428" ht="12.75" customHeight="1">
      <c r="A428" s="163"/>
      <c r="B428" s="163"/>
      <c r="C428" s="163"/>
      <c r="D428" s="1"/>
      <c r="E428" s="163"/>
      <c r="F428" s="11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5"/>
      <c r="V428" s="165"/>
    </row>
    <row r="429" ht="12.75" customHeight="1">
      <c r="A429" s="163"/>
      <c r="B429" s="163"/>
      <c r="C429" s="163"/>
      <c r="D429" s="1"/>
      <c r="E429" s="163"/>
      <c r="F429" s="11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5"/>
      <c r="V429" s="165"/>
    </row>
    <row r="430" ht="12.75" customHeight="1">
      <c r="A430" s="163"/>
      <c r="B430" s="163"/>
      <c r="C430" s="163"/>
      <c r="D430" s="1"/>
      <c r="E430" s="163"/>
      <c r="F430" s="11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5"/>
      <c r="V430" s="165"/>
    </row>
    <row r="431" ht="12.75" customHeight="1">
      <c r="A431" s="163"/>
      <c r="B431" s="163"/>
      <c r="C431" s="163"/>
      <c r="D431" s="1"/>
      <c r="E431" s="163"/>
      <c r="F431" s="11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5"/>
      <c r="V431" s="165"/>
    </row>
    <row r="432" ht="12.75" customHeight="1">
      <c r="A432" s="163"/>
      <c r="B432" s="163"/>
      <c r="C432" s="163"/>
      <c r="D432" s="1"/>
      <c r="E432" s="163"/>
      <c r="F432" s="11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5"/>
      <c r="V432" s="165"/>
    </row>
    <row r="433" ht="12.75" customHeight="1">
      <c r="A433" s="163"/>
      <c r="B433" s="163"/>
      <c r="C433" s="163"/>
      <c r="D433" s="1"/>
      <c r="E433" s="163"/>
      <c r="F433" s="11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5"/>
      <c r="V433" s="165"/>
    </row>
    <row r="434" ht="12.75" customHeight="1">
      <c r="A434" s="163"/>
      <c r="B434" s="163"/>
      <c r="C434" s="163"/>
      <c r="D434" s="1"/>
      <c r="E434" s="163"/>
      <c r="F434" s="11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5"/>
      <c r="V434" s="165"/>
    </row>
    <row r="435" ht="12.75" customHeight="1">
      <c r="A435" s="163"/>
      <c r="B435" s="163"/>
      <c r="C435" s="163"/>
      <c r="D435" s="1"/>
      <c r="E435" s="163"/>
      <c r="F435" s="11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5"/>
      <c r="V435" s="165"/>
    </row>
    <row r="436" ht="12.75" customHeight="1">
      <c r="A436" s="163"/>
      <c r="B436" s="163"/>
      <c r="C436" s="163"/>
      <c r="D436" s="1"/>
      <c r="E436" s="163"/>
      <c r="F436" s="11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5"/>
      <c r="V436" s="165"/>
    </row>
    <row r="437" ht="12.75" customHeight="1">
      <c r="A437" s="163"/>
      <c r="B437" s="163"/>
      <c r="C437" s="163"/>
      <c r="D437" s="1"/>
      <c r="E437" s="163"/>
      <c r="F437" s="11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5"/>
      <c r="V437" s="165"/>
    </row>
    <row r="438" ht="12.75" customHeight="1">
      <c r="A438" s="163"/>
      <c r="B438" s="163"/>
      <c r="C438" s="163"/>
      <c r="D438" s="1"/>
      <c r="E438" s="163"/>
      <c r="F438" s="11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5"/>
      <c r="V438" s="165"/>
    </row>
    <row r="439" ht="12.75" customHeight="1">
      <c r="A439" s="163"/>
      <c r="B439" s="163"/>
      <c r="C439" s="163"/>
      <c r="D439" s="1"/>
      <c r="E439" s="163"/>
      <c r="F439" s="11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5"/>
      <c r="V439" s="165"/>
    </row>
    <row r="440" ht="12.75" customHeight="1">
      <c r="A440" s="163"/>
      <c r="B440" s="163"/>
      <c r="C440" s="163"/>
      <c r="D440" s="1"/>
      <c r="E440" s="163"/>
      <c r="F440" s="11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5"/>
      <c r="V440" s="165"/>
    </row>
    <row r="441" ht="12.75" customHeight="1">
      <c r="A441" s="163"/>
      <c r="B441" s="163"/>
      <c r="C441" s="163"/>
      <c r="D441" s="1"/>
      <c r="E441" s="163"/>
      <c r="F441" s="11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5"/>
      <c r="V441" s="165"/>
    </row>
    <row r="442" ht="12.75" customHeight="1">
      <c r="A442" s="163"/>
      <c r="B442" s="163"/>
      <c r="C442" s="163"/>
      <c r="D442" s="1"/>
      <c r="E442" s="163"/>
      <c r="F442" s="11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5"/>
      <c r="V442" s="165"/>
    </row>
    <row r="443" ht="12.75" customHeight="1">
      <c r="A443" s="163"/>
      <c r="B443" s="163"/>
      <c r="C443" s="163"/>
      <c r="D443" s="1"/>
      <c r="E443" s="163"/>
      <c r="F443" s="11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5"/>
      <c r="V443" s="165"/>
    </row>
    <row r="444" ht="12.75" customHeight="1">
      <c r="A444" s="163"/>
      <c r="B444" s="163"/>
      <c r="C444" s="163"/>
      <c r="D444" s="1"/>
      <c r="E444" s="163"/>
      <c r="F444" s="11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5"/>
      <c r="V444" s="165"/>
    </row>
    <row r="445" ht="12.75" customHeight="1">
      <c r="A445" s="163"/>
      <c r="B445" s="163"/>
      <c r="C445" s="163"/>
      <c r="D445" s="1"/>
      <c r="E445" s="163"/>
      <c r="F445" s="11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5"/>
      <c r="V445" s="165"/>
    </row>
    <row r="446" ht="12.75" customHeight="1">
      <c r="A446" s="163"/>
      <c r="B446" s="163"/>
      <c r="C446" s="163"/>
      <c r="D446" s="1"/>
      <c r="E446" s="163"/>
      <c r="F446" s="11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5"/>
      <c r="V446" s="165"/>
    </row>
    <row r="447" ht="12.75" customHeight="1">
      <c r="A447" s="163"/>
      <c r="B447" s="163"/>
      <c r="C447" s="163"/>
      <c r="D447" s="1"/>
      <c r="E447" s="163"/>
      <c r="F447" s="11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5"/>
      <c r="V447" s="165"/>
    </row>
    <row r="448" ht="12.75" customHeight="1">
      <c r="A448" s="163"/>
      <c r="B448" s="163"/>
      <c r="C448" s="163"/>
      <c r="D448" s="1"/>
      <c r="E448" s="163"/>
      <c r="F448" s="11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5"/>
      <c r="V448" s="165"/>
    </row>
    <row r="449" ht="12.75" customHeight="1">
      <c r="A449" s="163"/>
      <c r="B449" s="163"/>
      <c r="C449" s="163"/>
      <c r="D449" s="1"/>
      <c r="E449" s="163"/>
      <c r="F449" s="11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5"/>
      <c r="V449" s="165"/>
    </row>
    <row r="450" ht="12.75" customHeight="1">
      <c r="A450" s="163"/>
      <c r="B450" s="163"/>
      <c r="C450" s="163"/>
      <c r="D450" s="1"/>
      <c r="E450" s="163"/>
      <c r="F450" s="11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5"/>
      <c r="V450" s="165"/>
    </row>
    <row r="451" ht="12.75" customHeight="1">
      <c r="A451" s="163"/>
      <c r="B451" s="163"/>
      <c r="C451" s="163"/>
      <c r="D451" s="1"/>
      <c r="E451" s="163"/>
      <c r="F451" s="11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5"/>
      <c r="V451" s="165"/>
    </row>
    <row r="452" ht="12.75" customHeight="1">
      <c r="A452" s="163"/>
      <c r="B452" s="163"/>
      <c r="C452" s="163"/>
      <c r="D452" s="1"/>
      <c r="E452" s="163"/>
      <c r="F452" s="11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5"/>
      <c r="V452" s="165"/>
    </row>
    <row r="453" ht="12.75" customHeight="1">
      <c r="A453" s="163"/>
      <c r="B453" s="163"/>
      <c r="C453" s="163"/>
      <c r="D453" s="1"/>
      <c r="E453" s="163"/>
      <c r="F453" s="11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5"/>
      <c r="V453" s="165"/>
    </row>
    <row r="454" ht="12.75" customHeight="1">
      <c r="A454" s="163"/>
      <c r="B454" s="163"/>
      <c r="C454" s="163"/>
      <c r="D454" s="1"/>
      <c r="E454" s="163"/>
      <c r="F454" s="11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5"/>
      <c r="V454" s="165"/>
    </row>
    <row r="455" ht="12.75" customHeight="1">
      <c r="A455" s="163"/>
      <c r="B455" s="163"/>
      <c r="C455" s="163"/>
      <c r="D455" s="1"/>
      <c r="E455" s="163"/>
      <c r="F455" s="11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5"/>
      <c r="V455" s="165"/>
    </row>
    <row r="456" ht="12.75" customHeight="1">
      <c r="A456" s="163"/>
      <c r="B456" s="163"/>
      <c r="C456" s="163"/>
      <c r="D456" s="1"/>
      <c r="E456" s="163"/>
      <c r="F456" s="11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5"/>
      <c r="V456" s="165"/>
    </row>
    <row r="457" ht="12.75" customHeight="1">
      <c r="A457" s="163"/>
      <c r="B457" s="163"/>
      <c r="C457" s="163"/>
      <c r="D457" s="1"/>
      <c r="E457" s="163"/>
      <c r="F457" s="11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5"/>
      <c r="V457" s="165"/>
    </row>
    <row r="458" ht="12.75" customHeight="1">
      <c r="A458" s="163"/>
      <c r="B458" s="163"/>
      <c r="C458" s="163"/>
      <c r="D458" s="1"/>
      <c r="E458" s="163"/>
      <c r="F458" s="11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5"/>
      <c r="V458" s="165"/>
    </row>
    <row r="459" ht="12.75" customHeight="1">
      <c r="A459" s="163"/>
      <c r="B459" s="163"/>
      <c r="C459" s="163"/>
      <c r="D459" s="1"/>
      <c r="E459" s="163"/>
      <c r="F459" s="11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5"/>
      <c r="V459" s="165"/>
    </row>
    <row r="460" ht="12.75" customHeight="1">
      <c r="A460" s="163"/>
      <c r="B460" s="163"/>
      <c r="C460" s="163"/>
      <c r="D460" s="1"/>
      <c r="E460" s="163"/>
      <c r="F460" s="11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5"/>
      <c r="V460" s="165"/>
    </row>
    <row r="461" ht="12.75" customHeight="1">
      <c r="A461" s="163"/>
      <c r="B461" s="163"/>
      <c r="C461" s="163"/>
      <c r="D461" s="1"/>
      <c r="E461" s="163"/>
      <c r="F461" s="11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5"/>
      <c r="V461" s="165"/>
    </row>
    <row r="462" ht="12.75" customHeight="1">
      <c r="A462" s="163"/>
      <c r="B462" s="163"/>
      <c r="C462" s="163"/>
      <c r="D462" s="1"/>
      <c r="E462" s="163"/>
      <c r="F462" s="11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5"/>
      <c r="V462" s="165"/>
    </row>
    <row r="463" ht="12.75" customHeight="1">
      <c r="A463" s="163"/>
      <c r="B463" s="163"/>
      <c r="C463" s="163"/>
      <c r="D463" s="1"/>
      <c r="E463" s="163"/>
      <c r="F463" s="11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5"/>
      <c r="V463" s="165"/>
    </row>
    <row r="464" ht="12.75" customHeight="1">
      <c r="A464" s="163"/>
      <c r="B464" s="163"/>
      <c r="C464" s="163"/>
      <c r="D464" s="1"/>
      <c r="E464" s="163"/>
      <c r="F464" s="11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5"/>
      <c r="V464" s="165"/>
    </row>
    <row r="465" ht="12.75" customHeight="1">
      <c r="A465" s="163"/>
      <c r="B465" s="163"/>
      <c r="C465" s="163"/>
      <c r="D465" s="1"/>
      <c r="E465" s="163"/>
      <c r="F465" s="11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5"/>
      <c r="V465" s="165"/>
    </row>
    <row r="466" ht="12.75" customHeight="1">
      <c r="A466" s="163"/>
      <c r="B466" s="163"/>
      <c r="C466" s="163"/>
      <c r="D466" s="1"/>
      <c r="E466" s="163"/>
      <c r="F466" s="11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5"/>
      <c r="V466" s="165"/>
    </row>
    <row r="467" ht="12.75" customHeight="1">
      <c r="A467" s="163"/>
      <c r="B467" s="163"/>
      <c r="C467" s="163"/>
      <c r="D467" s="1"/>
      <c r="E467" s="163"/>
      <c r="F467" s="11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5"/>
      <c r="V467" s="165"/>
    </row>
    <row r="468" ht="12.75" customHeight="1">
      <c r="A468" s="163"/>
      <c r="B468" s="163"/>
      <c r="C468" s="163"/>
      <c r="D468" s="1"/>
      <c r="E468" s="163"/>
      <c r="F468" s="11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5"/>
      <c r="V468" s="165"/>
    </row>
    <row r="469" ht="12.75" customHeight="1">
      <c r="A469" s="163"/>
      <c r="B469" s="163"/>
      <c r="C469" s="163"/>
      <c r="D469" s="1"/>
      <c r="E469" s="163"/>
      <c r="F469" s="11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5"/>
      <c r="V469" s="165"/>
    </row>
    <row r="470" ht="12.75" customHeight="1">
      <c r="A470" s="163"/>
      <c r="B470" s="163"/>
      <c r="C470" s="163"/>
      <c r="D470" s="1"/>
      <c r="E470" s="163"/>
      <c r="F470" s="11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5"/>
      <c r="V470" s="165"/>
    </row>
    <row r="471" ht="12.75" customHeight="1">
      <c r="A471" s="163"/>
      <c r="B471" s="163"/>
      <c r="C471" s="163"/>
      <c r="D471" s="1"/>
      <c r="E471" s="163"/>
      <c r="F471" s="11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5"/>
      <c r="V471" s="165"/>
    </row>
    <row r="472" ht="12.75" customHeight="1">
      <c r="A472" s="163"/>
      <c r="B472" s="163"/>
      <c r="C472" s="163"/>
      <c r="D472" s="1"/>
      <c r="E472" s="163"/>
      <c r="F472" s="11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5"/>
      <c r="V472" s="165"/>
    </row>
    <row r="473" ht="12.75" customHeight="1">
      <c r="A473" s="163"/>
      <c r="B473" s="163"/>
      <c r="C473" s="163"/>
      <c r="D473" s="1"/>
      <c r="E473" s="163"/>
      <c r="F473" s="11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5"/>
      <c r="V473" s="165"/>
    </row>
    <row r="474" ht="12.75" customHeight="1">
      <c r="A474" s="163"/>
      <c r="B474" s="163"/>
      <c r="C474" s="163"/>
      <c r="D474" s="1"/>
      <c r="E474" s="163"/>
      <c r="F474" s="11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5"/>
      <c r="V474" s="165"/>
    </row>
    <row r="475" ht="12.75" customHeight="1">
      <c r="A475" s="163"/>
      <c r="B475" s="163"/>
      <c r="C475" s="163"/>
      <c r="D475" s="1"/>
      <c r="E475" s="163"/>
      <c r="F475" s="11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5"/>
      <c r="V475" s="165"/>
    </row>
    <row r="476" ht="12.75" customHeight="1">
      <c r="A476" s="163"/>
      <c r="B476" s="163"/>
      <c r="C476" s="163"/>
      <c r="D476" s="1"/>
      <c r="E476" s="163"/>
      <c r="F476" s="11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5"/>
      <c r="V476" s="165"/>
    </row>
    <row r="477" ht="12.75" customHeight="1">
      <c r="A477" s="163"/>
      <c r="B477" s="163"/>
      <c r="C477" s="163"/>
      <c r="D477" s="1"/>
      <c r="E477" s="163"/>
      <c r="F477" s="11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5"/>
      <c r="V477" s="165"/>
    </row>
    <row r="478" ht="12.75" customHeight="1">
      <c r="A478" s="163"/>
      <c r="B478" s="163"/>
      <c r="C478" s="163"/>
      <c r="D478" s="1"/>
      <c r="E478" s="163"/>
      <c r="F478" s="11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5"/>
      <c r="V478" s="165"/>
    </row>
    <row r="479" ht="12.75" customHeight="1">
      <c r="A479" s="163"/>
      <c r="B479" s="163"/>
      <c r="C479" s="163"/>
      <c r="D479" s="1"/>
      <c r="E479" s="163"/>
      <c r="F479" s="11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5"/>
      <c r="V479" s="165"/>
    </row>
    <row r="480" ht="12.75" customHeight="1">
      <c r="A480" s="163"/>
      <c r="B480" s="163"/>
      <c r="C480" s="163"/>
      <c r="D480" s="1"/>
      <c r="E480" s="163"/>
      <c r="F480" s="11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5"/>
      <c r="V480" s="165"/>
    </row>
    <row r="481" ht="12.75" customHeight="1">
      <c r="A481" s="163"/>
      <c r="B481" s="163"/>
      <c r="C481" s="163"/>
      <c r="D481" s="1"/>
      <c r="E481" s="163"/>
      <c r="F481" s="11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5"/>
      <c r="V481" s="165"/>
    </row>
    <row r="482" ht="12.75" customHeight="1">
      <c r="A482" s="163"/>
      <c r="B482" s="163"/>
      <c r="C482" s="163"/>
      <c r="D482" s="1"/>
      <c r="E482" s="163"/>
      <c r="F482" s="11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5"/>
      <c r="V482" s="165"/>
    </row>
    <row r="483" ht="12.75" customHeight="1">
      <c r="A483" s="163"/>
      <c r="B483" s="163"/>
      <c r="C483" s="163"/>
      <c r="D483" s="1"/>
      <c r="E483" s="163"/>
      <c r="F483" s="11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5"/>
      <c r="V483" s="165"/>
    </row>
    <row r="484" ht="12.75" customHeight="1">
      <c r="A484" s="163"/>
      <c r="B484" s="163"/>
      <c r="C484" s="163"/>
      <c r="D484" s="1"/>
      <c r="E484" s="163"/>
      <c r="F484" s="11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5"/>
      <c r="V484" s="165"/>
    </row>
    <row r="485" ht="12.75" customHeight="1">
      <c r="A485" s="163"/>
      <c r="B485" s="163"/>
      <c r="C485" s="163"/>
      <c r="D485" s="1"/>
      <c r="E485" s="163"/>
      <c r="F485" s="11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5"/>
      <c r="V485" s="165"/>
    </row>
    <row r="486" ht="12.75" customHeight="1">
      <c r="A486" s="163"/>
      <c r="B486" s="163"/>
      <c r="C486" s="163"/>
      <c r="D486" s="1"/>
      <c r="E486" s="163"/>
      <c r="F486" s="11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5"/>
      <c r="V486" s="165"/>
    </row>
    <row r="487" ht="12.75" customHeight="1">
      <c r="A487" s="163"/>
      <c r="B487" s="163"/>
      <c r="C487" s="163"/>
      <c r="D487" s="1"/>
      <c r="E487" s="163"/>
      <c r="F487" s="11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5"/>
      <c r="V487" s="165"/>
    </row>
    <row r="488" ht="12.75" customHeight="1">
      <c r="A488" s="163"/>
      <c r="B488" s="163"/>
      <c r="C488" s="163"/>
      <c r="D488" s="1"/>
      <c r="E488" s="163"/>
      <c r="F488" s="11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5"/>
      <c r="V488" s="165"/>
    </row>
    <row r="489" ht="12.75" customHeight="1">
      <c r="A489" s="163"/>
      <c r="B489" s="163"/>
      <c r="C489" s="163"/>
      <c r="D489" s="1"/>
      <c r="E489" s="163"/>
      <c r="F489" s="11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5"/>
      <c r="V489" s="165"/>
    </row>
    <row r="490" ht="12.75" customHeight="1">
      <c r="A490" s="163"/>
      <c r="B490" s="163"/>
      <c r="C490" s="163"/>
      <c r="D490" s="1"/>
      <c r="E490" s="163"/>
      <c r="F490" s="11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5"/>
      <c r="V490" s="165"/>
    </row>
    <row r="491" ht="12.75" customHeight="1">
      <c r="A491" s="163"/>
      <c r="B491" s="163"/>
      <c r="C491" s="163"/>
      <c r="D491" s="1"/>
      <c r="E491" s="163"/>
      <c r="F491" s="11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5"/>
      <c r="V491" s="165"/>
    </row>
    <row r="492" ht="12.75" customHeight="1">
      <c r="A492" s="163"/>
      <c r="B492" s="163"/>
      <c r="C492" s="163"/>
      <c r="D492" s="1"/>
      <c r="E492" s="163"/>
      <c r="F492" s="11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5"/>
      <c r="V492" s="165"/>
    </row>
    <row r="493" ht="12.75" customHeight="1">
      <c r="A493" s="163"/>
      <c r="B493" s="163"/>
      <c r="C493" s="163"/>
      <c r="D493" s="1"/>
      <c r="E493" s="163"/>
      <c r="F493" s="11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5"/>
      <c r="V493" s="165"/>
    </row>
    <row r="494" ht="12.75" customHeight="1">
      <c r="A494" s="163"/>
      <c r="B494" s="163"/>
      <c r="C494" s="163"/>
      <c r="D494" s="1"/>
      <c r="E494" s="163"/>
      <c r="F494" s="11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5"/>
      <c r="V494" s="165"/>
    </row>
    <row r="495" ht="12.75" customHeight="1">
      <c r="A495" s="163"/>
      <c r="B495" s="163"/>
      <c r="C495" s="163"/>
      <c r="D495" s="1"/>
      <c r="E495" s="163"/>
      <c r="F495" s="11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5"/>
      <c r="V495" s="165"/>
    </row>
    <row r="496" ht="12.75" customHeight="1">
      <c r="A496" s="163"/>
      <c r="B496" s="163"/>
      <c r="C496" s="163"/>
      <c r="D496" s="1"/>
      <c r="E496" s="163"/>
      <c r="F496" s="11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5"/>
      <c r="V496" s="165"/>
    </row>
    <row r="497" ht="12.75" customHeight="1">
      <c r="A497" s="163"/>
      <c r="B497" s="163"/>
      <c r="C497" s="163"/>
      <c r="D497" s="1"/>
      <c r="E497" s="163"/>
      <c r="F497" s="11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5"/>
      <c r="V497" s="165"/>
    </row>
    <row r="498" ht="12.75" customHeight="1">
      <c r="A498" s="163"/>
      <c r="B498" s="163"/>
      <c r="C498" s="163"/>
      <c r="D498" s="1"/>
      <c r="E498" s="163"/>
      <c r="F498" s="11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5"/>
      <c r="V498" s="165"/>
    </row>
    <row r="499" ht="12.75" customHeight="1">
      <c r="A499" s="163"/>
      <c r="B499" s="163"/>
      <c r="C499" s="163"/>
      <c r="D499" s="1"/>
      <c r="E499" s="163"/>
      <c r="F499" s="11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5"/>
      <c r="V499" s="165"/>
    </row>
    <row r="500" ht="12.75" customHeight="1">
      <c r="A500" s="163"/>
      <c r="B500" s="163"/>
      <c r="C500" s="163"/>
      <c r="D500" s="1"/>
      <c r="E500" s="163"/>
      <c r="F500" s="11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5"/>
      <c r="V500" s="165"/>
    </row>
    <row r="501" ht="12.75" customHeight="1">
      <c r="A501" s="163"/>
      <c r="B501" s="163"/>
      <c r="C501" s="163"/>
      <c r="D501" s="1"/>
      <c r="E501" s="163"/>
      <c r="F501" s="11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5"/>
      <c r="V501" s="165"/>
    </row>
    <row r="502" ht="12.75" customHeight="1">
      <c r="A502" s="163"/>
      <c r="B502" s="163"/>
      <c r="C502" s="163"/>
      <c r="D502" s="1"/>
      <c r="E502" s="163"/>
      <c r="F502" s="11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5"/>
      <c r="V502" s="165"/>
    </row>
    <row r="503" ht="12.75" customHeight="1">
      <c r="A503" s="163"/>
      <c r="B503" s="163"/>
      <c r="C503" s="163"/>
      <c r="D503" s="1"/>
      <c r="E503" s="163"/>
      <c r="F503" s="11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5"/>
      <c r="V503" s="165"/>
    </row>
    <row r="504" ht="12.75" customHeight="1">
      <c r="A504" s="163"/>
      <c r="B504" s="163"/>
      <c r="C504" s="163"/>
      <c r="D504" s="1"/>
      <c r="E504" s="163"/>
      <c r="F504" s="11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5"/>
      <c r="V504" s="165"/>
    </row>
    <row r="505" ht="12.75" customHeight="1">
      <c r="A505" s="163"/>
      <c r="B505" s="163"/>
      <c r="C505" s="163"/>
      <c r="D505" s="1"/>
      <c r="E505" s="163"/>
      <c r="F505" s="11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5"/>
      <c r="V505" s="165"/>
    </row>
    <row r="506" ht="12.75" customHeight="1">
      <c r="A506" s="163"/>
      <c r="B506" s="163"/>
      <c r="C506" s="163"/>
      <c r="D506" s="1"/>
      <c r="E506" s="163"/>
      <c r="F506" s="11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5"/>
      <c r="V506" s="165"/>
    </row>
    <row r="507" ht="12.75" customHeight="1">
      <c r="A507" s="163"/>
      <c r="B507" s="163"/>
      <c r="C507" s="163"/>
      <c r="D507" s="1"/>
      <c r="E507" s="163"/>
      <c r="F507" s="11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5"/>
      <c r="V507" s="165"/>
    </row>
    <row r="508" ht="12.75" customHeight="1">
      <c r="A508" s="163"/>
      <c r="B508" s="163"/>
      <c r="C508" s="163"/>
      <c r="D508" s="1"/>
      <c r="E508" s="163"/>
      <c r="F508" s="11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5"/>
      <c r="V508" s="165"/>
    </row>
    <row r="509" ht="12.75" customHeight="1">
      <c r="A509" s="163"/>
      <c r="B509" s="163"/>
      <c r="C509" s="163"/>
      <c r="D509" s="1"/>
      <c r="E509" s="163"/>
      <c r="F509" s="11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5"/>
      <c r="V509" s="165"/>
    </row>
    <row r="510" ht="12.75" customHeight="1">
      <c r="A510" s="163"/>
      <c r="B510" s="163"/>
      <c r="C510" s="163"/>
      <c r="D510" s="1"/>
      <c r="E510" s="163"/>
      <c r="F510" s="11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5"/>
      <c r="V510" s="165"/>
    </row>
    <row r="511" ht="12.75" customHeight="1">
      <c r="A511" s="163"/>
      <c r="B511" s="163"/>
      <c r="C511" s="163"/>
      <c r="D511" s="1"/>
      <c r="E511" s="163"/>
      <c r="F511" s="11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5"/>
      <c r="V511" s="165"/>
    </row>
    <row r="512" ht="12.75" customHeight="1">
      <c r="A512" s="163"/>
      <c r="B512" s="163"/>
      <c r="C512" s="163"/>
      <c r="D512" s="1"/>
      <c r="E512" s="163"/>
      <c r="F512" s="11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5"/>
      <c r="V512" s="165"/>
    </row>
    <row r="513" ht="12.75" customHeight="1">
      <c r="A513" s="163"/>
      <c r="B513" s="163"/>
      <c r="C513" s="163"/>
      <c r="D513" s="1"/>
      <c r="E513" s="163"/>
      <c r="F513" s="11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5"/>
      <c r="V513" s="165"/>
    </row>
    <row r="514" ht="12.75" customHeight="1">
      <c r="A514" s="163"/>
      <c r="B514" s="163"/>
      <c r="C514" s="163"/>
      <c r="D514" s="1"/>
      <c r="E514" s="163"/>
      <c r="F514" s="11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5"/>
      <c r="V514" s="165"/>
    </row>
    <row r="515" ht="12.75" customHeight="1">
      <c r="A515" s="163"/>
      <c r="B515" s="163"/>
      <c r="C515" s="163"/>
      <c r="D515" s="1"/>
      <c r="E515" s="163"/>
      <c r="F515" s="11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5"/>
      <c r="V515" s="165"/>
    </row>
    <row r="516" ht="12.75" customHeight="1">
      <c r="A516" s="163"/>
      <c r="B516" s="163"/>
      <c r="C516" s="163"/>
      <c r="D516" s="1"/>
      <c r="E516" s="163"/>
      <c r="F516" s="11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5"/>
      <c r="V516" s="165"/>
    </row>
    <row r="517" ht="12.75" customHeight="1">
      <c r="A517" s="163"/>
      <c r="B517" s="163"/>
      <c r="C517" s="163"/>
      <c r="D517" s="1"/>
      <c r="E517" s="163"/>
      <c r="F517" s="11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5"/>
      <c r="V517" s="165"/>
    </row>
    <row r="518" ht="12.75" customHeight="1">
      <c r="A518" s="163"/>
      <c r="B518" s="163"/>
      <c r="C518" s="163"/>
      <c r="D518" s="1"/>
      <c r="E518" s="163"/>
      <c r="F518" s="11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5"/>
      <c r="V518" s="165"/>
    </row>
    <row r="519" ht="12.75" customHeight="1">
      <c r="A519" s="163"/>
      <c r="B519" s="163"/>
      <c r="C519" s="163"/>
      <c r="D519" s="1"/>
      <c r="E519" s="163"/>
      <c r="F519" s="11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5"/>
      <c r="V519" s="165"/>
    </row>
    <row r="520" ht="12.75" customHeight="1">
      <c r="A520" s="163"/>
      <c r="B520" s="163"/>
      <c r="C520" s="163"/>
      <c r="D520" s="1"/>
      <c r="E520" s="163"/>
      <c r="F520" s="11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5"/>
      <c r="V520" s="165"/>
    </row>
    <row r="521" ht="12.75" customHeight="1">
      <c r="A521" s="163"/>
      <c r="B521" s="163"/>
      <c r="C521" s="163"/>
      <c r="D521" s="1"/>
      <c r="E521" s="163"/>
      <c r="F521" s="11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5"/>
      <c r="V521" s="165"/>
    </row>
    <row r="522" ht="12.75" customHeight="1">
      <c r="A522" s="163"/>
      <c r="B522" s="163"/>
      <c r="C522" s="163"/>
      <c r="D522" s="1"/>
      <c r="E522" s="163"/>
      <c r="F522" s="11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5"/>
      <c r="V522" s="165"/>
    </row>
    <row r="523" ht="12.75" customHeight="1">
      <c r="A523" s="163"/>
      <c r="B523" s="163"/>
      <c r="C523" s="163"/>
      <c r="D523" s="1"/>
      <c r="E523" s="163"/>
      <c r="F523" s="11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5"/>
      <c r="V523" s="165"/>
    </row>
    <row r="524" ht="12.75" customHeight="1">
      <c r="A524" s="163"/>
      <c r="B524" s="163"/>
      <c r="C524" s="163"/>
      <c r="D524" s="1"/>
      <c r="E524" s="163"/>
      <c r="F524" s="11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5"/>
      <c r="V524" s="165"/>
    </row>
    <row r="525" ht="12.75" customHeight="1">
      <c r="A525" s="163"/>
      <c r="B525" s="163"/>
      <c r="C525" s="163"/>
      <c r="D525" s="1"/>
      <c r="E525" s="163"/>
      <c r="F525" s="11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5"/>
      <c r="V525" s="165"/>
    </row>
    <row r="526" ht="12.75" customHeight="1">
      <c r="A526" s="163"/>
      <c r="B526" s="163"/>
      <c r="C526" s="163"/>
      <c r="D526" s="1"/>
      <c r="E526" s="163"/>
      <c r="F526" s="11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5"/>
      <c r="V526" s="165"/>
    </row>
    <row r="527" ht="12.75" customHeight="1">
      <c r="A527" s="163"/>
      <c r="B527" s="163"/>
      <c r="C527" s="163"/>
      <c r="D527" s="1"/>
      <c r="E527" s="163"/>
      <c r="F527" s="11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5"/>
      <c r="V527" s="165"/>
    </row>
    <row r="528" ht="12.75" customHeight="1">
      <c r="A528" s="163"/>
      <c r="B528" s="163"/>
      <c r="C528" s="163"/>
      <c r="D528" s="1"/>
      <c r="E528" s="163"/>
      <c r="F528" s="11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5"/>
      <c r="V528" s="165"/>
    </row>
    <row r="529" ht="12.75" customHeight="1">
      <c r="A529" s="163"/>
      <c r="B529" s="163"/>
      <c r="C529" s="163"/>
      <c r="D529" s="1"/>
      <c r="E529" s="163"/>
      <c r="F529" s="11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5"/>
      <c r="V529" s="165"/>
    </row>
    <row r="530" ht="12.75" customHeight="1">
      <c r="A530" s="163"/>
      <c r="B530" s="163"/>
      <c r="C530" s="163"/>
      <c r="D530" s="1"/>
      <c r="E530" s="163"/>
      <c r="F530" s="11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5"/>
      <c r="V530" s="165"/>
    </row>
    <row r="531" ht="12.75" customHeight="1">
      <c r="A531" s="163"/>
      <c r="B531" s="163"/>
      <c r="C531" s="163"/>
      <c r="D531" s="1"/>
      <c r="E531" s="163"/>
      <c r="F531" s="11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5"/>
      <c r="V531" s="165"/>
    </row>
    <row r="532" ht="12.75" customHeight="1">
      <c r="A532" s="163"/>
      <c r="B532" s="163"/>
      <c r="C532" s="163"/>
      <c r="D532" s="1"/>
      <c r="E532" s="163"/>
      <c r="F532" s="11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5"/>
      <c r="V532" s="165"/>
    </row>
    <row r="533" ht="12.75" customHeight="1">
      <c r="A533" s="163"/>
      <c r="B533" s="163"/>
      <c r="C533" s="163"/>
      <c r="D533" s="1"/>
      <c r="E533" s="163"/>
      <c r="F533" s="11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5"/>
      <c r="V533" s="165"/>
    </row>
    <row r="534" ht="12.75" customHeight="1">
      <c r="A534" s="163"/>
      <c r="B534" s="163"/>
      <c r="C534" s="163"/>
      <c r="D534" s="1"/>
      <c r="E534" s="163"/>
      <c r="F534" s="11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5"/>
      <c r="V534" s="165"/>
    </row>
    <row r="535" ht="12.75" customHeight="1">
      <c r="A535" s="163"/>
      <c r="B535" s="163"/>
      <c r="C535" s="163"/>
      <c r="D535" s="1"/>
      <c r="E535" s="163"/>
      <c r="F535" s="11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5"/>
      <c r="V535" s="165"/>
    </row>
    <row r="536" ht="12.75" customHeight="1">
      <c r="A536" s="163"/>
      <c r="B536" s="163"/>
      <c r="C536" s="163"/>
      <c r="D536" s="1"/>
      <c r="E536" s="163"/>
      <c r="F536" s="11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5"/>
      <c r="V536" s="165"/>
    </row>
    <row r="537" ht="12.75" customHeight="1">
      <c r="A537" s="163"/>
      <c r="B537" s="163"/>
      <c r="C537" s="163"/>
      <c r="D537" s="1"/>
      <c r="E537" s="163"/>
      <c r="F537" s="11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5"/>
      <c r="V537" s="165"/>
    </row>
    <row r="538" ht="12.75" customHeight="1">
      <c r="A538" s="163"/>
      <c r="B538" s="163"/>
      <c r="C538" s="163"/>
      <c r="D538" s="1"/>
      <c r="E538" s="163"/>
      <c r="F538" s="11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5"/>
      <c r="V538" s="165"/>
    </row>
    <row r="539" ht="12.75" customHeight="1">
      <c r="A539" s="163"/>
      <c r="B539" s="163"/>
      <c r="C539" s="163"/>
      <c r="D539" s="1"/>
      <c r="E539" s="163"/>
      <c r="F539" s="11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5"/>
      <c r="V539" s="165"/>
    </row>
    <row r="540" ht="12.75" customHeight="1">
      <c r="A540" s="163"/>
      <c r="B540" s="163"/>
      <c r="C540" s="163"/>
      <c r="D540" s="1"/>
      <c r="E540" s="163"/>
      <c r="F540" s="11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5"/>
      <c r="V540" s="165"/>
    </row>
    <row r="541" ht="12.75" customHeight="1">
      <c r="A541" s="163"/>
      <c r="B541" s="163"/>
      <c r="C541" s="163"/>
      <c r="D541" s="1"/>
      <c r="E541" s="163"/>
      <c r="F541" s="11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5"/>
      <c r="V541" s="165"/>
    </row>
    <row r="542" ht="12.75" customHeight="1">
      <c r="A542" s="163"/>
      <c r="B542" s="163"/>
      <c r="C542" s="163"/>
      <c r="D542" s="1"/>
      <c r="E542" s="163"/>
      <c r="F542" s="11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5"/>
      <c r="V542" s="165"/>
    </row>
    <row r="543" ht="12.75" customHeight="1">
      <c r="A543" s="163"/>
      <c r="B543" s="163"/>
      <c r="C543" s="163"/>
      <c r="D543" s="1"/>
      <c r="E543" s="163"/>
      <c r="F543" s="11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5"/>
      <c r="V543" s="165"/>
    </row>
    <row r="544" ht="12.75" customHeight="1">
      <c r="A544" s="163"/>
      <c r="B544" s="163"/>
      <c r="C544" s="163"/>
      <c r="D544" s="1"/>
      <c r="E544" s="163"/>
      <c r="F544" s="11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5"/>
      <c r="V544" s="165"/>
    </row>
    <row r="545" ht="12.75" customHeight="1">
      <c r="A545" s="163"/>
      <c r="B545" s="163"/>
      <c r="C545" s="163"/>
      <c r="D545" s="1"/>
      <c r="E545" s="163"/>
      <c r="F545" s="11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5"/>
      <c r="V545" s="165"/>
    </row>
    <row r="546" ht="12.75" customHeight="1">
      <c r="A546" s="163"/>
      <c r="B546" s="163"/>
      <c r="C546" s="163"/>
      <c r="D546" s="1"/>
      <c r="E546" s="163"/>
      <c r="F546" s="11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5"/>
      <c r="V546" s="165"/>
    </row>
    <row r="547" ht="12.75" customHeight="1">
      <c r="A547" s="163"/>
      <c r="B547" s="163"/>
      <c r="C547" s="163"/>
      <c r="D547" s="1"/>
      <c r="E547" s="163"/>
      <c r="F547" s="11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5"/>
      <c r="V547" s="165"/>
    </row>
    <row r="548" ht="12.75" customHeight="1">
      <c r="A548" s="163"/>
      <c r="B548" s="163"/>
      <c r="C548" s="163"/>
      <c r="D548" s="1"/>
      <c r="E548" s="163"/>
      <c r="F548" s="11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5"/>
      <c r="V548" s="165"/>
    </row>
    <row r="549" ht="12.75" customHeight="1">
      <c r="A549" s="163"/>
      <c r="B549" s="163"/>
      <c r="C549" s="163"/>
      <c r="D549" s="1"/>
      <c r="E549" s="163"/>
      <c r="F549" s="11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5"/>
      <c r="V549" s="165"/>
    </row>
    <row r="550" ht="12.75" customHeight="1">
      <c r="A550" s="163"/>
      <c r="B550" s="163"/>
      <c r="C550" s="163"/>
      <c r="D550" s="1"/>
      <c r="E550" s="163"/>
      <c r="F550" s="11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5"/>
      <c r="V550" s="165"/>
    </row>
    <row r="551" ht="12.75" customHeight="1">
      <c r="A551" s="163"/>
      <c r="B551" s="163"/>
      <c r="C551" s="163"/>
      <c r="D551" s="1"/>
      <c r="E551" s="163"/>
      <c r="F551" s="11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5"/>
      <c r="V551" s="165"/>
    </row>
    <row r="552" ht="12.75" customHeight="1">
      <c r="A552" s="163"/>
      <c r="B552" s="163"/>
      <c r="C552" s="163"/>
      <c r="D552" s="1"/>
      <c r="E552" s="163"/>
      <c r="F552" s="11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5"/>
      <c r="V552" s="165"/>
    </row>
    <row r="553" ht="12.75" customHeight="1">
      <c r="A553" s="163"/>
      <c r="B553" s="163"/>
      <c r="C553" s="163"/>
      <c r="D553" s="1"/>
      <c r="E553" s="163"/>
      <c r="F553" s="11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5"/>
      <c r="V553" s="165"/>
    </row>
    <row r="554" ht="12.75" customHeight="1">
      <c r="A554" s="163"/>
      <c r="B554" s="163"/>
      <c r="C554" s="163"/>
      <c r="D554" s="1"/>
      <c r="E554" s="163"/>
      <c r="F554" s="11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5"/>
      <c r="V554" s="165"/>
    </row>
    <row r="555" ht="12.75" customHeight="1">
      <c r="A555" s="163"/>
      <c r="B555" s="163"/>
      <c r="C555" s="163"/>
      <c r="D555" s="1"/>
      <c r="E555" s="163"/>
      <c r="F555" s="11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5"/>
      <c r="V555" s="165"/>
    </row>
    <row r="556" ht="12.75" customHeight="1">
      <c r="A556" s="163"/>
      <c r="B556" s="163"/>
      <c r="C556" s="163"/>
      <c r="D556" s="1"/>
      <c r="E556" s="163"/>
      <c r="F556" s="11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5"/>
      <c r="V556" s="165"/>
    </row>
    <row r="557" ht="12.75" customHeight="1">
      <c r="A557" s="163"/>
      <c r="B557" s="163"/>
      <c r="C557" s="163"/>
      <c r="D557" s="1"/>
      <c r="E557" s="163"/>
      <c r="F557" s="11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5"/>
      <c r="V557" s="165"/>
    </row>
    <row r="558" ht="12.75" customHeight="1">
      <c r="A558" s="163"/>
      <c r="B558" s="163"/>
      <c r="C558" s="163"/>
      <c r="D558" s="1"/>
      <c r="E558" s="163"/>
      <c r="F558" s="11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5"/>
      <c r="V558" s="165"/>
    </row>
    <row r="559" ht="12.75" customHeight="1">
      <c r="A559" s="163"/>
      <c r="B559" s="163"/>
      <c r="C559" s="163"/>
      <c r="D559" s="1"/>
      <c r="E559" s="163"/>
      <c r="F559" s="11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5"/>
      <c r="V559" s="165"/>
    </row>
    <row r="560" ht="12.75" customHeight="1">
      <c r="A560" s="107"/>
      <c r="B560" s="107"/>
      <c r="C560" s="107"/>
      <c r="D560" s="102"/>
      <c r="E560" s="107"/>
      <c r="F560" s="108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10"/>
      <c r="V560" s="110"/>
    </row>
    <row r="561" ht="12.75" customHeight="1">
      <c r="A561" s="107"/>
      <c r="B561" s="107"/>
      <c r="C561" s="107"/>
      <c r="D561" s="102"/>
      <c r="E561" s="107"/>
      <c r="F561" s="108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10"/>
      <c r="V561" s="110"/>
    </row>
    <row r="562" ht="12.75" customHeight="1">
      <c r="A562" s="107"/>
      <c r="B562" s="107"/>
      <c r="C562" s="107"/>
      <c r="D562" s="102"/>
      <c r="E562" s="107"/>
      <c r="F562" s="108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10"/>
      <c r="V562" s="110"/>
    </row>
    <row r="563" ht="12.75" customHeight="1">
      <c r="A563" s="107"/>
      <c r="B563" s="107"/>
      <c r="C563" s="107"/>
      <c r="D563" s="102"/>
      <c r="E563" s="107"/>
      <c r="F563" s="108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10"/>
      <c r="V563" s="110"/>
    </row>
    <row r="564" ht="12.75" customHeight="1">
      <c r="A564" s="107"/>
      <c r="B564" s="107"/>
      <c r="C564" s="107"/>
      <c r="D564" s="102"/>
      <c r="E564" s="107"/>
      <c r="F564" s="108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10"/>
      <c r="V564" s="110"/>
    </row>
    <row r="565" ht="12.75" customHeight="1">
      <c r="A565" s="107"/>
      <c r="B565" s="107"/>
      <c r="C565" s="107"/>
      <c r="D565" s="102"/>
      <c r="E565" s="107"/>
      <c r="F565" s="108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10"/>
      <c r="V565" s="110"/>
    </row>
    <row r="566" ht="12.75" customHeight="1">
      <c r="A566" s="107"/>
      <c r="B566" s="107"/>
      <c r="C566" s="107"/>
      <c r="D566" s="102"/>
      <c r="E566" s="107"/>
      <c r="F566" s="108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10"/>
      <c r="V566" s="110"/>
    </row>
    <row r="567" ht="12.75" customHeight="1">
      <c r="A567" s="107"/>
      <c r="B567" s="107"/>
      <c r="C567" s="107"/>
      <c r="D567" s="102"/>
      <c r="E567" s="107"/>
      <c r="F567" s="108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10"/>
      <c r="V567" s="110"/>
    </row>
    <row r="568" ht="12.75" customHeight="1">
      <c r="A568" s="107"/>
      <c r="B568" s="107"/>
      <c r="C568" s="107"/>
      <c r="D568" s="102"/>
      <c r="E568" s="107"/>
      <c r="F568" s="108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10"/>
      <c r="V568" s="110"/>
    </row>
    <row r="569" ht="12.75" customHeight="1">
      <c r="A569" s="107"/>
      <c r="B569" s="107"/>
      <c r="C569" s="107"/>
      <c r="D569" s="102"/>
      <c r="E569" s="107"/>
      <c r="F569" s="108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10"/>
      <c r="V569" s="110"/>
    </row>
    <row r="570" ht="12.75" customHeight="1">
      <c r="A570" s="107"/>
      <c r="B570" s="107"/>
      <c r="C570" s="107"/>
      <c r="D570" s="102"/>
      <c r="E570" s="107"/>
      <c r="F570" s="108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10"/>
      <c r="V570" s="110"/>
    </row>
    <row r="571" ht="12.75" customHeight="1">
      <c r="A571" s="107"/>
      <c r="B571" s="107"/>
      <c r="C571" s="107"/>
      <c r="D571" s="102"/>
      <c r="E571" s="107"/>
      <c r="F571" s="108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10"/>
      <c r="V571" s="110"/>
    </row>
    <row r="572" ht="12.75" customHeight="1">
      <c r="A572" s="107"/>
      <c r="B572" s="107"/>
      <c r="C572" s="107"/>
      <c r="D572" s="102"/>
      <c r="E572" s="107"/>
      <c r="F572" s="108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10"/>
      <c r="V572" s="110"/>
    </row>
    <row r="573" ht="12.75" customHeight="1">
      <c r="A573" s="107"/>
      <c r="B573" s="107"/>
      <c r="C573" s="107"/>
      <c r="D573" s="102"/>
      <c r="E573" s="107"/>
      <c r="F573" s="108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10"/>
      <c r="V573" s="110"/>
    </row>
    <row r="574" ht="12.75" customHeight="1">
      <c r="A574" s="107"/>
      <c r="B574" s="107"/>
      <c r="C574" s="107"/>
      <c r="D574" s="102"/>
      <c r="E574" s="107"/>
      <c r="F574" s="108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10"/>
      <c r="V574" s="110"/>
    </row>
    <row r="575" ht="12.75" customHeight="1">
      <c r="A575" s="107"/>
      <c r="B575" s="107"/>
      <c r="C575" s="107"/>
      <c r="D575" s="102"/>
      <c r="E575" s="107"/>
      <c r="F575" s="108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10"/>
      <c r="V575" s="110"/>
    </row>
    <row r="576" ht="12.75" customHeight="1">
      <c r="A576" s="107"/>
      <c r="B576" s="107"/>
      <c r="C576" s="107"/>
      <c r="D576" s="102"/>
      <c r="E576" s="107"/>
      <c r="F576" s="108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10"/>
      <c r="V576" s="110"/>
    </row>
    <row r="577" ht="12.75" customHeight="1">
      <c r="A577" s="107"/>
      <c r="B577" s="107"/>
      <c r="C577" s="107"/>
      <c r="D577" s="102"/>
      <c r="E577" s="107"/>
      <c r="F577" s="108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10"/>
      <c r="V577" s="110"/>
    </row>
    <row r="578" ht="12.75" customHeight="1">
      <c r="A578" s="107"/>
      <c r="B578" s="107"/>
      <c r="C578" s="107"/>
      <c r="D578" s="102"/>
      <c r="E578" s="107"/>
      <c r="F578" s="108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10"/>
      <c r="V578" s="110"/>
    </row>
    <row r="579" ht="12.75" customHeight="1">
      <c r="A579" s="107"/>
      <c r="B579" s="107"/>
      <c r="C579" s="107"/>
      <c r="D579" s="102"/>
      <c r="E579" s="107"/>
      <c r="F579" s="108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10"/>
      <c r="V579" s="110"/>
    </row>
    <row r="580" ht="12.75" customHeight="1">
      <c r="A580" s="107"/>
      <c r="B580" s="107"/>
      <c r="C580" s="107"/>
      <c r="D580" s="102"/>
      <c r="E580" s="107"/>
      <c r="F580" s="108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10"/>
      <c r="V580" s="110"/>
    </row>
    <row r="581" ht="12.75" customHeight="1">
      <c r="A581" s="107"/>
      <c r="B581" s="107"/>
      <c r="C581" s="107"/>
      <c r="D581" s="102"/>
      <c r="E581" s="107"/>
      <c r="F581" s="108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10"/>
      <c r="V581" s="110"/>
    </row>
    <row r="582" ht="12.75" customHeight="1">
      <c r="A582" s="107"/>
      <c r="B582" s="107"/>
      <c r="C582" s="107"/>
      <c r="D582" s="102"/>
      <c r="E582" s="107"/>
      <c r="F582" s="108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10"/>
      <c r="V582" s="110"/>
    </row>
    <row r="583" ht="12.75" customHeight="1">
      <c r="A583" s="107"/>
      <c r="B583" s="107"/>
      <c r="C583" s="107"/>
      <c r="D583" s="102"/>
      <c r="E583" s="107"/>
      <c r="F583" s="108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10"/>
      <c r="V583" s="110"/>
    </row>
    <row r="584" ht="12.75" customHeight="1">
      <c r="A584" s="107"/>
      <c r="B584" s="107"/>
      <c r="C584" s="107"/>
      <c r="D584" s="102"/>
      <c r="E584" s="107"/>
      <c r="F584" s="108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10"/>
      <c r="V584" s="110"/>
    </row>
    <row r="585" ht="12.75" customHeight="1">
      <c r="A585" s="107"/>
      <c r="B585" s="107"/>
      <c r="C585" s="107"/>
      <c r="D585" s="102"/>
      <c r="E585" s="107"/>
      <c r="F585" s="108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10"/>
      <c r="V585" s="110"/>
    </row>
    <row r="586" ht="12.75" customHeight="1">
      <c r="A586" s="107"/>
      <c r="B586" s="107"/>
      <c r="C586" s="107"/>
      <c r="D586" s="102"/>
      <c r="E586" s="107"/>
      <c r="F586" s="108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10"/>
      <c r="V586" s="110"/>
    </row>
    <row r="587" ht="12.75" customHeight="1">
      <c r="A587" s="107"/>
      <c r="B587" s="107"/>
      <c r="C587" s="107"/>
      <c r="D587" s="102"/>
      <c r="E587" s="107"/>
      <c r="F587" s="108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10"/>
      <c r="V587" s="110"/>
    </row>
    <row r="588" ht="12.75" customHeight="1">
      <c r="A588" s="107"/>
      <c r="B588" s="107"/>
      <c r="C588" s="107"/>
      <c r="D588" s="102"/>
      <c r="E588" s="107"/>
      <c r="F588" s="108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10"/>
      <c r="V588" s="110"/>
    </row>
    <row r="589" ht="12.75" customHeight="1">
      <c r="A589" s="107"/>
      <c r="B589" s="107"/>
      <c r="C589" s="107"/>
      <c r="D589" s="102"/>
      <c r="E589" s="107"/>
      <c r="F589" s="108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10"/>
      <c r="V589" s="110"/>
    </row>
    <row r="590" ht="12.75" customHeight="1">
      <c r="A590" s="107"/>
      <c r="B590" s="107"/>
      <c r="C590" s="107"/>
      <c r="D590" s="102"/>
      <c r="E590" s="107"/>
      <c r="F590" s="108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10"/>
      <c r="V590" s="110"/>
    </row>
    <row r="591" ht="12.75" customHeight="1">
      <c r="A591" s="107"/>
      <c r="B591" s="107"/>
      <c r="C591" s="107"/>
      <c r="D591" s="102"/>
      <c r="E591" s="107"/>
      <c r="F591" s="108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10"/>
      <c r="V591" s="110"/>
    </row>
    <row r="592" ht="12.75" customHeight="1">
      <c r="A592" s="107"/>
      <c r="B592" s="107"/>
      <c r="C592" s="107"/>
      <c r="D592" s="102"/>
      <c r="E592" s="107"/>
      <c r="F592" s="108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10"/>
      <c r="V592" s="110"/>
    </row>
    <row r="593" ht="12.75" customHeight="1">
      <c r="A593" s="107"/>
      <c r="B593" s="107"/>
      <c r="C593" s="107"/>
      <c r="D593" s="102"/>
      <c r="E593" s="107"/>
      <c r="F593" s="108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10"/>
      <c r="V593" s="110"/>
    </row>
    <row r="594" ht="12.75" customHeight="1">
      <c r="A594" s="107"/>
      <c r="B594" s="107"/>
      <c r="C594" s="107"/>
      <c r="D594" s="102"/>
      <c r="E594" s="107"/>
      <c r="F594" s="108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10"/>
      <c r="V594" s="110"/>
    </row>
    <row r="595" ht="12.75" customHeight="1">
      <c r="A595" s="107"/>
      <c r="B595" s="107"/>
      <c r="C595" s="107"/>
      <c r="D595" s="102"/>
      <c r="E595" s="107"/>
      <c r="F595" s="108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10"/>
      <c r="V595" s="110"/>
    </row>
    <row r="596" ht="12.75" customHeight="1">
      <c r="A596" s="107"/>
      <c r="B596" s="107"/>
      <c r="C596" s="107"/>
      <c r="D596" s="102"/>
      <c r="E596" s="107"/>
      <c r="F596" s="108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10"/>
      <c r="V596" s="110"/>
    </row>
    <row r="597" ht="12.75" customHeight="1">
      <c r="A597" s="107"/>
      <c r="B597" s="107"/>
      <c r="C597" s="107"/>
      <c r="D597" s="102"/>
      <c r="E597" s="107"/>
      <c r="F597" s="108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10"/>
      <c r="V597" s="110"/>
    </row>
    <row r="598" ht="12.75" customHeight="1">
      <c r="A598" s="107"/>
      <c r="B598" s="107"/>
      <c r="C598" s="107"/>
      <c r="D598" s="102"/>
      <c r="E598" s="107"/>
      <c r="F598" s="108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10"/>
      <c r="V598" s="110"/>
    </row>
    <row r="599" ht="12.75" customHeight="1">
      <c r="A599" s="107"/>
      <c r="B599" s="107"/>
      <c r="C599" s="107"/>
      <c r="D599" s="102"/>
      <c r="E599" s="107"/>
      <c r="F599" s="108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10"/>
      <c r="V599" s="110"/>
    </row>
    <row r="600" ht="12.75" customHeight="1">
      <c r="A600" s="107"/>
      <c r="B600" s="107"/>
      <c r="C600" s="107"/>
      <c r="D600" s="102"/>
      <c r="E600" s="107"/>
      <c r="F600" s="108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10"/>
      <c r="V600" s="110"/>
    </row>
    <row r="601" ht="12.75" customHeight="1">
      <c r="A601" s="107"/>
      <c r="B601" s="107"/>
      <c r="C601" s="107"/>
      <c r="D601" s="102"/>
      <c r="E601" s="107"/>
      <c r="F601" s="108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10"/>
      <c r="V601" s="110"/>
    </row>
    <row r="602" ht="12.75" customHeight="1">
      <c r="A602" s="107"/>
      <c r="B602" s="107"/>
      <c r="C602" s="107"/>
      <c r="D602" s="102"/>
      <c r="E602" s="107"/>
      <c r="F602" s="108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10"/>
      <c r="V602" s="110"/>
    </row>
    <row r="603" ht="12.75" customHeight="1">
      <c r="A603" s="107"/>
      <c r="B603" s="107"/>
      <c r="C603" s="107"/>
      <c r="D603" s="102"/>
      <c r="E603" s="107"/>
      <c r="F603" s="108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10"/>
      <c r="V603" s="110"/>
    </row>
    <row r="604" ht="12.75" customHeight="1">
      <c r="A604" s="107"/>
      <c r="B604" s="107"/>
      <c r="C604" s="107"/>
      <c r="D604" s="102"/>
      <c r="E604" s="107"/>
      <c r="F604" s="108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10"/>
      <c r="V604" s="110"/>
    </row>
    <row r="605" ht="12.75" customHeight="1">
      <c r="A605" s="107"/>
      <c r="B605" s="107"/>
      <c r="C605" s="107"/>
      <c r="D605" s="102"/>
      <c r="E605" s="107"/>
      <c r="F605" s="108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10"/>
      <c r="V605" s="110"/>
    </row>
    <row r="606" ht="12.75" customHeight="1">
      <c r="A606" s="107"/>
      <c r="B606" s="107"/>
      <c r="C606" s="107"/>
      <c r="D606" s="102"/>
      <c r="E606" s="107"/>
      <c r="F606" s="108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10"/>
      <c r="V606" s="110"/>
    </row>
    <row r="607" ht="12.75" customHeight="1">
      <c r="A607" s="107"/>
      <c r="B607" s="107"/>
      <c r="C607" s="107"/>
      <c r="D607" s="102"/>
      <c r="E607" s="107"/>
      <c r="F607" s="108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10"/>
      <c r="V607" s="110"/>
    </row>
    <row r="608" ht="12.75" customHeight="1">
      <c r="A608" s="107"/>
      <c r="B608" s="107"/>
      <c r="C608" s="107"/>
      <c r="D608" s="102"/>
      <c r="E608" s="107"/>
      <c r="F608" s="108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10"/>
      <c r="V608" s="110"/>
    </row>
    <row r="609" ht="12.75" customHeight="1">
      <c r="A609" s="107"/>
      <c r="B609" s="107"/>
      <c r="C609" s="107"/>
      <c r="D609" s="102"/>
      <c r="E609" s="107"/>
      <c r="F609" s="108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10"/>
      <c r="V609" s="110"/>
    </row>
    <row r="610" ht="12.75" customHeight="1">
      <c r="A610" s="107"/>
      <c r="B610" s="107"/>
      <c r="C610" s="107"/>
      <c r="D610" s="102"/>
      <c r="E610" s="107"/>
      <c r="F610" s="108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10"/>
      <c r="V610" s="110"/>
    </row>
    <row r="611" ht="12.75" customHeight="1">
      <c r="A611" s="107"/>
      <c r="B611" s="107"/>
      <c r="C611" s="107"/>
      <c r="D611" s="102"/>
      <c r="E611" s="107"/>
      <c r="F611" s="108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10"/>
      <c r="V611" s="110"/>
    </row>
    <row r="612" ht="12.75" customHeight="1">
      <c r="A612" s="107"/>
      <c r="B612" s="107"/>
      <c r="C612" s="107"/>
      <c r="D612" s="102"/>
      <c r="E612" s="107"/>
      <c r="F612" s="108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10"/>
      <c r="V612" s="110"/>
    </row>
    <row r="613" ht="12.75" customHeight="1">
      <c r="A613" s="107"/>
      <c r="B613" s="107"/>
      <c r="C613" s="107"/>
      <c r="D613" s="102"/>
      <c r="E613" s="107"/>
      <c r="F613" s="108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10"/>
      <c r="V613" s="110"/>
    </row>
    <row r="614" ht="12.75" customHeight="1">
      <c r="A614" s="107"/>
      <c r="B614" s="107"/>
      <c r="C614" s="107"/>
      <c r="D614" s="102"/>
      <c r="E614" s="107"/>
      <c r="F614" s="108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10"/>
      <c r="V614" s="110"/>
    </row>
    <row r="615" ht="12.75" customHeight="1">
      <c r="A615" s="107"/>
      <c r="B615" s="107"/>
      <c r="C615" s="107"/>
      <c r="D615" s="102"/>
      <c r="E615" s="107"/>
      <c r="F615" s="108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10"/>
      <c r="V615" s="110"/>
    </row>
    <row r="616" ht="12.75" customHeight="1">
      <c r="A616" s="107"/>
      <c r="B616" s="107"/>
      <c r="C616" s="107"/>
      <c r="D616" s="102"/>
      <c r="E616" s="107"/>
      <c r="F616" s="108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10"/>
      <c r="V616" s="110"/>
    </row>
    <row r="617" ht="12.75" customHeight="1">
      <c r="A617" s="107"/>
      <c r="B617" s="107"/>
      <c r="C617" s="107"/>
      <c r="D617" s="102"/>
      <c r="E617" s="107"/>
      <c r="F617" s="108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10"/>
      <c r="V617" s="110"/>
    </row>
    <row r="618" ht="12.75" customHeight="1">
      <c r="A618" s="107"/>
      <c r="B618" s="107"/>
      <c r="C618" s="107"/>
      <c r="D618" s="102"/>
      <c r="E618" s="107"/>
      <c r="F618" s="108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10"/>
      <c r="V618" s="110"/>
    </row>
    <row r="619" ht="12.75" customHeight="1">
      <c r="A619" s="107"/>
      <c r="B619" s="107"/>
      <c r="C619" s="107"/>
      <c r="D619" s="102"/>
      <c r="E619" s="107"/>
      <c r="F619" s="108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10"/>
      <c r="V619" s="110"/>
    </row>
    <row r="620" ht="12.75" customHeight="1">
      <c r="A620" s="107"/>
      <c r="B620" s="107"/>
      <c r="C620" s="107"/>
      <c r="D620" s="102"/>
      <c r="E620" s="107"/>
      <c r="F620" s="108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10"/>
      <c r="V620" s="110"/>
    </row>
    <row r="621" ht="12.75" customHeight="1">
      <c r="A621" s="107"/>
      <c r="B621" s="107"/>
      <c r="C621" s="107"/>
      <c r="D621" s="102"/>
      <c r="E621" s="107"/>
      <c r="F621" s="108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10"/>
      <c r="V621" s="110"/>
    </row>
    <row r="622" ht="12.75" customHeight="1">
      <c r="A622" s="107"/>
      <c r="B622" s="107"/>
      <c r="C622" s="107"/>
      <c r="D622" s="102"/>
      <c r="E622" s="107"/>
      <c r="F622" s="108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10"/>
      <c r="V622" s="110"/>
    </row>
    <row r="623" ht="12.75" customHeight="1">
      <c r="A623" s="107"/>
      <c r="B623" s="107"/>
      <c r="C623" s="107"/>
      <c r="D623" s="102"/>
      <c r="E623" s="107"/>
      <c r="F623" s="108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10"/>
      <c r="V623" s="110"/>
    </row>
    <row r="624" ht="12.75" customHeight="1">
      <c r="A624" s="107"/>
      <c r="B624" s="107"/>
      <c r="C624" s="107"/>
      <c r="D624" s="102"/>
      <c r="E624" s="107"/>
      <c r="F624" s="108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10"/>
      <c r="V624" s="110"/>
    </row>
    <row r="625" ht="12.75" customHeight="1">
      <c r="A625" s="107"/>
      <c r="B625" s="107"/>
      <c r="C625" s="107"/>
      <c r="D625" s="102"/>
      <c r="E625" s="107"/>
      <c r="F625" s="108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10"/>
      <c r="V625" s="110"/>
    </row>
    <row r="626" ht="12.75" customHeight="1">
      <c r="A626" s="107"/>
      <c r="B626" s="107"/>
      <c r="C626" s="107"/>
      <c r="D626" s="102"/>
      <c r="E626" s="107"/>
      <c r="F626" s="108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10"/>
      <c r="V626" s="110"/>
    </row>
    <row r="627" ht="12.75" customHeight="1">
      <c r="A627" s="107"/>
      <c r="B627" s="107"/>
      <c r="C627" s="107"/>
      <c r="D627" s="102"/>
      <c r="E627" s="107"/>
      <c r="F627" s="108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10"/>
      <c r="V627" s="110"/>
    </row>
    <row r="628" ht="12.75" customHeight="1">
      <c r="A628" s="107"/>
      <c r="B628" s="107"/>
      <c r="C628" s="107"/>
      <c r="D628" s="102"/>
      <c r="E628" s="107"/>
      <c r="F628" s="108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10"/>
      <c r="V628" s="110"/>
    </row>
    <row r="629" ht="12.75" customHeight="1">
      <c r="A629" s="107"/>
      <c r="B629" s="107"/>
      <c r="C629" s="107"/>
      <c r="D629" s="102"/>
      <c r="E629" s="107"/>
      <c r="F629" s="108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10"/>
      <c r="V629" s="110"/>
    </row>
    <row r="630" ht="12.75" customHeight="1">
      <c r="A630" s="107"/>
      <c r="B630" s="107"/>
      <c r="C630" s="107"/>
      <c r="D630" s="102"/>
      <c r="E630" s="107"/>
      <c r="F630" s="108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10"/>
      <c r="V630" s="110"/>
    </row>
    <row r="631" ht="12.75" customHeight="1">
      <c r="A631" s="107"/>
      <c r="B631" s="107"/>
      <c r="C631" s="107"/>
      <c r="D631" s="102"/>
      <c r="E631" s="107"/>
      <c r="F631" s="108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10"/>
      <c r="V631" s="110"/>
    </row>
    <row r="632" ht="12.75" customHeight="1">
      <c r="A632" s="107"/>
      <c r="B632" s="107"/>
      <c r="C632" s="107"/>
      <c r="D632" s="102"/>
      <c r="E632" s="107"/>
      <c r="F632" s="108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10"/>
      <c r="V632" s="110"/>
    </row>
    <row r="633" ht="12.75" customHeight="1">
      <c r="A633" s="107"/>
      <c r="B633" s="107"/>
      <c r="C633" s="107"/>
      <c r="D633" s="102"/>
      <c r="E633" s="107"/>
      <c r="F633" s="108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10"/>
      <c r="V633" s="110"/>
    </row>
    <row r="634" ht="12.75" customHeight="1">
      <c r="A634" s="107"/>
      <c r="B634" s="107"/>
      <c r="C634" s="107"/>
      <c r="D634" s="102"/>
      <c r="E634" s="107"/>
      <c r="F634" s="108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10"/>
      <c r="V634" s="110"/>
    </row>
    <row r="635" ht="12.75" customHeight="1">
      <c r="A635" s="107"/>
      <c r="B635" s="107"/>
      <c r="C635" s="107"/>
      <c r="D635" s="102"/>
      <c r="E635" s="107"/>
      <c r="F635" s="108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10"/>
      <c r="V635" s="110"/>
    </row>
    <row r="636" ht="12.75" customHeight="1">
      <c r="A636" s="107"/>
      <c r="B636" s="107"/>
      <c r="C636" s="107"/>
      <c r="D636" s="102"/>
      <c r="E636" s="107"/>
      <c r="F636" s="108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10"/>
      <c r="V636" s="110"/>
    </row>
    <row r="637" ht="12.75" customHeight="1">
      <c r="A637" s="107"/>
      <c r="B637" s="107"/>
      <c r="C637" s="107"/>
      <c r="D637" s="102"/>
      <c r="E637" s="107"/>
      <c r="F637" s="108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10"/>
      <c r="V637" s="110"/>
    </row>
    <row r="638" ht="12.75" customHeight="1">
      <c r="A638" s="107"/>
      <c r="B638" s="107"/>
      <c r="C638" s="107"/>
      <c r="D638" s="102"/>
      <c r="E638" s="107"/>
      <c r="F638" s="108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10"/>
      <c r="V638" s="110"/>
    </row>
    <row r="639" ht="12.75" customHeight="1">
      <c r="A639" s="107"/>
      <c r="B639" s="107"/>
      <c r="C639" s="107"/>
      <c r="D639" s="102"/>
      <c r="E639" s="107"/>
      <c r="F639" s="108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10"/>
      <c r="V639" s="110"/>
    </row>
    <row r="640" ht="12.75" customHeight="1">
      <c r="A640" s="107"/>
      <c r="B640" s="107"/>
      <c r="C640" s="107"/>
      <c r="D640" s="102"/>
      <c r="E640" s="107"/>
      <c r="F640" s="108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10"/>
      <c r="V640" s="110"/>
    </row>
    <row r="641" ht="12.75" customHeight="1">
      <c r="A641" s="107"/>
      <c r="B641" s="107"/>
      <c r="C641" s="107"/>
      <c r="D641" s="102"/>
      <c r="E641" s="107"/>
      <c r="F641" s="108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10"/>
      <c r="V641" s="110"/>
    </row>
    <row r="642" ht="12.75" customHeight="1">
      <c r="A642" s="107"/>
      <c r="B642" s="107"/>
      <c r="C642" s="107"/>
      <c r="D642" s="102"/>
      <c r="E642" s="107"/>
      <c r="F642" s="108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10"/>
      <c r="V642" s="110"/>
    </row>
    <row r="643" ht="12.75" customHeight="1">
      <c r="A643" s="107"/>
      <c r="B643" s="107"/>
      <c r="C643" s="107"/>
      <c r="D643" s="102"/>
      <c r="E643" s="107"/>
      <c r="F643" s="108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10"/>
      <c r="V643" s="110"/>
    </row>
    <row r="644" ht="12.75" customHeight="1">
      <c r="A644" s="107"/>
      <c r="B644" s="107"/>
      <c r="C644" s="107"/>
      <c r="D644" s="102"/>
      <c r="E644" s="107"/>
      <c r="F644" s="108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10"/>
      <c r="V644" s="110"/>
    </row>
    <row r="645" ht="12.75" customHeight="1">
      <c r="A645" s="107"/>
      <c r="B645" s="107"/>
      <c r="C645" s="107"/>
      <c r="D645" s="102"/>
      <c r="E645" s="107"/>
      <c r="F645" s="108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10"/>
      <c r="V645" s="110"/>
    </row>
    <row r="646" ht="12.75" customHeight="1">
      <c r="A646" s="107"/>
      <c r="B646" s="107"/>
      <c r="C646" s="107"/>
      <c r="D646" s="102"/>
      <c r="E646" s="107"/>
      <c r="F646" s="108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10"/>
      <c r="V646" s="110"/>
    </row>
    <row r="647" ht="12.75" customHeight="1">
      <c r="A647" s="107"/>
      <c r="B647" s="107"/>
      <c r="C647" s="107"/>
      <c r="D647" s="102"/>
      <c r="E647" s="107"/>
      <c r="F647" s="108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10"/>
      <c r="V647" s="110"/>
    </row>
    <row r="648" ht="12.75" customHeight="1">
      <c r="A648" s="107"/>
      <c r="B648" s="107"/>
      <c r="C648" s="107"/>
      <c r="D648" s="102"/>
      <c r="E648" s="107"/>
      <c r="F648" s="108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10"/>
      <c r="V648" s="110"/>
    </row>
    <row r="649" ht="12.75" customHeight="1">
      <c r="A649" s="107"/>
      <c r="B649" s="107"/>
      <c r="C649" s="107"/>
      <c r="D649" s="102"/>
      <c r="E649" s="107"/>
      <c r="F649" s="108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10"/>
      <c r="V649" s="110"/>
    </row>
    <row r="650" ht="12.75" customHeight="1">
      <c r="A650" s="107"/>
      <c r="B650" s="107"/>
      <c r="C650" s="107"/>
      <c r="D650" s="102"/>
      <c r="E650" s="107"/>
      <c r="F650" s="108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10"/>
      <c r="V650" s="110"/>
    </row>
    <row r="651" ht="12.75" customHeight="1">
      <c r="A651" s="107"/>
      <c r="B651" s="107"/>
      <c r="C651" s="107"/>
      <c r="D651" s="102"/>
      <c r="E651" s="107"/>
      <c r="F651" s="108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10"/>
      <c r="V651" s="110"/>
    </row>
    <row r="652" ht="12.75" customHeight="1">
      <c r="A652" s="107"/>
      <c r="B652" s="107"/>
      <c r="C652" s="107"/>
      <c r="D652" s="102"/>
      <c r="E652" s="107"/>
      <c r="F652" s="108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10"/>
      <c r="V652" s="110"/>
    </row>
    <row r="653" ht="12.75" customHeight="1">
      <c r="A653" s="107"/>
      <c r="B653" s="107"/>
      <c r="C653" s="107"/>
      <c r="D653" s="102"/>
      <c r="E653" s="107"/>
      <c r="F653" s="108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10"/>
      <c r="V653" s="110"/>
    </row>
    <row r="654" ht="12.75" customHeight="1">
      <c r="A654" s="107"/>
      <c r="B654" s="107"/>
      <c r="C654" s="107"/>
      <c r="D654" s="102"/>
      <c r="E654" s="107"/>
      <c r="F654" s="108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10"/>
      <c r="V654" s="110"/>
    </row>
    <row r="655" ht="12.75" customHeight="1">
      <c r="A655" s="107"/>
      <c r="B655" s="107"/>
      <c r="C655" s="107"/>
      <c r="D655" s="102"/>
      <c r="E655" s="107"/>
      <c r="F655" s="108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10"/>
      <c r="V655" s="110"/>
    </row>
    <row r="656" ht="12.75" customHeight="1">
      <c r="A656" s="107"/>
      <c r="B656" s="107"/>
      <c r="C656" s="107"/>
      <c r="D656" s="102"/>
      <c r="E656" s="107"/>
      <c r="F656" s="108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10"/>
      <c r="V656" s="110"/>
    </row>
    <row r="657" ht="12.75" customHeight="1">
      <c r="A657" s="107"/>
      <c r="B657" s="107"/>
      <c r="C657" s="107"/>
      <c r="D657" s="102"/>
      <c r="E657" s="107"/>
      <c r="F657" s="108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10"/>
      <c r="V657" s="110"/>
    </row>
    <row r="658" ht="12.75" customHeight="1">
      <c r="A658" s="107"/>
      <c r="B658" s="107"/>
      <c r="C658" s="107"/>
      <c r="D658" s="102"/>
      <c r="E658" s="107"/>
      <c r="F658" s="108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10"/>
      <c r="V658" s="110"/>
    </row>
    <row r="659" ht="12.75" customHeight="1">
      <c r="A659" s="107"/>
      <c r="B659" s="107"/>
      <c r="C659" s="107"/>
      <c r="D659" s="102"/>
      <c r="E659" s="107"/>
      <c r="F659" s="108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10"/>
      <c r="V659" s="110"/>
    </row>
    <row r="660" ht="12.75" customHeight="1">
      <c r="A660" s="107"/>
      <c r="B660" s="107"/>
      <c r="C660" s="107"/>
      <c r="D660" s="102"/>
      <c r="E660" s="107"/>
      <c r="F660" s="108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10"/>
      <c r="V660" s="110"/>
    </row>
    <row r="661" ht="12.75" customHeight="1">
      <c r="A661" s="107"/>
      <c r="B661" s="107"/>
      <c r="C661" s="107"/>
      <c r="D661" s="102"/>
      <c r="E661" s="107"/>
      <c r="F661" s="108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10"/>
      <c r="V661" s="110"/>
    </row>
    <row r="662" ht="12.75" customHeight="1">
      <c r="A662" s="107"/>
      <c r="B662" s="107"/>
      <c r="C662" s="107"/>
      <c r="D662" s="102"/>
      <c r="E662" s="107"/>
      <c r="F662" s="108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10"/>
      <c r="V662" s="110"/>
    </row>
    <row r="663" ht="12.75" customHeight="1">
      <c r="A663" s="107"/>
      <c r="B663" s="107"/>
      <c r="C663" s="107"/>
      <c r="D663" s="102"/>
      <c r="E663" s="107"/>
      <c r="F663" s="108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10"/>
      <c r="V663" s="110"/>
    </row>
    <row r="664" ht="12.75" customHeight="1">
      <c r="A664" s="107"/>
      <c r="B664" s="107"/>
      <c r="C664" s="107"/>
      <c r="D664" s="102"/>
      <c r="E664" s="107"/>
      <c r="F664" s="108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10"/>
      <c r="V664" s="110"/>
    </row>
    <row r="665" ht="12.75" customHeight="1">
      <c r="A665" s="107"/>
      <c r="B665" s="107"/>
      <c r="C665" s="107"/>
      <c r="D665" s="102"/>
      <c r="E665" s="107"/>
      <c r="F665" s="108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10"/>
      <c r="V665" s="110"/>
    </row>
    <row r="666" ht="12.75" customHeight="1">
      <c r="A666" s="107"/>
      <c r="B666" s="107"/>
      <c r="C666" s="107"/>
      <c r="D666" s="102"/>
      <c r="E666" s="107"/>
      <c r="F666" s="108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10"/>
      <c r="V666" s="110"/>
    </row>
    <row r="667" ht="12.75" customHeight="1">
      <c r="A667" s="107"/>
      <c r="B667" s="107"/>
      <c r="C667" s="107"/>
      <c r="D667" s="102"/>
      <c r="E667" s="107"/>
      <c r="F667" s="108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10"/>
      <c r="V667" s="110"/>
    </row>
    <row r="668" ht="12.75" customHeight="1">
      <c r="A668" s="107"/>
      <c r="B668" s="107"/>
      <c r="C668" s="107"/>
      <c r="D668" s="102"/>
      <c r="E668" s="107"/>
      <c r="F668" s="108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10"/>
      <c r="V668" s="110"/>
    </row>
    <row r="669" ht="12.75" customHeight="1">
      <c r="A669" s="107"/>
      <c r="B669" s="107"/>
      <c r="C669" s="107"/>
      <c r="D669" s="102"/>
      <c r="E669" s="107"/>
      <c r="F669" s="108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10"/>
      <c r="V669" s="110"/>
    </row>
    <row r="670" ht="12.75" customHeight="1">
      <c r="A670" s="107"/>
      <c r="B670" s="107"/>
      <c r="C670" s="107"/>
      <c r="D670" s="102"/>
      <c r="E670" s="107"/>
      <c r="F670" s="108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10"/>
      <c r="V670" s="110"/>
    </row>
    <row r="671" ht="12.75" customHeight="1">
      <c r="A671" s="107"/>
      <c r="B671" s="107"/>
      <c r="C671" s="107"/>
      <c r="D671" s="102"/>
      <c r="E671" s="107"/>
      <c r="F671" s="108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10"/>
      <c r="V671" s="110"/>
    </row>
    <row r="672" ht="12.75" customHeight="1">
      <c r="A672" s="107"/>
      <c r="B672" s="107"/>
      <c r="C672" s="107"/>
      <c r="D672" s="102"/>
      <c r="E672" s="107"/>
      <c r="F672" s="108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10"/>
      <c r="V672" s="110"/>
    </row>
    <row r="673" ht="12.75" customHeight="1">
      <c r="A673" s="107"/>
      <c r="B673" s="107"/>
      <c r="C673" s="107"/>
      <c r="D673" s="102"/>
      <c r="E673" s="107"/>
      <c r="F673" s="108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10"/>
      <c r="V673" s="110"/>
    </row>
    <row r="674" ht="12.75" customHeight="1">
      <c r="A674" s="107"/>
      <c r="B674" s="107"/>
      <c r="C674" s="107"/>
      <c r="D674" s="102"/>
      <c r="E674" s="107"/>
      <c r="F674" s="108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10"/>
      <c r="V674" s="110"/>
    </row>
    <row r="675" ht="12.75" customHeight="1">
      <c r="A675" s="107"/>
      <c r="B675" s="107"/>
      <c r="C675" s="107"/>
      <c r="D675" s="102"/>
      <c r="E675" s="107"/>
      <c r="F675" s="108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10"/>
      <c r="V675" s="110"/>
    </row>
    <row r="676" ht="12.75" customHeight="1">
      <c r="A676" s="107"/>
      <c r="B676" s="107"/>
      <c r="C676" s="107"/>
      <c r="D676" s="102"/>
      <c r="E676" s="107"/>
      <c r="F676" s="108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10"/>
      <c r="V676" s="110"/>
    </row>
    <row r="677" ht="12.75" customHeight="1">
      <c r="A677" s="107"/>
      <c r="B677" s="107"/>
      <c r="C677" s="107"/>
      <c r="D677" s="102"/>
      <c r="E677" s="107"/>
      <c r="F677" s="108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10"/>
      <c r="V677" s="110"/>
    </row>
    <row r="678" ht="12.75" customHeight="1">
      <c r="A678" s="107"/>
      <c r="B678" s="107"/>
      <c r="C678" s="107"/>
      <c r="D678" s="102"/>
      <c r="E678" s="107"/>
      <c r="F678" s="108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10"/>
      <c r="V678" s="110"/>
    </row>
    <row r="679" ht="12.75" customHeight="1">
      <c r="A679" s="107"/>
      <c r="B679" s="107"/>
      <c r="C679" s="107"/>
      <c r="D679" s="102"/>
      <c r="E679" s="107"/>
      <c r="F679" s="108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10"/>
      <c r="V679" s="110"/>
    </row>
    <row r="680" ht="12.75" customHeight="1">
      <c r="A680" s="107"/>
      <c r="B680" s="107"/>
      <c r="C680" s="107"/>
      <c r="D680" s="102"/>
      <c r="E680" s="107"/>
      <c r="F680" s="108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10"/>
      <c r="V680" s="110"/>
    </row>
    <row r="681" ht="12.75" customHeight="1">
      <c r="A681" s="107"/>
      <c r="B681" s="107"/>
      <c r="C681" s="107"/>
      <c r="D681" s="102"/>
      <c r="E681" s="107"/>
      <c r="F681" s="108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10"/>
      <c r="V681" s="110"/>
    </row>
    <row r="682" ht="12.75" customHeight="1">
      <c r="A682" s="107"/>
      <c r="B682" s="107"/>
      <c r="C682" s="107"/>
      <c r="D682" s="102"/>
      <c r="E682" s="107"/>
      <c r="F682" s="108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10"/>
      <c r="V682" s="110"/>
    </row>
    <row r="683" ht="12.75" customHeight="1">
      <c r="A683" s="107"/>
      <c r="B683" s="107"/>
      <c r="C683" s="107"/>
      <c r="D683" s="102"/>
      <c r="E683" s="107"/>
      <c r="F683" s="108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10"/>
      <c r="V683" s="110"/>
    </row>
    <row r="684" ht="12.75" customHeight="1">
      <c r="A684" s="107"/>
      <c r="B684" s="107"/>
      <c r="C684" s="107"/>
      <c r="D684" s="102"/>
      <c r="E684" s="107"/>
      <c r="F684" s="108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10"/>
      <c r="V684" s="110"/>
    </row>
    <row r="685" ht="12.75" customHeight="1">
      <c r="A685" s="107"/>
      <c r="B685" s="107"/>
      <c r="C685" s="107"/>
      <c r="D685" s="102"/>
      <c r="E685" s="107"/>
      <c r="F685" s="108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10"/>
      <c r="V685" s="110"/>
    </row>
    <row r="686" ht="12.75" customHeight="1">
      <c r="A686" s="107"/>
      <c r="B686" s="107"/>
      <c r="C686" s="107"/>
      <c r="D686" s="102"/>
      <c r="E686" s="107"/>
      <c r="F686" s="108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10"/>
      <c r="V686" s="110"/>
    </row>
    <row r="687" ht="12.75" customHeight="1">
      <c r="A687" s="107"/>
      <c r="B687" s="107"/>
      <c r="C687" s="107"/>
      <c r="D687" s="102"/>
      <c r="E687" s="107"/>
      <c r="F687" s="108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10"/>
      <c r="V687" s="110"/>
    </row>
    <row r="688" ht="12.75" customHeight="1">
      <c r="A688" s="107"/>
      <c r="B688" s="107"/>
      <c r="C688" s="107"/>
      <c r="D688" s="102"/>
      <c r="E688" s="107"/>
      <c r="F688" s="108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10"/>
      <c r="V688" s="110"/>
    </row>
    <row r="689" ht="12.75" customHeight="1">
      <c r="A689" s="107"/>
      <c r="B689" s="107"/>
      <c r="C689" s="107"/>
      <c r="D689" s="102"/>
      <c r="E689" s="107"/>
      <c r="F689" s="108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10"/>
      <c r="V689" s="110"/>
    </row>
    <row r="690" ht="12.75" customHeight="1">
      <c r="A690" s="107"/>
      <c r="B690" s="107"/>
      <c r="C690" s="107"/>
      <c r="D690" s="102"/>
      <c r="E690" s="107"/>
      <c r="F690" s="108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10"/>
      <c r="V690" s="110"/>
    </row>
    <row r="691" ht="12.75" customHeight="1">
      <c r="A691" s="107"/>
      <c r="B691" s="107"/>
      <c r="C691" s="107"/>
      <c r="D691" s="102"/>
      <c r="E691" s="107"/>
      <c r="F691" s="108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10"/>
      <c r="V691" s="110"/>
    </row>
    <row r="692" ht="12.75" customHeight="1">
      <c r="A692" s="107"/>
      <c r="B692" s="107"/>
      <c r="C692" s="107"/>
      <c r="D692" s="102"/>
      <c r="E692" s="107"/>
      <c r="F692" s="108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10"/>
      <c r="V692" s="110"/>
    </row>
    <row r="693" ht="12.75" customHeight="1">
      <c r="A693" s="107"/>
      <c r="B693" s="107"/>
      <c r="C693" s="107"/>
      <c r="D693" s="102"/>
      <c r="E693" s="107"/>
      <c r="F693" s="108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10"/>
      <c r="V693" s="110"/>
    </row>
    <row r="694" ht="12.75" customHeight="1">
      <c r="A694" s="107"/>
      <c r="B694" s="107"/>
      <c r="C694" s="107"/>
      <c r="D694" s="102"/>
      <c r="E694" s="107"/>
      <c r="F694" s="108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10"/>
      <c r="V694" s="110"/>
    </row>
    <row r="695" ht="12.75" customHeight="1">
      <c r="A695" s="107"/>
      <c r="B695" s="107"/>
      <c r="C695" s="107"/>
      <c r="D695" s="102"/>
      <c r="E695" s="107"/>
      <c r="F695" s="108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10"/>
      <c r="V695" s="110"/>
    </row>
    <row r="696" ht="12.75" customHeight="1">
      <c r="A696" s="107"/>
      <c r="B696" s="107"/>
      <c r="C696" s="107"/>
      <c r="D696" s="102"/>
      <c r="E696" s="107"/>
      <c r="F696" s="108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10"/>
      <c r="V696" s="110"/>
    </row>
    <row r="697" ht="12.75" customHeight="1">
      <c r="A697" s="107"/>
      <c r="B697" s="107"/>
      <c r="C697" s="107"/>
      <c r="D697" s="102"/>
      <c r="E697" s="107"/>
      <c r="F697" s="108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10"/>
      <c r="V697" s="110"/>
    </row>
    <row r="698" ht="12.75" customHeight="1">
      <c r="A698" s="107"/>
      <c r="B698" s="107"/>
      <c r="C698" s="107"/>
      <c r="D698" s="102"/>
      <c r="E698" s="107"/>
      <c r="F698" s="108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10"/>
      <c r="V698" s="110"/>
    </row>
    <row r="699" ht="12.75" customHeight="1">
      <c r="A699" s="107"/>
      <c r="B699" s="107"/>
      <c r="C699" s="107"/>
      <c r="D699" s="102"/>
      <c r="E699" s="107"/>
      <c r="F699" s="108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10"/>
      <c r="V699" s="110"/>
    </row>
    <row r="700" ht="12.75" customHeight="1">
      <c r="A700" s="107"/>
      <c r="B700" s="107"/>
      <c r="C700" s="107"/>
      <c r="D700" s="102"/>
      <c r="E700" s="107"/>
      <c r="F700" s="108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10"/>
      <c r="V700" s="110"/>
    </row>
    <row r="701" ht="12.75" customHeight="1">
      <c r="A701" s="107"/>
      <c r="B701" s="107"/>
      <c r="C701" s="107"/>
      <c r="D701" s="102"/>
      <c r="E701" s="107"/>
      <c r="F701" s="108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10"/>
      <c r="V701" s="110"/>
    </row>
    <row r="702" ht="12.75" customHeight="1">
      <c r="A702" s="107"/>
      <c r="B702" s="107"/>
      <c r="C702" s="107"/>
      <c r="D702" s="102"/>
      <c r="E702" s="107"/>
      <c r="F702" s="108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10"/>
      <c r="V702" s="110"/>
    </row>
    <row r="703" ht="12.75" customHeight="1">
      <c r="A703" s="107"/>
      <c r="B703" s="107"/>
      <c r="C703" s="107"/>
      <c r="D703" s="102"/>
      <c r="E703" s="107"/>
      <c r="F703" s="108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10"/>
      <c r="V703" s="110"/>
    </row>
    <row r="704" ht="12.75" customHeight="1">
      <c r="A704" s="107"/>
      <c r="B704" s="107"/>
      <c r="C704" s="107"/>
      <c r="D704" s="102"/>
      <c r="E704" s="107"/>
      <c r="F704" s="108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10"/>
      <c r="V704" s="110"/>
    </row>
    <row r="705" ht="12.75" customHeight="1">
      <c r="A705" s="107"/>
      <c r="B705" s="107"/>
      <c r="C705" s="107"/>
      <c r="D705" s="102"/>
      <c r="E705" s="107"/>
      <c r="F705" s="108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10"/>
      <c r="V705" s="110"/>
    </row>
    <row r="706" ht="12.75" customHeight="1">
      <c r="A706" s="107"/>
      <c r="B706" s="107"/>
      <c r="C706" s="107"/>
      <c r="D706" s="102"/>
      <c r="E706" s="107"/>
      <c r="F706" s="108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10"/>
      <c r="V706" s="110"/>
    </row>
    <row r="707" ht="12.75" customHeight="1">
      <c r="A707" s="107"/>
      <c r="B707" s="107"/>
      <c r="C707" s="107"/>
      <c r="D707" s="102"/>
      <c r="E707" s="107"/>
      <c r="F707" s="108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10"/>
      <c r="V707" s="110"/>
    </row>
    <row r="708" ht="12.75" customHeight="1">
      <c r="A708" s="107"/>
      <c r="B708" s="107"/>
      <c r="C708" s="107"/>
      <c r="D708" s="102"/>
      <c r="E708" s="107"/>
      <c r="F708" s="108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10"/>
      <c r="V708" s="110"/>
    </row>
    <row r="709" ht="12.75" customHeight="1">
      <c r="A709" s="107"/>
      <c r="B709" s="107"/>
      <c r="C709" s="107"/>
      <c r="D709" s="102"/>
      <c r="E709" s="107"/>
      <c r="F709" s="108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10"/>
      <c r="V709" s="110"/>
    </row>
    <row r="710" ht="12.75" customHeight="1">
      <c r="A710" s="107"/>
      <c r="B710" s="107"/>
      <c r="C710" s="107"/>
      <c r="D710" s="102"/>
      <c r="E710" s="107"/>
      <c r="F710" s="108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10"/>
      <c r="V710" s="110"/>
    </row>
    <row r="711" ht="12.75" customHeight="1">
      <c r="A711" s="107"/>
      <c r="B711" s="107"/>
      <c r="C711" s="107"/>
      <c r="D711" s="102"/>
      <c r="E711" s="107"/>
      <c r="F711" s="108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10"/>
      <c r="V711" s="110"/>
    </row>
    <row r="712" ht="12.75" customHeight="1">
      <c r="A712" s="107"/>
      <c r="B712" s="107"/>
      <c r="C712" s="107"/>
      <c r="D712" s="102"/>
      <c r="E712" s="107"/>
      <c r="F712" s="108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10"/>
      <c r="V712" s="110"/>
    </row>
    <row r="713" ht="12.75" customHeight="1">
      <c r="A713" s="107"/>
      <c r="B713" s="107"/>
      <c r="C713" s="107"/>
      <c r="D713" s="102"/>
      <c r="E713" s="107"/>
      <c r="F713" s="108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10"/>
      <c r="V713" s="110"/>
    </row>
    <row r="714" ht="12.75" customHeight="1">
      <c r="A714" s="107"/>
      <c r="B714" s="107"/>
      <c r="C714" s="107"/>
      <c r="D714" s="102"/>
      <c r="E714" s="107"/>
      <c r="F714" s="108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10"/>
      <c r="V714" s="110"/>
    </row>
    <row r="715" ht="12.75" customHeight="1">
      <c r="A715" s="107"/>
      <c r="B715" s="107"/>
      <c r="C715" s="107"/>
      <c r="D715" s="102"/>
      <c r="E715" s="107"/>
      <c r="F715" s="108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10"/>
      <c r="V715" s="110"/>
    </row>
    <row r="716" ht="12.75" customHeight="1">
      <c r="A716" s="107"/>
      <c r="B716" s="107"/>
      <c r="C716" s="107"/>
      <c r="D716" s="102"/>
      <c r="E716" s="107"/>
      <c r="F716" s="108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10"/>
      <c r="V716" s="110"/>
    </row>
    <row r="717" ht="12.75" customHeight="1">
      <c r="A717" s="107"/>
      <c r="B717" s="107"/>
      <c r="C717" s="107"/>
      <c r="D717" s="102"/>
      <c r="E717" s="107"/>
      <c r="F717" s="108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10"/>
      <c r="V717" s="110"/>
    </row>
    <row r="718" ht="12.75" customHeight="1">
      <c r="A718" s="107"/>
      <c r="B718" s="107"/>
      <c r="C718" s="107"/>
      <c r="D718" s="102"/>
      <c r="E718" s="107"/>
      <c r="F718" s="108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10"/>
      <c r="V718" s="110"/>
    </row>
    <row r="719" ht="12.75" customHeight="1">
      <c r="A719" s="107"/>
      <c r="B719" s="107"/>
      <c r="C719" s="107"/>
      <c r="D719" s="102"/>
      <c r="E719" s="107"/>
      <c r="F719" s="108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10"/>
      <c r="V719" s="110"/>
    </row>
    <row r="720" ht="12.75" customHeight="1">
      <c r="A720" s="107"/>
      <c r="B720" s="107"/>
      <c r="C720" s="107"/>
      <c r="D720" s="102"/>
      <c r="E720" s="107"/>
      <c r="F720" s="108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10"/>
      <c r="V720" s="110"/>
    </row>
    <row r="721" ht="12.75" customHeight="1">
      <c r="A721" s="107"/>
      <c r="B721" s="107"/>
      <c r="C721" s="107"/>
      <c r="D721" s="102"/>
      <c r="E721" s="107"/>
      <c r="F721" s="108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10"/>
      <c r="V721" s="110"/>
    </row>
    <row r="722" ht="12.75" customHeight="1">
      <c r="A722" s="107"/>
      <c r="B722" s="107"/>
      <c r="C722" s="107"/>
      <c r="D722" s="102"/>
      <c r="E722" s="107"/>
      <c r="F722" s="108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10"/>
      <c r="V722" s="110"/>
    </row>
    <row r="723" ht="12.75" customHeight="1">
      <c r="A723" s="107"/>
      <c r="B723" s="107"/>
      <c r="C723" s="107"/>
      <c r="D723" s="102"/>
      <c r="E723" s="107"/>
      <c r="F723" s="108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10"/>
      <c r="V723" s="110"/>
    </row>
    <row r="724" ht="12.75" customHeight="1">
      <c r="A724" s="107"/>
      <c r="B724" s="107"/>
      <c r="C724" s="107"/>
      <c r="D724" s="102"/>
      <c r="E724" s="107"/>
      <c r="F724" s="108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10"/>
      <c r="V724" s="110"/>
    </row>
    <row r="725" ht="12.75" customHeight="1">
      <c r="A725" s="107"/>
      <c r="B725" s="107"/>
      <c r="C725" s="107"/>
      <c r="D725" s="102"/>
      <c r="E725" s="107"/>
      <c r="F725" s="108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10"/>
      <c r="V725" s="110"/>
    </row>
    <row r="726" ht="12.75" customHeight="1">
      <c r="A726" s="107"/>
      <c r="B726" s="107"/>
      <c r="C726" s="107"/>
      <c r="D726" s="102"/>
      <c r="E726" s="107"/>
      <c r="F726" s="108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10"/>
      <c r="V726" s="110"/>
    </row>
    <row r="727" ht="12.75" customHeight="1">
      <c r="A727" s="107"/>
      <c r="B727" s="107"/>
      <c r="C727" s="107"/>
      <c r="D727" s="102"/>
      <c r="E727" s="107"/>
      <c r="F727" s="108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10"/>
      <c r="V727" s="110"/>
    </row>
    <row r="728" ht="12.75" customHeight="1">
      <c r="A728" s="107"/>
      <c r="B728" s="107"/>
      <c r="C728" s="107"/>
      <c r="D728" s="102"/>
      <c r="E728" s="107"/>
      <c r="F728" s="108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10"/>
      <c r="V728" s="110"/>
    </row>
    <row r="729" ht="12.75" customHeight="1">
      <c r="A729" s="107"/>
      <c r="B729" s="107"/>
      <c r="C729" s="107"/>
      <c r="D729" s="102"/>
      <c r="E729" s="107"/>
      <c r="F729" s="108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10"/>
      <c r="V729" s="110"/>
    </row>
    <row r="730" ht="12.75" customHeight="1">
      <c r="A730" s="107"/>
      <c r="B730" s="107"/>
      <c r="C730" s="107"/>
      <c r="D730" s="102"/>
      <c r="E730" s="107"/>
      <c r="F730" s="108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10"/>
      <c r="V730" s="110"/>
    </row>
    <row r="731" ht="12.75" customHeight="1">
      <c r="A731" s="107"/>
      <c r="B731" s="107"/>
      <c r="C731" s="107"/>
      <c r="D731" s="102"/>
      <c r="E731" s="107"/>
      <c r="F731" s="108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10"/>
      <c r="V731" s="110"/>
    </row>
    <row r="732" ht="12.75" customHeight="1">
      <c r="A732" s="107"/>
      <c r="B732" s="107"/>
      <c r="C732" s="107"/>
      <c r="D732" s="102"/>
      <c r="E732" s="107"/>
      <c r="F732" s="108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10"/>
      <c r="V732" s="110"/>
    </row>
    <row r="733" ht="12.75" customHeight="1">
      <c r="A733" s="107"/>
      <c r="B733" s="107"/>
      <c r="C733" s="107"/>
      <c r="D733" s="102"/>
      <c r="E733" s="107"/>
      <c r="F733" s="108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10"/>
      <c r="V733" s="110"/>
    </row>
    <row r="734" ht="12.75" customHeight="1">
      <c r="A734" s="107"/>
      <c r="B734" s="107"/>
      <c r="C734" s="107"/>
      <c r="D734" s="102"/>
      <c r="E734" s="107"/>
      <c r="F734" s="108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10"/>
      <c r="V734" s="110"/>
    </row>
    <row r="735" ht="12.75" customHeight="1">
      <c r="A735" s="107"/>
      <c r="B735" s="107"/>
      <c r="C735" s="107"/>
      <c r="D735" s="102"/>
      <c r="E735" s="107"/>
      <c r="F735" s="108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10"/>
      <c r="V735" s="110"/>
    </row>
    <row r="736" ht="12.75" customHeight="1">
      <c r="A736" s="107"/>
      <c r="B736" s="107"/>
      <c r="C736" s="107"/>
      <c r="D736" s="102"/>
      <c r="E736" s="107"/>
      <c r="F736" s="108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10"/>
      <c r="V736" s="110"/>
    </row>
    <row r="737" ht="12.75" customHeight="1">
      <c r="A737" s="107"/>
      <c r="B737" s="107"/>
      <c r="C737" s="107"/>
      <c r="D737" s="102"/>
      <c r="E737" s="107"/>
      <c r="F737" s="108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10"/>
      <c r="V737" s="110"/>
    </row>
    <row r="738" ht="12.75" customHeight="1">
      <c r="A738" s="107"/>
      <c r="B738" s="107"/>
      <c r="C738" s="107"/>
      <c r="D738" s="102"/>
      <c r="E738" s="107"/>
      <c r="F738" s="108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10"/>
      <c r="V738" s="110"/>
    </row>
    <row r="739" ht="12.75" customHeight="1">
      <c r="A739" s="107"/>
      <c r="B739" s="107"/>
      <c r="C739" s="107"/>
      <c r="D739" s="102"/>
      <c r="E739" s="107"/>
      <c r="F739" s="108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10"/>
      <c r="V739" s="110"/>
    </row>
    <row r="740" ht="12.75" customHeight="1">
      <c r="A740" s="107"/>
      <c r="B740" s="107"/>
      <c r="C740" s="107"/>
      <c r="D740" s="102"/>
      <c r="E740" s="107"/>
      <c r="F740" s="108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10"/>
      <c r="V740" s="110"/>
    </row>
    <row r="741" ht="12.75" customHeight="1">
      <c r="A741" s="107"/>
      <c r="B741" s="107"/>
      <c r="C741" s="107"/>
      <c r="D741" s="102"/>
      <c r="E741" s="107"/>
      <c r="F741" s="108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10"/>
      <c r="V741" s="110"/>
    </row>
    <row r="742" ht="12.75" customHeight="1">
      <c r="A742" s="107"/>
      <c r="B742" s="107"/>
      <c r="C742" s="107"/>
      <c r="D742" s="102"/>
      <c r="E742" s="107"/>
      <c r="F742" s="108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10"/>
      <c r="V742" s="110"/>
    </row>
    <row r="743" ht="12.75" customHeight="1">
      <c r="A743" s="107"/>
      <c r="B743" s="107"/>
      <c r="C743" s="107"/>
      <c r="D743" s="102"/>
      <c r="E743" s="107"/>
      <c r="F743" s="108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10"/>
      <c r="V743" s="110"/>
    </row>
    <row r="744" ht="12.75" customHeight="1">
      <c r="A744" s="107"/>
      <c r="B744" s="107"/>
      <c r="C744" s="107"/>
      <c r="D744" s="102"/>
      <c r="E744" s="107"/>
      <c r="F744" s="108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10"/>
      <c r="V744" s="110"/>
    </row>
    <row r="745" ht="12.75" customHeight="1">
      <c r="A745" s="107"/>
      <c r="B745" s="107"/>
      <c r="C745" s="107"/>
      <c r="D745" s="102"/>
      <c r="E745" s="107"/>
      <c r="F745" s="108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10"/>
      <c r="V745" s="110"/>
    </row>
    <row r="746" ht="12.75" customHeight="1">
      <c r="A746" s="107"/>
      <c r="B746" s="107"/>
      <c r="C746" s="107"/>
      <c r="D746" s="102"/>
      <c r="E746" s="107"/>
      <c r="F746" s="108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10"/>
      <c r="V746" s="110"/>
    </row>
    <row r="747" ht="12.75" customHeight="1">
      <c r="A747" s="107"/>
      <c r="B747" s="107"/>
      <c r="C747" s="107"/>
      <c r="D747" s="102"/>
      <c r="E747" s="107"/>
      <c r="F747" s="108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10"/>
      <c r="V747" s="110"/>
    </row>
    <row r="748" ht="12.75" customHeight="1">
      <c r="A748" s="107"/>
      <c r="B748" s="107"/>
      <c r="C748" s="107"/>
      <c r="D748" s="102"/>
      <c r="E748" s="107"/>
      <c r="F748" s="108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10"/>
      <c r="V748" s="110"/>
    </row>
    <row r="749" ht="12.75" customHeight="1">
      <c r="A749" s="107"/>
      <c r="B749" s="107"/>
      <c r="C749" s="107"/>
      <c r="D749" s="102"/>
      <c r="E749" s="107"/>
      <c r="F749" s="108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10"/>
      <c r="V749" s="110"/>
    </row>
    <row r="750" ht="12.75" customHeight="1">
      <c r="A750" s="107"/>
      <c r="B750" s="107"/>
      <c r="C750" s="107"/>
      <c r="D750" s="102"/>
      <c r="E750" s="107"/>
      <c r="F750" s="108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10"/>
      <c r="V750" s="110"/>
    </row>
    <row r="751" ht="12.75" customHeight="1">
      <c r="A751" s="107"/>
      <c r="B751" s="107"/>
      <c r="C751" s="107"/>
      <c r="D751" s="102"/>
      <c r="E751" s="107"/>
      <c r="F751" s="108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10"/>
      <c r="V751" s="110"/>
    </row>
    <row r="752" ht="12.75" customHeight="1">
      <c r="A752" s="107"/>
      <c r="B752" s="107"/>
      <c r="C752" s="107"/>
      <c r="D752" s="102"/>
      <c r="E752" s="107"/>
      <c r="F752" s="108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10"/>
      <c r="V752" s="110"/>
    </row>
    <row r="753" ht="12.75" customHeight="1">
      <c r="A753" s="107"/>
      <c r="B753" s="107"/>
      <c r="C753" s="107"/>
      <c r="D753" s="102"/>
      <c r="E753" s="107"/>
      <c r="F753" s="108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10"/>
      <c r="V753" s="110"/>
    </row>
    <row r="754" ht="12.75" customHeight="1">
      <c r="A754" s="107"/>
      <c r="B754" s="107"/>
      <c r="C754" s="107"/>
      <c r="D754" s="102"/>
      <c r="E754" s="107"/>
      <c r="F754" s="108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10"/>
      <c r="V754" s="110"/>
    </row>
    <row r="755" ht="12.75" customHeight="1">
      <c r="A755" s="107"/>
      <c r="B755" s="107"/>
      <c r="C755" s="107"/>
      <c r="D755" s="102"/>
      <c r="E755" s="107"/>
      <c r="F755" s="108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10"/>
      <c r="V755" s="110"/>
    </row>
    <row r="756" ht="12.75" customHeight="1">
      <c r="A756" s="107"/>
      <c r="B756" s="107"/>
      <c r="C756" s="107"/>
      <c r="D756" s="102"/>
      <c r="E756" s="107"/>
      <c r="F756" s="108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10"/>
      <c r="V756" s="110"/>
    </row>
    <row r="757" ht="12.75" customHeight="1">
      <c r="A757" s="107"/>
      <c r="B757" s="107"/>
      <c r="C757" s="107"/>
      <c r="D757" s="102"/>
      <c r="E757" s="107"/>
      <c r="F757" s="108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10"/>
      <c r="V757" s="110"/>
    </row>
    <row r="758" ht="12.75" customHeight="1">
      <c r="A758" s="107"/>
      <c r="B758" s="107"/>
      <c r="C758" s="107"/>
      <c r="D758" s="102"/>
      <c r="E758" s="107"/>
      <c r="F758" s="108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10"/>
      <c r="V758" s="110"/>
    </row>
    <row r="759" ht="12.75" customHeight="1">
      <c r="A759" s="107"/>
      <c r="B759" s="107"/>
      <c r="C759" s="107"/>
      <c r="D759" s="102"/>
      <c r="E759" s="107"/>
      <c r="F759" s="108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10"/>
      <c r="V759" s="110"/>
    </row>
    <row r="760" ht="12.75" customHeight="1">
      <c r="A760" s="107"/>
      <c r="B760" s="107"/>
      <c r="C760" s="107"/>
      <c r="D760" s="102"/>
      <c r="E760" s="107"/>
      <c r="F760" s="108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10"/>
      <c r="V760" s="110"/>
    </row>
    <row r="761" ht="12.75" customHeight="1">
      <c r="A761" s="107"/>
      <c r="B761" s="107"/>
      <c r="C761" s="107"/>
      <c r="D761" s="102"/>
      <c r="E761" s="107"/>
      <c r="F761" s="108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10"/>
      <c r="V761" s="110"/>
    </row>
    <row r="762" ht="12.75" customHeight="1">
      <c r="A762" s="107"/>
      <c r="B762" s="107"/>
      <c r="C762" s="107"/>
      <c r="D762" s="102"/>
      <c r="E762" s="107"/>
      <c r="F762" s="108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10"/>
      <c r="V762" s="110"/>
    </row>
    <row r="763" ht="12.75" customHeight="1">
      <c r="A763" s="107"/>
      <c r="B763" s="107"/>
      <c r="C763" s="107"/>
      <c r="D763" s="102"/>
      <c r="E763" s="107"/>
      <c r="F763" s="108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10"/>
      <c r="V763" s="110"/>
    </row>
    <row r="764" ht="12.75" customHeight="1">
      <c r="A764" s="107"/>
      <c r="B764" s="107"/>
      <c r="C764" s="107"/>
      <c r="D764" s="102"/>
      <c r="E764" s="107"/>
      <c r="F764" s="108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10"/>
      <c r="V764" s="110"/>
    </row>
    <row r="765" ht="12.75" customHeight="1">
      <c r="A765" s="107"/>
      <c r="B765" s="107"/>
      <c r="C765" s="107"/>
      <c r="D765" s="102"/>
      <c r="E765" s="107"/>
      <c r="F765" s="108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10"/>
      <c r="V765" s="110"/>
    </row>
    <row r="766" ht="12.75" customHeight="1">
      <c r="A766" s="107"/>
      <c r="B766" s="107"/>
      <c r="C766" s="107"/>
      <c r="D766" s="102"/>
      <c r="E766" s="107"/>
      <c r="F766" s="108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10"/>
      <c r="V766" s="110"/>
    </row>
    <row r="767" ht="12.75" customHeight="1">
      <c r="A767" s="107"/>
      <c r="B767" s="107"/>
      <c r="C767" s="107"/>
      <c r="D767" s="102"/>
      <c r="E767" s="107"/>
      <c r="F767" s="108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10"/>
      <c r="V767" s="110"/>
    </row>
    <row r="768" ht="12.75" customHeight="1">
      <c r="A768" s="107"/>
      <c r="B768" s="107"/>
      <c r="C768" s="107"/>
      <c r="D768" s="102"/>
      <c r="E768" s="107"/>
      <c r="F768" s="108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10"/>
      <c r="V768" s="110"/>
    </row>
    <row r="769" ht="12.75" customHeight="1">
      <c r="A769" s="107"/>
      <c r="B769" s="107"/>
      <c r="C769" s="107"/>
      <c r="D769" s="102"/>
      <c r="E769" s="107"/>
      <c r="F769" s="108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10"/>
      <c r="V769" s="110"/>
    </row>
    <row r="770" ht="12.75" customHeight="1">
      <c r="A770" s="107"/>
      <c r="B770" s="107"/>
      <c r="C770" s="107"/>
      <c r="D770" s="102"/>
      <c r="E770" s="107"/>
      <c r="F770" s="108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10"/>
      <c r="V770" s="110"/>
    </row>
    <row r="771" ht="12.75" customHeight="1">
      <c r="A771" s="107"/>
      <c r="B771" s="107"/>
      <c r="C771" s="107"/>
      <c r="D771" s="102"/>
      <c r="E771" s="107"/>
      <c r="F771" s="108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10"/>
      <c r="V771" s="110"/>
    </row>
    <row r="772" ht="12.75" customHeight="1">
      <c r="A772" s="107"/>
      <c r="B772" s="107"/>
      <c r="C772" s="107"/>
      <c r="D772" s="102"/>
      <c r="E772" s="107"/>
      <c r="F772" s="108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10"/>
      <c r="V772" s="110"/>
    </row>
    <row r="773" ht="12.75" customHeight="1">
      <c r="A773" s="107"/>
      <c r="B773" s="107"/>
      <c r="C773" s="107"/>
      <c r="D773" s="102"/>
      <c r="E773" s="107"/>
      <c r="F773" s="108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10"/>
      <c r="V773" s="110"/>
    </row>
    <row r="774" ht="12.75" customHeight="1">
      <c r="A774" s="107"/>
      <c r="B774" s="107"/>
      <c r="C774" s="107"/>
      <c r="D774" s="102"/>
      <c r="E774" s="107"/>
      <c r="F774" s="108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10"/>
      <c r="V774" s="110"/>
    </row>
    <row r="775" ht="12.75" customHeight="1">
      <c r="A775" s="107"/>
      <c r="B775" s="107"/>
      <c r="C775" s="107"/>
      <c r="D775" s="102"/>
      <c r="E775" s="107"/>
      <c r="F775" s="108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10"/>
      <c r="V775" s="110"/>
    </row>
    <row r="776" ht="12.75" customHeight="1">
      <c r="A776" s="107"/>
      <c r="B776" s="107"/>
      <c r="C776" s="107"/>
      <c r="D776" s="102"/>
      <c r="E776" s="107"/>
      <c r="F776" s="108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10"/>
      <c r="V776" s="110"/>
    </row>
    <row r="777" ht="12.75" customHeight="1">
      <c r="A777" s="107"/>
      <c r="B777" s="107"/>
      <c r="C777" s="107"/>
      <c r="D777" s="102"/>
      <c r="E777" s="107"/>
      <c r="F777" s="108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10"/>
      <c r="V777" s="110"/>
    </row>
    <row r="778" ht="12.75" customHeight="1">
      <c r="A778" s="107"/>
      <c r="B778" s="107"/>
      <c r="C778" s="107"/>
      <c r="D778" s="102"/>
      <c r="E778" s="107"/>
      <c r="F778" s="108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10"/>
      <c r="V778" s="110"/>
    </row>
    <row r="779" ht="12.75" customHeight="1">
      <c r="A779" s="107"/>
      <c r="B779" s="107"/>
      <c r="C779" s="107"/>
      <c r="D779" s="102"/>
      <c r="E779" s="107"/>
      <c r="F779" s="108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10"/>
      <c r="V779" s="110"/>
    </row>
    <row r="780" ht="12.75" customHeight="1">
      <c r="A780" s="107"/>
      <c r="B780" s="107"/>
      <c r="C780" s="107"/>
      <c r="D780" s="102"/>
      <c r="E780" s="107"/>
      <c r="F780" s="108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10"/>
      <c r="V780" s="110"/>
    </row>
    <row r="781" ht="12.75" customHeight="1">
      <c r="A781" s="107"/>
      <c r="B781" s="107"/>
      <c r="C781" s="107"/>
      <c r="D781" s="102"/>
      <c r="E781" s="107"/>
      <c r="F781" s="108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10"/>
      <c r="V781" s="110"/>
    </row>
    <row r="782" ht="12.75" customHeight="1">
      <c r="A782" s="107"/>
      <c r="B782" s="107"/>
      <c r="C782" s="107"/>
      <c r="D782" s="102"/>
      <c r="E782" s="107"/>
      <c r="F782" s="108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10"/>
      <c r="V782" s="110"/>
    </row>
    <row r="783" ht="12.75" customHeight="1">
      <c r="A783" s="107"/>
      <c r="B783" s="107"/>
      <c r="C783" s="107"/>
      <c r="D783" s="102"/>
      <c r="E783" s="107"/>
      <c r="F783" s="108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10"/>
      <c r="V783" s="110"/>
    </row>
    <row r="784" ht="12.75" customHeight="1">
      <c r="A784" s="107"/>
      <c r="B784" s="107"/>
      <c r="C784" s="107"/>
      <c r="D784" s="102"/>
      <c r="E784" s="107"/>
      <c r="F784" s="108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10"/>
      <c r="V784" s="110"/>
    </row>
    <row r="785" ht="12.75" customHeight="1">
      <c r="A785" s="107"/>
      <c r="B785" s="107"/>
      <c r="C785" s="107"/>
      <c r="D785" s="102"/>
      <c r="E785" s="107"/>
      <c r="F785" s="108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10"/>
      <c r="V785" s="110"/>
    </row>
    <row r="786" ht="12.75" customHeight="1">
      <c r="A786" s="107"/>
      <c r="B786" s="107"/>
      <c r="C786" s="107"/>
      <c r="D786" s="102"/>
      <c r="E786" s="107"/>
      <c r="F786" s="108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10"/>
      <c r="V786" s="110"/>
    </row>
    <row r="787" ht="12.75" customHeight="1">
      <c r="A787" s="107"/>
      <c r="B787" s="107"/>
      <c r="C787" s="107"/>
      <c r="D787" s="102"/>
      <c r="E787" s="107"/>
      <c r="F787" s="108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10"/>
      <c r="V787" s="110"/>
    </row>
    <row r="788" ht="12.75" customHeight="1">
      <c r="A788" s="107"/>
      <c r="B788" s="107"/>
      <c r="C788" s="107"/>
      <c r="D788" s="102"/>
      <c r="E788" s="107"/>
      <c r="F788" s="108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10"/>
      <c r="V788" s="110"/>
    </row>
    <row r="789" ht="12.75" customHeight="1">
      <c r="A789" s="107"/>
      <c r="B789" s="107"/>
      <c r="C789" s="107"/>
      <c r="D789" s="102"/>
      <c r="E789" s="107"/>
      <c r="F789" s="108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10"/>
      <c r="V789" s="110"/>
    </row>
    <row r="790" ht="12.75" customHeight="1">
      <c r="A790" s="107"/>
      <c r="B790" s="107"/>
      <c r="C790" s="107"/>
      <c r="D790" s="102"/>
      <c r="E790" s="107"/>
      <c r="F790" s="108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10"/>
      <c r="V790" s="110"/>
    </row>
    <row r="791" ht="12.75" customHeight="1">
      <c r="A791" s="107"/>
      <c r="B791" s="107"/>
      <c r="C791" s="107"/>
      <c r="D791" s="102"/>
      <c r="E791" s="107"/>
      <c r="F791" s="108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10"/>
      <c r="V791" s="110"/>
    </row>
    <row r="792" ht="12.75" customHeight="1">
      <c r="A792" s="107"/>
      <c r="B792" s="107"/>
      <c r="C792" s="107"/>
      <c r="D792" s="102"/>
      <c r="E792" s="107"/>
      <c r="F792" s="108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10"/>
      <c r="V792" s="110"/>
    </row>
    <row r="793" ht="12.75" customHeight="1">
      <c r="A793" s="107"/>
      <c r="B793" s="107"/>
      <c r="C793" s="107"/>
      <c r="D793" s="102"/>
      <c r="E793" s="107"/>
      <c r="F793" s="108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10"/>
      <c r="V793" s="110"/>
    </row>
    <row r="794" ht="12.75" customHeight="1">
      <c r="A794" s="107"/>
      <c r="B794" s="107"/>
      <c r="C794" s="107"/>
      <c r="D794" s="102"/>
      <c r="E794" s="107"/>
      <c r="F794" s="108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10"/>
      <c r="V794" s="110"/>
    </row>
    <row r="795" ht="12.75" customHeight="1">
      <c r="A795" s="107"/>
      <c r="B795" s="107"/>
      <c r="C795" s="107"/>
      <c r="D795" s="102"/>
      <c r="E795" s="107"/>
      <c r="F795" s="108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10"/>
      <c r="V795" s="110"/>
    </row>
    <row r="796" ht="12.75" customHeight="1">
      <c r="A796" s="107"/>
      <c r="B796" s="107"/>
      <c r="C796" s="107"/>
      <c r="D796" s="102"/>
      <c r="E796" s="107"/>
      <c r="F796" s="108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10"/>
      <c r="V796" s="110"/>
    </row>
    <row r="797" ht="12.75" customHeight="1">
      <c r="A797" s="107"/>
      <c r="B797" s="107"/>
      <c r="C797" s="107"/>
      <c r="D797" s="102"/>
      <c r="E797" s="107"/>
      <c r="F797" s="108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10"/>
      <c r="V797" s="110"/>
    </row>
    <row r="798" ht="12.75" customHeight="1">
      <c r="A798" s="107"/>
      <c r="B798" s="107"/>
      <c r="C798" s="107"/>
      <c r="D798" s="102"/>
      <c r="E798" s="107"/>
      <c r="F798" s="108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10"/>
      <c r="V798" s="110"/>
    </row>
    <row r="799" ht="12.75" customHeight="1">
      <c r="A799" s="107"/>
      <c r="B799" s="107"/>
      <c r="C799" s="107"/>
      <c r="D799" s="102"/>
      <c r="E799" s="107"/>
      <c r="F799" s="108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10"/>
      <c r="V799" s="110"/>
    </row>
    <row r="800" ht="12.75" customHeight="1">
      <c r="A800" s="107"/>
      <c r="B800" s="107"/>
      <c r="C800" s="107"/>
      <c r="D800" s="102"/>
      <c r="E800" s="107"/>
      <c r="F800" s="108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10"/>
      <c r="V800" s="110"/>
    </row>
    <row r="801" ht="12.75" customHeight="1">
      <c r="A801" s="107"/>
      <c r="B801" s="107"/>
      <c r="C801" s="107"/>
      <c r="D801" s="102"/>
      <c r="E801" s="107"/>
      <c r="F801" s="108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10"/>
      <c r="V801" s="110"/>
    </row>
    <row r="802" ht="12.75" customHeight="1">
      <c r="A802" s="107"/>
      <c r="B802" s="107"/>
      <c r="C802" s="107"/>
      <c r="D802" s="102"/>
      <c r="E802" s="107"/>
      <c r="F802" s="108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10"/>
      <c r="V802" s="110"/>
    </row>
    <row r="803" ht="12.75" customHeight="1">
      <c r="A803" s="107"/>
      <c r="B803" s="107"/>
      <c r="C803" s="107"/>
      <c r="D803" s="102"/>
      <c r="E803" s="107"/>
      <c r="F803" s="108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10"/>
      <c r="V803" s="110"/>
    </row>
    <row r="804" ht="12.75" customHeight="1">
      <c r="A804" s="107"/>
      <c r="B804" s="107"/>
      <c r="C804" s="107"/>
      <c r="D804" s="102"/>
      <c r="E804" s="107"/>
      <c r="F804" s="108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10"/>
      <c r="V804" s="110"/>
    </row>
    <row r="805" ht="12.75" customHeight="1">
      <c r="A805" s="107"/>
      <c r="B805" s="107"/>
      <c r="C805" s="107"/>
      <c r="D805" s="102"/>
      <c r="E805" s="107"/>
      <c r="F805" s="108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10"/>
      <c r="V805" s="110"/>
    </row>
    <row r="806" ht="12.75" customHeight="1">
      <c r="A806" s="107"/>
      <c r="B806" s="107"/>
      <c r="C806" s="107"/>
      <c r="D806" s="102"/>
      <c r="E806" s="107"/>
      <c r="F806" s="108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10"/>
      <c r="V806" s="110"/>
    </row>
    <row r="807" ht="12.75" customHeight="1">
      <c r="A807" s="107"/>
      <c r="B807" s="107"/>
      <c r="C807" s="107"/>
      <c r="D807" s="102"/>
      <c r="E807" s="107"/>
      <c r="F807" s="108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10"/>
      <c r="V807" s="110"/>
    </row>
    <row r="808" ht="12.75" customHeight="1">
      <c r="A808" s="107"/>
      <c r="B808" s="107"/>
      <c r="C808" s="107"/>
      <c r="D808" s="102"/>
      <c r="E808" s="107"/>
      <c r="F808" s="108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10"/>
      <c r="V808" s="110"/>
    </row>
    <row r="809" ht="12.75" customHeight="1">
      <c r="A809" s="107"/>
      <c r="B809" s="107"/>
      <c r="C809" s="107"/>
      <c r="D809" s="102"/>
      <c r="E809" s="107"/>
      <c r="F809" s="108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10"/>
      <c r="V809" s="110"/>
    </row>
    <row r="810" ht="12.75" customHeight="1">
      <c r="A810" s="107"/>
      <c r="B810" s="107"/>
      <c r="C810" s="107"/>
      <c r="D810" s="102"/>
      <c r="E810" s="107"/>
      <c r="F810" s="108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10"/>
      <c r="V810" s="110"/>
    </row>
    <row r="811" ht="12.75" customHeight="1">
      <c r="A811" s="107"/>
      <c r="B811" s="107"/>
      <c r="C811" s="107"/>
      <c r="D811" s="102"/>
      <c r="E811" s="107"/>
      <c r="F811" s="108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10"/>
      <c r="V811" s="110"/>
    </row>
    <row r="812" ht="12.75" customHeight="1">
      <c r="A812" s="107"/>
      <c r="B812" s="107"/>
      <c r="C812" s="107"/>
      <c r="D812" s="102"/>
      <c r="E812" s="107"/>
      <c r="F812" s="108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10"/>
      <c r="V812" s="110"/>
    </row>
    <row r="813" ht="12.75" customHeight="1">
      <c r="A813" s="107"/>
      <c r="B813" s="107"/>
      <c r="C813" s="107"/>
      <c r="D813" s="102"/>
      <c r="E813" s="107"/>
      <c r="F813" s="108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10"/>
      <c r="V813" s="110"/>
    </row>
    <row r="814" ht="12.75" customHeight="1">
      <c r="A814" s="107"/>
      <c r="B814" s="107"/>
      <c r="C814" s="107"/>
      <c r="D814" s="102"/>
      <c r="E814" s="107"/>
      <c r="F814" s="108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10"/>
      <c r="V814" s="110"/>
    </row>
    <row r="815" ht="12.75" customHeight="1">
      <c r="A815" s="107"/>
      <c r="B815" s="107"/>
      <c r="C815" s="107"/>
      <c r="D815" s="102"/>
      <c r="E815" s="107"/>
      <c r="F815" s="108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10"/>
      <c r="V815" s="110"/>
    </row>
    <row r="816" ht="12.75" customHeight="1">
      <c r="A816" s="107"/>
      <c r="B816" s="107"/>
      <c r="C816" s="107"/>
      <c r="D816" s="102"/>
      <c r="E816" s="107"/>
      <c r="F816" s="108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10"/>
      <c r="V816" s="110"/>
    </row>
    <row r="817" ht="12.75" customHeight="1">
      <c r="A817" s="107"/>
      <c r="B817" s="107"/>
      <c r="C817" s="107"/>
      <c r="D817" s="102"/>
      <c r="E817" s="107"/>
      <c r="F817" s="108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10"/>
      <c r="V817" s="110"/>
    </row>
    <row r="818" ht="12.75" customHeight="1">
      <c r="A818" s="107"/>
      <c r="B818" s="107"/>
      <c r="C818" s="107"/>
      <c r="D818" s="102"/>
      <c r="E818" s="107"/>
      <c r="F818" s="108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10"/>
      <c r="V818" s="110"/>
    </row>
    <row r="819" ht="12.75" customHeight="1">
      <c r="A819" s="107"/>
      <c r="B819" s="107"/>
      <c r="C819" s="107"/>
      <c r="D819" s="102"/>
      <c r="E819" s="107"/>
      <c r="F819" s="108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10"/>
      <c r="V819" s="110"/>
    </row>
    <row r="820" ht="12.75" customHeight="1">
      <c r="A820" s="107"/>
      <c r="B820" s="107"/>
      <c r="C820" s="107"/>
      <c r="D820" s="102"/>
      <c r="E820" s="107"/>
      <c r="F820" s="108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10"/>
      <c r="V820" s="110"/>
    </row>
    <row r="821" ht="12.75" customHeight="1">
      <c r="A821" s="107"/>
      <c r="B821" s="107"/>
      <c r="C821" s="107"/>
      <c r="D821" s="102"/>
      <c r="E821" s="107"/>
      <c r="F821" s="108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10"/>
      <c r="V821" s="110"/>
    </row>
    <row r="822" ht="12.75" customHeight="1">
      <c r="A822" s="107"/>
      <c r="B822" s="107"/>
      <c r="C822" s="107"/>
      <c r="D822" s="102"/>
      <c r="E822" s="107"/>
      <c r="F822" s="108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10"/>
      <c r="V822" s="110"/>
    </row>
    <row r="823" ht="12.75" customHeight="1">
      <c r="A823" s="107"/>
      <c r="B823" s="107"/>
      <c r="C823" s="107"/>
      <c r="D823" s="102"/>
      <c r="E823" s="107"/>
      <c r="F823" s="108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10"/>
      <c r="V823" s="110"/>
    </row>
    <row r="824" ht="12.75" customHeight="1">
      <c r="A824" s="107"/>
      <c r="B824" s="107"/>
      <c r="C824" s="107"/>
      <c r="D824" s="102"/>
      <c r="E824" s="107"/>
      <c r="F824" s="108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10"/>
      <c r="V824" s="110"/>
    </row>
    <row r="825" ht="12.75" customHeight="1">
      <c r="A825" s="107"/>
      <c r="B825" s="107"/>
      <c r="C825" s="107"/>
      <c r="D825" s="102"/>
      <c r="E825" s="107"/>
      <c r="F825" s="108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10"/>
      <c r="V825" s="110"/>
    </row>
    <row r="826" ht="12.75" customHeight="1">
      <c r="A826" s="107"/>
      <c r="B826" s="107"/>
      <c r="C826" s="107"/>
      <c r="D826" s="102"/>
      <c r="E826" s="107"/>
      <c r="F826" s="108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10"/>
      <c r="V826" s="110"/>
    </row>
    <row r="827" ht="12.75" customHeight="1">
      <c r="A827" s="107"/>
      <c r="B827" s="107"/>
      <c r="C827" s="107"/>
      <c r="D827" s="102"/>
      <c r="E827" s="107"/>
      <c r="F827" s="108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10"/>
      <c r="V827" s="110"/>
    </row>
    <row r="828" ht="12.75" customHeight="1">
      <c r="A828" s="107"/>
      <c r="B828" s="107"/>
      <c r="C828" s="107"/>
      <c r="D828" s="102"/>
      <c r="E828" s="107"/>
      <c r="F828" s="108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10"/>
      <c r="V828" s="110"/>
    </row>
    <row r="829" ht="12.75" customHeight="1">
      <c r="A829" s="107"/>
      <c r="B829" s="107"/>
      <c r="C829" s="107"/>
      <c r="D829" s="102"/>
      <c r="E829" s="107"/>
      <c r="F829" s="108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10"/>
      <c r="V829" s="110"/>
    </row>
    <row r="830" ht="12.75" customHeight="1">
      <c r="A830" s="107"/>
      <c r="B830" s="107"/>
      <c r="C830" s="107"/>
      <c r="D830" s="102"/>
      <c r="E830" s="107"/>
      <c r="F830" s="108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10"/>
      <c r="V830" s="110"/>
    </row>
    <row r="831" ht="12.75" customHeight="1">
      <c r="A831" s="107"/>
      <c r="B831" s="107"/>
      <c r="C831" s="107"/>
      <c r="D831" s="102"/>
      <c r="E831" s="107"/>
      <c r="F831" s="108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10"/>
      <c r="V831" s="110"/>
    </row>
    <row r="832" ht="12.75" customHeight="1">
      <c r="A832" s="107"/>
      <c r="B832" s="107"/>
      <c r="C832" s="107"/>
      <c r="D832" s="102"/>
      <c r="E832" s="107"/>
      <c r="F832" s="108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10"/>
      <c r="V832" s="110"/>
    </row>
    <row r="833" ht="12.75" customHeight="1">
      <c r="A833" s="107"/>
      <c r="B833" s="107"/>
      <c r="C833" s="107"/>
      <c r="D833" s="102"/>
      <c r="E833" s="107"/>
      <c r="F833" s="108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10"/>
      <c r="V833" s="110"/>
    </row>
    <row r="834" ht="12.75" customHeight="1">
      <c r="A834" s="107"/>
      <c r="B834" s="107"/>
      <c r="C834" s="107"/>
      <c r="D834" s="102"/>
      <c r="E834" s="107"/>
      <c r="F834" s="108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10"/>
      <c r="V834" s="110"/>
    </row>
    <row r="835" ht="12.75" customHeight="1">
      <c r="A835" s="107"/>
      <c r="B835" s="107"/>
      <c r="C835" s="107"/>
      <c r="D835" s="102"/>
      <c r="E835" s="107"/>
      <c r="F835" s="108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10"/>
      <c r="V835" s="110"/>
    </row>
    <row r="836" ht="12.75" customHeight="1">
      <c r="A836" s="107"/>
      <c r="B836" s="107"/>
      <c r="C836" s="107"/>
      <c r="D836" s="102"/>
      <c r="E836" s="107"/>
      <c r="F836" s="108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10"/>
      <c r="V836" s="110"/>
    </row>
    <row r="837" ht="12.75" customHeight="1">
      <c r="A837" s="107"/>
      <c r="B837" s="107"/>
      <c r="C837" s="107"/>
      <c r="D837" s="102"/>
      <c r="E837" s="107"/>
      <c r="F837" s="108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10"/>
      <c r="V837" s="110"/>
    </row>
    <row r="838" ht="12.75" customHeight="1">
      <c r="A838" s="107"/>
      <c r="B838" s="107"/>
      <c r="C838" s="107"/>
      <c r="D838" s="102"/>
      <c r="E838" s="107"/>
      <c r="F838" s="108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10"/>
      <c r="V838" s="110"/>
    </row>
    <row r="839" ht="12.75" customHeight="1">
      <c r="A839" s="107"/>
      <c r="B839" s="107"/>
      <c r="C839" s="107"/>
      <c r="D839" s="102"/>
      <c r="E839" s="107"/>
      <c r="F839" s="108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10"/>
      <c r="V839" s="110"/>
    </row>
    <row r="840" ht="12.75" customHeight="1">
      <c r="A840" s="107"/>
      <c r="B840" s="107"/>
      <c r="C840" s="107"/>
      <c r="D840" s="102"/>
      <c r="E840" s="107"/>
      <c r="F840" s="108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10"/>
      <c r="V840" s="110"/>
    </row>
    <row r="841" ht="12.75" customHeight="1">
      <c r="A841" s="107"/>
      <c r="B841" s="107"/>
      <c r="C841" s="107"/>
      <c r="D841" s="102"/>
      <c r="E841" s="107"/>
      <c r="F841" s="108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10"/>
      <c r="V841" s="110"/>
    </row>
    <row r="842" ht="12.75" customHeight="1">
      <c r="A842" s="107"/>
      <c r="B842" s="107"/>
      <c r="C842" s="107"/>
      <c r="D842" s="102"/>
      <c r="E842" s="107"/>
      <c r="F842" s="108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10"/>
      <c r="V842" s="110"/>
    </row>
    <row r="843" ht="12.75" customHeight="1">
      <c r="A843" s="107"/>
      <c r="B843" s="107"/>
      <c r="C843" s="107"/>
      <c r="D843" s="102"/>
      <c r="E843" s="107"/>
      <c r="F843" s="108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10"/>
      <c r="V843" s="110"/>
    </row>
    <row r="844" ht="12.75" customHeight="1">
      <c r="A844" s="107"/>
      <c r="B844" s="107"/>
      <c r="C844" s="107"/>
      <c r="D844" s="102"/>
      <c r="E844" s="107"/>
      <c r="F844" s="108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10"/>
      <c r="V844" s="110"/>
    </row>
    <row r="845" ht="12.75" customHeight="1">
      <c r="A845" s="107"/>
      <c r="B845" s="107"/>
      <c r="C845" s="107"/>
      <c r="D845" s="102"/>
      <c r="E845" s="107"/>
      <c r="F845" s="108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10"/>
      <c r="V845" s="110"/>
    </row>
    <row r="846" ht="12.75" customHeight="1">
      <c r="A846" s="107"/>
      <c r="B846" s="107"/>
      <c r="C846" s="107"/>
      <c r="D846" s="102"/>
      <c r="E846" s="107"/>
      <c r="F846" s="108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10"/>
      <c r="V846" s="110"/>
    </row>
    <row r="847" ht="12.75" customHeight="1">
      <c r="A847" s="107"/>
      <c r="B847" s="107"/>
      <c r="C847" s="107"/>
      <c r="D847" s="102"/>
      <c r="E847" s="107"/>
      <c r="F847" s="108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10"/>
      <c r="V847" s="110"/>
    </row>
    <row r="848" ht="12.75" customHeight="1">
      <c r="A848" s="107"/>
      <c r="B848" s="107"/>
      <c r="C848" s="107"/>
      <c r="D848" s="102"/>
      <c r="E848" s="107"/>
      <c r="F848" s="108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10"/>
      <c r="V848" s="110"/>
    </row>
    <row r="849" ht="12.75" customHeight="1">
      <c r="A849" s="107"/>
      <c r="B849" s="107"/>
      <c r="C849" s="107"/>
      <c r="D849" s="102"/>
      <c r="E849" s="107"/>
      <c r="F849" s="108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10"/>
      <c r="V849" s="110"/>
    </row>
    <row r="850" ht="12.75" customHeight="1">
      <c r="A850" s="107"/>
      <c r="B850" s="107"/>
      <c r="C850" s="107"/>
      <c r="D850" s="102"/>
      <c r="E850" s="107"/>
      <c r="F850" s="108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10"/>
      <c r="V850" s="110"/>
    </row>
    <row r="851" ht="12.75" customHeight="1">
      <c r="A851" s="107"/>
      <c r="B851" s="107"/>
      <c r="C851" s="107"/>
      <c r="D851" s="102"/>
      <c r="E851" s="107"/>
      <c r="F851" s="108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10"/>
      <c r="V851" s="110"/>
    </row>
    <row r="852" ht="12.75" customHeight="1">
      <c r="A852" s="107"/>
      <c r="B852" s="107"/>
      <c r="C852" s="107"/>
      <c r="D852" s="102"/>
      <c r="E852" s="107"/>
      <c r="F852" s="108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10"/>
      <c r="V852" s="110"/>
    </row>
    <row r="853" ht="12.75" customHeight="1">
      <c r="A853" s="107"/>
      <c r="B853" s="107"/>
      <c r="C853" s="107"/>
      <c r="D853" s="102"/>
      <c r="E853" s="107"/>
      <c r="F853" s="108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10"/>
      <c r="V853" s="110"/>
    </row>
    <row r="854" ht="12.75" customHeight="1">
      <c r="A854" s="107"/>
      <c r="B854" s="107"/>
      <c r="C854" s="107"/>
      <c r="D854" s="102"/>
      <c r="E854" s="107"/>
      <c r="F854" s="108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10"/>
      <c r="V854" s="110"/>
    </row>
    <row r="855" ht="12.75" customHeight="1">
      <c r="A855" s="107"/>
      <c r="B855" s="107"/>
      <c r="C855" s="107"/>
      <c r="D855" s="102"/>
      <c r="E855" s="107"/>
      <c r="F855" s="108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10"/>
      <c r="V855" s="110"/>
    </row>
    <row r="856" ht="12.75" customHeight="1">
      <c r="A856" s="107"/>
      <c r="B856" s="107"/>
      <c r="C856" s="107"/>
      <c r="D856" s="102"/>
      <c r="E856" s="107"/>
      <c r="F856" s="108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10"/>
      <c r="V856" s="110"/>
    </row>
    <row r="857" ht="12.75" customHeight="1">
      <c r="A857" s="107"/>
      <c r="B857" s="107"/>
      <c r="C857" s="107"/>
      <c r="D857" s="102"/>
      <c r="E857" s="107"/>
      <c r="F857" s="108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10"/>
      <c r="V857" s="110"/>
    </row>
    <row r="858" ht="12.75" customHeight="1">
      <c r="A858" s="107"/>
      <c r="B858" s="107"/>
      <c r="C858" s="107"/>
      <c r="D858" s="102"/>
      <c r="E858" s="107"/>
      <c r="F858" s="108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10"/>
      <c r="V858" s="110"/>
    </row>
    <row r="859" ht="12.75" customHeight="1">
      <c r="A859" s="107"/>
      <c r="B859" s="107"/>
      <c r="C859" s="107"/>
      <c r="D859" s="102"/>
      <c r="E859" s="107"/>
      <c r="F859" s="108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10"/>
      <c r="V859" s="110"/>
    </row>
    <row r="860" ht="12.75" customHeight="1">
      <c r="A860" s="107"/>
      <c r="B860" s="107"/>
      <c r="C860" s="107"/>
      <c r="D860" s="102"/>
      <c r="E860" s="107"/>
      <c r="F860" s="108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10"/>
      <c r="V860" s="110"/>
    </row>
    <row r="861" ht="12.75" customHeight="1">
      <c r="A861" s="107"/>
      <c r="B861" s="107"/>
      <c r="C861" s="107"/>
      <c r="D861" s="102"/>
      <c r="E861" s="107"/>
      <c r="F861" s="108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10"/>
      <c r="V861" s="110"/>
    </row>
    <row r="862" ht="12.75" customHeight="1">
      <c r="A862" s="107"/>
      <c r="B862" s="107"/>
      <c r="C862" s="107"/>
      <c r="D862" s="102"/>
      <c r="E862" s="107"/>
      <c r="F862" s="108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10"/>
      <c r="V862" s="110"/>
    </row>
    <row r="863" ht="12.75" customHeight="1">
      <c r="A863" s="107"/>
      <c r="B863" s="107"/>
      <c r="C863" s="107"/>
      <c r="D863" s="102"/>
      <c r="E863" s="107"/>
      <c r="F863" s="108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10"/>
      <c r="V863" s="110"/>
    </row>
    <row r="864" ht="12.75" customHeight="1">
      <c r="A864" s="107"/>
      <c r="B864" s="107"/>
      <c r="C864" s="107"/>
      <c r="D864" s="102"/>
      <c r="E864" s="107"/>
      <c r="F864" s="108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10"/>
      <c r="V864" s="110"/>
    </row>
    <row r="865" ht="12.75" customHeight="1">
      <c r="A865" s="107"/>
      <c r="B865" s="107"/>
      <c r="C865" s="107"/>
      <c r="D865" s="102"/>
      <c r="E865" s="107"/>
      <c r="F865" s="108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10"/>
      <c r="V865" s="110"/>
    </row>
    <row r="866" ht="12.75" customHeight="1">
      <c r="A866" s="107"/>
      <c r="B866" s="107"/>
      <c r="C866" s="107"/>
      <c r="D866" s="102"/>
      <c r="E866" s="107"/>
      <c r="F866" s="108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10"/>
      <c r="V866" s="110"/>
    </row>
    <row r="867" ht="12.75" customHeight="1">
      <c r="A867" s="107"/>
      <c r="B867" s="107"/>
      <c r="C867" s="107"/>
      <c r="D867" s="102"/>
      <c r="E867" s="107"/>
      <c r="F867" s="108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10"/>
      <c r="V867" s="110"/>
    </row>
    <row r="868" ht="12.75" customHeight="1">
      <c r="A868" s="107"/>
      <c r="B868" s="107"/>
      <c r="C868" s="107"/>
      <c r="D868" s="102"/>
      <c r="E868" s="107"/>
      <c r="F868" s="108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10"/>
      <c r="V868" s="110"/>
    </row>
    <row r="869" ht="12.75" customHeight="1">
      <c r="A869" s="107"/>
      <c r="B869" s="107"/>
      <c r="C869" s="107"/>
      <c r="D869" s="102"/>
      <c r="E869" s="107"/>
      <c r="F869" s="108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10"/>
      <c r="V869" s="110"/>
    </row>
    <row r="870" ht="12.75" customHeight="1">
      <c r="A870" s="107"/>
      <c r="B870" s="107"/>
      <c r="C870" s="107"/>
      <c r="D870" s="102"/>
      <c r="E870" s="107"/>
      <c r="F870" s="108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10"/>
      <c r="V870" s="110"/>
    </row>
    <row r="871" ht="12.75" customHeight="1">
      <c r="A871" s="107"/>
      <c r="B871" s="107"/>
      <c r="C871" s="107"/>
      <c r="D871" s="102"/>
      <c r="E871" s="107"/>
      <c r="F871" s="108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10"/>
      <c r="V871" s="110"/>
    </row>
    <row r="872" ht="12.75" customHeight="1">
      <c r="A872" s="107"/>
      <c r="B872" s="107"/>
      <c r="C872" s="107"/>
      <c r="D872" s="102"/>
      <c r="E872" s="107"/>
      <c r="F872" s="108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10"/>
      <c r="V872" s="110"/>
    </row>
    <row r="873" ht="12.75" customHeight="1">
      <c r="A873" s="107"/>
      <c r="B873" s="107"/>
      <c r="C873" s="107"/>
      <c r="D873" s="102"/>
      <c r="E873" s="107"/>
      <c r="F873" s="108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10"/>
      <c r="V873" s="110"/>
    </row>
    <row r="874" ht="12.75" customHeight="1">
      <c r="A874" s="107"/>
      <c r="B874" s="107"/>
      <c r="C874" s="107"/>
      <c r="D874" s="102"/>
      <c r="E874" s="107"/>
      <c r="F874" s="108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10"/>
      <c r="V874" s="110"/>
    </row>
    <row r="875" ht="12.75" customHeight="1">
      <c r="A875" s="107"/>
      <c r="B875" s="107"/>
      <c r="C875" s="107"/>
      <c r="D875" s="102"/>
      <c r="E875" s="107"/>
      <c r="F875" s="108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10"/>
      <c r="V875" s="110"/>
    </row>
    <row r="876" ht="12.75" customHeight="1">
      <c r="A876" s="107"/>
      <c r="B876" s="107"/>
      <c r="C876" s="107"/>
      <c r="D876" s="102"/>
      <c r="E876" s="107"/>
      <c r="F876" s="108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10"/>
      <c r="V876" s="110"/>
    </row>
    <row r="877" ht="12.75" customHeight="1">
      <c r="A877" s="107"/>
      <c r="B877" s="107"/>
      <c r="C877" s="107"/>
      <c r="D877" s="102"/>
      <c r="E877" s="107"/>
      <c r="F877" s="108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10"/>
      <c r="V877" s="110"/>
    </row>
    <row r="878" ht="12.75" customHeight="1">
      <c r="A878" s="107"/>
      <c r="B878" s="107"/>
      <c r="C878" s="107"/>
      <c r="D878" s="102"/>
      <c r="E878" s="107"/>
      <c r="F878" s="108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10"/>
      <c r="V878" s="110"/>
    </row>
    <row r="879" ht="12.75" customHeight="1">
      <c r="A879" s="107"/>
      <c r="B879" s="107"/>
      <c r="C879" s="107"/>
      <c r="D879" s="102"/>
      <c r="E879" s="107"/>
      <c r="F879" s="108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10"/>
      <c r="V879" s="110"/>
    </row>
    <row r="880" ht="12.75" customHeight="1">
      <c r="A880" s="107"/>
      <c r="B880" s="107"/>
      <c r="C880" s="107"/>
      <c r="D880" s="102"/>
      <c r="E880" s="107"/>
      <c r="F880" s="108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10"/>
      <c r="V880" s="110"/>
    </row>
    <row r="881" ht="12.75" customHeight="1">
      <c r="A881" s="107"/>
      <c r="B881" s="107"/>
      <c r="C881" s="107"/>
      <c r="D881" s="102"/>
      <c r="E881" s="107"/>
      <c r="F881" s="108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10"/>
      <c r="V881" s="110"/>
    </row>
    <row r="882" ht="12.75" customHeight="1">
      <c r="A882" s="107"/>
      <c r="B882" s="107"/>
      <c r="C882" s="107"/>
      <c r="D882" s="102"/>
      <c r="E882" s="107"/>
      <c r="F882" s="108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10"/>
      <c r="V882" s="110"/>
    </row>
    <row r="883" ht="12.75" customHeight="1">
      <c r="A883" s="107"/>
      <c r="B883" s="107"/>
      <c r="C883" s="107"/>
      <c r="D883" s="102"/>
      <c r="E883" s="107"/>
      <c r="F883" s="108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10"/>
      <c r="V883" s="110"/>
    </row>
    <row r="884" ht="12.75" customHeight="1">
      <c r="A884" s="107"/>
      <c r="B884" s="107"/>
      <c r="C884" s="107"/>
      <c r="D884" s="102"/>
      <c r="E884" s="107"/>
      <c r="F884" s="108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10"/>
      <c r="V884" s="110"/>
    </row>
    <row r="885" ht="12.75" customHeight="1">
      <c r="A885" s="107"/>
      <c r="B885" s="107"/>
      <c r="C885" s="107"/>
      <c r="D885" s="102"/>
      <c r="E885" s="107"/>
      <c r="F885" s="108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10"/>
      <c r="V885" s="110"/>
    </row>
    <row r="886" ht="12.75" customHeight="1">
      <c r="A886" s="107"/>
      <c r="B886" s="107"/>
      <c r="C886" s="107"/>
      <c r="D886" s="102"/>
      <c r="E886" s="107"/>
      <c r="F886" s="108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10"/>
      <c r="V886" s="110"/>
    </row>
    <row r="887" ht="12.75" customHeight="1">
      <c r="A887" s="107"/>
      <c r="B887" s="107"/>
      <c r="C887" s="107"/>
      <c r="D887" s="102"/>
      <c r="E887" s="107"/>
      <c r="F887" s="108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10"/>
      <c r="V887" s="110"/>
    </row>
    <row r="888" ht="12.75" customHeight="1">
      <c r="A888" s="107"/>
      <c r="B888" s="107"/>
      <c r="C888" s="107"/>
      <c r="D888" s="102"/>
      <c r="E888" s="107"/>
      <c r="F888" s="108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10"/>
      <c r="V888" s="110"/>
    </row>
    <row r="889" ht="12.75" customHeight="1">
      <c r="A889" s="107"/>
      <c r="B889" s="107"/>
      <c r="C889" s="107"/>
      <c r="D889" s="102"/>
      <c r="E889" s="107"/>
      <c r="F889" s="108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10"/>
      <c r="V889" s="110"/>
    </row>
    <row r="890" ht="12.75" customHeight="1">
      <c r="A890" s="107"/>
      <c r="B890" s="107"/>
      <c r="C890" s="107"/>
      <c r="D890" s="102"/>
      <c r="E890" s="107"/>
      <c r="F890" s="108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10"/>
      <c r="V890" s="110"/>
    </row>
    <row r="891" ht="12.75" customHeight="1">
      <c r="A891" s="107"/>
      <c r="B891" s="107"/>
      <c r="C891" s="107"/>
      <c r="D891" s="102"/>
      <c r="E891" s="107"/>
      <c r="F891" s="108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10"/>
      <c r="V891" s="110"/>
    </row>
    <row r="892" ht="12.75" customHeight="1">
      <c r="A892" s="107"/>
      <c r="B892" s="107"/>
      <c r="C892" s="107"/>
      <c r="D892" s="102"/>
      <c r="E892" s="107"/>
      <c r="F892" s="108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10"/>
      <c r="V892" s="110"/>
    </row>
    <row r="893" ht="12.75" customHeight="1">
      <c r="A893" s="107"/>
      <c r="B893" s="107"/>
      <c r="C893" s="107"/>
      <c r="D893" s="102"/>
      <c r="E893" s="107"/>
      <c r="F893" s="108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10"/>
      <c r="V893" s="110"/>
    </row>
    <row r="894" ht="12.75" customHeight="1">
      <c r="A894" s="107"/>
      <c r="B894" s="107"/>
      <c r="C894" s="107"/>
      <c r="D894" s="102"/>
      <c r="E894" s="107"/>
      <c r="F894" s="108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10"/>
      <c r="V894" s="110"/>
    </row>
    <row r="895" ht="12.75" customHeight="1">
      <c r="A895" s="107"/>
      <c r="B895" s="107"/>
      <c r="C895" s="107"/>
      <c r="D895" s="102"/>
      <c r="E895" s="107"/>
      <c r="F895" s="108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10"/>
      <c r="V895" s="110"/>
    </row>
    <row r="896" ht="12.75" customHeight="1">
      <c r="A896" s="107"/>
      <c r="B896" s="107"/>
      <c r="C896" s="107"/>
      <c r="D896" s="102"/>
      <c r="E896" s="107"/>
      <c r="F896" s="108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10"/>
      <c r="V896" s="110"/>
    </row>
    <row r="897" ht="12.75" customHeight="1">
      <c r="A897" s="107"/>
      <c r="B897" s="107"/>
      <c r="C897" s="107"/>
      <c r="D897" s="102"/>
      <c r="E897" s="107"/>
      <c r="F897" s="108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10"/>
      <c r="V897" s="110"/>
    </row>
    <row r="898" ht="12.75" customHeight="1">
      <c r="A898" s="107"/>
      <c r="B898" s="107"/>
      <c r="C898" s="107"/>
      <c r="D898" s="102"/>
      <c r="E898" s="107"/>
      <c r="F898" s="108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10"/>
      <c r="V898" s="110"/>
    </row>
    <row r="899" ht="12.75" customHeight="1">
      <c r="A899" s="107"/>
      <c r="B899" s="107"/>
      <c r="C899" s="107"/>
      <c r="D899" s="102"/>
      <c r="E899" s="107"/>
      <c r="F899" s="108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10"/>
      <c r="V899" s="110"/>
    </row>
    <row r="900" ht="12.75" customHeight="1">
      <c r="A900" s="107"/>
      <c r="B900" s="107"/>
      <c r="C900" s="107"/>
      <c r="D900" s="102"/>
      <c r="E900" s="107"/>
      <c r="F900" s="108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10"/>
      <c r="V900" s="110"/>
    </row>
    <row r="901" ht="12.75" customHeight="1">
      <c r="A901" s="107"/>
      <c r="B901" s="107"/>
      <c r="C901" s="107"/>
      <c r="D901" s="102"/>
      <c r="E901" s="107"/>
      <c r="F901" s="108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10"/>
      <c r="V901" s="110"/>
    </row>
    <row r="902" ht="12.75" customHeight="1">
      <c r="A902" s="107"/>
      <c r="B902" s="107"/>
      <c r="C902" s="107"/>
      <c r="D902" s="102"/>
      <c r="E902" s="107"/>
      <c r="F902" s="108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10"/>
      <c r="V902" s="110"/>
    </row>
    <row r="903" ht="12.75" customHeight="1">
      <c r="A903" s="107"/>
      <c r="B903" s="107"/>
      <c r="C903" s="107"/>
      <c r="D903" s="102"/>
      <c r="E903" s="107"/>
      <c r="F903" s="108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10"/>
      <c r="V903" s="110"/>
    </row>
    <row r="904" ht="12.75" customHeight="1">
      <c r="A904" s="107"/>
      <c r="B904" s="107"/>
      <c r="C904" s="107"/>
      <c r="D904" s="102"/>
      <c r="E904" s="107"/>
      <c r="F904" s="108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10"/>
      <c r="V904" s="110"/>
    </row>
    <row r="905" ht="12.75" customHeight="1">
      <c r="A905" s="107"/>
      <c r="B905" s="107"/>
      <c r="C905" s="107"/>
      <c r="D905" s="102"/>
      <c r="E905" s="107"/>
      <c r="F905" s="108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10"/>
      <c r="V905" s="110"/>
    </row>
    <row r="906" ht="12.75" customHeight="1">
      <c r="A906" s="107"/>
      <c r="B906" s="107"/>
      <c r="C906" s="107"/>
      <c r="D906" s="102"/>
      <c r="E906" s="107"/>
      <c r="F906" s="108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10"/>
      <c r="V906" s="110"/>
    </row>
    <row r="907" ht="12.75" customHeight="1">
      <c r="A907" s="107"/>
      <c r="B907" s="107"/>
      <c r="C907" s="107"/>
      <c r="D907" s="102"/>
      <c r="E907" s="107"/>
      <c r="F907" s="108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10"/>
      <c r="V907" s="110"/>
    </row>
    <row r="908" ht="12.75" customHeight="1">
      <c r="A908" s="107"/>
      <c r="B908" s="107"/>
      <c r="C908" s="107"/>
      <c r="D908" s="102"/>
      <c r="E908" s="107"/>
      <c r="F908" s="108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10"/>
      <c r="V908" s="110"/>
    </row>
    <row r="909" ht="12.75" customHeight="1">
      <c r="A909" s="107"/>
      <c r="B909" s="107"/>
      <c r="C909" s="107"/>
      <c r="D909" s="102"/>
      <c r="E909" s="107"/>
      <c r="F909" s="108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10"/>
      <c r="V909" s="110"/>
    </row>
    <row r="910" ht="12.75" customHeight="1">
      <c r="A910" s="107"/>
      <c r="B910" s="107"/>
      <c r="C910" s="107"/>
      <c r="D910" s="102"/>
      <c r="E910" s="107"/>
      <c r="F910" s="108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10"/>
      <c r="V910" s="110"/>
    </row>
    <row r="911" ht="12.75" customHeight="1">
      <c r="A911" s="107"/>
      <c r="B911" s="107"/>
      <c r="C911" s="107"/>
      <c r="D911" s="102"/>
      <c r="E911" s="107"/>
      <c r="F911" s="108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10"/>
      <c r="V911" s="110"/>
    </row>
    <row r="912" ht="12.75" customHeight="1">
      <c r="A912" s="107"/>
      <c r="B912" s="107"/>
      <c r="C912" s="107"/>
      <c r="D912" s="102"/>
      <c r="E912" s="107"/>
      <c r="F912" s="108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10"/>
      <c r="V912" s="110"/>
    </row>
    <row r="913" ht="12.75" customHeight="1">
      <c r="A913" s="107"/>
      <c r="B913" s="107"/>
      <c r="C913" s="107"/>
      <c r="D913" s="102"/>
      <c r="E913" s="107"/>
      <c r="F913" s="108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10"/>
      <c r="V913" s="110"/>
    </row>
    <row r="914" ht="12.75" customHeight="1">
      <c r="A914" s="107"/>
      <c r="B914" s="107"/>
      <c r="C914" s="107"/>
      <c r="D914" s="102"/>
      <c r="E914" s="107"/>
      <c r="F914" s="108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10"/>
      <c r="V914" s="110"/>
    </row>
    <row r="915" ht="12.75" customHeight="1">
      <c r="A915" s="107"/>
      <c r="B915" s="107"/>
      <c r="C915" s="107"/>
      <c r="D915" s="102"/>
      <c r="E915" s="107"/>
      <c r="F915" s="108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10"/>
      <c r="V915" s="110"/>
    </row>
    <row r="916" ht="12.75" customHeight="1">
      <c r="A916" s="107"/>
      <c r="B916" s="107"/>
      <c r="C916" s="107"/>
      <c r="D916" s="102"/>
      <c r="E916" s="107"/>
      <c r="F916" s="108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10"/>
      <c r="V916" s="110"/>
    </row>
    <row r="917" ht="12.75" customHeight="1">
      <c r="A917" s="107"/>
      <c r="B917" s="107"/>
      <c r="C917" s="107"/>
      <c r="D917" s="102"/>
      <c r="E917" s="107"/>
      <c r="F917" s="108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10"/>
      <c r="V917" s="110"/>
    </row>
    <row r="918" ht="12.75" customHeight="1">
      <c r="A918" s="107"/>
      <c r="B918" s="107"/>
      <c r="C918" s="107"/>
      <c r="D918" s="102"/>
      <c r="E918" s="107"/>
      <c r="F918" s="108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10"/>
      <c r="V918" s="110"/>
    </row>
    <row r="919" ht="12.75" customHeight="1">
      <c r="A919" s="107"/>
      <c r="B919" s="107"/>
      <c r="C919" s="107"/>
      <c r="D919" s="102"/>
      <c r="E919" s="107"/>
      <c r="F919" s="108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10"/>
      <c r="V919" s="110"/>
    </row>
    <row r="920" ht="12.75" customHeight="1">
      <c r="A920" s="107"/>
      <c r="B920" s="107"/>
      <c r="C920" s="107"/>
      <c r="D920" s="102"/>
      <c r="E920" s="107"/>
      <c r="F920" s="108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10"/>
      <c r="V920" s="110"/>
    </row>
    <row r="921" ht="12.75" customHeight="1">
      <c r="A921" s="107"/>
      <c r="B921" s="107"/>
      <c r="C921" s="107"/>
      <c r="D921" s="102"/>
      <c r="E921" s="107"/>
      <c r="F921" s="108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10"/>
      <c r="V921" s="110"/>
    </row>
    <row r="922" ht="12.75" customHeight="1">
      <c r="A922" s="107"/>
      <c r="B922" s="107"/>
      <c r="C922" s="107"/>
      <c r="D922" s="102"/>
      <c r="E922" s="107"/>
      <c r="F922" s="108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10"/>
      <c r="V922" s="110"/>
    </row>
    <row r="923" ht="12.75" customHeight="1">
      <c r="A923" s="107"/>
      <c r="B923" s="107"/>
      <c r="C923" s="107"/>
      <c r="D923" s="102"/>
      <c r="E923" s="107"/>
      <c r="F923" s="108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10"/>
      <c r="V923" s="110"/>
    </row>
    <row r="924" ht="12.75" customHeight="1">
      <c r="A924" s="107"/>
      <c r="B924" s="107"/>
      <c r="C924" s="107"/>
      <c r="D924" s="102"/>
      <c r="E924" s="107"/>
      <c r="F924" s="108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10"/>
      <c r="V924" s="110"/>
    </row>
    <row r="925" ht="12.75" customHeight="1">
      <c r="A925" s="107"/>
      <c r="B925" s="107"/>
      <c r="C925" s="107"/>
      <c r="D925" s="102"/>
      <c r="E925" s="107"/>
      <c r="F925" s="108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10"/>
      <c r="V925" s="110"/>
    </row>
    <row r="926" ht="12.75" customHeight="1">
      <c r="A926" s="107"/>
      <c r="B926" s="107"/>
      <c r="C926" s="107"/>
      <c r="D926" s="102"/>
      <c r="E926" s="107"/>
      <c r="F926" s="108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10"/>
      <c r="V926" s="110"/>
    </row>
    <row r="927" ht="12.75" customHeight="1">
      <c r="A927" s="107"/>
      <c r="B927" s="107"/>
      <c r="C927" s="107"/>
      <c r="D927" s="102"/>
      <c r="E927" s="107"/>
      <c r="F927" s="108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10"/>
      <c r="V927" s="110"/>
    </row>
    <row r="928" ht="12.75" customHeight="1">
      <c r="A928" s="107"/>
      <c r="B928" s="107"/>
      <c r="C928" s="107"/>
      <c r="D928" s="102"/>
      <c r="E928" s="107"/>
      <c r="F928" s="108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10"/>
      <c r="V928" s="110"/>
    </row>
    <row r="929" ht="12.75" customHeight="1">
      <c r="A929" s="107"/>
      <c r="B929" s="107"/>
      <c r="C929" s="107"/>
      <c r="D929" s="102"/>
      <c r="E929" s="107"/>
      <c r="F929" s="108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10"/>
      <c r="V929" s="110"/>
    </row>
    <row r="930" ht="12.75" customHeight="1">
      <c r="A930" s="107"/>
      <c r="B930" s="107"/>
      <c r="C930" s="107"/>
      <c r="D930" s="102"/>
      <c r="E930" s="107"/>
      <c r="F930" s="108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10"/>
      <c r="V930" s="110"/>
    </row>
    <row r="931" ht="12.75" customHeight="1">
      <c r="A931" s="107"/>
      <c r="B931" s="107"/>
      <c r="C931" s="107"/>
      <c r="D931" s="102"/>
      <c r="E931" s="107"/>
      <c r="F931" s="108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10"/>
      <c r="V931" s="110"/>
    </row>
    <row r="932" ht="12.75" customHeight="1">
      <c r="A932" s="107"/>
      <c r="B932" s="107"/>
      <c r="C932" s="107"/>
      <c r="D932" s="102"/>
      <c r="E932" s="107"/>
      <c r="F932" s="108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10"/>
      <c r="V932" s="110"/>
    </row>
    <row r="933" ht="12.75" customHeight="1">
      <c r="A933" s="107"/>
      <c r="B933" s="107"/>
      <c r="C933" s="107"/>
      <c r="D933" s="102"/>
      <c r="E933" s="107"/>
      <c r="F933" s="108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10"/>
      <c r="V933" s="110"/>
    </row>
    <row r="934" ht="12.75" customHeight="1">
      <c r="A934" s="107"/>
      <c r="B934" s="107"/>
      <c r="C934" s="107"/>
      <c r="D934" s="102"/>
      <c r="E934" s="107"/>
      <c r="F934" s="108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10"/>
      <c r="V934" s="110"/>
    </row>
    <row r="935" ht="12.75" customHeight="1">
      <c r="A935" s="107"/>
      <c r="B935" s="107"/>
      <c r="C935" s="107"/>
      <c r="D935" s="102"/>
      <c r="E935" s="107"/>
      <c r="F935" s="108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10"/>
      <c r="V935" s="110"/>
    </row>
    <row r="936" ht="12.75" customHeight="1">
      <c r="A936" s="107"/>
      <c r="B936" s="107"/>
      <c r="C936" s="107"/>
      <c r="D936" s="102"/>
      <c r="E936" s="107"/>
      <c r="F936" s="108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10"/>
      <c r="V936" s="110"/>
    </row>
    <row r="937" ht="12.75" customHeight="1">
      <c r="A937" s="107"/>
      <c r="B937" s="107"/>
      <c r="C937" s="107"/>
      <c r="D937" s="102"/>
      <c r="E937" s="107"/>
      <c r="F937" s="108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10"/>
      <c r="V937" s="110"/>
    </row>
    <row r="938" ht="12.75" customHeight="1">
      <c r="A938" s="107"/>
      <c r="B938" s="107"/>
      <c r="C938" s="107"/>
      <c r="D938" s="102"/>
      <c r="E938" s="107"/>
      <c r="F938" s="108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10"/>
      <c r="V938" s="110"/>
    </row>
    <row r="939" ht="12.75" customHeight="1">
      <c r="A939" s="107"/>
      <c r="B939" s="107"/>
      <c r="C939" s="107"/>
      <c r="D939" s="102"/>
      <c r="E939" s="107"/>
      <c r="F939" s="108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10"/>
      <c r="V939" s="110"/>
    </row>
    <row r="940" ht="12.75" customHeight="1">
      <c r="A940" s="107"/>
      <c r="B940" s="107"/>
      <c r="C940" s="107"/>
      <c r="D940" s="102"/>
      <c r="E940" s="107"/>
      <c r="F940" s="108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10"/>
      <c r="V940" s="110"/>
    </row>
    <row r="941" ht="12.75" customHeight="1">
      <c r="A941" s="107"/>
      <c r="B941" s="107"/>
      <c r="C941" s="107"/>
      <c r="D941" s="102"/>
      <c r="E941" s="107"/>
      <c r="F941" s="108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10"/>
      <c r="V941" s="110"/>
    </row>
    <row r="942" ht="12.75" customHeight="1">
      <c r="A942" s="107"/>
      <c r="B942" s="107"/>
      <c r="C942" s="107"/>
      <c r="D942" s="102"/>
      <c r="E942" s="107"/>
      <c r="F942" s="108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10"/>
      <c r="V942" s="110"/>
    </row>
    <row r="943" ht="12.75" customHeight="1">
      <c r="A943" s="107"/>
      <c r="B943" s="107"/>
      <c r="C943" s="107"/>
      <c r="D943" s="102"/>
      <c r="E943" s="107"/>
      <c r="F943" s="108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10"/>
      <c r="V943" s="110"/>
    </row>
    <row r="944" ht="12.75" customHeight="1">
      <c r="A944" s="107"/>
      <c r="B944" s="107"/>
      <c r="C944" s="107"/>
      <c r="D944" s="102"/>
      <c r="E944" s="107"/>
      <c r="F944" s="108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10"/>
      <c r="V944" s="110"/>
    </row>
    <row r="945" ht="12.75" customHeight="1">
      <c r="A945" s="107"/>
      <c r="B945" s="107"/>
      <c r="C945" s="107"/>
      <c r="D945" s="102"/>
      <c r="E945" s="107"/>
      <c r="F945" s="108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10"/>
      <c r="V945" s="110"/>
    </row>
    <row r="946" ht="12.75" customHeight="1">
      <c r="A946" s="107"/>
      <c r="B946" s="107"/>
      <c r="C946" s="107"/>
      <c r="D946" s="102"/>
      <c r="E946" s="107"/>
      <c r="F946" s="108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10"/>
      <c r="V946" s="110"/>
    </row>
    <row r="947" ht="12.75" customHeight="1">
      <c r="A947" s="107"/>
      <c r="B947" s="107"/>
      <c r="C947" s="107"/>
      <c r="D947" s="102"/>
      <c r="E947" s="107"/>
      <c r="F947" s="108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10"/>
      <c r="V947" s="110"/>
    </row>
    <row r="948" ht="12.75" customHeight="1">
      <c r="A948" s="107"/>
      <c r="B948" s="107"/>
      <c r="C948" s="107"/>
      <c r="D948" s="102"/>
      <c r="E948" s="107"/>
      <c r="F948" s="108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10"/>
      <c r="V948" s="110"/>
    </row>
    <row r="949" ht="12.75" customHeight="1">
      <c r="A949" s="107"/>
      <c r="B949" s="107"/>
      <c r="C949" s="107"/>
      <c r="D949" s="102"/>
      <c r="E949" s="107"/>
      <c r="F949" s="108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10"/>
      <c r="V949" s="110"/>
    </row>
    <row r="950" ht="12.75" customHeight="1">
      <c r="A950" s="107"/>
      <c r="B950" s="107"/>
      <c r="C950" s="107"/>
      <c r="D950" s="102"/>
      <c r="E950" s="107"/>
      <c r="F950" s="108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10"/>
      <c r="V950" s="110"/>
    </row>
    <row r="951" ht="12.75" customHeight="1">
      <c r="A951" s="107"/>
      <c r="B951" s="107"/>
      <c r="C951" s="107"/>
      <c r="D951" s="102"/>
      <c r="E951" s="107"/>
      <c r="F951" s="108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10"/>
      <c r="V951" s="110"/>
    </row>
    <row r="952" ht="12.75" customHeight="1">
      <c r="A952" s="107"/>
      <c r="B952" s="107"/>
      <c r="C952" s="107"/>
      <c r="D952" s="102"/>
      <c r="E952" s="107"/>
      <c r="F952" s="108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10"/>
      <c r="V952" s="110"/>
    </row>
    <row r="953" ht="12.75" customHeight="1">
      <c r="A953" s="107"/>
      <c r="B953" s="107"/>
      <c r="C953" s="107"/>
      <c r="D953" s="102"/>
      <c r="E953" s="107"/>
      <c r="F953" s="108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10"/>
      <c r="V953" s="110"/>
    </row>
    <row r="954" ht="12.75" customHeight="1">
      <c r="A954" s="107"/>
      <c r="B954" s="107"/>
      <c r="C954" s="107"/>
      <c r="D954" s="102"/>
      <c r="E954" s="107"/>
      <c r="F954" s="108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10"/>
      <c r="V954" s="110"/>
    </row>
    <row r="955" ht="12.75" customHeight="1">
      <c r="A955" s="107"/>
      <c r="B955" s="107"/>
      <c r="C955" s="107"/>
      <c r="D955" s="102"/>
      <c r="E955" s="107"/>
      <c r="F955" s="108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10"/>
      <c r="V955" s="110"/>
    </row>
    <row r="956" ht="12.75" customHeight="1">
      <c r="A956" s="107"/>
      <c r="B956" s="107"/>
      <c r="C956" s="107"/>
      <c r="D956" s="102"/>
      <c r="E956" s="107"/>
      <c r="F956" s="108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10"/>
      <c r="V956" s="110"/>
    </row>
    <row r="957" ht="12.75" customHeight="1">
      <c r="A957" s="107"/>
      <c r="B957" s="107"/>
      <c r="C957" s="107"/>
      <c r="D957" s="102"/>
      <c r="E957" s="107"/>
      <c r="F957" s="108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10"/>
      <c r="V957" s="110"/>
    </row>
    <row r="958" ht="12.75" customHeight="1">
      <c r="A958" s="107"/>
      <c r="B958" s="107"/>
      <c r="C958" s="107"/>
      <c r="D958" s="102"/>
      <c r="E958" s="107"/>
      <c r="F958" s="108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10"/>
      <c r="V958" s="110"/>
    </row>
    <row r="959" ht="12.75" customHeight="1">
      <c r="A959" s="107"/>
      <c r="B959" s="107"/>
      <c r="C959" s="107"/>
      <c r="D959" s="102"/>
      <c r="E959" s="107"/>
      <c r="F959" s="108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10"/>
      <c r="V959" s="110"/>
    </row>
    <row r="960" ht="12.75" customHeight="1">
      <c r="A960" s="107"/>
      <c r="B960" s="107"/>
      <c r="C960" s="107"/>
      <c r="D960" s="102"/>
      <c r="E960" s="107"/>
      <c r="F960" s="108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10"/>
      <c r="V960" s="110"/>
    </row>
    <row r="961" ht="12.75" customHeight="1">
      <c r="A961" s="107"/>
      <c r="B961" s="107"/>
      <c r="C961" s="107"/>
      <c r="D961" s="102"/>
      <c r="E961" s="107"/>
      <c r="F961" s="108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10"/>
      <c r="V961" s="110"/>
    </row>
    <row r="962" ht="12.75" customHeight="1">
      <c r="A962" s="107"/>
      <c r="B962" s="107"/>
      <c r="C962" s="107"/>
      <c r="D962" s="102"/>
      <c r="E962" s="107"/>
      <c r="F962" s="108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10"/>
      <c r="V962" s="110"/>
    </row>
    <row r="963" ht="12.75" customHeight="1">
      <c r="A963" s="107"/>
      <c r="B963" s="107"/>
      <c r="C963" s="107"/>
      <c r="D963" s="102"/>
      <c r="E963" s="107"/>
      <c r="F963" s="108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10"/>
      <c r="V963" s="110"/>
    </row>
    <row r="964" ht="12.75" customHeight="1">
      <c r="A964" s="107"/>
      <c r="B964" s="107"/>
      <c r="C964" s="107"/>
      <c r="D964" s="102"/>
      <c r="E964" s="107"/>
      <c r="F964" s="108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10"/>
      <c r="V964" s="110"/>
    </row>
    <row r="965" ht="12.75" customHeight="1">
      <c r="A965" s="107"/>
      <c r="B965" s="107"/>
      <c r="C965" s="107"/>
      <c r="D965" s="102"/>
      <c r="E965" s="107"/>
      <c r="F965" s="108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10"/>
      <c r="V965" s="110"/>
    </row>
    <row r="966" ht="12.75" customHeight="1">
      <c r="A966" s="107"/>
      <c r="B966" s="107"/>
      <c r="C966" s="107"/>
      <c r="D966" s="102"/>
      <c r="E966" s="107"/>
      <c r="F966" s="108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10"/>
      <c r="V966" s="110"/>
    </row>
    <row r="967" ht="12.75" customHeight="1">
      <c r="A967" s="107"/>
      <c r="B967" s="107"/>
      <c r="C967" s="107"/>
      <c r="D967" s="102"/>
      <c r="E967" s="107"/>
      <c r="F967" s="108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10"/>
      <c r="V967" s="110"/>
    </row>
    <row r="968" ht="12.75" customHeight="1">
      <c r="A968" s="107"/>
      <c r="B968" s="107"/>
      <c r="C968" s="107"/>
      <c r="D968" s="102"/>
      <c r="E968" s="107"/>
      <c r="F968" s="108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10"/>
      <c r="V968" s="110"/>
    </row>
    <row r="969" ht="12.75" customHeight="1">
      <c r="A969" s="107"/>
      <c r="B969" s="107"/>
      <c r="C969" s="107"/>
      <c r="D969" s="102"/>
      <c r="E969" s="107"/>
      <c r="F969" s="108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10"/>
      <c r="V969" s="110"/>
    </row>
    <row r="970" ht="12.75" customHeight="1">
      <c r="A970" s="107"/>
      <c r="B970" s="107"/>
      <c r="C970" s="107"/>
      <c r="D970" s="102"/>
      <c r="E970" s="107"/>
      <c r="F970" s="108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10"/>
      <c r="V970" s="110"/>
    </row>
    <row r="971" ht="12.75" customHeight="1">
      <c r="A971" s="107"/>
      <c r="B971" s="107"/>
      <c r="C971" s="107"/>
      <c r="D971" s="102"/>
      <c r="E971" s="107"/>
      <c r="F971" s="108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10"/>
      <c r="V971" s="110"/>
    </row>
    <row r="972" ht="12.75" customHeight="1">
      <c r="A972" s="107"/>
      <c r="B972" s="107"/>
      <c r="C972" s="107"/>
      <c r="D972" s="102"/>
      <c r="E972" s="107"/>
      <c r="F972" s="108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10"/>
      <c r="V972" s="110"/>
    </row>
    <row r="973" ht="12.75" customHeight="1">
      <c r="A973" s="107"/>
      <c r="B973" s="107"/>
      <c r="C973" s="107"/>
      <c r="D973" s="102"/>
      <c r="E973" s="107"/>
      <c r="F973" s="108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10"/>
      <c r="V973" s="110"/>
    </row>
    <row r="974" ht="12.75" customHeight="1">
      <c r="A974" s="107"/>
      <c r="B974" s="107"/>
      <c r="C974" s="107"/>
      <c r="D974" s="102"/>
      <c r="E974" s="107"/>
      <c r="F974" s="108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10"/>
      <c r="V974" s="110"/>
    </row>
    <row r="975" ht="12.75" customHeight="1">
      <c r="A975" s="107"/>
      <c r="B975" s="107"/>
      <c r="C975" s="107"/>
      <c r="D975" s="102"/>
      <c r="E975" s="107"/>
      <c r="F975" s="108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10"/>
      <c r="V975" s="110"/>
    </row>
    <row r="976" ht="12.75" customHeight="1">
      <c r="A976" s="107"/>
      <c r="B976" s="107"/>
      <c r="C976" s="107"/>
      <c r="D976" s="102"/>
      <c r="E976" s="107"/>
      <c r="F976" s="108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10"/>
      <c r="V976" s="110"/>
    </row>
    <row r="977" ht="12.75" customHeight="1">
      <c r="A977" s="107"/>
      <c r="B977" s="107"/>
      <c r="C977" s="107"/>
      <c r="D977" s="102"/>
      <c r="E977" s="107"/>
      <c r="F977" s="108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10"/>
      <c r="V977" s="110"/>
    </row>
    <row r="978" ht="12.75" customHeight="1">
      <c r="A978" s="107"/>
      <c r="B978" s="107"/>
      <c r="C978" s="107"/>
      <c r="D978" s="102"/>
      <c r="E978" s="107"/>
      <c r="F978" s="108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10"/>
      <c r="V978" s="110"/>
    </row>
    <row r="979" ht="12.75" customHeight="1">
      <c r="A979" s="107"/>
      <c r="B979" s="107"/>
      <c r="C979" s="107"/>
      <c r="D979" s="102"/>
      <c r="E979" s="107"/>
      <c r="F979" s="108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10"/>
      <c r="V979" s="110"/>
    </row>
    <row r="980" ht="12.75" customHeight="1">
      <c r="A980" s="107"/>
      <c r="B980" s="107"/>
      <c r="C980" s="107"/>
      <c r="D980" s="102"/>
      <c r="E980" s="107"/>
      <c r="F980" s="108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10"/>
      <c r="V980" s="110"/>
    </row>
    <row r="981" ht="12.75" customHeight="1">
      <c r="A981" s="107"/>
      <c r="B981" s="107"/>
      <c r="C981" s="107"/>
      <c r="D981" s="102"/>
      <c r="E981" s="107"/>
      <c r="F981" s="108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10"/>
      <c r="V981" s="110"/>
    </row>
    <row r="982" ht="12.75" customHeight="1">
      <c r="A982" s="107"/>
      <c r="B982" s="107"/>
      <c r="C982" s="107"/>
      <c r="D982" s="102"/>
      <c r="E982" s="107"/>
      <c r="F982" s="108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10"/>
      <c r="V982" s="110"/>
    </row>
    <row r="983" ht="12.75" customHeight="1">
      <c r="A983" s="107"/>
      <c r="B983" s="107"/>
      <c r="C983" s="107"/>
      <c r="D983" s="102"/>
      <c r="E983" s="107"/>
      <c r="F983" s="108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10"/>
      <c r="V983" s="110"/>
    </row>
    <row r="984" ht="12.75" customHeight="1">
      <c r="A984" s="107"/>
      <c r="B984" s="107"/>
      <c r="C984" s="107"/>
      <c r="D984" s="102"/>
      <c r="E984" s="107"/>
      <c r="F984" s="108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10"/>
      <c r="V984" s="110"/>
    </row>
    <row r="985" ht="12.75" customHeight="1">
      <c r="A985" s="107"/>
      <c r="B985" s="107"/>
      <c r="C985" s="107"/>
      <c r="D985" s="102"/>
      <c r="E985" s="107"/>
      <c r="F985" s="108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10"/>
      <c r="V985" s="110"/>
    </row>
    <row r="986" ht="12.75" customHeight="1">
      <c r="A986" s="107"/>
      <c r="B986" s="107"/>
      <c r="C986" s="107"/>
      <c r="D986" s="102"/>
      <c r="E986" s="107"/>
      <c r="F986" s="108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10"/>
      <c r="V986" s="110"/>
    </row>
    <row r="987" ht="12.75" customHeight="1">
      <c r="A987" s="107"/>
      <c r="B987" s="107"/>
      <c r="C987" s="107"/>
      <c r="D987" s="102"/>
      <c r="E987" s="107"/>
      <c r="F987" s="108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10"/>
      <c r="V987" s="110"/>
    </row>
    <row r="988" ht="12.75" customHeight="1">
      <c r="A988" s="107"/>
      <c r="B988" s="107"/>
      <c r="C988" s="107"/>
      <c r="D988" s="102"/>
      <c r="E988" s="107"/>
      <c r="F988" s="108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10"/>
      <c r="V988" s="110"/>
    </row>
    <row r="989" ht="12.75" customHeight="1">
      <c r="A989" s="107"/>
      <c r="B989" s="107"/>
      <c r="C989" s="107"/>
      <c r="D989" s="102"/>
      <c r="E989" s="107"/>
      <c r="F989" s="108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10"/>
      <c r="V989" s="110"/>
    </row>
    <row r="990" ht="12.75" customHeight="1">
      <c r="A990" s="107"/>
      <c r="B990" s="107"/>
      <c r="C990" s="107"/>
      <c r="D990" s="102"/>
      <c r="E990" s="107"/>
      <c r="F990" s="108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10"/>
      <c r="V990" s="110"/>
    </row>
    <row r="991" ht="12.75" customHeight="1">
      <c r="A991" s="107"/>
      <c r="B991" s="107"/>
      <c r="C991" s="107"/>
      <c r="D991" s="102"/>
      <c r="E991" s="107"/>
      <c r="F991" s="108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10"/>
      <c r="V991" s="110"/>
    </row>
    <row r="992" ht="12.75" customHeight="1">
      <c r="A992" s="107"/>
      <c r="B992" s="107"/>
      <c r="C992" s="107"/>
      <c r="D992" s="102"/>
      <c r="E992" s="107"/>
      <c r="F992" s="108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10"/>
      <c r="V992" s="110"/>
    </row>
    <row r="993" ht="12.75" customHeight="1">
      <c r="A993" s="107"/>
      <c r="B993" s="107"/>
      <c r="C993" s="107"/>
      <c r="D993" s="102"/>
      <c r="E993" s="107"/>
      <c r="F993" s="108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10"/>
      <c r="V993" s="110"/>
    </row>
    <row r="994" ht="12.75" customHeight="1">
      <c r="A994" s="107"/>
      <c r="B994" s="107"/>
      <c r="C994" s="107"/>
      <c r="D994" s="102"/>
      <c r="E994" s="107"/>
      <c r="F994" s="108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10"/>
      <c r="V994" s="110"/>
    </row>
    <row r="995" ht="12.75" customHeight="1">
      <c r="A995" s="107"/>
      <c r="B995" s="107"/>
      <c r="C995" s="107"/>
      <c r="D995" s="102"/>
      <c r="E995" s="107"/>
      <c r="F995" s="108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10"/>
      <c r="V995" s="110"/>
    </row>
    <row r="996" ht="12.75" customHeight="1">
      <c r="A996" s="107"/>
      <c r="B996" s="107"/>
      <c r="C996" s="107"/>
      <c r="D996" s="102"/>
      <c r="E996" s="107"/>
      <c r="F996" s="108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10"/>
      <c r="V996" s="110"/>
    </row>
    <row r="997" ht="12.75" customHeight="1">
      <c r="A997" s="107"/>
      <c r="B997" s="107"/>
      <c r="C997" s="107"/>
      <c r="D997" s="102"/>
      <c r="E997" s="107"/>
      <c r="F997" s="108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10"/>
      <c r="V997" s="110"/>
    </row>
    <row r="998" ht="12.75" customHeight="1">
      <c r="A998" s="107"/>
      <c r="B998" s="107"/>
      <c r="C998" s="107"/>
      <c r="D998" s="102"/>
      <c r="E998" s="107"/>
      <c r="F998" s="108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10"/>
      <c r="V998" s="110"/>
    </row>
    <row r="999" ht="12.75" customHeight="1">
      <c r="A999" s="107"/>
      <c r="B999" s="107"/>
      <c r="C999" s="107"/>
      <c r="D999" s="102"/>
      <c r="E999" s="107"/>
      <c r="F999" s="108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10"/>
      <c r="V999" s="110"/>
    </row>
    <row r="1000" ht="12.75" customHeight="1">
      <c r="A1000" s="107"/>
      <c r="B1000" s="107"/>
      <c r="C1000" s="107"/>
      <c r="D1000" s="102"/>
      <c r="E1000" s="107"/>
      <c r="F1000" s="108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10"/>
      <c r="V1000" s="110"/>
    </row>
    <row r="1001" ht="12.75" customHeight="1">
      <c r="A1001" s="107"/>
      <c r="B1001" s="107"/>
      <c r="C1001" s="107"/>
      <c r="D1001" s="102"/>
      <c r="E1001" s="107"/>
      <c r="F1001" s="108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10"/>
      <c r="V1001" s="110"/>
    </row>
    <row r="1002" ht="12.75" customHeight="1">
      <c r="A1002" s="107"/>
      <c r="B1002" s="107"/>
      <c r="C1002" s="107"/>
      <c r="D1002" s="102"/>
      <c r="E1002" s="107"/>
      <c r="F1002" s="108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10"/>
      <c r="V1002" s="110"/>
    </row>
    <row r="1003" ht="12.75" customHeight="1">
      <c r="A1003" s="107"/>
      <c r="B1003" s="107"/>
      <c r="C1003" s="107"/>
      <c r="D1003" s="102"/>
      <c r="E1003" s="107"/>
      <c r="F1003" s="108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10"/>
      <c r="V1003" s="110"/>
    </row>
    <row r="1004" ht="12.75" customHeight="1">
      <c r="A1004" s="107"/>
      <c r="B1004" s="107"/>
      <c r="C1004" s="107"/>
      <c r="D1004" s="102"/>
      <c r="E1004" s="107"/>
      <c r="F1004" s="108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10"/>
      <c r="V1004" s="110"/>
    </row>
    <row r="1005" ht="12.75" customHeight="1">
      <c r="A1005" s="107"/>
      <c r="B1005" s="107"/>
      <c r="C1005" s="107"/>
      <c r="D1005" s="102"/>
      <c r="E1005" s="107"/>
      <c r="F1005" s="108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10"/>
      <c r="V1005" s="110"/>
    </row>
    <row r="1006" ht="12.75" customHeight="1">
      <c r="A1006" s="107"/>
      <c r="B1006" s="107"/>
      <c r="C1006" s="107"/>
      <c r="D1006" s="102"/>
      <c r="E1006" s="107"/>
      <c r="F1006" s="108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10"/>
      <c r="V1006" s="110"/>
    </row>
    <row r="1007" ht="12.75" customHeight="1">
      <c r="A1007" s="107"/>
      <c r="B1007" s="107"/>
      <c r="C1007" s="107"/>
      <c r="D1007" s="102"/>
      <c r="E1007" s="107"/>
      <c r="F1007" s="108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10"/>
      <c r="V1007" s="110"/>
    </row>
    <row r="1008" ht="12.75" customHeight="1">
      <c r="A1008" s="107"/>
      <c r="B1008" s="107"/>
      <c r="C1008" s="107"/>
      <c r="D1008" s="102"/>
      <c r="E1008" s="107"/>
      <c r="F1008" s="108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10"/>
      <c r="V1008" s="110"/>
    </row>
    <row r="1009" ht="12.75" customHeight="1">
      <c r="A1009" s="107"/>
      <c r="B1009" s="107"/>
      <c r="C1009" s="107"/>
      <c r="D1009" s="102"/>
      <c r="E1009" s="107"/>
      <c r="F1009" s="108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10"/>
      <c r="V1009" s="110"/>
    </row>
    <row r="1010" ht="12.75" customHeight="1">
      <c r="A1010" s="107"/>
      <c r="B1010" s="107"/>
      <c r="C1010" s="107"/>
      <c r="D1010" s="102"/>
      <c r="E1010" s="107"/>
      <c r="F1010" s="108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10"/>
      <c r="V1010" s="110"/>
    </row>
    <row r="1011" ht="12.75" customHeight="1">
      <c r="A1011" s="107"/>
      <c r="B1011" s="107"/>
      <c r="C1011" s="107"/>
      <c r="D1011" s="102"/>
      <c r="E1011" s="107"/>
      <c r="F1011" s="108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10"/>
      <c r="V1011" s="110"/>
    </row>
    <row r="1012" ht="12.75" customHeight="1">
      <c r="A1012" s="107"/>
      <c r="B1012" s="107"/>
      <c r="C1012" s="107"/>
      <c r="D1012" s="102"/>
      <c r="E1012" s="107"/>
      <c r="F1012" s="108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10"/>
      <c r="V1012" s="110"/>
    </row>
    <row r="1013" ht="12.75" customHeight="1">
      <c r="A1013" s="107"/>
      <c r="B1013" s="107"/>
      <c r="C1013" s="107"/>
      <c r="D1013" s="102"/>
      <c r="E1013" s="107"/>
      <c r="F1013" s="108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10"/>
      <c r="V1013" s="110"/>
    </row>
    <row r="1014" ht="12.75" customHeight="1">
      <c r="A1014" s="107"/>
      <c r="B1014" s="107"/>
      <c r="C1014" s="107"/>
      <c r="D1014" s="102"/>
      <c r="E1014" s="107"/>
      <c r="F1014" s="108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10"/>
      <c r="V1014" s="110"/>
    </row>
    <row r="1015" ht="12.75" customHeight="1">
      <c r="A1015" s="107"/>
      <c r="B1015" s="107"/>
      <c r="C1015" s="107"/>
      <c r="D1015" s="102"/>
      <c r="E1015" s="107"/>
      <c r="F1015" s="108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10"/>
      <c r="V1015" s="110"/>
    </row>
    <row r="1016" ht="12.75" customHeight="1">
      <c r="A1016" s="107"/>
      <c r="B1016" s="107"/>
      <c r="C1016" s="107"/>
      <c r="D1016" s="102"/>
      <c r="E1016" s="107"/>
      <c r="F1016" s="108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10"/>
      <c r="V1016" s="110"/>
    </row>
    <row r="1017" ht="12.75" customHeight="1">
      <c r="A1017" s="107"/>
      <c r="B1017" s="107"/>
      <c r="C1017" s="107"/>
      <c r="D1017" s="102"/>
      <c r="E1017" s="107"/>
      <c r="F1017" s="108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10"/>
      <c r="V1017" s="110"/>
    </row>
    <row r="1018" ht="12.75" customHeight="1">
      <c r="A1018" s="107"/>
      <c r="B1018" s="107"/>
      <c r="C1018" s="107"/>
      <c r="D1018" s="102"/>
      <c r="E1018" s="107"/>
      <c r="F1018" s="108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10"/>
      <c r="V1018" s="110"/>
    </row>
    <row r="1019" ht="12.75" customHeight="1">
      <c r="A1019" s="107"/>
      <c r="B1019" s="107"/>
      <c r="C1019" s="107"/>
      <c r="D1019" s="102"/>
      <c r="E1019" s="107"/>
      <c r="F1019" s="108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10"/>
      <c r="V1019" s="110"/>
    </row>
    <row r="1020" ht="12.75" customHeight="1">
      <c r="A1020" s="107"/>
      <c r="B1020" s="107"/>
      <c r="C1020" s="107"/>
      <c r="D1020" s="102"/>
      <c r="E1020" s="107"/>
      <c r="F1020" s="108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10"/>
      <c r="V1020" s="110"/>
    </row>
    <row r="1021" ht="12.75" customHeight="1">
      <c r="A1021" s="107"/>
      <c r="B1021" s="107"/>
      <c r="C1021" s="107"/>
      <c r="D1021" s="102"/>
      <c r="E1021" s="107"/>
      <c r="F1021" s="108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10"/>
      <c r="V1021" s="110"/>
    </row>
    <row r="1022" ht="12.75" customHeight="1">
      <c r="A1022" s="107"/>
      <c r="B1022" s="107"/>
      <c r="C1022" s="107"/>
      <c r="D1022" s="102"/>
      <c r="E1022" s="107"/>
      <c r="F1022" s="108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10"/>
      <c r="V1022" s="110"/>
    </row>
    <row r="1023" ht="12.75" customHeight="1">
      <c r="A1023" s="107"/>
      <c r="B1023" s="107"/>
      <c r="C1023" s="107"/>
      <c r="D1023" s="102"/>
      <c r="E1023" s="107"/>
      <c r="F1023" s="108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10"/>
      <c r="V1023" s="110"/>
    </row>
    <row r="1024" ht="12.75" customHeight="1">
      <c r="A1024" s="107"/>
      <c r="B1024" s="107"/>
      <c r="C1024" s="107"/>
      <c r="D1024" s="102"/>
      <c r="E1024" s="107"/>
      <c r="F1024" s="108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10"/>
      <c r="V1024" s="110"/>
    </row>
    <row r="1025" ht="12.75" customHeight="1">
      <c r="A1025" s="107"/>
      <c r="B1025" s="107"/>
      <c r="C1025" s="107"/>
      <c r="D1025" s="102"/>
      <c r="E1025" s="107"/>
      <c r="F1025" s="108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10"/>
      <c r="V1025" s="110"/>
    </row>
    <row r="1026" ht="12.75" customHeight="1">
      <c r="A1026" s="107"/>
      <c r="B1026" s="107"/>
      <c r="C1026" s="107"/>
      <c r="D1026" s="102"/>
      <c r="E1026" s="107"/>
      <c r="F1026" s="108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10"/>
      <c r="V1026" s="110"/>
    </row>
    <row r="1027" ht="12.75" customHeight="1">
      <c r="A1027" s="107"/>
      <c r="B1027" s="107"/>
      <c r="C1027" s="107"/>
      <c r="D1027" s="102"/>
      <c r="E1027" s="107"/>
      <c r="F1027" s="108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10"/>
      <c r="V1027" s="110"/>
    </row>
    <row r="1028" ht="12.75" customHeight="1">
      <c r="A1028" s="107"/>
      <c r="B1028" s="107"/>
      <c r="C1028" s="107"/>
      <c r="D1028" s="102"/>
      <c r="E1028" s="107"/>
      <c r="F1028" s="108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10"/>
      <c r="V1028" s="110"/>
    </row>
    <row r="1029" ht="12.75" customHeight="1">
      <c r="A1029" s="107"/>
      <c r="B1029" s="107"/>
      <c r="C1029" s="107"/>
      <c r="D1029" s="102"/>
      <c r="E1029" s="107"/>
      <c r="F1029" s="108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10"/>
      <c r="V1029" s="110"/>
    </row>
    <row r="1030" ht="12.75" customHeight="1">
      <c r="A1030" s="107"/>
      <c r="B1030" s="107"/>
      <c r="C1030" s="107"/>
      <c r="D1030" s="102"/>
      <c r="E1030" s="107"/>
      <c r="F1030" s="108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10"/>
      <c r="V1030" s="110"/>
    </row>
    <row r="1031" ht="12.75" customHeight="1">
      <c r="A1031" s="107"/>
      <c r="B1031" s="107"/>
      <c r="C1031" s="107"/>
      <c r="D1031" s="102"/>
      <c r="E1031" s="107"/>
      <c r="F1031" s="108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10"/>
      <c r="V1031" s="110"/>
    </row>
    <row r="1032" ht="12.75" customHeight="1">
      <c r="A1032" s="107"/>
      <c r="B1032" s="107"/>
      <c r="C1032" s="107"/>
      <c r="D1032" s="102"/>
      <c r="E1032" s="107"/>
      <c r="F1032" s="108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10"/>
      <c r="V1032" s="110"/>
    </row>
    <row r="1033" ht="12.75" customHeight="1">
      <c r="A1033" s="107"/>
      <c r="B1033" s="107"/>
      <c r="C1033" s="107"/>
      <c r="D1033" s="102"/>
      <c r="E1033" s="107"/>
      <c r="F1033" s="108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10"/>
      <c r="V1033" s="110"/>
    </row>
    <row r="1034" ht="12.75" customHeight="1">
      <c r="A1034" s="107"/>
      <c r="B1034" s="107"/>
      <c r="C1034" s="107"/>
      <c r="D1034" s="102"/>
      <c r="E1034" s="107"/>
      <c r="F1034" s="108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10"/>
      <c r="V1034" s="110"/>
    </row>
    <row r="1035" ht="12.75" customHeight="1">
      <c r="A1035" s="107"/>
      <c r="B1035" s="107"/>
      <c r="C1035" s="107"/>
      <c r="D1035" s="102"/>
      <c r="E1035" s="107"/>
      <c r="F1035" s="108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10"/>
      <c r="V1035" s="110"/>
    </row>
    <row r="1036" ht="12.75" customHeight="1">
      <c r="A1036" s="107"/>
      <c r="B1036" s="107"/>
      <c r="C1036" s="107"/>
      <c r="D1036" s="102"/>
      <c r="E1036" s="107"/>
      <c r="F1036" s="108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10"/>
      <c r="V1036" s="110"/>
    </row>
    <row r="1037" ht="12.75" customHeight="1">
      <c r="A1037" s="107"/>
      <c r="B1037" s="107"/>
      <c r="C1037" s="107"/>
      <c r="D1037" s="102"/>
      <c r="E1037" s="107"/>
      <c r="F1037" s="108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10"/>
      <c r="V1037" s="110"/>
    </row>
    <row r="1038" ht="12.75" customHeight="1">
      <c r="A1038" s="107"/>
      <c r="B1038" s="107"/>
      <c r="C1038" s="107"/>
      <c r="D1038" s="102"/>
      <c r="E1038" s="107"/>
      <c r="F1038" s="108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10"/>
      <c r="V1038" s="110"/>
    </row>
    <row r="1039" ht="12.75" customHeight="1">
      <c r="A1039" s="107"/>
      <c r="B1039" s="107"/>
      <c r="C1039" s="107"/>
      <c r="D1039" s="102"/>
      <c r="E1039" s="107"/>
      <c r="F1039" s="108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10"/>
      <c r="V1039" s="110"/>
    </row>
    <row r="1040" ht="12.75" customHeight="1">
      <c r="A1040" s="107"/>
      <c r="B1040" s="107"/>
      <c r="C1040" s="107"/>
      <c r="D1040" s="102"/>
      <c r="E1040" s="107"/>
      <c r="F1040" s="108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10"/>
      <c r="V1040" s="110"/>
    </row>
    <row r="1041" ht="12.75" customHeight="1">
      <c r="A1041" s="107"/>
      <c r="B1041" s="107"/>
      <c r="C1041" s="107"/>
      <c r="D1041" s="102"/>
      <c r="E1041" s="107"/>
      <c r="F1041" s="108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10"/>
      <c r="V1041" s="110"/>
    </row>
    <row r="1042" ht="12.75" customHeight="1">
      <c r="A1042" s="107"/>
      <c r="B1042" s="107"/>
      <c r="C1042" s="107"/>
      <c r="D1042" s="102"/>
      <c r="E1042" s="107"/>
      <c r="F1042" s="108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10"/>
      <c r="V1042" s="110"/>
    </row>
    <row r="1043" ht="12.75" customHeight="1">
      <c r="A1043" s="107"/>
      <c r="B1043" s="107"/>
      <c r="C1043" s="107"/>
      <c r="D1043" s="102"/>
      <c r="E1043" s="107"/>
      <c r="F1043" s="108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10"/>
      <c r="V1043" s="110"/>
    </row>
    <row r="1044" ht="12.75" customHeight="1">
      <c r="A1044" s="107"/>
      <c r="B1044" s="107"/>
      <c r="C1044" s="107"/>
      <c r="D1044" s="102"/>
      <c r="E1044" s="107"/>
      <c r="F1044" s="108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10"/>
      <c r="V1044" s="110"/>
    </row>
    <row r="1045" ht="12.75" customHeight="1">
      <c r="A1045" s="107"/>
      <c r="B1045" s="107"/>
      <c r="C1045" s="107"/>
      <c r="D1045" s="102"/>
      <c r="E1045" s="107"/>
      <c r="F1045" s="108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10"/>
      <c r="V1045" s="110"/>
    </row>
    <row r="1046" ht="12.75" customHeight="1">
      <c r="A1046" s="107"/>
      <c r="B1046" s="107"/>
      <c r="C1046" s="107"/>
      <c r="D1046" s="102"/>
      <c r="E1046" s="107"/>
      <c r="F1046" s="108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10"/>
      <c r="V1046" s="110"/>
    </row>
    <row r="1047" ht="12.75" customHeight="1">
      <c r="A1047" s="107"/>
      <c r="B1047" s="107"/>
      <c r="C1047" s="107"/>
      <c r="D1047" s="102"/>
      <c r="E1047" s="107"/>
      <c r="F1047" s="108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10"/>
      <c r="V1047" s="110"/>
    </row>
    <row r="1048" ht="12.75" customHeight="1">
      <c r="A1048" s="107"/>
      <c r="B1048" s="107"/>
      <c r="C1048" s="107"/>
      <c r="D1048" s="102"/>
      <c r="E1048" s="107"/>
      <c r="F1048" s="108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10"/>
      <c r="V1048" s="110"/>
    </row>
    <row r="1049" ht="12.75" customHeight="1">
      <c r="A1049" s="107"/>
      <c r="B1049" s="107"/>
      <c r="C1049" s="107"/>
      <c r="D1049" s="102"/>
      <c r="E1049" s="107"/>
      <c r="F1049" s="108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10"/>
      <c r="V1049" s="110"/>
    </row>
    <row r="1050" ht="12.75" customHeight="1">
      <c r="A1050" s="107"/>
      <c r="B1050" s="107"/>
      <c r="C1050" s="107"/>
      <c r="D1050" s="102"/>
      <c r="E1050" s="107"/>
      <c r="F1050" s="108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10"/>
      <c r="V1050" s="110"/>
    </row>
    <row r="1051" ht="12.75" customHeight="1">
      <c r="A1051" s="107"/>
      <c r="B1051" s="107"/>
      <c r="C1051" s="107"/>
      <c r="D1051" s="102"/>
      <c r="E1051" s="107"/>
      <c r="F1051" s="108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10"/>
      <c r="V1051" s="110"/>
    </row>
    <row r="1052" ht="12.75" customHeight="1">
      <c r="A1052" s="107"/>
      <c r="B1052" s="107"/>
      <c r="C1052" s="107"/>
      <c r="D1052" s="102"/>
      <c r="E1052" s="107"/>
      <c r="F1052" s="108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10"/>
      <c r="V1052" s="110"/>
    </row>
    <row r="1053" ht="12.75" customHeight="1">
      <c r="A1053" s="107"/>
      <c r="B1053" s="107"/>
      <c r="C1053" s="107"/>
      <c r="D1053" s="102"/>
      <c r="E1053" s="107"/>
      <c r="F1053" s="108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10"/>
      <c r="V1053" s="110"/>
    </row>
    <row r="1054" ht="12.75" customHeight="1">
      <c r="A1054" s="107"/>
      <c r="B1054" s="107"/>
      <c r="C1054" s="107"/>
      <c r="D1054" s="102"/>
      <c r="E1054" s="107"/>
      <c r="F1054" s="108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10"/>
      <c r="V1054" s="110"/>
    </row>
    <row r="1055" ht="12.75" customHeight="1">
      <c r="A1055" s="107"/>
      <c r="B1055" s="107"/>
      <c r="C1055" s="107"/>
      <c r="D1055" s="102"/>
      <c r="E1055" s="107"/>
      <c r="F1055" s="108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10"/>
      <c r="V1055" s="110"/>
    </row>
    <row r="1056" ht="12.75" customHeight="1">
      <c r="A1056" s="107"/>
      <c r="B1056" s="107"/>
      <c r="C1056" s="107"/>
      <c r="D1056" s="102"/>
      <c r="E1056" s="107"/>
      <c r="F1056" s="108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10"/>
      <c r="V1056" s="110"/>
    </row>
    <row r="1057" ht="12.75" customHeight="1">
      <c r="A1057" s="107"/>
      <c r="B1057" s="107"/>
      <c r="C1057" s="107"/>
      <c r="D1057" s="102"/>
      <c r="E1057" s="107"/>
      <c r="F1057" s="108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10"/>
      <c r="V1057" s="110"/>
    </row>
    <row r="1058" ht="12.75" customHeight="1">
      <c r="A1058" s="107"/>
      <c r="B1058" s="107"/>
      <c r="C1058" s="107"/>
      <c r="D1058" s="102"/>
      <c r="E1058" s="107"/>
      <c r="F1058" s="108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10"/>
      <c r="V1058" s="110"/>
    </row>
    <row r="1059" ht="12.75" customHeight="1">
      <c r="A1059" s="107"/>
      <c r="B1059" s="107"/>
      <c r="C1059" s="107"/>
      <c r="D1059" s="102"/>
      <c r="E1059" s="107"/>
      <c r="F1059" s="108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10"/>
      <c r="V1059" s="110"/>
    </row>
    <row r="1060" ht="12.75" customHeight="1">
      <c r="A1060" s="107"/>
      <c r="B1060" s="107"/>
      <c r="C1060" s="107"/>
      <c r="D1060" s="102"/>
      <c r="E1060" s="107"/>
      <c r="F1060" s="108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10"/>
      <c r="V1060" s="110"/>
    </row>
    <row r="1061" ht="12.75" customHeight="1">
      <c r="A1061" s="107"/>
      <c r="B1061" s="107"/>
      <c r="C1061" s="107"/>
      <c r="D1061" s="102"/>
      <c r="E1061" s="107"/>
      <c r="F1061" s="108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10"/>
      <c r="V1061" s="110"/>
    </row>
    <row r="1062" ht="12.75" customHeight="1">
      <c r="A1062" s="107"/>
      <c r="B1062" s="107"/>
      <c r="C1062" s="107"/>
      <c r="D1062" s="102"/>
      <c r="E1062" s="107"/>
      <c r="F1062" s="108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10"/>
      <c r="V1062" s="110"/>
    </row>
    <row r="1063" ht="12.75" customHeight="1">
      <c r="A1063" s="107"/>
      <c r="B1063" s="107"/>
      <c r="C1063" s="107"/>
      <c r="D1063" s="102"/>
      <c r="E1063" s="107"/>
      <c r="F1063" s="108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10"/>
      <c r="V1063" s="110"/>
    </row>
    <row r="1064" ht="12.75" customHeight="1">
      <c r="A1064" s="107"/>
      <c r="B1064" s="107"/>
      <c r="C1064" s="107"/>
      <c r="D1064" s="102"/>
      <c r="E1064" s="107"/>
      <c r="F1064" s="108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10"/>
      <c r="V1064" s="110"/>
    </row>
    <row r="1065" ht="12.75" customHeight="1">
      <c r="A1065" s="107"/>
      <c r="B1065" s="107"/>
      <c r="C1065" s="107"/>
      <c r="D1065" s="102"/>
      <c r="E1065" s="107"/>
      <c r="F1065" s="108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10"/>
      <c r="V1065" s="110"/>
    </row>
    <row r="1066" ht="12.75" customHeight="1">
      <c r="A1066" s="107"/>
      <c r="B1066" s="107"/>
      <c r="C1066" s="107"/>
      <c r="D1066" s="102"/>
      <c r="E1066" s="107"/>
      <c r="F1066" s="108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10"/>
      <c r="V1066" s="110"/>
    </row>
    <row r="1067" ht="12.75" customHeight="1">
      <c r="A1067" s="107"/>
      <c r="B1067" s="107"/>
      <c r="C1067" s="107"/>
      <c r="D1067" s="102"/>
      <c r="E1067" s="107"/>
      <c r="F1067" s="108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10"/>
      <c r="V1067" s="110"/>
    </row>
    <row r="1068" ht="12.75" customHeight="1">
      <c r="A1068" s="107"/>
      <c r="B1068" s="107"/>
      <c r="C1068" s="107"/>
      <c r="D1068" s="102"/>
      <c r="E1068" s="107"/>
      <c r="F1068" s="108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10"/>
      <c r="V1068" s="110"/>
    </row>
    <row r="1069" ht="12.75" customHeight="1">
      <c r="A1069" s="107"/>
      <c r="B1069" s="107"/>
      <c r="C1069" s="107"/>
      <c r="D1069" s="102"/>
      <c r="E1069" s="107"/>
      <c r="F1069" s="108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10"/>
      <c r="V1069" s="110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0</v>
      </c>
      <c r="D2" s="117"/>
      <c r="E2" s="116">
        <f t="shared" ref="E2:R2" si="1">SUM(E5,E11)</f>
        <v>0</v>
      </c>
      <c r="F2" s="116">
        <f t="shared" si="1"/>
        <v>1</v>
      </c>
      <c r="G2" s="118">
        <f t="shared" si="1"/>
        <v>0</v>
      </c>
      <c r="H2" s="118">
        <f t="shared" si="1"/>
        <v>0</v>
      </c>
      <c r="I2" s="118">
        <f t="shared" si="1"/>
        <v>0</v>
      </c>
      <c r="J2" s="118">
        <f t="shared" si="1"/>
        <v>0</v>
      </c>
      <c r="K2" s="118">
        <f t="shared" si="1"/>
        <v>0</v>
      </c>
      <c r="L2" s="118">
        <f t="shared" si="1"/>
        <v>0</v>
      </c>
      <c r="M2" s="118">
        <f t="shared" si="1"/>
        <v>0</v>
      </c>
      <c r="N2" s="118">
        <f t="shared" si="1"/>
        <v>0</v>
      </c>
      <c r="O2" s="118">
        <f t="shared" si="1"/>
        <v>0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33</v>
      </c>
      <c r="D4" s="120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1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1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4" si="2">IFERROR(I20/H20,0)</f>
        <v>0</v>
      </c>
      <c r="V20" s="131">
        <f t="shared" ref="V20:V35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0.0</v>
      </c>
      <c r="H21" s="136">
        <v>0.0</v>
      </c>
      <c r="I21" s="136">
        <v>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0.0</v>
      </c>
      <c r="P21" s="136">
        <v>0.0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0.0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0.0</v>
      </c>
      <c r="H23" s="136">
        <v>0.0</v>
      </c>
      <c r="I23" s="136">
        <v>0.0</v>
      </c>
      <c r="J23" s="136">
        <v>0.0</v>
      </c>
      <c r="K23" s="136">
        <v>0.0</v>
      </c>
      <c r="L23" s="136">
        <v>0.0</v>
      </c>
      <c r="M23" s="136">
        <v>0.0</v>
      </c>
      <c r="N23" s="136">
        <v>0.0</v>
      </c>
      <c r="O23" s="136">
        <v>0.0</v>
      </c>
      <c r="P23" s="136">
        <v>0.0</v>
      </c>
      <c r="Q23" s="136">
        <v>0.0</v>
      </c>
      <c r="R23" s="136">
        <v>0.0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3" t="s">
        <v>26</v>
      </c>
      <c r="B24" s="144" t="s">
        <v>27</v>
      </c>
      <c r="C24" s="145" t="s">
        <v>51</v>
      </c>
      <c r="D24" s="146" t="s">
        <v>46</v>
      </c>
      <c r="E24" s="144" t="s">
        <v>47</v>
      </c>
      <c r="F24" s="145" t="s">
        <v>51</v>
      </c>
      <c r="G24" s="136">
        <v>0.0</v>
      </c>
      <c r="H24" s="136">
        <v>0.0</v>
      </c>
      <c r="I24" s="136">
        <v>0.0</v>
      </c>
      <c r="J24" s="136">
        <v>0.0</v>
      </c>
      <c r="K24" s="136">
        <v>0.0</v>
      </c>
      <c r="L24" s="136">
        <v>0.0</v>
      </c>
      <c r="M24" s="136">
        <v>0.0</v>
      </c>
      <c r="N24" s="136">
        <v>0.0</v>
      </c>
      <c r="O24" s="136">
        <v>0.0</v>
      </c>
      <c r="P24" s="136">
        <v>0.0</v>
      </c>
      <c r="Q24" s="136">
        <v>0.0</v>
      </c>
      <c r="R24" s="136">
        <v>0.0</v>
      </c>
      <c r="S24" s="136">
        <v>0.0</v>
      </c>
      <c r="T24" s="136">
        <v>0.0</v>
      </c>
      <c r="U24" s="131">
        <f t="shared" si="2"/>
        <v>0</v>
      </c>
      <c r="V24" s="131">
        <f t="shared" si="3"/>
        <v>0</v>
      </c>
    </row>
    <row r="25" ht="12.75" customHeight="1">
      <c r="A25" s="147" t="s">
        <v>26</v>
      </c>
      <c r="B25" s="148" t="s">
        <v>27</v>
      </c>
      <c r="C25" s="149" t="s">
        <v>51</v>
      </c>
      <c r="D25" s="84"/>
      <c r="E25" s="148" t="s">
        <v>47</v>
      </c>
      <c r="F25" s="149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53">
        <v>0.0</v>
      </c>
      <c r="V25" s="131">
        <f t="shared" si="3"/>
        <v>0</v>
      </c>
    </row>
    <row r="26" ht="12.75" customHeight="1">
      <c r="A26" s="147" t="s">
        <v>26</v>
      </c>
      <c r="B26" s="148" t="s">
        <v>27</v>
      </c>
      <c r="C26" s="149" t="s">
        <v>51</v>
      </c>
      <c r="D26" s="84"/>
      <c r="E26" s="148" t="s">
        <v>47</v>
      </c>
      <c r="F26" s="149" t="s">
        <v>53</v>
      </c>
      <c r="G26" s="136">
        <v>0.0</v>
      </c>
      <c r="H26" s="136">
        <v>0.0</v>
      </c>
      <c r="I26" s="136">
        <v>0.0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6">
        <v>0.0</v>
      </c>
      <c r="T26" s="136">
        <v>0.0</v>
      </c>
      <c r="U26" s="131">
        <f t="shared" ref="U26:U27" si="4">IFERROR(I26/H26,0)</f>
        <v>0</v>
      </c>
      <c r="V26" s="131">
        <f t="shared" si="3"/>
        <v>0</v>
      </c>
    </row>
    <row r="27" ht="12.75" customHeight="1">
      <c r="A27" s="147" t="s">
        <v>26</v>
      </c>
      <c r="B27" s="148" t="s">
        <v>27</v>
      </c>
      <c r="C27" s="149" t="s">
        <v>51</v>
      </c>
      <c r="D27" s="84"/>
      <c r="E27" s="148" t="s">
        <v>47</v>
      </c>
      <c r="F27" s="149" t="s">
        <v>54</v>
      </c>
      <c r="G27" s="136">
        <v>1.0</v>
      </c>
      <c r="H27" s="136">
        <v>0.0</v>
      </c>
      <c r="I27" s="136">
        <v>0.0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6">
        <v>0.0</v>
      </c>
      <c r="T27" s="136">
        <v>0.0</v>
      </c>
      <c r="U27" s="131">
        <f t="shared" si="4"/>
        <v>0</v>
      </c>
      <c r="V27" s="131">
        <f t="shared" si="3"/>
        <v>0</v>
      </c>
    </row>
    <row r="28" ht="12.75" customHeight="1">
      <c r="A28" s="137" t="s">
        <v>26</v>
      </c>
      <c r="B28" s="138" t="s">
        <v>27</v>
      </c>
      <c r="C28" s="150" t="s">
        <v>55</v>
      </c>
      <c r="D28" s="151" t="s">
        <v>46</v>
      </c>
      <c r="E28" s="152" t="s">
        <v>47</v>
      </c>
      <c r="F28" s="150" t="s">
        <v>55</v>
      </c>
      <c r="G28" s="136">
        <v>0.0</v>
      </c>
      <c r="H28" s="136">
        <v>0.0</v>
      </c>
      <c r="I28" s="136">
        <v>0.0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6">
        <v>0.0</v>
      </c>
      <c r="T28" s="136">
        <v>0.0</v>
      </c>
      <c r="U28" s="153">
        <v>0.0</v>
      </c>
      <c r="V28" s="131">
        <f t="shared" si="3"/>
        <v>0</v>
      </c>
    </row>
    <row r="29" ht="12.75" customHeight="1">
      <c r="A29" s="140" t="s">
        <v>26</v>
      </c>
      <c r="B29" s="141" t="s">
        <v>27</v>
      </c>
      <c r="C29" s="141" t="s">
        <v>55</v>
      </c>
      <c r="D29" s="75"/>
      <c r="E29" s="141" t="s">
        <v>47</v>
      </c>
      <c r="F29" s="63" t="s">
        <v>56</v>
      </c>
      <c r="G29" s="136">
        <v>0.0</v>
      </c>
      <c r="H29" s="136">
        <v>0.0</v>
      </c>
      <c r="I29" s="136">
        <v>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6">
        <v>0.0</v>
      </c>
      <c r="T29" s="136">
        <v>0.0</v>
      </c>
      <c r="U29" s="131">
        <f t="shared" ref="U29:U35" si="5">IFERROR(I29/H29,0)</f>
        <v>0</v>
      </c>
      <c r="V29" s="131">
        <f t="shared" si="3"/>
        <v>0</v>
      </c>
    </row>
    <row r="30" ht="12.75" customHeight="1">
      <c r="A30" s="140" t="s">
        <v>26</v>
      </c>
      <c r="B30" s="141" t="s">
        <v>27</v>
      </c>
      <c r="C30" s="141" t="s">
        <v>55</v>
      </c>
      <c r="D30" s="75"/>
      <c r="E30" s="142"/>
      <c r="F30" s="63" t="s">
        <v>57</v>
      </c>
      <c r="G30" s="136">
        <v>0.0</v>
      </c>
      <c r="H30" s="136">
        <v>0.0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5"/>
        <v>0</v>
      </c>
      <c r="V30" s="131">
        <f t="shared" si="3"/>
        <v>0</v>
      </c>
    </row>
    <row r="31" ht="12.75" customHeight="1">
      <c r="A31" s="140" t="s">
        <v>26</v>
      </c>
      <c r="B31" s="141" t="s">
        <v>27</v>
      </c>
      <c r="C31" s="141" t="s">
        <v>55</v>
      </c>
      <c r="D31" s="75"/>
      <c r="E31" s="142"/>
      <c r="F31" s="63" t="s">
        <v>58</v>
      </c>
      <c r="G31" s="136">
        <v>0.0</v>
      </c>
      <c r="H31" s="136">
        <v>0.0</v>
      </c>
      <c r="I31" s="136">
        <v>0.0</v>
      </c>
      <c r="J31" s="136">
        <v>0.0</v>
      </c>
      <c r="K31" s="136">
        <v>0.0</v>
      </c>
      <c r="L31" s="136">
        <v>0.0</v>
      </c>
      <c r="M31" s="136">
        <v>0.0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0.0</v>
      </c>
      <c r="U31" s="131">
        <f t="shared" si="5"/>
        <v>0</v>
      </c>
      <c r="V31" s="131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55</v>
      </c>
      <c r="D32" s="129"/>
      <c r="E32" s="142"/>
      <c r="F32" s="63" t="s">
        <v>59</v>
      </c>
      <c r="G32" s="136">
        <v>0.0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si="5"/>
        <v>0</v>
      </c>
      <c r="V32" s="131">
        <f t="shared" si="3"/>
        <v>0</v>
      </c>
    </row>
    <row r="33" ht="12.75" customHeight="1">
      <c r="A33" s="143" t="s">
        <v>26</v>
      </c>
      <c r="B33" s="144" t="s">
        <v>27</v>
      </c>
      <c r="C33" s="154" t="s">
        <v>60</v>
      </c>
      <c r="D33" s="146" t="s">
        <v>46</v>
      </c>
      <c r="E33" s="157"/>
      <c r="F33" s="154" t="s">
        <v>60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5"/>
        <v>0</v>
      </c>
      <c r="V33" s="131">
        <f t="shared" si="3"/>
        <v>0</v>
      </c>
    </row>
    <row r="34" ht="12.75" customHeight="1">
      <c r="A34" s="147" t="s">
        <v>26</v>
      </c>
      <c r="B34" s="148" t="s">
        <v>27</v>
      </c>
      <c r="C34" s="156" t="s">
        <v>60</v>
      </c>
      <c r="D34" s="84"/>
      <c r="E34" s="157"/>
      <c r="F34" s="156" t="s">
        <v>61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5"/>
        <v>0</v>
      </c>
      <c r="V34" s="131">
        <f t="shared" si="3"/>
        <v>0</v>
      </c>
    </row>
    <row r="35" ht="12.75" customHeight="1">
      <c r="A35" s="147" t="s">
        <v>26</v>
      </c>
      <c r="B35" s="148" t="s">
        <v>27</v>
      </c>
      <c r="C35" s="156" t="s">
        <v>60</v>
      </c>
      <c r="D35" s="84"/>
      <c r="E35" s="157"/>
      <c r="F35" s="156" t="s">
        <v>62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5"/>
        <v>0</v>
      </c>
      <c r="V35" s="131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28" t="s">
        <v>28</v>
      </c>
      <c r="B37" s="129"/>
      <c r="C37" s="129"/>
      <c r="D37" s="158" t="s">
        <v>46</v>
      </c>
      <c r="E37" s="128" t="s">
        <v>47</v>
      </c>
      <c r="F37" s="128" t="s">
        <v>28</v>
      </c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>
        <f t="shared" ref="U37:U53" si="6">IFERROR(I37/H37,0)</f>
        <v>0</v>
      </c>
      <c r="V37" s="131">
        <f t="shared" ref="V37:V53" si="7">IFERROR(SUM(H37+L37)/G37,0)</f>
        <v>0</v>
      </c>
    </row>
    <row r="38" ht="12.75" customHeight="1">
      <c r="A38" s="132" t="s">
        <v>28</v>
      </c>
      <c r="B38" s="124" t="s">
        <v>29</v>
      </c>
      <c r="C38" s="159"/>
      <c r="D38" s="160" t="s">
        <v>46</v>
      </c>
      <c r="E38" s="135" t="s">
        <v>47</v>
      </c>
      <c r="F38" s="124" t="s">
        <v>29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si="6"/>
        <v>0</v>
      </c>
      <c r="V38" s="131">
        <f t="shared" si="7"/>
        <v>0</v>
      </c>
    </row>
    <row r="39" ht="12.75" customHeight="1">
      <c r="A39" s="143" t="s">
        <v>28</v>
      </c>
      <c r="B39" s="144" t="s">
        <v>29</v>
      </c>
      <c r="C39" s="145" t="s">
        <v>63</v>
      </c>
      <c r="D39" s="146" t="s">
        <v>46</v>
      </c>
      <c r="E39" s="144" t="s">
        <v>47</v>
      </c>
      <c r="F39" s="145" t="s">
        <v>63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6"/>
        <v>0</v>
      </c>
      <c r="V39" s="131">
        <f t="shared" si="7"/>
        <v>0</v>
      </c>
    </row>
    <row r="40" ht="12.75" customHeight="1">
      <c r="A40" s="147" t="s">
        <v>28</v>
      </c>
      <c r="B40" s="148" t="s">
        <v>29</v>
      </c>
      <c r="C40" s="147" t="s">
        <v>63</v>
      </c>
      <c r="D40" s="157"/>
      <c r="E40" s="148" t="s">
        <v>47</v>
      </c>
      <c r="F40" s="147" t="s">
        <v>64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6"/>
        <v>0</v>
      </c>
      <c r="V40" s="131">
        <f t="shared" si="7"/>
        <v>0</v>
      </c>
    </row>
    <row r="41" ht="12.75" customHeight="1">
      <c r="A41" s="147" t="s">
        <v>28</v>
      </c>
      <c r="B41" s="148" t="s">
        <v>29</v>
      </c>
      <c r="C41" s="147" t="s">
        <v>63</v>
      </c>
      <c r="D41" s="84"/>
      <c r="E41" s="161" t="s">
        <v>47</v>
      </c>
      <c r="F41" s="149" t="s">
        <v>65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6"/>
        <v>0</v>
      </c>
      <c r="V41" s="131">
        <f t="shared" si="7"/>
        <v>0</v>
      </c>
    </row>
    <row r="42" ht="12.75" customHeight="1">
      <c r="A42" s="147" t="s">
        <v>28</v>
      </c>
      <c r="B42" s="148" t="s">
        <v>29</v>
      </c>
      <c r="C42" s="147" t="s">
        <v>63</v>
      </c>
      <c r="D42" s="84"/>
      <c r="E42" s="161" t="s">
        <v>47</v>
      </c>
      <c r="F42" s="149" t="s">
        <v>66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6"/>
        <v>0</v>
      </c>
      <c r="V42" s="131">
        <f t="shared" si="7"/>
        <v>0</v>
      </c>
    </row>
    <row r="43" ht="12.75" customHeight="1">
      <c r="A43" s="147" t="s">
        <v>28</v>
      </c>
      <c r="B43" s="148" t="s">
        <v>29</v>
      </c>
      <c r="C43" s="147" t="s">
        <v>63</v>
      </c>
      <c r="D43" s="84"/>
      <c r="E43" s="161" t="s">
        <v>47</v>
      </c>
      <c r="F43" s="149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6"/>
        <v>0</v>
      </c>
      <c r="V43" s="131">
        <f t="shared" si="7"/>
        <v>0</v>
      </c>
    </row>
    <row r="44" ht="12.75" customHeight="1">
      <c r="A44" s="147" t="s">
        <v>28</v>
      </c>
      <c r="B44" s="148" t="s">
        <v>29</v>
      </c>
      <c r="C44" s="147" t="s">
        <v>63</v>
      </c>
      <c r="D44" s="84"/>
      <c r="E44" s="161" t="s">
        <v>47</v>
      </c>
      <c r="F44" s="149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6"/>
        <v>0</v>
      </c>
      <c r="V44" s="131">
        <f t="shared" si="7"/>
        <v>0</v>
      </c>
    </row>
    <row r="45" ht="12.75" customHeight="1">
      <c r="A45" s="147" t="s">
        <v>28</v>
      </c>
      <c r="B45" s="148" t="s">
        <v>29</v>
      </c>
      <c r="C45" s="147" t="s">
        <v>63</v>
      </c>
      <c r="D45" s="84"/>
      <c r="E45" s="148" t="s">
        <v>47</v>
      </c>
      <c r="F45" s="149" t="s">
        <v>69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6"/>
        <v>0</v>
      </c>
      <c r="V45" s="131">
        <f t="shared" si="7"/>
        <v>0</v>
      </c>
    </row>
    <row r="46" ht="12.75" customHeight="1">
      <c r="A46" s="147" t="s">
        <v>28</v>
      </c>
      <c r="B46" s="148" t="s">
        <v>29</v>
      </c>
      <c r="C46" s="147" t="s">
        <v>63</v>
      </c>
      <c r="D46" s="84"/>
      <c r="E46" s="148" t="s">
        <v>47</v>
      </c>
      <c r="F46" s="149" t="s">
        <v>70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6"/>
        <v>0</v>
      </c>
      <c r="V46" s="131">
        <f t="shared" si="7"/>
        <v>0</v>
      </c>
    </row>
    <row r="47" ht="12.75" customHeight="1">
      <c r="A47" s="147" t="s">
        <v>28</v>
      </c>
      <c r="B47" s="148" t="s">
        <v>29</v>
      </c>
      <c r="C47" s="147" t="s">
        <v>63</v>
      </c>
      <c r="D47" s="162"/>
      <c r="E47" s="148" t="s">
        <v>47</v>
      </c>
      <c r="F47" s="156" t="s">
        <v>71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6"/>
        <v>0</v>
      </c>
      <c r="V47" s="131">
        <f t="shared" si="7"/>
        <v>0</v>
      </c>
    </row>
    <row r="48" ht="12.75" customHeight="1">
      <c r="A48" s="147" t="s">
        <v>28</v>
      </c>
      <c r="B48" s="148" t="s">
        <v>29</v>
      </c>
      <c r="C48" s="147" t="s">
        <v>63</v>
      </c>
      <c r="D48" s="162"/>
      <c r="E48" s="148" t="s">
        <v>47</v>
      </c>
      <c r="F48" s="156" t="s">
        <v>72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6"/>
        <v>0</v>
      </c>
      <c r="V48" s="131">
        <f t="shared" si="7"/>
        <v>0</v>
      </c>
    </row>
    <row r="49" ht="12.75" customHeight="1">
      <c r="A49" s="147" t="s">
        <v>28</v>
      </c>
      <c r="B49" s="148" t="s">
        <v>29</v>
      </c>
      <c r="C49" s="147" t="s">
        <v>63</v>
      </c>
      <c r="D49" s="162"/>
      <c r="E49" s="148" t="s">
        <v>73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6"/>
        <v>0</v>
      </c>
      <c r="V49" s="131">
        <f t="shared" si="7"/>
        <v>0</v>
      </c>
    </row>
    <row r="50" ht="12.75" customHeight="1">
      <c r="A50" s="147" t="s">
        <v>28</v>
      </c>
      <c r="B50" s="148" t="s">
        <v>29</v>
      </c>
      <c r="C50" s="147" t="s">
        <v>63</v>
      </c>
      <c r="D50" s="162"/>
      <c r="E50" s="148" t="s">
        <v>75</v>
      </c>
      <c r="F50" s="156" t="s">
        <v>76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6"/>
        <v>0</v>
      </c>
      <c r="V50" s="131">
        <f t="shared" si="7"/>
        <v>0</v>
      </c>
    </row>
    <row r="51" ht="12.75" customHeight="1">
      <c r="A51" s="147" t="s">
        <v>28</v>
      </c>
      <c r="B51" s="148" t="s">
        <v>29</v>
      </c>
      <c r="C51" s="147" t="s">
        <v>63</v>
      </c>
      <c r="D51" s="162"/>
      <c r="E51" s="157"/>
      <c r="F51" s="156" t="s">
        <v>77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6"/>
        <v>0</v>
      </c>
      <c r="V51" s="131">
        <f t="shared" si="7"/>
        <v>0</v>
      </c>
    </row>
    <row r="52" ht="12.75" customHeight="1">
      <c r="A52" s="147" t="s">
        <v>28</v>
      </c>
      <c r="B52" s="148" t="s">
        <v>29</v>
      </c>
      <c r="C52" s="147" t="s">
        <v>63</v>
      </c>
      <c r="D52" s="162"/>
      <c r="E52" s="148" t="s">
        <v>47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6"/>
        <v>0</v>
      </c>
      <c r="V52" s="131">
        <f t="shared" si="7"/>
        <v>0</v>
      </c>
    </row>
    <row r="53" ht="12.75" customHeight="1">
      <c r="A53" s="147" t="s">
        <v>28</v>
      </c>
      <c r="B53" s="148" t="s">
        <v>29</v>
      </c>
      <c r="C53" s="147" t="s">
        <v>63</v>
      </c>
      <c r="D53" s="162"/>
      <c r="E53" s="148" t="s">
        <v>47</v>
      </c>
      <c r="F53" s="156" t="s">
        <v>79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6"/>
        <v>0</v>
      </c>
      <c r="V53" s="131">
        <f t="shared" si="7"/>
        <v>0</v>
      </c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3"/>
      <c r="B201" s="163"/>
      <c r="C201" s="163"/>
      <c r="D201" s="1"/>
      <c r="E201" s="163"/>
      <c r="F201" s="11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5"/>
      <c r="V201" s="165"/>
    </row>
    <row r="202" ht="12.75" customHeight="1">
      <c r="A202" s="163"/>
      <c r="B202" s="163"/>
      <c r="C202" s="163"/>
      <c r="D202" s="1"/>
      <c r="E202" s="163"/>
      <c r="F202" s="11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5"/>
      <c r="V202" s="165"/>
    </row>
    <row r="203" ht="12.75" customHeight="1">
      <c r="A203" s="163"/>
      <c r="B203" s="163"/>
      <c r="C203" s="163"/>
      <c r="D203" s="1"/>
      <c r="E203" s="163"/>
      <c r="F203" s="11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5"/>
      <c r="V203" s="165"/>
    </row>
    <row r="204" ht="12.75" customHeight="1">
      <c r="A204" s="163"/>
      <c r="B204" s="163"/>
      <c r="C204" s="163"/>
      <c r="D204" s="1"/>
      <c r="E204" s="163"/>
      <c r="F204" s="11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5"/>
      <c r="V204" s="165"/>
    </row>
    <row r="205" ht="12.75" customHeight="1">
      <c r="A205" s="163"/>
      <c r="B205" s="163"/>
      <c r="C205" s="163"/>
      <c r="D205" s="1"/>
      <c r="E205" s="163"/>
      <c r="F205" s="11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5"/>
      <c r="V205" s="165"/>
    </row>
    <row r="206" ht="12.75" customHeight="1">
      <c r="A206" s="163"/>
      <c r="B206" s="163"/>
      <c r="C206" s="163"/>
      <c r="D206" s="1"/>
      <c r="E206" s="163"/>
      <c r="F206" s="11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5"/>
      <c r="V206" s="165"/>
    </row>
    <row r="207" ht="12.75" customHeight="1">
      <c r="A207" s="163"/>
      <c r="B207" s="163"/>
      <c r="C207" s="163"/>
      <c r="D207" s="1"/>
      <c r="E207" s="163"/>
      <c r="F207" s="11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5"/>
      <c r="V207" s="165"/>
    </row>
    <row r="208" ht="12.75" customHeight="1">
      <c r="A208" s="163"/>
      <c r="B208" s="163"/>
      <c r="C208" s="163"/>
      <c r="D208" s="1"/>
      <c r="E208" s="163"/>
      <c r="F208" s="11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5"/>
      <c r="V208" s="165"/>
    </row>
    <row r="209" ht="12.75" customHeight="1">
      <c r="A209" s="163"/>
      <c r="B209" s="163"/>
      <c r="C209" s="163"/>
      <c r="D209" s="1"/>
      <c r="E209" s="163"/>
      <c r="F209" s="11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5"/>
      <c r="V209" s="165"/>
    </row>
    <row r="210" ht="12.75" customHeight="1">
      <c r="A210" s="163"/>
      <c r="B210" s="163"/>
      <c r="C210" s="163"/>
      <c r="D210" s="1"/>
      <c r="E210" s="163"/>
      <c r="F210" s="11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5"/>
      <c r="V210" s="165"/>
    </row>
    <row r="211" ht="12.75" customHeight="1">
      <c r="A211" s="163"/>
      <c r="B211" s="163"/>
      <c r="C211" s="163"/>
      <c r="D211" s="1"/>
      <c r="E211" s="163"/>
      <c r="F211" s="11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5"/>
      <c r="V211" s="165"/>
    </row>
    <row r="212" ht="12.75" customHeight="1">
      <c r="A212" s="163"/>
      <c r="B212" s="163"/>
      <c r="C212" s="163"/>
      <c r="D212" s="1"/>
      <c r="E212" s="163"/>
      <c r="F212" s="11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5"/>
      <c r="V212" s="165"/>
    </row>
    <row r="213" ht="12.75" customHeight="1">
      <c r="A213" s="163"/>
      <c r="B213" s="163"/>
      <c r="C213" s="163"/>
      <c r="D213" s="1"/>
      <c r="E213" s="163"/>
      <c r="F213" s="11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5"/>
      <c r="V213" s="165"/>
    </row>
    <row r="214" ht="12.75" customHeight="1">
      <c r="A214" s="163"/>
      <c r="B214" s="163"/>
      <c r="C214" s="163"/>
      <c r="D214" s="1"/>
      <c r="E214" s="163"/>
      <c r="F214" s="11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5"/>
      <c r="V214" s="165"/>
    </row>
    <row r="215" ht="12.75" customHeight="1">
      <c r="A215" s="163"/>
      <c r="B215" s="163"/>
      <c r="C215" s="163"/>
      <c r="D215" s="1"/>
      <c r="E215" s="163"/>
      <c r="F215" s="11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5"/>
      <c r="V215" s="165"/>
    </row>
    <row r="216" ht="12.75" customHeight="1">
      <c r="A216" s="163"/>
      <c r="B216" s="163"/>
      <c r="C216" s="163"/>
      <c r="D216" s="1"/>
      <c r="E216" s="163"/>
      <c r="F216" s="11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5"/>
      <c r="V216" s="165"/>
    </row>
    <row r="217" ht="12.75" customHeight="1">
      <c r="A217" s="163"/>
      <c r="B217" s="163"/>
      <c r="C217" s="163"/>
      <c r="D217" s="1"/>
      <c r="E217" s="163"/>
      <c r="F217" s="11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5"/>
      <c r="V217" s="165"/>
    </row>
    <row r="218" ht="12.75" customHeight="1">
      <c r="A218" s="163"/>
      <c r="B218" s="163"/>
      <c r="C218" s="163"/>
      <c r="D218" s="1"/>
      <c r="E218" s="163"/>
      <c r="F218" s="11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5"/>
      <c r="V218" s="165"/>
    </row>
    <row r="219" ht="12.75" customHeight="1">
      <c r="A219" s="163"/>
      <c r="B219" s="163"/>
      <c r="C219" s="163"/>
      <c r="D219" s="1"/>
      <c r="E219" s="163"/>
      <c r="F219" s="11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5"/>
      <c r="V219" s="165"/>
    </row>
    <row r="220" ht="12.75" customHeight="1">
      <c r="A220" s="163"/>
      <c r="B220" s="163"/>
      <c r="C220" s="163"/>
      <c r="D220" s="1"/>
      <c r="E220" s="163"/>
      <c r="F220" s="11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5"/>
      <c r="V220" s="165"/>
    </row>
    <row r="221" ht="12.75" customHeight="1">
      <c r="A221" s="163"/>
      <c r="B221" s="163"/>
      <c r="C221" s="163"/>
      <c r="D221" s="1"/>
      <c r="E221" s="163"/>
      <c r="F221" s="11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5"/>
      <c r="V221" s="165"/>
    </row>
    <row r="222" ht="12.75" customHeight="1">
      <c r="A222" s="163"/>
      <c r="B222" s="163"/>
      <c r="C222" s="163"/>
      <c r="D222" s="1"/>
      <c r="E222" s="163"/>
      <c r="F222" s="11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5"/>
      <c r="V222" s="165"/>
    </row>
    <row r="223" ht="12.75" customHeight="1">
      <c r="A223" s="163"/>
      <c r="B223" s="163"/>
      <c r="C223" s="163"/>
      <c r="D223" s="1"/>
      <c r="E223" s="163"/>
      <c r="F223" s="11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5"/>
      <c r="V223" s="165"/>
    </row>
    <row r="224" ht="12.75" customHeight="1">
      <c r="A224" s="163"/>
      <c r="B224" s="163"/>
      <c r="C224" s="163"/>
      <c r="D224" s="1"/>
      <c r="E224" s="163"/>
      <c r="F224" s="11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5"/>
      <c r="V224" s="165"/>
    </row>
    <row r="225" ht="12.75" customHeight="1">
      <c r="A225" s="163"/>
      <c r="B225" s="163"/>
      <c r="C225" s="163"/>
      <c r="D225" s="1"/>
      <c r="E225" s="163"/>
      <c r="F225" s="11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5"/>
      <c r="V225" s="165"/>
    </row>
    <row r="226" ht="12.75" customHeight="1">
      <c r="A226" s="163"/>
      <c r="B226" s="163"/>
      <c r="C226" s="163"/>
      <c r="D226" s="1"/>
      <c r="E226" s="163"/>
      <c r="F226" s="11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5"/>
      <c r="V226" s="165"/>
    </row>
    <row r="227" ht="12.75" customHeight="1">
      <c r="A227" s="163"/>
      <c r="B227" s="163"/>
      <c r="C227" s="163"/>
      <c r="D227" s="1"/>
      <c r="E227" s="163"/>
      <c r="F227" s="11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5"/>
      <c r="V227" s="165"/>
    </row>
    <row r="228" ht="12.75" customHeight="1">
      <c r="A228" s="163"/>
      <c r="B228" s="163"/>
      <c r="C228" s="163"/>
      <c r="D228" s="1"/>
      <c r="E228" s="163"/>
      <c r="F228" s="11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5"/>
      <c r="V228" s="165"/>
    </row>
    <row r="229" ht="12.75" customHeight="1">
      <c r="A229" s="163"/>
      <c r="B229" s="163"/>
      <c r="C229" s="163"/>
      <c r="D229" s="1"/>
      <c r="E229" s="163"/>
      <c r="F229" s="11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5"/>
      <c r="V229" s="165"/>
    </row>
    <row r="230" ht="12.75" customHeight="1">
      <c r="A230" s="163"/>
      <c r="B230" s="163"/>
      <c r="C230" s="163"/>
      <c r="D230" s="1"/>
      <c r="E230" s="163"/>
      <c r="F230" s="11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5"/>
      <c r="V230" s="165"/>
    </row>
    <row r="231" ht="12.75" customHeight="1">
      <c r="A231" s="163"/>
      <c r="B231" s="163"/>
      <c r="C231" s="163"/>
      <c r="D231" s="1"/>
      <c r="E231" s="163"/>
      <c r="F231" s="11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5"/>
      <c r="V231" s="165"/>
    </row>
    <row r="232" ht="12.75" customHeight="1">
      <c r="A232" s="163"/>
      <c r="B232" s="163"/>
      <c r="C232" s="163"/>
      <c r="D232" s="1"/>
      <c r="E232" s="163"/>
      <c r="F232" s="11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5"/>
      <c r="V232" s="165"/>
    </row>
    <row r="233" ht="12.75" customHeight="1">
      <c r="A233" s="163"/>
      <c r="B233" s="163"/>
      <c r="C233" s="163"/>
      <c r="D233" s="1"/>
      <c r="E233" s="163"/>
      <c r="F233" s="11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5"/>
      <c r="V233" s="165"/>
    </row>
    <row r="234" ht="12.75" customHeight="1">
      <c r="A234" s="163"/>
      <c r="B234" s="163"/>
      <c r="C234" s="163"/>
      <c r="D234" s="1"/>
      <c r="E234" s="163"/>
      <c r="F234" s="11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5"/>
      <c r="V234" s="165"/>
    </row>
    <row r="235" ht="12.75" customHeight="1">
      <c r="A235" s="163"/>
      <c r="B235" s="163"/>
      <c r="C235" s="163"/>
      <c r="D235" s="1"/>
      <c r="E235" s="163"/>
      <c r="F235" s="11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5"/>
      <c r="V235" s="165"/>
    </row>
    <row r="236" ht="12.75" customHeight="1">
      <c r="A236" s="163"/>
      <c r="B236" s="163"/>
      <c r="C236" s="163"/>
      <c r="D236" s="1"/>
      <c r="E236" s="163"/>
      <c r="F236" s="11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5"/>
      <c r="V236" s="165"/>
    </row>
    <row r="237" ht="12.75" customHeight="1">
      <c r="A237" s="163"/>
      <c r="B237" s="163"/>
      <c r="C237" s="163"/>
      <c r="D237" s="1"/>
      <c r="E237" s="163"/>
      <c r="F237" s="11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5"/>
      <c r="V237" s="165"/>
    </row>
    <row r="238" ht="12.75" customHeight="1">
      <c r="A238" s="163"/>
      <c r="B238" s="163"/>
      <c r="C238" s="163"/>
      <c r="D238" s="1"/>
      <c r="E238" s="163"/>
      <c r="F238" s="11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5"/>
      <c r="V238" s="165"/>
    </row>
    <row r="239" ht="12.75" customHeight="1">
      <c r="A239" s="163"/>
      <c r="B239" s="163"/>
      <c r="C239" s="163"/>
      <c r="D239" s="1"/>
      <c r="E239" s="163"/>
      <c r="F239" s="11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5"/>
      <c r="V239" s="165"/>
    </row>
    <row r="240" ht="12.75" customHeight="1">
      <c r="A240" s="163"/>
      <c r="B240" s="163"/>
      <c r="C240" s="163"/>
      <c r="D240" s="1"/>
      <c r="E240" s="163"/>
      <c r="F240" s="11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5"/>
      <c r="V240" s="165"/>
    </row>
    <row r="241" ht="12.75" customHeight="1">
      <c r="A241" s="163"/>
      <c r="B241" s="163"/>
      <c r="C241" s="163"/>
      <c r="D241" s="1"/>
      <c r="E241" s="163"/>
      <c r="F241" s="11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5"/>
      <c r="V241" s="165"/>
    </row>
    <row r="242" ht="12.75" customHeight="1">
      <c r="A242" s="163"/>
      <c r="B242" s="163"/>
      <c r="C242" s="163"/>
      <c r="D242" s="1"/>
      <c r="E242" s="163"/>
      <c r="F242" s="11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5"/>
      <c r="V242" s="165"/>
    </row>
    <row r="243" ht="12.75" customHeight="1">
      <c r="A243" s="163"/>
      <c r="B243" s="163"/>
      <c r="C243" s="163"/>
      <c r="D243" s="1"/>
      <c r="E243" s="163"/>
      <c r="F243" s="11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5"/>
      <c r="V243" s="165"/>
    </row>
    <row r="244" ht="12.75" customHeight="1">
      <c r="A244" s="163"/>
      <c r="B244" s="163"/>
      <c r="C244" s="163"/>
      <c r="D244" s="1"/>
      <c r="E244" s="163"/>
      <c r="F244" s="11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5"/>
      <c r="V244" s="165"/>
    </row>
    <row r="245" ht="12.75" customHeight="1">
      <c r="A245" s="163"/>
      <c r="B245" s="163"/>
      <c r="C245" s="163"/>
      <c r="D245" s="1"/>
      <c r="E245" s="163"/>
      <c r="F245" s="11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5"/>
      <c r="V245" s="165"/>
    </row>
    <row r="246" ht="12.75" customHeight="1">
      <c r="A246" s="163"/>
      <c r="B246" s="163"/>
      <c r="C246" s="163"/>
      <c r="D246" s="1"/>
      <c r="E246" s="163"/>
      <c r="F246" s="11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5"/>
      <c r="V246" s="165"/>
    </row>
    <row r="247" ht="12.75" customHeight="1">
      <c r="A247" s="163"/>
      <c r="B247" s="163"/>
      <c r="C247" s="163"/>
      <c r="D247" s="1"/>
      <c r="E247" s="163"/>
      <c r="F247" s="11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5"/>
      <c r="V247" s="165"/>
    </row>
    <row r="248" ht="12.75" customHeight="1">
      <c r="A248" s="163"/>
      <c r="B248" s="163"/>
      <c r="C248" s="163"/>
      <c r="D248" s="1"/>
      <c r="E248" s="163"/>
      <c r="F248" s="11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5"/>
      <c r="V248" s="165"/>
    </row>
    <row r="249" ht="12.75" customHeight="1">
      <c r="A249" s="163"/>
      <c r="B249" s="163"/>
      <c r="C249" s="163"/>
      <c r="D249" s="1"/>
      <c r="E249" s="163"/>
      <c r="F249" s="11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5"/>
      <c r="V249" s="165"/>
    </row>
    <row r="250" ht="12.75" customHeight="1">
      <c r="A250" s="163"/>
      <c r="B250" s="163"/>
      <c r="C250" s="163"/>
      <c r="D250" s="1"/>
      <c r="E250" s="163"/>
      <c r="F250" s="11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5"/>
      <c r="V250" s="165"/>
    </row>
    <row r="251" ht="12.75" customHeight="1">
      <c r="A251" s="163"/>
      <c r="B251" s="163"/>
      <c r="C251" s="163"/>
      <c r="D251" s="1"/>
      <c r="E251" s="163"/>
      <c r="F251" s="11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5"/>
      <c r="V251" s="165"/>
    </row>
    <row r="252" ht="12.75" customHeight="1">
      <c r="A252" s="163"/>
      <c r="B252" s="163"/>
      <c r="C252" s="163"/>
      <c r="D252" s="1"/>
      <c r="E252" s="163"/>
      <c r="F252" s="11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5"/>
      <c r="V252" s="165"/>
    </row>
    <row r="253" ht="12.75" customHeight="1">
      <c r="A253" s="163"/>
      <c r="B253" s="163"/>
      <c r="C253" s="163"/>
      <c r="D253" s="1"/>
      <c r="E253" s="163"/>
      <c r="F253" s="11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5"/>
      <c r="V253" s="165"/>
    </row>
    <row r="254" ht="12.75" customHeight="1">
      <c r="A254" s="163"/>
      <c r="B254" s="163"/>
      <c r="C254" s="163"/>
      <c r="D254" s="1"/>
      <c r="E254" s="163"/>
      <c r="F254" s="11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5"/>
      <c r="V254" s="165"/>
    </row>
    <row r="255" ht="12.75" customHeight="1">
      <c r="A255" s="163"/>
      <c r="B255" s="163"/>
      <c r="C255" s="163"/>
      <c r="D255" s="1"/>
      <c r="E255" s="163"/>
      <c r="F255" s="11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5"/>
      <c r="V255" s="165"/>
    </row>
    <row r="256" ht="12.75" customHeight="1">
      <c r="A256" s="163"/>
      <c r="B256" s="163"/>
      <c r="C256" s="163"/>
      <c r="D256" s="1"/>
      <c r="E256" s="163"/>
      <c r="F256" s="11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5"/>
      <c r="V256" s="165"/>
    </row>
    <row r="257" ht="12.75" customHeight="1">
      <c r="A257" s="163"/>
      <c r="B257" s="163"/>
      <c r="C257" s="163"/>
      <c r="D257" s="1"/>
      <c r="E257" s="163"/>
      <c r="F257" s="11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5"/>
      <c r="V257" s="165"/>
    </row>
    <row r="258" ht="12.75" customHeight="1">
      <c r="A258" s="163"/>
      <c r="B258" s="163"/>
      <c r="C258" s="163"/>
      <c r="D258" s="1"/>
      <c r="E258" s="163"/>
      <c r="F258" s="11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5"/>
      <c r="V258" s="165"/>
    </row>
    <row r="259" ht="12.75" customHeight="1">
      <c r="A259" s="163"/>
      <c r="B259" s="163"/>
      <c r="C259" s="163"/>
      <c r="D259" s="1"/>
      <c r="E259" s="163"/>
      <c r="F259" s="11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5"/>
      <c r="V259" s="165"/>
    </row>
    <row r="260" ht="12.75" customHeight="1">
      <c r="A260" s="163"/>
      <c r="B260" s="163"/>
      <c r="C260" s="163"/>
      <c r="D260" s="1"/>
      <c r="E260" s="163"/>
      <c r="F260" s="11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5"/>
      <c r="V260" s="165"/>
    </row>
    <row r="261" ht="12.75" customHeight="1">
      <c r="A261" s="163"/>
      <c r="B261" s="163"/>
      <c r="C261" s="163"/>
      <c r="D261" s="1"/>
      <c r="E261" s="163"/>
      <c r="F261" s="11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5"/>
      <c r="V261" s="165"/>
    </row>
    <row r="262" ht="12.75" customHeight="1">
      <c r="A262" s="163"/>
      <c r="B262" s="163"/>
      <c r="C262" s="163"/>
      <c r="D262" s="1"/>
      <c r="E262" s="163"/>
      <c r="F262" s="11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5"/>
      <c r="V262" s="165"/>
    </row>
    <row r="263" ht="12.75" customHeight="1">
      <c r="A263" s="163"/>
      <c r="B263" s="163"/>
      <c r="C263" s="163"/>
      <c r="D263" s="1"/>
      <c r="E263" s="163"/>
      <c r="F263" s="11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5"/>
      <c r="V263" s="165"/>
    </row>
    <row r="264" ht="12.75" customHeight="1">
      <c r="A264" s="163"/>
      <c r="B264" s="163"/>
      <c r="C264" s="163"/>
      <c r="D264" s="1"/>
      <c r="E264" s="163"/>
      <c r="F264" s="11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5"/>
      <c r="V264" s="165"/>
    </row>
    <row r="265" ht="12.75" customHeight="1">
      <c r="A265" s="163"/>
      <c r="B265" s="163"/>
      <c r="C265" s="163"/>
      <c r="D265" s="1"/>
      <c r="E265" s="163"/>
      <c r="F265" s="11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5"/>
      <c r="V265" s="165"/>
    </row>
    <row r="266" ht="12.75" customHeight="1">
      <c r="A266" s="163"/>
      <c r="B266" s="163"/>
      <c r="C266" s="163"/>
      <c r="D266" s="1"/>
      <c r="E266" s="163"/>
      <c r="F266" s="11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5"/>
      <c r="V266" s="165"/>
    </row>
    <row r="267" ht="12.75" customHeight="1">
      <c r="A267" s="163"/>
      <c r="B267" s="163"/>
      <c r="C267" s="163"/>
      <c r="D267" s="1"/>
      <c r="E267" s="163"/>
      <c r="F267" s="11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5"/>
      <c r="V267" s="165"/>
    </row>
    <row r="268" ht="12.75" customHeight="1">
      <c r="A268" s="163"/>
      <c r="B268" s="163"/>
      <c r="C268" s="163"/>
      <c r="D268" s="1"/>
      <c r="E268" s="163"/>
      <c r="F268" s="11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5"/>
      <c r="V268" s="165"/>
    </row>
    <row r="269" ht="12.75" customHeight="1">
      <c r="A269" s="163"/>
      <c r="B269" s="163"/>
      <c r="C269" s="163"/>
      <c r="D269" s="1"/>
      <c r="E269" s="163"/>
      <c r="F269" s="11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5"/>
      <c r="V269" s="165"/>
    </row>
    <row r="270" ht="12.75" customHeight="1">
      <c r="A270" s="163"/>
      <c r="B270" s="163"/>
      <c r="C270" s="163"/>
      <c r="D270" s="1"/>
      <c r="E270" s="163"/>
      <c r="F270" s="11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5"/>
      <c r="V270" s="165"/>
    </row>
    <row r="271" ht="12.75" customHeight="1">
      <c r="A271" s="163"/>
      <c r="B271" s="163"/>
      <c r="C271" s="163"/>
      <c r="D271" s="1"/>
      <c r="E271" s="163"/>
      <c r="F271" s="11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5"/>
      <c r="V271" s="165"/>
    </row>
    <row r="272" ht="12.75" customHeight="1">
      <c r="A272" s="163"/>
      <c r="B272" s="163"/>
      <c r="C272" s="163"/>
      <c r="D272" s="1"/>
      <c r="E272" s="163"/>
      <c r="F272" s="11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5"/>
      <c r="V272" s="165"/>
    </row>
    <row r="273" ht="12.75" customHeight="1">
      <c r="A273" s="163"/>
      <c r="B273" s="163"/>
      <c r="C273" s="163"/>
      <c r="D273" s="1"/>
      <c r="E273" s="163"/>
      <c r="F273" s="11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5"/>
      <c r="V273" s="165"/>
    </row>
    <row r="274" ht="12.75" customHeight="1">
      <c r="A274" s="163"/>
      <c r="B274" s="163"/>
      <c r="C274" s="163"/>
      <c r="D274" s="1"/>
      <c r="E274" s="163"/>
      <c r="F274" s="11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5"/>
      <c r="V274" s="165"/>
    </row>
    <row r="275" ht="12.75" customHeight="1">
      <c r="A275" s="163"/>
      <c r="B275" s="163"/>
      <c r="C275" s="163"/>
      <c r="D275" s="1"/>
      <c r="E275" s="163"/>
      <c r="F275" s="11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5"/>
      <c r="V275" s="165"/>
    </row>
    <row r="276" ht="12.75" customHeight="1">
      <c r="A276" s="163"/>
      <c r="B276" s="163"/>
      <c r="C276" s="163"/>
      <c r="D276" s="1"/>
      <c r="E276" s="163"/>
      <c r="F276" s="11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5"/>
      <c r="V276" s="165"/>
    </row>
    <row r="277" ht="12.75" customHeight="1">
      <c r="A277" s="163"/>
      <c r="B277" s="163"/>
      <c r="C277" s="163"/>
      <c r="D277" s="1"/>
      <c r="E277" s="163"/>
      <c r="F277" s="11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5"/>
      <c r="V277" s="165"/>
    </row>
    <row r="278" ht="12.75" customHeight="1">
      <c r="A278" s="163"/>
      <c r="B278" s="163"/>
      <c r="C278" s="163"/>
      <c r="D278" s="1"/>
      <c r="E278" s="163"/>
      <c r="F278" s="11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5"/>
      <c r="V278" s="165"/>
    </row>
    <row r="279" ht="12.75" customHeight="1">
      <c r="A279" s="163"/>
      <c r="B279" s="163"/>
      <c r="C279" s="163"/>
      <c r="D279" s="1"/>
      <c r="E279" s="163"/>
      <c r="F279" s="11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5"/>
      <c r="V279" s="165"/>
    </row>
    <row r="280" ht="12.75" customHeight="1">
      <c r="A280" s="163"/>
      <c r="B280" s="163"/>
      <c r="C280" s="163"/>
      <c r="D280" s="1"/>
      <c r="E280" s="163"/>
      <c r="F280" s="11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5"/>
      <c r="V280" s="165"/>
    </row>
    <row r="281" ht="12.75" customHeight="1">
      <c r="A281" s="163"/>
      <c r="B281" s="163"/>
      <c r="C281" s="163"/>
      <c r="D281" s="1"/>
      <c r="E281" s="163"/>
      <c r="F281" s="11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5"/>
      <c r="V281" s="165"/>
    </row>
    <row r="282" ht="12.75" customHeight="1">
      <c r="A282" s="163"/>
      <c r="B282" s="163"/>
      <c r="C282" s="163"/>
      <c r="D282" s="1"/>
      <c r="E282" s="163"/>
      <c r="F282" s="11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5"/>
      <c r="V282" s="165"/>
    </row>
    <row r="283" ht="12.75" customHeight="1">
      <c r="A283" s="163"/>
      <c r="B283" s="163"/>
      <c r="C283" s="163"/>
      <c r="D283" s="1"/>
      <c r="E283" s="163"/>
      <c r="F283" s="11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5"/>
      <c r="V283" s="165"/>
    </row>
    <row r="284" ht="12.75" customHeight="1">
      <c r="A284" s="163"/>
      <c r="B284" s="163"/>
      <c r="C284" s="163"/>
      <c r="D284" s="1"/>
      <c r="E284" s="163"/>
      <c r="F284" s="11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5"/>
      <c r="V284" s="165"/>
    </row>
    <row r="285" ht="12.75" customHeight="1">
      <c r="A285" s="163"/>
      <c r="B285" s="163"/>
      <c r="C285" s="163"/>
      <c r="D285" s="1"/>
      <c r="E285" s="163"/>
      <c r="F285" s="11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5"/>
      <c r="V285" s="165"/>
    </row>
    <row r="286" ht="12.75" customHeight="1">
      <c r="A286" s="163"/>
      <c r="B286" s="163"/>
      <c r="C286" s="163"/>
      <c r="D286" s="1"/>
      <c r="E286" s="163"/>
      <c r="F286" s="11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5"/>
      <c r="V286" s="165"/>
    </row>
    <row r="287" ht="12.75" customHeight="1">
      <c r="A287" s="163"/>
      <c r="B287" s="163"/>
      <c r="C287" s="163"/>
      <c r="D287" s="1"/>
      <c r="E287" s="163"/>
      <c r="F287" s="11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5"/>
      <c r="V287" s="165"/>
    </row>
    <row r="288" ht="12.75" customHeight="1">
      <c r="A288" s="163"/>
      <c r="B288" s="163"/>
      <c r="C288" s="163"/>
      <c r="D288" s="1"/>
      <c r="E288" s="163"/>
      <c r="F288" s="11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5"/>
      <c r="V288" s="165"/>
    </row>
    <row r="289" ht="12.75" customHeight="1">
      <c r="A289" s="163"/>
      <c r="B289" s="163"/>
      <c r="C289" s="163"/>
      <c r="D289" s="1"/>
      <c r="E289" s="163"/>
      <c r="F289" s="11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5"/>
      <c r="V289" s="165"/>
    </row>
    <row r="290" ht="12.75" customHeight="1">
      <c r="A290" s="163"/>
      <c r="B290" s="163"/>
      <c r="C290" s="163"/>
      <c r="D290" s="1"/>
      <c r="E290" s="163"/>
      <c r="F290" s="11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5"/>
      <c r="V290" s="165"/>
    </row>
    <row r="291" ht="12.75" customHeight="1">
      <c r="A291" s="163"/>
      <c r="B291" s="163"/>
      <c r="C291" s="163"/>
      <c r="D291" s="1"/>
      <c r="E291" s="163"/>
      <c r="F291" s="11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5"/>
      <c r="V291" s="165"/>
    </row>
    <row r="292" ht="12.75" customHeight="1">
      <c r="A292" s="163"/>
      <c r="B292" s="163"/>
      <c r="C292" s="163"/>
      <c r="D292" s="1"/>
      <c r="E292" s="163"/>
      <c r="F292" s="11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5"/>
      <c r="V292" s="165"/>
    </row>
    <row r="293" ht="12.75" customHeight="1">
      <c r="A293" s="163"/>
      <c r="B293" s="163"/>
      <c r="C293" s="163"/>
      <c r="D293" s="1"/>
      <c r="E293" s="163"/>
      <c r="F293" s="11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5"/>
      <c r="V293" s="165"/>
    </row>
    <row r="294" ht="12.75" customHeight="1">
      <c r="A294" s="163"/>
      <c r="B294" s="163"/>
      <c r="C294" s="163"/>
      <c r="D294" s="1"/>
      <c r="E294" s="163"/>
      <c r="F294" s="11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5"/>
      <c r="V294" s="165"/>
    </row>
    <row r="295" ht="12.75" customHeight="1">
      <c r="A295" s="163"/>
      <c r="B295" s="163"/>
      <c r="C295" s="163"/>
      <c r="D295" s="1"/>
      <c r="E295" s="163"/>
      <c r="F295" s="11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5"/>
      <c r="V295" s="165"/>
    </row>
    <row r="296" ht="12.75" customHeight="1">
      <c r="A296" s="163"/>
      <c r="B296" s="163"/>
      <c r="C296" s="163"/>
      <c r="D296" s="1"/>
      <c r="E296" s="163"/>
      <c r="F296" s="11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5"/>
      <c r="V296" s="165"/>
    </row>
    <row r="297" ht="12.75" customHeight="1">
      <c r="A297" s="163"/>
      <c r="B297" s="163"/>
      <c r="C297" s="163"/>
      <c r="D297" s="1"/>
      <c r="E297" s="163"/>
      <c r="F297" s="11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5"/>
      <c r="V297" s="165"/>
    </row>
    <row r="298" ht="12.75" customHeight="1">
      <c r="A298" s="163"/>
      <c r="B298" s="163"/>
      <c r="C298" s="163"/>
      <c r="D298" s="1"/>
      <c r="E298" s="163"/>
      <c r="F298" s="11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5"/>
      <c r="V298" s="165"/>
    </row>
    <row r="299" ht="12.75" customHeight="1">
      <c r="A299" s="163"/>
      <c r="B299" s="163"/>
      <c r="C299" s="163"/>
      <c r="D299" s="1"/>
      <c r="E299" s="163"/>
      <c r="F299" s="11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5"/>
      <c r="V299" s="165"/>
    </row>
    <row r="300" ht="12.75" customHeight="1">
      <c r="A300" s="163"/>
      <c r="B300" s="163"/>
      <c r="C300" s="163"/>
      <c r="D300" s="1"/>
      <c r="E300" s="163"/>
      <c r="F300" s="11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5"/>
      <c r="V300" s="165"/>
    </row>
    <row r="301" ht="12.75" customHeight="1">
      <c r="A301" s="163"/>
      <c r="B301" s="163"/>
      <c r="C301" s="163"/>
      <c r="D301" s="1"/>
      <c r="E301" s="163"/>
      <c r="F301" s="11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5"/>
      <c r="V301" s="165"/>
    </row>
    <row r="302" ht="12.75" customHeight="1">
      <c r="A302" s="163"/>
      <c r="B302" s="163"/>
      <c r="C302" s="163"/>
      <c r="D302" s="1"/>
      <c r="E302" s="163"/>
      <c r="F302" s="11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5"/>
      <c r="V302" s="165"/>
    </row>
    <row r="303" ht="12.75" customHeight="1">
      <c r="A303" s="163"/>
      <c r="B303" s="163"/>
      <c r="C303" s="163"/>
      <c r="D303" s="1"/>
      <c r="E303" s="163"/>
      <c r="F303" s="11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5"/>
      <c r="V303" s="165"/>
    </row>
    <row r="304" ht="12.75" customHeight="1">
      <c r="A304" s="163"/>
      <c r="B304" s="163"/>
      <c r="C304" s="163"/>
      <c r="D304" s="1"/>
      <c r="E304" s="163"/>
      <c r="F304" s="11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5"/>
      <c r="V304" s="165"/>
    </row>
    <row r="305" ht="12.75" customHeight="1">
      <c r="A305" s="163"/>
      <c r="B305" s="163"/>
      <c r="C305" s="163"/>
      <c r="D305" s="1"/>
      <c r="E305" s="163"/>
      <c r="F305" s="11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5"/>
      <c r="V305" s="165"/>
    </row>
    <row r="306" ht="12.75" customHeight="1">
      <c r="A306" s="163"/>
      <c r="B306" s="163"/>
      <c r="C306" s="163"/>
      <c r="D306" s="1"/>
      <c r="E306" s="163"/>
      <c r="F306" s="11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5"/>
      <c r="V306" s="165"/>
    </row>
    <row r="307" ht="12.75" customHeight="1">
      <c r="A307" s="163"/>
      <c r="B307" s="163"/>
      <c r="C307" s="163"/>
      <c r="D307" s="1"/>
      <c r="E307" s="163"/>
      <c r="F307" s="11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5"/>
      <c r="V307" s="165"/>
    </row>
    <row r="308" ht="12.75" customHeight="1">
      <c r="A308" s="163"/>
      <c r="B308" s="163"/>
      <c r="C308" s="163"/>
      <c r="D308" s="1"/>
      <c r="E308" s="163"/>
      <c r="F308" s="11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5"/>
      <c r="V308" s="165"/>
    </row>
    <row r="309" ht="12.75" customHeight="1">
      <c r="A309" s="163"/>
      <c r="B309" s="163"/>
      <c r="C309" s="163"/>
      <c r="D309" s="1"/>
      <c r="E309" s="163"/>
      <c r="F309" s="11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5"/>
      <c r="V309" s="165"/>
    </row>
    <row r="310" ht="12.75" customHeight="1">
      <c r="A310" s="163"/>
      <c r="B310" s="163"/>
      <c r="C310" s="163"/>
      <c r="D310" s="1"/>
      <c r="E310" s="163"/>
      <c r="F310" s="11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5"/>
      <c r="V310" s="165"/>
    </row>
    <row r="311" ht="12.75" customHeight="1">
      <c r="A311" s="163"/>
      <c r="B311" s="163"/>
      <c r="C311" s="163"/>
      <c r="D311" s="1"/>
      <c r="E311" s="163"/>
      <c r="F311" s="11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5"/>
      <c r="V311" s="165"/>
    </row>
    <row r="312" ht="12.75" customHeight="1">
      <c r="A312" s="163"/>
      <c r="B312" s="163"/>
      <c r="C312" s="163"/>
      <c r="D312" s="1"/>
      <c r="E312" s="163"/>
      <c r="F312" s="11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5"/>
      <c r="V312" s="165"/>
    </row>
    <row r="313" ht="12.75" customHeight="1">
      <c r="A313" s="163"/>
      <c r="B313" s="163"/>
      <c r="C313" s="163"/>
      <c r="D313" s="1"/>
      <c r="E313" s="163"/>
      <c r="F313" s="11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5"/>
      <c r="V313" s="165"/>
    </row>
    <row r="314" ht="12.75" customHeight="1">
      <c r="A314" s="163"/>
      <c r="B314" s="163"/>
      <c r="C314" s="163"/>
      <c r="D314" s="1"/>
      <c r="E314" s="163"/>
      <c r="F314" s="11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5"/>
      <c r="V314" s="165"/>
    </row>
    <row r="315" ht="12.75" customHeight="1">
      <c r="A315" s="163"/>
      <c r="B315" s="163"/>
      <c r="C315" s="163"/>
      <c r="D315" s="1"/>
      <c r="E315" s="163"/>
      <c r="F315" s="11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5"/>
      <c r="V315" s="165"/>
    </row>
    <row r="316" ht="12.75" customHeight="1">
      <c r="A316" s="163"/>
      <c r="B316" s="163"/>
      <c r="C316" s="163"/>
      <c r="D316" s="1"/>
      <c r="E316" s="163"/>
      <c r="F316" s="11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5"/>
      <c r="V316" s="165"/>
    </row>
    <row r="317" ht="12.75" customHeight="1">
      <c r="A317" s="163"/>
      <c r="B317" s="163"/>
      <c r="C317" s="163"/>
      <c r="D317" s="1"/>
      <c r="E317" s="163"/>
      <c r="F317" s="11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5"/>
      <c r="V317" s="165"/>
    </row>
    <row r="318" ht="12.75" customHeight="1">
      <c r="A318" s="163"/>
      <c r="B318" s="163"/>
      <c r="C318" s="163"/>
      <c r="D318" s="1"/>
      <c r="E318" s="163"/>
      <c r="F318" s="11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5"/>
      <c r="V318" s="165"/>
    </row>
    <row r="319" ht="12.75" customHeight="1">
      <c r="A319" s="163"/>
      <c r="B319" s="163"/>
      <c r="C319" s="163"/>
      <c r="D319" s="1"/>
      <c r="E319" s="163"/>
      <c r="F319" s="11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5"/>
      <c r="V319" s="165"/>
    </row>
    <row r="320" ht="12.75" customHeight="1">
      <c r="A320" s="163"/>
      <c r="B320" s="163"/>
      <c r="C320" s="163"/>
      <c r="D320" s="1"/>
      <c r="E320" s="163"/>
      <c r="F320" s="11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5"/>
      <c r="V320" s="165"/>
    </row>
    <row r="321" ht="12.75" customHeight="1">
      <c r="A321" s="163"/>
      <c r="B321" s="163"/>
      <c r="C321" s="163"/>
      <c r="D321" s="1"/>
      <c r="E321" s="163"/>
      <c r="F321" s="11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5"/>
      <c r="V321" s="165"/>
    </row>
    <row r="322" ht="12.75" customHeight="1">
      <c r="A322" s="163"/>
      <c r="B322" s="163"/>
      <c r="C322" s="163"/>
      <c r="D322" s="1"/>
      <c r="E322" s="163"/>
      <c r="F322" s="11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5"/>
      <c r="V322" s="165"/>
    </row>
    <row r="323" ht="12.75" customHeight="1">
      <c r="A323" s="163"/>
      <c r="B323" s="163"/>
      <c r="C323" s="163"/>
      <c r="D323" s="1"/>
      <c r="E323" s="163"/>
      <c r="F323" s="11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5"/>
      <c r="V323" s="165"/>
    </row>
    <row r="324" ht="12.75" customHeight="1">
      <c r="A324" s="163"/>
      <c r="B324" s="163"/>
      <c r="C324" s="163"/>
      <c r="D324" s="1"/>
      <c r="E324" s="163"/>
      <c r="F324" s="11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5"/>
      <c r="V324" s="165"/>
    </row>
    <row r="325" ht="12.75" customHeight="1">
      <c r="A325" s="163"/>
      <c r="B325" s="163"/>
      <c r="C325" s="163"/>
      <c r="D325" s="1"/>
      <c r="E325" s="163"/>
      <c r="F325" s="11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5"/>
      <c r="V325" s="165"/>
    </row>
    <row r="326" ht="12.75" customHeight="1">
      <c r="A326" s="163"/>
      <c r="B326" s="163"/>
      <c r="C326" s="163"/>
      <c r="D326" s="1"/>
      <c r="E326" s="163"/>
      <c r="F326" s="11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5"/>
      <c r="V326" s="165"/>
    </row>
    <row r="327" ht="12.75" customHeight="1">
      <c r="A327" s="163"/>
      <c r="B327" s="163"/>
      <c r="C327" s="163"/>
      <c r="D327" s="1"/>
      <c r="E327" s="163"/>
      <c r="F327" s="11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5"/>
      <c r="V327" s="165"/>
    </row>
    <row r="328" ht="12.75" customHeight="1">
      <c r="A328" s="163"/>
      <c r="B328" s="163"/>
      <c r="C328" s="163"/>
      <c r="D328" s="1"/>
      <c r="E328" s="163"/>
      <c r="F328" s="11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5"/>
      <c r="V328" s="165"/>
    </row>
    <row r="329" ht="12.75" customHeight="1">
      <c r="A329" s="163"/>
      <c r="B329" s="163"/>
      <c r="C329" s="163"/>
      <c r="D329" s="1"/>
      <c r="E329" s="163"/>
      <c r="F329" s="11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5"/>
      <c r="V329" s="165"/>
    </row>
    <row r="330" ht="12.75" customHeight="1">
      <c r="A330" s="163"/>
      <c r="B330" s="163"/>
      <c r="C330" s="163"/>
      <c r="D330" s="1"/>
      <c r="E330" s="163"/>
      <c r="F330" s="11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5"/>
      <c r="V330" s="165"/>
    </row>
    <row r="331" ht="12.75" customHeight="1">
      <c r="A331" s="163"/>
      <c r="B331" s="163"/>
      <c r="C331" s="163"/>
      <c r="D331" s="1"/>
      <c r="E331" s="163"/>
      <c r="F331" s="11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5"/>
      <c r="V331" s="165"/>
    </row>
    <row r="332" ht="12.75" customHeight="1">
      <c r="A332" s="163"/>
      <c r="B332" s="163"/>
      <c r="C332" s="163"/>
      <c r="D332" s="1"/>
      <c r="E332" s="163"/>
      <c r="F332" s="11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5"/>
      <c r="V332" s="165"/>
    </row>
    <row r="333" ht="12.75" customHeight="1">
      <c r="A333" s="163"/>
      <c r="B333" s="163"/>
      <c r="C333" s="163"/>
      <c r="D333" s="1"/>
      <c r="E333" s="163"/>
      <c r="F333" s="11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5"/>
      <c r="V333" s="165"/>
    </row>
    <row r="334" ht="12.75" customHeight="1">
      <c r="A334" s="163"/>
      <c r="B334" s="163"/>
      <c r="C334" s="163"/>
      <c r="D334" s="1"/>
      <c r="E334" s="163"/>
      <c r="F334" s="11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5"/>
      <c r="V334" s="165"/>
    </row>
    <row r="335" ht="12.75" customHeight="1">
      <c r="A335" s="163"/>
      <c r="B335" s="163"/>
      <c r="C335" s="163"/>
      <c r="D335" s="1"/>
      <c r="E335" s="163"/>
      <c r="F335" s="11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5"/>
      <c r="V335" s="165"/>
    </row>
    <row r="336" ht="12.75" customHeight="1">
      <c r="A336" s="163"/>
      <c r="B336" s="163"/>
      <c r="C336" s="163"/>
      <c r="D336" s="1"/>
      <c r="E336" s="163"/>
      <c r="F336" s="11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5"/>
      <c r="V336" s="165"/>
    </row>
    <row r="337" ht="12.75" customHeight="1">
      <c r="A337" s="163"/>
      <c r="B337" s="163"/>
      <c r="C337" s="163"/>
      <c r="D337" s="1"/>
      <c r="E337" s="163"/>
      <c r="F337" s="11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5"/>
      <c r="V337" s="165"/>
    </row>
    <row r="338" ht="12.75" customHeight="1">
      <c r="A338" s="163"/>
      <c r="B338" s="163"/>
      <c r="C338" s="163"/>
      <c r="D338" s="1"/>
      <c r="E338" s="163"/>
      <c r="F338" s="11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5"/>
      <c r="V338" s="165"/>
    </row>
    <row r="339" ht="12.75" customHeight="1">
      <c r="A339" s="163"/>
      <c r="B339" s="163"/>
      <c r="C339" s="163"/>
      <c r="D339" s="1"/>
      <c r="E339" s="163"/>
      <c r="F339" s="11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5"/>
      <c r="V339" s="165"/>
    </row>
    <row r="340" ht="12.75" customHeight="1">
      <c r="A340" s="163"/>
      <c r="B340" s="163"/>
      <c r="C340" s="163"/>
      <c r="D340" s="1"/>
      <c r="E340" s="163"/>
      <c r="F340" s="11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5"/>
      <c r="V340" s="165"/>
    </row>
    <row r="341" ht="12.75" customHeight="1">
      <c r="A341" s="163"/>
      <c r="B341" s="163"/>
      <c r="C341" s="163"/>
      <c r="D341" s="1"/>
      <c r="E341" s="163"/>
      <c r="F341" s="11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5"/>
      <c r="V341" s="165"/>
    </row>
    <row r="342" ht="12.75" customHeight="1">
      <c r="A342" s="163"/>
      <c r="B342" s="163"/>
      <c r="C342" s="163"/>
      <c r="D342" s="1"/>
      <c r="E342" s="163"/>
      <c r="F342" s="11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5"/>
      <c r="V342" s="165"/>
    </row>
    <row r="343" ht="12.75" customHeight="1">
      <c r="A343" s="163"/>
      <c r="B343" s="163"/>
      <c r="C343" s="163"/>
      <c r="D343" s="1"/>
      <c r="E343" s="163"/>
      <c r="F343" s="11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5"/>
      <c r="V343" s="165"/>
    </row>
    <row r="344" ht="12.75" customHeight="1">
      <c r="A344" s="163"/>
      <c r="B344" s="163"/>
      <c r="C344" s="163"/>
      <c r="D344" s="1"/>
      <c r="E344" s="163"/>
      <c r="F344" s="11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5"/>
      <c r="V344" s="165"/>
    </row>
    <row r="345" ht="12.75" customHeight="1">
      <c r="A345" s="163"/>
      <c r="B345" s="163"/>
      <c r="C345" s="163"/>
      <c r="D345" s="1"/>
      <c r="E345" s="163"/>
      <c r="F345" s="11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5"/>
      <c r="V345" s="165"/>
    </row>
    <row r="346" ht="12.75" customHeight="1">
      <c r="A346" s="163"/>
      <c r="B346" s="163"/>
      <c r="C346" s="163"/>
      <c r="D346" s="1"/>
      <c r="E346" s="163"/>
      <c r="F346" s="11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5"/>
      <c r="V346" s="165"/>
    </row>
    <row r="347" ht="12.75" customHeight="1">
      <c r="A347" s="163"/>
      <c r="B347" s="163"/>
      <c r="C347" s="163"/>
      <c r="D347" s="1"/>
      <c r="E347" s="163"/>
      <c r="F347" s="11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5"/>
      <c r="V347" s="165"/>
    </row>
    <row r="348" ht="12.75" customHeight="1">
      <c r="A348" s="163"/>
      <c r="B348" s="163"/>
      <c r="C348" s="163"/>
      <c r="D348" s="1"/>
      <c r="E348" s="163"/>
      <c r="F348" s="11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5"/>
      <c r="V348" s="165"/>
    </row>
    <row r="349" ht="12.75" customHeight="1">
      <c r="A349" s="163"/>
      <c r="B349" s="163"/>
      <c r="C349" s="163"/>
      <c r="D349" s="1"/>
      <c r="E349" s="163"/>
      <c r="F349" s="11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5"/>
      <c r="V349" s="165"/>
    </row>
    <row r="350" ht="12.75" customHeight="1">
      <c r="A350" s="163"/>
      <c r="B350" s="163"/>
      <c r="C350" s="163"/>
      <c r="D350" s="1"/>
      <c r="E350" s="163"/>
      <c r="F350" s="11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5"/>
      <c r="V350" s="165"/>
    </row>
    <row r="351" ht="12.75" customHeight="1">
      <c r="A351" s="163"/>
      <c r="B351" s="163"/>
      <c r="C351" s="163"/>
      <c r="D351" s="1"/>
      <c r="E351" s="163"/>
      <c r="F351" s="11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5"/>
      <c r="V351" s="165"/>
    </row>
    <row r="352" ht="12.75" customHeight="1">
      <c r="A352" s="163"/>
      <c r="B352" s="163"/>
      <c r="C352" s="163"/>
      <c r="D352" s="1"/>
      <c r="E352" s="163"/>
      <c r="F352" s="11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5"/>
      <c r="V352" s="165"/>
    </row>
    <row r="353" ht="12.75" customHeight="1">
      <c r="A353" s="163"/>
      <c r="B353" s="163"/>
      <c r="C353" s="163"/>
      <c r="D353" s="1"/>
      <c r="E353" s="163"/>
      <c r="F353" s="11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5"/>
      <c r="V353" s="165"/>
    </row>
    <row r="354" ht="12.75" customHeight="1">
      <c r="A354" s="163"/>
      <c r="B354" s="163"/>
      <c r="C354" s="163"/>
      <c r="D354" s="1"/>
      <c r="E354" s="163"/>
      <c r="F354" s="11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5"/>
      <c r="V354" s="165"/>
    </row>
    <row r="355" ht="12.75" customHeight="1">
      <c r="A355" s="163"/>
      <c r="B355" s="163"/>
      <c r="C355" s="163"/>
      <c r="D355" s="1"/>
      <c r="E355" s="163"/>
      <c r="F355" s="11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5"/>
      <c r="V355" s="165"/>
    </row>
    <row r="356" ht="12.75" customHeight="1">
      <c r="A356" s="163"/>
      <c r="B356" s="163"/>
      <c r="C356" s="163"/>
      <c r="D356" s="1"/>
      <c r="E356" s="163"/>
      <c r="F356" s="11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5"/>
      <c r="V356" s="165"/>
    </row>
    <row r="357" ht="12.75" customHeight="1">
      <c r="A357" s="163"/>
      <c r="B357" s="163"/>
      <c r="C357" s="163"/>
      <c r="D357" s="1"/>
      <c r="E357" s="163"/>
      <c r="F357" s="11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5"/>
      <c r="V357" s="165"/>
    </row>
    <row r="358" ht="12.75" customHeight="1">
      <c r="A358" s="163"/>
      <c r="B358" s="163"/>
      <c r="C358" s="163"/>
      <c r="D358" s="1"/>
      <c r="E358" s="163"/>
      <c r="F358" s="11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5"/>
      <c r="V358" s="165"/>
    </row>
    <row r="359" ht="12.75" customHeight="1">
      <c r="A359" s="163"/>
      <c r="B359" s="163"/>
      <c r="C359" s="163"/>
      <c r="D359" s="1"/>
      <c r="E359" s="163"/>
      <c r="F359" s="11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5"/>
      <c r="V359" s="165"/>
    </row>
    <row r="360" ht="12.75" customHeight="1">
      <c r="A360" s="163"/>
      <c r="B360" s="163"/>
      <c r="C360" s="163"/>
      <c r="D360" s="1"/>
      <c r="E360" s="163"/>
      <c r="F360" s="11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5"/>
      <c r="V360" s="165"/>
    </row>
    <row r="361" ht="12.75" customHeight="1">
      <c r="A361" s="163"/>
      <c r="B361" s="163"/>
      <c r="C361" s="163"/>
      <c r="D361" s="1"/>
      <c r="E361" s="163"/>
      <c r="F361" s="11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5"/>
      <c r="V361" s="165"/>
    </row>
    <row r="362" ht="12.75" customHeight="1">
      <c r="A362" s="163"/>
      <c r="B362" s="163"/>
      <c r="C362" s="163"/>
      <c r="D362" s="1"/>
      <c r="E362" s="163"/>
      <c r="F362" s="11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5"/>
      <c r="V362" s="165"/>
    </row>
    <row r="363" ht="12.75" customHeight="1">
      <c r="A363" s="163"/>
      <c r="B363" s="163"/>
      <c r="C363" s="163"/>
      <c r="D363" s="1"/>
      <c r="E363" s="163"/>
      <c r="F363" s="11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5"/>
      <c r="V363" s="165"/>
    </row>
    <row r="364" ht="12.75" customHeight="1">
      <c r="A364" s="163"/>
      <c r="B364" s="163"/>
      <c r="C364" s="163"/>
      <c r="D364" s="1"/>
      <c r="E364" s="163"/>
      <c r="F364" s="11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5"/>
      <c r="V364" s="165"/>
    </row>
    <row r="365" ht="12.75" customHeight="1">
      <c r="A365" s="163"/>
      <c r="B365" s="163"/>
      <c r="C365" s="163"/>
      <c r="D365" s="1"/>
      <c r="E365" s="163"/>
      <c r="F365" s="11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5"/>
      <c r="V365" s="165"/>
    </row>
    <row r="366" ht="12.75" customHeight="1">
      <c r="A366" s="163"/>
      <c r="B366" s="163"/>
      <c r="C366" s="163"/>
      <c r="D366" s="1"/>
      <c r="E366" s="163"/>
      <c r="F366" s="11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5"/>
      <c r="V366" s="165"/>
    </row>
    <row r="367" ht="12.75" customHeight="1">
      <c r="A367" s="163"/>
      <c r="B367" s="163"/>
      <c r="C367" s="163"/>
      <c r="D367" s="1"/>
      <c r="E367" s="163"/>
      <c r="F367" s="11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5"/>
      <c r="V367" s="165"/>
    </row>
    <row r="368" ht="12.75" customHeight="1">
      <c r="A368" s="163"/>
      <c r="B368" s="163"/>
      <c r="C368" s="163"/>
      <c r="D368" s="1"/>
      <c r="E368" s="163"/>
      <c r="F368" s="11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5"/>
      <c r="V368" s="165"/>
    </row>
    <row r="369" ht="12.75" customHeight="1">
      <c r="A369" s="163"/>
      <c r="B369" s="163"/>
      <c r="C369" s="163"/>
      <c r="D369" s="1"/>
      <c r="E369" s="163"/>
      <c r="F369" s="11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5"/>
      <c r="V369" s="165"/>
    </row>
    <row r="370" ht="12.75" customHeight="1">
      <c r="A370" s="163"/>
      <c r="B370" s="163"/>
      <c r="C370" s="163"/>
      <c r="D370" s="1"/>
      <c r="E370" s="163"/>
      <c r="F370" s="11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5"/>
      <c r="V370" s="165"/>
    </row>
    <row r="371" ht="12.75" customHeight="1">
      <c r="A371" s="163"/>
      <c r="B371" s="163"/>
      <c r="C371" s="163"/>
      <c r="D371" s="1"/>
      <c r="E371" s="163"/>
      <c r="F371" s="11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5"/>
      <c r="V371" s="165"/>
    </row>
    <row r="372" ht="12.75" customHeight="1">
      <c r="A372" s="163"/>
      <c r="B372" s="163"/>
      <c r="C372" s="163"/>
      <c r="D372" s="1"/>
      <c r="E372" s="163"/>
      <c r="F372" s="11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5"/>
      <c r="V372" s="165"/>
    </row>
    <row r="373" ht="12.75" customHeight="1">
      <c r="A373" s="163"/>
      <c r="B373" s="163"/>
      <c r="C373" s="163"/>
      <c r="D373" s="1"/>
      <c r="E373" s="163"/>
      <c r="F373" s="11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5"/>
      <c r="V373" s="165"/>
    </row>
    <row r="374" ht="12.75" customHeight="1">
      <c r="A374" s="163"/>
      <c r="B374" s="163"/>
      <c r="C374" s="163"/>
      <c r="D374" s="1"/>
      <c r="E374" s="163"/>
      <c r="F374" s="11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5"/>
      <c r="V374" s="165"/>
    </row>
    <row r="375" ht="12.75" customHeight="1">
      <c r="A375" s="163"/>
      <c r="B375" s="163"/>
      <c r="C375" s="163"/>
      <c r="D375" s="1"/>
      <c r="E375" s="163"/>
      <c r="F375" s="11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5"/>
      <c r="V375" s="165"/>
    </row>
    <row r="376" ht="12.75" customHeight="1">
      <c r="A376" s="163"/>
      <c r="B376" s="163"/>
      <c r="C376" s="163"/>
      <c r="D376" s="1"/>
      <c r="E376" s="163"/>
      <c r="F376" s="11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5"/>
      <c r="V376" s="165"/>
    </row>
    <row r="377" ht="12.75" customHeight="1">
      <c r="A377" s="163"/>
      <c r="B377" s="163"/>
      <c r="C377" s="163"/>
      <c r="D377" s="1"/>
      <c r="E377" s="163"/>
      <c r="F377" s="11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5"/>
      <c r="V377" s="165"/>
    </row>
    <row r="378" ht="12.75" customHeight="1">
      <c r="A378" s="163"/>
      <c r="B378" s="163"/>
      <c r="C378" s="163"/>
      <c r="D378" s="1"/>
      <c r="E378" s="163"/>
      <c r="F378" s="11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5"/>
      <c r="V378" s="165"/>
    </row>
    <row r="379" ht="12.75" customHeight="1">
      <c r="A379" s="163"/>
      <c r="B379" s="163"/>
      <c r="C379" s="163"/>
      <c r="D379" s="1"/>
      <c r="E379" s="163"/>
      <c r="F379" s="11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5"/>
      <c r="V379" s="165"/>
    </row>
    <row r="380" ht="12.75" customHeight="1">
      <c r="A380" s="163"/>
      <c r="B380" s="163"/>
      <c r="C380" s="163"/>
      <c r="D380" s="1"/>
      <c r="E380" s="163"/>
      <c r="F380" s="11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5"/>
      <c r="V380" s="165"/>
    </row>
    <row r="381" ht="12.75" customHeight="1">
      <c r="A381" s="163"/>
      <c r="B381" s="163"/>
      <c r="C381" s="163"/>
      <c r="D381" s="1"/>
      <c r="E381" s="163"/>
      <c r="F381" s="11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5"/>
      <c r="V381" s="165"/>
    </row>
    <row r="382" ht="12.75" customHeight="1">
      <c r="A382" s="163"/>
      <c r="B382" s="163"/>
      <c r="C382" s="163"/>
      <c r="D382" s="1"/>
      <c r="E382" s="163"/>
      <c r="F382" s="11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5"/>
      <c r="V382" s="165"/>
    </row>
    <row r="383" ht="12.75" customHeight="1">
      <c r="A383" s="163"/>
      <c r="B383" s="163"/>
      <c r="C383" s="163"/>
      <c r="D383" s="1"/>
      <c r="E383" s="163"/>
      <c r="F383" s="11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5"/>
      <c r="V383" s="165"/>
    </row>
    <row r="384" ht="12.75" customHeight="1">
      <c r="A384" s="163"/>
      <c r="B384" s="163"/>
      <c r="C384" s="163"/>
      <c r="D384" s="1"/>
      <c r="E384" s="163"/>
      <c r="F384" s="11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5"/>
      <c r="V384" s="165"/>
    </row>
    <row r="385" ht="12.75" customHeight="1">
      <c r="A385" s="163"/>
      <c r="B385" s="163"/>
      <c r="C385" s="163"/>
      <c r="D385" s="1"/>
      <c r="E385" s="163"/>
      <c r="F385" s="11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5"/>
      <c r="V385" s="165"/>
    </row>
    <row r="386" ht="12.75" customHeight="1">
      <c r="A386" s="163"/>
      <c r="B386" s="163"/>
      <c r="C386" s="163"/>
      <c r="D386" s="1"/>
      <c r="E386" s="163"/>
      <c r="F386" s="11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5"/>
      <c r="V386" s="165"/>
    </row>
    <row r="387" ht="12.75" customHeight="1">
      <c r="A387" s="163"/>
      <c r="B387" s="163"/>
      <c r="C387" s="163"/>
      <c r="D387" s="1"/>
      <c r="E387" s="163"/>
      <c r="F387" s="11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5"/>
      <c r="V387" s="165"/>
    </row>
    <row r="388" ht="12.75" customHeight="1">
      <c r="A388" s="163"/>
      <c r="B388" s="163"/>
      <c r="C388" s="163"/>
      <c r="D388" s="1"/>
      <c r="E388" s="163"/>
      <c r="F388" s="11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5"/>
      <c r="V388" s="165"/>
    </row>
    <row r="389" ht="12.75" customHeight="1">
      <c r="A389" s="163"/>
      <c r="B389" s="163"/>
      <c r="C389" s="163"/>
      <c r="D389" s="1"/>
      <c r="E389" s="163"/>
      <c r="F389" s="11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5"/>
      <c r="V389" s="165"/>
    </row>
    <row r="390" ht="12.75" customHeight="1">
      <c r="A390" s="163"/>
      <c r="B390" s="163"/>
      <c r="C390" s="163"/>
      <c r="D390" s="1"/>
      <c r="E390" s="163"/>
      <c r="F390" s="11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5"/>
      <c r="V390" s="165"/>
    </row>
    <row r="391" ht="12.75" customHeight="1">
      <c r="A391" s="163"/>
      <c r="B391" s="163"/>
      <c r="C391" s="163"/>
      <c r="D391" s="1"/>
      <c r="E391" s="163"/>
      <c r="F391" s="11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5"/>
      <c r="V391" s="165"/>
    </row>
    <row r="392" ht="12.75" customHeight="1">
      <c r="A392" s="163"/>
      <c r="B392" s="163"/>
      <c r="C392" s="163"/>
      <c r="D392" s="1"/>
      <c r="E392" s="163"/>
      <c r="F392" s="11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5"/>
      <c r="V392" s="165"/>
    </row>
    <row r="393" ht="12.75" customHeight="1">
      <c r="A393" s="163"/>
      <c r="B393" s="163"/>
      <c r="C393" s="163"/>
      <c r="D393" s="1"/>
      <c r="E393" s="163"/>
      <c r="F393" s="11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5"/>
      <c r="V393" s="165"/>
    </row>
    <row r="394" ht="12.75" customHeight="1">
      <c r="A394" s="163"/>
      <c r="B394" s="163"/>
      <c r="C394" s="163"/>
      <c r="D394" s="1"/>
      <c r="E394" s="163"/>
      <c r="F394" s="11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5"/>
      <c r="V394" s="165"/>
    </row>
    <row r="395" ht="12.75" customHeight="1">
      <c r="A395" s="163"/>
      <c r="B395" s="163"/>
      <c r="C395" s="163"/>
      <c r="D395" s="1"/>
      <c r="E395" s="163"/>
      <c r="F395" s="11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5"/>
      <c r="V395" s="165"/>
    </row>
    <row r="396" ht="12.75" customHeight="1">
      <c r="A396" s="163"/>
      <c r="B396" s="163"/>
      <c r="C396" s="163"/>
      <c r="D396" s="1"/>
      <c r="E396" s="163"/>
      <c r="F396" s="11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5"/>
      <c r="V396" s="165"/>
    </row>
    <row r="397" ht="12.75" customHeight="1">
      <c r="A397" s="163"/>
      <c r="B397" s="163"/>
      <c r="C397" s="163"/>
      <c r="D397" s="1"/>
      <c r="E397" s="163"/>
      <c r="F397" s="11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5"/>
      <c r="V397" s="165"/>
    </row>
    <row r="398" ht="12.75" customHeight="1">
      <c r="A398" s="163"/>
      <c r="B398" s="163"/>
      <c r="C398" s="163"/>
      <c r="D398" s="1"/>
      <c r="E398" s="163"/>
      <c r="F398" s="11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5"/>
      <c r="V398" s="165"/>
    </row>
    <row r="399" ht="12.75" customHeight="1">
      <c r="A399" s="163"/>
      <c r="B399" s="163"/>
      <c r="C399" s="163"/>
      <c r="D399" s="1"/>
      <c r="E399" s="163"/>
      <c r="F399" s="11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5"/>
      <c r="V399" s="165"/>
    </row>
    <row r="400" ht="12.75" customHeight="1">
      <c r="A400" s="163"/>
      <c r="B400" s="163"/>
      <c r="C400" s="163"/>
      <c r="D400" s="1"/>
      <c r="E400" s="163"/>
      <c r="F400" s="11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5"/>
      <c r="V400" s="165"/>
    </row>
    <row r="401" ht="12.75" customHeight="1">
      <c r="A401" s="163"/>
      <c r="B401" s="163"/>
      <c r="C401" s="163"/>
      <c r="D401" s="1"/>
      <c r="E401" s="163"/>
      <c r="F401" s="11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5"/>
      <c r="V401" s="165"/>
    </row>
    <row r="402" ht="12.75" customHeight="1">
      <c r="A402" s="163"/>
      <c r="B402" s="163"/>
      <c r="C402" s="163"/>
      <c r="D402" s="1"/>
      <c r="E402" s="163"/>
      <c r="F402" s="11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5"/>
      <c r="V402" s="165"/>
    </row>
    <row r="403" ht="12.75" customHeight="1">
      <c r="A403" s="163"/>
      <c r="B403" s="163"/>
      <c r="C403" s="163"/>
      <c r="D403" s="1"/>
      <c r="E403" s="163"/>
      <c r="F403" s="11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5"/>
      <c r="V403" s="165"/>
    </row>
    <row r="404" ht="12.75" customHeight="1">
      <c r="A404" s="163"/>
      <c r="B404" s="163"/>
      <c r="C404" s="163"/>
      <c r="D404" s="1"/>
      <c r="E404" s="163"/>
      <c r="F404" s="11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5"/>
      <c r="V404" s="165"/>
    </row>
    <row r="405" ht="12.75" customHeight="1">
      <c r="A405" s="163"/>
      <c r="B405" s="163"/>
      <c r="C405" s="163"/>
      <c r="D405" s="1"/>
      <c r="E405" s="163"/>
      <c r="F405" s="11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5"/>
      <c r="V405" s="165"/>
    </row>
    <row r="406" ht="12.75" customHeight="1">
      <c r="A406" s="163"/>
      <c r="B406" s="163"/>
      <c r="C406" s="163"/>
      <c r="D406" s="1"/>
      <c r="E406" s="163"/>
      <c r="F406" s="11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5"/>
      <c r="V406" s="165"/>
    </row>
    <row r="407" ht="12.75" customHeight="1">
      <c r="A407" s="163"/>
      <c r="B407" s="163"/>
      <c r="C407" s="163"/>
      <c r="D407" s="1"/>
      <c r="E407" s="163"/>
      <c r="F407" s="11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5"/>
      <c r="V407" s="165"/>
    </row>
    <row r="408" ht="12.75" customHeight="1">
      <c r="A408" s="163"/>
      <c r="B408" s="163"/>
      <c r="C408" s="163"/>
      <c r="D408" s="1"/>
      <c r="E408" s="163"/>
      <c r="F408" s="11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5"/>
      <c r="V408" s="165"/>
    </row>
    <row r="409" ht="12.75" customHeight="1">
      <c r="A409" s="163"/>
      <c r="B409" s="163"/>
      <c r="C409" s="163"/>
      <c r="D409" s="1"/>
      <c r="E409" s="163"/>
      <c r="F409" s="11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5"/>
      <c r="V409" s="165"/>
    </row>
    <row r="410" ht="12.75" customHeight="1">
      <c r="A410" s="163"/>
      <c r="B410" s="163"/>
      <c r="C410" s="163"/>
      <c r="D410" s="1"/>
      <c r="E410" s="163"/>
      <c r="F410" s="11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5"/>
      <c r="V410" s="165"/>
    </row>
    <row r="411" ht="12.75" customHeight="1">
      <c r="A411" s="163"/>
      <c r="B411" s="163"/>
      <c r="C411" s="163"/>
      <c r="D411" s="1"/>
      <c r="E411" s="163"/>
      <c r="F411" s="11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5"/>
      <c r="V411" s="165"/>
    </row>
    <row r="412" ht="12.75" customHeight="1">
      <c r="A412" s="163"/>
      <c r="B412" s="163"/>
      <c r="C412" s="163"/>
      <c r="D412" s="1"/>
      <c r="E412" s="163"/>
      <c r="F412" s="11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5"/>
      <c r="V412" s="165"/>
    </row>
    <row r="413" ht="12.75" customHeight="1">
      <c r="A413" s="163"/>
      <c r="B413" s="163"/>
      <c r="C413" s="163"/>
      <c r="D413" s="1"/>
      <c r="E413" s="163"/>
      <c r="F413" s="11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5"/>
      <c r="V413" s="165"/>
    </row>
    <row r="414" ht="12.75" customHeight="1">
      <c r="A414" s="163"/>
      <c r="B414" s="163"/>
      <c r="C414" s="163"/>
      <c r="D414" s="1"/>
      <c r="E414" s="163"/>
      <c r="F414" s="11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5"/>
      <c r="V414" s="165"/>
    </row>
    <row r="415" ht="12.75" customHeight="1">
      <c r="A415" s="163"/>
      <c r="B415" s="163"/>
      <c r="C415" s="163"/>
      <c r="D415" s="1"/>
      <c r="E415" s="163"/>
      <c r="F415" s="11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5"/>
      <c r="V415" s="165"/>
    </row>
    <row r="416" ht="12.75" customHeight="1">
      <c r="A416" s="163"/>
      <c r="B416" s="163"/>
      <c r="C416" s="163"/>
      <c r="D416" s="1"/>
      <c r="E416" s="163"/>
      <c r="F416" s="11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5"/>
      <c r="V416" s="165"/>
    </row>
    <row r="417" ht="12.75" customHeight="1">
      <c r="A417" s="163"/>
      <c r="B417" s="163"/>
      <c r="C417" s="163"/>
      <c r="D417" s="1"/>
      <c r="E417" s="163"/>
      <c r="F417" s="11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5"/>
      <c r="V417" s="165"/>
    </row>
    <row r="418" ht="12.75" customHeight="1">
      <c r="A418" s="163"/>
      <c r="B418" s="163"/>
      <c r="C418" s="163"/>
      <c r="D418" s="1"/>
      <c r="E418" s="163"/>
      <c r="F418" s="11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5"/>
      <c r="V418" s="165"/>
    </row>
    <row r="419" ht="12.75" customHeight="1">
      <c r="A419" s="163"/>
      <c r="B419" s="163"/>
      <c r="C419" s="163"/>
      <c r="D419" s="1"/>
      <c r="E419" s="163"/>
      <c r="F419" s="11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5"/>
      <c r="V419" s="165"/>
    </row>
    <row r="420" ht="12.75" customHeight="1">
      <c r="A420" s="163"/>
      <c r="B420" s="163"/>
      <c r="C420" s="163"/>
      <c r="D420" s="1"/>
      <c r="E420" s="163"/>
      <c r="F420" s="11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5"/>
      <c r="V420" s="165"/>
    </row>
    <row r="421" ht="12.75" customHeight="1">
      <c r="A421" s="163"/>
      <c r="B421" s="163"/>
      <c r="C421" s="163"/>
      <c r="D421" s="1"/>
      <c r="E421" s="163"/>
      <c r="F421" s="11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5"/>
      <c r="V421" s="165"/>
    </row>
    <row r="422" ht="12.75" customHeight="1">
      <c r="A422" s="163"/>
      <c r="B422" s="163"/>
      <c r="C422" s="163"/>
      <c r="D422" s="1"/>
      <c r="E422" s="163"/>
      <c r="F422" s="11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5"/>
      <c r="V422" s="165"/>
    </row>
    <row r="423" ht="12.75" customHeight="1">
      <c r="A423" s="163"/>
      <c r="B423" s="163"/>
      <c r="C423" s="163"/>
      <c r="D423" s="1"/>
      <c r="E423" s="163"/>
      <c r="F423" s="11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5"/>
      <c r="V423" s="165"/>
    </row>
    <row r="424" ht="12.75" customHeight="1">
      <c r="A424" s="163"/>
      <c r="B424" s="163"/>
      <c r="C424" s="163"/>
      <c r="D424" s="1"/>
      <c r="E424" s="163"/>
      <c r="F424" s="11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5"/>
      <c r="V424" s="165"/>
    </row>
    <row r="425" ht="12.75" customHeight="1">
      <c r="A425" s="163"/>
      <c r="B425" s="163"/>
      <c r="C425" s="163"/>
      <c r="D425" s="1"/>
      <c r="E425" s="163"/>
      <c r="F425" s="11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5"/>
      <c r="V425" s="165"/>
    </row>
    <row r="426" ht="12.75" customHeight="1">
      <c r="A426" s="163"/>
      <c r="B426" s="163"/>
      <c r="C426" s="163"/>
      <c r="D426" s="1"/>
      <c r="E426" s="163"/>
      <c r="F426" s="11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5"/>
      <c r="V426" s="165"/>
    </row>
    <row r="427" ht="12.75" customHeight="1">
      <c r="A427" s="163"/>
      <c r="B427" s="163"/>
      <c r="C427" s="163"/>
      <c r="D427" s="1"/>
      <c r="E427" s="163"/>
      <c r="F427" s="11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5"/>
      <c r="V427" s="165"/>
    </row>
    <row r="428" ht="12.75" customHeight="1">
      <c r="A428" s="163"/>
      <c r="B428" s="163"/>
      <c r="C428" s="163"/>
      <c r="D428" s="1"/>
      <c r="E428" s="163"/>
      <c r="F428" s="11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5"/>
      <c r="V428" s="165"/>
    </row>
    <row r="429" ht="12.75" customHeight="1">
      <c r="A429" s="163"/>
      <c r="B429" s="163"/>
      <c r="C429" s="163"/>
      <c r="D429" s="1"/>
      <c r="E429" s="163"/>
      <c r="F429" s="11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5"/>
      <c r="V429" s="165"/>
    </row>
    <row r="430" ht="12.75" customHeight="1">
      <c r="A430" s="163"/>
      <c r="B430" s="163"/>
      <c r="C430" s="163"/>
      <c r="D430" s="1"/>
      <c r="E430" s="163"/>
      <c r="F430" s="11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5"/>
      <c r="V430" s="165"/>
    </row>
    <row r="431" ht="12.75" customHeight="1">
      <c r="A431" s="163"/>
      <c r="B431" s="163"/>
      <c r="C431" s="163"/>
      <c r="D431" s="1"/>
      <c r="E431" s="163"/>
      <c r="F431" s="11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5"/>
      <c r="V431" s="165"/>
    </row>
    <row r="432" ht="12.75" customHeight="1">
      <c r="A432" s="163"/>
      <c r="B432" s="163"/>
      <c r="C432" s="163"/>
      <c r="D432" s="1"/>
      <c r="E432" s="163"/>
      <c r="F432" s="11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5"/>
      <c r="V432" s="165"/>
    </row>
    <row r="433" ht="12.75" customHeight="1">
      <c r="A433" s="163"/>
      <c r="B433" s="163"/>
      <c r="C433" s="163"/>
      <c r="D433" s="1"/>
      <c r="E433" s="163"/>
      <c r="F433" s="11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5"/>
      <c r="V433" s="165"/>
    </row>
    <row r="434" ht="12.75" customHeight="1">
      <c r="A434" s="163"/>
      <c r="B434" s="163"/>
      <c r="C434" s="163"/>
      <c r="D434" s="1"/>
      <c r="E434" s="163"/>
      <c r="F434" s="11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5"/>
      <c r="V434" s="165"/>
    </row>
    <row r="435" ht="12.75" customHeight="1">
      <c r="A435" s="163"/>
      <c r="B435" s="163"/>
      <c r="C435" s="163"/>
      <c r="D435" s="1"/>
      <c r="E435" s="163"/>
      <c r="F435" s="11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5"/>
      <c r="V435" s="165"/>
    </row>
    <row r="436" ht="12.75" customHeight="1">
      <c r="A436" s="163"/>
      <c r="B436" s="163"/>
      <c r="C436" s="163"/>
      <c r="D436" s="1"/>
      <c r="E436" s="163"/>
      <c r="F436" s="11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5"/>
      <c r="V436" s="165"/>
    </row>
    <row r="437" ht="12.75" customHeight="1">
      <c r="A437" s="163"/>
      <c r="B437" s="163"/>
      <c r="C437" s="163"/>
      <c r="D437" s="1"/>
      <c r="E437" s="163"/>
      <c r="F437" s="11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5"/>
      <c r="V437" s="165"/>
    </row>
    <row r="438" ht="12.75" customHeight="1">
      <c r="A438" s="163"/>
      <c r="B438" s="163"/>
      <c r="C438" s="163"/>
      <c r="D438" s="1"/>
      <c r="E438" s="163"/>
      <c r="F438" s="11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5"/>
      <c r="V438" s="165"/>
    </row>
    <row r="439" ht="12.75" customHeight="1">
      <c r="A439" s="163"/>
      <c r="B439" s="163"/>
      <c r="C439" s="163"/>
      <c r="D439" s="1"/>
      <c r="E439" s="163"/>
      <c r="F439" s="11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5"/>
      <c r="V439" s="165"/>
    </row>
    <row r="440" ht="12.75" customHeight="1">
      <c r="A440" s="163"/>
      <c r="B440" s="163"/>
      <c r="C440" s="163"/>
      <c r="D440" s="1"/>
      <c r="E440" s="163"/>
      <c r="F440" s="11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5"/>
      <c r="V440" s="165"/>
    </row>
    <row r="441" ht="12.75" customHeight="1">
      <c r="A441" s="163"/>
      <c r="B441" s="163"/>
      <c r="C441" s="163"/>
      <c r="D441" s="1"/>
      <c r="E441" s="163"/>
      <c r="F441" s="11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5"/>
      <c r="V441" s="165"/>
    </row>
    <row r="442" ht="12.75" customHeight="1">
      <c r="A442" s="163"/>
      <c r="B442" s="163"/>
      <c r="C442" s="163"/>
      <c r="D442" s="1"/>
      <c r="E442" s="163"/>
      <c r="F442" s="11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5"/>
      <c r="V442" s="165"/>
    </row>
    <row r="443" ht="12.75" customHeight="1">
      <c r="A443" s="163"/>
      <c r="B443" s="163"/>
      <c r="C443" s="163"/>
      <c r="D443" s="1"/>
      <c r="E443" s="163"/>
      <c r="F443" s="11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5"/>
      <c r="V443" s="165"/>
    </row>
    <row r="444" ht="12.75" customHeight="1">
      <c r="A444" s="163"/>
      <c r="B444" s="163"/>
      <c r="C444" s="163"/>
      <c r="D444" s="1"/>
      <c r="E444" s="163"/>
      <c r="F444" s="11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5"/>
      <c r="V444" s="165"/>
    </row>
    <row r="445" ht="12.75" customHeight="1">
      <c r="A445" s="163"/>
      <c r="B445" s="163"/>
      <c r="C445" s="163"/>
      <c r="D445" s="1"/>
      <c r="E445" s="163"/>
      <c r="F445" s="11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5"/>
      <c r="V445" s="165"/>
    </row>
    <row r="446" ht="12.75" customHeight="1">
      <c r="A446" s="163"/>
      <c r="B446" s="163"/>
      <c r="C446" s="163"/>
      <c r="D446" s="1"/>
      <c r="E446" s="163"/>
      <c r="F446" s="11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5"/>
      <c r="V446" s="165"/>
    </row>
    <row r="447" ht="12.75" customHeight="1">
      <c r="A447" s="163"/>
      <c r="B447" s="163"/>
      <c r="C447" s="163"/>
      <c r="D447" s="1"/>
      <c r="E447" s="163"/>
      <c r="F447" s="11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5"/>
      <c r="V447" s="165"/>
    </row>
    <row r="448" ht="12.75" customHeight="1">
      <c r="A448" s="163"/>
      <c r="B448" s="163"/>
      <c r="C448" s="163"/>
      <c r="D448" s="1"/>
      <c r="E448" s="163"/>
      <c r="F448" s="11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5"/>
      <c r="V448" s="165"/>
    </row>
    <row r="449" ht="12.75" customHeight="1">
      <c r="A449" s="163"/>
      <c r="B449" s="163"/>
      <c r="C449" s="163"/>
      <c r="D449" s="1"/>
      <c r="E449" s="163"/>
      <c r="F449" s="11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5"/>
      <c r="V449" s="165"/>
    </row>
    <row r="450" ht="12.75" customHeight="1">
      <c r="A450" s="163"/>
      <c r="B450" s="163"/>
      <c r="C450" s="163"/>
      <c r="D450" s="1"/>
      <c r="E450" s="163"/>
      <c r="F450" s="11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5"/>
      <c r="V450" s="165"/>
    </row>
    <row r="451" ht="12.75" customHeight="1">
      <c r="A451" s="163"/>
      <c r="B451" s="163"/>
      <c r="C451" s="163"/>
      <c r="D451" s="1"/>
      <c r="E451" s="163"/>
      <c r="F451" s="11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5"/>
      <c r="V451" s="165"/>
    </row>
    <row r="452" ht="12.75" customHeight="1">
      <c r="A452" s="163"/>
      <c r="B452" s="163"/>
      <c r="C452" s="163"/>
      <c r="D452" s="1"/>
      <c r="E452" s="163"/>
      <c r="F452" s="11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5"/>
      <c r="V452" s="165"/>
    </row>
    <row r="453" ht="12.75" customHeight="1">
      <c r="A453" s="163"/>
      <c r="B453" s="163"/>
      <c r="C453" s="163"/>
      <c r="D453" s="1"/>
      <c r="E453" s="163"/>
      <c r="F453" s="11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5"/>
      <c r="V453" s="165"/>
    </row>
    <row r="454" ht="12.75" customHeight="1">
      <c r="A454" s="163"/>
      <c r="B454" s="163"/>
      <c r="C454" s="163"/>
      <c r="D454" s="1"/>
      <c r="E454" s="163"/>
      <c r="F454" s="11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5"/>
      <c r="V454" s="165"/>
    </row>
    <row r="455" ht="12.75" customHeight="1">
      <c r="A455" s="163"/>
      <c r="B455" s="163"/>
      <c r="C455" s="163"/>
      <c r="D455" s="1"/>
      <c r="E455" s="163"/>
      <c r="F455" s="11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5"/>
      <c r="V455" s="165"/>
    </row>
    <row r="456" ht="12.75" customHeight="1">
      <c r="A456" s="163"/>
      <c r="B456" s="163"/>
      <c r="C456" s="163"/>
      <c r="D456" s="1"/>
      <c r="E456" s="163"/>
      <c r="F456" s="11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5"/>
      <c r="V456" s="165"/>
    </row>
    <row r="457" ht="12.75" customHeight="1">
      <c r="A457" s="163"/>
      <c r="B457" s="163"/>
      <c r="C457" s="163"/>
      <c r="D457" s="1"/>
      <c r="E457" s="163"/>
      <c r="F457" s="11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5"/>
      <c r="V457" s="165"/>
    </row>
    <row r="458" ht="12.75" customHeight="1">
      <c r="A458" s="163"/>
      <c r="B458" s="163"/>
      <c r="C458" s="163"/>
      <c r="D458" s="1"/>
      <c r="E458" s="163"/>
      <c r="F458" s="11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5"/>
      <c r="V458" s="165"/>
    </row>
    <row r="459" ht="12.75" customHeight="1">
      <c r="A459" s="163"/>
      <c r="B459" s="163"/>
      <c r="C459" s="163"/>
      <c r="D459" s="1"/>
      <c r="E459" s="163"/>
      <c r="F459" s="11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5"/>
      <c r="V459" s="165"/>
    </row>
    <row r="460" ht="12.75" customHeight="1">
      <c r="A460" s="163"/>
      <c r="B460" s="163"/>
      <c r="C460" s="163"/>
      <c r="D460" s="1"/>
      <c r="E460" s="163"/>
      <c r="F460" s="11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5"/>
      <c r="V460" s="165"/>
    </row>
    <row r="461" ht="12.75" customHeight="1">
      <c r="A461" s="163"/>
      <c r="B461" s="163"/>
      <c r="C461" s="163"/>
      <c r="D461" s="1"/>
      <c r="E461" s="163"/>
      <c r="F461" s="11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5"/>
      <c r="V461" s="165"/>
    </row>
    <row r="462" ht="12.75" customHeight="1">
      <c r="A462" s="163"/>
      <c r="B462" s="163"/>
      <c r="C462" s="163"/>
      <c r="D462" s="1"/>
      <c r="E462" s="163"/>
      <c r="F462" s="11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5"/>
      <c r="V462" s="165"/>
    </row>
    <row r="463" ht="12.75" customHeight="1">
      <c r="A463" s="163"/>
      <c r="B463" s="163"/>
      <c r="C463" s="163"/>
      <c r="D463" s="1"/>
      <c r="E463" s="163"/>
      <c r="F463" s="11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5"/>
      <c r="V463" s="165"/>
    </row>
    <row r="464" ht="12.75" customHeight="1">
      <c r="A464" s="163"/>
      <c r="B464" s="163"/>
      <c r="C464" s="163"/>
      <c r="D464" s="1"/>
      <c r="E464" s="163"/>
      <c r="F464" s="11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5"/>
      <c r="V464" s="165"/>
    </row>
    <row r="465" ht="12.75" customHeight="1">
      <c r="A465" s="163"/>
      <c r="B465" s="163"/>
      <c r="C465" s="163"/>
      <c r="D465" s="1"/>
      <c r="E465" s="163"/>
      <c r="F465" s="11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5"/>
      <c r="V465" s="165"/>
    </row>
    <row r="466" ht="12.75" customHeight="1">
      <c r="A466" s="163"/>
      <c r="B466" s="163"/>
      <c r="C466" s="163"/>
      <c r="D466" s="1"/>
      <c r="E466" s="163"/>
      <c r="F466" s="11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5"/>
      <c r="V466" s="165"/>
    </row>
    <row r="467" ht="12.75" customHeight="1">
      <c r="A467" s="163"/>
      <c r="B467" s="163"/>
      <c r="C467" s="163"/>
      <c r="D467" s="1"/>
      <c r="E467" s="163"/>
      <c r="F467" s="11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5"/>
      <c r="V467" s="165"/>
    </row>
    <row r="468" ht="12.75" customHeight="1">
      <c r="A468" s="163"/>
      <c r="B468" s="163"/>
      <c r="C468" s="163"/>
      <c r="D468" s="1"/>
      <c r="E468" s="163"/>
      <c r="F468" s="11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5"/>
      <c r="V468" s="165"/>
    </row>
    <row r="469" ht="12.75" customHeight="1">
      <c r="A469" s="163"/>
      <c r="B469" s="163"/>
      <c r="C469" s="163"/>
      <c r="D469" s="1"/>
      <c r="E469" s="163"/>
      <c r="F469" s="11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5"/>
      <c r="V469" s="165"/>
    </row>
    <row r="470" ht="12.75" customHeight="1">
      <c r="A470" s="163"/>
      <c r="B470" s="163"/>
      <c r="C470" s="163"/>
      <c r="D470" s="1"/>
      <c r="E470" s="163"/>
      <c r="F470" s="11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5"/>
      <c r="V470" s="165"/>
    </row>
    <row r="471" ht="12.75" customHeight="1">
      <c r="A471" s="163"/>
      <c r="B471" s="163"/>
      <c r="C471" s="163"/>
      <c r="D471" s="1"/>
      <c r="E471" s="163"/>
      <c r="F471" s="11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5"/>
      <c r="V471" s="165"/>
    </row>
    <row r="472" ht="12.75" customHeight="1">
      <c r="A472" s="163"/>
      <c r="B472" s="163"/>
      <c r="C472" s="163"/>
      <c r="D472" s="1"/>
      <c r="E472" s="163"/>
      <c r="F472" s="11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5"/>
      <c r="V472" s="165"/>
    </row>
    <row r="473" ht="12.75" customHeight="1">
      <c r="A473" s="163"/>
      <c r="B473" s="163"/>
      <c r="C473" s="163"/>
      <c r="D473" s="1"/>
      <c r="E473" s="163"/>
      <c r="F473" s="11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5"/>
      <c r="V473" s="165"/>
    </row>
    <row r="474" ht="12.75" customHeight="1">
      <c r="A474" s="163"/>
      <c r="B474" s="163"/>
      <c r="C474" s="163"/>
      <c r="D474" s="1"/>
      <c r="E474" s="163"/>
      <c r="F474" s="11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5"/>
      <c r="V474" s="165"/>
    </row>
    <row r="475" ht="12.75" customHeight="1">
      <c r="A475" s="163"/>
      <c r="B475" s="163"/>
      <c r="C475" s="163"/>
      <c r="D475" s="1"/>
      <c r="E475" s="163"/>
      <c r="F475" s="11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5"/>
      <c r="V475" s="165"/>
    </row>
    <row r="476" ht="12.75" customHeight="1">
      <c r="A476" s="163"/>
      <c r="B476" s="163"/>
      <c r="C476" s="163"/>
      <c r="D476" s="1"/>
      <c r="E476" s="163"/>
      <c r="F476" s="11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5"/>
      <c r="V476" s="165"/>
    </row>
    <row r="477" ht="12.75" customHeight="1">
      <c r="A477" s="163"/>
      <c r="B477" s="163"/>
      <c r="C477" s="163"/>
      <c r="D477" s="1"/>
      <c r="E477" s="163"/>
      <c r="F477" s="11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5"/>
      <c r="V477" s="165"/>
    </row>
    <row r="478" ht="12.75" customHeight="1">
      <c r="A478" s="163"/>
      <c r="B478" s="163"/>
      <c r="C478" s="163"/>
      <c r="D478" s="1"/>
      <c r="E478" s="163"/>
      <c r="F478" s="11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5"/>
      <c r="V478" s="165"/>
    </row>
    <row r="479" ht="12.75" customHeight="1">
      <c r="A479" s="163"/>
      <c r="B479" s="163"/>
      <c r="C479" s="163"/>
      <c r="D479" s="1"/>
      <c r="E479" s="163"/>
      <c r="F479" s="11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5"/>
      <c r="V479" s="165"/>
    </row>
    <row r="480" ht="12.75" customHeight="1">
      <c r="A480" s="163"/>
      <c r="B480" s="163"/>
      <c r="C480" s="163"/>
      <c r="D480" s="1"/>
      <c r="E480" s="163"/>
      <c r="F480" s="11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5"/>
      <c r="V480" s="165"/>
    </row>
    <row r="481" ht="12.75" customHeight="1">
      <c r="A481" s="163"/>
      <c r="B481" s="163"/>
      <c r="C481" s="163"/>
      <c r="D481" s="1"/>
      <c r="E481" s="163"/>
      <c r="F481" s="11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5"/>
      <c r="V481" s="165"/>
    </row>
    <row r="482" ht="12.75" customHeight="1">
      <c r="A482" s="163"/>
      <c r="B482" s="163"/>
      <c r="C482" s="163"/>
      <c r="D482" s="1"/>
      <c r="E482" s="163"/>
      <c r="F482" s="11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5"/>
      <c r="V482" s="165"/>
    </row>
    <row r="483" ht="12.75" customHeight="1">
      <c r="A483" s="163"/>
      <c r="B483" s="163"/>
      <c r="C483" s="163"/>
      <c r="D483" s="1"/>
      <c r="E483" s="163"/>
      <c r="F483" s="11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5"/>
      <c r="V483" s="165"/>
    </row>
    <row r="484" ht="12.75" customHeight="1">
      <c r="A484" s="163"/>
      <c r="B484" s="163"/>
      <c r="C484" s="163"/>
      <c r="D484" s="1"/>
      <c r="E484" s="163"/>
      <c r="F484" s="11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5"/>
      <c r="V484" s="165"/>
    </row>
    <row r="485" ht="12.75" customHeight="1">
      <c r="A485" s="163"/>
      <c r="B485" s="163"/>
      <c r="C485" s="163"/>
      <c r="D485" s="1"/>
      <c r="E485" s="163"/>
      <c r="F485" s="11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5"/>
      <c r="V485" s="165"/>
    </row>
    <row r="486" ht="12.75" customHeight="1">
      <c r="A486" s="163"/>
      <c r="B486" s="163"/>
      <c r="C486" s="163"/>
      <c r="D486" s="1"/>
      <c r="E486" s="163"/>
      <c r="F486" s="11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5"/>
      <c r="V486" s="165"/>
    </row>
    <row r="487" ht="12.75" customHeight="1">
      <c r="A487" s="163"/>
      <c r="B487" s="163"/>
      <c r="C487" s="163"/>
      <c r="D487" s="1"/>
      <c r="E487" s="163"/>
      <c r="F487" s="11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5"/>
      <c r="V487" s="165"/>
    </row>
    <row r="488" ht="12.75" customHeight="1">
      <c r="A488" s="163"/>
      <c r="B488" s="163"/>
      <c r="C488" s="163"/>
      <c r="D488" s="1"/>
      <c r="E488" s="163"/>
      <c r="F488" s="11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5"/>
      <c r="V488" s="165"/>
    </row>
    <row r="489" ht="12.75" customHeight="1">
      <c r="A489" s="163"/>
      <c r="B489" s="163"/>
      <c r="C489" s="163"/>
      <c r="D489" s="1"/>
      <c r="E489" s="163"/>
      <c r="F489" s="11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5"/>
      <c r="V489" s="165"/>
    </row>
    <row r="490" ht="12.75" customHeight="1">
      <c r="A490" s="163"/>
      <c r="B490" s="163"/>
      <c r="C490" s="163"/>
      <c r="D490" s="1"/>
      <c r="E490" s="163"/>
      <c r="F490" s="11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5"/>
      <c r="V490" s="165"/>
    </row>
    <row r="491" ht="12.75" customHeight="1">
      <c r="A491" s="163"/>
      <c r="B491" s="163"/>
      <c r="C491" s="163"/>
      <c r="D491" s="1"/>
      <c r="E491" s="163"/>
      <c r="F491" s="11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5"/>
      <c r="V491" s="165"/>
    </row>
    <row r="492" ht="12.75" customHeight="1">
      <c r="A492" s="163"/>
      <c r="B492" s="163"/>
      <c r="C492" s="163"/>
      <c r="D492" s="1"/>
      <c r="E492" s="163"/>
      <c r="F492" s="11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5"/>
      <c r="V492" s="165"/>
    </row>
    <row r="493" ht="12.75" customHeight="1">
      <c r="A493" s="163"/>
      <c r="B493" s="163"/>
      <c r="C493" s="163"/>
      <c r="D493" s="1"/>
      <c r="E493" s="163"/>
      <c r="F493" s="11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5"/>
      <c r="V493" s="165"/>
    </row>
    <row r="494" ht="12.75" customHeight="1">
      <c r="A494" s="163"/>
      <c r="B494" s="163"/>
      <c r="C494" s="163"/>
      <c r="D494" s="1"/>
      <c r="E494" s="163"/>
      <c r="F494" s="11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5"/>
      <c r="V494" s="165"/>
    </row>
    <row r="495" ht="12.75" customHeight="1">
      <c r="A495" s="163"/>
      <c r="B495" s="163"/>
      <c r="C495" s="163"/>
      <c r="D495" s="1"/>
      <c r="E495" s="163"/>
      <c r="F495" s="11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5"/>
      <c r="V495" s="165"/>
    </row>
    <row r="496" ht="12.75" customHeight="1">
      <c r="A496" s="163"/>
      <c r="B496" s="163"/>
      <c r="C496" s="163"/>
      <c r="D496" s="1"/>
      <c r="E496" s="163"/>
      <c r="F496" s="11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5"/>
      <c r="V496" s="165"/>
    </row>
    <row r="497" ht="12.75" customHeight="1">
      <c r="A497" s="163"/>
      <c r="B497" s="163"/>
      <c r="C497" s="163"/>
      <c r="D497" s="1"/>
      <c r="E497" s="163"/>
      <c r="F497" s="11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5"/>
      <c r="V497" s="165"/>
    </row>
    <row r="498" ht="12.75" customHeight="1">
      <c r="A498" s="163"/>
      <c r="B498" s="163"/>
      <c r="C498" s="163"/>
      <c r="D498" s="1"/>
      <c r="E498" s="163"/>
      <c r="F498" s="11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5"/>
      <c r="V498" s="165"/>
    </row>
    <row r="499" ht="12.75" customHeight="1">
      <c r="A499" s="163"/>
      <c r="B499" s="163"/>
      <c r="C499" s="163"/>
      <c r="D499" s="1"/>
      <c r="E499" s="163"/>
      <c r="F499" s="11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5"/>
      <c r="V499" s="165"/>
    </row>
    <row r="500" ht="12.75" customHeight="1">
      <c r="A500" s="163"/>
      <c r="B500" s="163"/>
      <c r="C500" s="163"/>
      <c r="D500" s="1"/>
      <c r="E500" s="163"/>
      <c r="F500" s="11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5"/>
      <c r="V500" s="165"/>
    </row>
    <row r="501" ht="12.75" customHeight="1">
      <c r="A501" s="163"/>
      <c r="B501" s="163"/>
      <c r="C501" s="163"/>
      <c r="D501" s="1"/>
      <c r="E501" s="163"/>
      <c r="F501" s="11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5"/>
      <c r="V501" s="165"/>
    </row>
    <row r="502" ht="12.75" customHeight="1">
      <c r="A502" s="163"/>
      <c r="B502" s="163"/>
      <c r="C502" s="163"/>
      <c r="D502" s="1"/>
      <c r="E502" s="163"/>
      <c r="F502" s="11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5"/>
      <c r="V502" s="165"/>
    </row>
    <row r="503" ht="12.75" customHeight="1">
      <c r="A503" s="163"/>
      <c r="B503" s="163"/>
      <c r="C503" s="163"/>
      <c r="D503" s="1"/>
      <c r="E503" s="163"/>
      <c r="F503" s="11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5"/>
      <c r="V503" s="165"/>
    </row>
    <row r="504" ht="12.75" customHeight="1">
      <c r="A504" s="163"/>
      <c r="B504" s="163"/>
      <c r="C504" s="163"/>
      <c r="D504" s="1"/>
      <c r="E504" s="163"/>
      <c r="F504" s="11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5"/>
      <c r="V504" s="165"/>
    </row>
    <row r="505" ht="12.75" customHeight="1">
      <c r="A505" s="163"/>
      <c r="B505" s="163"/>
      <c r="C505" s="163"/>
      <c r="D505" s="1"/>
      <c r="E505" s="163"/>
      <c r="F505" s="11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5"/>
      <c r="V505" s="165"/>
    </row>
    <row r="506" ht="12.75" customHeight="1">
      <c r="A506" s="163"/>
      <c r="B506" s="163"/>
      <c r="C506" s="163"/>
      <c r="D506" s="1"/>
      <c r="E506" s="163"/>
      <c r="F506" s="11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5"/>
      <c r="V506" s="165"/>
    </row>
    <row r="507" ht="12.75" customHeight="1">
      <c r="A507" s="163"/>
      <c r="B507" s="163"/>
      <c r="C507" s="163"/>
      <c r="D507" s="1"/>
      <c r="E507" s="163"/>
      <c r="F507" s="11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5"/>
      <c r="V507" s="165"/>
    </row>
    <row r="508" ht="12.75" customHeight="1">
      <c r="A508" s="163"/>
      <c r="B508" s="163"/>
      <c r="C508" s="163"/>
      <c r="D508" s="1"/>
      <c r="E508" s="163"/>
      <c r="F508" s="11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5"/>
      <c r="V508" s="165"/>
    </row>
    <row r="509" ht="12.75" customHeight="1">
      <c r="A509" s="163"/>
      <c r="B509" s="163"/>
      <c r="C509" s="163"/>
      <c r="D509" s="1"/>
      <c r="E509" s="163"/>
      <c r="F509" s="11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5"/>
      <c r="V509" s="165"/>
    </row>
    <row r="510" ht="12.75" customHeight="1">
      <c r="A510" s="163"/>
      <c r="B510" s="163"/>
      <c r="C510" s="163"/>
      <c r="D510" s="1"/>
      <c r="E510" s="163"/>
      <c r="F510" s="11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5"/>
      <c r="V510" s="165"/>
    </row>
    <row r="511" ht="12.75" customHeight="1">
      <c r="A511" s="163"/>
      <c r="B511" s="163"/>
      <c r="C511" s="163"/>
      <c r="D511" s="1"/>
      <c r="E511" s="163"/>
      <c r="F511" s="11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5"/>
      <c r="V511" s="165"/>
    </row>
    <row r="512" ht="12.75" customHeight="1">
      <c r="A512" s="163"/>
      <c r="B512" s="163"/>
      <c r="C512" s="163"/>
      <c r="D512" s="1"/>
      <c r="E512" s="163"/>
      <c r="F512" s="11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5"/>
      <c r="V512" s="165"/>
    </row>
    <row r="513" ht="12.75" customHeight="1">
      <c r="A513" s="163"/>
      <c r="B513" s="163"/>
      <c r="C513" s="163"/>
      <c r="D513" s="1"/>
      <c r="E513" s="163"/>
      <c r="F513" s="11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5"/>
      <c r="V513" s="165"/>
    </row>
    <row r="514" ht="12.75" customHeight="1">
      <c r="A514" s="163"/>
      <c r="B514" s="163"/>
      <c r="C514" s="163"/>
      <c r="D514" s="1"/>
      <c r="E514" s="163"/>
      <c r="F514" s="11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5"/>
      <c r="V514" s="165"/>
    </row>
    <row r="515" ht="12.75" customHeight="1">
      <c r="A515" s="163"/>
      <c r="B515" s="163"/>
      <c r="C515" s="163"/>
      <c r="D515" s="1"/>
      <c r="E515" s="163"/>
      <c r="F515" s="11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5"/>
      <c r="V515" s="165"/>
    </row>
    <row r="516" ht="12.75" customHeight="1">
      <c r="A516" s="163"/>
      <c r="B516" s="163"/>
      <c r="C516" s="163"/>
      <c r="D516" s="1"/>
      <c r="E516" s="163"/>
      <c r="F516" s="11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5"/>
      <c r="V516" s="165"/>
    </row>
    <row r="517" ht="12.75" customHeight="1">
      <c r="A517" s="163"/>
      <c r="B517" s="163"/>
      <c r="C517" s="163"/>
      <c r="D517" s="1"/>
      <c r="E517" s="163"/>
      <c r="F517" s="11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5"/>
      <c r="V517" s="165"/>
    </row>
    <row r="518" ht="12.75" customHeight="1">
      <c r="A518" s="163"/>
      <c r="B518" s="163"/>
      <c r="C518" s="163"/>
      <c r="D518" s="1"/>
      <c r="E518" s="163"/>
      <c r="F518" s="11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5"/>
      <c r="V518" s="165"/>
    </row>
    <row r="519" ht="12.75" customHeight="1">
      <c r="A519" s="163"/>
      <c r="B519" s="163"/>
      <c r="C519" s="163"/>
      <c r="D519" s="1"/>
      <c r="E519" s="163"/>
      <c r="F519" s="11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5"/>
      <c r="V519" s="165"/>
    </row>
    <row r="520" ht="12.75" customHeight="1">
      <c r="A520" s="163"/>
      <c r="B520" s="163"/>
      <c r="C520" s="163"/>
      <c r="D520" s="1"/>
      <c r="E520" s="163"/>
      <c r="F520" s="11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5"/>
      <c r="V520" s="165"/>
    </row>
    <row r="521" ht="12.75" customHeight="1">
      <c r="A521" s="163"/>
      <c r="B521" s="163"/>
      <c r="C521" s="163"/>
      <c r="D521" s="1"/>
      <c r="E521" s="163"/>
      <c r="F521" s="11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5"/>
      <c r="V521" s="165"/>
    </row>
    <row r="522" ht="12.75" customHeight="1">
      <c r="A522" s="163"/>
      <c r="B522" s="163"/>
      <c r="C522" s="163"/>
      <c r="D522" s="1"/>
      <c r="E522" s="163"/>
      <c r="F522" s="11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5"/>
      <c r="V522" s="165"/>
    </row>
    <row r="523" ht="12.75" customHeight="1">
      <c r="A523" s="163"/>
      <c r="B523" s="163"/>
      <c r="C523" s="163"/>
      <c r="D523" s="1"/>
      <c r="E523" s="163"/>
      <c r="F523" s="11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5"/>
      <c r="V523" s="165"/>
    </row>
    <row r="524" ht="12.75" customHeight="1">
      <c r="A524" s="163"/>
      <c r="B524" s="163"/>
      <c r="C524" s="163"/>
      <c r="D524" s="1"/>
      <c r="E524" s="163"/>
      <c r="F524" s="11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5"/>
      <c r="V524" s="165"/>
    </row>
    <row r="525" ht="12.75" customHeight="1">
      <c r="A525" s="163"/>
      <c r="B525" s="163"/>
      <c r="C525" s="163"/>
      <c r="D525" s="1"/>
      <c r="E525" s="163"/>
      <c r="F525" s="11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5"/>
      <c r="V525" s="165"/>
    </row>
    <row r="526" ht="12.75" customHeight="1">
      <c r="A526" s="163"/>
      <c r="B526" s="163"/>
      <c r="C526" s="163"/>
      <c r="D526" s="1"/>
      <c r="E526" s="163"/>
      <c r="F526" s="11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5"/>
      <c r="V526" s="165"/>
    </row>
    <row r="527" ht="12.75" customHeight="1">
      <c r="A527" s="163"/>
      <c r="B527" s="163"/>
      <c r="C527" s="163"/>
      <c r="D527" s="1"/>
      <c r="E527" s="163"/>
      <c r="F527" s="11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5"/>
      <c r="V527" s="165"/>
    </row>
    <row r="528" ht="12.75" customHeight="1">
      <c r="A528" s="163"/>
      <c r="B528" s="163"/>
      <c r="C528" s="163"/>
      <c r="D528" s="1"/>
      <c r="E528" s="163"/>
      <c r="F528" s="11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5"/>
      <c r="V528" s="165"/>
    </row>
    <row r="529" ht="12.75" customHeight="1">
      <c r="A529" s="163"/>
      <c r="B529" s="163"/>
      <c r="C529" s="163"/>
      <c r="D529" s="1"/>
      <c r="E529" s="163"/>
      <c r="F529" s="11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5"/>
      <c r="V529" s="165"/>
    </row>
    <row r="530" ht="12.75" customHeight="1">
      <c r="A530" s="163"/>
      <c r="B530" s="163"/>
      <c r="C530" s="163"/>
      <c r="D530" s="1"/>
      <c r="E530" s="163"/>
      <c r="F530" s="11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5"/>
      <c r="V530" s="165"/>
    </row>
    <row r="531" ht="12.75" customHeight="1">
      <c r="A531" s="163"/>
      <c r="B531" s="163"/>
      <c r="C531" s="163"/>
      <c r="D531" s="1"/>
      <c r="E531" s="163"/>
      <c r="F531" s="11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5"/>
      <c r="V531" s="165"/>
    </row>
    <row r="532" ht="12.75" customHeight="1">
      <c r="A532" s="163"/>
      <c r="B532" s="163"/>
      <c r="C532" s="163"/>
      <c r="D532" s="1"/>
      <c r="E532" s="163"/>
      <c r="F532" s="11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5"/>
      <c r="V532" s="165"/>
    </row>
    <row r="533" ht="12.75" customHeight="1">
      <c r="A533" s="163"/>
      <c r="B533" s="163"/>
      <c r="C533" s="163"/>
      <c r="D533" s="1"/>
      <c r="E533" s="163"/>
      <c r="F533" s="11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5"/>
      <c r="V533" s="165"/>
    </row>
    <row r="534" ht="12.75" customHeight="1">
      <c r="A534" s="163"/>
      <c r="B534" s="163"/>
      <c r="C534" s="163"/>
      <c r="D534" s="1"/>
      <c r="E534" s="163"/>
      <c r="F534" s="11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5"/>
      <c r="V534" s="165"/>
    </row>
    <row r="535" ht="12.75" customHeight="1">
      <c r="A535" s="163"/>
      <c r="B535" s="163"/>
      <c r="C535" s="163"/>
      <c r="D535" s="1"/>
      <c r="E535" s="163"/>
      <c r="F535" s="11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5"/>
      <c r="V535" s="165"/>
    </row>
    <row r="536" ht="12.75" customHeight="1">
      <c r="A536" s="163"/>
      <c r="B536" s="163"/>
      <c r="C536" s="163"/>
      <c r="D536" s="1"/>
      <c r="E536" s="163"/>
      <c r="F536" s="11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5"/>
      <c r="V536" s="165"/>
    </row>
    <row r="537" ht="12.75" customHeight="1">
      <c r="A537" s="163"/>
      <c r="B537" s="163"/>
      <c r="C537" s="163"/>
      <c r="D537" s="1"/>
      <c r="E537" s="163"/>
      <c r="F537" s="11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5"/>
      <c r="V537" s="165"/>
    </row>
    <row r="538" ht="12.75" customHeight="1">
      <c r="A538" s="163"/>
      <c r="B538" s="163"/>
      <c r="C538" s="163"/>
      <c r="D538" s="1"/>
      <c r="E538" s="163"/>
      <c r="F538" s="11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5"/>
      <c r="V538" s="165"/>
    </row>
    <row r="539" ht="12.75" customHeight="1">
      <c r="A539" s="163"/>
      <c r="B539" s="163"/>
      <c r="C539" s="163"/>
      <c r="D539" s="1"/>
      <c r="E539" s="163"/>
      <c r="F539" s="11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5"/>
      <c r="V539" s="165"/>
    </row>
    <row r="540" ht="12.75" customHeight="1">
      <c r="A540" s="163"/>
      <c r="B540" s="163"/>
      <c r="C540" s="163"/>
      <c r="D540" s="1"/>
      <c r="E540" s="163"/>
      <c r="F540" s="11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5"/>
      <c r="V540" s="165"/>
    </row>
    <row r="541" ht="12.75" customHeight="1">
      <c r="A541" s="163"/>
      <c r="B541" s="163"/>
      <c r="C541" s="163"/>
      <c r="D541" s="1"/>
      <c r="E541" s="163"/>
      <c r="F541" s="11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5"/>
      <c r="V541" s="165"/>
    </row>
    <row r="542" ht="12.75" customHeight="1">
      <c r="A542" s="163"/>
      <c r="B542" s="163"/>
      <c r="C542" s="163"/>
      <c r="D542" s="1"/>
      <c r="E542" s="163"/>
      <c r="F542" s="11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5"/>
      <c r="V542" s="165"/>
    </row>
    <row r="543" ht="12.75" customHeight="1">
      <c r="A543" s="163"/>
      <c r="B543" s="163"/>
      <c r="C543" s="163"/>
      <c r="D543" s="1"/>
      <c r="E543" s="163"/>
      <c r="F543" s="11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5"/>
      <c r="V543" s="165"/>
    </row>
    <row r="544" ht="12.75" customHeight="1">
      <c r="A544" s="163"/>
      <c r="B544" s="163"/>
      <c r="C544" s="163"/>
      <c r="D544" s="1"/>
      <c r="E544" s="163"/>
      <c r="F544" s="11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5"/>
      <c r="V544" s="165"/>
    </row>
    <row r="545" ht="12.75" customHeight="1">
      <c r="A545" s="163"/>
      <c r="B545" s="163"/>
      <c r="C545" s="163"/>
      <c r="D545" s="1"/>
      <c r="E545" s="163"/>
      <c r="F545" s="11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5"/>
      <c r="V545" s="165"/>
    </row>
    <row r="546" ht="12.75" customHeight="1">
      <c r="A546" s="163"/>
      <c r="B546" s="163"/>
      <c r="C546" s="163"/>
      <c r="D546" s="1"/>
      <c r="E546" s="163"/>
      <c r="F546" s="11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5"/>
      <c r="V546" s="165"/>
    </row>
    <row r="547" ht="12.75" customHeight="1">
      <c r="A547" s="163"/>
      <c r="B547" s="163"/>
      <c r="C547" s="163"/>
      <c r="D547" s="1"/>
      <c r="E547" s="163"/>
      <c r="F547" s="11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5"/>
      <c r="V547" s="165"/>
    </row>
    <row r="548" ht="12.75" customHeight="1">
      <c r="A548" s="163"/>
      <c r="B548" s="163"/>
      <c r="C548" s="163"/>
      <c r="D548" s="1"/>
      <c r="E548" s="163"/>
      <c r="F548" s="11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5"/>
      <c r="V548" s="165"/>
    </row>
    <row r="549" ht="12.75" customHeight="1">
      <c r="A549" s="163"/>
      <c r="B549" s="163"/>
      <c r="C549" s="163"/>
      <c r="D549" s="1"/>
      <c r="E549" s="163"/>
      <c r="F549" s="11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5"/>
      <c r="V549" s="165"/>
    </row>
    <row r="550" ht="12.75" customHeight="1">
      <c r="A550" s="163"/>
      <c r="B550" s="163"/>
      <c r="C550" s="163"/>
      <c r="D550" s="1"/>
      <c r="E550" s="163"/>
      <c r="F550" s="11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5"/>
      <c r="V550" s="165"/>
    </row>
    <row r="551" ht="12.75" customHeight="1">
      <c r="A551" s="163"/>
      <c r="B551" s="163"/>
      <c r="C551" s="163"/>
      <c r="D551" s="1"/>
      <c r="E551" s="163"/>
      <c r="F551" s="11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5"/>
      <c r="V551" s="165"/>
    </row>
    <row r="552" ht="12.75" customHeight="1">
      <c r="A552" s="163"/>
      <c r="B552" s="163"/>
      <c r="C552" s="163"/>
      <c r="D552" s="1"/>
      <c r="E552" s="163"/>
      <c r="F552" s="11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5"/>
      <c r="V552" s="165"/>
    </row>
    <row r="553" ht="12.75" customHeight="1">
      <c r="A553" s="163"/>
      <c r="B553" s="163"/>
      <c r="C553" s="163"/>
      <c r="D553" s="1"/>
      <c r="E553" s="163"/>
      <c r="F553" s="11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5"/>
      <c r="V553" s="165"/>
    </row>
    <row r="554" ht="12.75" customHeight="1">
      <c r="A554" s="163"/>
      <c r="B554" s="163"/>
      <c r="C554" s="163"/>
      <c r="D554" s="1"/>
      <c r="E554" s="163"/>
      <c r="F554" s="11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5"/>
      <c r="V554" s="165"/>
    </row>
    <row r="555" ht="12.75" customHeight="1">
      <c r="A555" s="163"/>
      <c r="B555" s="163"/>
      <c r="C555" s="163"/>
      <c r="D555" s="1"/>
      <c r="E555" s="163"/>
      <c r="F555" s="11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5"/>
      <c r="V555" s="165"/>
    </row>
    <row r="556" ht="12.75" customHeight="1">
      <c r="A556" s="163"/>
      <c r="B556" s="163"/>
      <c r="C556" s="163"/>
      <c r="D556" s="1"/>
      <c r="E556" s="163"/>
      <c r="F556" s="11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5"/>
      <c r="V556" s="165"/>
    </row>
    <row r="557" ht="12.75" customHeight="1">
      <c r="A557" s="163"/>
      <c r="B557" s="163"/>
      <c r="C557" s="163"/>
      <c r="D557" s="1"/>
      <c r="E557" s="163"/>
      <c r="F557" s="11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5"/>
      <c r="V557" s="165"/>
    </row>
    <row r="558" ht="12.75" customHeight="1">
      <c r="A558" s="163"/>
      <c r="B558" s="163"/>
      <c r="C558" s="163"/>
      <c r="D558" s="1"/>
      <c r="E558" s="163"/>
      <c r="F558" s="11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5"/>
      <c r="V558" s="165"/>
    </row>
    <row r="559" ht="12.75" customHeight="1">
      <c r="A559" s="163"/>
      <c r="B559" s="163"/>
      <c r="C559" s="163"/>
      <c r="D559" s="1"/>
      <c r="E559" s="163"/>
      <c r="F559" s="11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5"/>
      <c r="V559" s="165"/>
    </row>
    <row r="560" ht="12.75" customHeight="1">
      <c r="A560" s="107"/>
      <c r="B560" s="107"/>
      <c r="C560" s="107"/>
      <c r="D560" s="102"/>
      <c r="E560" s="107"/>
      <c r="F560" s="108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10"/>
      <c r="V560" s="110"/>
    </row>
    <row r="561" ht="12.75" customHeight="1">
      <c r="A561" s="107"/>
      <c r="B561" s="107"/>
      <c r="C561" s="107"/>
      <c r="D561" s="102"/>
      <c r="E561" s="107"/>
      <c r="F561" s="108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10"/>
      <c r="V561" s="110"/>
    </row>
    <row r="562" ht="12.75" customHeight="1">
      <c r="A562" s="107"/>
      <c r="B562" s="107"/>
      <c r="C562" s="107"/>
      <c r="D562" s="102"/>
      <c r="E562" s="107"/>
      <c r="F562" s="108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10"/>
      <c r="V562" s="110"/>
    </row>
    <row r="563" ht="12.75" customHeight="1">
      <c r="A563" s="107"/>
      <c r="B563" s="107"/>
      <c r="C563" s="107"/>
      <c r="D563" s="102"/>
      <c r="E563" s="107"/>
      <c r="F563" s="108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10"/>
      <c r="V563" s="110"/>
    </row>
    <row r="564" ht="12.75" customHeight="1">
      <c r="A564" s="107"/>
      <c r="B564" s="107"/>
      <c r="C564" s="107"/>
      <c r="D564" s="102"/>
      <c r="E564" s="107"/>
      <c r="F564" s="108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10"/>
      <c r="V564" s="110"/>
    </row>
    <row r="565" ht="12.75" customHeight="1">
      <c r="A565" s="107"/>
      <c r="B565" s="107"/>
      <c r="C565" s="107"/>
      <c r="D565" s="102"/>
      <c r="E565" s="107"/>
      <c r="F565" s="108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10"/>
      <c r="V565" s="110"/>
    </row>
    <row r="566" ht="12.75" customHeight="1">
      <c r="A566" s="107"/>
      <c r="B566" s="107"/>
      <c r="C566" s="107"/>
      <c r="D566" s="102"/>
      <c r="E566" s="107"/>
      <c r="F566" s="108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10"/>
      <c r="V566" s="110"/>
    </row>
    <row r="567" ht="12.75" customHeight="1">
      <c r="A567" s="107"/>
      <c r="B567" s="107"/>
      <c r="C567" s="107"/>
      <c r="D567" s="102"/>
      <c r="E567" s="107"/>
      <c r="F567" s="108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10"/>
      <c r="V567" s="110"/>
    </row>
    <row r="568" ht="12.75" customHeight="1">
      <c r="A568" s="107"/>
      <c r="B568" s="107"/>
      <c r="C568" s="107"/>
      <c r="D568" s="102"/>
      <c r="E568" s="107"/>
      <c r="F568" s="108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10"/>
      <c r="V568" s="110"/>
    </row>
    <row r="569" ht="12.75" customHeight="1">
      <c r="A569" s="107"/>
      <c r="B569" s="107"/>
      <c r="C569" s="107"/>
      <c r="D569" s="102"/>
      <c r="E569" s="107"/>
      <c r="F569" s="108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10"/>
      <c r="V569" s="110"/>
    </row>
    <row r="570" ht="12.75" customHeight="1">
      <c r="A570" s="107"/>
      <c r="B570" s="107"/>
      <c r="C570" s="107"/>
      <c r="D570" s="102"/>
      <c r="E570" s="107"/>
      <c r="F570" s="108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10"/>
      <c r="V570" s="110"/>
    </row>
    <row r="571" ht="12.75" customHeight="1">
      <c r="A571" s="107"/>
      <c r="B571" s="107"/>
      <c r="C571" s="107"/>
      <c r="D571" s="102"/>
      <c r="E571" s="107"/>
      <c r="F571" s="108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10"/>
      <c r="V571" s="110"/>
    </row>
    <row r="572" ht="12.75" customHeight="1">
      <c r="A572" s="107"/>
      <c r="B572" s="107"/>
      <c r="C572" s="107"/>
      <c r="D572" s="102"/>
      <c r="E572" s="107"/>
      <c r="F572" s="108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10"/>
      <c r="V572" s="110"/>
    </row>
    <row r="573" ht="12.75" customHeight="1">
      <c r="A573" s="107"/>
      <c r="B573" s="107"/>
      <c r="C573" s="107"/>
      <c r="D573" s="102"/>
      <c r="E573" s="107"/>
      <c r="F573" s="108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10"/>
      <c r="V573" s="110"/>
    </row>
    <row r="574" ht="12.75" customHeight="1">
      <c r="A574" s="107"/>
      <c r="B574" s="107"/>
      <c r="C574" s="107"/>
      <c r="D574" s="102"/>
      <c r="E574" s="107"/>
      <c r="F574" s="108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10"/>
      <c r="V574" s="110"/>
    </row>
    <row r="575" ht="12.75" customHeight="1">
      <c r="A575" s="107"/>
      <c r="B575" s="107"/>
      <c r="C575" s="107"/>
      <c r="D575" s="102"/>
      <c r="E575" s="107"/>
      <c r="F575" s="108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10"/>
      <c r="V575" s="110"/>
    </row>
    <row r="576" ht="12.75" customHeight="1">
      <c r="A576" s="107"/>
      <c r="B576" s="107"/>
      <c r="C576" s="107"/>
      <c r="D576" s="102"/>
      <c r="E576" s="107"/>
      <c r="F576" s="108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10"/>
      <c r="V576" s="110"/>
    </row>
    <row r="577" ht="12.75" customHeight="1">
      <c r="A577" s="107"/>
      <c r="B577" s="107"/>
      <c r="C577" s="107"/>
      <c r="D577" s="102"/>
      <c r="E577" s="107"/>
      <c r="F577" s="108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10"/>
      <c r="V577" s="110"/>
    </row>
    <row r="578" ht="12.75" customHeight="1">
      <c r="A578" s="107"/>
      <c r="B578" s="107"/>
      <c r="C578" s="107"/>
      <c r="D578" s="102"/>
      <c r="E578" s="107"/>
      <c r="F578" s="108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10"/>
      <c r="V578" s="110"/>
    </row>
    <row r="579" ht="12.75" customHeight="1">
      <c r="A579" s="107"/>
      <c r="B579" s="107"/>
      <c r="C579" s="107"/>
      <c r="D579" s="102"/>
      <c r="E579" s="107"/>
      <c r="F579" s="108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10"/>
      <c r="V579" s="110"/>
    </row>
    <row r="580" ht="12.75" customHeight="1">
      <c r="A580" s="107"/>
      <c r="B580" s="107"/>
      <c r="C580" s="107"/>
      <c r="D580" s="102"/>
      <c r="E580" s="107"/>
      <c r="F580" s="108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10"/>
      <c r="V580" s="110"/>
    </row>
    <row r="581" ht="12.75" customHeight="1">
      <c r="A581" s="107"/>
      <c r="B581" s="107"/>
      <c r="C581" s="107"/>
      <c r="D581" s="102"/>
      <c r="E581" s="107"/>
      <c r="F581" s="108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10"/>
      <c r="V581" s="110"/>
    </row>
    <row r="582" ht="12.75" customHeight="1">
      <c r="A582" s="107"/>
      <c r="B582" s="107"/>
      <c r="C582" s="107"/>
      <c r="D582" s="102"/>
      <c r="E582" s="107"/>
      <c r="F582" s="108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10"/>
      <c r="V582" s="110"/>
    </row>
    <row r="583" ht="12.75" customHeight="1">
      <c r="A583" s="107"/>
      <c r="B583" s="107"/>
      <c r="C583" s="107"/>
      <c r="D583" s="102"/>
      <c r="E583" s="107"/>
      <c r="F583" s="108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10"/>
      <c r="V583" s="110"/>
    </row>
    <row r="584" ht="12.75" customHeight="1">
      <c r="A584" s="107"/>
      <c r="B584" s="107"/>
      <c r="C584" s="107"/>
      <c r="D584" s="102"/>
      <c r="E584" s="107"/>
      <c r="F584" s="108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10"/>
      <c r="V584" s="110"/>
    </row>
    <row r="585" ht="12.75" customHeight="1">
      <c r="A585" s="107"/>
      <c r="B585" s="107"/>
      <c r="C585" s="107"/>
      <c r="D585" s="102"/>
      <c r="E585" s="107"/>
      <c r="F585" s="108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10"/>
      <c r="V585" s="110"/>
    </row>
    <row r="586" ht="12.75" customHeight="1">
      <c r="A586" s="107"/>
      <c r="B586" s="107"/>
      <c r="C586" s="107"/>
      <c r="D586" s="102"/>
      <c r="E586" s="107"/>
      <c r="F586" s="108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10"/>
      <c r="V586" s="110"/>
    </row>
    <row r="587" ht="12.75" customHeight="1">
      <c r="A587" s="107"/>
      <c r="B587" s="107"/>
      <c r="C587" s="107"/>
      <c r="D587" s="102"/>
      <c r="E587" s="107"/>
      <c r="F587" s="108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10"/>
      <c r="V587" s="110"/>
    </row>
    <row r="588" ht="12.75" customHeight="1">
      <c r="A588" s="107"/>
      <c r="B588" s="107"/>
      <c r="C588" s="107"/>
      <c r="D588" s="102"/>
      <c r="E588" s="107"/>
      <c r="F588" s="108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10"/>
      <c r="V588" s="110"/>
    </row>
    <row r="589" ht="12.75" customHeight="1">
      <c r="A589" s="107"/>
      <c r="B589" s="107"/>
      <c r="C589" s="107"/>
      <c r="D589" s="102"/>
      <c r="E589" s="107"/>
      <c r="F589" s="108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10"/>
      <c r="V589" s="110"/>
    </row>
    <row r="590" ht="12.75" customHeight="1">
      <c r="A590" s="107"/>
      <c r="B590" s="107"/>
      <c r="C590" s="107"/>
      <c r="D590" s="102"/>
      <c r="E590" s="107"/>
      <c r="F590" s="108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10"/>
      <c r="V590" s="110"/>
    </row>
    <row r="591" ht="12.75" customHeight="1">
      <c r="A591" s="107"/>
      <c r="B591" s="107"/>
      <c r="C591" s="107"/>
      <c r="D591" s="102"/>
      <c r="E591" s="107"/>
      <c r="F591" s="108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10"/>
      <c r="V591" s="110"/>
    </row>
    <row r="592" ht="12.75" customHeight="1">
      <c r="A592" s="107"/>
      <c r="B592" s="107"/>
      <c r="C592" s="107"/>
      <c r="D592" s="102"/>
      <c r="E592" s="107"/>
      <c r="F592" s="108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10"/>
      <c r="V592" s="110"/>
    </row>
    <row r="593" ht="12.75" customHeight="1">
      <c r="A593" s="107"/>
      <c r="B593" s="107"/>
      <c r="C593" s="107"/>
      <c r="D593" s="102"/>
      <c r="E593" s="107"/>
      <c r="F593" s="108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10"/>
      <c r="V593" s="110"/>
    </row>
    <row r="594" ht="12.75" customHeight="1">
      <c r="A594" s="107"/>
      <c r="B594" s="107"/>
      <c r="C594" s="107"/>
      <c r="D594" s="102"/>
      <c r="E594" s="107"/>
      <c r="F594" s="108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10"/>
      <c r="V594" s="110"/>
    </row>
    <row r="595" ht="12.75" customHeight="1">
      <c r="A595" s="107"/>
      <c r="B595" s="107"/>
      <c r="C595" s="107"/>
      <c r="D595" s="102"/>
      <c r="E595" s="107"/>
      <c r="F595" s="108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10"/>
      <c r="V595" s="110"/>
    </row>
    <row r="596" ht="12.75" customHeight="1">
      <c r="A596" s="107"/>
      <c r="B596" s="107"/>
      <c r="C596" s="107"/>
      <c r="D596" s="102"/>
      <c r="E596" s="107"/>
      <c r="F596" s="108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10"/>
      <c r="V596" s="110"/>
    </row>
    <row r="597" ht="12.75" customHeight="1">
      <c r="A597" s="107"/>
      <c r="B597" s="107"/>
      <c r="C597" s="107"/>
      <c r="D597" s="102"/>
      <c r="E597" s="107"/>
      <c r="F597" s="108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10"/>
      <c r="V597" s="110"/>
    </row>
    <row r="598" ht="12.75" customHeight="1">
      <c r="A598" s="107"/>
      <c r="B598" s="107"/>
      <c r="C598" s="107"/>
      <c r="D598" s="102"/>
      <c r="E598" s="107"/>
      <c r="F598" s="108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10"/>
      <c r="V598" s="110"/>
    </row>
    <row r="599" ht="12.75" customHeight="1">
      <c r="A599" s="107"/>
      <c r="B599" s="107"/>
      <c r="C599" s="107"/>
      <c r="D599" s="102"/>
      <c r="E599" s="107"/>
      <c r="F599" s="108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10"/>
      <c r="V599" s="110"/>
    </row>
    <row r="600" ht="12.75" customHeight="1">
      <c r="A600" s="107"/>
      <c r="B600" s="107"/>
      <c r="C600" s="107"/>
      <c r="D600" s="102"/>
      <c r="E600" s="107"/>
      <c r="F600" s="108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10"/>
      <c r="V600" s="110"/>
    </row>
    <row r="601" ht="12.75" customHeight="1">
      <c r="A601" s="107"/>
      <c r="B601" s="107"/>
      <c r="C601" s="107"/>
      <c r="D601" s="102"/>
      <c r="E601" s="107"/>
      <c r="F601" s="108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10"/>
      <c r="V601" s="110"/>
    </row>
    <row r="602" ht="12.75" customHeight="1">
      <c r="A602" s="107"/>
      <c r="B602" s="107"/>
      <c r="C602" s="107"/>
      <c r="D602" s="102"/>
      <c r="E602" s="107"/>
      <c r="F602" s="108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10"/>
      <c r="V602" s="110"/>
    </row>
    <row r="603" ht="12.75" customHeight="1">
      <c r="A603" s="107"/>
      <c r="B603" s="107"/>
      <c r="C603" s="107"/>
      <c r="D603" s="102"/>
      <c r="E603" s="107"/>
      <c r="F603" s="108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10"/>
      <c r="V603" s="110"/>
    </row>
    <row r="604" ht="12.75" customHeight="1">
      <c r="A604" s="107"/>
      <c r="B604" s="107"/>
      <c r="C604" s="107"/>
      <c r="D604" s="102"/>
      <c r="E604" s="107"/>
      <c r="F604" s="108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10"/>
      <c r="V604" s="110"/>
    </row>
    <row r="605" ht="12.75" customHeight="1">
      <c r="A605" s="107"/>
      <c r="B605" s="107"/>
      <c r="C605" s="107"/>
      <c r="D605" s="102"/>
      <c r="E605" s="107"/>
      <c r="F605" s="108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10"/>
      <c r="V605" s="110"/>
    </row>
    <row r="606" ht="12.75" customHeight="1">
      <c r="A606" s="107"/>
      <c r="B606" s="107"/>
      <c r="C606" s="107"/>
      <c r="D606" s="102"/>
      <c r="E606" s="107"/>
      <c r="F606" s="108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10"/>
      <c r="V606" s="110"/>
    </row>
    <row r="607" ht="12.75" customHeight="1">
      <c r="A607" s="107"/>
      <c r="B607" s="107"/>
      <c r="C607" s="107"/>
      <c r="D607" s="102"/>
      <c r="E607" s="107"/>
      <c r="F607" s="108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10"/>
      <c r="V607" s="110"/>
    </row>
    <row r="608" ht="12.75" customHeight="1">
      <c r="A608" s="107"/>
      <c r="B608" s="107"/>
      <c r="C608" s="107"/>
      <c r="D608" s="102"/>
      <c r="E608" s="107"/>
      <c r="F608" s="108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10"/>
      <c r="V608" s="110"/>
    </row>
    <row r="609" ht="12.75" customHeight="1">
      <c r="A609" s="107"/>
      <c r="B609" s="107"/>
      <c r="C609" s="107"/>
      <c r="D609" s="102"/>
      <c r="E609" s="107"/>
      <c r="F609" s="108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10"/>
      <c r="V609" s="110"/>
    </row>
    <row r="610" ht="12.75" customHeight="1">
      <c r="A610" s="107"/>
      <c r="B610" s="107"/>
      <c r="C610" s="107"/>
      <c r="D610" s="102"/>
      <c r="E610" s="107"/>
      <c r="F610" s="108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10"/>
      <c r="V610" s="110"/>
    </row>
    <row r="611" ht="12.75" customHeight="1">
      <c r="A611" s="107"/>
      <c r="B611" s="107"/>
      <c r="C611" s="107"/>
      <c r="D611" s="102"/>
      <c r="E611" s="107"/>
      <c r="F611" s="108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10"/>
      <c r="V611" s="110"/>
    </row>
    <row r="612" ht="12.75" customHeight="1">
      <c r="A612" s="107"/>
      <c r="B612" s="107"/>
      <c r="C612" s="107"/>
      <c r="D612" s="102"/>
      <c r="E612" s="107"/>
      <c r="F612" s="108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10"/>
      <c r="V612" s="110"/>
    </row>
    <row r="613" ht="12.75" customHeight="1">
      <c r="A613" s="107"/>
      <c r="B613" s="107"/>
      <c r="C613" s="107"/>
      <c r="D613" s="102"/>
      <c r="E613" s="107"/>
      <c r="F613" s="108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10"/>
      <c r="V613" s="110"/>
    </row>
    <row r="614" ht="12.75" customHeight="1">
      <c r="A614" s="107"/>
      <c r="B614" s="107"/>
      <c r="C614" s="107"/>
      <c r="D614" s="102"/>
      <c r="E614" s="107"/>
      <c r="F614" s="108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10"/>
      <c r="V614" s="110"/>
    </row>
    <row r="615" ht="12.75" customHeight="1">
      <c r="A615" s="107"/>
      <c r="B615" s="107"/>
      <c r="C615" s="107"/>
      <c r="D615" s="102"/>
      <c r="E615" s="107"/>
      <c r="F615" s="108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10"/>
      <c r="V615" s="110"/>
    </row>
    <row r="616" ht="12.75" customHeight="1">
      <c r="A616" s="107"/>
      <c r="B616" s="107"/>
      <c r="C616" s="107"/>
      <c r="D616" s="102"/>
      <c r="E616" s="107"/>
      <c r="F616" s="108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10"/>
      <c r="V616" s="110"/>
    </row>
    <row r="617" ht="12.75" customHeight="1">
      <c r="A617" s="107"/>
      <c r="B617" s="107"/>
      <c r="C617" s="107"/>
      <c r="D617" s="102"/>
      <c r="E617" s="107"/>
      <c r="F617" s="108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10"/>
      <c r="V617" s="110"/>
    </row>
    <row r="618" ht="12.75" customHeight="1">
      <c r="A618" s="107"/>
      <c r="B618" s="107"/>
      <c r="C618" s="107"/>
      <c r="D618" s="102"/>
      <c r="E618" s="107"/>
      <c r="F618" s="108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10"/>
      <c r="V618" s="110"/>
    </row>
    <row r="619" ht="12.75" customHeight="1">
      <c r="A619" s="107"/>
      <c r="B619" s="107"/>
      <c r="C619" s="107"/>
      <c r="D619" s="102"/>
      <c r="E619" s="107"/>
      <c r="F619" s="108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10"/>
      <c r="V619" s="110"/>
    </row>
    <row r="620" ht="12.75" customHeight="1">
      <c r="A620" s="107"/>
      <c r="B620" s="107"/>
      <c r="C620" s="107"/>
      <c r="D620" s="102"/>
      <c r="E620" s="107"/>
      <c r="F620" s="108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10"/>
      <c r="V620" s="110"/>
    </row>
    <row r="621" ht="12.75" customHeight="1">
      <c r="A621" s="107"/>
      <c r="B621" s="107"/>
      <c r="C621" s="107"/>
      <c r="D621" s="102"/>
      <c r="E621" s="107"/>
      <c r="F621" s="108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10"/>
      <c r="V621" s="110"/>
    </row>
    <row r="622" ht="12.75" customHeight="1">
      <c r="A622" s="107"/>
      <c r="B622" s="107"/>
      <c r="C622" s="107"/>
      <c r="D622" s="102"/>
      <c r="E622" s="107"/>
      <c r="F622" s="108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10"/>
      <c r="V622" s="110"/>
    </row>
    <row r="623" ht="12.75" customHeight="1">
      <c r="A623" s="107"/>
      <c r="B623" s="107"/>
      <c r="C623" s="107"/>
      <c r="D623" s="102"/>
      <c r="E623" s="107"/>
      <c r="F623" s="108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10"/>
      <c r="V623" s="110"/>
    </row>
    <row r="624" ht="12.75" customHeight="1">
      <c r="A624" s="107"/>
      <c r="B624" s="107"/>
      <c r="C624" s="107"/>
      <c r="D624" s="102"/>
      <c r="E624" s="107"/>
      <c r="F624" s="108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10"/>
      <c r="V624" s="110"/>
    </row>
    <row r="625" ht="12.75" customHeight="1">
      <c r="A625" s="107"/>
      <c r="B625" s="107"/>
      <c r="C625" s="107"/>
      <c r="D625" s="102"/>
      <c r="E625" s="107"/>
      <c r="F625" s="108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10"/>
      <c r="V625" s="110"/>
    </row>
    <row r="626" ht="12.75" customHeight="1">
      <c r="A626" s="107"/>
      <c r="B626" s="107"/>
      <c r="C626" s="107"/>
      <c r="D626" s="102"/>
      <c r="E626" s="107"/>
      <c r="F626" s="108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10"/>
      <c r="V626" s="110"/>
    </row>
    <row r="627" ht="12.75" customHeight="1">
      <c r="A627" s="107"/>
      <c r="B627" s="107"/>
      <c r="C627" s="107"/>
      <c r="D627" s="102"/>
      <c r="E627" s="107"/>
      <c r="F627" s="108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10"/>
      <c r="V627" s="110"/>
    </row>
    <row r="628" ht="12.75" customHeight="1">
      <c r="A628" s="107"/>
      <c r="B628" s="107"/>
      <c r="C628" s="107"/>
      <c r="D628" s="102"/>
      <c r="E628" s="107"/>
      <c r="F628" s="108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10"/>
      <c r="V628" s="110"/>
    </row>
    <row r="629" ht="12.75" customHeight="1">
      <c r="A629" s="107"/>
      <c r="B629" s="107"/>
      <c r="C629" s="107"/>
      <c r="D629" s="102"/>
      <c r="E629" s="107"/>
      <c r="F629" s="108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10"/>
      <c r="V629" s="110"/>
    </row>
    <row r="630" ht="12.75" customHeight="1">
      <c r="A630" s="107"/>
      <c r="B630" s="107"/>
      <c r="C630" s="107"/>
      <c r="D630" s="102"/>
      <c r="E630" s="107"/>
      <c r="F630" s="108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10"/>
      <c r="V630" s="110"/>
    </row>
    <row r="631" ht="12.75" customHeight="1">
      <c r="A631" s="107"/>
      <c r="B631" s="107"/>
      <c r="C631" s="107"/>
      <c r="D631" s="102"/>
      <c r="E631" s="107"/>
      <c r="F631" s="108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10"/>
      <c r="V631" s="110"/>
    </row>
    <row r="632" ht="12.75" customHeight="1">
      <c r="A632" s="107"/>
      <c r="B632" s="107"/>
      <c r="C632" s="107"/>
      <c r="D632" s="102"/>
      <c r="E632" s="107"/>
      <c r="F632" s="108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10"/>
      <c r="V632" s="110"/>
    </row>
    <row r="633" ht="12.75" customHeight="1">
      <c r="A633" s="107"/>
      <c r="B633" s="107"/>
      <c r="C633" s="107"/>
      <c r="D633" s="102"/>
      <c r="E633" s="107"/>
      <c r="F633" s="108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10"/>
      <c r="V633" s="110"/>
    </row>
    <row r="634" ht="12.75" customHeight="1">
      <c r="A634" s="107"/>
      <c r="B634" s="107"/>
      <c r="C634" s="107"/>
      <c r="D634" s="102"/>
      <c r="E634" s="107"/>
      <c r="F634" s="108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10"/>
      <c r="V634" s="110"/>
    </row>
    <row r="635" ht="12.75" customHeight="1">
      <c r="A635" s="107"/>
      <c r="B635" s="107"/>
      <c r="C635" s="107"/>
      <c r="D635" s="102"/>
      <c r="E635" s="107"/>
      <c r="F635" s="108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10"/>
      <c r="V635" s="110"/>
    </row>
    <row r="636" ht="12.75" customHeight="1">
      <c r="A636" s="107"/>
      <c r="B636" s="107"/>
      <c r="C636" s="107"/>
      <c r="D636" s="102"/>
      <c r="E636" s="107"/>
      <c r="F636" s="108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10"/>
      <c r="V636" s="110"/>
    </row>
    <row r="637" ht="12.75" customHeight="1">
      <c r="A637" s="107"/>
      <c r="B637" s="107"/>
      <c r="C637" s="107"/>
      <c r="D637" s="102"/>
      <c r="E637" s="107"/>
      <c r="F637" s="108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10"/>
      <c r="V637" s="110"/>
    </row>
    <row r="638" ht="12.75" customHeight="1">
      <c r="A638" s="107"/>
      <c r="B638" s="107"/>
      <c r="C638" s="107"/>
      <c r="D638" s="102"/>
      <c r="E638" s="107"/>
      <c r="F638" s="108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10"/>
      <c r="V638" s="110"/>
    </row>
    <row r="639" ht="12.75" customHeight="1">
      <c r="A639" s="107"/>
      <c r="B639" s="107"/>
      <c r="C639" s="107"/>
      <c r="D639" s="102"/>
      <c r="E639" s="107"/>
      <c r="F639" s="108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10"/>
      <c r="V639" s="110"/>
    </row>
    <row r="640" ht="12.75" customHeight="1">
      <c r="A640" s="107"/>
      <c r="B640" s="107"/>
      <c r="C640" s="107"/>
      <c r="D640" s="102"/>
      <c r="E640" s="107"/>
      <c r="F640" s="108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10"/>
      <c r="V640" s="110"/>
    </row>
    <row r="641" ht="12.75" customHeight="1">
      <c r="A641" s="107"/>
      <c r="B641" s="107"/>
      <c r="C641" s="107"/>
      <c r="D641" s="102"/>
      <c r="E641" s="107"/>
      <c r="F641" s="108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10"/>
      <c r="V641" s="110"/>
    </row>
    <row r="642" ht="12.75" customHeight="1">
      <c r="A642" s="107"/>
      <c r="B642" s="107"/>
      <c r="C642" s="107"/>
      <c r="D642" s="102"/>
      <c r="E642" s="107"/>
      <c r="F642" s="108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10"/>
      <c r="V642" s="110"/>
    </row>
    <row r="643" ht="12.75" customHeight="1">
      <c r="A643" s="107"/>
      <c r="B643" s="107"/>
      <c r="C643" s="107"/>
      <c r="D643" s="102"/>
      <c r="E643" s="107"/>
      <c r="F643" s="108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10"/>
      <c r="V643" s="110"/>
    </row>
    <row r="644" ht="12.75" customHeight="1">
      <c r="A644" s="107"/>
      <c r="B644" s="107"/>
      <c r="C644" s="107"/>
      <c r="D644" s="102"/>
      <c r="E644" s="107"/>
      <c r="F644" s="108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10"/>
      <c r="V644" s="110"/>
    </row>
    <row r="645" ht="12.75" customHeight="1">
      <c r="A645" s="107"/>
      <c r="B645" s="107"/>
      <c r="C645" s="107"/>
      <c r="D645" s="102"/>
      <c r="E645" s="107"/>
      <c r="F645" s="108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10"/>
      <c r="V645" s="110"/>
    </row>
    <row r="646" ht="12.75" customHeight="1">
      <c r="A646" s="107"/>
      <c r="B646" s="107"/>
      <c r="C646" s="107"/>
      <c r="D646" s="102"/>
      <c r="E646" s="107"/>
      <c r="F646" s="108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10"/>
      <c r="V646" s="110"/>
    </row>
    <row r="647" ht="12.75" customHeight="1">
      <c r="A647" s="107"/>
      <c r="B647" s="107"/>
      <c r="C647" s="107"/>
      <c r="D647" s="102"/>
      <c r="E647" s="107"/>
      <c r="F647" s="108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10"/>
      <c r="V647" s="110"/>
    </row>
    <row r="648" ht="12.75" customHeight="1">
      <c r="A648" s="107"/>
      <c r="B648" s="107"/>
      <c r="C648" s="107"/>
      <c r="D648" s="102"/>
      <c r="E648" s="107"/>
      <c r="F648" s="108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10"/>
      <c r="V648" s="110"/>
    </row>
    <row r="649" ht="12.75" customHeight="1">
      <c r="A649" s="107"/>
      <c r="B649" s="107"/>
      <c r="C649" s="107"/>
      <c r="D649" s="102"/>
      <c r="E649" s="107"/>
      <c r="F649" s="108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10"/>
      <c r="V649" s="110"/>
    </row>
    <row r="650" ht="12.75" customHeight="1">
      <c r="A650" s="107"/>
      <c r="B650" s="107"/>
      <c r="C650" s="107"/>
      <c r="D650" s="102"/>
      <c r="E650" s="107"/>
      <c r="F650" s="108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10"/>
      <c r="V650" s="110"/>
    </row>
    <row r="651" ht="12.75" customHeight="1">
      <c r="A651" s="107"/>
      <c r="B651" s="107"/>
      <c r="C651" s="107"/>
      <c r="D651" s="102"/>
      <c r="E651" s="107"/>
      <c r="F651" s="108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10"/>
      <c r="V651" s="110"/>
    </row>
    <row r="652" ht="12.75" customHeight="1">
      <c r="A652" s="107"/>
      <c r="B652" s="107"/>
      <c r="C652" s="107"/>
      <c r="D652" s="102"/>
      <c r="E652" s="107"/>
      <c r="F652" s="108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10"/>
      <c r="V652" s="110"/>
    </row>
    <row r="653" ht="12.75" customHeight="1">
      <c r="A653" s="107"/>
      <c r="B653" s="107"/>
      <c r="C653" s="107"/>
      <c r="D653" s="102"/>
      <c r="E653" s="107"/>
      <c r="F653" s="108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10"/>
      <c r="V653" s="110"/>
    </row>
    <row r="654" ht="12.75" customHeight="1">
      <c r="A654" s="107"/>
      <c r="B654" s="107"/>
      <c r="C654" s="107"/>
      <c r="D654" s="102"/>
      <c r="E654" s="107"/>
      <c r="F654" s="108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10"/>
      <c r="V654" s="110"/>
    </row>
    <row r="655" ht="12.75" customHeight="1">
      <c r="A655" s="107"/>
      <c r="B655" s="107"/>
      <c r="C655" s="107"/>
      <c r="D655" s="102"/>
      <c r="E655" s="107"/>
      <c r="F655" s="108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10"/>
      <c r="V655" s="110"/>
    </row>
    <row r="656" ht="12.75" customHeight="1">
      <c r="A656" s="107"/>
      <c r="B656" s="107"/>
      <c r="C656" s="107"/>
      <c r="D656" s="102"/>
      <c r="E656" s="107"/>
      <c r="F656" s="108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10"/>
      <c r="V656" s="110"/>
    </row>
    <row r="657" ht="12.75" customHeight="1">
      <c r="A657" s="107"/>
      <c r="B657" s="107"/>
      <c r="C657" s="107"/>
      <c r="D657" s="102"/>
      <c r="E657" s="107"/>
      <c r="F657" s="108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10"/>
      <c r="V657" s="110"/>
    </row>
    <row r="658" ht="12.75" customHeight="1">
      <c r="A658" s="107"/>
      <c r="B658" s="107"/>
      <c r="C658" s="107"/>
      <c r="D658" s="102"/>
      <c r="E658" s="107"/>
      <c r="F658" s="108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10"/>
      <c r="V658" s="110"/>
    </row>
    <row r="659" ht="12.75" customHeight="1">
      <c r="A659" s="107"/>
      <c r="B659" s="107"/>
      <c r="C659" s="107"/>
      <c r="D659" s="102"/>
      <c r="E659" s="107"/>
      <c r="F659" s="108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10"/>
      <c r="V659" s="110"/>
    </row>
    <row r="660" ht="12.75" customHeight="1">
      <c r="A660" s="107"/>
      <c r="B660" s="107"/>
      <c r="C660" s="107"/>
      <c r="D660" s="102"/>
      <c r="E660" s="107"/>
      <c r="F660" s="108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10"/>
      <c r="V660" s="110"/>
    </row>
    <row r="661" ht="12.75" customHeight="1">
      <c r="A661" s="107"/>
      <c r="B661" s="107"/>
      <c r="C661" s="107"/>
      <c r="D661" s="102"/>
      <c r="E661" s="107"/>
      <c r="F661" s="108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10"/>
      <c r="V661" s="110"/>
    </row>
    <row r="662" ht="12.75" customHeight="1">
      <c r="A662" s="107"/>
      <c r="B662" s="107"/>
      <c r="C662" s="107"/>
      <c r="D662" s="102"/>
      <c r="E662" s="107"/>
      <c r="F662" s="108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10"/>
      <c r="V662" s="110"/>
    </row>
    <row r="663" ht="12.75" customHeight="1">
      <c r="A663" s="107"/>
      <c r="B663" s="107"/>
      <c r="C663" s="107"/>
      <c r="D663" s="102"/>
      <c r="E663" s="107"/>
      <c r="F663" s="108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10"/>
      <c r="V663" s="110"/>
    </row>
    <row r="664" ht="12.75" customHeight="1">
      <c r="A664" s="107"/>
      <c r="B664" s="107"/>
      <c r="C664" s="107"/>
      <c r="D664" s="102"/>
      <c r="E664" s="107"/>
      <c r="F664" s="108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10"/>
      <c r="V664" s="110"/>
    </row>
    <row r="665" ht="12.75" customHeight="1">
      <c r="A665" s="107"/>
      <c r="B665" s="107"/>
      <c r="C665" s="107"/>
      <c r="D665" s="102"/>
      <c r="E665" s="107"/>
      <c r="F665" s="108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10"/>
      <c r="V665" s="110"/>
    </row>
    <row r="666" ht="12.75" customHeight="1">
      <c r="A666" s="107"/>
      <c r="B666" s="107"/>
      <c r="C666" s="107"/>
      <c r="D666" s="102"/>
      <c r="E666" s="107"/>
      <c r="F666" s="108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10"/>
      <c r="V666" s="110"/>
    </row>
    <row r="667" ht="12.75" customHeight="1">
      <c r="A667" s="107"/>
      <c r="B667" s="107"/>
      <c r="C667" s="107"/>
      <c r="D667" s="102"/>
      <c r="E667" s="107"/>
      <c r="F667" s="108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10"/>
      <c r="V667" s="110"/>
    </row>
    <row r="668" ht="12.75" customHeight="1">
      <c r="A668" s="107"/>
      <c r="B668" s="107"/>
      <c r="C668" s="107"/>
      <c r="D668" s="102"/>
      <c r="E668" s="107"/>
      <c r="F668" s="108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10"/>
      <c r="V668" s="110"/>
    </row>
    <row r="669" ht="12.75" customHeight="1">
      <c r="A669" s="107"/>
      <c r="B669" s="107"/>
      <c r="C669" s="107"/>
      <c r="D669" s="102"/>
      <c r="E669" s="107"/>
      <c r="F669" s="108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10"/>
      <c r="V669" s="110"/>
    </row>
    <row r="670" ht="12.75" customHeight="1">
      <c r="A670" s="107"/>
      <c r="B670" s="107"/>
      <c r="C670" s="107"/>
      <c r="D670" s="102"/>
      <c r="E670" s="107"/>
      <c r="F670" s="108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10"/>
      <c r="V670" s="110"/>
    </row>
    <row r="671" ht="12.75" customHeight="1">
      <c r="A671" s="107"/>
      <c r="B671" s="107"/>
      <c r="C671" s="107"/>
      <c r="D671" s="102"/>
      <c r="E671" s="107"/>
      <c r="F671" s="108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10"/>
      <c r="V671" s="110"/>
    </row>
    <row r="672" ht="12.75" customHeight="1">
      <c r="A672" s="107"/>
      <c r="B672" s="107"/>
      <c r="C672" s="107"/>
      <c r="D672" s="102"/>
      <c r="E672" s="107"/>
      <c r="F672" s="108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10"/>
      <c r="V672" s="110"/>
    </row>
    <row r="673" ht="12.75" customHeight="1">
      <c r="A673" s="107"/>
      <c r="B673" s="107"/>
      <c r="C673" s="107"/>
      <c r="D673" s="102"/>
      <c r="E673" s="107"/>
      <c r="F673" s="108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10"/>
      <c r="V673" s="110"/>
    </row>
    <row r="674" ht="12.75" customHeight="1">
      <c r="A674" s="107"/>
      <c r="B674" s="107"/>
      <c r="C674" s="107"/>
      <c r="D674" s="102"/>
      <c r="E674" s="107"/>
      <c r="F674" s="108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10"/>
      <c r="V674" s="110"/>
    </row>
    <row r="675" ht="12.75" customHeight="1">
      <c r="A675" s="107"/>
      <c r="B675" s="107"/>
      <c r="C675" s="107"/>
      <c r="D675" s="102"/>
      <c r="E675" s="107"/>
      <c r="F675" s="108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10"/>
      <c r="V675" s="110"/>
    </row>
    <row r="676" ht="12.75" customHeight="1">
      <c r="A676" s="107"/>
      <c r="B676" s="107"/>
      <c r="C676" s="107"/>
      <c r="D676" s="102"/>
      <c r="E676" s="107"/>
      <c r="F676" s="108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10"/>
      <c r="V676" s="110"/>
    </row>
    <row r="677" ht="12.75" customHeight="1">
      <c r="A677" s="107"/>
      <c r="B677" s="107"/>
      <c r="C677" s="107"/>
      <c r="D677" s="102"/>
      <c r="E677" s="107"/>
      <c r="F677" s="108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10"/>
      <c r="V677" s="110"/>
    </row>
    <row r="678" ht="12.75" customHeight="1">
      <c r="A678" s="107"/>
      <c r="B678" s="107"/>
      <c r="C678" s="107"/>
      <c r="D678" s="102"/>
      <c r="E678" s="107"/>
      <c r="F678" s="108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10"/>
      <c r="V678" s="110"/>
    </row>
    <row r="679" ht="12.75" customHeight="1">
      <c r="A679" s="107"/>
      <c r="B679" s="107"/>
      <c r="C679" s="107"/>
      <c r="D679" s="102"/>
      <c r="E679" s="107"/>
      <c r="F679" s="108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10"/>
      <c r="V679" s="110"/>
    </row>
    <row r="680" ht="12.75" customHeight="1">
      <c r="A680" s="107"/>
      <c r="B680" s="107"/>
      <c r="C680" s="107"/>
      <c r="D680" s="102"/>
      <c r="E680" s="107"/>
      <c r="F680" s="108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10"/>
      <c r="V680" s="110"/>
    </row>
    <row r="681" ht="12.75" customHeight="1">
      <c r="A681" s="107"/>
      <c r="B681" s="107"/>
      <c r="C681" s="107"/>
      <c r="D681" s="102"/>
      <c r="E681" s="107"/>
      <c r="F681" s="108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10"/>
      <c r="V681" s="110"/>
    </row>
    <row r="682" ht="12.75" customHeight="1">
      <c r="A682" s="107"/>
      <c r="B682" s="107"/>
      <c r="C682" s="107"/>
      <c r="D682" s="102"/>
      <c r="E682" s="107"/>
      <c r="F682" s="108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10"/>
      <c r="V682" s="110"/>
    </row>
    <row r="683" ht="12.75" customHeight="1">
      <c r="A683" s="107"/>
      <c r="B683" s="107"/>
      <c r="C683" s="107"/>
      <c r="D683" s="102"/>
      <c r="E683" s="107"/>
      <c r="F683" s="108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10"/>
      <c r="V683" s="110"/>
    </row>
    <row r="684" ht="12.75" customHeight="1">
      <c r="A684" s="107"/>
      <c r="B684" s="107"/>
      <c r="C684" s="107"/>
      <c r="D684" s="102"/>
      <c r="E684" s="107"/>
      <c r="F684" s="108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10"/>
      <c r="V684" s="110"/>
    </row>
    <row r="685" ht="12.75" customHeight="1">
      <c r="A685" s="107"/>
      <c r="B685" s="107"/>
      <c r="C685" s="107"/>
      <c r="D685" s="102"/>
      <c r="E685" s="107"/>
      <c r="F685" s="108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10"/>
      <c r="V685" s="110"/>
    </row>
    <row r="686" ht="12.75" customHeight="1">
      <c r="A686" s="107"/>
      <c r="B686" s="107"/>
      <c r="C686" s="107"/>
      <c r="D686" s="102"/>
      <c r="E686" s="107"/>
      <c r="F686" s="108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10"/>
      <c r="V686" s="110"/>
    </row>
    <row r="687" ht="12.75" customHeight="1">
      <c r="A687" s="107"/>
      <c r="B687" s="107"/>
      <c r="C687" s="107"/>
      <c r="D687" s="102"/>
      <c r="E687" s="107"/>
      <c r="F687" s="108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10"/>
      <c r="V687" s="110"/>
    </row>
    <row r="688" ht="12.75" customHeight="1">
      <c r="A688" s="107"/>
      <c r="B688" s="107"/>
      <c r="C688" s="107"/>
      <c r="D688" s="102"/>
      <c r="E688" s="107"/>
      <c r="F688" s="108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10"/>
      <c r="V688" s="110"/>
    </row>
    <row r="689" ht="12.75" customHeight="1">
      <c r="A689" s="107"/>
      <c r="B689" s="107"/>
      <c r="C689" s="107"/>
      <c r="D689" s="102"/>
      <c r="E689" s="107"/>
      <c r="F689" s="108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10"/>
      <c r="V689" s="110"/>
    </row>
    <row r="690" ht="12.75" customHeight="1">
      <c r="A690" s="107"/>
      <c r="B690" s="107"/>
      <c r="C690" s="107"/>
      <c r="D690" s="102"/>
      <c r="E690" s="107"/>
      <c r="F690" s="108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10"/>
      <c r="V690" s="110"/>
    </row>
    <row r="691" ht="12.75" customHeight="1">
      <c r="A691" s="107"/>
      <c r="B691" s="107"/>
      <c r="C691" s="107"/>
      <c r="D691" s="102"/>
      <c r="E691" s="107"/>
      <c r="F691" s="108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10"/>
      <c r="V691" s="110"/>
    </row>
    <row r="692" ht="12.75" customHeight="1">
      <c r="A692" s="107"/>
      <c r="B692" s="107"/>
      <c r="C692" s="107"/>
      <c r="D692" s="102"/>
      <c r="E692" s="107"/>
      <c r="F692" s="108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10"/>
      <c r="V692" s="110"/>
    </row>
    <row r="693" ht="12.75" customHeight="1">
      <c r="A693" s="107"/>
      <c r="B693" s="107"/>
      <c r="C693" s="107"/>
      <c r="D693" s="102"/>
      <c r="E693" s="107"/>
      <c r="F693" s="108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10"/>
      <c r="V693" s="110"/>
    </row>
    <row r="694" ht="12.75" customHeight="1">
      <c r="A694" s="107"/>
      <c r="B694" s="107"/>
      <c r="C694" s="107"/>
      <c r="D694" s="102"/>
      <c r="E694" s="107"/>
      <c r="F694" s="108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10"/>
      <c r="V694" s="110"/>
    </row>
    <row r="695" ht="12.75" customHeight="1">
      <c r="A695" s="107"/>
      <c r="B695" s="107"/>
      <c r="C695" s="107"/>
      <c r="D695" s="102"/>
      <c r="E695" s="107"/>
      <c r="F695" s="108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10"/>
      <c r="V695" s="110"/>
    </row>
    <row r="696" ht="12.75" customHeight="1">
      <c r="A696" s="107"/>
      <c r="B696" s="107"/>
      <c r="C696" s="107"/>
      <c r="D696" s="102"/>
      <c r="E696" s="107"/>
      <c r="F696" s="108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10"/>
      <c r="V696" s="110"/>
    </row>
    <row r="697" ht="12.75" customHeight="1">
      <c r="A697" s="107"/>
      <c r="B697" s="107"/>
      <c r="C697" s="107"/>
      <c r="D697" s="102"/>
      <c r="E697" s="107"/>
      <c r="F697" s="108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10"/>
      <c r="V697" s="110"/>
    </row>
    <row r="698" ht="12.75" customHeight="1">
      <c r="A698" s="107"/>
      <c r="B698" s="107"/>
      <c r="C698" s="107"/>
      <c r="D698" s="102"/>
      <c r="E698" s="107"/>
      <c r="F698" s="108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10"/>
      <c r="V698" s="110"/>
    </row>
    <row r="699" ht="12.75" customHeight="1">
      <c r="A699" s="107"/>
      <c r="B699" s="107"/>
      <c r="C699" s="107"/>
      <c r="D699" s="102"/>
      <c r="E699" s="107"/>
      <c r="F699" s="108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10"/>
      <c r="V699" s="110"/>
    </row>
    <row r="700" ht="12.75" customHeight="1">
      <c r="A700" s="107"/>
      <c r="B700" s="107"/>
      <c r="C700" s="107"/>
      <c r="D700" s="102"/>
      <c r="E700" s="107"/>
      <c r="F700" s="108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10"/>
      <c r="V700" s="110"/>
    </row>
    <row r="701" ht="12.75" customHeight="1">
      <c r="A701" s="107"/>
      <c r="B701" s="107"/>
      <c r="C701" s="107"/>
      <c r="D701" s="102"/>
      <c r="E701" s="107"/>
      <c r="F701" s="108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10"/>
      <c r="V701" s="110"/>
    </row>
    <row r="702" ht="12.75" customHeight="1">
      <c r="A702" s="107"/>
      <c r="B702" s="107"/>
      <c r="C702" s="107"/>
      <c r="D702" s="102"/>
      <c r="E702" s="107"/>
      <c r="F702" s="108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10"/>
      <c r="V702" s="110"/>
    </row>
    <row r="703" ht="12.75" customHeight="1">
      <c r="A703" s="107"/>
      <c r="B703" s="107"/>
      <c r="C703" s="107"/>
      <c r="D703" s="102"/>
      <c r="E703" s="107"/>
      <c r="F703" s="108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10"/>
      <c r="V703" s="110"/>
    </row>
    <row r="704" ht="12.75" customHeight="1">
      <c r="A704" s="107"/>
      <c r="B704" s="107"/>
      <c r="C704" s="107"/>
      <c r="D704" s="102"/>
      <c r="E704" s="107"/>
      <c r="F704" s="108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10"/>
      <c r="V704" s="110"/>
    </row>
    <row r="705" ht="12.75" customHeight="1">
      <c r="A705" s="107"/>
      <c r="B705" s="107"/>
      <c r="C705" s="107"/>
      <c r="D705" s="102"/>
      <c r="E705" s="107"/>
      <c r="F705" s="108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10"/>
      <c r="V705" s="110"/>
    </row>
    <row r="706" ht="12.75" customHeight="1">
      <c r="A706" s="107"/>
      <c r="B706" s="107"/>
      <c r="C706" s="107"/>
      <c r="D706" s="102"/>
      <c r="E706" s="107"/>
      <c r="F706" s="108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10"/>
      <c r="V706" s="110"/>
    </row>
    <row r="707" ht="12.75" customHeight="1">
      <c r="A707" s="107"/>
      <c r="B707" s="107"/>
      <c r="C707" s="107"/>
      <c r="D707" s="102"/>
      <c r="E707" s="107"/>
      <c r="F707" s="108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10"/>
      <c r="V707" s="110"/>
    </row>
    <row r="708" ht="12.75" customHeight="1">
      <c r="A708" s="107"/>
      <c r="B708" s="107"/>
      <c r="C708" s="107"/>
      <c r="D708" s="102"/>
      <c r="E708" s="107"/>
      <c r="F708" s="108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10"/>
      <c r="V708" s="110"/>
    </row>
    <row r="709" ht="12.75" customHeight="1">
      <c r="A709" s="107"/>
      <c r="B709" s="107"/>
      <c r="C709" s="107"/>
      <c r="D709" s="102"/>
      <c r="E709" s="107"/>
      <c r="F709" s="108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10"/>
      <c r="V709" s="110"/>
    </row>
    <row r="710" ht="12.75" customHeight="1">
      <c r="A710" s="107"/>
      <c r="B710" s="107"/>
      <c r="C710" s="107"/>
      <c r="D710" s="102"/>
      <c r="E710" s="107"/>
      <c r="F710" s="108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10"/>
      <c r="V710" s="110"/>
    </row>
    <row r="711" ht="12.75" customHeight="1">
      <c r="A711" s="107"/>
      <c r="B711" s="107"/>
      <c r="C711" s="107"/>
      <c r="D711" s="102"/>
      <c r="E711" s="107"/>
      <c r="F711" s="108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10"/>
      <c r="V711" s="110"/>
    </row>
    <row r="712" ht="12.75" customHeight="1">
      <c r="A712" s="107"/>
      <c r="B712" s="107"/>
      <c r="C712" s="107"/>
      <c r="D712" s="102"/>
      <c r="E712" s="107"/>
      <c r="F712" s="108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10"/>
      <c r="V712" s="110"/>
    </row>
    <row r="713" ht="12.75" customHeight="1">
      <c r="A713" s="107"/>
      <c r="B713" s="107"/>
      <c r="C713" s="107"/>
      <c r="D713" s="102"/>
      <c r="E713" s="107"/>
      <c r="F713" s="108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10"/>
      <c r="V713" s="110"/>
    </row>
    <row r="714" ht="12.75" customHeight="1">
      <c r="A714" s="107"/>
      <c r="B714" s="107"/>
      <c r="C714" s="107"/>
      <c r="D714" s="102"/>
      <c r="E714" s="107"/>
      <c r="F714" s="108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10"/>
      <c r="V714" s="110"/>
    </row>
    <row r="715" ht="12.75" customHeight="1">
      <c r="A715" s="107"/>
      <c r="B715" s="107"/>
      <c r="C715" s="107"/>
      <c r="D715" s="102"/>
      <c r="E715" s="107"/>
      <c r="F715" s="108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10"/>
      <c r="V715" s="110"/>
    </row>
    <row r="716" ht="12.75" customHeight="1">
      <c r="A716" s="107"/>
      <c r="B716" s="107"/>
      <c r="C716" s="107"/>
      <c r="D716" s="102"/>
      <c r="E716" s="107"/>
      <c r="F716" s="108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10"/>
      <c r="V716" s="110"/>
    </row>
    <row r="717" ht="12.75" customHeight="1">
      <c r="A717" s="107"/>
      <c r="B717" s="107"/>
      <c r="C717" s="107"/>
      <c r="D717" s="102"/>
      <c r="E717" s="107"/>
      <c r="F717" s="108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10"/>
      <c r="V717" s="110"/>
    </row>
    <row r="718" ht="12.75" customHeight="1">
      <c r="A718" s="107"/>
      <c r="B718" s="107"/>
      <c r="C718" s="107"/>
      <c r="D718" s="102"/>
      <c r="E718" s="107"/>
      <c r="F718" s="108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10"/>
      <c r="V718" s="110"/>
    </row>
    <row r="719" ht="12.75" customHeight="1">
      <c r="A719" s="107"/>
      <c r="B719" s="107"/>
      <c r="C719" s="107"/>
      <c r="D719" s="102"/>
      <c r="E719" s="107"/>
      <c r="F719" s="108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10"/>
      <c r="V719" s="110"/>
    </row>
    <row r="720" ht="12.75" customHeight="1">
      <c r="A720" s="107"/>
      <c r="B720" s="107"/>
      <c r="C720" s="107"/>
      <c r="D720" s="102"/>
      <c r="E720" s="107"/>
      <c r="F720" s="108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10"/>
      <c r="V720" s="110"/>
    </row>
    <row r="721" ht="12.75" customHeight="1">
      <c r="A721" s="107"/>
      <c r="B721" s="107"/>
      <c r="C721" s="107"/>
      <c r="D721" s="102"/>
      <c r="E721" s="107"/>
      <c r="F721" s="108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10"/>
      <c r="V721" s="110"/>
    </row>
    <row r="722" ht="12.75" customHeight="1">
      <c r="A722" s="107"/>
      <c r="B722" s="107"/>
      <c r="C722" s="107"/>
      <c r="D722" s="102"/>
      <c r="E722" s="107"/>
      <c r="F722" s="108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10"/>
      <c r="V722" s="110"/>
    </row>
    <row r="723" ht="12.75" customHeight="1">
      <c r="A723" s="107"/>
      <c r="B723" s="107"/>
      <c r="C723" s="107"/>
      <c r="D723" s="102"/>
      <c r="E723" s="107"/>
      <c r="F723" s="108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10"/>
      <c r="V723" s="110"/>
    </row>
    <row r="724" ht="12.75" customHeight="1">
      <c r="A724" s="107"/>
      <c r="B724" s="107"/>
      <c r="C724" s="107"/>
      <c r="D724" s="102"/>
      <c r="E724" s="107"/>
      <c r="F724" s="108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10"/>
      <c r="V724" s="110"/>
    </row>
    <row r="725" ht="12.75" customHeight="1">
      <c r="A725" s="107"/>
      <c r="B725" s="107"/>
      <c r="C725" s="107"/>
      <c r="D725" s="102"/>
      <c r="E725" s="107"/>
      <c r="F725" s="108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10"/>
      <c r="V725" s="110"/>
    </row>
    <row r="726" ht="12.75" customHeight="1">
      <c r="A726" s="107"/>
      <c r="B726" s="107"/>
      <c r="C726" s="107"/>
      <c r="D726" s="102"/>
      <c r="E726" s="107"/>
      <c r="F726" s="108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10"/>
      <c r="V726" s="110"/>
    </row>
    <row r="727" ht="12.75" customHeight="1">
      <c r="A727" s="107"/>
      <c r="B727" s="107"/>
      <c r="C727" s="107"/>
      <c r="D727" s="102"/>
      <c r="E727" s="107"/>
      <c r="F727" s="108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10"/>
      <c r="V727" s="110"/>
    </row>
    <row r="728" ht="12.75" customHeight="1">
      <c r="A728" s="107"/>
      <c r="B728" s="107"/>
      <c r="C728" s="107"/>
      <c r="D728" s="102"/>
      <c r="E728" s="107"/>
      <c r="F728" s="108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10"/>
      <c r="V728" s="110"/>
    </row>
    <row r="729" ht="12.75" customHeight="1">
      <c r="A729" s="107"/>
      <c r="B729" s="107"/>
      <c r="C729" s="107"/>
      <c r="D729" s="102"/>
      <c r="E729" s="107"/>
      <c r="F729" s="108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10"/>
      <c r="V729" s="110"/>
    </row>
    <row r="730" ht="12.75" customHeight="1">
      <c r="A730" s="107"/>
      <c r="B730" s="107"/>
      <c r="C730" s="107"/>
      <c r="D730" s="102"/>
      <c r="E730" s="107"/>
      <c r="F730" s="108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10"/>
      <c r="V730" s="110"/>
    </row>
    <row r="731" ht="12.75" customHeight="1">
      <c r="A731" s="107"/>
      <c r="B731" s="107"/>
      <c r="C731" s="107"/>
      <c r="D731" s="102"/>
      <c r="E731" s="107"/>
      <c r="F731" s="108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10"/>
      <c r="V731" s="110"/>
    </row>
    <row r="732" ht="12.75" customHeight="1">
      <c r="A732" s="107"/>
      <c r="B732" s="107"/>
      <c r="C732" s="107"/>
      <c r="D732" s="102"/>
      <c r="E732" s="107"/>
      <c r="F732" s="108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10"/>
      <c r="V732" s="110"/>
    </row>
    <row r="733" ht="12.75" customHeight="1">
      <c r="A733" s="107"/>
      <c r="B733" s="107"/>
      <c r="C733" s="107"/>
      <c r="D733" s="102"/>
      <c r="E733" s="107"/>
      <c r="F733" s="108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10"/>
      <c r="V733" s="110"/>
    </row>
    <row r="734" ht="12.75" customHeight="1">
      <c r="A734" s="107"/>
      <c r="B734" s="107"/>
      <c r="C734" s="107"/>
      <c r="D734" s="102"/>
      <c r="E734" s="107"/>
      <c r="F734" s="108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10"/>
      <c r="V734" s="110"/>
    </row>
    <row r="735" ht="12.75" customHeight="1">
      <c r="A735" s="107"/>
      <c r="B735" s="107"/>
      <c r="C735" s="107"/>
      <c r="D735" s="102"/>
      <c r="E735" s="107"/>
      <c r="F735" s="108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10"/>
      <c r="V735" s="110"/>
    </row>
    <row r="736" ht="12.75" customHeight="1">
      <c r="A736" s="107"/>
      <c r="B736" s="107"/>
      <c r="C736" s="107"/>
      <c r="D736" s="102"/>
      <c r="E736" s="107"/>
      <c r="F736" s="108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10"/>
      <c r="V736" s="110"/>
    </row>
    <row r="737" ht="12.75" customHeight="1">
      <c r="A737" s="107"/>
      <c r="B737" s="107"/>
      <c r="C737" s="107"/>
      <c r="D737" s="102"/>
      <c r="E737" s="107"/>
      <c r="F737" s="108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10"/>
      <c r="V737" s="110"/>
    </row>
    <row r="738" ht="12.75" customHeight="1">
      <c r="A738" s="107"/>
      <c r="B738" s="107"/>
      <c r="C738" s="107"/>
      <c r="D738" s="102"/>
      <c r="E738" s="107"/>
      <c r="F738" s="108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10"/>
      <c r="V738" s="110"/>
    </row>
    <row r="739" ht="12.75" customHeight="1">
      <c r="A739" s="107"/>
      <c r="B739" s="107"/>
      <c r="C739" s="107"/>
      <c r="D739" s="102"/>
      <c r="E739" s="107"/>
      <c r="F739" s="108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10"/>
      <c r="V739" s="110"/>
    </row>
    <row r="740" ht="12.75" customHeight="1">
      <c r="A740" s="107"/>
      <c r="B740" s="107"/>
      <c r="C740" s="107"/>
      <c r="D740" s="102"/>
      <c r="E740" s="107"/>
      <c r="F740" s="108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10"/>
      <c r="V740" s="110"/>
    </row>
    <row r="741" ht="12.75" customHeight="1">
      <c r="A741" s="107"/>
      <c r="B741" s="107"/>
      <c r="C741" s="107"/>
      <c r="D741" s="102"/>
      <c r="E741" s="107"/>
      <c r="F741" s="108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10"/>
      <c r="V741" s="110"/>
    </row>
    <row r="742" ht="12.75" customHeight="1">
      <c r="A742" s="107"/>
      <c r="B742" s="107"/>
      <c r="C742" s="107"/>
      <c r="D742" s="102"/>
      <c r="E742" s="107"/>
      <c r="F742" s="108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10"/>
      <c r="V742" s="110"/>
    </row>
    <row r="743" ht="12.75" customHeight="1">
      <c r="A743" s="107"/>
      <c r="B743" s="107"/>
      <c r="C743" s="107"/>
      <c r="D743" s="102"/>
      <c r="E743" s="107"/>
      <c r="F743" s="108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10"/>
      <c r="V743" s="110"/>
    </row>
    <row r="744" ht="12.75" customHeight="1">
      <c r="A744" s="107"/>
      <c r="B744" s="107"/>
      <c r="C744" s="107"/>
      <c r="D744" s="102"/>
      <c r="E744" s="107"/>
      <c r="F744" s="108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10"/>
      <c r="V744" s="110"/>
    </row>
    <row r="745" ht="12.75" customHeight="1">
      <c r="A745" s="107"/>
      <c r="B745" s="107"/>
      <c r="C745" s="107"/>
      <c r="D745" s="102"/>
      <c r="E745" s="107"/>
      <c r="F745" s="108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10"/>
      <c r="V745" s="110"/>
    </row>
    <row r="746" ht="12.75" customHeight="1">
      <c r="A746" s="107"/>
      <c r="B746" s="107"/>
      <c r="C746" s="107"/>
      <c r="D746" s="102"/>
      <c r="E746" s="107"/>
      <c r="F746" s="108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10"/>
      <c r="V746" s="110"/>
    </row>
    <row r="747" ht="12.75" customHeight="1">
      <c r="A747" s="107"/>
      <c r="B747" s="107"/>
      <c r="C747" s="107"/>
      <c r="D747" s="102"/>
      <c r="E747" s="107"/>
      <c r="F747" s="108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10"/>
      <c r="V747" s="110"/>
    </row>
    <row r="748" ht="12.75" customHeight="1">
      <c r="A748" s="107"/>
      <c r="B748" s="107"/>
      <c r="C748" s="107"/>
      <c r="D748" s="102"/>
      <c r="E748" s="107"/>
      <c r="F748" s="108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10"/>
      <c r="V748" s="110"/>
    </row>
    <row r="749" ht="12.75" customHeight="1">
      <c r="A749" s="107"/>
      <c r="B749" s="107"/>
      <c r="C749" s="107"/>
      <c r="D749" s="102"/>
      <c r="E749" s="107"/>
      <c r="F749" s="108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10"/>
      <c r="V749" s="110"/>
    </row>
    <row r="750" ht="12.75" customHeight="1">
      <c r="A750" s="107"/>
      <c r="B750" s="107"/>
      <c r="C750" s="107"/>
      <c r="D750" s="102"/>
      <c r="E750" s="107"/>
      <c r="F750" s="108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10"/>
      <c r="V750" s="110"/>
    </row>
    <row r="751" ht="12.75" customHeight="1">
      <c r="A751" s="107"/>
      <c r="B751" s="107"/>
      <c r="C751" s="107"/>
      <c r="D751" s="102"/>
      <c r="E751" s="107"/>
      <c r="F751" s="108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10"/>
      <c r="V751" s="110"/>
    </row>
    <row r="752" ht="12.75" customHeight="1">
      <c r="A752" s="107"/>
      <c r="B752" s="107"/>
      <c r="C752" s="107"/>
      <c r="D752" s="102"/>
      <c r="E752" s="107"/>
      <c r="F752" s="108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10"/>
      <c r="V752" s="110"/>
    </row>
    <row r="753" ht="12.75" customHeight="1">
      <c r="A753" s="107"/>
      <c r="B753" s="107"/>
      <c r="C753" s="107"/>
      <c r="D753" s="102"/>
      <c r="E753" s="107"/>
      <c r="F753" s="108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10"/>
      <c r="V753" s="110"/>
    </row>
    <row r="754" ht="12.75" customHeight="1">
      <c r="A754" s="107"/>
      <c r="B754" s="107"/>
      <c r="C754" s="107"/>
      <c r="D754" s="102"/>
      <c r="E754" s="107"/>
      <c r="F754" s="108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10"/>
      <c r="V754" s="110"/>
    </row>
    <row r="755" ht="12.75" customHeight="1">
      <c r="A755" s="107"/>
      <c r="B755" s="107"/>
      <c r="C755" s="107"/>
      <c r="D755" s="102"/>
      <c r="E755" s="107"/>
      <c r="F755" s="108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10"/>
      <c r="V755" s="110"/>
    </row>
    <row r="756" ht="12.75" customHeight="1">
      <c r="A756" s="107"/>
      <c r="B756" s="107"/>
      <c r="C756" s="107"/>
      <c r="D756" s="102"/>
      <c r="E756" s="107"/>
      <c r="F756" s="108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10"/>
      <c r="V756" s="110"/>
    </row>
    <row r="757" ht="12.75" customHeight="1">
      <c r="A757" s="107"/>
      <c r="B757" s="107"/>
      <c r="C757" s="107"/>
      <c r="D757" s="102"/>
      <c r="E757" s="107"/>
      <c r="F757" s="108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10"/>
      <c r="V757" s="110"/>
    </row>
    <row r="758" ht="12.75" customHeight="1">
      <c r="A758" s="107"/>
      <c r="B758" s="107"/>
      <c r="C758" s="107"/>
      <c r="D758" s="102"/>
      <c r="E758" s="107"/>
      <c r="F758" s="108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10"/>
      <c r="V758" s="110"/>
    </row>
    <row r="759" ht="12.75" customHeight="1">
      <c r="A759" s="107"/>
      <c r="B759" s="107"/>
      <c r="C759" s="107"/>
      <c r="D759" s="102"/>
      <c r="E759" s="107"/>
      <c r="F759" s="108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10"/>
      <c r="V759" s="110"/>
    </row>
    <row r="760" ht="12.75" customHeight="1">
      <c r="A760" s="107"/>
      <c r="B760" s="107"/>
      <c r="C760" s="107"/>
      <c r="D760" s="102"/>
      <c r="E760" s="107"/>
      <c r="F760" s="108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10"/>
      <c r="V760" s="110"/>
    </row>
    <row r="761" ht="12.75" customHeight="1">
      <c r="A761" s="107"/>
      <c r="B761" s="107"/>
      <c r="C761" s="107"/>
      <c r="D761" s="102"/>
      <c r="E761" s="107"/>
      <c r="F761" s="108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10"/>
      <c r="V761" s="110"/>
    </row>
    <row r="762" ht="12.75" customHeight="1">
      <c r="A762" s="107"/>
      <c r="B762" s="107"/>
      <c r="C762" s="107"/>
      <c r="D762" s="102"/>
      <c r="E762" s="107"/>
      <c r="F762" s="108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10"/>
      <c r="V762" s="110"/>
    </row>
    <row r="763" ht="12.75" customHeight="1">
      <c r="A763" s="107"/>
      <c r="B763" s="107"/>
      <c r="C763" s="107"/>
      <c r="D763" s="102"/>
      <c r="E763" s="107"/>
      <c r="F763" s="108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10"/>
      <c r="V763" s="110"/>
    </row>
    <row r="764" ht="12.75" customHeight="1">
      <c r="A764" s="107"/>
      <c r="B764" s="107"/>
      <c r="C764" s="107"/>
      <c r="D764" s="102"/>
      <c r="E764" s="107"/>
      <c r="F764" s="108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10"/>
      <c r="V764" s="110"/>
    </row>
    <row r="765" ht="12.75" customHeight="1">
      <c r="A765" s="107"/>
      <c r="B765" s="107"/>
      <c r="C765" s="107"/>
      <c r="D765" s="102"/>
      <c r="E765" s="107"/>
      <c r="F765" s="108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10"/>
      <c r="V765" s="110"/>
    </row>
    <row r="766" ht="12.75" customHeight="1">
      <c r="A766" s="107"/>
      <c r="B766" s="107"/>
      <c r="C766" s="107"/>
      <c r="D766" s="102"/>
      <c r="E766" s="107"/>
      <c r="F766" s="108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10"/>
      <c r="V766" s="110"/>
    </row>
    <row r="767" ht="12.75" customHeight="1">
      <c r="A767" s="107"/>
      <c r="B767" s="107"/>
      <c r="C767" s="107"/>
      <c r="D767" s="102"/>
      <c r="E767" s="107"/>
      <c r="F767" s="108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10"/>
      <c r="V767" s="110"/>
    </row>
    <row r="768" ht="12.75" customHeight="1">
      <c r="A768" s="107"/>
      <c r="B768" s="107"/>
      <c r="C768" s="107"/>
      <c r="D768" s="102"/>
      <c r="E768" s="107"/>
      <c r="F768" s="108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10"/>
      <c r="V768" s="110"/>
    </row>
    <row r="769" ht="12.75" customHeight="1">
      <c r="A769" s="107"/>
      <c r="B769" s="107"/>
      <c r="C769" s="107"/>
      <c r="D769" s="102"/>
      <c r="E769" s="107"/>
      <c r="F769" s="108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10"/>
      <c r="V769" s="110"/>
    </row>
    <row r="770" ht="12.75" customHeight="1">
      <c r="A770" s="107"/>
      <c r="B770" s="107"/>
      <c r="C770" s="107"/>
      <c r="D770" s="102"/>
      <c r="E770" s="107"/>
      <c r="F770" s="108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10"/>
      <c r="V770" s="110"/>
    </row>
    <row r="771" ht="12.75" customHeight="1">
      <c r="A771" s="107"/>
      <c r="B771" s="107"/>
      <c r="C771" s="107"/>
      <c r="D771" s="102"/>
      <c r="E771" s="107"/>
      <c r="F771" s="108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10"/>
      <c r="V771" s="110"/>
    </row>
    <row r="772" ht="12.75" customHeight="1">
      <c r="A772" s="107"/>
      <c r="B772" s="107"/>
      <c r="C772" s="107"/>
      <c r="D772" s="102"/>
      <c r="E772" s="107"/>
      <c r="F772" s="108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10"/>
      <c r="V772" s="110"/>
    </row>
    <row r="773" ht="12.75" customHeight="1">
      <c r="A773" s="107"/>
      <c r="B773" s="107"/>
      <c r="C773" s="107"/>
      <c r="D773" s="102"/>
      <c r="E773" s="107"/>
      <c r="F773" s="108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10"/>
      <c r="V773" s="110"/>
    </row>
    <row r="774" ht="12.75" customHeight="1">
      <c r="A774" s="107"/>
      <c r="B774" s="107"/>
      <c r="C774" s="107"/>
      <c r="D774" s="102"/>
      <c r="E774" s="107"/>
      <c r="F774" s="108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10"/>
      <c r="V774" s="110"/>
    </row>
    <row r="775" ht="12.75" customHeight="1">
      <c r="A775" s="107"/>
      <c r="B775" s="107"/>
      <c r="C775" s="107"/>
      <c r="D775" s="102"/>
      <c r="E775" s="107"/>
      <c r="F775" s="108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10"/>
      <c r="V775" s="110"/>
    </row>
    <row r="776" ht="12.75" customHeight="1">
      <c r="A776" s="107"/>
      <c r="B776" s="107"/>
      <c r="C776" s="107"/>
      <c r="D776" s="102"/>
      <c r="E776" s="107"/>
      <c r="F776" s="108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10"/>
      <c r="V776" s="110"/>
    </row>
    <row r="777" ht="12.75" customHeight="1">
      <c r="A777" s="107"/>
      <c r="B777" s="107"/>
      <c r="C777" s="107"/>
      <c r="D777" s="102"/>
      <c r="E777" s="107"/>
      <c r="F777" s="108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10"/>
      <c r="V777" s="110"/>
    </row>
    <row r="778" ht="12.75" customHeight="1">
      <c r="A778" s="107"/>
      <c r="B778" s="107"/>
      <c r="C778" s="107"/>
      <c r="D778" s="102"/>
      <c r="E778" s="107"/>
      <c r="F778" s="108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10"/>
      <c r="V778" s="110"/>
    </row>
    <row r="779" ht="12.75" customHeight="1">
      <c r="A779" s="107"/>
      <c r="B779" s="107"/>
      <c r="C779" s="107"/>
      <c r="D779" s="102"/>
      <c r="E779" s="107"/>
      <c r="F779" s="108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10"/>
      <c r="V779" s="110"/>
    </row>
    <row r="780" ht="12.75" customHeight="1">
      <c r="A780" s="107"/>
      <c r="B780" s="107"/>
      <c r="C780" s="107"/>
      <c r="D780" s="102"/>
      <c r="E780" s="107"/>
      <c r="F780" s="108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10"/>
      <c r="V780" s="110"/>
    </row>
    <row r="781" ht="12.75" customHeight="1">
      <c r="A781" s="107"/>
      <c r="B781" s="107"/>
      <c r="C781" s="107"/>
      <c r="D781" s="102"/>
      <c r="E781" s="107"/>
      <c r="F781" s="108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10"/>
      <c r="V781" s="110"/>
    </row>
    <row r="782" ht="12.75" customHeight="1">
      <c r="A782" s="107"/>
      <c r="B782" s="107"/>
      <c r="C782" s="107"/>
      <c r="D782" s="102"/>
      <c r="E782" s="107"/>
      <c r="F782" s="108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10"/>
      <c r="V782" s="110"/>
    </row>
    <row r="783" ht="12.75" customHeight="1">
      <c r="A783" s="107"/>
      <c r="B783" s="107"/>
      <c r="C783" s="107"/>
      <c r="D783" s="102"/>
      <c r="E783" s="107"/>
      <c r="F783" s="108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10"/>
      <c r="V783" s="110"/>
    </row>
    <row r="784" ht="12.75" customHeight="1">
      <c r="A784" s="107"/>
      <c r="B784" s="107"/>
      <c r="C784" s="107"/>
      <c r="D784" s="102"/>
      <c r="E784" s="107"/>
      <c r="F784" s="108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10"/>
      <c r="V784" s="110"/>
    </row>
    <row r="785" ht="12.75" customHeight="1">
      <c r="A785" s="107"/>
      <c r="B785" s="107"/>
      <c r="C785" s="107"/>
      <c r="D785" s="102"/>
      <c r="E785" s="107"/>
      <c r="F785" s="108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10"/>
      <c r="V785" s="110"/>
    </row>
    <row r="786" ht="12.75" customHeight="1">
      <c r="A786" s="107"/>
      <c r="B786" s="107"/>
      <c r="C786" s="107"/>
      <c r="D786" s="102"/>
      <c r="E786" s="107"/>
      <c r="F786" s="108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10"/>
      <c r="V786" s="110"/>
    </row>
    <row r="787" ht="12.75" customHeight="1">
      <c r="A787" s="107"/>
      <c r="B787" s="107"/>
      <c r="C787" s="107"/>
      <c r="D787" s="102"/>
      <c r="E787" s="107"/>
      <c r="F787" s="108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10"/>
      <c r="V787" s="110"/>
    </row>
    <row r="788" ht="12.75" customHeight="1">
      <c r="A788" s="107"/>
      <c r="B788" s="107"/>
      <c r="C788" s="107"/>
      <c r="D788" s="102"/>
      <c r="E788" s="107"/>
      <c r="F788" s="108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10"/>
      <c r="V788" s="110"/>
    </row>
    <row r="789" ht="12.75" customHeight="1">
      <c r="A789" s="107"/>
      <c r="B789" s="107"/>
      <c r="C789" s="107"/>
      <c r="D789" s="102"/>
      <c r="E789" s="107"/>
      <c r="F789" s="108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10"/>
      <c r="V789" s="110"/>
    </row>
    <row r="790" ht="12.75" customHeight="1">
      <c r="A790" s="107"/>
      <c r="B790" s="107"/>
      <c r="C790" s="107"/>
      <c r="D790" s="102"/>
      <c r="E790" s="107"/>
      <c r="F790" s="108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10"/>
      <c r="V790" s="110"/>
    </row>
    <row r="791" ht="12.75" customHeight="1">
      <c r="A791" s="107"/>
      <c r="B791" s="107"/>
      <c r="C791" s="107"/>
      <c r="D791" s="102"/>
      <c r="E791" s="107"/>
      <c r="F791" s="108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10"/>
      <c r="V791" s="110"/>
    </row>
    <row r="792" ht="12.75" customHeight="1">
      <c r="A792" s="107"/>
      <c r="B792" s="107"/>
      <c r="C792" s="107"/>
      <c r="D792" s="102"/>
      <c r="E792" s="107"/>
      <c r="F792" s="108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10"/>
      <c r="V792" s="110"/>
    </row>
    <row r="793" ht="12.75" customHeight="1">
      <c r="A793" s="107"/>
      <c r="B793" s="107"/>
      <c r="C793" s="107"/>
      <c r="D793" s="102"/>
      <c r="E793" s="107"/>
      <c r="F793" s="108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10"/>
      <c r="V793" s="110"/>
    </row>
    <row r="794" ht="12.75" customHeight="1">
      <c r="A794" s="107"/>
      <c r="B794" s="107"/>
      <c r="C794" s="107"/>
      <c r="D794" s="102"/>
      <c r="E794" s="107"/>
      <c r="F794" s="108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10"/>
      <c r="V794" s="110"/>
    </row>
    <row r="795" ht="12.75" customHeight="1">
      <c r="A795" s="107"/>
      <c r="B795" s="107"/>
      <c r="C795" s="107"/>
      <c r="D795" s="102"/>
      <c r="E795" s="107"/>
      <c r="F795" s="108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10"/>
      <c r="V795" s="110"/>
    </row>
    <row r="796" ht="12.75" customHeight="1">
      <c r="A796" s="107"/>
      <c r="B796" s="107"/>
      <c r="C796" s="107"/>
      <c r="D796" s="102"/>
      <c r="E796" s="107"/>
      <c r="F796" s="108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10"/>
      <c r="V796" s="110"/>
    </row>
    <row r="797" ht="12.75" customHeight="1">
      <c r="A797" s="107"/>
      <c r="B797" s="107"/>
      <c r="C797" s="107"/>
      <c r="D797" s="102"/>
      <c r="E797" s="107"/>
      <c r="F797" s="108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10"/>
      <c r="V797" s="110"/>
    </row>
    <row r="798" ht="12.75" customHeight="1">
      <c r="A798" s="107"/>
      <c r="B798" s="107"/>
      <c r="C798" s="107"/>
      <c r="D798" s="102"/>
      <c r="E798" s="107"/>
      <c r="F798" s="108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10"/>
      <c r="V798" s="110"/>
    </row>
    <row r="799" ht="12.75" customHeight="1">
      <c r="A799" s="107"/>
      <c r="B799" s="107"/>
      <c r="C799" s="107"/>
      <c r="D799" s="102"/>
      <c r="E799" s="107"/>
      <c r="F799" s="108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10"/>
      <c r="V799" s="110"/>
    </row>
    <row r="800" ht="12.75" customHeight="1">
      <c r="A800" s="107"/>
      <c r="B800" s="107"/>
      <c r="C800" s="107"/>
      <c r="D800" s="102"/>
      <c r="E800" s="107"/>
      <c r="F800" s="108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10"/>
      <c r="V800" s="110"/>
    </row>
    <row r="801" ht="12.75" customHeight="1">
      <c r="A801" s="107"/>
      <c r="B801" s="107"/>
      <c r="C801" s="107"/>
      <c r="D801" s="102"/>
      <c r="E801" s="107"/>
      <c r="F801" s="108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10"/>
      <c r="V801" s="110"/>
    </row>
    <row r="802" ht="12.75" customHeight="1">
      <c r="A802" s="107"/>
      <c r="B802" s="107"/>
      <c r="C802" s="107"/>
      <c r="D802" s="102"/>
      <c r="E802" s="107"/>
      <c r="F802" s="108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10"/>
      <c r="V802" s="110"/>
    </row>
    <row r="803" ht="12.75" customHeight="1">
      <c r="A803" s="107"/>
      <c r="B803" s="107"/>
      <c r="C803" s="107"/>
      <c r="D803" s="102"/>
      <c r="E803" s="107"/>
      <c r="F803" s="108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10"/>
      <c r="V803" s="110"/>
    </row>
    <row r="804" ht="12.75" customHeight="1">
      <c r="A804" s="107"/>
      <c r="B804" s="107"/>
      <c r="C804" s="107"/>
      <c r="D804" s="102"/>
      <c r="E804" s="107"/>
      <c r="F804" s="108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10"/>
      <c r="V804" s="110"/>
    </row>
    <row r="805" ht="12.75" customHeight="1">
      <c r="A805" s="107"/>
      <c r="B805" s="107"/>
      <c r="C805" s="107"/>
      <c r="D805" s="102"/>
      <c r="E805" s="107"/>
      <c r="F805" s="108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10"/>
      <c r="V805" s="110"/>
    </row>
    <row r="806" ht="12.75" customHeight="1">
      <c r="A806" s="107"/>
      <c r="B806" s="107"/>
      <c r="C806" s="107"/>
      <c r="D806" s="102"/>
      <c r="E806" s="107"/>
      <c r="F806" s="108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10"/>
      <c r="V806" s="110"/>
    </row>
    <row r="807" ht="12.75" customHeight="1">
      <c r="A807" s="107"/>
      <c r="B807" s="107"/>
      <c r="C807" s="107"/>
      <c r="D807" s="102"/>
      <c r="E807" s="107"/>
      <c r="F807" s="108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10"/>
      <c r="V807" s="110"/>
    </row>
    <row r="808" ht="12.75" customHeight="1">
      <c r="A808" s="107"/>
      <c r="B808" s="107"/>
      <c r="C808" s="107"/>
      <c r="D808" s="102"/>
      <c r="E808" s="107"/>
      <c r="F808" s="108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10"/>
      <c r="V808" s="110"/>
    </row>
    <row r="809" ht="12.75" customHeight="1">
      <c r="A809" s="107"/>
      <c r="B809" s="107"/>
      <c r="C809" s="107"/>
      <c r="D809" s="102"/>
      <c r="E809" s="107"/>
      <c r="F809" s="108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10"/>
      <c r="V809" s="110"/>
    </row>
    <row r="810" ht="12.75" customHeight="1">
      <c r="A810" s="107"/>
      <c r="B810" s="107"/>
      <c r="C810" s="107"/>
      <c r="D810" s="102"/>
      <c r="E810" s="107"/>
      <c r="F810" s="108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10"/>
      <c r="V810" s="110"/>
    </row>
    <row r="811" ht="12.75" customHeight="1">
      <c r="A811" s="107"/>
      <c r="B811" s="107"/>
      <c r="C811" s="107"/>
      <c r="D811" s="102"/>
      <c r="E811" s="107"/>
      <c r="F811" s="108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10"/>
      <c r="V811" s="110"/>
    </row>
    <row r="812" ht="12.75" customHeight="1">
      <c r="A812" s="107"/>
      <c r="B812" s="107"/>
      <c r="C812" s="107"/>
      <c r="D812" s="102"/>
      <c r="E812" s="107"/>
      <c r="F812" s="108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10"/>
      <c r="V812" s="110"/>
    </row>
    <row r="813" ht="12.75" customHeight="1">
      <c r="A813" s="107"/>
      <c r="B813" s="107"/>
      <c r="C813" s="107"/>
      <c r="D813" s="102"/>
      <c r="E813" s="107"/>
      <c r="F813" s="108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10"/>
      <c r="V813" s="110"/>
    </row>
    <row r="814" ht="12.75" customHeight="1">
      <c r="A814" s="107"/>
      <c r="B814" s="107"/>
      <c r="C814" s="107"/>
      <c r="D814" s="102"/>
      <c r="E814" s="107"/>
      <c r="F814" s="108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10"/>
      <c r="V814" s="110"/>
    </row>
    <row r="815" ht="12.75" customHeight="1">
      <c r="A815" s="107"/>
      <c r="B815" s="107"/>
      <c r="C815" s="107"/>
      <c r="D815" s="102"/>
      <c r="E815" s="107"/>
      <c r="F815" s="108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10"/>
      <c r="V815" s="110"/>
    </row>
    <row r="816" ht="12.75" customHeight="1">
      <c r="A816" s="107"/>
      <c r="B816" s="107"/>
      <c r="C816" s="107"/>
      <c r="D816" s="102"/>
      <c r="E816" s="107"/>
      <c r="F816" s="108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10"/>
      <c r="V816" s="110"/>
    </row>
    <row r="817" ht="12.75" customHeight="1">
      <c r="A817" s="107"/>
      <c r="B817" s="107"/>
      <c r="C817" s="107"/>
      <c r="D817" s="102"/>
      <c r="E817" s="107"/>
      <c r="F817" s="108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10"/>
      <c r="V817" s="110"/>
    </row>
    <row r="818" ht="12.75" customHeight="1">
      <c r="A818" s="107"/>
      <c r="B818" s="107"/>
      <c r="C818" s="107"/>
      <c r="D818" s="102"/>
      <c r="E818" s="107"/>
      <c r="F818" s="108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10"/>
      <c r="V818" s="110"/>
    </row>
    <row r="819" ht="12.75" customHeight="1">
      <c r="A819" s="107"/>
      <c r="B819" s="107"/>
      <c r="C819" s="107"/>
      <c r="D819" s="102"/>
      <c r="E819" s="107"/>
      <c r="F819" s="108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10"/>
      <c r="V819" s="110"/>
    </row>
    <row r="820" ht="12.75" customHeight="1">
      <c r="A820" s="107"/>
      <c r="B820" s="107"/>
      <c r="C820" s="107"/>
      <c r="D820" s="102"/>
      <c r="E820" s="107"/>
      <c r="F820" s="108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10"/>
      <c r="V820" s="110"/>
    </row>
    <row r="821" ht="12.75" customHeight="1">
      <c r="A821" s="107"/>
      <c r="B821" s="107"/>
      <c r="C821" s="107"/>
      <c r="D821" s="102"/>
      <c r="E821" s="107"/>
      <c r="F821" s="108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10"/>
      <c r="V821" s="110"/>
    </row>
    <row r="822" ht="12.75" customHeight="1">
      <c r="A822" s="107"/>
      <c r="B822" s="107"/>
      <c r="C822" s="107"/>
      <c r="D822" s="102"/>
      <c r="E822" s="107"/>
      <c r="F822" s="108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10"/>
      <c r="V822" s="110"/>
    </row>
    <row r="823" ht="12.75" customHeight="1">
      <c r="A823" s="107"/>
      <c r="B823" s="107"/>
      <c r="C823" s="107"/>
      <c r="D823" s="102"/>
      <c r="E823" s="107"/>
      <c r="F823" s="108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10"/>
      <c r="V823" s="110"/>
    </row>
    <row r="824" ht="12.75" customHeight="1">
      <c r="A824" s="107"/>
      <c r="B824" s="107"/>
      <c r="C824" s="107"/>
      <c r="D824" s="102"/>
      <c r="E824" s="107"/>
      <c r="F824" s="108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10"/>
      <c r="V824" s="110"/>
    </row>
    <row r="825" ht="12.75" customHeight="1">
      <c r="A825" s="107"/>
      <c r="B825" s="107"/>
      <c r="C825" s="107"/>
      <c r="D825" s="102"/>
      <c r="E825" s="107"/>
      <c r="F825" s="108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10"/>
      <c r="V825" s="110"/>
    </row>
    <row r="826" ht="12.75" customHeight="1">
      <c r="A826" s="107"/>
      <c r="B826" s="107"/>
      <c r="C826" s="107"/>
      <c r="D826" s="102"/>
      <c r="E826" s="107"/>
      <c r="F826" s="108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10"/>
      <c r="V826" s="110"/>
    </row>
    <row r="827" ht="12.75" customHeight="1">
      <c r="A827" s="107"/>
      <c r="B827" s="107"/>
      <c r="C827" s="107"/>
      <c r="D827" s="102"/>
      <c r="E827" s="107"/>
      <c r="F827" s="108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10"/>
      <c r="V827" s="110"/>
    </row>
    <row r="828" ht="12.75" customHeight="1">
      <c r="A828" s="107"/>
      <c r="B828" s="107"/>
      <c r="C828" s="107"/>
      <c r="D828" s="102"/>
      <c r="E828" s="107"/>
      <c r="F828" s="108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10"/>
      <c r="V828" s="110"/>
    </row>
    <row r="829" ht="12.75" customHeight="1">
      <c r="A829" s="107"/>
      <c r="B829" s="107"/>
      <c r="C829" s="107"/>
      <c r="D829" s="102"/>
      <c r="E829" s="107"/>
      <c r="F829" s="108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10"/>
      <c r="V829" s="110"/>
    </row>
    <row r="830" ht="12.75" customHeight="1">
      <c r="A830" s="107"/>
      <c r="B830" s="107"/>
      <c r="C830" s="107"/>
      <c r="D830" s="102"/>
      <c r="E830" s="107"/>
      <c r="F830" s="108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10"/>
      <c r="V830" s="110"/>
    </row>
    <row r="831" ht="12.75" customHeight="1">
      <c r="A831" s="107"/>
      <c r="B831" s="107"/>
      <c r="C831" s="107"/>
      <c r="D831" s="102"/>
      <c r="E831" s="107"/>
      <c r="F831" s="108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10"/>
      <c r="V831" s="110"/>
    </row>
    <row r="832" ht="12.75" customHeight="1">
      <c r="A832" s="107"/>
      <c r="B832" s="107"/>
      <c r="C832" s="107"/>
      <c r="D832" s="102"/>
      <c r="E832" s="107"/>
      <c r="F832" s="108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10"/>
      <c r="V832" s="110"/>
    </row>
    <row r="833" ht="12.75" customHeight="1">
      <c r="A833" s="107"/>
      <c r="B833" s="107"/>
      <c r="C833" s="107"/>
      <c r="D833" s="102"/>
      <c r="E833" s="107"/>
      <c r="F833" s="108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10"/>
      <c r="V833" s="110"/>
    </row>
    <row r="834" ht="12.75" customHeight="1">
      <c r="A834" s="107"/>
      <c r="B834" s="107"/>
      <c r="C834" s="107"/>
      <c r="D834" s="102"/>
      <c r="E834" s="107"/>
      <c r="F834" s="108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10"/>
      <c r="V834" s="110"/>
    </row>
    <row r="835" ht="12.75" customHeight="1">
      <c r="A835" s="107"/>
      <c r="B835" s="107"/>
      <c r="C835" s="107"/>
      <c r="D835" s="102"/>
      <c r="E835" s="107"/>
      <c r="F835" s="108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10"/>
      <c r="V835" s="110"/>
    </row>
    <row r="836" ht="12.75" customHeight="1">
      <c r="A836" s="107"/>
      <c r="B836" s="107"/>
      <c r="C836" s="107"/>
      <c r="D836" s="102"/>
      <c r="E836" s="107"/>
      <c r="F836" s="108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10"/>
      <c r="V836" s="110"/>
    </row>
    <row r="837" ht="12.75" customHeight="1">
      <c r="A837" s="107"/>
      <c r="B837" s="107"/>
      <c r="C837" s="107"/>
      <c r="D837" s="102"/>
      <c r="E837" s="107"/>
      <c r="F837" s="108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10"/>
      <c r="V837" s="110"/>
    </row>
    <row r="838" ht="12.75" customHeight="1">
      <c r="A838" s="107"/>
      <c r="B838" s="107"/>
      <c r="C838" s="107"/>
      <c r="D838" s="102"/>
      <c r="E838" s="107"/>
      <c r="F838" s="108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10"/>
      <c r="V838" s="110"/>
    </row>
    <row r="839" ht="12.75" customHeight="1">
      <c r="A839" s="107"/>
      <c r="B839" s="107"/>
      <c r="C839" s="107"/>
      <c r="D839" s="102"/>
      <c r="E839" s="107"/>
      <c r="F839" s="108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10"/>
      <c r="V839" s="110"/>
    </row>
    <row r="840" ht="12.75" customHeight="1">
      <c r="A840" s="107"/>
      <c r="B840" s="107"/>
      <c r="C840" s="107"/>
      <c r="D840" s="102"/>
      <c r="E840" s="107"/>
      <c r="F840" s="108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10"/>
      <c r="V840" s="110"/>
    </row>
    <row r="841" ht="12.75" customHeight="1">
      <c r="A841" s="107"/>
      <c r="B841" s="107"/>
      <c r="C841" s="107"/>
      <c r="D841" s="102"/>
      <c r="E841" s="107"/>
      <c r="F841" s="108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10"/>
      <c r="V841" s="110"/>
    </row>
    <row r="842" ht="12.75" customHeight="1">
      <c r="A842" s="107"/>
      <c r="B842" s="107"/>
      <c r="C842" s="107"/>
      <c r="D842" s="102"/>
      <c r="E842" s="107"/>
      <c r="F842" s="108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10"/>
      <c r="V842" s="110"/>
    </row>
    <row r="843" ht="12.75" customHeight="1">
      <c r="A843" s="107"/>
      <c r="B843" s="107"/>
      <c r="C843" s="107"/>
      <c r="D843" s="102"/>
      <c r="E843" s="107"/>
      <c r="F843" s="108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10"/>
      <c r="V843" s="110"/>
    </row>
    <row r="844" ht="12.75" customHeight="1">
      <c r="A844" s="107"/>
      <c r="B844" s="107"/>
      <c r="C844" s="107"/>
      <c r="D844" s="102"/>
      <c r="E844" s="107"/>
      <c r="F844" s="108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10"/>
      <c r="V844" s="110"/>
    </row>
    <row r="845" ht="12.75" customHeight="1">
      <c r="A845" s="107"/>
      <c r="B845" s="107"/>
      <c r="C845" s="107"/>
      <c r="D845" s="102"/>
      <c r="E845" s="107"/>
      <c r="F845" s="108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10"/>
      <c r="V845" s="110"/>
    </row>
    <row r="846" ht="12.75" customHeight="1">
      <c r="A846" s="107"/>
      <c r="B846" s="107"/>
      <c r="C846" s="107"/>
      <c r="D846" s="102"/>
      <c r="E846" s="107"/>
      <c r="F846" s="108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10"/>
      <c r="V846" s="110"/>
    </row>
    <row r="847" ht="12.75" customHeight="1">
      <c r="A847" s="107"/>
      <c r="B847" s="107"/>
      <c r="C847" s="107"/>
      <c r="D847" s="102"/>
      <c r="E847" s="107"/>
      <c r="F847" s="108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10"/>
      <c r="V847" s="110"/>
    </row>
    <row r="848" ht="12.75" customHeight="1">
      <c r="A848" s="107"/>
      <c r="B848" s="107"/>
      <c r="C848" s="107"/>
      <c r="D848" s="102"/>
      <c r="E848" s="107"/>
      <c r="F848" s="108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10"/>
      <c r="V848" s="110"/>
    </row>
    <row r="849" ht="12.75" customHeight="1">
      <c r="A849" s="107"/>
      <c r="B849" s="107"/>
      <c r="C849" s="107"/>
      <c r="D849" s="102"/>
      <c r="E849" s="107"/>
      <c r="F849" s="108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10"/>
      <c r="V849" s="110"/>
    </row>
    <row r="850" ht="12.75" customHeight="1">
      <c r="A850" s="107"/>
      <c r="B850" s="107"/>
      <c r="C850" s="107"/>
      <c r="D850" s="102"/>
      <c r="E850" s="107"/>
      <c r="F850" s="108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10"/>
      <c r="V850" s="110"/>
    </row>
    <row r="851" ht="12.75" customHeight="1">
      <c r="A851" s="107"/>
      <c r="B851" s="107"/>
      <c r="C851" s="107"/>
      <c r="D851" s="102"/>
      <c r="E851" s="107"/>
      <c r="F851" s="108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10"/>
      <c r="V851" s="110"/>
    </row>
    <row r="852" ht="12.75" customHeight="1">
      <c r="A852" s="107"/>
      <c r="B852" s="107"/>
      <c r="C852" s="107"/>
      <c r="D852" s="102"/>
      <c r="E852" s="107"/>
      <c r="F852" s="108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10"/>
      <c r="V852" s="110"/>
    </row>
    <row r="853" ht="12.75" customHeight="1">
      <c r="A853" s="107"/>
      <c r="B853" s="107"/>
      <c r="C853" s="107"/>
      <c r="D853" s="102"/>
      <c r="E853" s="107"/>
      <c r="F853" s="108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10"/>
      <c r="V853" s="110"/>
    </row>
    <row r="854" ht="12.75" customHeight="1">
      <c r="A854" s="107"/>
      <c r="B854" s="107"/>
      <c r="C854" s="107"/>
      <c r="D854" s="102"/>
      <c r="E854" s="107"/>
      <c r="F854" s="108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10"/>
      <c r="V854" s="110"/>
    </row>
    <row r="855" ht="12.75" customHeight="1">
      <c r="A855" s="107"/>
      <c r="B855" s="107"/>
      <c r="C855" s="107"/>
      <c r="D855" s="102"/>
      <c r="E855" s="107"/>
      <c r="F855" s="108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10"/>
      <c r="V855" s="110"/>
    </row>
    <row r="856" ht="12.75" customHeight="1">
      <c r="A856" s="107"/>
      <c r="B856" s="107"/>
      <c r="C856" s="107"/>
      <c r="D856" s="102"/>
      <c r="E856" s="107"/>
      <c r="F856" s="108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10"/>
      <c r="V856" s="110"/>
    </row>
    <row r="857" ht="12.75" customHeight="1">
      <c r="A857" s="107"/>
      <c r="B857" s="107"/>
      <c r="C857" s="107"/>
      <c r="D857" s="102"/>
      <c r="E857" s="107"/>
      <c r="F857" s="108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10"/>
      <c r="V857" s="110"/>
    </row>
    <row r="858" ht="12.75" customHeight="1">
      <c r="A858" s="107"/>
      <c r="B858" s="107"/>
      <c r="C858" s="107"/>
      <c r="D858" s="102"/>
      <c r="E858" s="107"/>
      <c r="F858" s="108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10"/>
      <c r="V858" s="110"/>
    </row>
    <row r="859" ht="12.75" customHeight="1">
      <c r="A859" s="107"/>
      <c r="B859" s="107"/>
      <c r="C859" s="107"/>
      <c r="D859" s="102"/>
      <c r="E859" s="107"/>
      <c r="F859" s="108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10"/>
      <c r="V859" s="110"/>
    </row>
    <row r="860" ht="12.75" customHeight="1">
      <c r="A860" s="107"/>
      <c r="B860" s="107"/>
      <c r="C860" s="107"/>
      <c r="D860" s="102"/>
      <c r="E860" s="107"/>
      <c r="F860" s="108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10"/>
      <c r="V860" s="110"/>
    </row>
    <row r="861" ht="12.75" customHeight="1">
      <c r="A861" s="107"/>
      <c r="B861" s="107"/>
      <c r="C861" s="107"/>
      <c r="D861" s="102"/>
      <c r="E861" s="107"/>
      <c r="F861" s="108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10"/>
      <c r="V861" s="110"/>
    </row>
    <row r="862" ht="12.75" customHeight="1">
      <c r="A862" s="107"/>
      <c r="B862" s="107"/>
      <c r="C862" s="107"/>
      <c r="D862" s="102"/>
      <c r="E862" s="107"/>
      <c r="F862" s="108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10"/>
      <c r="V862" s="110"/>
    </row>
    <row r="863" ht="12.75" customHeight="1">
      <c r="A863" s="107"/>
      <c r="B863" s="107"/>
      <c r="C863" s="107"/>
      <c r="D863" s="102"/>
      <c r="E863" s="107"/>
      <c r="F863" s="108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10"/>
      <c r="V863" s="110"/>
    </row>
    <row r="864" ht="12.75" customHeight="1">
      <c r="A864" s="107"/>
      <c r="B864" s="107"/>
      <c r="C864" s="107"/>
      <c r="D864" s="102"/>
      <c r="E864" s="107"/>
      <c r="F864" s="108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10"/>
      <c r="V864" s="110"/>
    </row>
    <row r="865" ht="12.75" customHeight="1">
      <c r="A865" s="107"/>
      <c r="B865" s="107"/>
      <c r="C865" s="107"/>
      <c r="D865" s="102"/>
      <c r="E865" s="107"/>
      <c r="F865" s="108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10"/>
      <c r="V865" s="110"/>
    </row>
    <row r="866" ht="12.75" customHeight="1">
      <c r="A866" s="107"/>
      <c r="B866" s="107"/>
      <c r="C866" s="107"/>
      <c r="D866" s="102"/>
      <c r="E866" s="107"/>
      <c r="F866" s="108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10"/>
      <c r="V866" s="110"/>
    </row>
    <row r="867" ht="12.75" customHeight="1">
      <c r="A867" s="107"/>
      <c r="B867" s="107"/>
      <c r="C867" s="107"/>
      <c r="D867" s="102"/>
      <c r="E867" s="107"/>
      <c r="F867" s="108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10"/>
      <c r="V867" s="110"/>
    </row>
    <row r="868" ht="12.75" customHeight="1">
      <c r="A868" s="107"/>
      <c r="B868" s="107"/>
      <c r="C868" s="107"/>
      <c r="D868" s="102"/>
      <c r="E868" s="107"/>
      <c r="F868" s="108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10"/>
      <c r="V868" s="110"/>
    </row>
    <row r="869" ht="12.75" customHeight="1">
      <c r="A869" s="107"/>
      <c r="B869" s="107"/>
      <c r="C869" s="107"/>
      <c r="D869" s="102"/>
      <c r="E869" s="107"/>
      <c r="F869" s="108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10"/>
      <c r="V869" s="110"/>
    </row>
    <row r="870" ht="12.75" customHeight="1">
      <c r="A870" s="107"/>
      <c r="B870" s="107"/>
      <c r="C870" s="107"/>
      <c r="D870" s="102"/>
      <c r="E870" s="107"/>
      <c r="F870" s="108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10"/>
      <c r="V870" s="110"/>
    </row>
    <row r="871" ht="12.75" customHeight="1">
      <c r="A871" s="107"/>
      <c r="B871" s="107"/>
      <c r="C871" s="107"/>
      <c r="D871" s="102"/>
      <c r="E871" s="107"/>
      <c r="F871" s="108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10"/>
      <c r="V871" s="110"/>
    </row>
    <row r="872" ht="12.75" customHeight="1">
      <c r="A872" s="107"/>
      <c r="B872" s="107"/>
      <c r="C872" s="107"/>
      <c r="D872" s="102"/>
      <c r="E872" s="107"/>
      <c r="F872" s="108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10"/>
      <c r="V872" s="110"/>
    </row>
    <row r="873" ht="12.75" customHeight="1">
      <c r="A873" s="107"/>
      <c r="B873" s="107"/>
      <c r="C873" s="107"/>
      <c r="D873" s="102"/>
      <c r="E873" s="107"/>
      <c r="F873" s="108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10"/>
      <c r="V873" s="110"/>
    </row>
    <row r="874" ht="12.75" customHeight="1">
      <c r="A874" s="107"/>
      <c r="B874" s="107"/>
      <c r="C874" s="107"/>
      <c r="D874" s="102"/>
      <c r="E874" s="107"/>
      <c r="F874" s="108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10"/>
      <c r="V874" s="110"/>
    </row>
    <row r="875" ht="12.75" customHeight="1">
      <c r="A875" s="107"/>
      <c r="B875" s="107"/>
      <c r="C875" s="107"/>
      <c r="D875" s="102"/>
      <c r="E875" s="107"/>
      <c r="F875" s="108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10"/>
      <c r="V875" s="110"/>
    </row>
    <row r="876" ht="12.75" customHeight="1">
      <c r="A876" s="107"/>
      <c r="B876" s="107"/>
      <c r="C876" s="107"/>
      <c r="D876" s="102"/>
      <c r="E876" s="107"/>
      <c r="F876" s="108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10"/>
      <c r="V876" s="110"/>
    </row>
    <row r="877" ht="12.75" customHeight="1">
      <c r="A877" s="107"/>
      <c r="B877" s="107"/>
      <c r="C877" s="107"/>
      <c r="D877" s="102"/>
      <c r="E877" s="107"/>
      <c r="F877" s="108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10"/>
      <c r="V877" s="110"/>
    </row>
    <row r="878" ht="12.75" customHeight="1">
      <c r="A878" s="107"/>
      <c r="B878" s="107"/>
      <c r="C878" s="107"/>
      <c r="D878" s="102"/>
      <c r="E878" s="107"/>
      <c r="F878" s="108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10"/>
      <c r="V878" s="110"/>
    </row>
    <row r="879" ht="12.75" customHeight="1">
      <c r="A879" s="107"/>
      <c r="B879" s="107"/>
      <c r="C879" s="107"/>
      <c r="D879" s="102"/>
      <c r="E879" s="107"/>
      <c r="F879" s="108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10"/>
      <c r="V879" s="110"/>
    </row>
    <row r="880" ht="12.75" customHeight="1">
      <c r="A880" s="107"/>
      <c r="B880" s="107"/>
      <c r="C880" s="107"/>
      <c r="D880" s="102"/>
      <c r="E880" s="107"/>
      <c r="F880" s="108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10"/>
      <c r="V880" s="110"/>
    </row>
    <row r="881" ht="12.75" customHeight="1">
      <c r="A881" s="107"/>
      <c r="B881" s="107"/>
      <c r="C881" s="107"/>
      <c r="D881" s="102"/>
      <c r="E881" s="107"/>
      <c r="F881" s="108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10"/>
      <c r="V881" s="110"/>
    </row>
    <row r="882" ht="12.75" customHeight="1">
      <c r="A882" s="107"/>
      <c r="B882" s="107"/>
      <c r="C882" s="107"/>
      <c r="D882" s="102"/>
      <c r="E882" s="107"/>
      <c r="F882" s="108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10"/>
      <c r="V882" s="110"/>
    </row>
    <row r="883" ht="12.75" customHeight="1">
      <c r="A883" s="107"/>
      <c r="B883" s="107"/>
      <c r="C883" s="107"/>
      <c r="D883" s="102"/>
      <c r="E883" s="107"/>
      <c r="F883" s="108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10"/>
      <c r="V883" s="110"/>
    </row>
    <row r="884" ht="12.75" customHeight="1">
      <c r="A884" s="107"/>
      <c r="B884" s="107"/>
      <c r="C884" s="107"/>
      <c r="D884" s="102"/>
      <c r="E884" s="107"/>
      <c r="F884" s="108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10"/>
      <c r="V884" s="110"/>
    </row>
    <row r="885" ht="12.75" customHeight="1">
      <c r="A885" s="107"/>
      <c r="B885" s="107"/>
      <c r="C885" s="107"/>
      <c r="D885" s="102"/>
      <c r="E885" s="107"/>
      <c r="F885" s="108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10"/>
      <c r="V885" s="110"/>
    </row>
    <row r="886" ht="12.75" customHeight="1">
      <c r="A886" s="107"/>
      <c r="B886" s="107"/>
      <c r="C886" s="107"/>
      <c r="D886" s="102"/>
      <c r="E886" s="107"/>
      <c r="F886" s="108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10"/>
      <c r="V886" s="110"/>
    </row>
    <row r="887" ht="12.75" customHeight="1">
      <c r="A887" s="107"/>
      <c r="B887" s="107"/>
      <c r="C887" s="107"/>
      <c r="D887" s="102"/>
      <c r="E887" s="107"/>
      <c r="F887" s="108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10"/>
      <c r="V887" s="110"/>
    </row>
    <row r="888" ht="12.75" customHeight="1">
      <c r="A888" s="107"/>
      <c r="B888" s="107"/>
      <c r="C888" s="107"/>
      <c r="D888" s="102"/>
      <c r="E888" s="107"/>
      <c r="F888" s="108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10"/>
      <c r="V888" s="110"/>
    </row>
    <row r="889" ht="12.75" customHeight="1">
      <c r="A889" s="107"/>
      <c r="B889" s="107"/>
      <c r="C889" s="107"/>
      <c r="D889" s="102"/>
      <c r="E889" s="107"/>
      <c r="F889" s="108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10"/>
      <c r="V889" s="110"/>
    </row>
    <row r="890" ht="12.75" customHeight="1">
      <c r="A890" s="107"/>
      <c r="B890" s="107"/>
      <c r="C890" s="107"/>
      <c r="D890" s="102"/>
      <c r="E890" s="107"/>
      <c r="F890" s="108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10"/>
      <c r="V890" s="110"/>
    </row>
    <row r="891" ht="12.75" customHeight="1">
      <c r="A891" s="107"/>
      <c r="B891" s="107"/>
      <c r="C891" s="107"/>
      <c r="D891" s="102"/>
      <c r="E891" s="107"/>
      <c r="F891" s="108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10"/>
      <c r="V891" s="110"/>
    </row>
    <row r="892" ht="12.75" customHeight="1">
      <c r="A892" s="107"/>
      <c r="B892" s="107"/>
      <c r="C892" s="107"/>
      <c r="D892" s="102"/>
      <c r="E892" s="107"/>
      <c r="F892" s="108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10"/>
      <c r="V892" s="110"/>
    </row>
    <row r="893" ht="12.75" customHeight="1">
      <c r="A893" s="107"/>
      <c r="B893" s="107"/>
      <c r="C893" s="107"/>
      <c r="D893" s="102"/>
      <c r="E893" s="107"/>
      <c r="F893" s="108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10"/>
      <c r="V893" s="110"/>
    </row>
    <row r="894" ht="12.75" customHeight="1">
      <c r="A894" s="107"/>
      <c r="B894" s="107"/>
      <c r="C894" s="107"/>
      <c r="D894" s="102"/>
      <c r="E894" s="107"/>
      <c r="F894" s="108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10"/>
      <c r="V894" s="110"/>
    </row>
    <row r="895" ht="12.75" customHeight="1">
      <c r="A895" s="107"/>
      <c r="B895" s="107"/>
      <c r="C895" s="107"/>
      <c r="D895" s="102"/>
      <c r="E895" s="107"/>
      <c r="F895" s="108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10"/>
      <c r="V895" s="110"/>
    </row>
    <row r="896" ht="12.75" customHeight="1">
      <c r="A896" s="107"/>
      <c r="B896" s="107"/>
      <c r="C896" s="107"/>
      <c r="D896" s="102"/>
      <c r="E896" s="107"/>
      <c r="F896" s="108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10"/>
      <c r="V896" s="110"/>
    </row>
    <row r="897" ht="12.75" customHeight="1">
      <c r="A897" s="107"/>
      <c r="B897" s="107"/>
      <c r="C897" s="107"/>
      <c r="D897" s="102"/>
      <c r="E897" s="107"/>
      <c r="F897" s="108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10"/>
      <c r="V897" s="110"/>
    </row>
    <row r="898" ht="12.75" customHeight="1">
      <c r="A898" s="107"/>
      <c r="B898" s="107"/>
      <c r="C898" s="107"/>
      <c r="D898" s="102"/>
      <c r="E898" s="107"/>
      <c r="F898" s="108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10"/>
      <c r="V898" s="110"/>
    </row>
    <row r="899" ht="12.75" customHeight="1">
      <c r="A899" s="107"/>
      <c r="B899" s="107"/>
      <c r="C899" s="107"/>
      <c r="D899" s="102"/>
      <c r="E899" s="107"/>
      <c r="F899" s="108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10"/>
      <c r="V899" s="110"/>
    </row>
    <row r="900" ht="12.75" customHeight="1">
      <c r="A900" s="107"/>
      <c r="B900" s="107"/>
      <c r="C900" s="107"/>
      <c r="D900" s="102"/>
      <c r="E900" s="107"/>
      <c r="F900" s="108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10"/>
      <c r="V900" s="110"/>
    </row>
    <row r="901" ht="12.75" customHeight="1">
      <c r="A901" s="107"/>
      <c r="B901" s="107"/>
      <c r="C901" s="107"/>
      <c r="D901" s="102"/>
      <c r="E901" s="107"/>
      <c r="F901" s="108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10"/>
      <c r="V901" s="110"/>
    </row>
    <row r="902" ht="12.75" customHeight="1">
      <c r="A902" s="107"/>
      <c r="B902" s="107"/>
      <c r="C902" s="107"/>
      <c r="D902" s="102"/>
      <c r="E902" s="107"/>
      <c r="F902" s="108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10"/>
      <c r="V902" s="110"/>
    </row>
    <row r="903" ht="12.75" customHeight="1">
      <c r="A903" s="107"/>
      <c r="B903" s="107"/>
      <c r="C903" s="107"/>
      <c r="D903" s="102"/>
      <c r="E903" s="107"/>
      <c r="F903" s="108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10"/>
      <c r="V903" s="110"/>
    </row>
    <row r="904" ht="12.75" customHeight="1">
      <c r="A904" s="107"/>
      <c r="B904" s="107"/>
      <c r="C904" s="107"/>
      <c r="D904" s="102"/>
      <c r="E904" s="107"/>
      <c r="F904" s="108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10"/>
      <c r="V904" s="110"/>
    </row>
    <row r="905" ht="12.75" customHeight="1">
      <c r="A905" s="107"/>
      <c r="B905" s="107"/>
      <c r="C905" s="107"/>
      <c r="D905" s="102"/>
      <c r="E905" s="107"/>
      <c r="F905" s="108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10"/>
      <c r="V905" s="110"/>
    </row>
    <row r="906" ht="12.75" customHeight="1">
      <c r="A906" s="107"/>
      <c r="B906" s="107"/>
      <c r="C906" s="107"/>
      <c r="D906" s="102"/>
      <c r="E906" s="107"/>
      <c r="F906" s="108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10"/>
      <c r="V906" s="110"/>
    </row>
    <row r="907" ht="12.75" customHeight="1">
      <c r="A907" s="107"/>
      <c r="B907" s="107"/>
      <c r="C907" s="107"/>
      <c r="D907" s="102"/>
      <c r="E907" s="107"/>
      <c r="F907" s="108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10"/>
      <c r="V907" s="110"/>
    </row>
    <row r="908" ht="12.75" customHeight="1">
      <c r="A908" s="107"/>
      <c r="B908" s="107"/>
      <c r="C908" s="107"/>
      <c r="D908" s="102"/>
      <c r="E908" s="107"/>
      <c r="F908" s="108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10"/>
      <c r="V908" s="110"/>
    </row>
    <row r="909" ht="12.75" customHeight="1">
      <c r="A909" s="107"/>
      <c r="B909" s="107"/>
      <c r="C909" s="107"/>
      <c r="D909" s="102"/>
      <c r="E909" s="107"/>
      <c r="F909" s="108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10"/>
      <c r="V909" s="110"/>
    </row>
    <row r="910" ht="12.75" customHeight="1">
      <c r="A910" s="107"/>
      <c r="B910" s="107"/>
      <c r="C910" s="107"/>
      <c r="D910" s="102"/>
      <c r="E910" s="107"/>
      <c r="F910" s="108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10"/>
      <c r="V910" s="110"/>
    </row>
    <row r="911" ht="12.75" customHeight="1">
      <c r="A911" s="107"/>
      <c r="B911" s="107"/>
      <c r="C911" s="107"/>
      <c r="D911" s="102"/>
      <c r="E911" s="107"/>
      <c r="F911" s="108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10"/>
      <c r="V911" s="110"/>
    </row>
    <row r="912" ht="12.75" customHeight="1">
      <c r="A912" s="107"/>
      <c r="B912" s="107"/>
      <c r="C912" s="107"/>
      <c r="D912" s="102"/>
      <c r="E912" s="107"/>
      <c r="F912" s="108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10"/>
      <c r="V912" s="110"/>
    </row>
    <row r="913" ht="12.75" customHeight="1">
      <c r="A913" s="107"/>
      <c r="B913" s="107"/>
      <c r="C913" s="107"/>
      <c r="D913" s="102"/>
      <c r="E913" s="107"/>
      <c r="F913" s="108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10"/>
      <c r="V913" s="110"/>
    </row>
    <row r="914" ht="12.75" customHeight="1">
      <c r="A914" s="107"/>
      <c r="B914" s="107"/>
      <c r="C914" s="107"/>
      <c r="D914" s="102"/>
      <c r="E914" s="107"/>
      <c r="F914" s="108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10"/>
      <c r="V914" s="110"/>
    </row>
    <row r="915" ht="12.75" customHeight="1">
      <c r="A915" s="107"/>
      <c r="B915" s="107"/>
      <c r="C915" s="107"/>
      <c r="D915" s="102"/>
      <c r="E915" s="107"/>
      <c r="F915" s="108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10"/>
      <c r="V915" s="110"/>
    </row>
    <row r="916" ht="12.75" customHeight="1">
      <c r="A916" s="107"/>
      <c r="B916" s="107"/>
      <c r="C916" s="107"/>
      <c r="D916" s="102"/>
      <c r="E916" s="107"/>
      <c r="F916" s="108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10"/>
      <c r="V916" s="110"/>
    </row>
    <row r="917" ht="12.75" customHeight="1">
      <c r="A917" s="107"/>
      <c r="B917" s="107"/>
      <c r="C917" s="107"/>
      <c r="D917" s="102"/>
      <c r="E917" s="107"/>
      <c r="F917" s="108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10"/>
      <c r="V917" s="110"/>
    </row>
    <row r="918" ht="12.75" customHeight="1">
      <c r="A918" s="107"/>
      <c r="B918" s="107"/>
      <c r="C918" s="107"/>
      <c r="D918" s="102"/>
      <c r="E918" s="107"/>
      <c r="F918" s="108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10"/>
      <c r="V918" s="110"/>
    </row>
    <row r="919" ht="12.75" customHeight="1">
      <c r="A919" s="107"/>
      <c r="B919" s="107"/>
      <c r="C919" s="107"/>
      <c r="D919" s="102"/>
      <c r="E919" s="107"/>
      <c r="F919" s="108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10"/>
      <c r="V919" s="110"/>
    </row>
    <row r="920" ht="12.75" customHeight="1">
      <c r="A920" s="107"/>
      <c r="B920" s="107"/>
      <c r="C920" s="107"/>
      <c r="D920" s="102"/>
      <c r="E920" s="107"/>
      <c r="F920" s="108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10"/>
      <c r="V920" s="110"/>
    </row>
    <row r="921" ht="12.75" customHeight="1">
      <c r="A921" s="107"/>
      <c r="B921" s="107"/>
      <c r="C921" s="107"/>
      <c r="D921" s="102"/>
      <c r="E921" s="107"/>
      <c r="F921" s="108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10"/>
      <c r="V921" s="110"/>
    </row>
    <row r="922" ht="12.75" customHeight="1">
      <c r="A922" s="107"/>
      <c r="B922" s="107"/>
      <c r="C922" s="107"/>
      <c r="D922" s="102"/>
      <c r="E922" s="107"/>
      <c r="F922" s="108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10"/>
      <c r="V922" s="110"/>
    </row>
    <row r="923" ht="12.75" customHeight="1">
      <c r="A923" s="107"/>
      <c r="B923" s="107"/>
      <c r="C923" s="107"/>
      <c r="D923" s="102"/>
      <c r="E923" s="107"/>
      <c r="F923" s="108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10"/>
      <c r="V923" s="110"/>
    </row>
    <row r="924" ht="12.75" customHeight="1">
      <c r="A924" s="107"/>
      <c r="B924" s="107"/>
      <c r="C924" s="107"/>
      <c r="D924" s="102"/>
      <c r="E924" s="107"/>
      <c r="F924" s="108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10"/>
      <c r="V924" s="110"/>
    </row>
    <row r="925" ht="12.75" customHeight="1">
      <c r="A925" s="107"/>
      <c r="B925" s="107"/>
      <c r="C925" s="107"/>
      <c r="D925" s="102"/>
      <c r="E925" s="107"/>
      <c r="F925" s="108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10"/>
      <c r="V925" s="110"/>
    </row>
    <row r="926" ht="12.75" customHeight="1">
      <c r="A926" s="107"/>
      <c r="B926" s="107"/>
      <c r="C926" s="107"/>
      <c r="D926" s="102"/>
      <c r="E926" s="107"/>
      <c r="F926" s="108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10"/>
      <c r="V926" s="110"/>
    </row>
    <row r="927" ht="12.75" customHeight="1">
      <c r="A927" s="107"/>
      <c r="B927" s="107"/>
      <c r="C927" s="107"/>
      <c r="D927" s="102"/>
      <c r="E927" s="107"/>
      <c r="F927" s="108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10"/>
      <c r="V927" s="110"/>
    </row>
    <row r="928" ht="12.75" customHeight="1">
      <c r="A928" s="107"/>
      <c r="B928" s="107"/>
      <c r="C928" s="107"/>
      <c r="D928" s="102"/>
      <c r="E928" s="107"/>
      <c r="F928" s="108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10"/>
      <c r="V928" s="110"/>
    </row>
    <row r="929" ht="12.75" customHeight="1">
      <c r="A929" s="107"/>
      <c r="B929" s="107"/>
      <c r="C929" s="107"/>
      <c r="D929" s="102"/>
      <c r="E929" s="107"/>
      <c r="F929" s="108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10"/>
      <c r="V929" s="110"/>
    </row>
    <row r="930" ht="12.75" customHeight="1">
      <c r="A930" s="107"/>
      <c r="B930" s="107"/>
      <c r="C930" s="107"/>
      <c r="D930" s="102"/>
      <c r="E930" s="107"/>
      <c r="F930" s="108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10"/>
      <c r="V930" s="110"/>
    </row>
    <row r="931" ht="12.75" customHeight="1">
      <c r="A931" s="107"/>
      <c r="B931" s="107"/>
      <c r="C931" s="107"/>
      <c r="D931" s="102"/>
      <c r="E931" s="107"/>
      <c r="F931" s="108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10"/>
      <c r="V931" s="110"/>
    </row>
    <row r="932" ht="12.75" customHeight="1">
      <c r="A932" s="107"/>
      <c r="B932" s="107"/>
      <c r="C932" s="107"/>
      <c r="D932" s="102"/>
      <c r="E932" s="107"/>
      <c r="F932" s="108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10"/>
      <c r="V932" s="110"/>
    </row>
    <row r="933" ht="12.75" customHeight="1">
      <c r="A933" s="107"/>
      <c r="B933" s="107"/>
      <c r="C933" s="107"/>
      <c r="D933" s="102"/>
      <c r="E933" s="107"/>
      <c r="F933" s="108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10"/>
      <c r="V933" s="110"/>
    </row>
    <row r="934" ht="12.75" customHeight="1">
      <c r="A934" s="107"/>
      <c r="B934" s="107"/>
      <c r="C934" s="107"/>
      <c r="D934" s="102"/>
      <c r="E934" s="107"/>
      <c r="F934" s="108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10"/>
      <c r="V934" s="110"/>
    </row>
    <row r="935" ht="12.75" customHeight="1">
      <c r="A935" s="107"/>
      <c r="B935" s="107"/>
      <c r="C935" s="107"/>
      <c r="D935" s="102"/>
      <c r="E935" s="107"/>
      <c r="F935" s="108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10"/>
      <c r="V935" s="110"/>
    </row>
    <row r="936" ht="12.75" customHeight="1">
      <c r="A936" s="107"/>
      <c r="B936" s="107"/>
      <c r="C936" s="107"/>
      <c r="D936" s="102"/>
      <c r="E936" s="107"/>
      <c r="F936" s="108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10"/>
      <c r="V936" s="110"/>
    </row>
    <row r="937" ht="12.75" customHeight="1">
      <c r="A937" s="107"/>
      <c r="B937" s="107"/>
      <c r="C937" s="107"/>
      <c r="D937" s="102"/>
      <c r="E937" s="107"/>
      <c r="F937" s="108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10"/>
      <c r="V937" s="110"/>
    </row>
    <row r="938" ht="12.75" customHeight="1">
      <c r="A938" s="107"/>
      <c r="B938" s="107"/>
      <c r="C938" s="107"/>
      <c r="D938" s="102"/>
      <c r="E938" s="107"/>
      <c r="F938" s="108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10"/>
      <c r="V938" s="110"/>
    </row>
    <row r="939" ht="12.75" customHeight="1">
      <c r="A939" s="107"/>
      <c r="B939" s="107"/>
      <c r="C939" s="107"/>
      <c r="D939" s="102"/>
      <c r="E939" s="107"/>
      <c r="F939" s="108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10"/>
      <c r="V939" s="110"/>
    </row>
    <row r="940" ht="12.75" customHeight="1">
      <c r="A940" s="107"/>
      <c r="B940" s="107"/>
      <c r="C940" s="107"/>
      <c r="D940" s="102"/>
      <c r="E940" s="107"/>
      <c r="F940" s="108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10"/>
      <c r="V940" s="110"/>
    </row>
    <row r="941" ht="12.75" customHeight="1">
      <c r="A941" s="107"/>
      <c r="B941" s="107"/>
      <c r="C941" s="107"/>
      <c r="D941" s="102"/>
      <c r="E941" s="107"/>
      <c r="F941" s="108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10"/>
      <c r="V941" s="110"/>
    </row>
    <row r="942" ht="12.75" customHeight="1">
      <c r="A942" s="107"/>
      <c r="B942" s="107"/>
      <c r="C942" s="107"/>
      <c r="D942" s="102"/>
      <c r="E942" s="107"/>
      <c r="F942" s="108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10"/>
      <c r="V942" s="110"/>
    </row>
    <row r="943" ht="12.75" customHeight="1">
      <c r="A943" s="107"/>
      <c r="B943" s="107"/>
      <c r="C943" s="107"/>
      <c r="D943" s="102"/>
      <c r="E943" s="107"/>
      <c r="F943" s="108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10"/>
      <c r="V943" s="110"/>
    </row>
    <row r="944" ht="12.75" customHeight="1">
      <c r="A944" s="107"/>
      <c r="B944" s="107"/>
      <c r="C944" s="107"/>
      <c r="D944" s="102"/>
      <c r="E944" s="107"/>
      <c r="F944" s="108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10"/>
      <c r="V944" s="110"/>
    </row>
    <row r="945" ht="12.75" customHeight="1">
      <c r="A945" s="107"/>
      <c r="B945" s="107"/>
      <c r="C945" s="107"/>
      <c r="D945" s="102"/>
      <c r="E945" s="107"/>
      <c r="F945" s="108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10"/>
      <c r="V945" s="110"/>
    </row>
    <row r="946" ht="12.75" customHeight="1">
      <c r="A946" s="107"/>
      <c r="B946" s="107"/>
      <c r="C946" s="107"/>
      <c r="D946" s="102"/>
      <c r="E946" s="107"/>
      <c r="F946" s="108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10"/>
      <c r="V946" s="110"/>
    </row>
    <row r="947" ht="12.75" customHeight="1">
      <c r="A947" s="107"/>
      <c r="B947" s="107"/>
      <c r="C947" s="107"/>
      <c r="D947" s="102"/>
      <c r="E947" s="107"/>
      <c r="F947" s="108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10"/>
      <c r="V947" s="110"/>
    </row>
    <row r="948" ht="12.75" customHeight="1">
      <c r="A948" s="107"/>
      <c r="B948" s="107"/>
      <c r="C948" s="107"/>
      <c r="D948" s="102"/>
      <c r="E948" s="107"/>
      <c r="F948" s="108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10"/>
      <c r="V948" s="110"/>
    </row>
    <row r="949" ht="12.75" customHeight="1">
      <c r="A949" s="107"/>
      <c r="B949" s="107"/>
      <c r="C949" s="107"/>
      <c r="D949" s="102"/>
      <c r="E949" s="107"/>
      <c r="F949" s="108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10"/>
      <c r="V949" s="110"/>
    </row>
    <row r="950" ht="12.75" customHeight="1">
      <c r="A950" s="107"/>
      <c r="B950" s="107"/>
      <c r="C950" s="107"/>
      <c r="D950" s="102"/>
      <c r="E950" s="107"/>
      <c r="F950" s="108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10"/>
      <c r="V950" s="110"/>
    </row>
    <row r="951" ht="12.75" customHeight="1">
      <c r="A951" s="107"/>
      <c r="B951" s="107"/>
      <c r="C951" s="107"/>
      <c r="D951" s="102"/>
      <c r="E951" s="107"/>
      <c r="F951" s="108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10"/>
      <c r="V951" s="110"/>
    </row>
    <row r="952" ht="12.75" customHeight="1">
      <c r="A952" s="107"/>
      <c r="B952" s="107"/>
      <c r="C952" s="107"/>
      <c r="D952" s="102"/>
      <c r="E952" s="107"/>
      <c r="F952" s="108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10"/>
      <c r="V952" s="110"/>
    </row>
    <row r="953" ht="12.75" customHeight="1">
      <c r="A953" s="107"/>
      <c r="B953" s="107"/>
      <c r="C953" s="107"/>
      <c r="D953" s="102"/>
      <c r="E953" s="107"/>
      <c r="F953" s="108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10"/>
      <c r="V953" s="110"/>
    </row>
    <row r="954" ht="12.75" customHeight="1">
      <c r="A954" s="107"/>
      <c r="B954" s="107"/>
      <c r="C954" s="107"/>
      <c r="D954" s="102"/>
      <c r="E954" s="107"/>
      <c r="F954" s="108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10"/>
      <c r="V954" s="110"/>
    </row>
    <row r="955" ht="12.75" customHeight="1">
      <c r="A955" s="107"/>
      <c r="B955" s="107"/>
      <c r="C955" s="107"/>
      <c r="D955" s="102"/>
      <c r="E955" s="107"/>
      <c r="F955" s="108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10"/>
      <c r="V955" s="110"/>
    </row>
    <row r="956" ht="12.75" customHeight="1">
      <c r="A956" s="107"/>
      <c r="B956" s="107"/>
      <c r="C956" s="107"/>
      <c r="D956" s="102"/>
      <c r="E956" s="107"/>
      <c r="F956" s="108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10"/>
      <c r="V956" s="110"/>
    </row>
    <row r="957" ht="12.75" customHeight="1">
      <c r="A957" s="107"/>
      <c r="B957" s="107"/>
      <c r="C957" s="107"/>
      <c r="D957" s="102"/>
      <c r="E957" s="107"/>
      <c r="F957" s="108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10"/>
      <c r="V957" s="110"/>
    </row>
    <row r="958" ht="12.75" customHeight="1">
      <c r="A958" s="107"/>
      <c r="B958" s="107"/>
      <c r="C958" s="107"/>
      <c r="D958" s="102"/>
      <c r="E958" s="107"/>
      <c r="F958" s="108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10"/>
      <c r="V958" s="110"/>
    </row>
    <row r="959" ht="12.75" customHeight="1">
      <c r="A959" s="107"/>
      <c r="B959" s="107"/>
      <c r="C959" s="107"/>
      <c r="D959" s="102"/>
      <c r="E959" s="107"/>
      <c r="F959" s="108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10"/>
      <c r="V959" s="110"/>
    </row>
    <row r="960" ht="12.75" customHeight="1">
      <c r="A960" s="107"/>
      <c r="B960" s="107"/>
      <c r="C960" s="107"/>
      <c r="D960" s="102"/>
      <c r="E960" s="107"/>
      <c r="F960" s="108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10"/>
      <c r="V960" s="110"/>
    </row>
    <row r="961" ht="12.75" customHeight="1">
      <c r="A961" s="107"/>
      <c r="B961" s="107"/>
      <c r="C961" s="107"/>
      <c r="D961" s="102"/>
      <c r="E961" s="107"/>
      <c r="F961" s="108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10"/>
      <c r="V961" s="110"/>
    </row>
    <row r="962" ht="12.75" customHeight="1">
      <c r="A962" s="107"/>
      <c r="B962" s="107"/>
      <c r="C962" s="107"/>
      <c r="D962" s="102"/>
      <c r="E962" s="107"/>
      <c r="F962" s="108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10"/>
      <c r="V962" s="110"/>
    </row>
    <row r="963" ht="12.75" customHeight="1">
      <c r="A963" s="107"/>
      <c r="B963" s="107"/>
      <c r="C963" s="107"/>
      <c r="D963" s="102"/>
      <c r="E963" s="107"/>
      <c r="F963" s="108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10"/>
      <c r="V963" s="110"/>
    </row>
    <row r="964" ht="12.75" customHeight="1">
      <c r="A964" s="107"/>
      <c r="B964" s="107"/>
      <c r="C964" s="107"/>
      <c r="D964" s="102"/>
      <c r="E964" s="107"/>
      <c r="F964" s="108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10"/>
      <c r="V964" s="110"/>
    </row>
    <row r="965" ht="12.75" customHeight="1">
      <c r="A965" s="107"/>
      <c r="B965" s="107"/>
      <c r="C965" s="107"/>
      <c r="D965" s="102"/>
      <c r="E965" s="107"/>
      <c r="F965" s="108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10"/>
      <c r="V965" s="110"/>
    </row>
    <row r="966" ht="12.75" customHeight="1">
      <c r="A966" s="107"/>
      <c r="B966" s="107"/>
      <c r="C966" s="107"/>
      <c r="D966" s="102"/>
      <c r="E966" s="107"/>
      <c r="F966" s="108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10"/>
      <c r="V966" s="110"/>
    </row>
    <row r="967" ht="12.75" customHeight="1">
      <c r="A967" s="107"/>
      <c r="B967" s="107"/>
      <c r="C967" s="107"/>
      <c r="D967" s="102"/>
      <c r="E967" s="107"/>
      <c r="F967" s="108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10"/>
      <c r="V967" s="110"/>
    </row>
    <row r="968" ht="12.75" customHeight="1">
      <c r="A968" s="107"/>
      <c r="B968" s="107"/>
      <c r="C968" s="107"/>
      <c r="D968" s="102"/>
      <c r="E968" s="107"/>
      <c r="F968" s="108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10"/>
      <c r="V968" s="110"/>
    </row>
    <row r="969" ht="12.75" customHeight="1">
      <c r="A969" s="107"/>
      <c r="B969" s="107"/>
      <c r="C969" s="107"/>
      <c r="D969" s="102"/>
      <c r="E969" s="107"/>
      <c r="F969" s="108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10"/>
      <c r="V969" s="110"/>
    </row>
    <row r="970" ht="12.75" customHeight="1">
      <c r="A970" s="107"/>
      <c r="B970" s="107"/>
      <c r="C970" s="107"/>
      <c r="D970" s="102"/>
      <c r="E970" s="107"/>
      <c r="F970" s="108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10"/>
      <c r="V970" s="110"/>
    </row>
    <row r="971" ht="12.75" customHeight="1">
      <c r="A971" s="107"/>
      <c r="B971" s="107"/>
      <c r="C971" s="107"/>
      <c r="D971" s="102"/>
      <c r="E971" s="107"/>
      <c r="F971" s="108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10"/>
      <c r="V971" s="110"/>
    </row>
    <row r="972" ht="12.75" customHeight="1">
      <c r="A972" s="107"/>
      <c r="B972" s="107"/>
      <c r="C972" s="107"/>
      <c r="D972" s="102"/>
      <c r="E972" s="107"/>
      <c r="F972" s="108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10"/>
      <c r="V972" s="110"/>
    </row>
    <row r="973" ht="12.75" customHeight="1">
      <c r="A973" s="107"/>
      <c r="B973" s="107"/>
      <c r="C973" s="107"/>
      <c r="D973" s="102"/>
      <c r="E973" s="107"/>
      <c r="F973" s="108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10"/>
      <c r="V973" s="110"/>
    </row>
    <row r="974" ht="12.75" customHeight="1">
      <c r="A974" s="107"/>
      <c r="B974" s="107"/>
      <c r="C974" s="107"/>
      <c r="D974" s="102"/>
      <c r="E974" s="107"/>
      <c r="F974" s="108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10"/>
      <c r="V974" s="110"/>
    </row>
    <row r="975" ht="12.75" customHeight="1">
      <c r="A975" s="107"/>
      <c r="B975" s="107"/>
      <c r="C975" s="107"/>
      <c r="D975" s="102"/>
      <c r="E975" s="107"/>
      <c r="F975" s="108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10"/>
      <c r="V975" s="110"/>
    </row>
    <row r="976" ht="12.75" customHeight="1">
      <c r="A976" s="107"/>
      <c r="B976" s="107"/>
      <c r="C976" s="107"/>
      <c r="D976" s="102"/>
      <c r="E976" s="107"/>
      <c r="F976" s="108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10"/>
      <c r="V976" s="110"/>
    </row>
    <row r="977" ht="12.75" customHeight="1">
      <c r="A977" s="107"/>
      <c r="B977" s="107"/>
      <c r="C977" s="107"/>
      <c r="D977" s="102"/>
      <c r="E977" s="107"/>
      <c r="F977" s="108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10"/>
      <c r="V977" s="110"/>
    </row>
    <row r="978" ht="12.75" customHeight="1">
      <c r="A978" s="107"/>
      <c r="B978" s="107"/>
      <c r="C978" s="107"/>
      <c r="D978" s="102"/>
      <c r="E978" s="107"/>
      <c r="F978" s="108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10"/>
      <c r="V978" s="110"/>
    </row>
    <row r="979" ht="12.75" customHeight="1">
      <c r="A979" s="107"/>
      <c r="B979" s="107"/>
      <c r="C979" s="107"/>
      <c r="D979" s="102"/>
      <c r="E979" s="107"/>
      <c r="F979" s="108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10"/>
      <c r="V979" s="110"/>
    </row>
    <row r="980" ht="12.75" customHeight="1">
      <c r="A980" s="107"/>
      <c r="B980" s="107"/>
      <c r="C980" s="107"/>
      <c r="D980" s="102"/>
      <c r="E980" s="107"/>
      <c r="F980" s="108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10"/>
      <c r="V980" s="110"/>
    </row>
    <row r="981" ht="12.75" customHeight="1">
      <c r="A981" s="107"/>
      <c r="B981" s="107"/>
      <c r="C981" s="107"/>
      <c r="D981" s="102"/>
      <c r="E981" s="107"/>
      <c r="F981" s="108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10"/>
      <c r="V981" s="110"/>
    </row>
    <row r="982" ht="12.75" customHeight="1">
      <c r="A982" s="107"/>
      <c r="B982" s="107"/>
      <c r="C982" s="107"/>
      <c r="D982" s="102"/>
      <c r="E982" s="107"/>
      <c r="F982" s="108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10"/>
      <c r="V982" s="110"/>
    </row>
    <row r="983" ht="12.75" customHeight="1">
      <c r="A983" s="107"/>
      <c r="B983" s="107"/>
      <c r="C983" s="107"/>
      <c r="D983" s="102"/>
      <c r="E983" s="107"/>
      <c r="F983" s="108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10"/>
      <c r="V983" s="110"/>
    </row>
    <row r="984" ht="12.75" customHeight="1">
      <c r="A984" s="107"/>
      <c r="B984" s="107"/>
      <c r="C984" s="107"/>
      <c r="D984" s="102"/>
      <c r="E984" s="107"/>
      <c r="F984" s="108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10"/>
      <c r="V984" s="110"/>
    </row>
    <row r="985" ht="12.75" customHeight="1">
      <c r="A985" s="107"/>
      <c r="B985" s="107"/>
      <c r="C985" s="107"/>
      <c r="D985" s="102"/>
      <c r="E985" s="107"/>
      <c r="F985" s="108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10"/>
      <c r="V985" s="110"/>
    </row>
    <row r="986" ht="12.75" customHeight="1">
      <c r="A986" s="107"/>
      <c r="B986" s="107"/>
      <c r="C986" s="107"/>
      <c r="D986" s="102"/>
      <c r="E986" s="107"/>
      <c r="F986" s="108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10"/>
      <c r="V986" s="110"/>
    </row>
    <row r="987" ht="12.75" customHeight="1">
      <c r="A987" s="107"/>
      <c r="B987" s="107"/>
      <c r="C987" s="107"/>
      <c r="D987" s="102"/>
      <c r="E987" s="107"/>
      <c r="F987" s="108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10"/>
      <c r="V987" s="110"/>
    </row>
    <row r="988" ht="12.75" customHeight="1">
      <c r="A988" s="107"/>
      <c r="B988" s="107"/>
      <c r="C988" s="107"/>
      <c r="D988" s="102"/>
      <c r="E988" s="107"/>
      <c r="F988" s="108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10"/>
      <c r="V988" s="110"/>
    </row>
    <row r="989" ht="12.75" customHeight="1">
      <c r="A989" s="107"/>
      <c r="B989" s="107"/>
      <c r="C989" s="107"/>
      <c r="D989" s="102"/>
      <c r="E989" s="107"/>
      <c r="F989" s="108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10"/>
      <c r="V989" s="110"/>
    </row>
    <row r="990" ht="12.75" customHeight="1">
      <c r="A990" s="107"/>
      <c r="B990" s="107"/>
      <c r="C990" s="107"/>
      <c r="D990" s="102"/>
      <c r="E990" s="107"/>
      <c r="F990" s="108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10"/>
      <c r="V990" s="110"/>
    </row>
    <row r="991" ht="12.75" customHeight="1">
      <c r="A991" s="107"/>
      <c r="B991" s="107"/>
      <c r="C991" s="107"/>
      <c r="D991" s="102"/>
      <c r="E991" s="107"/>
      <c r="F991" s="108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10"/>
      <c r="V991" s="110"/>
    </row>
    <row r="992" ht="12.75" customHeight="1">
      <c r="A992" s="107"/>
      <c r="B992" s="107"/>
      <c r="C992" s="107"/>
      <c r="D992" s="102"/>
      <c r="E992" s="107"/>
      <c r="F992" s="108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10"/>
      <c r="V992" s="110"/>
    </row>
    <row r="993" ht="12.75" customHeight="1">
      <c r="A993" s="107"/>
      <c r="B993" s="107"/>
      <c r="C993" s="107"/>
      <c r="D993" s="102"/>
      <c r="E993" s="107"/>
      <c r="F993" s="108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10"/>
      <c r="V993" s="110"/>
    </row>
    <row r="994" ht="12.75" customHeight="1">
      <c r="A994" s="107"/>
      <c r="B994" s="107"/>
      <c r="C994" s="107"/>
      <c r="D994" s="102"/>
      <c r="E994" s="107"/>
      <c r="F994" s="108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10"/>
      <c r="V994" s="110"/>
    </row>
    <row r="995" ht="12.75" customHeight="1">
      <c r="A995" s="107"/>
      <c r="B995" s="107"/>
      <c r="C995" s="107"/>
      <c r="D995" s="102"/>
      <c r="E995" s="107"/>
      <c r="F995" s="108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10"/>
      <c r="V995" s="110"/>
    </row>
    <row r="996" ht="12.75" customHeight="1">
      <c r="A996" s="107"/>
      <c r="B996" s="107"/>
      <c r="C996" s="107"/>
      <c r="D996" s="102"/>
      <c r="E996" s="107"/>
      <c r="F996" s="108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10"/>
      <c r="V996" s="110"/>
    </row>
    <row r="997" ht="12.75" customHeight="1">
      <c r="A997" s="107"/>
      <c r="B997" s="107"/>
      <c r="C997" s="107"/>
      <c r="D997" s="102"/>
      <c r="E997" s="107"/>
      <c r="F997" s="108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10"/>
      <c r="V997" s="110"/>
    </row>
    <row r="998" ht="12.75" customHeight="1">
      <c r="A998" s="107"/>
      <c r="B998" s="107"/>
      <c r="C998" s="107"/>
      <c r="D998" s="102"/>
      <c r="E998" s="107"/>
      <c r="F998" s="108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10"/>
      <c r="V998" s="110"/>
    </row>
    <row r="999" ht="12.75" customHeight="1">
      <c r="A999" s="107"/>
      <c r="B999" s="107"/>
      <c r="C999" s="107"/>
      <c r="D999" s="102"/>
      <c r="E999" s="107"/>
      <c r="F999" s="108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10"/>
      <c r="V999" s="110"/>
    </row>
    <row r="1000" ht="12.75" customHeight="1">
      <c r="A1000" s="107"/>
      <c r="B1000" s="107"/>
      <c r="C1000" s="107"/>
      <c r="D1000" s="102"/>
      <c r="E1000" s="107"/>
      <c r="F1000" s="108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10"/>
      <c r="V1000" s="110"/>
    </row>
    <row r="1001" ht="12.75" customHeight="1">
      <c r="A1001" s="107"/>
      <c r="B1001" s="107"/>
      <c r="C1001" s="107"/>
      <c r="D1001" s="102"/>
      <c r="E1001" s="107"/>
      <c r="F1001" s="108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10"/>
      <c r="V1001" s="110"/>
    </row>
    <row r="1002" ht="12.75" customHeight="1">
      <c r="A1002" s="107"/>
      <c r="B1002" s="107"/>
      <c r="C1002" s="107"/>
      <c r="D1002" s="102"/>
      <c r="E1002" s="107"/>
      <c r="F1002" s="108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10"/>
      <c r="V1002" s="110"/>
    </row>
    <row r="1003" ht="12.75" customHeight="1">
      <c r="A1003" s="107"/>
      <c r="B1003" s="107"/>
      <c r="C1003" s="107"/>
      <c r="D1003" s="102"/>
      <c r="E1003" s="107"/>
      <c r="F1003" s="108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10"/>
      <c r="V1003" s="110"/>
    </row>
    <row r="1004" ht="12.75" customHeight="1">
      <c r="A1004" s="107"/>
      <c r="B1004" s="107"/>
      <c r="C1004" s="107"/>
      <c r="D1004" s="102"/>
      <c r="E1004" s="107"/>
      <c r="F1004" s="108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10"/>
      <c r="V1004" s="110"/>
    </row>
    <row r="1005" ht="12.75" customHeight="1">
      <c r="A1005" s="107"/>
      <c r="B1005" s="107"/>
      <c r="C1005" s="107"/>
      <c r="D1005" s="102"/>
      <c r="E1005" s="107"/>
      <c r="F1005" s="108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10"/>
      <c r="V1005" s="110"/>
    </row>
    <row r="1006" ht="12.75" customHeight="1">
      <c r="A1006" s="107"/>
      <c r="B1006" s="107"/>
      <c r="C1006" s="107"/>
      <c r="D1006" s="102"/>
      <c r="E1006" s="107"/>
      <c r="F1006" s="108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10"/>
      <c r="V1006" s="110"/>
    </row>
    <row r="1007" ht="12.75" customHeight="1">
      <c r="A1007" s="107"/>
      <c r="B1007" s="107"/>
      <c r="C1007" s="107"/>
      <c r="D1007" s="102"/>
      <c r="E1007" s="107"/>
      <c r="F1007" s="108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10"/>
      <c r="V1007" s="110"/>
    </row>
    <row r="1008" ht="12.75" customHeight="1">
      <c r="A1008" s="107"/>
      <c r="B1008" s="107"/>
      <c r="C1008" s="107"/>
      <c r="D1008" s="102"/>
      <c r="E1008" s="107"/>
      <c r="F1008" s="108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10"/>
      <c r="V1008" s="110"/>
    </row>
    <row r="1009" ht="12.75" customHeight="1">
      <c r="A1009" s="107"/>
      <c r="B1009" s="107"/>
      <c r="C1009" s="107"/>
      <c r="D1009" s="102"/>
      <c r="E1009" s="107"/>
      <c r="F1009" s="108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10"/>
      <c r="V1009" s="110"/>
    </row>
    <row r="1010" ht="12.75" customHeight="1">
      <c r="A1010" s="107"/>
      <c r="B1010" s="107"/>
      <c r="C1010" s="107"/>
      <c r="D1010" s="102"/>
      <c r="E1010" s="107"/>
      <c r="F1010" s="108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10"/>
      <c r="V1010" s="110"/>
    </row>
    <row r="1011" ht="12.75" customHeight="1">
      <c r="A1011" s="107"/>
      <c r="B1011" s="107"/>
      <c r="C1011" s="107"/>
      <c r="D1011" s="102"/>
      <c r="E1011" s="107"/>
      <c r="F1011" s="108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10"/>
      <c r="V1011" s="110"/>
    </row>
    <row r="1012" ht="12.75" customHeight="1">
      <c r="A1012" s="107"/>
      <c r="B1012" s="107"/>
      <c r="C1012" s="107"/>
      <c r="D1012" s="102"/>
      <c r="E1012" s="107"/>
      <c r="F1012" s="108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10"/>
      <c r="V1012" s="110"/>
    </row>
    <row r="1013" ht="12.75" customHeight="1">
      <c r="A1013" s="107"/>
      <c r="B1013" s="107"/>
      <c r="C1013" s="107"/>
      <c r="D1013" s="102"/>
      <c r="E1013" s="107"/>
      <c r="F1013" s="108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10"/>
      <c r="V1013" s="110"/>
    </row>
    <row r="1014" ht="12.75" customHeight="1">
      <c r="A1014" s="107"/>
      <c r="B1014" s="107"/>
      <c r="C1014" s="107"/>
      <c r="D1014" s="102"/>
      <c r="E1014" s="107"/>
      <c r="F1014" s="108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10"/>
      <c r="V1014" s="110"/>
    </row>
    <row r="1015" ht="12.75" customHeight="1">
      <c r="A1015" s="107"/>
      <c r="B1015" s="107"/>
      <c r="C1015" s="107"/>
      <c r="D1015" s="102"/>
      <c r="E1015" s="107"/>
      <c r="F1015" s="108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10"/>
      <c r="V1015" s="110"/>
    </row>
    <row r="1016" ht="12.75" customHeight="1">
      <c r="A1016" s="107"/>
      <c r="B1016" s="107"/>
      <c r="C1016" s="107"/>
      <c r="D1016" s="102"/>
      <c r="E1016" s="107"/>
      <c r="F1016" s="108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10"/>
      <c r="V1016" s="110"/>
    </row>
    <row r="1017" ht="12.75" customHeight="1">
      <c r="A1017" s="107"/>
      <c r="B1017" s="107"/>
      <c r="C1017" s="107"/>
      <c r="D1017" s="102"/>
      <c r="E1017" s="107"/>
      <c r="F1017" s="108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10"/>
      <c r="V1017" s="110"/>
    </row>
    <row r="1018" ht="12.75" customHeight="1">
      <c r="A1018" s="107"/>
      <c r="B1018" s="107"/>
      <c r="C1018" s="107"/>
      <c r="D1018" s="102"/>
      <c r="E1018" s="107"/>
      <c r="F1018" s="108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10"/>
      <c r="V1018" s="110"/>
    </row>
    <row r="1019" ht="12.75" customHeight="1">
      <c r="A1019" s="107"/>
      <c r="B1019" s="107"/>
      <c r="C1019" s="107"/>
      <c r="D1019" s="102"/>
      <c r="E1019" s="107"/>
      <c r="F1019" s="108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10"/>
      <c r="V1019" s="110"/>
    </row>
    <row r="1020" ht="12.75" customHeight="1">
      <c r="A1020" s="107"/>
      <c r="B1020" s="107"/>
      <c r="C1020" s="107"/>
      <c r="D1020" s="102"/>
      <c r="E1020" s="107"/>
      <c r="F1020" s="108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10"/>
      <c r="V1020" s="110"/>
    </row>
    <row r="1021" ht="12.75" customHeight="1">
      <c r="A1021" s="107"/>
      <c r="B1021" s="107"/>
      <c r="C1021" s="107"/>
      <c r="D1021" s="102"/>
      <c r="E1021" s="107"/>
      <c r="F1021" s="108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10"/>
      <c r="V1021" s="110"/>
    </row>
    <row r="1022" ht="12.75" customHeight="1">
      <c r="A1022" s="107"/>
      <c r="B1022" s="107"/>
      <c r="C1022" s="107"/>
      <c r="D1022" s="102"/>
      <c r="E1022" s="107"/>
      <c r="F1022" s="108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10"/>
      <c r="V1022" s="110"/>
    </row>
    <row r="1023" ht="12.75" customHeight="1">
      <c r="A1023" s="107"/>
      <c r="B1023" s="107"/>
      <c r="C1023" s="107"/>
      <c r="D1023" s="102"/>
      <c r="E1023" s="107"/>
      <c r="F1023" s="108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10"/>
      <c r="V1023" s="110"/>
    </row>
    <row r="1024" ht="12.75" customHeight="1">
      <c r="A1024" s="107"/>
      <c r="B1024" s="107"/>
      <c r="C1024" s="107"/>
      <c r="D1024" s="102"/>
      <c r="E1024" s="107"/>
      <c r="F1024" s="108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10"/>
      <c r="V1024" s="110"/>
    </row>
    <row r="1025" ht="12.75" customHeight="1">
      <c r="A1025" s="107"/>
      <c r="B1025" s="107"/>
      <c r="C1025" s="107"/>
      <c r="D1025" s="102"/>
      <c r="E1025" s="107"/>
      <c r="F1025" s="108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10"/>
      <c r="V1025" s="110"/>
    </row>
    <row r="1026" ht="12.75" customHeight="1">
      <c r="A1026" s="107"/>
      <c r="B1026" s="107"/>
      <c r="C1026" s="107"/>
      <c r="D1026" s="102"/>
      <c r="E1026" s="107"/>
      <c r="F1026" s="108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10"/>
      <c r="V1026" s="110"/>
    </row>
    <row r="1027" ht="12.75" customHeight="1">
      <c r="A1027" s="107"/>
      <c r="B1027" s="107"/>
      <c r="C1027" s="107"/>
      <c r="D1027" s="102"/>
      <c r="E1027" s="107"/>
      <c r="F1027" s="108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10"/>
      <c r="V1027" s="110"/>
    </row>
    <row r="1028" ht="12.75" customHeight="1">
      <c r="A1028" s="107"/>
      <c r="B1028" s="107"/>
      <c r="C1028" s="107"/>
      <c r="D1028" s="102"/>
      <c r="E1028" s="107"/>
      <c r="F1028" s="108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10"/>
      <c r="V1028" s="110"/>
    </row>
    <row r="1029" ht="12.75" customHeight="1">
      <c r="A1029" s="107"/>
      <c r="B1029" s="107"/>
      <c r="C1029" s="107"/>
      <c r="D1029" s="102"/>
      <c r="E1029" s="107"/>
      <c r="F1029" s="108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10"/>
      <c r="V1029" s="110"/>
    </row>
    <row r="1030" ht="12.75" customHeight="1">
      <c r="A1030" s="107"/>
      <c r="B1030" s="107"/>
      <c r="C1030" s="107"/>
      <c r="D1030" s="102"/>
      <c r="E1030" s="107"/>
      <c r="F1030" s="108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10"/>
      <c r="V1030" s="110"/>
    </row>
    <row r="1031" ht="12.75" customHeight="1">
      <c r="A1031" s="107"/>
      <c r="B1031" s="107"/>
      <c r="C1031" s="107"/>
      <c r="D1031" s="102"/>
      <c r="E1031" s="107"/>
      <c r="F1031" s="108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10"/>
      <c r="V1031" s="110"/>
    </row>
    <row r="1032" ht="12.75" customHeight="1">
      <c r="A1032" s="107"/>
      <c r="B1032" s="107"/>
      <c r="C1032" s="107"/>
      <c r="D1032" s="102"/>
      <c r="E1032" s="107"/>
      <c r="F1032" s="108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10"/>
      <c r="V1032" s="110"/>
    </row>
    <row r="1033" ht="12.75" customHeight="1">
      <c r="A1033" s="107"/>
      <c r="B1033" s="107"/>
      <c r="C1033" s="107"/>
      <c r="D1033" s="102"/>
      <c r="E1033" s="107"/>
      <c r="F1033" s="108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10"/>
      <c r="V1033" s="110"/>
    </row>
    <row r="1034" ht="12.75" customHeight="1">
      <c r="A1034" s="107"/>
      <c r="B1034" s="107"/>
      <c r="C1034" s="107"/>
      <c r="D1034" s="102"/>
      <c r="E1034" s="107"/>
      <c r="F1034" s="108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10"/>
      <c r="V1034" s="110"/>
    </row>
    <row r="1035" ht="12.75" customHeight="1">
      <c r="A1035" s="107"/>
      <c r="B1035" s="107"/>
      <c r="C1035" s="107"/>
      <c r="D1035" s="102"/>
      <c r="E1035" s="107"/>
      <c r="F1035" s="108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10"/>
      <c r="V1035" s="110"/>
    </row>
    <row r="1036" ht="12.75" customHeight="1">
      <c r="A1036" s="107"/>
      <c r="B1036" s="107"/>
      <c r="C1036" s="107"/>
      <c r="D1036" s="102"/>
      <c r="E1036" s="107"/>
      <c r="F1036" s="108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10"/>
      <c r="V1036" s="110"/>
    </row>
    <row r="1037" ht="12.75" customHeight="1">
      <c r="A1037" s="107"/>
      <c r="B1037" s="107"/>
      <c r="C1037" s="107"/>
      <c r="D1037" s="102"/>
      <c r="E1037" s="107"/>
      <c r="F1037" s="108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10"/>
      <c r="V1037" s="110"/>
    </row>
    <row r="1038" ht="12.75" customHeight="1">
      <c r="A1038" s="107"/>
      <c r="B1038" s="107"/>
      <c r="C1038" s="107"/>
      <c r="D1038" s="102"/>
      <c r="E1038" s="107"/>
      <c r="F1038" s="108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10"/>
      <c r="V1038" s="110"/>
    </row>
    <row r="1039" ht="12.75" customHeight="1">
      <c r="A1039" s="107"/>
      <c r="B1039" s="107"/>
      <c r="C1039" s="107"/>
      <c r="D1039" s="102"/>
      <c r="E1039" s="107"/>
      <c r="F1039" s="108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10"/>
      <c r="V1039" s="110"/>
    </row>
    <row r="1040" ht="12.75" customHeight="1">
      <c r="A1040" s="107"/>
      <c r="B1040" s="107"/>
      <c r="C1040" s="107"/>
      <c r="D1040" s="102"/>
      <c r="E1040" s="107"/>
      <c r="F1040" s="108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10"/>
      <c r="V1040" s="110"/>
    </row>
    <row r="1041" ht="12.75" customHeight="1">
      <c r="A1041" s="107"/>
      <c r="B1041" s="107"/>
      <c r="C1041" s="107"/>
      <c r="D1041" s="102"/>
      <c r="E1041" s="107"/>
      <c r="F1041" s="108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10"/>
      <c r="V1041" s="110"/>
    </row>
    <row r="1042" ht="12.75" customHeight="1">
      <c r="A1042" s="107"/>
      <c r="B1042" s="107"/>
      <c r="C1042" s="107"/>
      <c r="D1042" s="102"/>
      <c r="E1042" s="107"/>
      <c r="F1042" s="108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10"/>
      <c r="V1042" s="110"/>
    </row>
    <row r="1043" ht="12.75" customHeight="1">
      <c r="A1043" s="107"/>
      <c r="B1043" s="107"/>
      <c r="C1043" s="107"/>
      <c r="D1043" s="102"/>
      <c r="E1043" s="107"/>
      <c r="F1043" s="108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10"/>
      <c r="V1043" s="110"/>
    </row>
    <row r="1044" ht="12.75" customHeight="1">
      <c r="A1044" s="107"/>
      <c r="B1044" s="107"/>
      <c r="C1044" s="107"/>
      <c r="D1044" s="102"/>
      <c r="E1044" s="107"/>
      <c r="F1044" s="108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10"/>
      <c r="V1044" s="110"/>
    </row>
    <row r="1045" ht="12.75" customHeight="1">
      <c r="A1045" s="107"/>
      <c r="B1045" s="107"/>
      <c r="C1045" s="107"/>
      <c r="D1045" s="102"/>
      <c r="E1045" s="107"/>
      <c r="F1045" s="108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10"/>
      <c r="V1045" s="110"/>
    </row>
    <row r="1046" ht="12.75" customHeight="1">
      <c r="A1046" s="107"/>
      <c r="B1046" s="107"/>
      <c r="C1046" s="107"/>
      <c r="D1046" s="102"/>
      <c r="E1046" s="107"/>
      <c r="F1046" s="108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10"/>
      <c r="V1046" s="110"/>
    </row>
    <row r="1047" ht="12.75" customHeight="1">
      <c r="A1047" s="107"/>
      <c r="B1047" s="107"/>
      <c r="C1047" s="107"/>
      <c r="D1047" s="102"/>
      <c r="E1047" s="107"/>
      <c r="F1047" s="108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10"/>
      <c r="V1047" s="110"/>
    </row>
    <row r="1048" ht="12.75" customHeight="1">
      <c r="A1048" s="107"/>
      <c r="B1048" s="107"/>
      <c r="C1048" s="107"/>
      <c r="D1048" s="102"/>
      <c r="E1048" s="107"/>
      <c r="F1048" s="108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10"/>
      <c r="V1048" s="110"/>
    </row>
    <row r="1049" ht="12.75" customHeight="1">
      <c r="A1049" s="107"/>
      <c r="B1049" s="107"/>
      <c r="C1049" s="107"/>
      <c r="D1049" s="102"/>
      <c r="E1049" s="107"/>
      <c r="F1049" s="108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10"/>
      <c r="V1049" s="110"/>
    </row>
    <row r="1050" ht="12.75" customHeight="1">
      <c r="A1050" s="107"/>
      <c r="B1050" s="107"/>
      <c r="C1050" s="107"/>
      <c r="D1050" s="102"/>
      <c r="E1050" s="107"/>
      <c r="F1050" s="108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10"/>
      <c r="V1050" s="110"/>
    </row>
    <row r="1051" ht="12.75" customHeight="1">
      <c r="A1051" s="107"/>
      <c r="B1051" s="107"/>
      <c r="C1051" s="107"/>
      <c r="D1051" s="102"/>
      <c r="E1051" s="107"/>
      <c r="F1051" s="108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10"/>
      <c r="V1051" s="110"/>
    </row>
    <row r="1052" ht="12.75" customHeight="1">
      <c r="A1052" s="107"/>
      <c r="B1052" s="107"/>
      <c r="C1052" s="107"/>
      <c r="D1052" s="102"/>
      <c r="E1052" s="107"/>
      <c r="F1052" s="108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10"/>
      <c r="V1052" s="110"/>
    </row>
    <row r="1053" ht="12.75" customHeight="1">
      <c r="A1053" s="107"/>
      <c r="B1053" s="107"/>
      <c r="C1053" s="107"/>
      <c r="D1053" s="102"/>
      <c r="E1053" s="107"/>
      <c r="F1053" s="108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10"/>
      <c r="V1053" s="110"/>
    </row>
    <row r="1054" ht="12.75" customHeight="1">
      <c r="A1054" s="107"/>
      <c r="B1054" s="107"/>
      <c r="C1054" s="107"/>
      <c r="D1054" s="102"/>
      <c r="E1054" s="107"/>
      <c r="F1054" s="108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10"/>
      <c r="V1054" s="110"/>
    </row>
    <row r="1055" ht="12.75" customHeight="1">
      <c r="A1055" s="107"/>
      <c r="B1055" s="107"/>
      <c r="C1055" s="107"/>
      <c r="D1055" s="102"/>
      <c r="E1055" s="107"/>
      <c r="F1055" s="108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10"/>
      <c r="V1055" s="110"/>
    </row>
    <row r="1056" ht="12.75" customHeight="1">
      <c r="A1056" s="107"/>
      <c r="B1056" s="107"/>
      <c r="C1056" s="107"/>
      <c r="D1056" s="102"/>
      <c r="E1056" s="107"/>
      <c r="F1056" s="108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10"/>
      <c r="V1056" s="110"/>
    </row>
    <row r="1057" ht="12.75" customHeight="1">
      <c r="A1057" s="107"/>
      <c r="B1057" s="107"/>
      <c r="C1057" s="107"/>
      <c r="D1057" s="102"/>
      <c r="E1057" s="107"/>
      <c r="F1057" s="108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10"/>
      <c r="V1057" s="110"/>
    </row>
    <row r="1058" ht="12.75" customHeight="1">
      <c r="A1058" s="107"/>
      <c r="B1058" s="107"/>
      <c r="C1058" s="107"/>
      <c r="D1058" s="102"/>
      <c r="E1058" s="107"/>
      <c r="F1058" s="108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10"/>
      <c r="V1058" s="110"/>
    </row>
    <row r="1059" ht="12.75" customHeight="1">
      <c r="A1059" s="107"/>
      <c r="B1059" s="107"/>
      <c r="C1059" s="107"/>
      <c r="D1059" s="102"/>
      <c r="E1059" s="107"/>
      <c r="F1059" s="108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10"/>
      <c r="V1059" s="110"/>
    </row>
    <row r="1060" ht="12.75" customHeight="1">
      <c r="A1060" s="107"/>
      <c r="B1060" s="107"/>
      <c r="C1060" s="107"/>
      <c r="D1060" s="102"/>
      <c r="E1060" s="107"/>
      <c r="F1060" s="108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10"/>
      <c r="V1060" s="110"/>
    </row>
    <row r="1061" ht="12.75" customHeight="1">
      <c r="A1061" s="107"/>
      <c r="B1061" s="107"/>
      <c r="C1061" s="107"/>
      <c r="D1061" s="102"/>
      <c r="E1061" s="107"/>
      <c r="F1061" s="108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10"/>
      <c r="V1061" s="110"/>
    </row>
    <row r="1062" ht="12.75" customHeight="1">
      <c r="A1062" s="107"/>
      <c r="B1062" s="107"/>
      <c r="C1062" s="107"/>
      <c r="D1062" s="102"/>
      <c r="E1062" s="107"/>
      <c r="F1062" s="108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10"/>
      <c r="V1062" s="110"/>
    </row>
    <row r="1063" ht="12.75" customHeight="1">
      <c r="A1063" s="107"/>
      <c r="B1063" s="107"/>
      <c r="C1063" s="107"/>
      <c r="D1063" s="102"/>
      <c r="E1063" s="107"/>
      <c r="F1063" s="108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10"/>
      <c r="V1063" s="110"/>
    </row>
    <row r="1064" ht="12.75" customHeight="1">
      <c r="A1064" s="107"/>
      <c r="B1064" s="107"/>
      <c r="C1064" s="107"/>
      <c r="D1064" s="102"/>
      <c r="E1064" s="107"/>
      <c r="F1064" s="108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10"/>
      <c r="V1064" s="110"/>
    </row>
    <row r="1065" ht="12.75" customHeight="1">
      <c r="A1065" s="107"/>
      <c r="B1065" s="107"/>
      <c r="C1065" s="107"/>
      <c r="D1065" s="102"/>
      <c r="E1065" s="107"/>
      <c r="F1065" s="108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10"/>
      <c r="V1065" s="110"/>
    </row>
    <row r="1066" ht="12.75" customHeight="1">
      <c r="A1066" s="107"/>
      <c r="B1066" s="107"/>
      <c r="C1066" s="107"/>
      <c r="D1066" s="102"/>
      <c r="E1066" s="107"/>
      <c r="F1066" s="108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10"/>
      <c r="V1066" s="110"/>
    </row>
    <row r="1067" ht="12.75" customHeight="1">
      <c r="A1067" s="107"/>
      <c r="B1067" s="107"/>
      <c r="C1067" s="107"/>
      <c r="D1067" s="102"/>
      <c r="E1067" s="107"/>
      <c r="F1067" s="108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10"/>
      <c r="V1067" s="110"/>
    </row>
    <row r="1068" ht="12.75" customHeight="1">
      <c r="A1068" s="107"/>
      <c r="B1068" s="107"/>
      <c r="C1068" s="107"/>
      <c r="D1068" s="102"/>
      <c r="E1068" s="107"/>
      <c r="F1068" s="108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10"/>
      <c r="V1068" s="110"/>
    </row>
    <row r="1069" ht="12.75" customHeight="1">
      <c r="A1069" s="107"/>
      <c r="B1069" s="107"/>
      <c r="C1069" s="107"/>
      <c r="D1069" s="102"/>
      <c r="E1069" s="107"/>
      <c r="F1069" s="108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10"/>
      <c r="V1069" s="110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1977</v>
      </c>
      <c r="D2" s="117"/>
      <c r="E2" s="116">
        <f t="shared" ref="E2:R2" si="1">SUM(E5,E11)</f>
        <v>1977</v>
      </c>
      <c r="F2" s="116">
        <f t="shared" si="1"/>
        <v>12</v>
      </c>
      <c r="G2" s="118">
        <f t="shared" si="1"/>
        <v>4</v>
      </c>
      <c r="H2" s="118">
        <f t="shared" si="1"/>
        <v>1</v>
      </c>
      <c r="I2" s="118">
        <f t="shared" si="1"/>
        <v>0</v>
      </c>
      <c r="J2" s="118">
        <f t="shared" si="1"/>
        <v>0</v>
      </c>
      <c r="K2" s="118">
        <f t="shared" si="1"/>
        <v>3</v>
      </c>
      <c r="L2" s="118">
        <f t="shared" si="1"/>
        <v>0</v>
      </c>
      <c r="M2" s="118">
        <f t="shared" si="1"/>
        <v>8</v>
      </c>
      <c r="N2" s="118">
        <f t="shared" si="1"/>
        <v>1</v>
      </c>
      <c r="O2" s="118">
        <f t="shared" si="1"/>
        <v>1</v>
      </c>
      <c r="P2" s="118">
        <f t="shared" si="1"/>
        <v>3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33</v>
      </c>
      <c r="D4" s="120"/>
      <c r="E4" s="50">
        <f>IFERROR(C2/H2,0)</f>
        <v>1977</v>
      </c>
      <c r="F4" s="51">
        <f>IFERROR((G2+R2)/F2,0)</f>
        <v>0.3333333333</v>
      </c>
      <c r="G4" s="51">
        <f>IFERROR(H2/G2,0)</f>
        <v>0.25</v>
      </c>
      <c r="H4" s="50">
        <f>(C2/C4)</f>
        <v>59.90909091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2</v>
      </c>
      <c r="N4" s="46"/>
      <c r="O4" s="51">
        <f>IFERROR(O2/N2,0)</f>
        <v>1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1977</v>
      </c>
      <c r="D5" s="125"/>
      <c r="E5" s="126">
        <f>SUMIFS(T:T,A:A,B5,D:D,"Y")</f>
        <v>1977</v>
      </c>
      <c r="F5" s="116">
        <f>SUMIF(A:A,B5,G:G)</f>
        <v>12</v>
      </c>
      <c r="G5" s="118">
        <f>SUMIF(A:A,B5,H:H)</f>
        <v>4</v>
      </c>
      <c r="H5" s="118">
        <f>SUMIF(A:A,B5,I:I)</f>
        <v>1</v>
      </c>
      <c r="I5" s="118">
        <f>SUMIF(A:A,B5,P:P)</f>
        <v>0</v>
      </c>
      <c r="J5" s="118">
        <f>SUMIF(A:A,B5,Q:Q)</f>
        <v>0</v>
      </c>
      <c r="K5" s="118">
        <f>SUMIF(A:A,B5,R:R)</f>
        <v>3</v>
      </c>
      <c r="L5" s="118">
        <f>SUMIF(A:A,B5,S:S)</f>
        <v>0</v>
      </c>
      <c r="M5" s="118">
        <f>SUMIF(A:A,B5,M:M)</f>
        <v>8</v>
      </c>
      <c r="N5" s="118">
        <f>SUMIF(A:A,B5,N:N)</f>
        <v>1</v>
      </c>
      <c r="O5" s="118">
        <f>SUMIF(A:A,B5,O:O)</f>
        <v>1</v>
      </c>
      <c r="P5" s="118">
        <f>SUMIF(A:A,B5,J:J)</f>
        <v>3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1977</v>
      </c>
      <c r="F7" s="51">
        <f>IFERROR((G5+R5)/F5,0)</f>
        <v>0.3333333333</v>
      </c>
      <c r="G7" s="51">
        <f>IFERROR(H5/G5,0)</f>
        <v>0.25</v>
      </c>
      <c r="H7" s="50">
        <f>(C5/C7)</f>
        <v>123.5625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2</v>
      </c>
      <c r="N7" s="46"/>
      <c r="O7" s="51">
        <f>IFERROR(O5/N5,0)</f>
        <v>1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1977</v>
      </c>
      <c r="D8" s="36"/>
      <c r="E8" s="37">
        <f>SUMIFS(T:T,B:B,B8,D:D,"Y")</f>
        <v>1977</v>
      </c>
      <c r="F8" s="38">
        <f>SUMIF(B19:B1129,B8,G19:G1129)</f>
        <v>12</v>
      </c>
      <c r="G8" s="39">
        <f>SUMIF(B19:B1129,B8,H19:H1129)</f>
        <v>4</v>
      </c>
      <c r="H8" s="38">
        <f>SUMIF(B19:B1129,B8,I19:I1129)</f>
        <v>1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3</v>
      </c>
      <c r="L8" s="39">
        <f>SUMIF(B19:B1129,B8,S19:S1129)</f>
        <v>0</v>
      </c>
      <c r="M8" s="39">
        <f>SUMIF(B19:B1129,B8,M19:M1129)</f>
        <v>8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3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1977</v>
      </c>
      <c r="F10" s="51">
        <f>IFERROR((G8+R8)/F8,0)</f>
        <v>0.3333333333</v>
      </c>
      <c r="G10" s="51">
        <f>IFERROR(H8/G8,0)</f>
        <v>0.25</v>
      </c>
      <c r="H10" s="50">
        <f>(C8/C10)</f>
        <v>131.8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2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1" si="2">IFERROR(I20/H20,0)</f>
        <v>0</v>
      </c>
      <c r="V20" s="131">
        <f t="shared" ref="V20:V35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2.0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0.0</v>
      </c>
      <c r="H23" s="136">
        <v>0.0</v>
      </c>
      <c r="I23" s="136">
        <v>0.0</v>
      </c>
      <c r="J23" s="136">
        <v>0.0</v>
      </c>
      <c r="K23" s="136">
        <v>0.0</v>
      </c>
      <c r="L23" s="136">
        <v>0.0</v>
      </c>
      <c r="M23" s="136">
        <v>0.0</v>
      </c>
      <c r="N23" s="136">
        <v>0.0</v>
      </c>
      <c r="O23" s="136">
        <v>0.0</v>
      </c>
      <c r="P23" s="136">
        <v>0.0</v>
      </c>
      <c r="Q23" s="136">
        <v>0.0</v>
      </c>
      <c r="R23" s="136">
        <v>0.0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3" t="s">
        <v>26</v>
      </c>
      <c r="B24" s="144" t="s">
        <v>27</v>
      </c>
      <c r="C24" s="145" t="s">
        <v>51</v>
      </c>
      <c r="D24" s="146" t="s">
        <v>46</v>
      </c>
      <c r="E24" s="144" t="s">
        <v>47</v>
      </c>
      <c r="F24" s="145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7" t="s">
        <v>26</v>
      </c>
      <c r="B25" s="148" t="s">
        <v>27</v>
      </c>
      <c r="C25" s="149" t="s">
        <v>51</v>
      </c>
      <c r="D25" s="84"/>
      <c r="E25" s="148" t="s">
        <v>47</v>
      </c>
      <c r="F25" s="149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47" t="s">
        <v>26</v>
      </c>
      <c r="B26" s="148" t="s">
        <v>27</v>
      </c>
      <c r="C26" s="149" t="s">
        <v>51</v>
      </c>
      <c r="D26" s="84"/>
      <c r="E26" s="148" t="s">
        <v>47</v>
      </c>
      <c r="F26" s="149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7" t="s">
        <v>26</v>
      </c>
      <c r="B27" s="148" t="s">
        <v>27</v>
      </c>
      <c r="C27" s="149" t="s">
        <v>51</v>
      </c>
      <c r="D27" s="84"/>
      <c r="E27" s="148" t="s">
        <v>47</v>
      </c>
      <c r="F27" s="149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7" t="s">
        <v>26</v>
      </c>
      <c r="B28" s="138" t="s">
        <v>27</v>
      </c>
      <c r="C28" s="150" t="s">
        <v>55</v>
      </c>
      <c r="D28" s="151" t="s">
        <v>46</v>
      </c>
      <c r="E28" s="152" t="s">
        <v>47</v>
      </c>
      <c r="F28" s="150" t="s">
        <v>55</v>
      </c>
      <c r="G28" s="136">
        <v>5.0</v>
      </c>
      <c r="H28" s="136">
        <v>2.0</v>
      </c>
      <c r="I28" s="136">
        <v>1.0</v>
      </c>
      <c r="J28" s="136">
        <v>1.0</v>
      </c>
      <c r="K28" s="136">
        <v>0.0</v>
      </c>
      <c r="L28" s="136">
        <v>0.0</v>
      </c>
      <c r="M28" s="136">
        <v>5.0</v>
      </c>
      <c r="N28" s="136">
        <v>1.0</v>
      </c>
      <c r="O28" s="136">
        <v>1.0</v>
      </c>
      <c r="P28" s="136">
        <v>0.0</v>
      </c>
      <c r="Q28" s="136">
        <v>0.0</v>
      </c>
      <c r="R28" s="136">
        <v>1.0</v>
      </c>
      <c r="S28" s="136">
        <v>0.0</v>
      </c>
      <c r="T28" s="136">
        <v>1977.0</v>
      </c>
      <c r="U28" s="131">
        <f t="shared" si="2"/>
        <v>0.5</v>
      </c>
      <c r="V28" s="131">
        <f t="shared" si="3"/>
        <v>0.4</v>
      </c>
    </row>
    <row r="29" ht="12.75" customHeight="1">
      <c r="A29" s="140" t="s">
        <v>26</v>
      </c>
      <c r="B29" s="141" t="s">
        <v>27</v>
      </c>
      <c r="C29" s="141" t="s">
        <v>55</v>
      </c>
      <c r="D29" s="75"/>
      <c r="E29" s="141" t="s">
        <v>47</v>
      </c>
      <c r="F29" s="63" t="s">
        <v>56</v>
      </c>
      <c r="G29" s="136">
        <v>5.0</v>
      </c>
      <c r="H29" s="136">
        <v>2.0</v>
      </c>
      <c r="I29" s="136">
        <v>0.0</v>
      </c>
      <c r="J29" s="136">
        <v>2.0</v>
      </c>
      <c r="K29" s="136">
        <v>0.0</v>
      </c>
      <c r="L29" s="136">
        <v>0.0</v>
      </c>
      <c r="M29" s="136">
        <v>3.0</v>
      </c>
      <c r="N29" s="136">
        <v>0.0</v>
      </c>
      <c r="O29" s="136">
        <v>0.0</v>
      </c>
      <c r="P29" s="136">
        <v>0.0</v>
      </c>
      <c r="Q29" s="136">
        <v>0.0</v>
      </c>
      <c r="R29" s="136">
        <v>2.0</v>
      </c>
      <c r="S29" s="136">
        <v>0.0</v>
      </c>
      <c r="T29" s="136">
        <v>0.0</v>
      </c>
      <c r="U29" s="131">
        <f t="shared" si="2"/>
        <v>0</v>
      </c>
      <c r="V29" s="131">
        <f t="shared" si="3"/>
        <v>0.4</v>
      </c>
    </row>
    <row r="30" ht="12.75" customHeight="1">
      <c r="A30" s="140" t="s">
        <v>26</v>
      </c>
      <c r="B30" s="141" t="s">
        <v>27</v>
      </c>
      <c r="C30" s="141" t="s">
        <v>55</v>
      </c>
      <c r="D30" s="75"/>
      <c r="E30" s="142"/>
      <c r="F30" s="63" t="s">
        <v>57</v>
      </c>
      <c r="G30" s="136">
        <v>0.0</v>
      </c>
      <c r="H30" s="136">
        <v>0.0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2"/>
        <v>0</v>
      </c>
      <c r="V30" s="131">
        <f t="shared" si="3"/>
        <v>0</v>
      </c>
    </row>
    <row r="31" ht="12.75" customHeight="1">
      <c r="A31" s="140" t="s">
        <v>26</v>
      </c>
      <c r="B31" s="141" t="s">
        <v>27</v>
      </c>
      <c r="C31" s="141" t="s">
        <v>55</v>
      </c>
      <c r="D31" s="75"/>
      <c r="E31" s="142"/>
      <c r="F31" s="63" t="s">
        <v>58</v>
      </c>
      <c r="G31" s="136">
        <v>0.0</v>
      </c>
      <c r="H31" s="136">
        <v>0.0</v>
      </c>
      <c r="I31" s="136">
        <v>0.0</v>
      </c>
      <c r="J31" s="136">
        <v>0.0</v>
      </c>
      <c r="K31" s="136">
        <v>0.0</v>
      </c>
      <c r="L31" s="136">
        <v>0.0</v>
      </c>
      <c r="M31" s="136">
        <v>0.0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0.0</v>
      </c>
      <c r="U31" s="131">
        <f t="shared" si="2"/>
        <v>0</v>
      </c>
      <c r="V31" s="131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55</v>
      </c>
      <c r="D32" s="129"/>
      <c r="E32" s="142"/>
      <c r="F32" s="63" t="s">
        <v>59</v>
      </c>
      <c r="G32" s="136">
        <v>0.0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53">
        <v>0.0</v>
      </c>
      <c r="V32" s="131">
        <f t="shared" si="3"/>
        <v>0</v>
      </c>
    </row>
    <row r="33" ht="12.75" customHeight="1">
      <c r="A33" s="143" t="s">
        <v>26</v>
      </c>
      <c r="B33" s="144" t="s">
        <v>27</v>
      </c>
      <c r="C33" s="154" t="s">
        <v>60</v>
      </c>
      <c r="D33" s="146" t="s">
        <v>46</v>
      </c>
      <c r="E33" s="157"/>
      <c r="F33" s="154" t="s">
        <v>60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ref="U33:U35" si="4">IFERROR(I33/H33,0)</f>
        <v>0</v>
      </c>
      <c r="V33" s="131">
        <f t="shared" si="3"/>
        <v>0</v>
      </c>
    </row>
    <row r="34" ht="12.75" customHeight="1">
      <c r="A34" s="147" t="s">
        <v>26</v>
      </c>
      <c r="B34" s="148" t="s">
        <v>27</v>
      </c>
      <c r="C34" s="156" t="s">
        <v>60</v>
      </c>
      <c r="D34" s="84"/>
      <c r="E34" s="157"/>
      <c r="F34" s="156" t="s">
        <v>61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4"/>
        <v>0</v>
      </c>
      <c r="V34" s="131">
        <f t="shared" si="3"/>
        <v>0</v>
      </c>
    </row>
    <row r="35" ht="12.75" customHeight="1">
      <c r="A35" s="147" t="s">
        <v>26</v>
      </c>
      <c r="B35" s="148" t="s">
        <v>27</v>
      </c>
      <c r="C35" s="156" t="s">
        <v>60</v>
      </c>
      <c r="D35" s="84"/>
      <c r="E35" s="157"/>
      <c r="F35" s="156" t="s">
        <v>62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28" t="s">
        <v>28</v>
      </c>
      <c r="B37" s="129"/>
      <c r="C37" s="129"/>
      <c r="D37" s="158" t="s">
        <v>46</v>
      </c>
      <c r="E37" s="128" t="s">
        <v>47</v>
      </c>
      <c r="F37" s="128" t="s">
        <v>28</v>
      </c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>
        <f t="shared" ref="U37:U53" si="5">IFERROR(I37/H37,0)</f>
        <v>0</v>
      </c>
      <c r="V37" s="131">
        <f t="shared" ref="V37:V53" si="6">IFERROR(SUM(H37+L37)/G37,0)</f>
        <v>0</v>
      </c>
    </row>
    <row r="38" ht="12.75" customHeight="1">
      <c r="A38" s="132" t="s">
        <v>28</v>
      </c>
      <c r="B38" s="124" t="s">
        <v>29</v>
      </c>
      <c r="C38" s="159"/>
      <c r="D38" s="160" t="s">
        <v>46</v>
      </c>
      <c r="E38" s="135" t="s">
        <v>47</v>
      </c>
      <c r="F38" s="124" t="s">
        <v>29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si="5"/>
        <v>0</v>
      </c>
      <c r="V38" s="131">
        <f t="shared" si="6"/>
        <v>0</v>
      </c>
    </row>
    <row r="39" ht="12.75" customHeight="1">
      <c r="A39" s="143" t="s">
        <v>28</v>
      </c>
      <c r="B39" s="144" t="s">
        <v>29</v>
      </c>
      <c r="C39" s="145" t="s">
        <v>63</v>
      </c>
      <c r="D39" s="146" t="s">
        <v>46</v>
      </c>
      <c r="E39" s="144" t="s">
        <v>47</v>
      </c>
      <c r="F39" s="145" t="s">
        <v>63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5"/>
        <v>0</v>
      </c>
      <c r="V39" s="131">
        <f t="shared" si="6"/>
        <v>0</v>
      </c>
    </row>
    <row r="40" ht="12.75" customHeight="1">
      <c r="A40" s="147" t="s">
        <v>28</v>
      </c>
      <c r="B40" s="148" t="s">
        <v>29</v>
      </c>
      <c r="C40" s="147" t="s">
        <v>63</v>
      </c>
      <c r="D40" s="157"/>
      <c r="E40" s="148" t="s">
        <v>47</v>
      </c>
      <c r="F40" s="147" t="s">
        <v>64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5"/>
        <v>0</v>
      </c>
      <c r="V40" s="131">
        <f t="shared" si="6"/>
        <v>0</v>
      </c>
    </row>
    <row r="41" ht="12.75" customHeight="1">
      <c r="A41" s="147" t="s">
        <v>28</v>
      </c>
      <c r="B41" s="148" t="s">
        <v>29</v>
      </c>
      <c r="C41" s="147" t="s">
        <v>63</v>
      </c>
      <c r="D41" s="84"/>
      <c r="E41" s="161" t="s">
        <v>47</v>
      </c>
      <c r="F41" s="149" t="s">
        <v>65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5"/>
        <v>0</v>
      </c>
      <c r="V41" s="131">
        <f t="shared" si="6"/>
        <v>0</v>
      </c>
    </row>
    <row r="42" ht="12.75" customHeight="1">
      <c r="A42" s="147" t="s">
        <v>28</v>
      </c>
      <c r="B42" s="148" t="s">
        <v>29</v>
      </c>
      <c r="C42" s="147" t="s">
        <v>63</v>
      </c>
      <c r="D42" s="84"/>
      <c r="E42" s="161" t="s">
        <v>47</v>
      </c>
      <c r="F42" s="149" t="s">
        <v>66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5"/>
        <v>0</v>
      </c>
      <c r="V42" s="131">
        <f t="shared" si="6"/>
        <v>0</v>
      </c>
    </row>
    <row r="43" ht="12.75" customHeight="1">
      <c r="A43" s="147" t="s">
        <v>28</v>
      </c>
      <c r="B43" s="148" t="s">
        <v>29</v>
      </c>
      <c r="C43" s="147" t="s">
        <v>63</v>
      </c>
      <c r="D43" s="84"/>
      <c r="E43" s="161" t="s">
        <v>47</v>
      </c>
      <c r="F43" s="149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5"/>
        <v>0</v>
      </c>
      <c r="V43" s="131">
        <f t="shared" si="6"/>
        <v>0</v>
      </c>
    </row>
    <row r="44" ht="12.75" customHeight="1">
      <c r="A44" s="147" t="s">
        <v>28</v>
      </c>
      <c r="B44" s="148" t="s">
        <v>29</v>
      </c>
      <c r="C44" s="147" t="s">
        <v>63</v>
      </c>
      <c r="D44" s="84"/>
      <c r="E44" s="161" t="s">
        <v>47</v>
      </c>
      <c r="F44" s="149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5"/>
        <v>0</v>
      </c>
      <c r="V44" s="131">
        <f t="shared" si="6"/>
        <v>0</v>
      </c>
    </row>
    <row r="45" ht="12.75" customHeight="1">
      <c r="A45" s="147" t="s">
        <v>28</v>
      </c>
      <c r="B45" s="148" t="s">
        <v>29</v>
      </c>
      <c r="C45" s="147" t="s">
        <v>63</v>
      </c>
      <c r="D45" s="84"/>
      <c r="E45" s="148" t="s">
        <v>47</v>
      </c>
      <c r="F45" s="149" t="s">
        <v>69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5"/>
        <v>0</v>
      </c>
      <c r="V45" s="131">
        <f t="shared" si="6"/>
        <v>0</v>
      </c>
    </row>
    <row r="46" ht="12.75" customHeight="1">
      <c r="A46" s="147" t="s">
        <v>28</v>
      </c>
      <c r="B46" s="148" t="s">
        <v>29</v>
      </c>
      <c r="C46" s="147" t="s">
        <v>63</v>
      </c>
      <c r="D46" s="84"/>
      <c r="E46" s="148" t="s">
        <v>47</v>
      </c>
      <c r="F46" s="149" t="s">
        <v>70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5"/>
        <v>0</v>
      </c>
      <c r="V46" s="131">
        <f t="shared" si="6"/>
        <v>0</v>
      </c>
    </row>
    <row r="47" ht="12.75" customHeight="1">
      <c r="A47" s="147" t="s">
        <v>28</v>
      </c>
      <c r="B47" s="148" t="s">
        <v>29</v>
      </c>
      <c r="C47" s="147" t="s">
        <v>63</v>
      </c>
      <c r="D47" s="162"/>
      <c r="E47" s="148" t="s">
        <v>47</v>
      </c>
      <c r="F47" s="156" t="s">
        <v>71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5"/>
        <v>0</v>
      </c>
      <c r="V47" s="131">
        <f t="shared" si="6"/>
        <v>0</v>
      </c>
    </row>
    <row r="48" ht="12.75" customHeight="1">
      <c r="A48" s="147" t="s">
        <v>28</v>
      </c>
      <c r="B48" s="148" t="s">
        <v>29</v>
      </c>
      <c r="C48" s="147" t="s">
        <v>63</v>
      </c>
      <c r="D48" s="162"/>
      <c r="E48" s="148" t="s">
        <v>47</v>
      </c>
      <c r="F48" s="156" t="s">
        <v>72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5"/>
        <v>0</v>
      </c>
      <c r="V48" s="131">
        <f t="shared" si="6"/>
        <v>0</v>
      </c>
    </row>
    <row r="49" ht="12.75" customHeight="1">
      <c r="A49" s="147" t="s">
        <v>28</v>
      </c>
      <c r="B49" s="148" t="s">
        <v>29</v>
      </c>
      <c r="C49" s="147" t="s">
        <v>63</v>
      </c>
      <c r="D49" s="162"/>
      <c r="E49" s="148" t="s">
        <v>73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5"/>
        <v>0</v>
      </c>
      <c r="V49" s="131">
        <f t="shared" si="6"/>
        <v>0</v>
      </c>
    </row>
    <row r="50" ht="12.75" customHeight="1">
      <c r="A50" s="147" t="s">
        <v>28</v>
      </c>
      <c r="B50" s="148" t="s">
        <v>29</v>
      </c>
      <c r="C50" s="147" t="s">
        <v>63</v>
      </c>
      <c r="D50" s="162"/>
      <c r="E50" s="148" t="s">
        <v>75</v>
      </c>
      <c r="F50" s="156" t="s">
        <v>76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5"/>
        <v>0</v>
      </c>
      <c r="V50" s="131">
        <f t="shared" si="6"/>
        <v>0</v>
      </c>
    </row>
    <row r="51" ht="12.75" customHeight="1">
      <c r="A51" s="147" t="s">
        <v>28</v>
      </c>
      <c r="B51" s="148" t="s">
        <v>29</v>
      </c>
      <c r="C51" s="147" t="s">
        <v>63</v>
      </c>
      <c r="D51" s="162"/>
      <c r="E51" s="157"/>
      <c r="F51" s="156" t="s">
        <v>77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5"/>
        <v>0</v>
      </c>
      <c r="V51" s="131">
        <f t="shared" si="6"/>
        <v>0</v>
      </c>
    </row>
    <row r="52" ht="12.75" customHeight="1">
      <c r="A52" s="147" t="s">
        <v>28</v>
      </c>
      <c r="B52" s="148" t="s">
        <v>29</v>
      </c>
      <c r="C52" s="147" t="s">
        <v>63</v>
      </c>
      <c r="D52" s="162"/>
      <c r="E52" s="148" t="s">
        <v>47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5"/>
        <v>0</v>
      </c>
      <c r="V52" s="131">
        <f t="shared" si="6"/>
        <v>0</v>
      </c>
    </row>
    <row r="53" ht="12.75" customHeight="1">
      <c r="A53" s="147" t="s">
        <v>28</v>
      </c>
      <c r="B53" s="148" t="s">
        <v>29</v>
      </c>
      <c r="C53" s="147" t="s">
        <v>63</v>
      </c>
      <c r="D53" s="162"/>
      <c r="E53" s="148" t="s">
        <v>47</v>
      </c>
      <c r="F53" s="156" t="s">
        <v>79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5"/>
        <v>0</v>
      </c>
      <c r="V53" s="131">
        <f t="shared" si="6"/>
        <v>0</v>
      </c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3"/>
      <c r="B201" s="163"/>
      <c r="C201" s="163"/>
      <c r="D201" s="1"/>
      <c r="E201" s="163"/>
      <c r="F201" s="11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5"/>
      <c r="V201" s="165"/>
    </row>
    <row r="202" ht="12.75" customHeight="1">
      <c r="A202" s="163"/>
      <c r="B202" s="163"/>
      <c r="C202" s="163"/>
      <c r="D202" s="1"/>
      <c r="E202" s="163"/>
      <c r="F202" s="11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5"/>
      <c r="V202" s="165"/>
    </row>
    <row r="203" ht="12.75" customHeight="1">
      <c r="A203" s="163"/>
      <c r="B203" s="163"/>
      <c r="C203" s="163"/>
      <c r="D203" s="1"/>
      <c r="E203" s="163"/>
      <c r="F203" s="11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5"/>
      <c r="V203" s="165"/>
    </row>
    <row r="204" ht="12.75" customHeight="1">
      <c r="A204" s="163"/>
      <c r="B204" s="163"/>
      <c r="C204" s="163"/>
      <c r="D204" s="1"/>
      <c r="E204" s="163"/>
      <c r="F204" s="11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5"/>
      <c r="V204" s="165"/>
    </row>
    <row r="205" ht="12.75" customHeight="1">
      <c r="A205" s="163"/>
      <c r="B205" s="163"/>
      <c r="C205" s="163"/>
      <c r="D205" s="1"/>
      <c r="E205" s="163"/>
      <c r="F205" s="11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5"/>
      <c r="V205" s="165"/>
    </row>
    <row r="206" ht="12.75" customHeight="1">
      <c r="A206" s="163"/>
      <c r="B206" s="163"/>
      <c r="C206" s="163"/>
      <c r="D206" s="1"/>
      <c r="E206" s="163"/>
      <c r="F206" s="11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5"/>
      <c r="V206" s="165"/>
    </row>
    <row r="207" ht="12.75" customHeight="1">
      <c r="A207" s="163"/>
      <c r="B207" s="163"/>
      <c r="C207" s="163"/>
      <c r="D207" s="1"/>
      <c r="E207" s="163"/>
      <c r="F207" s="11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5"/>
      <c r="V207" s="165"/>
    </row>
    <row r="208" ht="12.75" customHeight="1">
      <c r="A208" s="163"/>
      <c r="B208" s="163"/>
      <c r="C208" s="163"/>
      <c r="D208" s="1"/>
      <c r="E208" s="163"/>
      <c r="F208" s="11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5"/>
      <c r="V208" s="165"/>
    </row>
    <row r="209" ht="12.75" customHeight="1">
      <c r="A209" s="163"/>
      <c r="B209" s="163"/>
      <c r="C209" s="163"/>
      <c r="D209" s="1"/>
      <c r="E209" s="163"/>
      <c r="F209" s="11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5"/>
      <c r="V209" s="165"/>
    </row>
    <row r="210" ht="12.75" customHeight="1">
      <c r="A210" s="163"/>
      <c r="B210" s="163"/>
      <c r="C210" s="163"/>
      <c r="D210" s="1"/>
      <c r="E210" s="163"/>
      <c r="F210" s="11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5"/>
      <c r="V210" s="165"/>
    </row>
    <row r="211" ht="12.75" customHeight="1">
      <c r="A211" s="163"/>
      <c r="B211" s="163"/>
      <c r="C211" s="163"/>
      <c r="D211" s="1"/>
      <c r="E211" s="163"/>
      <c r="F211" s="11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5"/>
      <c r="V211" s="165"/>
    </row>
    <row r="212" ht="12.75" customHeight="1">
      <c r="A212" s="163"/>
      <c r="B212" s="163"/>
      <c r="C212" s="163"/>
      <c r="D212" s="1"/>
      <c r="E212" s="163"/>
      <c r="F212" s="11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5"/>
      <c r="V212" s="165"/>
    </row>
    <row r="213" ht="12.75" customHeight="1">
      <c r="A213" s="163"/>
      <c r="B213" s="163"/>
      <c r="C213" s="163"/>
      <c r="D213" s="1"/>
      <c r="E213" s="163"/>
      <c r="F213" s="11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5"/>
      <c r="V213" s="165"/>
    </row>
    <row r="214" ht="12.75" customHeight="1">
      <c r="A214" s="163"/>
      <c r="B214" s="163"/>
      <c r="C214" s="163"/>
      <c r="D214" s="1"/>
      <c r="E214" s="163"/>
      <c r="F214" s="11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5"/>
      <c r="V214" s="165"/>
    </row>
    <row r="215" ht="12.75" customHeight="1">
      <c r="A215" s="163"/>
      <c r="B215" s="163"/>
      <c r="C215" s="163"/>
      <c r="D215" s="1"/>
      <c r="E215" s="163"/>
      <c r="F215" s="11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5"/>
      <c r="V215" s="165"/>
    </row>
    <row r="216" ht="12.75" customHeight="1">
      <c r="A216" s="163"/>
      <c r="B216" s="163"/>
      <c r="C216" s="163"/>
      <c r="D216" s="1"/>
      <c r="E216" s="163"/>
      <c r="F216" s="11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5"/>
      <c r="V216" s="165"/>
    </row>
    <row r="217" ht="12.75" customHeight="1">
      <c r="A217" s="163"/>
      <c r="B217" s="163"/>
      <c r="C217" s="163"/>
      <c r="D217" s="1"/>
      <c r="E217" s="163"/>
      <c r="F217" s="11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5"/>
      <c r="V217" s="165"/>
    </row>
    <row r="218" ht="12.75" customHeight="1">
      <c r="A218" s="163"/>
      <c r="B218" s="163"/>
      <c r="C218" s="163"/>
      <c r="D218" s="1"/>
      <c r="E218" s="163"/>
      <c r="F218" s="11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5"/>
      <c r="V218" s="165"/>
    </row>
    <row r="219" ht="12.75" customHeight="1">
      <c r="A219" s="163"/>
      <c r="B219" s="163"/>
      <c r="C219" s="163"/>
      <c r="D219" s="1"/>
      <c r="E219" s="163"/>
      <c r="F219" s="11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5"/>
      <c r="V219" s="165"/>
    </row>
    <row r="220" ht="12.75" customHeight="1">
      <c r="A220" s="163"/>
      <c r="B220" s="163"/>
      <c r="C220" s="163"/>
      <c r="D220" s="1"/>
      <c r="E220" s="163"/>
      <c r="F220" s="11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5"/>
      <c r="V220" s="165"/>
    </row>
    <row r="221" ht="12.75" customHeight="1">
      <c r="A221" s="163"/>
      <c r="B221" s="163"/>
      <c r="C221" s="163"/>
      <c r="D221" s="1"/>
      <c r="E221" s="163"/>
      <c r="F221" s="11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5"/>
      <c r="V221" s="165"/>
    </row>
    <row r="222" ht="12.75" customHeight="1">
      <c r="A222" s="163"/>
      <c r="B222" s="163"/>
      <c r="C222" s="163"/>
      <c r="D222" s="1"/>
      <c r="E222" s="163"/>
      <c r="F222" s="11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5"/>
      <c r="V222" s="165"/>
    </row>
    <row r="223" ht="12.75" customHeight="1">
      <c r="A223" s="163"/>
      <c r="B223" s="163"/>
      <c r="C223" s="163"/>
      <c r="D223" s="1"/>
      <c r="E223" s="163"/>
      <c r="F223" s="11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5"/>
      <c r="V223" s="165"/>
    </row>
    <row r="224" ht="12.75" customHeight="1">
      <c r="A224" s="163"/>
      <c r="B224" s="163"/>
      <c r="C224" s="163"/>
      <c r="D224" s="1"/>
      <c r="E224" s="163"/>
      <c r="F224" s="11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5"/>
      <c r="V224" s="165"/>
    </row>
    <row r="225" ht="12.75" customHeight="1">
      <c r="A225" s="163"/>
      <c r="B225" s="163"/>
      <c r="C225" s="163"/>
      <c r="D225" s="1"/>
      <c r="E225" s="163"/>
      <c r="F225" s="11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5"/>
      <c r="V225" s="165"/>
    </row>
    <row r="226" ht="12.75" customHeight="1">
      <c r="A226" s="163"/>
      <c r="B226" s="163"/>
      <c r="C226" s="163"/>
      <c r="D226" s="1"/>
      <c r="E226" s="163"/>
      <c r="F226" s="11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5"/>
      <c r="V226" s="165"/>
    </row>
    <row r="227" ht="12.75" customHeight="1">
      <c r="A227" s="163"/>
      <c r="B227" s="163"/>
      <c r="C227" s="163"/>
      <c r="D227" s="1"/>
      <c r="E227" s="163"/>
      <c r="F227" s="11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5"/>
      <c r="V227" s="165"/>
    </row>
    <row r="228" ht="12.75" customHeight="1">
      <c r="A228" s="163"/>
      <c r="B228" s="163"/>
      <c r="C228" s="163"/>
      <c r="D228" s="1"/>
      <c r="E228" s="163"/>
      <c r="F228" s="11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5"/>
      <c r="V228" s="165"/>
    </row>
    <row r="229" ht="12.75" customHeight="1">
      <c r="A229" s="163"/>
      <c r="B229" s="163"/>
      <c r="C229" s="163"/>
      <c r="D229" s="1"/>
      <c r="E229" s="163"/>
      <c r="F229" s="11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5"/>
      <c r="V229" s="165"/>
    </row>
    <row r="230" ht="12.75" customHeight="1">
      <c r="A230" s="163"/>
      <c r="B230" s="163"/>
      <c r="C230" s="163"/>
      <c r="D230" s="1"/>
      <c r="E230" s="163"/>
      <c r="F230" s="11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5"/>
      <c r="V230" s="165"/>
    </row>
    <row r="231" ht="12.75" customHeight="1">
      <c r="A231" s="163"/>
      <c r="B231" s="163"/>
      <c r="C231" s="163"/>
      <c r="D231" s="1"/>
      <c r="E231" s="163"/>
      <c r="F231" s="11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5"/>
      <c r="V231" s="165"/>
    </row>
    <row r="232" ht="12.75" customHeight="1">
      <c r="A232" s="163"/>
      <c r="B232" s="163"/>
      <c r="C232" s="163"/>
      <c r="D232" s="1"/>
      <c r="E232" s="163"/>
      <c r="F232" s="11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5"/>
      <c r="V232" s="165"/>
    </row>
    <row r="233" ht="12.75" customHeight="1">
      <c r="A233" s="163"/>
      <c r="B233" s="163"/>
      <c r="C233" s="163"/>
      <c r="D233" s="1"/>
      <c r="E233" s="163"/>
      <c r="F233" s="11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5"/>
      <c r="V233" s="165"/>
    </row>
    <row r="234" ht="12.75" customHeight="1">
      <c r="A234" s="163"/>
      <c r="B234" s="163"/>
      <c r="C234" s="163"/>
      <c r="D234" s="1"/>
      <c r="E234" s="163"/>
      <c r="F234" s="11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5"/>
      <c r="V234" s="165"/>
    </row>
    <row r="235" ht="12.75" customHeight="1">
      <c r="A235" s="163"/>
      <c r="B235" s="163"/>
      <c r="C235" s="163"/>
      <c r="D235" s="1"/>
      <c r="E235" s="163"/>
      <c r="F235" s="11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5"/>
      <c r="V235" s="165"/>
    </row>
    <row r="236" ht="12.75" customHeight="1">
      <c r="A236" s="163"/>
      <c r="B236" s="163"/>
      <c r="C236" s="163"/>
      <c r="D236" s="1"/>
      <c r="E236" s="163"/>
      <c r="F236" s="11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5"/>
      <c r="V236" s="165"/>
    </row>
    <row r="237" ht="12.75" customHeight="1">
      <c r="A237" s="163"/>
      <c r="B237" s="163"/>
      <c r="C237" s="163"/>
      <c r="D237" s="1"/>
      <c r="E237" s="163"/>
      <c r="F237" s="11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5"/>
      <c r="V237" s="165"/>
    </row>
    <row r="238" ht="12.75" customHeight="1">
      <c r="A238" s="163"/>
      <c r="B238" s="163"/>
      <c r="C238" s="163"/>
      <c r="D238" s="1"/>
      <c r="E238" s="163"/>
      <c r="F238" s="11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5"/>
      <c r="V238" s="165"/>
    </row>
    <row r="239" ht="12.75" customHeight="1">
      <c r="A239" s="163"/>
      <c r="B239" s="163"/>
      <c r="C239" s="163"/>
      <c r="D239" s="1"/>
      <c r="E239" s="163"/>
      <c r="F239" s="11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5"/>
      <c r="V239" s="165"/>
    </row>
    <row r="240" ht="12.75" customHeight="1">
      <c r="A240" s="163"/>
      <c r="B240" s="163"/>
      <c r="C240" s="163"/>
      <c r="D240" s="1"/>
      <c r="E240" s="163"/>
      <c r="F240" s="11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5"/>
      <c r="V240" s="165"/>
    </row>
    <row r="241" ht="12.75" customHeight="1">
      <c r="A241" s="163"/>
      <c r="B241" s="163"/>
      <c r="C241" s="163"/>
      <c r="D241" s="1"/>
      <c r="E241" s="163"/>
      <c r="F241" s="11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5"/>
      <c r="V241" s="165"/>
    </row>
    <row r="242" ht="12.75" customHeight="1">
      <c r="A242" s="163"/>
      <c r="B242" s="163"/>
      <c r="C242" s="163"/>
      <c r="D242" s="1"/>
      <c r="E242" s="163"/>
      <c r="F242" s="11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5"/>
      <c r="V242" s="165"/>
    </row>
    <row r="243" ht="12.75" customHeight="1">
      <c r="A243" s="163"/>
      <c r="B243" s="163"/>
      <c r="C243" s="163"/>
      <c r="D243" s="1"/>
      <c r="E243" s="163"/>
      <c r="F243" s="11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5"/>
      <c r="V243" s="165"/>
    </row>
    <row r="244" ht="12.75" customHeight="1">
      <c r="A244" s="163"/>
      <c r="B244" s="163"/>
      <c r="C244" s="163"/>
      <c r="D244" s="1"/>
      <c r="E244" s="163"/>
      <c r="F244" s="11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5"/>
      <c r="V244" s="165"/>
    </row>
    <row r="245" ht="12.75" customHeight="1">
      <c r="A245" s="163"/>
      <c r="B245" s="163"/>
      <c r="C245" s="163"/>
      <c r="D245" s="1"/>
      <c r="E245" s="163"/>
      <c r="F245" s="11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5"/>
      <c r="V245" s="165"/>
    </row>
    <row r="246" ht="12.75" customHeight="1">
      <c r="A246" s="163"/>
      <c r="B246" s="163"/>
      <c r="C246" s="163"/>
      <c r="D246" s="1"/>
      <c r="E246" s="163"/>
      <c r="F246" s="11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5"/>
      <c r="V246" s="165"/>
    </row>
    <row r="247" ht="12.75" customHeight="1">
      <c r="A247" s="163"/>
      <c r="B247" s="163"/>
      <c r="C247" s="163"/>
      <c r="D247" s="1"/>
      <c r="E247" s="163"/>
      <c r="F247" s="11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5"/>
      <c r="V247" s="165"/>
    </row>
    <row r="248" ht="12.75" customHeight="1">
      <c r="A248" s="163"/>
      <c r="B248" s="163"/>
      <c r="C248" s="163"/>
      <c r="D248" s="1"/>
      <c r="E248" s="163"/>
      <c r="F248" s="11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5"/>
      <c r="V248" s="165"/>
    </row>
    <row r="249" ht="12.75" customHeight="1">
      <c r="A249" s="163"/>
      <c r="B249" s="163"/>
      <c r="C249" s="163"/>
      <c r="D249" s="1"/>
      <c r="E249" s="163"/>
      <c r="F249" s="11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5"/>
      <c r="V249" s="165"/>
    </row>
    <row r="250" ht="12.75" customHeight="1">
      <c r="A250" s="163"/>
      <c r="B250" s="163"/>
      <c r="C250" s="163"/>
      <c r="D250" s="1"/>
      <c r="E250" s="163"/>
      <c r="F250" s="11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5"/>
      <c r="V250" s="165"/>
    </row>
    <row r="251" ht="12.75" customHeight="1">
      <c r="A251" s="163"/>
      <c r="B251" s="163"/>
      <c r="C251" s="163"/>
      <c r="D251" s="1"/>
      <c r="E251" s="163"/>
      <c r="F251" s="11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5"/>
      <c r="V251" s="165"/>
    </row>
    <row r="252" ht="12.75" customHeight="1">
      <c r="A252" s="163"/>
      <c r="B252" s="163"/>
      <c r="C252" s="163"/>
      <c r="D252" s="1"/>
      <c r="E252" s="163"/>
      <c r="F252" s="11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5"/>
      <c r="V252" s="165"/>
    </row>
    <row r="253" ht="12.75" customHeight="1">
      <c r="A253" s="163"/>
      <c r="B253" s="163"/>
      <c r="C253" s="163"/>
      <c r="D253" s="1"/>
      <c r="E253" s="163"/>
      <c r="F253" s="11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5"/>
      <c r="V253" s="165"/>
    </row>
    <row r="254" ht="12.75" customHeight="1">
      <c r="A254" s="163"/>
      <c r="B254" s="163"/>
      <c r="C254" s="163"/>
      <c r="D254" s="1"/>
      <c r="E254" s="163"/>
      <c r="F254" s="11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5"/>
      <c r="V254" s="165"/>
    </row>
    <row r="255" ht="12.75" customHeight="1">
      <c r="A255" s="163"/>
      <c r="B255" s="163"/>
      <c r="C255" s="163"/>
      <c r="D255" s="1"/>
      <c r="E255" s="163"/>
      <c r="F255" s="11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5"/>
      <c r="V255" s="165"/>
    </row>
    <row r="256" ht="12.75" customHeight="1">
      <c r="A256" s="163"/>
      <c r="B256" s="163"/>
      <c r="C256" s="163"/>
      <c r="D256" s="1"/>
      <c r="E256" s="163"/>
      <c r="F256" s="11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5"/>
      <c r="V256" s="165"/>
    </row>
    <row r="257" ht="12.75" customHeight="1">
      <c r="A257" s="163"/>
      <c r="B257" s="163"/>
      <c r="C257" s="163"/>
      <c r="D257" s="1"/>
      <c r="E257" s="163"/>
      <c r="F257" s="11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5"/>
      <c r="V257" s="165"/>
    </row>
    <row r="258" ht="12.75" customHeight="1">
      <c r="A258" s="163"/>
      <c r="B258" s="163"/>
      <c r="C258" s="163"/>
      <c r="D258" s="1"/>
      <c r="E258" s="163"/>
      <c r="F258" s="11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5"/>
      <c r="V258" s="165"/>
    </row>
    <row r="259" ht="12.75" customHeight="1">
      <c r="A259" s="163"/>
      <c r="B259" s="163"/>
      <c r="C259" s="163"/>
      <c r="D259" s="1"/>
      <c r="E259" s="163"/>
      <c r="F259" s="11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5"/>
      <c r="V259" s="165"/>
    </row>
    <row r="260" ht="12.75" customHeight="1">
      <c r="A260" s="163"/>
      <c r="B260" s="163"/>
      <c r="C260" s="163"/>
      <c r="D260" s="1"/>
      <c r="E260" s="163"/>
      <c r="F260" s="11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5"/>
      <c r="V260" s="165"/>
    </row>
    <row r="261" ht="12.75" customHeight="1">
      <c r="A261" s="163"/>
      <c r="B261" s="163"/>
      <c r="C261" s="163"/>
      <c r="D261" s="1"/>
      <c r="E261" s="163"/>
      <c r="F261" s="11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5"/>
      <c r="V261" s="165"/>
    </row>
    <row r="262" ht="12.75" customHeight="1">
      <c r="A262" s="163"/>
      <c r="B262" s="163"/>
      <c r="C262" s="163"/>
      <c r="D262" s="1"/>
      <c r="E262" s="163"/>
      <c r="F262" s="11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5"/>
      <c r="V262" s="165"/>
    </row>
    <row r="263" ht="12.75" customHeight="1">
      <c r="A263" s="163"/>
      <c r="B263" s="163"/>
      <c r="C263" s="163"/>
      <c r="D263" s="1"/>
      <c r="E263" s="163"/>
      <c r="F263" s="11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5"/>
      <c r="V263" s="165"/>
    </row>
    <row r="264" ht="12.75" customHeight="1">
      <c r="A264" s="163"/>
      <c r="B264" s="163"/>
      <c r="C264" s="163"/>
      <c r="D264" s="1"/>
      <c r="E264" s="163"/>
      <c r="F264" s="11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5"/>
      <c r="V264" s="165"/>
    </row>
    <row r="265" ht="12.75" customHeight="1">
      <c r="A265" s="163"/>
      <c r="B265" s="163"/>
      <c r="C265" s="163"/>
      <c r="D265" s="1"/>
      <c r="E265" s="163"/>
      <c r="F265" s="11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5"/>
      <c r="V265" s="165"/>
    </row>
    <row r="266" ht="12.75" customHeight="1">
      <c r="A266" s="163"/>
      <c r="B266" s="163"/>
      <c r="C266" s="163"/>
      <c r="D266" s="1"/>
      <c r="E266" s="163"/>
      <c r="F266" s="11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5"/>
      <c r="V266" s="165"/>
    </row>
    <row r="267" ht="12.75" customHeight="1">
      <c r="A267" s="163"/>
      <c r="B267" s="163"/>
      <c r="C267" s="163"/>
      <c r="D267" s="1"/>
      <c r="E267" s="163"/>
      <c r="F267" s="11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5"/>
      <c r="V267" s="165"/>
    </row>
    <row r="268" ht="12.75" customHeight="1">
      <c r="A268" s="163"/>
      <c r="B268" s="163"/>
      <c r="C268" s="163"/>
      <c r="D268" s="1"/>
      <c r="E268" s="163"/>
      <c r="F268" s="11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5"/>
      <c r="V268" s="165"/>
    </row>
    <row r="269" ht="12.75" customHeight="1">
      <c r="A269" s="163"/>
      <c r="B269" s="163"/>
      <c r="C269" s="163"/>
      <c r="D269" s="1"/>
      <c r="E269" s="163"/>
      <c r="F269" s="11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5"/>
      <c r="V269" s="165"/>
    </row>
    <row r="270" ht="12.75" customHeight="1">
      <c r="A270" s="163"/>
      <c r="B270" s="163"/>
      <c r="C270" s="163"/>
      <c r="D270" s="1"/>
      <c r="E270" s="163"/>
      <c r="F270" s="11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5"/>
      <c r="V270" s="165"/>
    </row>
    <row r="271" ht="12.75" customHeight="1">
      <c r="A271" s="163"/>
      <c r="B271" s="163"/>
      <c r="C271" s="163"/>
      <c r="D271" s="1"/>
      <c r="E271" s="163"/>
      <c r="F271" s="11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5"/>
      <c r="V271" s="165"/>
    </row>
    <row r="272" ht="12.75" customHeight="1">
      <c r="A272" s="163"/>
      <c r="B272" s="163"/>
      <c r="C272" s="163"/>
      <c r="D272" s="1"/>
      <c r="E272" s="163"/>
      <c r="F272" s="11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5"/>
      <c r="V272" s="165"/>
    </row>
    <row r="273" ht="12.75" customHeight="1">
      <c r="A273" s="163"/>
      <c r="B273" s="163"/>
      <c r="C273" s="163"/>
      <c r="D273" s="1"/>
      <c r="E273" s="163"/>
      <c r="F273" s="11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5"/>
      <c r="V273" s="165"/>
    </row>
    <row r="274" ht="12.75" customHeight="1">
      <c r="A274" s="163"/>
      <c r="B274" s="163"/>
      <c r="C274" s="163"/>
      <c r="D274" s="1"/>
      <c r="E274" s="163"/>
      <c r="F274" s="11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5"/>
      <c r="V274" s="165"/>
    </row>
    <row r="275" ht="12.75" customHeight="1">
      <c r="A275" s="163"/>
      <c r="B275" s="163"/>
      <c r="C275" s="163"/>
      <c r="D275" s="1"/>
      <c r="E275" s="163"/>
      <c r="F275" s="11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5"/>
      <c r="V275" s="165"/>
    </row>
    <row r="276" ht="12.75" customHeight="1">
      <c r="A276" s="163"/>
      <c r="B276" s="163"/>
      <c r="C276" s="163"/>
      <c r="D276" s="1"/>
      <c r="E276" s="163"/>
      <c r="F276" s="11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5"/>
      <c r="V276" s="165"/>
    </row>
    <row r="277" ht="12.75" customHeight="1">
      <c r="A277" s="163"/>
      <c r="B277" s="163"/>
      <c r="C277" s="163"/>
      <c r="D277" s="1"/>
      <c r="E277" s="163"/>
      <c r="F277" s="11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5"/>
      <c r="V277" s="165"/>
    </row>
    <row r="278" ht="12.75" customHeight="1">
      <c r="A278" s="163"/>
      <c r="B278" s="163"/>
      <c r="C278" s="163"/>
      <c r="D278" s="1"/>
      <c r="E278" s="163"/>
      <c r="F278" s="11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5"/>
      <c r="V278" s="165"/>
    </row>
    <row r="279" ht="12.75" customHeight="1">
      <c r="A279" s="163"/>
      <c r="B279" s="163"/>
      <c r="C279" s="163"/>
      <c r="D279" s="1"/>
      <c r="E279" s="163"/>
      <c r="F279" s="11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5"/>
      <c r="V279" s="165"/>
    </row>
    <row r="280" ht="12.75" customHeight="1">
      <c r="A280" s="163"/>
      <c r="B280" s="163"/>
      <c r="C280" s="163"/>
      <c r="D280" s="1"/>
      <c r="E280" s="163"/>
      <c r="F280" s="11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5"/>
      <c r="V280" s="165"/>
    </row>
    <row r="281" ht="12.75" customHeight="1">
      <c r="A281" s="163"/>
      <c r="B281" s="163"/>
      <c r="C281" s="163"/>
      <c r="D281" s="1"/>
      <c r="E281" s="163"/>
      <c r="F281" s="11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5"/>
      <c r="V281" s="165"/>
    </row>
    <row r="282" ht="12.75" customHeight="1">
      <c r="A282" s="163"/>
      <c r="B282" s="163"/>
      <c r="C282" s="163"/>
      <c r="D282" s="1"/>
      <c r="E282" s="163"/>
      <c r="F282" s="11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5"/>
      <c r="V282" s="165"/>
    </row>
    <row r="283" ht="12.75" customHeight="1">
      <c r="A283" s="163"/>
      <c r="B283" s="163"/>
      <c r="C283" s="163"/>
      <c r="D283" s="1"/>
      <c r="E283" s="163"/>
      <c r="F283" s="11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5"/>
      <c r="V283" s="165"/>
    </row>
    <row r="284" ht="12.75" customHeight="1">
      <c r="A284" s="163"/>
      <c r="B284" s="163"/>
      <c r="C284" s="163"/>
      <c r="D284" s="1"/>
      <c r="E284" s="163"/>
      <c r="F284" s="11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5"/>
      <c r="V284" s="165"/>
    </row>
    <row r="285" ht="12.75" customHeight="1">
      <c r="A285" s="163"/>
      <c r="B285" s="163"/>
      <c r="C285" s="163"/>
      <c r="D285" s="1"/>
      <c r="E285" s="163"/>
      <c r="F285" s="11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5"/>
      <c r="V285" s="165"/>
    </row>
    <row r="286" ht="12.75" customHeight="1">
      <c r="A286" s="163"/>
      <c r="B286" s="163"/>
      <c r="C286" s="163"/>
      <c r="D286" s="1"/>
      <c r="E286" s="163"/>
      <c r="F286" s="11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5"/>
      <c r="V286" s="165"/>
    </row>
    <row r="287" ht="12.75" customHeight="1">
      <c r="A287" s="163"/>
      <c r="B287" s="163"/>
      <c r="C287" s="163"/>
      <c r="D287" s="1"/>
      <c r="E287" s="163"/>
      <c r="F287" s="11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5"/>
      <c r="V287" s="165"/>
    </row>
    <row r="288" ht="12.75" customHeight="1">
      <c r="A288" s="163"/>
      <c r="B288" s="163"/>
      <c r="C288" s="163"/>
      <c r="D288" s="1"/>
      <c r="E288" s="163"/>
      <c r="F288" s="11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5"/>
      <c r="V288" s="165"/>
    </row>
    <row r="289" ht="12.75" customHeight="1">
      <c r="A289" s="163"/>
      <c r="B289" s="163"/>
      <c r="C289" s="163"/>
      <c r="D289" s="1"/>
      <c r="E289" s="163"/>
      <c r="F289" s="11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5"/>
      <c r="V289" s="165"/>
    </row>
    <row r="290" ht="12.75" customHeight="1">
      <c r="A290" s="163"/>
      <c r="B290" s="163"/>
      <c r="C290" s="163"/>
      <c r="D290" s="1"/>
      <c r="E290" s="163"/>
      <c r="F290" s="11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5"/>
      <c r="V290" s="165"/>
    </row>
    <row r="291" ht="12.75" customHeight="1">
      <c r="A291" s="163"/>
      <c r="B291" s="163"/>
      <c r="C291" s="163"/>
      <c r="D291" s="1"/>
      <c r="E291" s="163"/>
      <c r="F291" s="11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5"/>
      <c r="V291" s="165"/>
    </row>
    <row r="292" ht="12.75" customHeight="1">
      <c r="A292" s="163"/>
      <c r="B292" s="163"/>
      <c r="C292" s="163"/>
      <c r="D292" s="1"/>
      <c r="E292" s="163"/>
      <c r="F292" s="11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5"/>
      <c r="V292" s="165"/>
    </row>
    <row r="293" ht="12.75" customHeight="1">
      <c r="A293" s="163"/>
      <c r="B293" s="163"/>
      <c r="C293" s="163"/>
      <c r="D293" s="1"/>
      <c r="E293" s="163"/>
      <c r="F293" s="11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5"/>
      <c r="V293" s="165"/>
    </row>
    <row r="294" ht="12.75" customHeight="1">
      <c r="A294" s="163"/>
      <c r="B294" s="163"/>
      <c r="C294" s="163"/>
      <c r="D294" s="1"/>
      <c r="E294" s="163"/>
      <c r="F294" s="11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5"/>
      <c r="V294" s="165"/>
    </row>
    <row r="295" ht="12.75" customHeight="1">
      <c r="A295" s="163"/>
      <c r="B295" s="163"/>
      <c r="C295" s="163"/>
      <c r="D295" s="1"/>
      <c r="E295" s="163"/>
      <c r="F295" s="11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5"/>
      <c r="V295" s="165"/>
    </row>
    <row r="296" ht="12.75" customHeight="1">
      <c r="A296" s="163"/>
      <c r="B296" s="163"/>
      <c r="C296" s="163"/>
      <c r="D296" s="1"/>
      <c r="E296" s="163"/>
      <c r="F296" s="11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5"/>
      <c r="V296" s="165"/>
    </row>
    <row r="297" ht="12.75" customHeight="1">
      <c r="A297" s="163"/>
      <c r="B297" s="163"/>
      <c r="C297" s="163"/>
      <c r="D297" s="1"/>
      <c r="E297" s="163"/>
      <c r="F297" s="11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5"/>
      <c r="V297" s="165"/>
    </row>
    <row r="298" ht="12.75" customHeight="1">
      <c r="A298" s="163"/>
      <c r="B298" s="163"/>
      <c r="C298" s="163"/>
      <c r="D298" s="1"/>
      <c r="E298" s="163"/>
      <c r="F298" s="11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5"/>
      <c r="V298" s="165"/>
    </row>
    <row r="299" ht="12.75" customHeight="1">
      <c r="A299" s="163"/>
      <c r="B299" s="163"/>
      <c r="C299" s="163"/>
      <c r="D299" s="1"/>
      <c r="E299" s="163"/>
      <c r="F299" s="11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5"/>
      <c r="V299" s="165"/>
    </row>
    <row r="300" ht="12.75" customHeight="1">
      <c r="A300" s="163"/>
      <c r="B300" s="163"/>
      <c r="C300" s="163"/>
      <c r="D300" s="1"/>
      <c r="E300" s="163"/>
      <c r="F300" s="11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5"/>
      <c r="V300" s="165"/>
    </row>
    <row r="301" ht="12.75" customHeight="1">
      <c r="A301" s="163"/>
      <c r="B301" s="163"/>
      <c r="C301" s="163"/>
      <c r="D301" s="1"/>
      <c r="E301" s="163"/>
      <c r="F301" s="11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5"/>
      <c r="V301" s="165"/>
    </row>
    <row r="302" ht="12.75" customHeight="1">
      <c r="A302" s="163"/>
      <c r="B302" s="163"/>
      <c r="C302" s="163"/>
      <c r="D302" s="1"/>
      <c r="E302" s="163"/>
      <c r="F302" s="11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5"/>
      <c r="V302" s="165"/>
    </row>
    <row r="303" ht="12.75" customHeight="1">
      <c r="A303" s="163"/>
      <c r="B303" s="163"/>
      <c r="C303" s="163"/>
      <c r="D303" s="1"/>
      <c r="E303" s="163"/>
      <c r="F303" s="11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5"/>
      <c r="V303" s="165"/>
    </row>
    <row r="304" ht="12.75" customHeight="1">
      <c r="A304" s="163"/>
      <c r="B304" s="163"/>
      <c r="C304" s="163"/>
      <c r="D304" s="1"/>
      <c r="E304" s="163"/>
      <c r="F304" s="11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5"/>
      <c r="V304" s="165"/>
    </row>
    <row r="305" ht="12.75" customHeight="1">
      <c r="A305" s="163"/>
      <c r="B305" s="163"/>
      <c r="C305" s="163"/>
      <c r="D305" s="1"/>
      <c r="E305" s="163"/>
      <c r="F305" s="11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5"/>
      <c r="V305" s="165"/>
    </row>
    <row r="306" ht="12.75" customHeight="1">
      <c r="A306" s="163"/>
      <c r="B306" s="163"/>
      <c r="C306" s="163"/>
      <c r="D306" s="1"/>
      <c r="E306" s="163"/>
      <c r="F306" s="11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5"/>
      <c r="V306" s="165"/>
    </row>
    <row r="307" ht="12.75" customHeight="1">
      <c r="A307" s="163"/>
      <c r="B307" s="163"/>
      <c r="C307" s="163"/>
      <c r="D307" s="1"/>
      <c r="E307" s="163"/>
      <c r="F307" s="11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5"/>
      <c r="V307" s="165"/>
    </row>
    <row r="308" ht="12.75" customHeight="1">
      <c r="A308" s="163"/>
      <c r="B308" s="163"/>
      <c r="C308" s="163"/>
      <c r="D308" s="1"/>
      <c r="E308" s="163"/>
      <c r="F308" s="11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5"/>
      <c r="V308" s="165"/>
    </row>
    <row r="309" ht="12.75" customHeight="1">
      <c r="A309" s="163"/>
      <c r="B309" s="163"/>
      <c r="C309" s="163"/>
      <c r="D309" s="1"/>
      <c r="E309" s="163"/>
      <c r="F309" s="11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5"/>
      <c r="V309" s="165"/>
    </row>
    <row r="310" ht="12.75" customHeight="1">
      <c r="A310" s="163"/>
      <c r="B310" s="163"/>
      <c r="C310" s="163"/>
      <c r="D310" s="1"/>
      <c r="E310" s="163"/>
      <c r="F310" s="11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5"/>
      <c r="V310" s="165"/>
    </row>
    <row r="311" ht="12.75" customHeight="1">
      <c r="A311" s="163"/>
      <c r="B311" s="163"/>
      <c r="C311" s="163"/>
      <c r="D311" s="1"/>
      <c r="E311" s="163"/>
      <c r="F311" s="11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5"/>
      <c r="V311" s="165"/>
    </row>
    <row r="312" ht="12.75" customHeight="1">
      <c r="A312" s="163"/>
      <c r="B312" s="163"/>
      <c r="C312" s="163"/>
      <c r="D312" s="1"/>
      <c r="E312" s="163"/>
      <c r="F312" s="11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5"/>
      <c r="V312" s="165"/>
    </row>
    <row r="313" ht="12.75" customHeight="1">
      <c r="A313" s="163"/>
      <c r="B313" s="163"/>
      <c r="C313" s="163"/>
      <c r="D313" s="1"/>
      <c r="E313" s="163"/>
      <c r="F313" s="11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5"/>
      <c r="V313" s="165"/>
    </row>
    <row r="314" ht="12.75" customHeight="1">
      <c r="A314" s="163"/>
      <c r="B314" s="163"/>
      <c r="C314" s="163"/>
      <c r="D314" s="1"/>
      <c r="E314" s="163"/>
      <c r="F314" s="11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5"/>
      <c r="V314" s="165"/>
    </row>
    <row r="315" ht="12.75" customHeight="1">
      <c r="A315" s="163"/>
      <c r="B315" s="163"/>
      <c r="C315" s="163"/>
      <c r="D315" s="1"/>
      <c r="E315" s="163"/>
      <c r="F315" s="11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5"/>
      <c r="V315" s="165"/>
    </row>
    <row r="316" ht="12.75" customHeight="1">
      <c r="A316" s="163"/>
      <c r="B316" s="163"/>
      <c r="C316" s="163"/>
      <c r="D316" s="1"/>
      <c r="E316" s="163"/>
      <c r="F316" s="11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5"/>
      <c r="V316" s="165"/>
    </row>
    <row r="317" ht="12.75" customHeight="1">
      <c r="A317" s="163"/>
      <c r="B317" s="163"/>
      <c r="C317" s="163"/>
      <c r="D317" s="1"/>
      <c r="E317" s="163"/>
      <c r="F317" s="11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5"/>
      <c r="V317" s="165"/>
    </row>
    <row r="318" ht="12.75" customHeight="1">
      <c r="A318" s="163"/>
      <c r="B318" s="163"/>
      <c r="C318" s="163"/>
      <c r="D318" s="1"/>
      <c r="E318" s="163"/>
      <c r="F318" s="11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5"/>
      <c r="V318" s="165"/>
    </row>
    <row r="319" ht="12.75" customHeight="1">
      <c r="A319" s="163"/>
      <c r="B319" s="163"/>
      <c r="C319" s="163"/>
      <c r="D319" s="1"/>
      <c r="E319" s="163"/>
      <c r="F319" s="11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5"/>
      <c r="V319" s="165"/>
    </row>
    <row r="320" ht="12.75" customHeight="1">
      <c r="A320" s="163"/>
      <c r="B320" s="163"/>
      <c r="C320" s="163"/>
      <c r="D320" s="1"/>
      <c r="E320" s="163"/>
      <c r="F320" s="11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5"/>
      <c r="V320" s="165"/>
    </row>
    <row r="321" ht="12.75" customHeight="1">
      <c r="A321" s="163"/>
      <c r="B321" s="163"/>
      <c r="C321" s="163"/>
      <c r="D321" s="1"/>
      <c r="E321" s="163"/>
      <c r="F321" s="11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5"/>
      <c r="V321" s="165"/>
    </row>
    <row r="322" ht="12.75" customHeight="1">
      <c r="A322" s="163"/>
      <c r="B322" s="163"/>
      <c r="C322" s="163"/>
      <c r="D322" s="1"/>
      <c r="E322" s="163"/>
      <c r="F322" s="11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5"/>
      <c r="V322" s="165"/>
    </row>
    <row r="323" ht="12.75" customHeight="1">
      <c r="A323" s="163"/>
      <c r="B323" s="163"/>
      <c r="C323" s="163"/>
      <c r="D323" s="1"/>
      <c r="E323" s="163"/>
      <c r="F323" s="11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5"/>
      <c r="V323" s="165"/>
    </row>
    <row r="324" ht="12.75" customHeight="1">
      <c r="A324" s="163"/>
      <c r="B324" s="163"/>
      <c r="C324" s="163"/>
      <c r="D324" s="1"/>
      <c r="E324" s="163"/>
      <c r="F324" s="11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5"/>
      <c r="V324" s="165"/>
    </row>
    <row r="325" ht="12.75" customHeight="1">
      <c r="A325" s="163"/>
      <c r="B325" s="163"/>
      <c r="C325" s="163"/>
      <c r="D325" s="1"/>
      <c r="E325" s="163"/>
      <c r="F325" s="11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5"/>
      <c r="V325" s="165"/>
    </row>
    <row r="326" ht="12.75" customHeight="1">
      <c r="A326" s="163"/>
      <c r="B326" s="163"/>
      <c r="C326" s="163"/>
      <c r="D326" s="1"/>
      <c r="E326" s="163"/>
      <c r="F326" s="11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5"/>
      <c r="V326" s="165"/>
    </row>
    <row r="327" ht="12.75" customHeight="1">
      <c r="A327" s="163"/>
      <c r="B327" s="163"/>
      <c r="C327" s="163"/>
      <c r="D327" s="1"/>
      <c r="E327" s="163"/>
      <c r="F327" s="11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5"/>
      <c r="V327" s="165"/>
    </row>
    <row r="328" ht="12.75" customHeight="1">
      <c r="A328" s="163"/>
      <c r="B328" s="163"/>
      <c r="C328" s="163"/>
      <c r="D328" s="1"/>
      <c r="E328" s="163"/>
      <c r="F328" s="11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5"/>
      <c r="V328" s="165"/>
    </row>
    <row r="329" ht="12.75" customHeight="1">
      <c r="A329" s="163"/>
      <c r="B329" s="163"/>
      <c r="C329" s="163"/>
      <c r="D329" s="1"/>
      <c r="E329" s="163"/>
      <c r="F329" s="11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5"/>
      <c r="V329" s="165"/>
    </row>
    <row r="330" ht="12.75" customHeight="1">
      <c r="A330" s="163"/>
      <c r="B330" s="163"/>
      <c r="C330" s="163"/>
      <c r="D330" s="1"/>
      <c r="E330" s="163"/>
      <c r="F330" s="11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5"/>
      <c r="V330" s="165"/>
    </row>
    <row r="331" ht="12.75" customHeight="1">
      <c r="A331" s="163"/>
      <c r="B331" s="163"/>
      <c r="C331" s="163"/>
      <c r="D331" s="1"/>
      <c r="E331" s="163"/>
      <c r="F331" s="11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5"/>
      <c r="V331" s="165"/>
    </row>
    <row r="332" ht="12.75" customHeight="1">
      <c r="A332" s="163"/>
      <c r="B332" s="163"/>
      <c r="C332" s="163"/>
      <c r="D332" s="1"/>
      <c r="E332" s="163"/>
      <c r="F332" s="11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5"/>
      <c r="V332" s="165"/>
    </row>
    <row r="333" ht="12.75" customHeight="1">
      <c r="A333" s="163"/>
      <c r="B333" s="163"/>
      <c r="C333" s="163"/>
      <c r="D333" s="1"/>
      <c r="E333" s="163"/>
      <c r="F333" s="11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5"/>
      <c r="V333" s="165"/>
    </row>
    <row r="334" ht="12.75" customHeight="1">
      <c r="A334" s="163"/>
      <c r="B334" s="163"/>
      <c r="C334" s="163"/>
      <c r="D334" s="1"/>
      <c r="E334" s="163"/>
      <c r="F334" s="11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5"/>
      <c r="V334" s="165"/>
    </row>
    <row r="335" ht="12.75" customHeight="1">
      <c r="A335" s="163"/>
      <c r="B335" s="163"/>
      <c r="C335" s="163"/>
      <c r="D335" s="1"/>
      <c r="E335" s="163"/>
      <c r="F335" s="11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5"/>
      <c r="V335" s="165"/>
    </row>
    <row r="336" ht="12.75" customHeight="1">
      <c r="A336" s="163"/>
      <c r="B336" s="163"/>
      <c r="C336" s="163"/>
      <c r="D336" s="1"/>
      <c r="E336" s="163"/>
      <c r="F336" s="11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5"/>
      <c r="V336" s="165"/>
    </row>
    <row r="337" ht="12.75" customHeight="1">
      <c r="A337" s="163"/>
      <c r="B337" s="163"/>
      <c r="C337" s="163"/>
      <c r="D337" s="1"/>
      <c r="E337" s="163"/>
      <c r="F337" s="11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5"/>
      <c r="V337" s="165"/>
    </row>
    <row r="338" ht="12.75" customHeight="1">
      <c r="A338" s="163"/>
      <c r="B338" s="163"/>
      <c r="C338" s="163"/>
      <c r="D338" s="1"/>
      <c r="E338" s="163"/>
      <c r="F338" s="11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5"/>
      <c r="V338" s="165"/>
    </row>
    <row r="339" ht="12.75" customHeight="1">
      <c r="A339" s="163"/>
      <c r="B339" s="163"/>
      <c r="C339" s="163"/>
      <c r="D339" s="1"/>
      <c r="E339" s="163"/>
      <c r="F339" s="11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5"/>
      <c r="V339" s="165"/>
    </row>
    <row r="340" ht="12.75" customHeight="1">
      <c r="A340" s="163"/>
      <c r="B340" s="163"/>
      <c r="C340" s="163"/>
      <c r="D340" s="1"/>
      <c r="E340" s="163"/>
      <c r="F340" s="11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5"/>
      <c r="V340" s="165"/>
    </row>
    <row r="341" ht="12.75" customHeight="1">
      <c r="A341" s="163"/>
      <c r="B341" s="163"/>
      <c r="C341" s="163"/>
      <c r="D341" s="1"/>
      <c r="E341" s="163"/>
      <c r="F341" s="11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5"/>
      <c r="V341" s="165"/>
    </row>
    <row r="342" ht="12.75" customHeight="1">
      <c r="A342" s="163"/>
      <c r="B342" s="163"/>
      <c r="C342" s="163"/>
      <c r="D342" s="1"/>
      <c r="E342" s="163"/>
      <c r="F342" s="11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5"/>
      <c r="V342" s="165"/>
    </row>
    <row r="343" ht="12.75" customHeight="1">
      <c r="A343" s="163"/>
      <c r="B343" s="163"/>
      <c r="C343" s="163"/>
      <c r="D343" s="1"/>
      <c r="E343" s="163"/>
      <c r="F343" s="11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5"/>
      <c r="V343" s="165"/>
    </row>
    <row r="344" ht="12.75" customHeight="1">
      <c r="A344" s="163"/>
      <c r="B344" s="163"/>
      <c r="C344" s="163"/>
      <c r="D344" s="1"/>
      <c r="E344" s="163"/>
      <c r="F344" s="11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5"/>
      <c r="V344" s="165"/>
    </row>
    <row r="345" ht="12.75" customHeight="1">
      <c r="A345" s="163"/>
      <c r="B345" s="163"/>
      <c r="C345" s="163"/>
      <c r="D345" s="1"/>
      <c r="E345" s="163"/>
      <c r="F345" s="11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5"/>
      <c r="V345" s="165"/>
    </row>
    <row r="346" ht="12.75" customHeight="1">
      <c r="A346" s="163"/>
      <c r="B346" s="163"/>
      <c r="C346" s="163"/>
      <c r="D346" s="1"/>
      <c r="E346" s="163"/>
      <c r="F346" s="11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5"/>
      <c r="V346" s="165"/>
    </row>
    <row r="347" ht="12.75" customHeight="1">
      <c r="A347" s="163"/>
      <c r="B347" s="163"/>
      <c r="C347" s="163"/>
      <c r="D347" s="1"/>
      <c r="E347" s="163"/>
      <c r="F347" s="11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5"/>
      <c r="V347" s="165"/>
    </row>
    <row r="348" ht="12.75" customHeight="1">
      <c r="A348" s="163"/>
      <c r="B348" s="163"/>
      <c r="C348" s="163"/>
      <c r="D348" s="1"/>
      <c r="E348" s="163"/>
      <c r="F348" s="11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5"/>
      <c r="V348" s="165"/>
    </row>
    <row r="349" ht="12.75" customHeight="1">
      <c r="A349" s="163"/>
      <c r="B349" s="163"/>
      <c r="C349" s="163"/>
      <c r="D349" s="1"/>
      <c r="E349" s="163"/>
      <c r="F349" s="11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5"/>
      <c r="V349" s="165"/>
    </row>
    <row r="350" ht="12.75" customHeight="1">
      <c r="A350" s="163"/>
      <c r="B350" s="163"/>
      <c r="C350" s="163"/>
      <c r="D350" s="1"/>
      <c r="E350" s="163"/>
      <c r="F350" s="11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5"/>
      <c r="V350" s="165"/>
    </row>
    <row r="351" ht="12.75" customHeight="1">
      <c r="A351" s="163"/>
      <c r="B351" s="163"/>
      <c r="C351" s="163"/>
      <c r="D351" s="1"/>
      <c r="E351" s="163"/>
      <c r="F351" s="11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5"/>
      <c r="V351" s="165"/>
    </row>
    <row r="352" ht="12.75" customHeight="1">
      <c r="A352" s="163"/>
      <c r="B352" s="163"/>
      <c r="C352" s="163"/>
      <c r="D352" s="1"/>
      <c r="E352" s="163"/>
      <c r="F352" s="11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5"/>
      <c r="V352" s="165"/>
    </row>
    <row r="353" ht="12.75" customHeight="1">
      <c r="A353" s="163"/>
      <c r="B353" s="163"/>
      <c r="C353" s="163"/>
      <c r="D353" s="1"/>
      <c r="E353" s="163"/>
      <c r="F353" s="11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5"/>
      <c r="V353" s="165"/>
    </row>
    <row r="354" ht="12.75" customHeight="1">
      <c r="A354" s="163"/>
      <c r="B354" s="163"/>
      <c r="C354" s="163"/>
      <c r="D354" s="1"/>
      <c r="E354" s="163"/>
      <c r="F354" s="11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5"/>
      <c r="V354" s="165"/>
    </row>
    <row r="355" ht="12.75" customHeight="1">
      <c r="A355" s="163"/>
      <c r="B355" s="163"/>
      <c r="C355" s="163"/>
      <c r="D355" s="1"/>
      <c r="E355" s="163"/>
      <c r="F355" s="11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5"/>
      <c r="V355" s="165"/>
    </row>
    <row r="356" ht="12.75" customHeight="1">
      <c r="A356" s="163"/>
      <c r="B356" s="163"/>
      <c r="C356" s="163"/>
      <c r="D356" s="1"/>
      <c r="E356" s="163"/>
      <c r="F356" s="11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5"/>
      <c r="V356" s="165"/>
    </row>
    <row r="357" ht="12.75" customHeight="1">
      <c r="A357" s="163"/>
      <c r="B357" s="163"/>
      <c r="C357" s="163"/>
      <c r="D357" s="1"/>
      <c r="E357" s="163"/>
      <c r="F357" s="11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5"/>
      <c r="V357" s="165"/>
    </row>
    <row r="358" ht="12.75" customHeight="1">
      <c r="A358" s="163"/>
      <c r="B358" s="163"/>
      <c r="C358" s="163"/>
      <c r="D358" s="1"/>
      <c r="E358" s="163"/>
      <c r="F358" s="11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5"/>
      <c r="V358" s="165"/>
    </row>
    <row r="359" ht="12.75" customHeight="1">
      <c r="A359" s="163"/>
      <c r="B359" s="163"/>
      <c r="C359" s="163"/>
      <c r="D359" s="1"/>
      <c r="E359" s="163"/>
      <c r="F359" s="11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5"/>
      <c r="V359" s="165"/>
    </row>
    <row r="360" ht="12.75" customHeight="1">
      <c r="A360" s="163"/>
      <c r="B360" s="163"/>
      <c r="C360" s="163"/>
      <c r="D360" s="1"/>
      <c r="E360" s="163"/>
      <c r="F360" s="11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5"/>
      <c r="V360" s="165"/>
    </row>
    <row r="361" ht="12.75" customHeight="1">
      <c r="A361" s="163"/>
      <c r="B361" s="163"/>
      <c r="C361" s="163"/>
      <c r="D361" s="1"/>
      <c r="E361" s="163"/>
      <c r="F361" s="11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5"/>
      <c r="V361" s="165"/>
    </row>
    <row r="362" ht="12.75" customHeight="1">
      <c r="A362" s="163"/>
      <c r="B362" s="163"/>
      <c r="C362" s="163"/>
      <c r="D362" s="1"/>
      <c r="E362" s="163"/>
      <c r="F362" s="11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5"/>
      <c r="V362" s="165"/>
    </row>
    <row r="363" ht="12.75" customHeight="1">
      <c r="A363" s="163"/>
      <c r="B363" s="163"/>
      <c r="C363" s="163"/>
      <c r="D363" s="1"/>
      <c r="E363" s="163"/>
      <c r="F363" s="11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5"/>
      <c r="V363" s="165"/>
    </row>
    <row r="364" ht="12.75" customHeight="1">
      <c r="A364" s="163"/>
      <c r="B364" s="163"/>
      <c r="C364" s="163"/>
      <c r="D364" s="1"/>
      <c r="E364" s="163"/>
      <c r="F364" s="11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5"/>
      <c r="V364" s="165"/>
    </row>
    <row r="365" ht="12.75" customHeight="1">
      <c r="A365" s="163"/>
      <c r="B365" s="163"/>
      <c r="C365" s="163"/>
      <c r="D365" s="1"/>
      <c r="E365" s="163"/>
      <c r="F365" s="11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5"/>
      <c r="V365" s="165"/>
    </row>
    <row r="366" ht="12.75" customHeight="1">
      <c r="A366" s="163"/>
      <c r="B366" s="163"/>
      <c r="C366" s="163"/>
      <c r="D366" s="1"/>
      <c r="E366" s="163"/>
      <c r="F366" s="11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5"/>
      <c r="V366" s="165"/>
    </row>
    <row r="367" ht="12.75" customHeight="1">
      <c r="A367" s="163"/>
      <c r="B367" s="163"/>
      <c r="C367" s="163"/>
      <c r="D367" s="1"/>
      <c r="E367" s="163"/>
      <c r="F367" s="11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5"/>
      <c r="V367" s="165"/>
    </row>
    <row r="368" ht="12.75" customHeight="1">
      <c r="A368" s="163"/>
      <c r="B368" s="163"/>
      <c r="C368" s="163"/>
      <c r="D368" s="1"/>
      <c r="E368" s="163"/>
      <c r="F368" s="11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5"/>
      <c r="V368" s="165"/>
    </row>
    <row r="369" ht="12.75" customHeight="1">
      <c r="A369" s="163"/>
      <c r="B369" s="163"/>
      <c r="C369" s="163"/>
      <c r="D369" s="1"/>
      <c r="E369" s="163"/>
      <c r="F369" s="11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5"/>
      <c r="V369" s="165"/>
    </row>
    <row r="370" ht="12.75" customHeight="1">
      <c r="A370" s="163"/>
      <c r="B370" s="163"/>
      <c r="C370" s="163"/>
      <c r="D370" s="1"/>
      <c r="E370" s="163"/>
      <c r="F370" s="11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5"/>
      <c r="V370" s="165"/>
    </row>
    <row r="371" ht="12.75" customHeight="1">
      <c r="A371" s="163"/>
      <c r="B371" s="163"/>
      <c r="C371" s="163"/>
      <c r="D371" s="1"/>
      <c r="E371" s="163"/>
      <c r="F371" s="11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5"/>
      <c r="V371" s="165"/>
    </row>
    <row r="372" ht="12.75" customHeight="1">
      <c r="A372" s="163"/>
      <c r="B372" s="163"/>
      <c r="C372" s="163"/>
      <c r="D372" s="1"/>
      <c r="E372" s="163"/>
      <c r="F372" s="11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5"/>
      <c r="V372" s="165"/>
    </row>
    <row r="373" ht="12.75" customHeight="1">
      <c r="A373" s="163"/>
      <c r="B373" s="163"/>
      <c r="C373" s="163"/>
      <c r="D373" s="1"/>
      <c r="E373" s="163"/>
      <c r="F373" s="11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5"/>
      <c r="V373" s="165"/>
    </row>
    <row r="374" ht="12.75" customHeight="1">
      <c r="A374" s="163"/>
      <c r="B374" s="163"/>
      <c r="C374" s="163"/>
      <c r="D374" s="1"/>
      <c r="E374" s="163"/>
      <c r="F374" s="11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5"/>
      <c r="V374" s="165"/>
    </row>
    <row r="375" ht="12.75" customHeight="1">
      <c r="A375" s="163"/>
      <c r="B375" s="163"/>
      <c r="C375" s="163"/>
      <c r="D375" s="1"/>
      <c r="E375" s="163"/>
      <c r="F375" s="11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5"/>
      <c r="V375" s="165"/>
    </row>
    <row r="376" ht="12.75" customHeight="1">
      <c r="A376" s="163"/>
      <c r="B376" s="163"/>
      <c r="C376" s="163"/>
      <c r="D376" s="1"/>
      <c r="E376" s="163"/>
      <c r="F376" s="11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5"/>
      <c r="V376" s="165"/>
    </row>
    <row r="377" ht="12.75" customHeight="1">
      <c r="A377" s="163"/>
      <c r="B377" s="163"/>
      <c r="C377" s="163"/>
      <c r="D377" s="1"/>
      <c r="E377" s="163"/>
      <c r="F377" s="11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5"/>
      <c r="V377" s="165"/>
    </row>
    <row r="378" ht="12.75" customHeight="1">
      <c r="A378" s="163"/>
      <c r="B378" s="163"/>
      <c r="C378" s="163"/>
      <c r="D378" s="1"/>
      <c r="E378" s="163"/>
      <c r="F378" s="11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5"/>
      <c r="V378" s="165"/>
    </row>
    <row r="379" ht="12.75" customHeight="1">
      <c r="A379" s="163"/>
      <c r="B379" s="163"/>
      <c r="C379" s="163"/>
      <c r="D379" s="1"/>
      <c r="E379" s="163"/>
      <c r="F379" s="11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5"/>
      <c r="V379" s="165"/>
    </row>
    <row r="380" ht="12.75" customHeight="1">
      <c r="A380" s="163"/>
      <c r="B380" s="163"/>
      <c r="C380" s="163"/>
      <c r="D380" s="1"/>
      <c r="E380" s="163"/>
      <c r="F380" s="11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5"/>
      <c r="V380" s="165"/>
    </row>
    <row r="381" ht="12.75" customHeight="1">
      <c r="A381" s="163"/>
      <c r="B381" s="163"/>
      <c r="C381" s="163"/>
      <c r="D381" s="1"/>
      <c r="E381" s="163"/>
      <c r="F381" s="11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5"/>
      <c r="V381" s="165"/>
    </row>
    <row r="382" ht="12.75" customHeight="1">
      <c r="A382" s="163"/>
      <c r="B382" s="163"/>
      <c r="C382" s="163"/>
      <c r="D382" s="1"/>
      <c r="E382" s="163"/>
      <c r="F382" s="11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5"/>
      <c r="V382" s="165"/>
    </row>
    <row r="383" ht="12.75" customHeight="1">
      <c r="A383" s="163"/>
      <c r="B383" s="163"/>
      <c r="C383" s="163"/>
      <c r="D383" s="1"/>
      <c r="E383" s="163"/>
      <c r="F383" s="11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5"/>
      <c r="V383" s="165"/>
    </row>
    <row r="384" ht="12.75" customHeight="1">
      <c r="A384" s="163"/>
      <c r="B384" s="163"/>
      <c r="C384" s="163"/>
      <c r="D384" s="1"/>
      <c r="E384" s="163"/>
      <c r="F384" s="11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5"/>
      <c r="V384" s="165"/>
    </row>
    <row r="385" ht="12.75" customHeight="1">
      <c r="A385" s="163"/>
      <c r="B385" s="163"/>
      <c r="C385" s="163"/>
      <c r="D385" s="1"/>
      <c r="E385" s="163"/>
      <c r="F385" s="11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5"/>
      <c r="V385" s="165"/>
    </row>
    <row r="386" ht="12.75" customHeight="1">
      <c r="A386" s="163"/>
      <c r="B386" s="163"/>
      <c r="C386" s="163"/>
      <c r="D386" s="1"/>
      <c r="E386" s="163"/>
      <c r="F386" s="11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5"/>
      <c r="V386" s="165"/>
    </row>
    <row r="387" ht="12.75" customHeight="1">
      <c r="A387" s="163"/>
      <c r="B387" s="163"/>
      <c r="C387" s="163"/>
      <c r="D387" s="1"/>
      <c r="E387" s="163"/>
      <c r="F387" s="11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5"/>
      <c r="V387" s="165"/>
    </row>
    <row r="388" ht="12.75" customHeight="1">
      <c r="A388" s="163"/>
      <c r="B388" s="163"/>
      <c r="C388" s="163"/>
      <c r="D388" s="1"/>
      <c r="E388" s="163"/>
      <c r="F388" s="11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5"/>
      <c r="V388" s="165"/>
    </row>
    <row r="389" ht="12.75" customHeight="1">
      <c r="A389" s="163"/>
      <c r="B389" s="163"/>
      <c r="C389" s="163"/>
      <c r="D389" s="1"/>
      <c r="E389" s="163"/>
      <c r="F389" s="11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5"/>
      <c r="V389" s="165"/>
    </row>
    <row r="390" ht="12.75" customHeight="1">
      <c r="A390" s="163"/>
      <c r="B390" s="163"/>
      <c r="C390" s="163"/>
      <c r="D390" s="1"/>
      <c r="E390" s="163"/>
      <c r="F390" s="11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5"/>
      <c r="V390" s="165"/>
    </row>
    <row r="391" ht="12.75" customHeight="1">
      <c r="A391" s="163"/>
      <c r="B391" s="163"/>
      <c r="C391" s="163"/>
      <c r="D391" s="1"/>
      <c r="E391" s="163"/>
      <c r="F391" s="11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5"/>
      <c r="V391" s="165"/>
    </row>
    <row r="392" ht="12.75" customHeight="1">
      <c r="A392" s="163"/>
      <c r="B392" s="163"/>
      <c r="C392" s="163"/>
      <c r="D392" s="1"/>
      <c r="E392" s="163"/>
      <c r="F392" s="11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5"/>
      <c r="V392" s="165"/>
    </row>
    <row r="393" ht="12.75" customHeight="1">
      <c r="A393" s="163"/>
      <c r="B393" s="163"/>
      <c r="C393" s="163"/>
      <c r="D393" s="1"/>
      <c r="E393" s="163"/>
      <c r="F393" s="11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5"/>
      <c r="V393" s="165"/>
    </row>
    <row r="394" ht="12.75" customHeight="1">
      <c r="A394" s="163"/>
      <c r="B394" s="163"/>
      <c r="C394" s="163"/>
      <c r="D394" s="1"/>
      <c r="E394" s="163"/>
      <c r="F394" s="11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5"/>
      <c r="V394" s="165"/>
    </row>
    <row r="395" ht="12.75" customHeight="1">
      <c r="A395" s="163"/>
      <c r="B395" s="163"/>
      <c r="C395" s="163"/>
      <c r="D395" s="1"/>
      <c r="E395" s="163"/>
      <c r="F395" s="11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5"/>
      <c r="V395" s="165"/>
    </row>
    <row r="396" ht="12.75" customHeight="1">
      <c r="A396" s="163"/>
      <c r="B396" s="163"/>
      <c r="C396" s="163"/>
      <c r="D396" s="1"/>
      <c r="E396" s="163"/>
      <c r="F396" s="11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5"/>
      <c r="V396" s="165"/>
    </row>
    <row r="397" ht="12.75" customHeight="1">
      <c r="A397" s="163"/>
      <c r="B397" s="163"/>
      <c r="C397" s="163"/>
      <c r="D397" s="1"/>
      <c r="E397" s="163"/>
      <c r="F397" s="11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5"/>
      <c r="V397" s="165"/>
    </row>
    <row r="398" ht="12.75" customHeight="1">
      <c r="A398" s="163"/>
      <c r="B398" s="163"/>
      <c r="C398" s="163"/>
      <c r="D398" s="1"/>
      <c r="E398" s="163"/>
      <c r="F398" s="11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5"/>
      <c r="V398" s="165"/>
    </row>
    <row r="399" ht="12.75" customHeight="1">
      <c r="A399" s="163"/>
      <c r="B399" s="163"/>
      <c r="C399" s="163"/>
      <c r="D399" s="1"/>
      <c r="E399" s="163"/>
      <c r="F399" s="11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5"/>
      <c r="V399" s="165"/>
    </row>
    <row r="400" ht="12.75" customHeight="1">
      <c r="A400" s="163"/>
      <c r="B400" s="163"/>
      <c r="C400" s="163"/>
      <c r="D400" s="1"/>
      <c r="E400" s="163"/>
      <c r="F400" s="11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5"/>
      <c r="V400" s="165"/>
    </row>
    <row r="401" ht="12.75" customHeight="1">
      <c r="A401" s="163"/>
      <c r="B401" s="163"/>
      <c r="C401" s="163"/>
      <c r="D401" s="1"/>
      <c r="E401" s="163"/>
      <c r="F401" s="11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5"/>
      <c r="V401" s="165"/>
    </row>
    <row r="402" ht="12.75" customHeight="1">
      <c r="A402" s="163"/>
      <c r="B402" s="163"/>
      <c r="C402" s="163"/>
      <c r="D402" s="1"/>
      <c r="E402" s="163"/>
      <c r="F402" s="11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5"/>
      <c r="V402" s="165"/>
    </row>
    <row r="403" ht="12.75" customHeight="1">
      <c r="A403" s="163"/>
      <c r="B403" s="163"/>
      <c r="C403" s="163"/>
      <c r="D403" s="1"/>
      <c r="E403" s="163"/>
      <c r="F403" s="11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5"/>
      <c r="V403" s="165"/>
    </row>
    <row r="404" ht="12.75" customHeight="1">
      <c r="A404" s="163"/>
      <c r="B404" s="163"/>
      <c r="C404" s="163"/>
      <c r="D404" s="1"/>
      <c r="E404" s="163"/>
      <c r="F404" s="11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5"/>
      <c r="V404" s="165"/>
    </row>
    <row r="405" ht="12.75" customHeight="1">
      <c r="A405" s="163"/>
      <c r="B405" s="163"/>
      <c r="C405" s="163"/>
      <c r="D405" s="1"/>
      <c r="E405" s="163"/>
      <c r="F405" s="11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5"/>
      <c r="V405" s="165"/>
    </row>
    <row r="406" ht="12.75" customHeight="1">
      <c r="A406" s="163"/>
      <c r="B406" s="163"/>
      <c r="C406" s="163"/>
      <c r="D406" s="1"/>
      <c r="E406" s="163"/>
      <c r="F406" s="11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5"/>
      <c r="V406" s="165"/>
    </row>
    <row r="407" ht="12.75" customHeight="1">
      <c r="A407" s="163"/>
      <c r="B407" s="163"/>
      <c r="C407" s="163"/>
      <c r="D407" s="1"/>
      <c r="E407" s="163"/>
      <c r="F407" s="11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5"/>
      <c r="V407" s="165"/>
    </row>
    <row r="408" ht="12.75" customHeight="1">
      <c r="A408" s="163"/>
      <c r="B408" s="163"/>
      <c r="C408" s="163"/>
      <c r="D408" s="1"/>
      <c r="E408" s="163"/>
      <c r="F408" s="11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5"/>
      <c r="V408" s="165"/>
    </row>
    <row r="409" ht="12.75" customHeight="1">
      <c r="A409" s="163"/>
      <c r="B409" s="163"/>
      <c r="C409" s="163"/>
      <c r="D409" s="1"/>
      <c r="E409" s="163"/>
      <c r="F409" s="11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5"/>
      <c r="V409" s="165"/>
    </row>
    <row r="410" ht="12.75" customHeight="1">
      <c r="A410" s="163"/>
      <c r="B410" s="163"/>
      <c r="C410" s="163"/>
      <c r="D410" s="1"/>
      <c r="E410" s="163"/>
      <c r="F410" s="11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5"/>
      <c r="V410" s="165"/>
    </row>
    <row r="411" ht="12.75" customHeight="1">
      <c r="A411" s="163"/>
      <c r="B411" s="163"/>
      <c r="C411" s="163"/>
      <c r="D411" s="1"/>
      <c r="E411" s="163"/>
      <c r="F411" s="11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5"/>
      <c r="V411" s="165"/>
    </row>
    <row r="412" ht="12.75" customHeight="1">
      <c r="A412" s="163"/>
      <c r="B412" s="163"/>
      <c r="C412" s="163"/>
      <c r="D412" s="1"/>
      <c r="E412" s="163"/>
      <c r="F412" s="11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5"/>
      <c r="V412" s="165"/>
    </row>
    <row r="413" ht="12.75" customHeight="1">
      <c r="A413" s="163"/>
      <c r="B413" s="163"/>
      <c r="C413" s="163"/>
      <c r="D413" s="1"/>
      <c r="E413" s="163"/>
      <c r="F413" s="11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5"/>
      <c r="V413" s="165"/>
    </row>
    <row r="414" ht="12.75" customHeight="1">
      <c r="A414" s="163"/>
      <c r="B414" s="163"/>
      <c r="C414" s="163"/>
      <c r="D414" s="1"/>
      <c r="E414" s="163"/>
      <c r="F414" s="11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5"/>
      <c r="V414" s="165"/>
    </row>
    <row r="415" ht="12.75" customHeight="1">
      <c r="A415" s="163"/>
      <c r="B415" s="163"/>
      <c r="C415" s="163"/>
      <c r="D415" s="1"/>
      <c r="E415" s="163"/>
      <c r="F415" s="11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5"/>
      <c r="V415" s="165"/>
    </row>
    <row r="416" ht="12.75" customHeight="1">
      <c r="A416" s="163"/>
      <c r="B416" s="163"/>
      <c r="C416" s="163"/>
      <c r="D416" s="1"/>
      <c r="E416" s="163"/>
      <c r="F416" s="11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5"/>
      <c r="V416" s="165"/>
    </row>
    <row r="417" ht="12.75" customHeight="1">
      <c r="A417" s="163"/>
      <c r="B417" s="163"/>
      <c r="C417" s="163"/>
      <c r="D417" s="1"/>
      <c r="E417" s="163"/>
      <c r="F417" s="11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5"/>
      <c r="V417" s="165"/>
    </row>
    <row r="418" ht="12.75" customHeight="1">
      <c r="A418" s="163"/>
      <c r="B418" s="163"/>
      <c r="C418" s="163"/>
      <c r="D418" s="1"/>
      <c r="E418" s="163"/>
      <c r="F418" s="11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5"/>
      <c r="V418" s="165"/>
    </row>
    <row r="419" ht="12.75" customHeight="1">
      <c r="A419" s="163"/>
      <c r="B419" s="163"/>
      <c r="C419" s="163"/>
      <c r="D419" s="1"/>
      <c r="E419" s="163"/>
      <c r="F419" s="11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5"/>
      <c r="V419" s="165"/>
    </row>
    <row r="420" ht="12.75" customHeight="1">
      <c r="A420" s="163"/>
      <c r="B420" s="163"/>
      <c r="C420" s="163"/>
      <c r="D420" s="1"/>
      <c r="E420" s="163"/>
      <c r="F420" s="11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5"/>
      <c r="V420" s="165"/>
    </row>
    <row r="421" ht="12.75" customHeight="1">
      <c r="A421" s="163"/>
      <c r="B421" s="163"/>
      <c r="C421" s="163"/>
      <c r="D421" s="1"/>
      <c r="E421" s="163"/>
      <c r="F421" s="11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5"/>
      <c r="V421" s="165"/>
    </row>
    <row r="422" ht="12.75" customHeight="1">
      <c r="A422" s="163"/>
      <c r="B422" s="163"/>
      <c r="C422" s="163"/>
      <c r="D422" s="1"/>
      <c r="E422" s="163"/>
      <c r="F422" s="11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5"/>
      <c r="V422" s="165"/>
    </row>
    <row r="423" ht="12.75" customHeight="1">
      <c r="A423" s="163"/>
      <c r="B423" s="163"/>
      <c r="C423" s="163"/>
      <c r="D423" s="1"/>
      <c r="E423" s="163"/>
      <c r="F423" s="11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5"/>
      <c r="V423" s="165"/>
    </row>
    <row r="424" ht="12.75" customHeight="1">
      <c r="A424" s="163"/>
      <c r="B424" s="163"/>
      <c r="C424" s="163"/>
      <c r="D424" s="1"/>
      <c r="E424" s="163"/>
      <c r="F424" s="11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5"/>
      <c r="V424" s="165"/>
    </row>
    <row r="425" ht="12.75" customHeight="1">
      <c r="A425" s="163"/>
      <c r="B425" s="163"/>
      <c r="C425" s="163"/>
      <c r="D425" s="1"/>
      <c r="E425" s="163"/>
      <c r="F425" s="11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5"/>
      <c r="V425" s="165"/>
    </row>
    <row r="426" ht="12.75" customHeight="1">
      <c r="A426" s="163"/>
      <c r="B426" s="163"/>
      <c r="C426" s="163"/>
      <c r="D426" s="1"/>
      <c r="E426" s="163"/>
      <c r="F426" s="11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5"/>
      <c r="V426" s="165"/>
    </row>
    <row r="427" ht="12.75" customHeight="1">
      <c r="A427" s="163"/>
      <c r="B427" s="163"/>
      <c r="C427" s="163"/>
      <c r="D427" s="1"/>
      <c r="E427" s="163"/>
      <c r="F427" s="11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5"/>
      <c r="V427" s="165"/>
    </row>
    <row r="428" ht="12.75" customHeight="1">
      <c r="A428" s="163"/>
      <c r="B428" s="163"/>
      <c r="C428" s="163"/>
      <c r="D428" s="1"/>
      <c r="E428" s="163"/>
      <c r="F428" s="11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5"/>
      <c r="V428" s="165"/>
    </row>
    <row r="429" ht="12.75" customHeight="1">
      <c r="A429" s="163"/>
      <c r="B429" s="163"/>
      <c r="C429" s="163"/>
      <c r="D429" s="1"/>
      <c r="E429" s="163"/>
      <c r="F429" s="11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5"/>
      <c r="V429" s="165"/>
    </row>
    <row r="430" ht="12.75" customHeight="1">
      <c r="A430" s="163"/>
      <c r="B430" s="163"/>
      <c r="C430" s="163"/>
      <c r="D430" s="1"/>
      <c r="E430" s="163"/>
      <c r="F430" s="11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5"/>
      <c r="V430" s="165"/>
    </row>
    <row r="431" ht="12.75" customHeight="1">
      <c r="A431" s="163"/>
      <c r="B431" s="163"/>
      <c r="C431" s="163"/>
      <c r="D431" s="1"/>
      <c r="E431" s="163"/>
      <c r="F431" s="11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5"/>
      <c r="V431" s="165"/>
    </row>
    <row r="432" ht="12.75" customHeight="1">
      <c r="A432" s="163"/>
      <c r="B432" s="163"/>
      <c r="C432" s="163"/>
      <c r="D432" s="1"/>
      <c r="E432" s="163"/>
      <c r="F432" s="11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5"/>
      <c r="V432" s="165"/>
    </row>
    <row r="433" ht="12.75" customHeight="1">
      <c r="A433" s="163"/>
      <c r="B433" s="163"/>
      <c r="C433" s="163"/>
      <c r="D433" s="1"/>
      <c r="E433" s="163"/>
      <c r="F433" s="11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5"/>
      <c r="V433" s="165"/>
    </row>
    <row r="434" ht="12.75" customHeight="1">
      <c r="A434" s="163"/>
      <c r="B434" s="163"/>
      <c r="C434" s="163"/>
      <c r="D434" s="1"/>
      <c r="E434" s="163"/>
      <c r="F434" s="11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5"/>
      <c r="V434" s="165"/>
    </row>
    <row r="435" ht="12.75" customHeight="1">
      <c r="A435" s="163"/>
      <c r="B435" s="163"/>
      <c r="C435" s="163"/>
      <c r="D435" s="1"/>
      <c r="E435" s="163"/>
      <c r="F435" s="11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5"/>
      <c r="V435" s="165"/>
    </row>
    <row r="436" ht="12.75" customHeight="1">
      <c r="A436" s="163"/>
      <c r="B436" s="163"/>
      <c r="C436" s="163"/>
      <c r="D436" s="1"/>
      <c r="E436" s="163"/>
      <c r="F436" s="11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5"/>
      <c r="V436" s="165"/>
    </row>
    <row r="437" ht="12.75" customHeight="1">
      <c r="A437" s="163"/>
      <c r="B437" s="163"/>
      <c r="C437" s="163"/>
      <c r="D437" s="1"/>
      <c r="E437" s="163"/>
      <c r="F437" s="11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5"/>
      <c r="V437" s="165"/>
    </row>
    <row r="438" ht="12.75" customHeight="1">
      <c r="A438" s="163"/>
      <c r="B438" s="163"/>
      <c r="C438" s="163"/>
      <c r="D438" s="1"/>
      <c r="E438" s="163"/>
      <c r="F438" s="11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5"/>
      <c r="V438" s="165"/>
    </row>
    <row r="439" ht="12.75" customHeight="1">
      <c r="A439" s="163"/>
      <c r="B439" s="163"/>
      <c r="C439" s="163"/>
      <c r="D439" s="1"/>
      <c r="E439" s="163"/>
      <c r="F439" s="11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5"/>
      <c r="V439" s="165"/>
    </row>
    <row r="440" ht="12.75" customHeight="1">
      <c r="A440" s="163"/>
      <c r="B440" s="163"/>
      <c r="C440" s="163"/>
      <c r="D440" s="1"/>
      <c r="E440" s="163"/>
      <c r="F440" s="11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5"/>
      <c r="V440" s="165"/>
    </row>
    <row r="441" ht="12.75" customHeight="1">
      <c r="A441" s="163"/>
      <c r="B441" s="163"/>
      <c r="C441" s="163"/>
      <c r="D441" s="1"/>
      <c r="E441" s="163"/>
      <c r="F441" s="11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5"/>
      <c r="V441" s="165"/>
    </row>
    <row r="442" ht="12.75" customHeight="1">
      <c r="A442" s="163"/>
      <c r="B442" s="163"/>
      <c r="C442" s="163"/>
      <c r="D442" s="1"/>
      <c r="E442" s="163"/>
      <c r="F442" s="11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5"/>
      <c r="V442" s="165"/>
    </row>
    <row r="443" ht="12.75" customHeight="1">
      <c r="A443" s="163"/>
      <c r="B443" s="163"/>
      <c r="C443" s="163"/>
      <c r="D443" s="1"/>
      <c r="E443" s="163"/>
      <c r="F443" s="11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5"/>
      <c r="V443" s="165"/>
    </row>
    <row r="444" ht="12.75" customHeight="1">
      <c r="A444" s="163"/>
      <c r="B444" s="163"/>
      <c r="C444" s="163"/>
      <c r="D444" s="1"/>
      <c r="E444" s="163"/>
      <c r="F444" s="11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5"/>
      <c r="V444" s="165"/>
    </row>
    <row r="445" ht="12.75" customHeight="1">
      <c r="A445" s="163"/>
      <c r="B445" s="163"/>
      <c r="C445" s="163"/>
      <c r="D445" s="1"/>
      <c r="E445" s="163"/>
      <c r="F445" s="11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5"/>
      <c r="V445" s="165"/>
    </row>
    <row r="446" ht="12.75" customHeight="1">
      <c r="A446" s="163"/>
      <c r="B446" s="163"/>
      <c r="C446" s="163"/>
      <c r="D446" s="1"/>
      <c r="E446" s="163"/>
      <c r="F446" s="11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5"/>
      <c r="V446" s="165"/>
    </row>
    <row r="447" ht="12.75" customHeight="1">
      <c r="A447" s="163"/>
      <c r="B447" s="163"/>
      <c r="C447" s="163"/>
      <c r="D447" s="1"/>
      <c r="E447" s="163"/>
      <c r="F447" s="11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5"/>
      <c r="V447" s="165"/>
    </row>
    <row r="448" ht="12.75" customHeight="1">
      <c r="A448" s="163"/>
      <c r="B448" s="163"/>
      <c r="C448" s="163"/>
      <c r="D448" s="1"/>
      <c r="E448" s="163"/>
      <c r="F448" s="11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5"/>
      <c r="V448" s="165"/>
    </row>
    <row r="449" ht="12.75" customHeight="1">
      <c r="A449" s="163"/>
      <c r="B449" s="163"/>
      <c r="C449" s="163"/>
      <c r="D449" s="1"/>
      <c r="E449" s="163"/>
      <c r="F449" s="11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5"/>
      <c r="V449" s="165"/>
    </row>
    <row r="450" ht="12.75" customHeight="1">
      <c r="A450" s="163"/>
      <c r="B450" s="163"/>
      <c r="C450" s="163"/>
      <c r="D450" s="1"/>
      <c r="E450" s="163"/>
      <c r="F450" s="11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5"/>
      <c r="V450" s="165"/>
    </row>
    <row r="451" ht="12.75" customHeight="1">
      <c r="A451" s="163"/>
      <c r="B451" s="163"/>
      <c r="C451" s="163"/>
      <c r="D451" s="1"/>
      <c r="E451" s="163"/>
      <c r="F451" s="11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5"/>
      <c r="V451" s="165"/>
    </row>
    <row r="452" ht="12.75" customHeight="1">
      <c r="A452" s="163"/>
      <c r="B452" s="163"/>
      <c r="C452" s="163"/>
      <c r="D452" s="1"/>
      <c r="E452" s="163"/>
      <c r="F452" s="11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5"/>
      <c r="V452" s="165"/>
    </row>
    <row r="453" ht="12.75" customHeight="1">
      <c r="A453" s="163"/>
      <c r="B453" s="163"/>
      <c r="C453" s="163"/>
      <c r="D453" s="1"/>
      <c r="E453" s="163"/>
      <c r="F453" s="11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5"/>
      <c r="V453" s="165"/>
    </row>
    <row r="454" ht="12.75" customHeight="1">
      <c r="A454" s="163"/>
      <c r="B454" s="163"/>
      <c r="C454" s="163"/>
      <c r="D454" s="1"/>
      <c r="E454" s="163"/>
      <c r="F454" s="11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5"/>
      <c r="V454" s="165"/>
    </row>
    <row r="455" ht="12.75" customHeight="1">
      <c r="A455" s="163"/>
      <c r="B455" s="163"/>
      <c r="C455" s="163"/>
      <c r="D455" s="1"/>
      <c r="E455" s="163"/>
      <c r="F455" s="11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5"/>
      <c r="V455" s="165"/>
    </row>
    <row r="456" ht="12.75" customHeight="1">
      <c r="A456" s="163"/>
      <c r="B456" s="163"/>
      <c r="C456" s="163"/>
      <c r="D456" s="1"/>
      <c r="E456" s="163"/>
      <c r="F456" s="11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5"/>
      <c r="V456" s="165"/>
    </row>
    <row r="457" ht="12.75" customHeight="1">
      <c r="A457" s="163"/>
      <c r="B457" s="163"/>
      <c r="C457" s="163"/>
      <c r="D457" s="1"/>
      <c r="E457" s="163"/>
      <c r="F457" s="11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5"/>
      <c r="V457" s="165"/>
    </row>
    <row r="458" ht="12.75" customHeight="1">
      <c r="A458" s="163"/>
      <c r="B458" s="163"/>
      <c r="C458" s="163"/>
      <c r="D458" s="1"/>
      <c r="E458" s="163"/>
      <c r="F458" s="11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5"/>
      <c r="V458" s="165"/>
    </row>
    <row r="459" ht="12.75" customHeight="1">
      <c r="A459" s="163"/>
      <c r="B459" s="163"/>
      <c r="C459" s="163"/>
      <c r="D459" s="1"/>
      <c r="E459" s="163"/>
      <c r="F459" s="11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5"/>
      <c r="V459" s="165"/>
    </row>
    <row r="460" ht="12.75" customHeight="1">
      <c r="A460" s="163"/>
      <c r="B460" s="163"/>
      <c r="C460" s="163"/>
      <c r="D460" s="1"/>
      <c r="E460" s="163"/>
      <c r="F460" s="11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5"/>
      <c r="V460" s="165"/>
    </row>
    <row r="461" ht="12.75" customHeight="1">
      <c r="A461" s="163"/>
      <c r="B461" s="163"/>
      <c r="C461" s="163"/>
      <c r="D461" s="1"/>
      <c r="E461" s="163"/>
      <c r="F461" s="11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5"/>
      <c r="V461" s="165"/>
    </row>
    <row r="462" ht="12.75" customHeight="1">
      <c r="A462" s="163"/>
      <c r="B462" s="163"/>
      <c r="C462" s="163"/>
      <c r="D462" s="1"/>
      <c r="E462" s="163"/>
      <c r="F462" s="11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5"/>
      <c r="V462" s="165"/>
    </row>
    <row r="463" ht="12.75" customHeight="1">
      <c r="A463" s="163"/>
      <c r="B463" s="163"/>
      <c r="C463" s="163"/>
      <c r="D463" s="1"/>
      <c r="E463" s="163"/>
      <c r="F463" s="11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5"/>
      <c r="V463" s="165"/>
    </row>
    <row r="464" ht="12.75" customHeight="1">
      <c r="A464" s="163"/>
      <c r="B464" s="163"/>
      <c r="C464" s="163"/>
      <c r="D464" s="1"/>
      <c r="E464" s="163"/>
      <c r="F464" s="11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5"/>
      <c r="V464" s="165"/>
    </row>
    <row r="465" ht="12.75" customHeight="1">
      <c r="A465" s="163"/>
      <c r="B465" s="163"/>
      <c r="C465" s="163"/>
      <c r="D465" s="1"/>
      <c r="E465" s="163"/>
      <c r="F465" s="11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5"/>
      <c r="V465" s="165"/>
    </row>
    <row r="466" ht="12.75" customHeight="1">
      <c r="A466" s="163"/>
      <c r="B466" s="163"/>
      <c r="C466" s="163"/>
      <c r="D466" s="1"/>
      <c r="E466" s="163"/>
      <c r="F466" s="11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5"/>
      <c r="V466" s="165"/>
    </row>
    <row r="467" ht="12.75" customHeight="1">
      <c r="A467" s="163"/>
      <c r="B467" s="163"/>
      <c r="C467" s="163"/>
      <c r="D467" s="1"/>
      <c r="E467" s="163"/>
      <c r="F467" s="11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5"/>
      <c r="V467" s="165"/>
    </row>
    <row r="468" ht="12.75" customHeight="1">
      <c r="A468" s="163"/>
      <c r="B468" s="163"/>
      <c r="C468" s="163"/>
      <c r="D468" s="1"/>
      <c r="E468" s="163"/>
      <c r="F468" s="11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5"/>
      <c r="V468" s="165"/>
    </row>
    <row r="469" ht="12.75" customHeight="1">
      <c r="A469" s="163"/>
      <c r="B469" s="163"/>
      <c r="C469" s="163"/>
      <c r="D469" s="1"/>
      <c r="E469" s="163"/>
      <c r="F469" s="11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5"/>
      <c r="V469" s="165"/>
    </row>
    <row r="470" ht="12.75" customHeight="1">
      <c r="A470" s="163"/>
      <c r="B470" s="163"/>
      <c r="C470" s="163"/>
      <c r="D470" s="1"/>
      <c r="E470" s="163"/>
      <c r="F470" s="11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5"/>
      <c r="V470" s="165"/>
    </row>
    <row r="471" ht="12.75" customHeight="1">
      <c r="A471" s="163"/>
      <c r="B471" s="163"/>
      <c r="C471" s="163"/>
      <c r="D471" s="1"/>
      <c r="E471" s="163"/>
      <c r="F471" s="11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5"/>
      <c r="V471" s="165"/>
    </row>
    <row r="472" ht="12.75" customHeight="1">
      <c r="A472" s="163"/>
      <c r="B472" s="163"/>
      <c r="C472" s="163"/>
      <c r="D472" s="1"/>
      <c r="E472" s="163"/>
      <c r="F472" s="11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5"/>
      <c r="V472" s="165"/>
    </row>
    <row r="473" ht="12.75" customHeight="1">
      <c r="A473" s="163"/>
      <c r="B473" s="163"/>
      <c r="C473" s="163"/>
      <c r="D473" s="1"/>
      <c r="E473" s="163"/>
      <c r="F473" s="11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5"/>
      <c r="V473" s="165"/>
    </row>
    <row r="474" ht="12.75" customHeight="1">
      <c r="A474" s="163"/>
      <c r="B474" s="163"/>
      <c r="C474" s="163"/>
      <c r="D474" s="1"/>
      <c r="E474" s="163"/>
      <c r="F474" s="11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5"/>
      <c r="V474" s="165"/>
    </row>
    <row r="475" ht="12.75" customHeight="1">
      <c r="A475" s="163"/>
      <c r="B475" s="163"/>
      <c r="C475" s="163"/>
      <c r="D475" s="1"/>
      <c r="E475" s="163"/>
      <c r="F475" s="11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5"/>
      <c r="V475" s="165"/>
    </row>
    <row r="476" ht="12.75" customHeight="1">
      <c r="A476" s="163"/>
      <c r="B476" s="163"/>
      <c r="C476" s="163"/>
      <c r="D476" s="1"/>
      <c r="E476" s="163"/>
      <c r="F476" s="11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5"/>
      <c r="V476" s="165"/>
    </row>
    <row r="477" ht="12.75" customHeight="1">
      <c r="A477" s="163"/>
      <c r="B477" s="163"/>
      <c r="C477" s="163"/>
      <c r="D477" s="1"/>
      <c r="E477" s="163"/>
      <c r="F477" s="11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5"/>
      <c r="V477" s="165"/>
    </row>
    <row r="478" ht="12.75" customHeight="1">
      <c r="A478" s="163"/>
      <c r="B478" s="163"/>
      <c r="C478" s="163"/>
      <c r="D478" s="1"/>
      <c r="E478" s="163"/>
      <c r="F478" s="11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5"/>
      <c r="V478" s="165"/>
    </row>
    <row r="479" ht="12.75" customHeight="1">
      <c r="A479" s="163"/>
      <c r="B479" s="163"/>
      <c r="C479" s="163"/>
      <c r="D479" s="1"/>
      <c r="E479" s="163"/>
      <c r="F479" s="11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5"/>
      <c r="V479" s="165"/>
    </row>
    <row r="480" ht="12.75" customHeight="1">
      <c r="A480" s="163"/>
      <c r="B480" s="163"/>
      <c r="C480" s="163"/>
      <c r="D480" s="1"/>
      <c r="E480" s="163"/>
      <c r="F480" s="11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5"/>
      <c r="V480" s="165"/>
    </row>
    <row r="481" ht="12.75" customHeight="1">
      <c r="A481" s="163"/>
      <c r="B481" s="163"/>
      <c r="C481" s="163"/>
      <c r="D481" s="1"/>
      <c r="E481" s="163"/>
      <c r="F481" s="11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5"/>
      <c r="V481" s="165"/>
    </row>
    <row r="482" ht="12.75" customHeight="1">
      <c r="A482" s="163"/>
      <c r="B482" s="163"/>
      <c r="C482" s="163"/>
      <c r="D482" s="1"/>
      <c r="E482" s="163"/>
      <c r="F482" s="11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5"/>
      <c r="V482" s="165"/>
    </row>
    <row r="483" ht="12.75" customHeight="1">
      <c r="A483" s="163"/>
      <c r="B483" s="163"/>
      <c r="C483" s="163"/>
      <c r="D483" s="1"/>
      <c r="E483" s="163"/>
      <c r="F483" s="11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5"/>
      <c r="V483" s="165"/>
    </row>
    <row r="484" ht="12.75" customHeight="1">
      <c r="A484" s="163"/>
      <c r="B484" s="163"/>
      <c r="C484" s="163"/>
      <c r="D484" s="1"/>
      <c r="E484" s="163"/>
      <c r="F484" s="11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5"/>
      <c r="V484" s="165"/>
    </row>
    <row r="485" ht="12.75" customHeight="1">
      <c r="A485" s="163"/>
      <c r="B485" s="163"/>
      <c r="C485" s="163"/>
      <c r="D485" s="1"/>
      <c r="E485" s="163"/>
      <c r="F485" s="11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5"/>
      <c r="V485" s="165"/>
    </row>
    <row r="486" ht="12.75" customHeight="1">
      <c r="A486" s="163"/>
      <c r="B486" s="163"/>
      <c r="C486" s="163"/>
      <c r="D486" s="1"/>
      <c r="E486" s="163"/>
      <c r="F486" s="11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5"/>
      <c r="V486" s="165"/>
    </row>
    <row r="487" ht="12.75" customHeight="1">
      <c r="A487" s="163"/>
      <c r="B487" s="163"/>
      <c r="C487" s="163"/>
      <c r="D487" s="1"/>
      <c r="E487" s="163"/>
      <c r="F487" s="11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5"/>
      <c r="V487" s="165"/>
    </row>
    <row r="488" ht="12.75" customHeight="1">
      <c r="A488" s="163"/>
      <c r="B488" s="163"/>
      <c r="C488" s="163"/>
      <c r="D488" s="1"/>
      <c r="E488" s="163"/>
      <c r="F488" s="11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5"/>
      <c r="V488" s="165"/>
    </row>
    <row r="489" ht="12.75" customHeight="1">
      <c r="A489" s="163"/>
      <c r="B489" s="163"/>
      <c r="C489" s="163"/>
      <c r="D489" s="1"/>
      <c r="E489" s="163"/>
      <c r="F489" s="11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5"/>
      <c r="V489" s="165"/>
    </row>
    <row r="490" ht="12.75" customHeight="1">
      <c r="A490" s="163"/>
      <c r="B490" s="163"/>
      <c r="C490" s="163"/>
      <c r="D490" s="1"/>
      <c r="E490" s="163"/>
      <c r="F490" s="11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5"/>
      <c r="V490" s="165"/>
    </row>
    <row r="491" ht="12.75" customHeight="1">
      <c r="A491" s="163"/>
      <c r="B491" s="163"/>
      <c r="C491" s="163"/>
      <c r="D491" s="1"/>
      <c r="E491" s="163"/>
      <c r="F491" s="11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5"/>
      <c r="V491" s="165"/>
    </row>
    <row r="492" ht="12.75" customHeight="1">
      <c r="A492" s="163"/>
      <c r="B492" s="163"/>
      <c r="C492" s="163"/>
      <c r="D492" s="1"/>
      <c r="E492" s="163"/>
      <c r="F492" s="11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5"/>
      <c r="V492" s="165"/>
    </row>
    <row r="493" ht="12.75" customHeight="1">
      <c r="A493" s="163"/>
      <c r="B493" s="163"/>
      <c r="C493" s="163"/>
      <c r="D493" s="1"/>
      <c r="E493" s="163"/>
      <c r="F493" s="11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5"/>
      <c r="V493" s="165"/>
    </row>
    <row r="494" ht="12.75" customHeight="1">
      <c r="A494" s="163"/>
      <c r="B494" s="163"/>
      <c r="C494" s="163"/>
      <c r="D494" s="1"/>
      <c r="E494" s="163"/>
      <c r="F494" s="11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5"/>
      <c r="V494" s="165"/>
    </row>
    <row r="495" ht="12.75" customHeight="1">
      <c r="A495" s="163"/>
      <c r="B495" s="163"/>
      <c r="C495" s="163"/>
      <c r="D495" s="1"/>
      <c r="E495" s="163"/>
      <c r="F495" s="11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5"/>
      <c r="V495" s="165"/>
    </row>
    <row r="496" ht="12.75" customHeight="1">
      <c r="A496" s="163"/>
      <c r="B496" s="163"/>
      <c r="C496" s="163"/>
      <c r="D496" s="1"/>
      <c r="E496" s="163"/>
      <c r="F496" s="11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5"/>
      <c r="V496" s="165"/>
    </row>
    <row r="497" ht="12.75" customHeight="1">
      <c r="A497" s="163"/>
      <c r="B497" s="163"/>
      <c r="C497" s="163"/>
      <c r="D497" s="1"/>
      <c r="E497" s="163"/>
      <c r="F497" s="11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5"/>
      <c r="V497" s="165"/>
    </row>
    <row r="498" ht="12.75" customHeight="1">
      <c r="A498" s="163"/>
      <c r="B498" s="163"/>
      <c r="C498" s="163"/>
      <c r="D498" s="1"/>
      <c r="E498" s="163"/>
      <c r="F498" s="11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5"/>
      <c r="V498" s="165"/>
    </row>
    <row r="499" ht="12.75" customHeight="1">
      <c r="A499" s="163"/>
      <c r="B499" s="163"/>
      <c r="C499" s="163"/>
      <c r="D499" s="1"/>
      <c r="E499" s="163"/>
      <c r="F499" s="11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5"/>
      <c r="V499" s="165"/>
    </row>
    <row r="500" ht="12.75" customHeight="1">
      <c r="A500" s="163"/>
      <c r="B500" s="163"/>
      <c r="C500" s="163"/>
      <c r="D500" s="1"/>
      <c r="E500" s="163"/>
      <c r="F500" s="11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5"/>
      <c r="V500" s="165"/>
    </row>
    <row r="501" ht="12.75" customHeight="1">
      <c r="A501" s="163"/>
      <c r="B501" s="163"/>
      <c r="C501" s="163"/>
      <c r="D501" s="1"/>
      <c r="E501" s="163"/>
      <c r="F501" s="11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5"/>
      <c r="V501" s="165"/>
    </row>
    <row r="502" ht="12.75" customHeight="1">
      <c r="A502" s="163"/>
      <c r="B502" s="163"/>
      <c r="C502" s="163"/>
      <c r="D502" s="1"/>
      <c r="E502" s="163"/>
      <c r="F502" s="11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5"/>
      <c r="V502" s="165"/>
    </row>
    <row r="503" ht="12.75" customHeight="1">
      <c r="A503" s="163"/>
      <c r="B503" s="163"/>
      <c r="C503" s="163"/>
      <c r="D503" s="1"/>
      <c r="E503" s="163"/>
      <c r="F503" s="11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5"/>
      <c r="V503" s="165"/>
    </row>
    <row r="504" ht="12.75" customHeight="1">
      <c r="A504" s="163"/>
      <c r="B504" s="163"/>
      <c r="C504" s="163"/>
      <c r="D504" s="1"/>
      <c r="E504" s="163"/>
      <c r="F504" s="11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5"/>
      <c r="V504" s="165"/>
    </row>
    <row r="505" ht="12.75" customHeight="1">
      <c r="A505" s="163"/>
      <c r="B505" s="163"/>
      <c r="C505" s="163"/>
      <c r="D505" s="1"/>
      <c r="E505" s="163"/>
      <c r="F505" s="11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5"/>
      <c r="V505" s="165"/>
    </row>
    <row r="506" ht="12.75" customHeight="1">
      <c r="A506" s="163"/>
      <c r="B506" s="163"/>
      <c r="C506" s="163"/>
      <c r="D506" s="1"/>
      <c r="E506" s="163"/>
      <c r="F506" s="11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5"/>
      <c r="V506" s="165"/>
    </row>
    <row r="507" ht="12.75" customHeight="1">
      <c r="A507" s="163"/>
      <c r="B507" s="163"/>
      <c r="C507" s="163"/>
      <c r="D507" s="1"/>
      <c r="E507" s="163"/>
      <c r="F507" s="11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5"/>
      <c r="V507" s="165"/>
    </row>
    <row r="508" ht="12.75" customHeight="1">
      <c r="A508" s="163"/>
      <c r="B508" s="163"/>
      <c r="C508" s="163"/>
      <c r="D508" s="1"/>
      <c r="E508" s="163"/>
      <c r="F508" s="11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5"/>
      <c r="V508" s="165"/>
    </row>
    <row r="509" ht="12.75" customHeight="1">
      <c r="A509" s="163"/>
      <c r="B509" s="163"/>
      <c r="C509" s="163"/>
      <c r="D509" s="1"/>
      <c r="E509" s="163"/>
      <c r="F509" s="11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5"/>
      <c r="V509" s="165"/>
    </row>
    <row r="510" ht="12.75" customHeight="1">
      <c r="A510" s="163"/>
      <c r="B510" s="163"/>
      <c r="C510" s="163"/>
      <c r="D510" s="1"/>
      <c r="E510" s="163"/>
      <c r="F510" s="11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5"/>
      <c r="V510" s="165"/>
    </row>
    <row r="511" ht="12.75" customHeight="1">
      <c r="A511" s="163"/>
      <c r="B511" s="163"/>
      <c r="C511" s="163"/>
      <c r="D511" s="1"/>
      <c r="E511" s="163"/>
      <c r="F511" s="11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5"/>
      <c r="V511" s="165"/>
    </row>
    <row r="512" ht="12.75" customHeight="1">
      <c r="A512" s="163"/>
      <c r="B512" s="163"/>
      <c r="C512" s="163"/>
      <c r="D512" s="1"/>
      <c r="E512" s="163"/>
      <c r="F512" s="11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5"/>
      <c r="V512" s="165"/>
    </row>
    <row r="513" ht="12.75" customHeight="1">
      <c r="A513" s="163"/>
      <c r="B513" s="163"/>
      <c r="C513" s="163"/>
      <c r="D513" s="1"/>
      <c r="E513" s="163"/>
      <c r="F513" s="11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5"/>
      <c r="V513" s="165"/>
    </row>
    <row r="514" ht="12.75" customHeight="1">
      <c r="A514" s="163"/>
      <c r="B514" s="163"/>
      <c r="C514" s="163"/>
      <c r="D514" s="1"/>
      <c r="E514" s="163"/>
      <c r="F514" s="11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5"/>
      <c r="V514" s="165"/>
    </row>
    <row r="515" ht="12.75" customHeight="1">
      <c r="A515" s="163"/>
      <c r="B515" s="163"/>
      <c r="C515" s="163"/>
      <c r="D515" s="1"/>
      <c r="E515" s="163"/>
      <c r="F515" s="11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5"/>
      <c r="V515" s="165"/>
    </row>
    <row r="516" ht="12.75" customHeight="1">
      <c r="A516" s="163"/>
      <c r="B516" s="163"/>
      <c r="C516" s="163"/>
      <c r="D516" s="1"/>
      <c r="E516" s="163"/>
      <c r="F516" s="11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5"/>
      <c r="V516" s="165"/>
    </row>
    <row r="517" ht="12.75" customHeight="1">
      <c r="A517" s="163"/>
      <c r="B517" s="163"/>
      <c r="C517" s="163"/>
      <c r="D517" s="1"/>
      <c r="E517" s="163"/>
      <c r="F517" s="11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5"/>
      <c r="V517" s="165"/>
    </row>
    <row r="518" ht="12.75" customHeight="1">
      <c r="A518" s="163"/>
      <c r="B518" s="163"/>
      <c r="C518" s="163"/>
      <c r="D518" s="1"/>
      <c r="E518" s="163"/>
      <c r="F518" s="11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5"/>
      <c r="V518" s="165"/>
    </row>
    <row r="519" ht="12.75" customHeight="1">
      <c r="A519" s="163"/>
      <c r="B519" s="163"/>
      <c r="C519" s="163"/>
      <c r="D519" s="1"/>
      <c r="E519" s="163"/>
      <c r="F519" s="11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5"/>
      <c r="V519" s="165"/>
    </row>
    <row r="520" ht="12.75" customHeight="1">
      <c r="A520" s="163"/>
      <c r="B520" s="163"/>
      <c r="C520" s="163"/>
      <c r="D520" s="1"/>
      <c r="E520" s="163"/>
      <c r="F520" s="11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5"/>
      <c r="V520" s="165"/>
    </row>
    <row r="521" ht="12.75" customHeight="1">
      <c r="A521" s="163"/>
      <c r="B521" s="163"/>
      <c r="C521" s="163"/>
      <c r="D521" s="1"/>
      <c r="E521" s="163"/>
      <c r="F521" s="11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5"/>
      <c r="V521" s="165"/>
    </row>
    <row r="522" ht="12.75" customHeight="1">
      <c r="A522" s="163"/>
      <c r="B522" s="163"/>
      <c r="C522" s="163"/>
      <c r="D522" s="1"/>
      <c r="E522" s="163"/>
      <c r="F522" s="11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5"/>
      <c r="V522" s="165"/>
    </row>
    <row r="523" ht="12.75" customHeight="1">
      <c r="A523" s="163"/>
      <c r="B523" s="163"/>
      <c r="C523" s="163"/>
      <c r="D523" s="1"/>
      <c r="E523" s="163"/>
      <c r="F523" s="11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5"/>
      <c r="V523" s="165"/>
    </row>
    <row r="524" ht="12.75" customHeight="1">
      <c r="A524" s="163"/>
      <c r="B524" s="163"/>
      <c r="C524" s="163"/>
      <c r="D524" s="1"/>
      <c r="E524" s="163"/>
      <c r="F524" s="11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5"/>
      <c r="V524" s="165"/>
    </row>
    <row r="525" ht="12.75" customHeight="1">
      <c r="A525" s="163"/>
      <c r="B525" s="163"/>
      <c r="C525" s="163"/>
      <c r="D525" s="1"/>
      <c r="E525" s="163"/>
      <c r="F525" s="11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5"/>
      <c r="V525" s="165"/>
    </row>
    <row r="526" ht="12.75" customHeight="1">
      <c r="A526" s="163"/>
      <c r="B526" s="163"/>
      <c r="C526" s="163"/>
      <c r="D526" s="1"/>
      <c r="E526" s="163"/>
      <c r="F526" s="11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5"/>
      <c r="V526" s="165"/>
    </row>
    <row r="527" ht="12.75" customHeight="1">
      <c r="A527" s="163"/>
      <c r="B527" s="163"/>
      <c r="C527" s="163"/>
      <c r="D527" s="1"/>
      <c r="E527" s="163"/>
      <c r="F527" s="11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5"/>
      <c r="V527" s="165"/>
    </row>
    <row r="528" ht="12.75" customHeight="1">
      <c r="A528" s="163"/>
      <c r="B528" s="163"/>
      <c r="C528" s="163"/>
      <c r="D528" s="1"/>
      <c r="E528" s="163"/>
      <c r="F528" s="11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5"/>
      <c r="V528" s="165"/>
    </row>
    <row r="529" ht="12.75" customHeight="1">
      <c r="A529" s="163"/>
      <c r="B529" s="163"/>
      <c r="C529" s="163"/>
      <c r="D529" s="1"/>
      <c r="E529" s="163"/>
      <c r="F529" s="11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5"/>
      <c r="V529" s="165"/>
    </row>
    <row r="530" ht="12.75" customHeight="1">
      <c r="A530" s="163"/>
      <c r="B530" s="163"/>
      <c r="C530" s="163"/>
      <c r="D530" s="1"/>
      <c r="E530" s="163"/>
      <c r="F530" s="11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5"/>
      <c r="V530" s="165"/>
    </row>
    <row r="531" ht="12.75" customHeight="1">
      <c r="A531" s="163"/>
      <c r="B531" s="163"/>
      <c r="C531" s="163"/>
      <c r="D531" s="1"/>
      <c r="E531" s="163"/>
      <c r="F531" s="11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5"/>
      <c r="V531" s="165"/>
    </row>
    <row r="532" ht="12.75" customHeight="1">
      <c r="A532" s="163"/>
      <c r="B532" s="163"/>
      <c r="C532" s="163"/>
      <c r="D532" s="1"/>
      <c r="E532" s="163"/>
      <c r="F532" s="11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5"/>
      <c r="V532" s="165"/>
    </row>
    <row r="533" ht="12.75" customHeight="1">
      <c r="A533" s="163"/>
      <c r="B533" s="163"/>
      <c r="C533" s="163"/>
      <c r="D533" s="1"/>
      <c r="E533" s="163"/>
      <c r="F533" s="11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5"/>
      <c r="V533" s="165"/>
    </row>
    <row r="534" ht="12.75" customHeight="1">
      <c r="A534" s="163"/>
      <c r="B534" s="163"/>
      <c r="C534" s="163"/>
      <c r="D534" s="1"/>
      <c r="E534" s="163"/>
      <c r="F534" s="11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5"/>
      <c r="V534" s="165"/>
    </row>
    <row r="535" ht="12.75" customHeight="1">
      <c r="A535" s="163"/>
      <c r="B535" s="163"/>
      <c r="C535" s="163"/>
      <c r="D535" s="1"/>
      <c r="E535" s="163"/>
      <c r="F535" s="11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5"/>
      <c r="V535" s="165"/>
    </row>
    <row r="536" ht="12.75" customHeight="1">
      <c r="A536" s="163"/>
      <c r="B536" s="163"/>
      <c r="C536" s="163"/>
      <c r="D536" s="1"/>
      <c r="E536" s="163"/>
      <c r="F536" s="11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5"/>
      <c r="V536" s="165"/>
    </row>
    <row r="537" ht="12.75" customHeight="1">
      <c r="A537" s="163"/>
      <c r="B537" s="163"/>
      <c r="C537" s="163"/>
      <c r="D537" s="1"/>
      <c r="E537" s="163"/>
      <c r="F537" s="11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5"/>
      <c r="V537" s="165"/>
    </row>
    <row r="538" ht="12.75" customHeight="1">
      <c r="A538" s="163"/>
      <c r="B538" s="163"/>
      <c r="C538" s="163"/>
      <c r="D538" s="1"/>
      <c r="E538" s="163"/>
      <c r="F538" s="11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5"/>
      <c r="V538" s="165"/>
    </row>
    <row r="539" ht="12.75" customHeight="1">
      <c r="A539" s="163"/>
      <c r="B539" s="163"/>
      <c r="C539" s="163"/>
      <c r="D539" s="1"/>
      <c r="E539" s="163"/>
      <c r="F539" s="11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5"/>
      <c r="V539" s="165"/>
    </row>
    <row r="540" ht="12.75" customHeight="1">
      <c r="A540" s="163"/>
      <c r="B540" s="163"/>
      <c r="C540" s="163"/>
      <c r="D540" s="1"/>
      <c r="E540" s="163"/>
      <c r="F540" s="11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5"/>
      <c r="V540" s="165"/>
    </row>
    <row r="541" ht="12.75" customHeight="1">
      <c r="A541" s="163"/>
      <c r="B541" s="163"/>
      <c r="C541" s="163"/>
      <c r="D541" s="1"/>
      <c r="E541" s="163"/>
      <c r="F541" s="11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5"/>
      <c r="V541" s="165"/>
    </row>
    <row r="542" ht="12.75" customHeight="1">
      <c r="A542" s="163"/>
      <c r="B542" s="163"/>
      <c r="C542" s="163"/>
      <c r="D542" s="1"/>
      <c r="E542" s="163"/>
      <c r="F542" s="11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5"/>
      <c r="V542" s="165"/>
    </row>
    <row r="543" ht="12.75" customHeight="1">
      <c r="A543" s="163"/>
      <c r="B543" s="163"/>
      <c r="C543" s="163"/>
      <c r="D543" s="1"/>
      <c r="E543" s="163"/>
      <c r="F543" s="11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5"/>
      <c r="V543" s="165"/>
    </row>
    <row r="544" ht="12.75" customHeight="1">
      <c r="A544" s="163"/>
      <c r="B544" s="163"/>
      <c r="C544" s="163"/>
      <c r="D544" s="1"/>
      <c r="E544" s="163"/>
      <c r="F544" s="11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5"/>
      <c r="V544" s="165"/>
    </row>
    <row r="545" ht="12.75" customHeight="1">
      <c r="A545" s="163"/>
      <c r="B545" s="163"/>
      <c r="C545" s="163"/>
      <c r="D545" s="1"/>
      <c r="E545" s="163"/>
      <c r="F545" s="11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5"/>
      <c r="V545" s="165"/>
    </row>
    <row r="546" ht="12.75" customHeight="1">
      <c r="A546" s="163"/>
      <c r="B546" s="163"/>
      <c r="C546" s="163"/>
      <c r="D546" s="1"/>
      <c r="E546" s="163"/>
      <c r="F546" s="11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5"/>
      <c r="V546" s="165"/>
    </row>
    <row r="547" ht="12.75" customHeight="1">
      <c r="A547" s="163"/>
      <c r="B547" s="163"/>
      <c r="C547" s="163"/>
      <c r="D547" s="1"/>
      <c r="E547" s="163"/>
      <c r="F547" s="11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5"/>
      <c r="V547" s="165"/>
    </row>
    <row r="548" ht="12.75" customHeight="1">
      <c r="A548" s="163"/>
      <c r="B548" s="163"/>
      <c r="C548" s="163"/>
      <c r="D548" s="1"/>
      <c r="E548" s="163"/>
      <c r="F548" s="11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5"/>
      <c r="V548" s="165"/>
    </row>
    <row r="549" ht="12.75" customHeight="1">
      <c r="A549" s="163"/>
      <c r="B549" s="163"/>
      <c r="C549" s="163"/>
      <c r="D549" s="1"/>
      <c r="E549" s="163"/>
      <c r="F549" s="11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5"/>
      <c r="V549" s="165"/>
    </row>
    <row r="550" ht="12.75" customHeight="1">
      <c r="A550" s="163"/>
      <c r="B550" s="163"/>
      <c r="C550" s="163"/>
      <c r="D550" s="1"/>
      <c r="E550" s="163"/>
      <c r="F550" s="11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5"/>
      <c r="V550" s="165"/>
    </row>
    <row r="551" ht="12.75" customHeight="1">
      <c r="A551" s="163"/>
      <c r="B551" s="163"/>
      <c r="C551" s="163"/>
      <c r="D551" s="1"/>
      <c r="E551" s="163"/>
      <c r="F551" s="11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5"/>
      <c r="V551" s="165"/>
    </row>
    <row r="552" ht="12.75" customHeight="1">
      <c r="A552" s="163"/>
      <c r="B552" s="163"/>
      <c r="C552" s="163"/>
      <c r="D552" s="1"/>
      <c r="E552" s="163"/>
      <c r="F552" s="11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5"/>
      <c r="V552" s="165"/>
    </row>
    <row r="553" ht="12.75" customHeight="1">
      <c r="A553" s="163"/>
      <c r="B553" s="163"/>
      <c r="C553" s="163"/>
      <c r="D553" s="1"/>
      <c r="E553" s="163"/>
      <c r="F553" s="11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5"/>
      <c r="V553" s="165"/>
    </row>
    <row r="554" ht="12.75" customHeight="1">
      <c r="A554" s="163"/>
      <c r="B554" s="163"/>
      <c r="C554" s="163"/>
      <c r="D554" s="1"/>
      <c r="E554" s="163"/>
      <c r="F554" s="11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5"/>
      <c r="V554" s="165"/>
    </row>
    <row r="555" ht="12.75" customHeight="1">
      <c r="A555" s="163"/>
      <c r="B555" s="163"/>
      <c r="C555" s="163"/>
      <c r="D555" s="1"/>
      <c r="E555" s="163"/>
      <c r="F555" s="11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5"/>
      <c r="V555" s="165"/>
    </row>
    <row r="556" ht="12.75" customHeight="1">
      <c r="A556" s="163"/>
      <c r="B556" s="163"/>
      <c r="C556" s="163"/>
      <c r="D556" s="1"/>
      <c r="E556" s="163"/>
      <c r="F556" s="11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5"/>
      <c r="V556" s="165"/>
    </row>
    <row r="557" ht="12.75" customHeight="1">
      <c r="A557" s="163"/>
      <c r="B557" s="163"/>
      <c r="C557" s="163"/>
      <c r="D557" s="1"/>
      <c r="E557" s="163"/>
      <c r="F557" s="11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5"/>
      <c r="V557" s="165"/>
    </row>
    <row r="558" ht="12.75" customHeight="1">
      <c r="A558" s="163"/>
      <c r="B558" s="163"/>
      <c r="C558" s="163"/>
      <c r="D558" s="1"/>
      <c r="E558" s="163"/>
      <c r="F558" s="11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5"/>
      <c r="V558" s="165"/>
    </row>
    <row r="559" ht="12.75" customHeight="1">
      <c r="A559" s="163"/>
      <c r="B559" s="163"/>
      <c r="C559" s="163"/>
      <c r="D559" s="1"/>
      <c r="E559" s="163"/>
      <c r="F559" s="11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5"/>
      <c r="V559" s="165"/>
    </row>
    <row r="560" ht="12.75" customHeight="1">
      <c r="A560" s="107"/>
      <c r="B560" s="107"/>
      <c r="C560" s="107"/>
      <c r="D560" s="102"/>
      <c r="E560" s="107"/>
      <c r="F560" s="108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10"/>
      <c r="V560" s="110"/>
    </row>
    <row r="561" ht="12.75" customHeight="1">
      <c r="A561" s="107"/>
      <c r="B561" s="107"/>
      <c r="C561" s="107"/>
      <c r="D561" s="102"/>
      <c r="E561" s="107"/>
      <c r="F561" s="108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10"/>
      <c r="V561" s="110"/>
    </row>
    <row r="562" ht="12.75" customHeight="1">
      <c r="A562" s="107"/>
      <c r="B562" s="107"/>
      <c r="C562" s="107"/>
      <c r="D562" s="102"/>
      <c r="E562" s="107"/>
      <c r="F562" s="108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10"/>
      <c r="V562" s="110"/>
    </row>
    <row r="563" ht="12.75" customHeight="1">
      <c r="A563" s="107"/>
      <c r="B563" s="107"/>
      <c r="C563" s="107"/>
      <c r="D563" s="102"/>
      <c r="E563" s="107"/>
      <c r="F563" s="108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10"/>
      <c r="V563" s="110"/>
    </row>
    <row r="564" ht="12.75" customHeight="1">
      <c r="A564" s="107"/>
      <c r="B564" s="107"/>
      <c r="C564" s="107"/>
      <c r="D564" s="102"/>
      <c r="E564" s="107"/>
      <c r="F564" s="108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10"/>
      <c r="V564" s="110"/>
    </row>
    <row r="565" ht="12.75" customHeight="1">
      <c r="A565" s="107"/>
      <c r="B565" s="107"/>
      <c r="C565" s="107"/>
      <c r="D565" s="102"/>
      <c r="E565" s="107"/>
      <c r="F565" s="108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10"/>
      <c r="V565" s="110"/>
    </row>
    <row r="566" ht="12.75" customHeight="1">
      <c r="A566" s="107"/>
      <c r="B566" s="107"/>
      <c r="C566" s="107"/>
      <c r="D566" s="102"/>
      <c r="E566" s="107"/>
      <c r="F566" s="108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10"/>
      <c r="V566" s="110"/>
    </row>
    <row r="567" ht="12.75" customHeight="1">
      <c r="A567" s="107"/>
      <c r="B567" s="107"/>
      <c r="C567" s="107"/>
      <c r="D567" s="102"/>
      <c r="E567" s="107"/>
      <c r="F567" s="108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10"/>
      <c r="V567" s="110"/>
    </row>
    <row r="568" ht="12.75" customHeight="1">
      <c r="A568" s="107"/>
      <c r="B568" s="107"/>
      <c r="C568" s="107"/>
      <c r="D568" s="102"/>
      <c r="E568" s="107"/>
      <c r="F568" s="108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10"/>
      <c r="V568" s="110"/>
    </row>
    <row r="569" ht="12.75" customHeight="1">
      <c r="A569" s="107"/>
      <c r="B569" s="107"/>
      <c r="C569" s="107"/>
      <c r="D569" s="102"/>
      <c r="E569" s="107"/>
      <c r="F569" s="108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10"/>
      <c r="V569" s="110"/>
    </row>
    <row r="570" ht="12.75" customHeight="1">
      <c r="A570" s="107"/>
      <c r="B570" s="107"/>
      <c r="C570" s="107"/>
      <c r="D570" s="102"/>
      <c r="E570" s="107"/>
      <c r="F570" s="108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10"/>
      <c r="V570" s="110"/>
    </row>
    <row r="571" ht="12.75" customHeight="1">
      <c r="A571" s="107"/>
      <c r="B571" s="107"/>
      <c r="C571" s="107"/>
      <c r="D571" s="102"/>
      <c r="E571" s="107"/>
      <c r="F571" s="108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10"/>
      <c r="V571" s="110"/>
    </row>
    <row r="572" ht="12.75" customHeight="1">
      <c r="A572" s="107"/>
      <c r="B572" s="107"/>
      <c r="C572" s="107"/>
      <c r="D572" s="102"/>
      <c r="E572" s="107"/>
      <c r="F572" s="108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10"/>
      <c r="V572" s="110"/>
    </row>
    <row r="573" ht="12.75" customHeight="1">
      <c r="A573" s="107"/>
      <c r="B573" s="107"/>
      <c r="C573" s="107"/>
      <c r="D573" s="102"/>
      <c r="E573" s="107"/>
      <c r="F573" s="108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10"/>
      <c r="V573" s="110"/>
    </row>
    <row r="574" ht="12.75" customHeight="1">
      <c r="A574" s="107"/>
      <c r="B574" s="107"/>
      <c r="C574" s="107"/>
      <c r="D574" s="102"/>
      <c r="E574" s="107"/>
      <c r="F574" s="108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10"/>
      <c r="V574" s="110"/>
    </row>
    <row r="575" ht="12.75" customHeight="1">
      <c r="A575" s="107"/>
      <c r="B575" s="107"/>
      <c r="C575" s="107"/>
      <c r="D575" s="102"/>
      <c r="E575" s="107"/>
      <c r="F575" s="108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10"/>
      <c r="V575" s="110"/>
    </row>
    <row r="576" ht="12.75" customHeight="1">
      <c r="A576" s="107"/>
      <c r="B576" s="107"/>
      <c r="C576" s="107"/>
      <c r="D576" s="102"/>
      <c r="E576" s="107"/>
      <c r="F576" s="108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10"/>
      <c r="V576" s="110"/>
    </row>
    <row r="577" ht="12.75" customHeight="1">
      <c r="A577" s="107"/>
      <c r="B577" s="107"/>
      <c r="C577" s="107"/>
      <c r="D577" s="102"/>
      <c r="E577" s="107"/>
      <c r="F577" s="108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10"/>
      <c r="V577" s="110"/>
    </row>
    <row r="578" ht="12.75" customHeight="1">
      <c r="A578" s="107"/>
      <c r="B578" s="107"/>
      <c r="C578" s="107"/>
      <c r="D578" s="102"/>
      <c r="E578" s="107"/>
      <c r="F578" s="108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10"/>
      <c r="V578" s="110"/>
    </row>
    <row r="579" ht="12.75" customHeight="1">
      <c r="A579" s="107"/>
      <c r="B579" s="107"/>
      <c r="C579" s="107"/>
      <c r="D579" s="102"/>
      <c r="E579" s="107"/>
      <c r="F579" s="108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10"/>
      <c r="V579" s="110"/>
    </row>
    <row r="580" ht="12.75" customHeight="1">
      <c r="A580" s="107"/>
      <c r="B580" s="107"/>
      <c r="C580" s="107"/>
      <c r="D580" s="102"/>
      <c r="E580" s="107"/>
      <c r="F580" s="108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10"/>
      <c r="V580" s="110"/>
    </row>
    <row r="581" ht="12.75" customHeight="1">
      <c r="A581" s="107"/>
      <c r="B581" s="107"/>
      <c r="C581" s="107"/>
      <c r="D581" s="102"/>
      <c r="E581" s="107"/>
      <c r="F581" s="108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10"/>
      <c r="V581" s="110"/>
    </row>
    <row r="582" ht="12.75" customHeight="1">
      <c r="A582" s="107"/>
      <c r="B582" s="107"/>
      <c r="C582" s="107"/>
      <c r="D582" s="102"/>
      <c r="E582" s="107"/>
      <c r="F582" s="108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10"/>
      <c r="V582" s="110"/>
    </row>
    <row r="583" ht="12.75" customHeight="1">
      <c r="A583" s="107"/>
      <c r="B583" s="107"/>
      <c r="C583" s="107"/>
      <c r="D583" s="102"/>
      <c r="E583" s="107"/>
      <c r="F583" s="108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10"/>
      <c r="V583" s="110"/>
    </row>
    <row r="584" ht="12.75" customHeight="1">
      <c r="A584" s="107"/>
      <c r="B584" s="107"/>
      <c r="C584" s="107"/>
      <c r="D584" s="102"/>
      <c r="E584" s="107"/>
      <c r="F584" s="108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10"/>
      <c r="V584" s="110"/>
    </row>
    <row r="585" ht="12.75" customHeight="1">
      <c r="A585" s="107"/>
      <c r="B585" s="107"/>
      <c r="C585" s="107"/>
      <c r="D585" s="102"/>
      <c r="E585" s="107"/>
      <c r="F585" s="108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10"/>
      <c r="V585" s="110"/>
    </row>
    <row r="586" ht="12.75" customHeight="1">
      <c r="A586" s="107"/>
      <c r="B586" s="107"/>
      <c r="C586" s="107"/>
      <c r="D586" s="102"/>
      <c r="E586" s="107"/>
      <c r="F586" s="108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10"/>
      <c r="V586" s="110"/>
    </row>
    <row r="587" ht="12.75" customHeight="1">
      <c r="A587" s="107"/>
      <c r="B587" s="107"/>
      <c r="C587" s="107"/>
      <c r="D587" s="102"/>
      <c r="E587" s="107"/>
      <c r="F587" s="108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10"/>
      <c r="V587" s="110"/>
    </row>
    <row r="588" ht="12.75" customHeight="1">
      <c r="A588" s="107"/>
      <c r="B588" s="107"/>
      <c r="C588" s="107"/>
      <c r="D588" s="102"/>
      <c r="E588" s="107"/>
      <c r="F588" s="108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10"/>
      <c r="V588" s="110"/>
    </row>
    <row r="589" ht="12.75" customHeight="1">
      <c r="A589" s="107"/>
      <c r="B589" s="107"/>
      <c r="C589" s="107"/>
      <c r="D589" s="102"/>
      <c r="E589" s="107"/>
      <c r="F589" s="108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10"/>
      <c r="V589" s="110"/>
    </row>
    <row r="590" ht="12.75" customHeight="1">
      <c r="A590" s="107"/>
      <c r="B590" s="107"/>
      <c r="C590" s="107"/>
      <c r="D590" s="102"/>
      <c r="E590" s="107"/>
      <c r="F590" s="108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10"/>
      <c r="V590" s="110"/>
    </row>
    <row r="591" ht="12.75" customHeight="1">
      <c r="A591" s="107"/>
      <c r="B591" s="107"/>
      <c r="C591" s="107"/>
      <c r="D591" s="102"/>
      <c r="E591" s="107"/>
      <c r="F591" s="108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10"/>
      <c r="V591" s="110"/>
    </row>
    <row r="592" ht="12.75" customHeight="1">
      <c r="A592" s="107"/>
      <c r="B592" s="107"/>
      <c r="C592" s="107"/>
      <c r="D592" s="102"/>
      <c r="E592" s="107"/>
      <c r="F592" s="108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10"/>
      <c r="V592" s="110"/>
    </row>
    <row r="593" ht="12.75" customHeight="1">
      <c r="A593" s="107"/>
      <c r="B593" s="107"/>
      <c r="C593" s="107"/>
      <c r="D593" s="102"/>
      <c r="E593" s="107"/>
      <c r="F593" s="108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10"/>
      <c r="V593" s="110"/>
    </row>
    <row r="594" ht="12.75" customHeight="1">
      <c r="A594" s="107"/>
      <c r="B594" s="107"/>
      <c r="C594" s="107"/>
      <c r="D594" s="102"/>
      <c r="E594" s="107"/>
      <c r="F594" s="108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10"/>
      <c r="V594" s="110"/>
    </row>
    <row r="595" ht="12.75" customHeight="1">
      <c r="A595" s="107"/>
      <c r="B595" s="107"/>
      <c r="C595" s="107"/>
      <c r="D595" s="102"/>
      <c r="E595" s="107"/>
      <c r="F595" s="108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10"/>
      <c r="V595" s="110"/>
    </row>
    <row r="596" ht="12.75" customHeight="1">
      <c r="A596" s="107"/>
      <c r="B596" s="107"/>
      <c r="C596" s="107"/>
      <c r="D596" s="102"/>
      <c r="E596" s="107"/>
      <c r="F596" s="108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10"/>
      <c r="V596" s="110"/>
    </row>
    <row r="597" ht="12.75" customHeight="1">
      <c r="A597" s="107"/>
      <c r="B597" s="107"/>
      <c r="C597" s="107"/>
      <c r="D597" s="102"/>
      <c r="E597" s="107"/>
      <c r="F597" s="108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10"/>
      <c r="V597" s="110"/>
    </row>
    <row r="598" ht="12.75" customHeight="1">
      <c r="A598" s="107"/>
      <c r="B598" s="107"/>
      <c r="C598" s="107"/>
      <c r="D598" s="102"/>
      <c r="E598" s="107"/>
      <c r="F598" s="108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10"/>
      <c r="V598" s="110"/>
    </row>
    <row r="599" ht="12.75" customHeight="1">
      <c r="A599" s="107"/>
      <c r="B599" s="107"/>
      <c r="C599" s="107"/>
      <c r="D599" s="102"/>
      <c r="E599" s="107"/>
      <c r="F599" s="108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10"/>
      <c r="V599" s="110"/>
    </row>
    <row r="600" ht="12.75" customHeight="1">
      <c r="A600" s="107"/>
      <c r="B600" s="107"/>
      <c r="C600" s="107"/>
      <c r="D600" s="102"/>
      <c r="E600" s="107"/>
      <c r="F600" s="108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10"/>
      <c r="V600" s="110"/>
    </row>
    <row r="601" ht="12.75" customHeight="1">
      <c r="A601" s="107"/>
      <c r="B601" s="107"/>
      <c r="C601" s="107"/>
      <c r="D601" s="102"/>
      <c r="E601" s="107"/>
      <c r="F601" s="108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10"/>
      <c r="V601" s="110"/>
    </row>
    <row r="602" ht="12.75" customHeight="1">
      <c r="A602" s="107"/>
      <c r="B602" s="107"/>
      <c r="C602" s="107"/>
      <c r="D602" s="102"/>
      <c r="E602" s="107"/>
      <c r="F602" s="108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10"/>
      <c r="V602" s="110"/>
    </row>
    <row r="603" ht="12.75" customHeight="1">
      <c r="A603" s="107"/>
      <c r="B603" s="107"/>
      <c r="C603" s="107"/>
      <c r="D603" s="102"/>
      <c r="E603" s="107"/>
      <c r="F603" s="108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10"/>
      <c r="V603" s="110"/>
    </row>
    <row r="604" ht="12.75" customHeight="1">
      <c r="A604" s="107"/>
      <c r="B604" s="107"/>
      <c r="C604" s="107"/>
      <c r="D604" s="102"/>
      <c r="E604" s="107"/>
      <c r="F604" s="108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10"/>
      <c r="V604" s="110"/>
    </row>
    <row r="605" ht="12.75" customHeight="1">
      <c r="A605" s="107"/>
      <c r="B605" s="107"/>
      <c r="C605" s="107"/>
      <c r="D605" s="102"/>
      <c r="E605" s="107"/>
      <c r="F605" s="108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10"/>
      <c r="V605" s="110"/>
    </row>
    <row r="606" ht="12.75" customHeight="1">
      <c r="A606" s="107"/>
      <c r="B606" s="107"/>
      <c r="C606" s="107"/>
      <c r="D606" s="102"/>
      <c r="E606" s="107"/>
      <c r="F606" s="108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10"/>
      <c r="V606" s="110"/>
    </row>
    <row r="607" ht="12.75" customHeight="1">
      <c r="A607" s="107"/>
      <c r="B607" s="107"/>
      <c r="C607" s="107"/>
      <c r="D607" s="102"/>
      <c r="E607" s="107"/>
      <c r="F607" s="108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10"/>
      <c r="V607" s="110"/>
    </row>
    <row r="608" ht="12.75" customHeight="1">
      <c r="A608" s="107"/>
      <c r="B608" s="107"/>
      <c r="C608" s="107"/>
      <c r="D608" s="102"/>
      <c r="E608" s="107"/>
      <c r="F608" s="108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10"/>
      <c r="V608" s="110"/>
    </row>
    <row r="609" ht="12.75" customHeight="1">
      <c r="A609" s="107"/>
      <c r="B609" s="107"/>
      <c r="C609" s="107"/>
      <c r="D609" s="102"/>
      <c r="E609" s="107"/>
      <c r="F609" s="108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10"/>
      <c r="V609" s="110"/>
    </row>
    <row r="610" ht="12.75" customHeight="1">
      <c r="A610" s="107"/>
      <c r="B610" s="107"/>
      <c r="C610" s="107"/>
      <c r="D610" s="102"/>
      <c r="E610" s="107"/>
      <c r="F610" s="108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10"/>
      <c r="V610" s="110"/>
    </row>
    <row r="611" ht="12.75" customHeight="1">
      <c r="A611" s="107"/>
      <c r="B611" s="107"/>
      <c r="C611" s="107"/>
      <c r="D611" s="102"/>
      <c r="E611" s="107"/>
      <c r="F611" s="108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10"/>
      <c r="V611" s="110"/>
    </row>
    <row r="612" ht="12.75" customHeight="1">
      <c r="A612" s="107"/>
      <c r="B612" s="107"/>
      <c r="C612" s="107"/>
      <c r="D612" s="102"/>
      <c r="E612" s="107"/>
      <c r="F612" s="108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10"/>
      <c r="V612" s="110"/>
    </row>
    <row r="613" ht="12.75" customHeight="1">
      <c r="A613" s="107"/>
      <c r="B613" s="107"/>
      <c r="C613" s="107"/>
      <c r="D613" s="102"/>
      <c r="E613" s="107"/>
      <c r="F613" s="108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10"/>
      <c r="V613" s="110"/>
    </row>
    <row r="614" ht="12.75" customHeight="1">
      <c r="A614" s="107"/>
      <c r="B614" s="107"/>
      <c r="C614" s="107"/>
      <c r="D614" s="102"/>
      <c r="E614" s="107"/>
      <c r="F614" s="108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10"/>
      <c r="V614" s="110"/>
    </row>
    <row r="615" ht="12.75" customHeight="1">
      <c r="A615" s="107"/>
      <c r="B615" s="107"/>
      <c r="C615" s="107"/>
      <c r="D615" s="102"/>
      <c r="E615" s="107"/>
      <c r="F615" s="108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10"/>
      <c r="V615" s="110"/>
    </row>
    <row r="616" ht="12.75" customHeight="1">
      <c r="A616" s="107"/>
      <c r="B616" s="107"/>
      <c r="C616" s="107"/>
      <c r="D616" s="102"/>
      <c r="E616" s="107"/>
      <c r="F616" s="108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10"/>
      <c r="V616" s="110"/>
    </row>
    <row r="617" ht="12.75" customHeight="1">
      <c r="A617" s="107"/>
      <c r="B617" s="107"/>
      <c r="C617" s="107"/>
      <c r="D617" s="102"/>
      <c r="E617" s="107"/>
      <c r="F617" s="108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10"/>
      <c r="V617" s="110"/>
    </row>
    <row r="618" ht="12.75" customHeight="1">
      <c r="A618" s="107"/>
      <c r="B618" s="107"/>
      <c r="C618" s="107"/>
      <c r="D618" s="102"/>
      <c r="E618" s="107"/>
      <c r="F618" s="108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10"/>
      <c r="V618" s="110"/>
    </row>
    <row r="619" ht="12.75" customHeight="1">
      <c r="A619" s="107"/>
      <c r="B619" s="107"/>
      <c r="C619" s="107"/>
      <c r="D619" s="102"/>
      <c r="E619" s="107"/>
      <c r="F619" s="108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10"/>
      <c r="V619" s="110"/>
    </row>
    <row r="620" ht="12.75" customHeight="1">
      <c r="A620" s="107"/>
      <c r="B620" s="107"/>
      <c r="C620" s="107"/>
      <c r="D620" s="102"/>
      <c r="E620" s="107"/>
      <c r="F620" s="108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10"/>
      <c r="V620" s="110"/>
    </row>
    <row r="621" ht="12.75" customHeight="1">
      <c r="A621" s="107"/>
      <c r="B621" s="107"/>
      <c r="C621" s="107"/>
      <c r="D621" s="102"/>
      <c r="E621" s="107"/>
      <c r="F621" s="108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10"/>
      <c r="V621" s="110"/>
    </row>
    <row r="622" ht="12.75" customHeight="1">
      <c r="A622" s="107"/>
      <c r="B622" s="107"/>
      <c r="C622" s="107"/>
      <c r="D622" s="102"/>
      <c r="E622" s="107"/>
      <c r="F622" s="108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10"/>
      <c r="V622" s="110"/>
    </row>
    <row r="623" ht="12.75" customHeight="1">
      <c r="A623" s="107"/>
      <c r="B623" s="107"/>
      <c r="C623" s="107"/>
      <c r="D623" s="102"/>
      <c r="E623" s="107"/>
      <c r="F623" s="108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10"/>
      <c r="V623" s="110"/>
    </row>
    <row r="624" ht="12.75" customHeight="1">
      <c r="A624" s="107"/>
      <c r="B624" s="107"/>
      <c r="C624" s="107"/>
      <c r="D624" s="102"/>
      <c r="E624" s="107"/>
      <c r="F624" s="108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10"/>
      <c r="V624" s="110"/>
    </row>
    <row r="625" ht="12.75" customHeight="1">
      <c r="A625" s="107"/>
      <c r="B625" s="107"/>
      <c r="C625" s="107"/>
      <c r="D625" s="102"/>
      <c r="E625" s="107"/>
      <c r="F625" s="108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10"/>
      <c r="V625" s="110"/>
    </row>
    <row r="626" ht="12.75" customHeight="1">
      <c r="A626" s="107"/>
      <c r="B626" s="107"/>
      <c r="C626" s="107"/>
      <c r="D626" s="102"/>
      <c r="E626" s="107"/>
      <c r="F626" s="108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10"/>
      <c r="V626" s="110"/>
    </row>
    <row r="627" ht="12.75" customHeight="1">
      <c r="A627" s="107"/>
      <c r="B627" s="107"/>
      <c r="C627" s="107"/>
      <c r="D627" s="102"/>
      <c r="E627" s="107"/>
      <c r="F627" s="108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10"/>
      <c r="V627" s="110"/>
    </row>
    <row r="628" ht="12.75" customHeight="1">
      <c r="A628" s="107"/>
      <c r="B628" s="107"/>
      <c r="C628" s="107"/>
      <c r="D628" s="102"/>
      <c r="E628" s="107"/>
      <c r="F628" s="108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10"/>
      <c r="V628" s="110"/>
    </row>
    <row r="629" ht="12.75" customHeight="1">
      <c r="A629" s="107"/>
      <c r="B629" s="107"/>
      <c r="C629" s="107"/>
      <c r="D629" s="102"/>
      <c r="E629" s="107"/>
      <c r="F629" s="108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10"/>
      <c r="V629" s="110"/>
    </row>
    <row r="630" ht="12.75" customHeight="1">
      <c r="A630" s="107"/>
      <c r="B630" s="107"/>
      <c r="C630" s="107"/>
      <c r="D630" s="102"/>
      <c r="E630" s="107"/>
      <c r="F630" s="108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10"/>
      <c r="V630" s="110"/>
    </row>
    <row r="631" ht="12.75" customHeight="1">
      <c r="A631" s="107"/>
      <c r="B631" s="107"/>
      <c r="C631" s="107"/>
      <c r="D631" s="102"/>
      <c r="E631" s="107"/>
      <c r="F631" s="108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10"/>
      <c r="V631" s="110"/>
    </row>
    <row r="632" ht="12.75" customHeight="1">
      <c r="A632" s="107"/>
      <c r="B632" s="107"/>
      <c r="C632" s="107"/>
      <c r="D632" s="102"/>
      <c r="E632" s="107"/>
      <c r="F632" s="108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10"/>
      <c r="V632" s="110"/>
    </row>
    <row r="633" ht="12.75" customHeight="1">
      <c r="A633" s="107"/>
      <c r="B633" s="107"/>
      <c r="C633" s="107"/>
      <c r="D633" s="102"/>
      <c r="E633" s="107"/>
      <c r="F633" s="108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10"/>
      <c r="V633" s="110"/>
    </row>
    <row r="634" ht="12.75" customHeight="1">
      <c r="A634" s="107"/>
      <c r="B634" s="107"/>
      <c r="C634" s="107"/>
      <c r="D634" s="102"/>
      <c r="E634" s="107"/>
      <c r="F634" s="108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10"/>
      <c r="V634" s="110"/>
    </row>
    <row r="635" ht="12.75" customHeight="1">
      <c r="A635" s="107"/>
      <c r="B635" s="107"/>
      <c r="C635" s="107"/>
      <c r="D635" s="102"/>
      <c r="E635" s="107"/>
      <c r="F635" s="108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10"/>
      <c r="V635" s="110"/>
    </row>
    <row r="636" ht="12.75" customHeight="1">
      <c r="A636" s="107"/>
      <c r="B636" s="107"/>
      <c r="C636" s="107"/>
      <c r="D636" s="102"/>
      <c r="E636" s="107"/>
      <c r="F636" s="108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10"/>
      <c r="V636" s="110"/>
    </row>
    <row r="637" ht="12.75" customHeight="1">
      <c r="A637" s="107"/>
      <c r="B637" s="107"/>
      <c r="C637" s="107"/>
      <c r="D637" s="102"/>
      <c r="E637" s="107"/>
      <c r="F637" s="108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10"/>
      <c r="V637" s="110"/>
    </row>
    <row r="638" ht="12.75" customHeight="1">
      <c r="A638" s="107"/>
      <c r="B638" s="107"/>
      <c r="C638" s="107"/>
      <c r="D638" s="102"/>
      <c r="E638" s="107"/>
      <c r="F638" s="108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10"/>
      <c r="V638" s="110"/>
    </row>
    <row r="639" ht="12.75" customHeight="1">
      <c r="A639" s="107"/>
      <c r="B639" s="107"/>
      <c r="C639" s="107"/>
      <c r="D639" s="102"/>
      <c r="E639" s="107"/>
      <c r="F639" s="108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10"/>
      <c r="V639" s="110"/>
    </row>
    <row r="640" ht="12.75" customHeight="1">
      <c r="A640" s="107"/>
      <c r="B640" s="107"/>
      <c r="C640" s="107"/>
      <c r="D640" s="102"/>
      <c r="E640" s="107"/>
      <c r="F640" s="108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10"/>
      <c r="V640" s="110"/>
    </row>
    <row r="641" ht="12.75" customHeight="1">
      <c r="A641" s="107"/>
      <c r="B641" s="107"/>
      <c r="C641" s="107"/>
      <c r="D641" s="102"/>
      <c r="E641" s="107"/>
      <c r="F641" s="108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10"/>
      <c r="V641" s="110"/>
    </row>
    <row r="642" ht="12.75" customHeight="1">
      <c r="A642" s="107"/>
      <c r="B642" s="107"/>
      <c r="C642" s="107"/>
      <c r="D642" s="102"/>
      <c r="E642" s="107"/>
      <c r="F642" s="108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10"/>
      <c r="V642" s="110"/>
    </row>
    <row r="643" ht="12.75" customHeight="1">
      <c r="A643" s="107"/>
      <c r="B643" s="107"/>
      <c r="C643" s="107"/>
      <c r="D643" s="102"/>
      <c r="E643" s="107"/>
      <c r="F643" s="108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10"/>
      <c r="V643" s="110"/>
    </row>
    <row r="644" ht="12.75" customHeight="1">
      <c r="A644" s="107"/>
      <c r="B644" s="107"/>
      <c r="C644" s="107"/>
      <c r="D644" s="102"/>
      <c r="E644" s="107"/>
      <c r="F644" s="108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10"/>
      <c r="V644" s="110"/>
    </row>
    <row r="645" ht="12.75" customHeight="1">
      <c r="A645" s="107"/>
      <c r="B645" s="107"/>
      <c r="C645" s="107"/>
      <c r="D645" s="102"/>
      <c r="E645" s="107"/>
      <c r="F645" s="108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10"/>
      <c r="V645" s="110"/>
    </row>
    <row r="646" ht="12.75" customHeight="1">
      <c r="A646" s="107"/>
      <c r="B646" s="107"/>
      <c r="C646" s="107"/>
      <c r="D646" s="102"/>
      <c r="E646" s="107"/>
      <c r="F646" s="108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10"/>
      <c r="V646" s="110"/>
    </row>
    <row r="647" ht="12.75" customHeight="1">
      <c r="A647" s="107"/>
      <c r="B647" s="107"/>
      <c r="C647" s="107"/>
      <c r="D647" s="102"/>
      <c r="E647" s="107"/>
      <c r="F647" s="108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10"/>
      <c r="V647" s="110"/>
    </row>
    <row r="648" ht="12.75" customHeight="1">
      <c r="A648" s="107"/>
      <c r="B648" s="107"/>
      <c r="C648" s="107"/>
      <c r="D648" s="102"/>
      <c r="E648" s="107"/>
      <c r="F648" s="108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10"/>
      <c r="V648" s="110"/>
    </row>
    <row r="649" ht="12.75" customHeight="1">
      <c r="A649" s="107"/>
      <c r="B649" s="107"/>
      <c r="C649" s="107"/>
      <c r="D649" s="102"/>
      <c r="E649" s="107"/>
      <c r="F649" s="108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10"/>
      <c r="V649" s="110"/>
    </row>
    <row r="650" ht="12.75" customHeight="1">
      <c r="A650" s="107"/>
      <c r="B650" s="107"/>
      <c r="C650" s="107"/>
      <c r="D650" s="102"/>
      <c r="E650" s="107"/>
      <c r="F650" s="108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10"/>
      <c r="V650" s="110"/>
    </row>
    <row r="651" ht="12.75" customHeight="1">
      <c r="A651" s="107"/>
      <c r="B651" s="107"/>
      <c r="C651" s="107"/>
      <c r="D651" s="102"/>
      <c r="E651" s="107"/>
      <c r="F651" s="108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10"/>
      <c r="V651" s="110"/>
    </row>
    <row r="652" ht="12.75" customHeight="1">
      <c r="A652" s="107"/>
      <c r="B652" s="107"/>
      <c r="C652" s="107"/>
      <c r="D652" s="102"/>
      <c r="E652" s="107"/>
      <c r="F652" s="108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10"/>
      <c r="V652" s="110"/>
    </row>
    <row r="653" ht="12.75" customHeight="1">
      <c r="A653" s="107"/>
      <c r="B653" s="107"/>
      <c r="C653" s="107"/>
      <c r="D653" s="102"/>
      <c r="E653" s="107"/>
      <c r="F653" s="108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10"/>
      <c r="V653" s="110"/>
    </row>
    <row r="654" ht="12.75" customHeight="1">
      <c r="A654" s="107"/>
      <c r="B654" s="107"/>
      <c r="C654" s="107"/>
      <c r="D654" s="102"/>
      <c r="E654" s="107"/>
      <c r="F654" s="108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10"/>
      <c r="V654" s="110"/>
    </row>
    <row r="655" ht="12.75" customHeight="1">
      <c r="A655" s="107"/>
      <c r="B655" s="107"/>
      <c r="C655" s="107"/>
      <c r="D655" s="102"/>
      <c r="E655" s="107"/>
      <c r="F655" s="108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10"/>
      <c r="V655" s="110"/>
    </row>
    <row r="656" ht="12.75" customHeight="1">
      <c r="A656" s="107"/>
      <c r="B656" s="107"/>
      <c r="C656" s="107"/>
      <c r="D656" s="102"/>
      <c r="E656" s="107"/>
      <c r="F656" s="108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10"/>
      <c r="V656" s="110"/>
    </row>
    <row r="657" ht="12.75" customHeight="1">
      <c r="A657" s="107"/>
      <c r="B657" s="107"/>
      <c r="C657" s="107"/>
      <c r="D657" s="102"/>
      <c r="E657" s="107"/>
      <c r="F657" s="108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10"/>
      <c r="V657" s="110"/>
    </row>
    <row r="658" ht="12.75" customHeight="1">
      <c r="A658" s="107"/>
      <c r="B658" s="107"/>
      <c r="C658" s="107"/>
      <c r="D658" s="102"/>
      <c r="E658" s="107"/>
      <c r="F658" s="108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10"/>
      <c r="V658" s="110"/>
    </row>
    <row r="659" ht="12.75" customHeight="1">
      <c r="A659" s="107"/>
      <c r="B659" s="107"/>
      <c r="C659" s="107"/>
      <c r="D659" s="102"/>
      <c r="E659" s="107"/>
      <c r="F659" s="108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10"/>
      <c r="V659" s="110"/>
    </row>
    <row r="660" ht="12.75" customHeight="1">
      <c r="A660" s="107"/>
      <c r="B660" s="107"/>
      <c r="C660" s="107"/>
      <c r="D660" s="102"/>
      <c r="E660" s="107"/>
      <c r="F660" s="108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10"/>
      <c r="V660" s="110"/>
    </row>
    <row r="661" ht="12.75" customHeight="1">
      <c r="A661" s="107"/>
      <c r="B661" s="107"/>
      <c r="C661" s="107"/>
      <c r="D661" s="102"/>
      <c r="E661" s="107"/>
      <c r="F661" s="108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10"/>
      <c r="V661" s="110"/>
    </row>
    <row r="662" ht="12.75" customHeight="1">
      <c r="A662" s="107"/>
      <c r="B662" s="107"/>
      <c r="C662" s="107"/>
      <c r="D662" s="102"/>
      <c r="E662" s="107"/>
      <c r="F662" s="108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10"/>
      <c r="V662" s="110"/>
    </row>
    <row r="663" ht="12.75" customHeight="1">
      <c r="A663" s="107"/>
      <c r="B663" s="107"/>
      <c r="C663" s="107"/>
      <c r="D663" s="102"/>
      <c r="E663" s="107"/>
      <c r="F663" s="108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10"/>
      <c r="V663" s="110"/>
    </row>
    <row r="664" ht="12.75" customHeight="1">
      <c r="A664" s="107"/>
      <c r="B664" s="107"/>
      <c r="C664" s="107"/>
      <c r="D664" s="102"/>
      <c r="E664" s="107"/>
      <c r="F664" s="108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10"/>
      <c r="V664" s="110"/>
    </row>
    <row r="665" ht="12.75" customHeight="1">
      <c r="A665" s="107"/>
      <c r="B665" s="107"/>
      <c r="C665" s="107"/>
      <c r="D665" s="102"/>
      <c r="E665" s="107"/>
      <c r="F665" s="108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10"/>
      <c r="V665" s="110"/>
    </row>
    <row r="666" ht="12.75" customHeight="1">
      <c r="A666" s="107"/>
      <c r="B666" s="107"/>
      <c r="C666" s="107"/>
      <c r="D666" s="102"/>
      <c r="E666" s="107"/>
      <c r="F666" s="108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10"/>
      <c r="V666" s="110"/>
    </row>
    <row r="667" ht="12.75" customHeight="1">
      <c r="A667" s="107"/>
      <c r="B667" s="107"/>
      <c r="C667" s="107"/>
      <c r="D667" s="102"/>
      <c r="E667" s="107"/>
      <c r="F667" s="108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10"/>
      <c r="V667" s="110"/>
    </row>
    <row r="668" ht="12.75" customHeight="1">
      <c r="A668" s="107"/>
      <c r="B668" s="107"/>
      <c r="C668" s="107"/>
      <c r="D668" s="102"/>
      <c r="E668" s="107"/>
      <c r="F668" s="108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10"/>
      <c r="V668" s="110"/>
    </row>
    <row r="669" ht="12.75" customHeight="1">
      <c r="A669" s="107"/>
      <c r="B669" s="107"/>
      <c r="C669" s="107"/>
      <c r="D669" s="102"/>
      <c r="E669" s="107"/>
      <c r="F669" s="108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10"/>
      <c r="V669" s="110"/>
    </row>
    <row r="670" ht="12.75" customHeight="1">
      <c r="A670" s="107"/>
      <c r="B670" s="107"/>
      <c r="C670" s="107"/>
      <c r="D670" s="102"/>
      <c r="E670" s="107"/>
      <c r="F670" s="108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10"/>
      <c r="V670" s="110"/>
    </row>
    <row r="671" ht="12.75" customHeight="1">
      <c r="A671" s="107"/>
      <c r="B671" s="107"/>
      <c r="C671" s="107"/>
      <c r="D671" s="102"/>
      <c r="E671" s="107"/>
      <c r="F671" s="108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10"/>
      <c r="V671" s="110"/>
    </row>
    <row r="672" ht="12.75" customHeight="1">
      <c r="A672" s="107"/>
      <c r="B672" s="107"/>
      <c r="C672" s="107"/>
      <c r="D672" s="102"/>
      <c r="E672" s="107"/>
      <c r="F672" s="108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10"/>
      <c r="V672" s="110"/>
    </row>
    <row r="673" ht="12.75" customHeight="1">
      <c r="A673" s="107"/>
      <c r="B673" s="107"/>
      <c r="C673" s="107"/>
      <c r="D673" s="102"/>
      <c r="E673" s="107"/>
      <c r="F673" s="108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10"/>
      <c r="V673" s="110"/>
    </row>
    <row r="674" ht="12.75" customHeight="1">
      <c r="A674" s="107"/>
      <c r="B674" s="107"/>
      <c r="C674" s="107"/>
      <c r="D674" s="102"/>
      <c r="E674" s="107"/>
      <c r="F674" s="108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10"/>
      <c r="V674" s="110"/>
    </row>
    <row r="675" ht="12.75" customHeight="1">
      <c r="A675" s="107"/>
      <c r="B675" s="107"/>
      <c r="C675" s="107"/>
      <c r="D675" s="102"/>
      <c r="E675" s="107"/>
      <c r="F675" s="108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10"/>
      <c r="V675" s="110"/>
    </row>
    <row r="676" ht="12.75" customHeight="1">
      <c r="A676" s="107"/>
      <c r="B676" s="107"/>
      <c r="C676" s="107"/>
      <c r="D676" s="102"/>
      <c r="E676" s="107"/>
      <c r="F676" s="108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10"/>
      <c r="V676" s="110"/>
    </row>
    <row r="677" ht="12.75" customHeight="1">
      <c r="A677" s="107"/>
      <c r="B677" s="107"/>
      <c r="C677" s="107"/>
      <c r="D677" s="102"/>
      <c r="E677" s="107"/>
      <c r="F677" s="108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10"/>
      <c r="V677" s="110"/>
    </row>
    <row r="678" ht="12.75" customHeight="1">
      <c r="A678" s="107"/>
      <c r="B678" s="107"/>
      <c r="C678" s="107"/>
      <c r="D678" s="102"/>
      <c r="E678" s="107"/>
      <c r="F678" s="108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10"/>
      <c r="V678" s="110"/>
    </row>
    <row r="679" ht="12.75" customHeight="1">
      <c r="A679" s="107"/>
      <c r="B679" s="107"/>
      <c r="C679" s="107"/>
      <c r="D679" s="102"/>
      <c r="E679" s="107"/>
      <c r="F679" s="108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10"/>
      <c r="V679" s="110"/>
    </row>
    <row r="680" ht="12.75" customHeight="1">
      <c r="A680" s="107"/>
      <c r="B680" s="107"/>
      <c r="C680" s="107"/>
      <c r="D680" s="102"/>
      <c r="E680" s="107"/>
      <c r="F680" s="108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10"/>
      <c r="V680" s="110"/>
    </row>
    <row r="681" ht="12.75" customHeight="1">
      <c r="A681" s="107"/>
      <c r="B681" s="107"/>
      <c r="C681" s="107"/>
      <c r="D681" s="102"/>
      <c r="E681" s="107"/>
      <c r="F681" s="108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10"/>
      <c r="V681" s="110"/>
    </row>
    <row r="682" ht="12.75" customHeight="1">
      <c r="A682" s="107"/>
      <c r="B682" s="107"/>
      <c r="C682" s="107"/>
      <c r="D682" s="102"/>
      <c r="E682" s="107"/>
      <c r="F682" s="108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10"/>
      <c r="V682" s="110"/>
    </row>
    <row r="683" ht="12.75" customHeight="1">
      <c r="A683" s="107"/>
      <c r="B683" s="107"/>
      <c r="C683" s="107"/>
      <c r="D683" s="102"/>
      <c r="E683" s="107"/>
      <c r="F683" s="108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10"/>
      <c r="V683" s="110"/>
    </row>
    <row r="684" ht="12.75" customHeight="1">
      <c r="A684" s="107"/>
      <c r="B684" s="107"/>
      <c r="C684" s="107"/>
      <c r="D684" s="102"/>
      <c r="E684" s="107"/>
      <c r="F684" s="108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10"/>
      <c r="V684" s="110"/>
    </row>
    <row r="685" ht="12.75" customHeight="1">
      <c r="A685" s="107"/>
      <c r="B685" s="107"/>
      <c r="C685" s="107"/>
      <c r="D685" s="102"/>
      <c r="E685" s="107"/>
      <c r="F685" s="108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10"/>
      <c r="V685" s="110"/>
    </row>
    <row r="686" ht="12.75" customHeight="1">
      <c r="A686" s="107"/>
      <c r="B686" s="107"/>
      <c r="C686" s="107"/>
      <c r="D686" s="102"/>
      <c r="E686" s="107"/>
      <c r="F686" s="108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10"/>
      <c r="V686" s="110"/>
    </row>
    <row r="687" ht="12.75" customHeight="1">
      <c r="A687" s="107"/>
      <c r="B687" s="107"/>
      <c r="C687" s="107"/>
      <c r="D687" s="102"/>
      <c r="E687" s="107"/>
      <c r="F687" s="108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10"/>
      <c r="V687" s="110"/>
    </row>
    <row r="688" ht="12.75" customHeight="1">
      <c r="A688" s="107"/>
      <c r="B688" s="107"/>
      <c r="C688" s="107"/>
      <c r="D688" s="102"/>
      <c r="E688" s="107"/>
      <c r="F688" s="108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10"/>
      <c r="V688" s="110"/>
    </row>
    <row r="689" ht="12.75" customHeight="1">
      <c r="A689" s="107"/>
      <c r="B689" s="107"/>
      <c r="C689" s="107"/>
      <c r="D689" s="102"/>
      <c r="E689" s="107"/>
      <c r="F689" s="108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10"/>
      <c r="V689" s="110"/>
    </row>
    <row r="690" ht="12.75" customHeight="1">
      <c r="A690" s="107"/>
      <c r="B690" s="107"/>
      <c r="C690" s="107"/>
      <c r="D690" s="102"/>
      <c r="E690" s="107"/>
      <c r="F690" s="108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10"/>
      <c r="V690" s="110"/>
    </row>
    <row r="691" ht="12.75" customHeight="1">
      <c r="A691" s="107"/>
      <c r="B691" s="107"/>
      <c r="C691" s="107"/>
      <c r="D691" s="102"/>
      <c r="E691" s="107"/>
      <c r="F691" s="108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10"/>
      <c r="V691" s="110"/>
    </row>
    <row r="692" ht="12.75" customHeight="1">
      <c r="A692" s="107"/>
      <c r="B692" s="107"/>
      <c r="C692" s="107"/>
      <c r="D692" s="102"/>
      <c r="E692" s="107"/>
      <c r="F692" s="108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10"/>
      <c r="V692" s="110"/>
    </row>
    <row r="693" ht="12.75" customHeight="1">
      <c r="A693" s="107"/>
      <c r="B693" s="107"/>
      <c r="C693" s="107"/>
      <c r="D693" s="102"/>
      <c r="E693" s="107"/>
      <c r="F693" s="108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10"/>
      <c r="V693" s="110"/>
    </row>
    <row r="694" ht="12.75" customHeight="1">
      <c r="A694" s="107"/>
      <c r="B694" s="107"/>
      <c r="C694" s="107"/>
      <c r="D694" s="102"/>
      <c r="E694" s="107"/>
      <c r="F694" s="108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10"/>
      <c r="V694" s="110"/>
    </row>
    <row r="695" ht="12.75" customHeight="1">
      <c r="A695" s="107"/>
      <c r="B695" s="107"/>
      <c r="C695" s="107"/>
      <c r="D695" s="102"/>
      <c r="E695" s="107"/>
      <c r="F695" s="108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10"/>
      <c r="V695" s="110"/>
    </row>
    <row r="696" ht="12.75" customHeight="1">
      <c r="A696" s="107"/>
      <c r="B696" s="107"/>
      <c r="C696" s="107"/>
      <c r="D696" s="102"/>
      <c r="E696" s="107"/>
      <c r="F696" s="108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10"/>
      <c r="V696" s="110"/>
    </row>
    <row r="697" ht="12.75" customHeight="1">
      <c r="A697" s="107"/>
      <c r="B697" s="107"/>
      <c r="C697" s="107"/>
      <c r="D697" s="102"/>
      <c r="E697" s="107"/>
      <c r="F697" s="108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10"/>
      <c r="V697" s="110"/>
    </row>
    <row r="698" ht="12.75" customHeight="1">
      <c r="A698" s="107"/>
      <c r="B698" s="107"/>
      <c r="C698" s="107"/>
      <c r="D698" s="102"/>
      <c r="E698" s="107"/>
      <c r="F698" s="108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10"/>
      <c r="V698" s="110"/>
    </row>
    <row r="699" ht="12.75" customHeight="1">
      <c r="A699" s="107"/>
      <c r="B699" s="107"/>
      <c r="C699" s="107"/>
      <c r="D699" s="102"/>
      <c r="E699" s="107"/>
      <c r="F699" s="108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10"/>
      <c r="V699" s="110"/>
    </row>
    <row r="700" ht="12.75" customHeight="1">
      <c r="A700" s="107"/>
      <c r="B700" s="107"/>
      <c r="C700" s="107"/>
      <c r="D700" s="102"/>
      <c r="E700" s="107"/>
      <c r="F700" s="108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10"/>
      <c r="V700" s="110"/>
    </row>
    <row r="701" ht="12.75" customHeight="1">
      <c r="A701" s="107"/>
      <c r="B701" s="107"/>
      <c r="C701" s="107"/>
      <c r="D701" s="102"/>
      <c r="E701" s="107"/>
      <c r="F701" s="108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10"/>
      <c r="V701" s="110"/>
    </row>
    <row r="702" ht="12.75" customHeight="1">
      <c r="A702" s="107"/>
      <c r="B702" s="107"/>
      <c r="C702" s="107"/>
      <c r="D702" s="102"/>
      <c r="E702" s="107"/>
      <c r="F702" s="108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10"/>
      <c r="V702" s="110"/>
    </row>
    <row r="703" ht="12.75" customHeight="1">
      <c r="A703" s="107"/>
      <c r="B703" s="107"/>
      <c r="C703" s="107"/>
      <c r="D703" s="102"/>
      <c r="E703" s="107"/>
      <c r="F703" s="108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10"/>
      <c r="V703" s="110"/>
    </row>
    <row r="704" ht="12.75" customHeight="1">
      <c r="A704" s="107"/>
      <c r="B704" s="107"/>
      <c r="C704" s="107"/>
      <c r="D704" s="102"/>
      <c r="E704" s="107"/>
      <c r="F704" s="108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10"/>
      <c r="V704" s="110"/>
    </row>
    <row r="705" ht="12.75" customHeight="1">
      <c r="A705" s="107"/>
      <c r="B705" s="107"/>
      <c r="C705" s="107"/>
      <c r="D705" s="102"/>
      <c r="E705" s="107"/>
      <c r="F705" s="108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10"/>
      <c r="V705" s="110"/>
    </row>
    <row r="706" ht="12.75" customHeight="1">
      <c r="A706" s="107"/>
      <c r="B706" s="107"/>
      <c r="C706" s="107"/>
      <c r="D706" s="102"/>
      <c r="E706" s="107"/>
      <c r="F706" s="108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10"/>
      <c r="V706" s="110"/>
    </row>
    <row r="707" ht="12.75" customHeight="1">
      <c r="A707" s="107"/>
      <c r="B707" s="107"/>
      <c r="C707" s="107"/>
      <c r="D707" s="102"/>
      <c r="E707" s="107"/>
      <c r="F707" s="108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10"/>
      <c r="V707" s="110"/>
    </row>
    <row r="708" ht="12.75" customHeight="1">
      <c r="A708" s="107"/>
      <c r="B708" s="107"/>
      <c r="C708" s="107"/>
      <c r="D708" s="102"/>
      <c r="E708" s="107"/>
      <c r="F708" s="108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10"/>
      <c r="V708" s="110"/>
    </row>
    <row r="709" ht="12.75" customHeight="1">
      <c r="A709" s="107"/>
      <c r="B709" s="107"/>
      <c r="C709" s="107"/>
      <c r="D709" s="102"/>
      <c r="E709" s="107"/>
      <c r="F709" s="108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10"/>
      <c r="V709" s="110"/>
    </row>
    <row r="710" ht="12.75" customHeight="1">
      <c r="A710" s="107"/>
      <c r="B710" s="107"/>
      <c r="C710" s="107"/>
      <c r="D710" s="102"/>
      <c r="E710" s="107"/>
      <c r="F710" s="108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10"/>
      <c r="V710" s="110"/>
    </row>
    <row r="711" ht="12.75" customHeight="1">
      <c r="A711" s="107"/>
      <c r="B711" s="107"/>
      <c r="C711" s="107"/>
      <c r="D711" s="102"/>
      <c r="E711" s="107"/>
      <c r="F711" s="108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10"/>
      <c r="V711" s="110"/>
    </row>
    <row r="712" ht="12.75" customHeight="1">
      <c r="A712" s="107"/>
      <c r="B712" s="107"/>
      <c r="C712" s="107"/>
      <c r="D712" s="102"/>
      <c r="E712" s="107"/>
      <c r="F712" s="108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10"/>
      <c r="V712" s="110"/>
    </row>
    <row r="713" ht="12.75" customHeight="1">
      <c r="A713" s="107"/>
      <c r="B713" s="107"/>
      <c r="C713" s="107"/>
      <c r="D713" s="102"/>
      <c r="E713" s="107"/>
      <c r="F713" s="108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10"/>
      <c r="V713" s="110"/>
    </row>
    <row r="714" ht="12.75" customHeight="1">
      <c r="A714" s="107"/>
      <c r="B714" s="107"/>
      <c r="C714" s="107"/>
      <c r="D714" s="102"/>
      <c r="E714" s="107"/>
      <c r="F714" s="108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10"/>
      <c r="V714" s="110"/>
    </row>
    <row r="715" ht="12.75" customHeight="1">
      <c r="A715" s="107"/>
      <c r="B715" s="107"/>
      <c r="C715" s="107"/>
      <c r="D715" s="102"/>
      <c r="E715" s="107"/>
      <c r="F715" s="108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10"/>
      <c r="V715" s="110"/>
    </row>
    <row r="716" ht="12.75" customHeight="1">
      <c r="A716" s="107"/>
      <c r="B716" s="107"/>
      <c r="C716" s="107"/>
      <c r="D716" s="102"/>
      <c r="E716" s="107"/>
      <c r="F716" s="108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10"/>
      <c r="V716" s="110"/>
    </row>
    <row r="717" ht="12.75" customHeight="1">
      <c r="A717" s="107"/>
      <c r="B717" s="107"/>
      <c r="C717" s="107"/>
      <c r="D717" s="102"/>
      <c r="E717" s="107"/>
      <c r="F717" s="108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10"/>
      <c r="V717" s="110"/>
    </row>
    <row r="718" ht="12.75" customHeight="1">
      <c r="A718" s="107"/>
      <c r="B718" s="107"/>
      <c r="C718" s="107"/>
      <c r="D718" s="102"/>
      <c r="E718" s="107"/>
      <c r="F718" s="108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10"/>
      <c r="V718" s="110"/>
    </row>
    <row r="719" ht="12.75" customHeight="1">
      <c r="A719" s="107"/>
      <c r="B719" s="107"/>
      <c r="C719" s="107"/>
      <c r="D719" s="102"/>
      <c r="E719" s="107"/>
      <c r="F719" s="108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10"/>
      <c r="V719" s="110"/>
    </row>
    <row r="720" ht="12.75" customHeight="1">
      <c r="A720" s="107"/>
      <c r="B720" s="107"/>
      <c r="C720" s="107"/>
      <c r="D720" s="102"/>
      <c r="E720" s="107"/>
      <c r="F720" s="108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10"/>
      <c r="V720" s="110"/>
    </row>
    <row r="721" ht="12.75" customHeight="1">
      <c r="A721" s="107"/>
      <c r="B721" s="107"/>
      <c r="C721" s="107"/>
      <c r="D721" s="102"/>
      <c r="E721" s="107"/>
      <c r="F721" s="108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10"/>
      <c r="V721" s="110"/>
    </row>
    <row r="722" ht="12.75" customHeight="1">
      <c r="A722" s="107"/>
      <c r="B722" s="107"/>
      <c r="C722" s="107"/>
      <c r="D722" s="102"/>
      <c r="E722" s="107"/>
      <c r="F722" s="108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10"/>
      <c r="V722" s="110"/>
    </row>
    <row r="723" ht="12.75" customHeight="1">
      <c r="A723" s="107"/>
      <c r="B723" s="107"/>
      <c r="C723" s="107"/>
      <c r="D723" s="102"/>
      <c r="E723" s="107"/>
      <c r="F723" s="108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10"/>
      <c r="V723" s="110"/>
    </row>
    <row r="724" ht="12.75" customHeight="1">
      <c r="A724" s="107"/>
      <c r="B724" s="107"/>
      <c r="C724" s="107"/>
      <c r="D724" s="102"/>
      <c r="E724" s="107"/>
      <c r="F724" s="108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10"/>
      <c r="V724" s="110"/>
    </row>
    <row r="725" ht="12.75" customHeight="1">
      <c r="A725" s="107"/>
      <c r="B725" s="107"/>
      <c r="C725" s="107"/>
      <c r="D725" s="102"/>
      <c r="E725" s="107"/>
      <c r="F725" s="108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10"/>
      <c r="V725" s="110"/>
    </row>
    <row r="726" ht="12.75" customHeight="1">
      <c r="A726" s="107"/>
      <c r="B726" s="107"/>
      <c r="C726" s="107"/>
      <c r="D726" s="102"/>
      <c r="E726" s="107"/>
      <c r="F726" s="108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10"/>
      <c r="V726" s="110"/>
    </row>
    <row r="727" ht="12.75" customHeight="1">
      <c r="A727" s="107"/>
      <c r="B727" s="107"/>
      <c r="C727" s="107"/>
      <c r="D727" s="102"/>
      <c r="E727" s="107"/>
      <c r="F727" s="108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10"/>
      <c r="V727" s="110"/>
    </row>
    <row r="728" ht="12.75" customHeight="1">
      <c r="A728" s="107"/>
      <c r="B728" s="107"/>
      <c r="C728" s="107"/>
      <c r="D728" s="102"/>
      <c r="E728" s="107"/>
      <c r="F728" s="108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10"/>
      <c r="V728" s="110"/>
    </row>
    <row r="729" ht="12.75" customHeight="1">
      <c r="A729" s="107"/>
      <c r="B729" s="107"/>
      <c r="C729" s="107"/>
      <c r="D729" s="102"/>
      <c r="E729" s="107"/>
      <c r="F729" s="108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10"/>
      <c r="V729" s="110"/>
    </row>
    <row r="730" ht="12.75" customHeight="1">
      <c r="A730" s="107"/>
      <c r="B730" s="107"/>
      <c r="C730" s="107"/>
      <c r="D730" s="102"/>
      <c r="E730" s="107"/>
      <c r="F730" s="108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10"/>
      <c r="V730" s="110"/>
    </row>
    <row r="731" ht="12.75" customHeight="1">
      <c r="A731" s="107"/>
      <c r="B731" s="107"/>
      <c r="C731" s="107"/>
      <c r="D731" s="102"/>
      <c r="E731" s="107"/>
      <c r="F731" s="108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10"/>
      <c r="V731" s="110"/>
    </row>
    <row r="732" ht="12.75" customHeight="1">
      <c r="A732" s="107"/>
      <c r="B732" s="107"/>
      <c r="C732" s="107"/>
      <c r="D732" s="102"/>
      <c r="E732" s="107"/>
      <c r="F732" s="108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10"/>
      <c r="V732" s="110"/>
    </row>
    <row r="733" ht="12.75" customHeight="1">
      <c r="A733" s="107"/>
      <c r="B733" s="107"/>
      <c r="C733" s="107"/>
      <c r="D733" s="102"/>
      <c r="E733" s="107"/>
      <c r="F733" s="108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10"/>
      <c r="V733" s="110"/>
    </row>
    <row r="734" ht="12.75" customHeight="1">
      <c r="A734" s="107"/>
      <c r="B734" s="107"/>
      <c r="C734" s="107"/>
      <c r="D734" s="102"/>
      <c r="E734" s="107"/>
      <c r="F734" s="108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10"/>
      <c r="V734" s="110"/>
    </row>
    <row r="735" ht="12.75" customHeight="1">
      <c r="A735" s="107"/>
      <c r="B735" s="107"/>
      <c r="C735" s="107"/>
      <c r="D735" s="102"/>
      <c r="E735" s="107"/>
      <c r="F735" s="108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10"/>
      <c r="V735" s="110"/>
    </row>
    <row r="736" ht="12.75" customHeight="1">
      <c r="A736" s="107"/>
      <c r="B736" s="107"/>
      <c r="C736" s="107"/>
      <c r="D736" s="102"/>
      <c r="E736" s="107"/>
      <c r="F736" s="108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10"/>
      <c r="V736" s="110"/>
    </row>
    <row r="737" ht="12.75" customHeight="1">
      <c r="A737" s="107"/>
      <c r="B737" s="107"/>
      <c r="C737" s="107"/>
      <c r="D737" s="102"/>
      <c r="E737" s="107"/>
      <c r="F737" s="108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10"/>
      <c r="V737" s="110"/>
    </row>
    <row r="738" ht="12.75" customHeight="1">
      <c r="A738" s="107"/>
      <c r="B738" s="107"/>
      <c r="C738" s="107"/>
      <c r="D738" s="102"/>
      <c r="E738" s="107"/>
      <c r="F738" s="108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10"/>
      <c r="V738" s="110"/>
    </row>
    <row r="739" ht="12.75" customHeight="1">
      <c r="A739" s="107"/>
      <c r="B739" s="107"/>
      <c r="C739" s="107"/>
      <c r="D739" s="102"/>
      <c r="E739" s="107"/>
      <c r="F739" s="108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10"/>
      <c r="V739" s="110"/>
    </row>
    <row r="740" ht="12.75" customHeight="1">
      <c r="A740" s="107"/>
      <c r="B740" s="107"/>
      <c r="C740" s="107"/>
      <c r="D740" s="102"/>
      <c r="E740" s="107"/>
      <c r="F740" s="108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10"/>
      <c r="V740" s="110"/>
    </row>
    <row r="741" ht="12.75" customHeight="1">
      <c r="A741" s="107"/>
      <c r="B741" s="107"/>
      <c r="C741" s="107"/>
      <c r="D741" s="102"/>
      <c r="E741" s="107"/>
      <c r="F741" s="108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10"/>
      <c r="V741" s="110"/>
    </row>
    <row r="742" ht="12.75" customHeight="1">
      <c r="A742" s="107"/>
      <c r="B742" s="107"/>
      <c r="C742" s="107"/>
      <c r="D742" s="102"/>
      <c r="E742" s="107"/>
      <c r="F742" s="108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10"/>
      <c r="V742" s="110"/>
    </row>
    <row r="743" ht="12.75" customHeight="1">
      <c r="A743" s="107"/>
      <c r="B743" s="107"/>
      <c r="C743" s="107"/>
      <c r="D743" s="102"/>
      <c r="E743" s="107"/>
      <c r="F743" s="108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10"/>
      <c r="V743" s="110"/>
    </row>
    <row r="744" ht="12.75" customHeight="1">
      <c r="A744" s="107"/>
      <c r="B744" s="107"/>
      <c r="C744" s="107"/>
      <c r="D744" s="102"/>
      <c r="E744" s="107"/>
      <c r="F744" s="108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10"/>
      <c r="V744" s="110"/>
    </row>
    <row r="745" ht="12.75" customHeight="1">
      <c r="A745" s="107"/>
      <c r="B745" s="107"/>
      <c r="C745" s="107"/>
      <c r="D745" s="102"/>
      <c r="E745" s="107"/>
      <c r="F745" s="108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10"/>
      <c r="V745" s="110"/>
    </row>
    <row r="746" ht="12.75" customHeight="1">
      <c r="A746" s="107"/>
      <c r="B746" s="107"/>
      <c r="C746" s="107"/>
      <c r="D746" s="102"/>
      <c r="E746" s="107"/>
      <c r="F746" s="108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10"/>
      <c r="V746" s="110"/>
    </row>
    <row r="747" ht="12.75" customHeight="1">
      <c r="A747" s="107"/>
      <c r="B747" s="107"/>
      <c r="C747" s="107"/>
      <c r="D747" s="102"/>
      <c r="E747" s="107"/>
      <c r="F747" s="108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10"/>
      <c r="V747" s="110"/>
    </row>
    <row r="748" ht="12.75" customHeight="1">
      <c r="A748" s="107"/>
      <c r="B748" s="107"/>
      <c r="C748" s="107"/>
      <c r="D748" s="102"/>
      <c r="E748" s="107"/>
      <c r="F748" s="108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10"/>
      <c r="V748" s="110"/>
    </row>
    <row r="749" ht="12.75" customHeight="1">
      <c r="A749" s="107"/>
      <c r="B749" s="107"/>
      <c r="C749" s="107"/>
      <c r="D749" s="102"/>
      <c r="E749" s="107"/>
      <c r="F749" s="108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10"/>
      <c r="V749" s="110"/>
    </row>
    <row r="750" ht="12.75" customHeight="1">
      <c r="A750" s="107"/>
      <c r="B750" s="107"/>
      <c r="C750" s="107"/>
      <c r="D750" s="102"/>
      <c r="E750" s="107"/>
      <c r="F750" s="108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10"/>
      <c r="V750" s="110"/>
    </row>
    <row r="751" ht="12.75" customHeight="1">
      <c r="A751" s="107"/>
      <c r="B751" s="107"/>
      <c r="C751" s="107"/>
      <c r="D751" s="102"/>
      <c r="E751" s="107"/>
      <c r="F751" s="108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10"/>
      <c r="V751" s="110"/>
    </row>
    <row r="752" ht="12.75" customHeight="1">
      <c r="A752" s="107"/>
      <c r="B752" s="107"/>
      <c r="C752" s="107"/>
      <c r="D752" s="102"/>
      <c r="E752" s="107"/>
      <c r="F752" s="108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10"/>
      <c r="V752" s="110"/>
    </row>
    <row r="753" ht="12.75" customHeight="1">
      <c r="A753" s="107"/>
      <c r="B753" s="107"/>
      <c r="C753" s="107"/>
      <c r="D753" s="102"/>
      <c r="E753" s="107"/>
      <c r="F753" s="108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10"/>
      <c r="V753" s="110"/>
    </row>
    <row r="754" ht="12.75" customHeight="1">
      <c r="A754" s="107"/>
      <c r="B754" s="107"/>
      <c r="C754" s="107"/>
      <c r="D754" s="102"/>
      <c r="E754" s="107"/>
      <c r="F754" s="108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10"/>
      <c r="V754" s="110"/>
    </row>
    <row r="755" ht="12.75" customHeight="1">
      <c r="A755" s="107"/>
      <c r="B755" s="107"/>
      <c r="C755" s="107"/>
      <c r="D755" s="102"/>
      <c r="E755" s="107"/>
      <c r="F755" s="108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10"/>
      <c r="V755" s="110"/>
    </row>
    <row r="756" ht="12.75" customHeight="1">
      <c r="A756" s="107"/>
      <c r="B756" s="107"/>
      <c r="C756" s="107"/>
      <c r="D756" s="102"/>
      <c r="E756" s="107"/>
      <c r="F756" s="108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10"/>
      <c r="V756" s="110"/>
    </row>
    <row r="757" ht="12.75" customHeight="1">
      <c r="A757" s="107"/>
      <c r="B757" s="107"/>
      <c r="C757" s="107"/>
      <c r="D757" s="102"/>
      <c r="E757" s="107"/>
      <c r="F757" s="108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10"/>
      <c r="V757" s="110"/>
    </row>
    <row r="758" ht="12.75" customHeight="1">
      <c r="A758" s="107"/>
      <c r="B758" s="107"/>
      <c r="C758" s="107"/>
      <c r="D758" s="102"/>
      <c r="E758" s="107"/>
      <c r="F758" s="108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10"/>
      <c r="V758" s="110"/>
    </row>
    <row r="759" ht="12.75" customHeight="1">
      <c r="A759" s="107"/>
      <c r="B759" s="107"/>
      <c r="C759" s="107"/>
      <c r="D759" s="102"/>
      <c r="E759" s="107"/>
      <c r="F759" s="108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10"/>
      <c r="V759" s="110"/>
    </row>
    <row r="760" ht="12.75" customHeight="1">
      <c r="A760" s="107"/>
      <c r="B760" s="107"/>
      <c r="C760" s="107"/>
      <c r="D760" s="102"/>
      <c r="E760" s="107"/>
      <c r="F760" s="108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10"/>
      <c r="V760" s="110"/>
    </row>
    <row r="761" ht="12.75" customHeight="1">
      <c r="A761" s="107"/>
      <c r="B761" s="107"/>
      <c r="C761" s="107"/>
      <c r="D761" s="102"/>
      <c r="E761" s="107"/>
      <c r="F761" s="108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10"/>
      <c r="V761" s="110"/>
    </row>
    <row r="762" ht="12.75" customHeight="1">
      <c r="A762" s="107"/>
      <c r="B762" s="107"/>
      <c r="C762" s="107"/>
      <c r="D762" s="102"/>
      <c r="E762" s="107"/>
      <c r="F762" s="108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10"/>
      <c r="V762" s="110"/>
    </row>
    <row r="763" ht="12.75" customHeight="1">
      <c r="A763" s="107"/>
      <c r="B763" s="107"/>
      <c r="C763" s="107"/>
      <c r="D763" s="102"/>
      <c r="E763" s="107"/>
      <c r="F763" s="108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10"/>
      <c r="V763" s="110"/>
    </row>
    <row r="764" ht="12.75" customHeight="1">
      <c r="A764" s="107"/>
      <c r="B764" s="107"/>
      <c r="C764" s="107"/>
      <c r="D764" s="102"/>
      <c r="E764" s="107"/>
      <c r="F764" s="108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10"/>
      <c r="V764" s="110"/>
    </row>
    <row r="765" ht="12.75" customHeight="1">
      <c r="A765" s="107"/>
      <c r="B765" s="107"/>
      <c r="C765" s="107"/>
      <c r="D765" s="102"/>
      <c r="E765" s="107"/>
      <c r="F765" s="108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10"/>
      <c r="V765" s="110"/>
    </row>
    <row r="766" ht="12.75" customHeight="1">
      <c r="A766" s="107"/>
      <c r="B766" s="107"/>
      <c r="C766" s="107"/>
      <c r="D766" s="102"/>
      <c r="E766" s="107"/>
      <c r="F766" s="108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10"/>
      <c r="V766" s="110"/>
    </row>
    <row r="767" ht="12.75" customHeight="1">
      <c r="A767" s="107"/>
      <c r="B767" s="107"/>
      <c r="C767" s="107"/>
      <c r="D767" s="102"/>
      <c r="E767" s="107"/>
      <c r="F767" s="108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10"/>
      <c r="V767" s="110"/>
    </row>
    <row r="768" ht="12.75" customHeight="1">
      <c r="A768" s="107"/>
      <c r="B768" s="107"/>
      <c r="C768" s="107"/>
      <c r="D768" s="102"/>
      <c r="E768" s="107"/>
      <c r="F768" s="108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10"/>
      <c r="V768" s="110"/>
    </row>
    <row r="769" ht="12.75" customHeight="1">
      <c r="A769" s="107"/>
      <c r="B769" s="107"/>
      <c r="C769" s="107"/>
      <c r="D769" s="102"/>
      <c r="E769" s="107"/>
      <c r="F769" s="108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10"/>
      <c r="V769" s="110"/>
    </row>
    <row r="770" ht="12.75" customHeight="1">
      <c r="A770" s="107"/>
      <c r="B770" s="107"/>
      <c r="C770" s="107"/>
      <c r="D770" s="102"/>
      <c r="E770" s="107"/>
      <c r="F770" s="108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10"/>
      <c r="V770" s="110"/>
    </row>
    <row r="771" ht="12.75" customHeight="1">
      <c r="A771" s="107"/>
      <c r="B771" s="107"/>
      <c r="C771" s="107"/>
      <c r="D771" s="102"/>
      <c r="E771" s="107"/>
      <c r="F771" s="108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10"/>
      <c r="V771" s="110"/>
    </row>
    <row r="772" ht="12.75" customHeight="1">
      <c r="A772" s="107"/>
      <c r="B772" s="107"/>
      <c r="C772" s="107"/>
      <c r="D772" s="102"/>
      <c r="E772" s="107"/>
      <c r="F772" s="108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10"/>
      <c r="V772" s="110"/>
    </row>
    <row r="773" ht="12.75" customHeight="1">
      <c r="A773" s="107"/>
      <c r="B773" s="107"/>
      <c r="C773" s="107"/>
      <c r="D773" s="102"/>
      <c r="E773" s="107"/>
      <c r="F773" s="108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10"/>
      <c r="V773" s="110"/>
    </row>
    <row r="774" ht="12.75" customHeight="1">
      <c r="A774" s="107"/>
      <c r="B774" s="107"/>
      <c r="C774" s="107"/>
      <c r="D774" s="102"/>
      <c r="E774" s="107"/>
      <c r="F774" s="108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10"/>
      <c r="V774" s="110"/>
    </row>
    <row r="775" ht="12.75" customHeight="1">
      <c r="A775" s="107"/>
      <c r="B775" s="107"/>
      <c r="C775" s="107"/>
      <c r="D775" s="102"/>
      <c r="E775" s="107"/>
      <c r="F775" s="108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10"/>
      <c r="V775" s="110"/>
    </row>
    <row r="776" ht="12.75" customHeight="1">
      <c r="A776" s="107"/>
      <c r="B776" s="107"/>
      <c r="C776" s="107"/>
      <c r="D776" s="102"/>
      <c r="E776" s="107"/>
      <c r="F776" s="108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10"/>
      <c r="V776" s="110"/>
    </row>
    <row r="777" ht="12.75" customHeight="1">
      <c r="A777" s="107"/>
      <c r="B777" s="107"/>
      <c r="C777" s="107"/>
      <c r="D777" s="102"/>
      <c r="E777" s="107"/>
      <c r="F777" s="108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10"/>
      <c r="V777" s="110"/>
    </row>
    <row r="778" ht="12.75" customHeight="1">
      <c r="A778" s="107"/>
      <c r="B778" s="107"/>
      <c r="C778" s="107"/>
      <c r="D778" s="102"/>
      <c r="E778" s="107"/>
      <c r="F778" s="108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10"/>
      <c r="V778" s="110"/>
    </row>
    <row r="779" ht="12.75" customHeight="1">
      <c r="A779" s="107"/>
      <c r="B779" s="107"/>
      <c r="C779" s="107"/>
      <c r="D779" s="102"/>
      <c r="E779" s="107"/>
      <c r="F779" s="108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10"/>
      <c r="V779" s="110"/>
    </row>
    <row r="780" ht="12.75" customHeight="1">
      <c r="A780" s="107"/>
      <c r="B780" s="107"/>
      <c r="C780" s="107"/>
      <c r="D780" s="102"/>
      <c r="E780" s="107"/>
      <c r="F780" s="108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10"/>
      <c r="V780" s="110"/>
    </row>
    <row r="781" ht="12.75" customHeight="1">
      <c r="A781" s="107"/>
      <c r="B781" s="107"/>
      <c r="C781" s="107"/>
      <c r="D781" s="102"/>
      <c r="E781" s="107"/>
      <c r="F781" s="108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10"/>
      <c r="V781" s="110"/>
    </row>
    <row r="782" ht="12.75" customHeight="1">
      <c r="A782" s="107"/>
      <c r="B782" s="107"/>
      <c r="C782" s="107"/>
      <c r="D782" s="102"/>
      <c r="E782" s="107"/>
      <c r="F782" s="108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10"/>
      <c r="V782" s="110"/>
    </row>
    <row r="783" ht="12.75" customHeight="1">
      <c r="A783" s="107"/>
      <c r="B783" s="107"/>
      <c r="C783" s="107"/>
      <c r="D783" s="102"/>
      <c r="E783" s="107"/>
      <c r="F783" s="108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10"/>
      <c r="V783" s="110"/>
    </row>
    <row r="784" ht="12.75" customHeight="1">
      <c r="A784" s="107"/>
      <c r="B784" s="107"/>
      <c r="C784" s="107"/>
      <c r="D784" s="102"/>
      <c r="E784" s="107"/>
      <c r="F784" s="108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10"/>
      <c r="V784" s="110"/>
    </row>
    <row r="785" ht="12.75" customHeight="1">
      <c r="A785" s="107"/>
      <c r="B785" s="107"/>
      <c r="C785" s="107"/>
      <c r="D785" s="102"/>
      <c r="E785" s="107"/>
      <c r="F785" s="108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10"/>
      <c r="V785" s="110"/>
    </row>
    <row r="786" ht="12.75" customHeight="1">
      <c r="A786" s="107"/>
      <c r="B786" s="107"/>
      <c r="C786" s="107"/>
      <c r="D786" s="102"/>
      <c r="E786" s="107"/>
      <c r="F786" s="108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10"/>
      <c r="V786" s="110"/>
    </row>
    <row r="787" ht="12.75" customHeight="1">
      <c r="A787" s="107"/>
      <c r="B787" s="107"/>
      <c r="C787" s="107"/>
      <c r="D787" s="102"/>
      <c r="E787" s="107"/>
      <c r="F787" s="108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10"/>
      <c r="V787" s="110"/>
    </row>
    <row r="788" ht="12.75" customHeight="1">
      <c r="A788" s="107"/>
      <c r="B788" s="107"/>
      <c r="C788" s="107"/>
      <c r="D788" s="102"/>
      <c r="E788" s="107"/>
      <c r="F788" s="108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10"/>
      <c r="V788" s="110"/>
    </row>
    <row r="789" ht="12.75" customHeight="1">
      <c r="A789" s="107"/>
      <c r="B789" s="107"/>
      <c r="C789" s="107"/>
      <c r="D789" s="102"/>
      <c r="E789" s="107"/>
      <c r="F789" s="108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10"/>
      <c r="V789" s="110"/>
    </row>
    <row r="790" ht="12.75" customHeight="1">
      <c r="A790" s="107"/>
      <c r="B790" s="107"/>
      <c r="C790" s="107"/>
      <c r="D790" s="102"/>
      <c r="E790" s="107"/>
      <c r="F790" s="108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10"/>
      <c r="V790" s="110"/>
    </row>
    <row r="791" ht="12.75" customHeight="1">
      <c r="A791" s="107"/>
      <c r="B791" s="107"/>
      <c r="C791" s="107"/>
      <c r="D791" s="102"/>
      <c r="E791" s="107"/>
      <c r="F791" s="108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10"/>
      <c r="V791" s="110"/>
    </row>
    <row r="792" ht="12.75" customHeight="1">
      <c r="A792" s="107"/>
      <c r="B792" s="107"/>
      <c r="C792" s="107"/>
      <c r="D792" s="102"/>
      <c r="E792" s="107"/>
      <c r="F792" s="108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10"/>
      <c r="V792" s="110"/>
    </row>
    <row r="793" ht="12.75" customHeight="1">
      <c r="A793" s="107"/>
      <c r="B793" s="107"/>
      <c r="C793" s="107"/>
      <c r="D793" s="102"/>
      <c r="E793" s="107"/>
      <c r="F793" s="108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10"/>
      <c r="V793" s="110"/>
    </row>
    <row r="794" ht="12.75" customHeight="1">
      <c r="A794" s="107"/>
      <c r="B794" s="107"/>
      <c r="C794" s="107"/>
      <c r="D794" s="102"/>
      <c r="E794" s="107"/>
      <c r="F794" s="108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10"/>
      <c r="V794" s="110"/>
    </row>
    <row r="795" ht="12.75" customHeight="1">
      <c r="A795" s="107"/>
      <c r="B795" s="107"/>
      <c r="C795" s="107"/>
      <c r="D795" s="102"/>
      <c r="E795" s="107"/>
      <c r="F795" s="108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10"/>
      <c r="V795" s="110"/>
    </row>
    <row r="796" ht="12.75" customHeight="1">
      <c r="A796" s="107"/>
      <c r="B796" s="107"/>
      <c r="C796" s="107"/>
      <c r="D796" s="102"/>
      <c r="E796" s="107"/>
      <c r="F796" s="108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10"/>
      <c r="V796" s="110"/>
    </row>
    <row r="797" ht="12.75" customHeight="1">
      <c r="A797" s="107"/>
      <c r="B797" s="107"/>
      <c r="C797" s="107"/>
      <c r="D797" s="102"/>
      <c r="E797" s="107"/>
      <c r="F797" s="108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10"/>
      <c r="V797" s="110"/>
    </row>
    <row r="798" ht="12.75" customHeight="1">
      <c r="A798" s="107"/>
      <c r="B798" s="107"/>
      <c r="C798" s="107"/>
      <c r="D798" s="102"/>
      <c r="E798" s="107"/>
      <c r="F798" s="108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10"/>
      <c r="V798" s="110"/>
    </row>
    <row r="799" ht="12.75" customHeight="1">
      <c r="A799" s="107"/>
      <c r="B799" s="107"/>
      <c r="C799" s="107"/>
      <c r="D799" s="102"/>
      <c r="E799" s="107"/>
      <c r="F799" s="108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10"/>
      <c r="V799" s="110"/>
    </row>
    <row r="800" ht="12.75" customHeight="1">
      <c r="A800" s="107"/>
      <c r="B800" s="107"/>
      <c r="C800" s="107"/>
      <c r="D800" s="102"/>
      <c r="E800" s="107"/>
      <c r="F800" s="108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10"/>
      <c r="V800" s="110"/>
    </row>
    <row r="801" ht="12.75" customHeight="1">
      <c r="A801" s="107"/>
      <c r="B801" s="107"/>
      <c r="C801" s="107"/>
      <c r="D801" s="102"/>
      <c r="E801" s="107"/>
      <c r="F801" s="108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10"/>
      <c r="V801" s="110"/>
    </row>
    <row r="802" ht="12.75" customHeight="1">
      <c r="A802" s="107"/>
      <c r="B802" s="107"/>
      <c r="C802" s="107"/>
      <c r="D802" s="102"/>
      <c r="E802" s="107"/>
      <c r="F802" s="108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10"/>
      <c r="V802" s="110"/>
    </row>
    <row r="803" ht="12.75" customHeight="1">
      <c r="A803" s="107"/>
      <c r="B803" s="107"/>
      <c r="C803" s="107"/>
      <c r="D803" s="102"/>
      <c r="E803" s="107"/>
      <c r="F803" s="108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10"/>
      <c r="V803" s="110"/>
    </row>
    <row r="804" ht="12.75" customHeight="1">
      <c r="A804" s="107"/>
      <c r="B804" s="107"/>
      <c r="C804" s="107"/>
      <c r="D804" s="102"/>
      <c r="E804" s="107"/>
      <c r="F804" s="108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10"/>
      <c r="V804" s="110"/>
    </row>
    <row r="805" ht="12.75" customHeight="1">
      <c r="A805" s="107"/>
      <c r="B805" s="107"/>
      <c r="C805" s="107"/>
      <c r="D805" s="102"/>
      <c r="E805" s="107"/>
      <c r="F805" s="108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10"/>
      <c r="V805" s="110"/>
    </row>
    <row r="806" ht="12.75" customHeight="1">
      <c r="A806" s="107"/>
      <c r="B806" s="107"/>
      <c r="C806" s="107"/>
      <c r="D806" s="102"/>
      <c r="E806" s="107"/>
      <c r="F806" s="108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10"/>
      <c r="V806" s="110"/>
    </row>
    <row r="807" ht="12.75" customHeight="1">
      <c r="A807" s="107"/>
      <c r="B807" s="107"/>
      <c r="C807" s="107"/>
      <c r="D807" s="102"/>
      <c r="E807" s="107"/>
      <c r="F807" s="108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10"/>
      <c r="V807" s="110"/>
    </row>
    <row r="808" ht="12.75" customHeight="1">
      <c r="A808" s="107"/>
      <c r="B808" s="107"/>
      <c r="C808" s="107"/>
      <c r="D808" s="102"/>
      <c r="E808" s="107"/>
      <c r="F808" s="108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10"/>
      <c r="V808" s="110"/>
    </row>
    <row r="809" ht="12.75" customHeight="1">
      <c r="A809" s="107"/>
      <c r="B809" s="107"/>
      <c r="C809" s="107"/>
      <c r="D809" s="102"/>
      <c r="E809" s="107"/>
      <c r="F809" s="108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10"/>
      <c r="V809" s="110"/>
    </row>
    <row r="810" ht="12.75" customHeight="1">
      <c r="A810" s="107"/>
      <c r="B810" s="107"/>
      <c r="C810" s="107"/>
      <c r="D810" s="102"/>
      <c r="E810" s="107"/>
      <c r="F810" s="108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10"/>
      <c r="V810" s="110"/>
    </row>
    <row r="811" ht="12.75" customHeight="1">
      <c r="A811" s="107"/>
      <c r="B811" s="107"/>
      <c r="C811" s="107"/>
      <c r="D811" s="102"/>
      <c r="E811" s="107"/>
      <c r="F811" s="108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10"/>
      <c r="V811" s="110"/>
    </row>
    <row r="812" ht="12.75" customHeight="1">
      <c r="A812" s="107"/>
      <c r="B812" s="107"/>
      <c r="C812" s="107"/>
      <c r="D812" s="102"/>
      <c r="E812" s="107"/>
      <c r="F812" s="108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10"/>
      <c r="V812" s="110"/>
    </row>
    <row r="813" ht="12.75" customHeight="1">
      <c r="A813" s="107"/>
      <c r="B813" s="107"/>
      <c r="C813" s="107"/>
      <c r="D813" s="102"/>
      <c r="E813" s="107"/>
      <c r="F813" s="108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10"/>
      <c r="V813" s="110"/>
    </row>
    <row r="814" ht="12.75" customHeight="1">
      <c r="A814" s="107"/>
      <c r="B814" s="107"/>
      <c r="C814" s="107"/>
      <c r="D814" s="102"/>
      <c r="E814" s="107"/>
      <c r="F814" s="108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10"/>
      <c r="V814" s="110"/>
    </row>
    <row r="815" ht="12.75" customHeight="1">
      <c r="A815" s="107"/>
      <c r="B815" s="107"/>
      <c r="C815" s="107"/>
      <c r="D815" s="102"/>
      <c r="E815" s="107"/>
      <c r="F815" s="108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10"/>
      <c r="V815" s="110"/>
    </row>
    <row r="816" ht="12.75" customHeight="1">
      <c r="A816" s="107"/>
      <c r="B816" s="107"/>
      <c r="C816" s="107"/>
      <c r="D816" s="102"/>
      <c r="E816" s="107"/>
      <c r="F816" s="108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10"/>
      <c r="V816" s="110"/>
    </row>
    <row r="817" ht="12.75" customHeight="1">
      <c r="A817" s="107"/>
      <c r="B817" s="107"/>
      <c r="C817" s="107"/>
      <c r="D817" s="102"/>
      <c r="E817" s="107"/>
      <c r="F817" s="108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10"/>
      <c r="V817" s="110"/>
    </row>
    <row r="818" ht="12.75" customHeight="1">
      <c r="A818" s="107"/>
      <c r="B818" s="107"/>
      <c r="C818" s="107"/>
      <c r="D818" s="102"/>
      <c r="E818" s="107"/>
      <c r="F818" s="108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10"/>
      <c r="V818" s="110"/>
    </row>
    <row r="819" ht="12.75" customHeight="1">
      <c r="A819" s="107"/>
      <c r="B819" s="107"/>
      <c r="C819" s="107"/>
      <c r="D819" s="102"/>
      <c r="E819" s="107"/>
      <c r="F819" s="108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10"/>
      <c r="V819" s="110"/>
    </row>
    <row r="820" ht="12.75" customHeight="1">
      <c r="A820" s="107"/>
      <c r="B820" s="107"/>
      <c r="C820" s="107"/>
      <c r="D820" s="102"/>
      <c r="E820" s="107"/>
      <c r="F820" s="108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10"/>
      <c r="V820" s="110"/>
    </row>
    <row r="821" ht="12.75" customHeight="1">
      <c r="A821" s="107"/>
      <c r="B821" s="107"/>
      <c r="C821" s="107"/>
      <c r="D821" s="102"/>
      <c r="E821" s="107"/>
      <c r="F821" s="108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10"/>
      <c r="V821" s="110"/>
    </row>
    <row r="822" ht="12.75" customHeight="1">
      <c r="A822" s="107"/>
      <c r="B822" s="107"/>
      <c r="C822" s="107"/>
      <c r="D822" s="102"/>
      <c r="E822" s="107"/>
      <c r="F822" s="108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10"/>
      <c r="V822" s="110"/>
    </row>
    <row r="823" ht="12.75" customHeight="1">
      <c r="A823" s="107"/>
      <c r="B823" s="107"/>
      <c r="C823" s="107"/>
      <c r="D823" s="102"/>
      <c r="E823" s="107"/>
      <c r="F823" s="108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10"/>
      <c r="V823" s="110"/>
    </row>
    <row r="824" ht="12.75" customHeight="1">
      <c r="A824" s="107"/>
      <c r="B824" s="107"/>
      <c r="C824" s="107"/>
      <c r="D824" s="102"/>
      <c r="E824" s="107"/>
      <c r="F824" s="108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10"/>
      <c r="V824" s="110"/>
    </row>
    <row r="825" ht="12.75" customHeight="1">
      <c r="A825" s="107"/>
      <c r="B825" s="107"/>
      <c r="C825" s="107"/>
      <c r="D825" s="102"/>
      <c r="E825" s="107"/>
      <c r="F825" s="108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10"/>
      <c r="V825" s="110"/>
    </row>
    <row r="826" ht="12.75" customHeight="1">
      <c r="A826" s="107"/>
      <c r="B826" s="107"/>
      <c r="C826" s="107"/>
      <c r="D826" s="102"/>
      <c r="E826" s="107"/>
      <c r="F826" s="108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10"/>
      <c r="V826" s="110"/>
    </row>
    <row r="827" ht="12.75" customHeight="1">
      <c r="A827" s="107"/>
      <c r="B827" s="107"/>
      <c r="C827" s="107"/>
      <c r="D827" s="102"/>
      <c r="E827" s="107"/>
      <c r="F827" s="108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10"/>
      <c r="V827" s="110"/>
    </row>
    <row r="828" ht="12.75" customHeight="1">
      <c r="A828" s="107"/>
      <c r="B828" s="107"/>
      <c r="C828" s="107"/>
      <c r="D828" s="102"/>
      <c r="E828" s="107"/>
      <c r="F828" s="108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10"/>
      <c r="V828" s="110"/>
    </row>
    <row r="829" ht="12.75" customHeight="1">
      <c r="A829" s="107"/>
      <c r="B829" s="107"/>
      <c r="C829" s="107"/>
      <c r="D829" s="102"/>
      <c r="E829" s="107"/>
      <c r="F829" s="108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10"/>
      <c r="V829" s="110"/>
    </row>
    <row r="830" ht="12.75" customHeight="1">
      <c r="A830" s="107"/>
      <c r="B830" s="107"/>
      <c r="C830" s="107"/>
      <c r="D830" s="102"/>
      <c r="E830" s="107"/>
      <c r="F830" s="108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10"/>
      <c r="V830" s="110"/>
    </row>
    <row r="831" ht="12.75" customHeight="1">
      <c r="A831" s="107"/>
      <c r="B831" s="107"/>
      <c r="C831" s="107"/>
      <c r="D831" s="102"/>
      <c r="E831" s="107"/>
      <c r="F831" s="108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10"/>
      <c r="V831" s="110"/>
    </row>
    <row r="832" ht="12.75" customHeight="1">
      <c r="A832" s="107"/>
      <c r="B832" s="107"/>
      <c r="C832" s="107"/>
      <c r="D832" s="102"/>
      <c r="E832" s="107"/>
      <c r="F832" s="108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10"/>
      <c r="V832" s="110"/>
    </row>
    <row r="833" ht="12.75" customHeight="1">
      <c r="A833" s="107"/>
      <c r="B833" s="107"/>
      <c r="C833" s="107"/>
      <c r="D833" s="102"/>
      <c r="E833" s="107"/>
      <c r="F833" s="108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10"/>
      <c r="V833" s="110"/>
    </row>
    <row r="834" ht="12.75" customHeight="1">
      <c r="A834" s="107"/>
      <c r="B834" s="107"/>
      <c r="C834" s="107"/>
      <c r="D834" s="102"/>
      <c r="E834" s="107"/>
      <c r="F834" s="108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10"/>
      <c r="V834" s="110"/>
    </row>
    <row r="835" ht="12.75" customHeight="1">
      <c r="A835" s="107"/>
      <c r="B835" s="107"/>
      <c r="C835" s="107"/>
      <c r="D835" s="102"/>
      <c r="E835" s="107"/>
      <c r="F835" s="108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10"/>
      <c r="V835" s="110"/>
    </row>
    <row r="836" ht="12.75" customHeight="1">
      <c r="A836" s="107"/>
      <c r="B836" s="107"/>
      <c r="C836" s="107"/>
      <c r="D836" s="102"/>
      <c r="E836" s="107"/>
      <c r="F836" s="108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10"/>
      <c r="V836" s="110"/>
    </row>
    <row r="837" ht="12.75" customHeight="1">
      <c r="A837" s="107"/>
      <c r="B837" s="107"/>
      <c r="C837" s="107"/>
      <c r="D837" s="102"/>
      <c r="E837" s="107"/>
      <c r="F837" s="108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10"/>
      <c r="V837" s="110"/>
    </row>
    <row r="838" ht="12.75" customHeight="1">
      <c r="A838" s="107"/>
      <c r="B838" s="107"/>
      <c r="C838" s="107"/>
      <c r="D838" s="102"/>
      <c r="E838" s="107"/>
      <c r="F838" s="108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10"/>
      <c r="V838" s="110"/>
    </row>
    <row r="839" ht="12.75" customHeight="1">
      <c r="A839" s="107"/>
      <c r="B839" s="107"/>
      <c r="C839" s="107"/>
      <c r="D839" s="102"/>
      <c r="E839" s="107"/>
      <c r="F839" s="108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10"/>
      <c r="V839" s="110"/>
    </row>
    <row r="840" ht="12.75" customHeight="1">
      <c r="A840" s="107"/>
      <c r="B840" s="107"/>
      <c r="C840" s="107"/>
      <c r="D840" s="102"/>
      <c r="E840" s="107"/>
      <c r="F840" s="108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10"/>
      <c r="V840" s="110"/>
    </row>
    <row r="841" ht="12.75" customHeight="1">
      <c r="A841" s="107"/>
      <c r="B841" s="107"/>
      <c r="C841" s="107"/>
      <c r="D841" s="102"/>
      <c r="E841" s="107"/>
      <c r="F841" s="108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10"/>
      <c r="V841" s="110"/>
    </row>
    <row r="842" ht="12.75" customHeight="1">
      <c r="A842" s="107"/>
      <c r="B842" s="107"/>
      <c r="C842" s="107"/>
      <c r="D842" s="102"/>
      <c r="E842" s="107"/>
      <c r="F842" s="108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10"/>
      <c r="V842" s="110"/>
    </row>
    <row r="843" ht="12.75" customHeight="1">
      <c r="A843" s="107"/>
      <c r="B843" s="107"/>
      <c r="C843" s="107"/>
      <c r="D843" s="102"/>
      <c r="E843" s="107"/>
      <c r="F843" s="108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10"/>
      <c r="V843" s="110"/>
    </row>
    <row r="844" ht="12.75" customHeight="1">
      <c r="A844" s="107"/>
      <c r="B844" s="107"/>
      <c r="C844" s="107"/>
      <c r="D844" s="102"/>
      <c r="E844" s="107"/>
      <c r="F844" s="108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10"/>
      <c r="V844" s="110"/>
    </row>
    <row r="845" ht="12.75" customHeight="1">
      <c r="A845" s="107"/>
      <c r="B845" s="107"/>
      <c r="C845" s="107"/>
      <c r="D845" s="102"/>
      <c r="E845" s="107"/>
      <c r="F845" s="108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10"/>
      <c r="V845" s="110"/>
    </row>
    <row r="846" ht="12.75" customHeight="1">
      <c r="A846" s="107"/>
      <c r="B846" s="107"/>
      <c r="C846" s="107"/>
      <c r="D846" s="102"/>
      <c r="E846" s="107"/>
      <c r="F846" s="108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10"/>
      <c r="V846" s="110"/>
    </row>
    <row r="847" ht="12.75" customHeight="1">
      <c r="A847" s="107"/>
      <c r="B847" s="107"/>
      <c r="C847" s="107"/>
      <c r="D847" s="102"/>
      <c r="E847" s="107"/>
      <c r="F847" s="108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10"/>
      <c r="V847" s="110"/>
    </row>
    <row r="848" ht="12.75" customHeight="1">
      <c r="A848" s="107"/>
      <c r="B848" s="107"/>
      <c r="C848" s="107"/>
      <c r="D848" s="102"/>
      <c r="E848" s="107"/>
      <c r="F848" s="108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10"/>
      <c r="V848" s="110"/>
    </row>
    <row r="849" ht="12.75" customHeight="1">
      <c r="A849" s="107"/>
      <c r="B849" s="107"/>
      <c r="C849" s="107"/>
      <c r="D849" s="102"/>
      <c r="E849" s="107"/>
      <c r="F849" s="108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10"/>
      <c r="V849" s="110"/>
    </row>
    <row r="850" ht="12.75" customHeight="1">
      <c r="A850" s="107"/>
      <c r="B850" s="107"/>
      <c r="C850" s="107"/>
      <c r="D850" s="102"/>
      <c r="E850" s="107"/>
      <c r="F850" s="108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10"/>
      <c r="V850" s="110"/>
    </row>
    <row r="851" ht="12.75" customHeight="1">
      <c r="A851" s="107"/>
      <c r="B851" s="107"/>
      <c r="C851" s="107"/>
      <c r="D851" s="102"/>
      <c r="E851" s="107"/>
      <c r="F851" s="108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10"/>
      <c r="V851" s="110"/>
    </row>
    <row r="852" ht="12.75" customHeight="1">
      <c r="A852" s="107"/>
      <c r="B852" s="107"/>
      <c r="C852" s="107"/>
      <c r="D852" s="102"/>
      <c r="E852" s="107"/>
      <c r="F852" s="108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10"/>
      <c r="V852" s="110"/>
    </row>
    <row r="853" ht="12.75" customHeight="1">
      <c r="A853" s="107"/>
      <c r="B853" s="107"/>
      <c r="C853" s="107"/>
      <c r="D853" s="102"/>
      <c r="E853" s="107"/>
      <c r="F853" s="108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10"/>
      <c r="V853" s="110"/>
    </row>
    <row r="854" ht="12.75" customHeight="1">
      <c r="A854" s="107"/>
      <c r="B854" s="107"/>
      <c r="C854" s="107"/>
      <c r="D854" s="102"/>
      <c r="E854" s="107"/>
      <c r="F854" s="108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10"/>
      <c r="V854" s="110"/>
    </row>
    <row r="855" ht="12.75" customHeight="1">
      <c r="A855" s="107"/>
      <c r="B855" s="107"/>
      <c r="C855" s="107"/>
      <c r="D855" s="102"/>
      <c r="E855" s="107"/>
      <c r="F855" s="108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10"/>
      <c r="V855" s="110"/>
    </row>
    <row r="856" ht="12.75" customHeight="1">
      <c r="A856" s="107"/>
      <c r="B856" s="107"/>
      <c r="C856" s="107"/>
      <c r="D856" s="102"/>
      <c r="E856" s="107"/>
      <c r="F856" s="108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10"/>
      <c r="V856" s="110"/>
    </row>
    <row r="857" ht="12.75" customHeight="1">
      <c r="A857" s="107"/>
      <c r="B857" s="107"/>
      <c r="C857" s="107"/>
      <c r="D857" s="102"/>
      <c r="E857" s="107"/>
      <c r="F857" s="108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10"/>
      <c r="V857" s="110"/>
    </row>
    <row r="858" ht="12.75" customHeight="1">
      <c r="A858" s="107"/>
      <c r="B858" s="107"/>
      <c r="C858" s="107"/>
      <c r="D858" s="102"/>
      <c r="E858" s="107"/>
      <c r="F858" s="108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10"/>
      <c r="V858" s="110"/>
    </row>
    <row r="859" ht="12.75" customHeight="1">
      <c r="A859" s="107"/>
      <c r="B859" s="107"/>
      <c r="C859" s="107"/>
      <c r="D859" s="102"/>
      <c r="E859" s="107"/>
      <c r="F859" s="108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10"/>
      <c r="V859" s="110"/>
    </row>
    <row r="860" ht="12.75" customHeight="1">
      <c r="A860" s="107"/>
      <c r="B860" s="107"/>
      <c r="C860" s="107"/>
      <c r="D860" s="102"/>
      <c r="E860" s="107"/>
      <c r="F860" s="108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10"/>
      <c r="V860" s="110"/>
    </row>
    <row r="861" ht="12.75" customHeight="1">
      <c r="A861" s="107"/>
      <c r="B861" s="107"/>
      <c r="C861" s="107"/>
      <c r="D861" s="102"/>
      <c r="E861" s="107"/>
      <c r="F861" s="108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10"/>
      <c r="V861" s="110"/>
    </row>
    <row r="862" ht="12.75" customHeight="1">
      <c r="A862" s="107"/>
      <c r="B862" s="107"/>
      <c r="C862" s="107"/>
      <c r="D862" s="102"/>
      <c r="E862" s="107"/>
      <c r="F862" s="108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10"/>
      <c r="V862" s="110"/>
    </row>
    <row r="863" ht="12.75" customHeight="1">
      <c r="A863" s="107"/>
      <c r="B863" s="107"/>
      <c r="C863" s="107"/>
      <c r="D863" s="102"/>
      <c r="E863" s="107"/>
      <c r="F863" s="108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10"/>
      <c r="V863" s="110"/>
    </row>
    <row r="864" ht="12.75" customHeight="1">
      <c r="A864" s="107"/>
      <c r="B864" s="107"/>
      <c r="C864" s="107"/>
      <c r="D864" s="102"/>
      <c r="E864" s="107"/>
      <c r="F864" s="108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10"/>
      <c r="V864" s="110"/>
    </row>
    <row r="865" ht="12.75" customHeight="1">
      <c r="A865" s="107"/>
      <c r="B865" s="107"/>
      <c r="C865" s="107"/>
      <c r="D865" s="102"/>
      <c r="E865" s="107"/>
      <c r="F865" s="108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10"/>
      <c r="V865" s="110"/>
    </row>
    <row r="866" ht="12.75" customHeight="1">
      <c r="A866" s="107"/>
      <c r="B866" s="107"/>
      <c r="C866" s="107"/>
      <c r="D866" s="102"/>
      <c r="E866" s="107"/>
      <c r="F866" s="108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10"/>
      <c r="V866" s="110"/>
    </row>
    <row r="867" ht="12.75" customHeight="1">
      <c r="A867" s="107"/>
      <c r="B867" s="107"/>
      <c r="C867" s="107"/>
      <c r="D867" s="102"/>
      <c r="E867" s="107"/>
      <c r="F867" s="108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10"/>
      <c r="V867" s="110"/>
    </row>
    <row r="868" ht="12.75" customHeight="1">
      <c r="A868" s="107"/>
      <c r="B868" s="107"/>
      <c r="C868" s="107"/>
      <c r="D868" s="102"/>
      <c r="E868" s="107"/>
      <c r="F868" s="108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10"/>
      <c r="V868" s="110"/>
    </row>
    <row r="869" ht="12.75" customHeight="1">
      <c r="A869" s="107"/>
      <c r="B869" s="107"/>
      <c r="C869" s="107"/>
      <c r="D869" s="102"/>
      <c r="E869" s="107"/>
      <c r="F869" s="108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10"/>
      <c r="V869" s="110"/>
    </row>
    <row r="870" ht="12.75" customHeight="1">
      <c r="A870" s="107"/>
      <c r="B870" s="107"/>
      <c r="C870" s="107"/>
      <c r="D870" s="102"/>
      <c r="E870" s="107"/>
      <c r="F870" s="108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10"/>
      <c r="V870" s="110"/>
    </row>
    <row r="871" ht="12.75" customHeight="1">
      <c r="A871" s="107"/>
      <c r="B871" s="107"/>
      <c r="C871" s="107"/>
      <c r="D871" s="102"/>
      <c r="E871" s="107"/>
      <c r="F871" s="108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10"/>
      <c r="V871" s="110"/>
    </row>
    <row r="872" ht="12.75" customHeight="1">
      <c r="A872" s="107"/>
      <c r="B872" s="107"/>
      <c r="C872" s="107"/>
      <c r="D872" s="102"/>
      <c r="E872" s="107"/>
      <c r="F872" s="108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10"/>
      <c r="V872" s="110"/>
    </row>
    <row r="873" ht="12.75" customHeight="1">
      <c r="A873" s="107"/>
      <c r="B873" s="107"/>
      <c r="C873" s="107"/>
      <c r="D873" s="102"/>
      <c r="E873" s="107"/>
      <c r="F873" s="108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10"/>
      <c r="V873" s="110"/>
    </row>
    <row r="874" ht="12.75" customHeight="1">
      <c r="A874" s="107"/>
      <c r="B874" s="107"/>
      <c r="C874" s="107"/>
      <c r="D874" s="102"/>
      <c r="E874" s="107"/>
      <c r="F874" s="108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10"/>
      <c r="V874" s="110"/>
    </row>
    <row r="875" ht="12.75" customHeight="1">
      <c r="A875" s="107"/>
      <c r="B875" s="107"/>
      <c r="C875" s="107"/>
      <c r="D875" s="102"/>
      <c r="E875" s="107"/>
      <c r="F875" s="108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10"/>
      <c r="V875" s="110"/>
    </row>
    <row r="876" ht="12.75" customHeight="1">
      <c r="A876" s="107"/>
      <c r="B876" s="107"/>
      <c r="C876" s="107"/>
      <c r="D876" s="102"/>
      <c r="E876" s="107"/>
      <c r="F876" s="108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10"/>
      <c r="V876" s="110"/>
    </row>
    <row r="877" ht="12.75" customHeight="1">
      <c r="A877" s="107"/>
      <c r="B877" s="107"/>
      <c r="C877" s="107"/>
      <c r="D877" s="102"/>
      <c r="E877" s="107"/>
      <c r="F877" s="108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10"/>
      <c r="V877" s="110"/>
    </row>
    <row r="878" ht="12.75" customHeight="1">
      <c r="A878" s="107"/>
      <c r="B878" s="107"/>
      <c r="C878" s="107"/>
      <c r="D878" s="102"/>
      <c r="E878" s="107"/>
      <c r="F878" s="108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10"/>
      <c r="V878" s="110"/>
    </row>
    <row r="879" ht="12.75" customHeight="1">
      <c r="A879" s="107"/>
      <c r="B879" s="107"/>
      <c r="C879" s="107"/>
      <c r="D879" s="102"/>
      <c r="E879" s="107"/>
      <c r="F879" s="108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10"/>
      <c r="V879" s="110"/>
    </row>
    <row r="880" ht="12.75" customHeight="1">
      <c r="A880" s="107"/>
      <c r="B880" s="107"/>
      <c r="C880" s="107"/>
      <c r="D880" s="102"/>
      <c r="E880" s="107"/>
      <c r="F880" s="108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10"/>
      <c r="V880" s="110"/>
    </row>
    <row r="881" ht="12.75" customHeight="1">
      <c r="A881" s="107"/>
      <c r="B881" s="107"/>
      <c r="C881" s="107"/>
      <c r="D881" s="102"/>
      <c r="E881" s="107"/>
      <c r="F881" s="108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10"/>
      <c r="V881" s="110"/>
    </row>
    <row r="882" ht="12.75" customHeight="1">
      <c r="A882" s="107"/>
      <c r="B882" s="107"/>
      <c r="C882" s="107"/>
      <c r="D882" s="102"/>
      <c r="E882" s="107"/>
      <c r="F882" s="108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10"/>
      <c r="V882" s="110"/>
    </row>
    <row r="883" ht="12.75" customHeight="1">
      <c r="A883" s="107"/>
      <c r="B883" s="107"/>
      <c r="C883" s="107"/>
      <c r="D883" s="102"/>
      <c r="E883" s="107"/>
      <c r="F883" s="108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10"/>
      <c r="V883" s="110"/>
    </row>
    <row r="884" ht="12.75" customHeight="1">
      <c r="A884" s="107"/>
      <c r="B884" s="107"/>
      <c r="C884" s="107"/>
      <c r="D884" s="102"/>
      <c r="E884" s="107"/>
      <c r="F884" s="108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10"/>
      <c r="V884" s="110"/>
    </row>
    <row r="885" ht="12.75" customHeight="1">
      <c r="A885" s="107"/>
      <c r="B885" s="107"/>
      <c r="C885" s="107"/>
      <c r="D885" s="102"/>
      <c r="E885" s="107"/>
      <c r="F885" s="108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10"/>
      <c r="V885" s="110"/>
    </row>
    <row r="886" ht="12.75" customHeight="1">
      <c r="A886" s="107"/>
      <c r="B886" s="107"/>
      <c r="C886" s="107"/>
      <c r="D886" s="102"/>
      <c r="E886" s="107"/>
      <c r="F886" s="108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10"/>
      <c r="V886" s="110"/>
    </row>
    <row r="887" ht="12.75" customHeight="1">
      <c r="A887" s="107"/>
      <c r="B887" s="107"/>
      <c r="C887" s="107"/>
      <c r="D887" s="102"/>
      <c r="E887" s="107"/>
      <c r="F887" s="108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10"/>
      <c r="V887" s="110"/>
    </row>
    <row r="888" ht="12.75" customHeight="1">
      <c r="A888" s="107"/>
      <c r="B888" s="107"/>
      <c r="C888" s="107"/>
      <c r="D888" s="102"/>
      <c r="E888" s="107"/>
      <c r="F888" s="108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10"/>
      <c r="V888" s="110"/>
    </row>
    <row r="889" ht="12.75" customHeight="1">
      <c r="A889" s="107"/>
      <c r="B889" s="107"/>
      <c r="C889" s="107"/>
      <c r="D889" s="102"/>
      <c r="E889" s="107"/>
      <c r="F889" s="108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10"/>
      <c r="V889" s="110"/>
    </row>
    <row r="890" ht="12.75" customHeight="1">
      <c r="A890" s="107"/>
      <c r="B890" s="107"/>
      <c r="C890" s="107"/>
      <c r="D890" s="102"/>
      <c r="E890" s="107"/>
      <c r="F890" s="108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10"/>
      <c r="V890" s="110"/>
    </row>
    <row r="891" ht="12.75" customHeight="1">
      <c r="A891" s="107"/>
      <c r="B891" s="107"/>
      <c r="C891" s="107"/>
      <c r="D891" s="102"/>
      <c r="E891" s="107"/>
      <c r="F891" s="108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10"/>
      <c r="V891" s="110"/>
    </row>
    <row r="892" ht="12.75" customHeight="1">
      <c r="A892" s="107"/>
      <c r="B892" s="107"/>
      <c r="C892" s="107"/>
      <c r="D892" s="102"/>
      <c r="E892" s="107"/>
      <c r="F892" s="108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10"/>
      <c r="V892" s="110"/>
    </row>
    <row r="893" ht="12.75" customHeight="1">
      <c r="A893" s="107"/>
      <c r="B893" s="107"/>
      <c r="C893" s="107"/>
      <c r="D893" s="102"/>
      <c r="E893" s="107"/>
      <c r="F893" s="108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10"/>
      <c r="V893" s="110"/>
    </row>
    <row r="894" ht="12.75" customHeight="1">
      <c r="A894" s="107"/>
      <c r="B894" s="107"/>
      <c r="C894" s="107"/>
      <c r="D894" s="102"/>
      <c r="E894" s="107"/>
      <c r="F894" s="108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10"/>
      <c r="V894" s="110"/>
    </row>
    <row r="895" ht="12.75" customHeight="1">
      <c r="A895" s="107"/>
      <c r="B895" s="107"/>
      <c r="C895" s="107"/>
      <c r="D895" s="102"/>
      <c r="E895" s="107"/>
      <c r="F895" s="108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10"/>
      <c r="V895" s="110"/>
    </row>
    <row r="896" ht="12.75" customHeight="1">
      <c r="A896" s="107"/>
      <c r="B896" s="107"/>
      <c r="C896" s="107"/>
      <c r="D896" s="102"/>
      <c r="E896" s="107"/>
      <c r="F896" s="108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10"/>
      <c r="V896" s="110"/>
    </row>
    <row r="897" ht="12.75" customHeight="1">
      <c r="A897" s="107"/>
      <c r="B897" s="107"/>
      <c r="C897" s="107"/>
      <c r="D897" s="102"/>
      <c r="E897" s="107"/>
      <c r="F897" s="108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10"/>
      <c r="V897" s="110"/>
    </row>
    <row r="898" ht="12.75" customHeight="1">
      <c r="A898" s="107"/>
      <c r="B898" s="107"/>
      <c r="C898" s="107"/>
      <c r="D898" s="102"/>
      <c r="E898" s="107"/>
      <c r="F898" s="108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10"/>
      <c r="V898" s="110"/>
    </row>
    <row r="899" ht="12.75" customHeight="1">
      <c r="A899" s="107"/>
      <c r="B899" s="107"/>
      <c r="C899" s="107"/>
      <c r="D899" s="102"/>
      <c r="E899" s="107"/>
      <c r="F899" s="108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10"/>
      <c r="V899" s="110"/>
    </row>
    <row r="900" ht="12.75" customHeight="1">
      <c r="A900" s="107"/>
      <c r="B900" s="107"/>
      <c r="C900" s="107"/>
      <c r="D900" s="102"/>
      <c r="E900" s="107"/>
      <c r="F900" s="108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10"/>
      <c r="V900" s="110"/>
    </row>
    <row r="901" ht="12.75" customHeight="1">
      <c r="A901" s="107"/>
      <c r="B901" s="107"/>
      <c r="C901" s="107"/>
      <c r="D901" s="102"/>
      <c r="E901" s="107"/>
      <c r="F901" s="108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10"/>
      <c r="V901" s="110"/>
    </row>
    <row r="902" ht="12.75" customHeight="1">
      <c r="A902" s="107"/>
      <c r="B902" s="107"/>
      <c r="C902" s="107"/>
      <c r="D902" s="102"/>
      <c r="E902" s="107"/>
      <c r="F902" s="108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10"/>
      <c r="V902" s="110"/>
    </row>
    <row r="903" ht="12.75" customHeight="1">
      <c r="A903" s="107"/>
      <c r="B903" s="107"/>
      <c r="C903" s="107"/>
      <c r="D903" s="102"/>
      <c r="E903" s="107"/>
      <c r="F903" s="108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10"/>
      <c r="V903" s="110"/>
    </row>
    <row r="904" ht="12.75" customHeight="1">
      <c r="A904" s="107"/>
      <c r="B904" s="107"/>
      <c r="C904" s="107"/>
      <c r="D904" s="102"/>
      <c r="E904" s="107"/>
      <c r="F904" s="108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10"/>
      <c r="V904" s="110"/>
    </row>
    <row r="905" ht="12.75" customHeight="1">
      <c r="A905" s="107"/>
      <c r="B905" s="107"/>
      <c r="C905" s="107"/>
      <c r="D905" s="102"/>
      <c r="E905" s="107"/>
      <c r="F905" s="108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10"/>
      <c r="V905" s="110"/>
    </row>
    <row r="906" ht="12.75" customHeight="1">
      <c r="A906" s="107"/>
      <c r="B906" s="107"/>
      <c r="C906" s="107"/>
      <c r="D906" s="102"/>
      <c r="E906" s="107"/>
      <c r="F906" s="108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10"/>
      <c r="V906" s="110"/>
    </row>
    <row r="907" ht="12.75" customHeight="1">
      <c r="A907" s="107"/>
      <c r="B907" s="107"/>
      <c r="C907" s="107"/>
      <c r="D907" s="102"/>
      <c r="E907" s="107"/>
      <c r="F907" s="108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10"/>
      <c r="V907" s="110"/>
    </row>
    <row r="908" ht="12.75" customHeight="1">
      <c r="A908" s="107"/>
      <c r="B908" s="107"/>
      <c r="C908" s="107"/>
      <c r="D908" s="102"/>
      <c r="E908" s="107"/>
      <c r="F908" s="108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10"/>
      <c r="V908" s="110"/>
    </row>
    <row r="909" ht="12.75" customHeight="1">
      <c r="A909" s="107"/>
      <c r="B909" s="107"/>
      <c r="C909" s="107"/>
      <c r="D909" s="102"/>
      <c r="E909" s="107"/>
      <c r="F909" s="108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10"/>
      <c r="V909" s="110"/>
    </row>
    <row r="910" ht="12.75" customHeight="1">
      <c r="A910" s="107"/>
      <c r="B910" s="107"/>
      <c r="C910" s="107"/>
      <c r="D910" s="102"/>
      <c r="E910" s="107"/>
      <c r="F910" s="108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10"/>
      <c r="V910" s="110"/>
    </row>
    <row r="911" ht="12.75" customHeight="1">
      <c r="A911" s="107"/>
      <c r="B911" s="107"/>
      <c r="C911" s="107"/>
      <c r="D911" s="102"/>
      <c r="E911" s="107"/>
      <c r="F911" s="108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10"/>
      <c r="V911" s="110"/>
    </row>
    <row r="912" ht="12.75" customHeight="1">
      <c r="A912" s="107"/>
      <c r="B912" s="107"/>
      <c r="C912" s="107"/>
      <c r="D912" s="102"/>
      <c r="E912" s="107"/>
      <c r="F912" s="108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10"/>
      <c r="V912" s="110"/>
    </row>
    <row r="913" ht="12.75" customHeight="1">
      <c r="A913" s="107"/>
      <c r="B913" s="107"/>
      <c r="C913" s="107"/>
      <c r="D913" s="102"/>
      <c r="E913" s="107"/>
      <c r="F913" s="108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10"/>
      <c r="V913" s="110"/>
    </row>
    <row r="914" ht="12.75" customHeight="1">
      <c r="A914" s="107"/>
      <c r="B914" s="107"/>
      <c r="C914" s="107"/>
      <c r="D914" s="102"/>
      <c r="E914" s="107"/>
      <c r="F914" s="108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10"/>
      <c r="V914" s="110"/>
    </row>
    <row r="915" ht="12.75" customHeight="1">
      <c r="A915" s="107"/>
      <c r="B915" s="107"/>
      <c r="C915" s="107"/>
      <c r="D915" s="102"/>
      <c r="E915" s="107"/>
      <c r="F915" s="108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10"/>
      <c r="V915" s="110"/>
    </row>
    <row r="916" ht="12.75" customHeight="1">
      <c r="A916" s="107"/>
      <c r="B916" s="107"/>
      <c r="C916" s="107"/>
      <c r="D916" s="102"/>
      <c r="E916" s="107"/>
      <c r="F916" s="108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10"/>
      <c r="V916" s="110"/>
    </row>
    <row r="917" ht="12.75" customHeight="1">
      <c r="A917" s="107"/>
      <c r="B917" s="107"/>
      <c r="C917" s="107"/>
      <c r="D917" s="102"/>
      <c r="E917" s="107"/>
      <c r="F917" s="108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10"/>
      <c r="V917" s="110"/>
    </row>
    <row r="918" ht="12.75" customHeight="1">
      <c r="A918" s="107"/>
      <c r="B918" s="107"/>
      <c r="C918" s="107"/>
      <c r="D918" s="102"/>
      <c r="E918" s="107"/>
      <c r="F918" s="108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10"/>
      <c r="V918" s="110"/>
    </row>
    <row r="919" ht="12.75" customHeight="1">
      <c r="A919" s="107"/>
      <c r="B919" s="107"/>
      <c r="C919" s="107"/>
      <c r="D919" s="102"/>
      <c r="E919" s="107"/>
      <c r="F919" s="108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10"/>
      <c r="V919" s="110"/>
    </row>
    <row r="920" ht="12.75" customHeight="1">
      <c r="A920" s="107"/>
      <c r="B920" s="107"/>
      <c r="C920" s="107"/>
      <c r="D920" s="102"/>
      <c r="E920" s="107"/>
      <c r="F920" s="108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10"/>
      <c r="V920" s="110"/>
    </row>
    <row r="921" ht="12.75" customHeight="1">
      <c r="A921" s="107"/>
      <c r="B921" s="107"/>
      <c r="C921" s="107"/>
      <c r="D921" s="102"/>
      <c r="E921" s="107"/>
      <c r="F921" s="108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10"/>
      <c r="V921" s="110"/>
    </row>
    <row r="922" ht="12.75" customHeight="1">
      <c r="A922" s="107"/>
      <c r="B922" s="107"/>
      <c r="C922" s="107"/>
      <c r="D922" s="102"/>
      <c r="E922" s="107"/>
      <c r="F922" s="108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10"/>
      <c r="V922" s="110"/>
    </row>
    <row r="923" ht="12.75" customHeight="1">
      <c r="A923" s="107"/>
      <c r="B923" s="107"/>
      <c r="C923" s="107"/>
      <c r="D923" s="102"/>
      <c r="E923" s="107"/>
      <c r="F923" s="108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10"/>
      <c r="V923" s="110"/>
    </row>
    <row r="924" ht="12.75" customHeight="1">
      <c r="A924" s="107"/>
      <c r="B924" s="107"/>
      <c r="C924" s="107"/>
      <c r="D924" s="102"/>
      <c r="E924" s="107"/>
      <c r="F924" s="108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10"/>
      <c r="V924" s="110"/>
    </row>
    <row r="925" ht="12.75" customHeight="1">
      <c r="A925" s="107"/>
      <c r="B925" s="107"/>
      <c r="C925" s="107"/>
      <c r="D925" s="102"/>
      <c r="E925" s="107"/>
      <c r="F925" s="108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10"/>
      <c r="V925" s="110"/>
    </row>
    <row r="926" ht="12.75" customHeight="1">
      <c r="A926" s="107"/>
      <c r="B926" s="107"/>
      <c r="C926" s="107"/>
      <c r="D926" s="102"/>
      <c r="E926" s="107"/>
      <c r="F926" s="108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10"/>
      <c r="V926" s="110"/>
    </row>
    <row r="927" ht="12.75" customHeight="1">
      <c r="A927" s="107"/>
      <c r="B927" s="107"/>
      <c r="C927" s="107"/>
      <c r="D927" s="102"/>
      <c r="E927" s="107"/>
      <c r="F927" s="108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10"/>
      <c r="V927" s="110"/>
    </row>
    <row r="928" ht="12.75" customHeight="1">
      <c r="A928" s="107"/>
      <c r="B928" s="107"/>
      <c r="C928" s="107"/>
      <c r="D928" s="102"/>
      <c r="E928" s="107"/>
      <c r="F928" s="108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10"/>
      <c r="V928" s="110"/>
    </row>
    <row r="929" ht="12.75" customHeight="1">
      <c r="A929" s="107"/>
      <c r="B929" s="107"/>
      <c r="C929" s="107"/>
      <c r="D929" s="102"/>
      <c r="E929" s="107"/>
      <c r="F929" s="108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10"/>
      <c r="V929" s="110"/>
    </row>
    <row r="930" ht="12.75" customHeight="1">
      <c r="A930" s="107"/>
      <c r="B930" s="107"/>
      <c r="C930" s="107"/>
      <c r="D930" s="102"/>
      <c r="E930" s="107"/>
      <c r="F930" s="108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10"/>
      <c r="V930" s="110"/>
    </row>
    <row r="931" ht="12.75" customHeight="1">
      <c r="A931" s="107"/>
      <c r="B931" s="107"/>
      <c r="C931" s="107"/>
      <c r="D931" s="102"/>
      <c r="E931" s="107"/>
      <c r="F931" s="108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10"/>
      <c r="V931" s="110"/>
    </row>
    <row r="932" ht="12.75" customHeight="1">
      <c r="A932" s="107"/>
      <c r="B932" s="107"/>
      <c r="C932" s="107"/>
      <c r="D932" s="102"/>
      <c r="E932" s="107"/>
      <c r="F932" s="108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10"/>
      <c r="V932" s="110"/>
    </row>
    <row r="933" ht="12.75" customHeight="1">
      <c r="A933" s="107"/>
      <c r="B933" s="107"/>
      <c r="C933" s="107"/>
      <c r="D933" s="102"/>
      <c r="E933" s="107"/>
      <c r="F933" s="108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10"/>
      <c r="V933" s="110"/>
    </row>
    <row r="934" ht="12.75" customHeight="1">
      <c r="A934" s="107"/>
      <c r="B934" s="107"/>
      <c r="C934" s="107"/>
      <c r="D934" s="102"/>
      <c r="E934" s="107"/>
      <c r="F934" s="108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10"/>
      <c r="V934" s="110"/>
    </row>
    <row r="935" ht="12.75" customHeight="1">
      <c r="A935" s="107"/>
      <c r="B935" s="107"/>
      <c r="C935" s="107"/>
      <c r="D935" s="102"/>
      <c r="E935" s="107"/>
      <c r="F935" s="108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10"/>
      <c r="V935" s="110"/>
    </row>
    <row r="936" ht="12.75" customHeight="1">
      <c r="A936" s="107"/>
      <c r="B936" s="107"/>
      <c r="C936" s="107"/>
      <c r="D936" s="102"/>
      <c r="E936" s="107"/>
      <c r="F936" s="108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10"/>
      <c r="V936" s="110"/>
    </row>
    <row r="937" ht="12.75" customHeight="1">
      <c r="A937" s="107"/>
      <c r="B937" s="107"/>
      <c r="C937" s="107"/>
      <c r="D937" s="102"/>
      <c r="E937" s="107"/>
      <c r="F937" s="108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10"/>
      <c r="V937" s="110"/>
    </row>
    <row r="938" ht="12.75" customHeight="1">
      <c r="A938" s="107"/>
      <c r="B938" s="107"/>
      <c r="C938" s="107"/>
      <c r="D938" s="102"/>
      <c r="E938" s="107"/>
      <c r="F938" s="108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10"/>
      <c r="V938" s="110"/>
    </row>
    <row r="939" ht="12.75" customHeight="1">
      <c r="A939" s="107"/>
      <c r="B939" s="107"/>
      <c r="C939" s="107"/>
      <c r="D939" s="102"/>
      <c r="E939" s="107"/>
      <c r="F939" s="108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10"/>
      <c r="V939" s="110"/>
    </row>
    <row r="940" ht="12.75" customHeight="1">
      <c r="A940" s="107"/>
      <c r="B940" s="107"/>
      <c r="C940" s="107"/>
      <c r="D940" s="102"/>
      <c r="E940" s="107"/>
      <c r="F940" s="108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10"/>
      <c r="V940" s="110"/>
    </row>
    <row r="941" ht="12.75" customHeight="1">
      <c r="A941" s="107"/>
      <c r="B941" s="107"/>
      <c r="C941" s="107"/>
      <c r="D941" s="102"/>
      <c r="E941" s="107"/>
      <c r="F941" s="108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10"/>
      <c r="V941" s="110"/>
    </row>
    <row r="942" ht="12.75" customHeight="1">
      <c r="A942" s="107"/>
      <c r="B942" s="107"/>
      <c r="C942" s="107"/>
      <c r="D942" s="102"/>
      <c r="E942" s="107"/>
      <c r="F942" s="108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10"/>
      <c r="V942" s="110"/>
    </row>
    <row r="943" ht="12.75" customHeight="1">
      <c r="A943" s="107"/>
      <c r="B943" s="107"/>
      <c r="C943" s="107"/>
      <c r="D943" s="102"/>
      <c r="E943" s="107"/>
      <c r="F943" s="108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10"/>
      <c r="V943" s="110"/>
    </row>
    <row r="944" ht="12.75" customHeight="1">
      <c r="A944" s="107"/>
      <c r="B944" s="107"/>
      <c r="C944" s="107"/>
      <c r="D944" s="102"/>
      <c r="E944" s="107"/>
      <c r="F944" s="108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10"/>
      <c r="V944" s="110"/>
    </row>
    <row r="945" ht="12.75" customHeight="1">
      <c r="A945" s="107"/>
      <c r="B945" s="107"/>
      <c r="C945" s="107"/>
      <c r="D945" s="102"/>
      <c r="E945" s="107"/>
      <c r="F945" s="108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10"/>
      <c r="V945" s="110"/>
    </row>
    <row r="946" ht="12.75" customHeight="1">
      <c r="A946" s="107"/>
      <c r="B946" s="107"/>
      <c r="C946" s="107"/>
      <c r="D946" s="102"/>
      <c r="E946" s="107"/>
      <c r="F946" s="108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10"/>
      <c r="V946" s="110"/>
    </row>
    <row r="947" ht="12.75" customHeight="1">
      <c r="A947" s="107"/>
      <c r="B947" s="107"/>
      <c r="C947" s="107"/>
      <c r="D947" s="102"/>
      <c r="E947" s="107"/>
      <c r="F947" s="108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10"/>
      <c r="V947" s="110"/>
    </row>
    <row r="948" ht="12.75" customHeight="1">
      <c r="A948" s="107"/>
      <c r="B948" s="107"/>
      <c r="C948" s="107"/>
      <c r="D948" s="102"/>
      <c r="E948" s="107"/>
      <c r="F948" s="108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10"/>
      <c r="V948" s="110"/>
    </row>
    <row r="949" ht="12.75" customHeight="1">
      <c r="A949" s="107"/>
      <c r="B949" s="107"/>
      <c r="C949" s="107"/>
      <c r="D949" s="102"/>
      <c r="E949" s="107"/>
      <c r="F949" s="108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10"/>
      <c r="V949" s="110"/>
    </row>
    <row r="950" ht="12.75" customHeight="1">
      <c r="A950" s="107"/>
      <c r="B950" s="107"/>
      <c r="C950" s="107"/>
      <c r="D950" s="102"/>
      <c r="E950" s="107"/>
      <c r="F950" s="108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10"/>
      <c r="V950" s="110"/>
    </row>
    <row r="951" ht="12.75" customHeight="1">
      <c r="A951" s="107"/>
      <c r="B951" s="107"/>
      <c r="C951" s="107"/>
      <c r="D951" s="102"/>
      <c r="E951" s="107"/>
      <c r="F951" s="108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10"/>
      <c r="V951" s="110"/>
    </row>
    <row r="952" ht="12.75" customHeight="1">
      <c r="A952" s="107"/>
      <c r="B952" s="107"/>
      <c r="C952" s="107"/>
      <c r="D952" s="102"/>
      <c r="E952" s="107"/>
      <c r="F952" s="108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10"/>
      <c r="V952" s="110"/>
    </row>
    <row r="953" ht="12.75" customHeight="1">
      <c r="A953" s="107"/>
      <c r="B953" s="107"/>
      <c r="C953" s="107"/>
      <c r="D953" s="102"/>
      <c r="E953" s="107"/>
      <c r="F953" s="108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10"/>
      <c r="V953" s="110"/>
    </row>
    <row r="954" ht="12.75" customHeight="1">
      <c r="A954" s="107"/>
      <c r="B954" s="107"/>
      <c r="C954" s="107"/>
      <c r="D954" s="102"/>
      <c r="E954" s="107"/>
      <c r="F954" s="108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10"/>
      <c r="V954" s="110"/>
    </row>
    <row r="955" ht="12.75" customHeight="1">
      <c r="A955" s="107"/>
      <c r="B955" s="107"/>
      <c r="C955" s="107"/>
      <c r="D955" s="102"/>
      <c r="E955" s="107"/>
      <c r="F955" s="108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10"/>
      <c r="V955" s="110"/>
    </row>
    <row r="956" ht="12.75" customHeight="1">
      <c r="A956" s="107"/>
      <c r="B956" s="107"/>
      <c r="C956" s="107"/>
      <c r="D956" s="102"/>
      <c r="E956" s="107"/>
      <c r="F956" s="108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10"/>
      <c r="V956" s="110"/>
    </row>
    <row r="957" ht="12.75" customHeight="1">
      <c r="A957" s="107"/>
      <c r="B957" s="107"/>
      <c r="C957" s="107"/>
      <c r="D957" s="102"/>
      <c r="E957" s="107"/>
      <c r="F957" s="108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10"/>
      <c r="V957" s="110"/>
    </row>
    <row r="958" ht="12.75" customHeight="1">
      <c r="A958" s="107"/>
      <c r="B958" s="107"/>
      <c r="C958" s="107"/>
      <c r="D958" s="102"/>
      <c r="E958" s="107"/>
      <c r="F958" s="108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10"/>
      <c r="V958" s="110"/>
    </row>
    <row r="959" ht="12.75" customHeight="1">
      <c r="A959" s="107"/>
      <c r="B959" s="107"/>
      <c r="C959" s="107"/>
      <c r="D959" s="102"/>
      <c r="E959" s="107"/>
      <c r="F959" s="108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10"/>
      <c r="V959" s="110"/>
    </row>
    <row r="960" ht="12.75" customHeight="1">
      <c r="A960" s="107"/>
      <c r="B960" s="107"/>
      <c r="C960" s="107"/>
      <c r="D960" s="102"/>
      <c r="E960" s="107"/>
      <c r="F960" s="108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10"/>
      <c r="V960" s="110"/>
    </row>
    <row r="961" ht="12.75" customHeight="1">
      <c r="A961" s="107"/>
      <c r="B961" s="107"/>
      <c r="C961" s="107"/>
      <c r="D961" s="102"/>
      <c r="E961" s="107"/>
      <c r="F961" s="108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10"/>
      <c r="V961" s="110"/>
    </row>
    <row r="962" ht="12.75" customHeight="1">
      <c r="A962" s="107"/>
      <c r="B962" s="107"/>
      <c r="C962" s="107"/>
      <c r="D962" s="102"/>
      <c r="E962" s="107"/>
      <c r="F962" s="108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10"/>
      <c r="V962" s="110"/>
    </row>
    <row r="963" ht="12.75" customHeight="1">
      <c r="A963" s="107"/>
      <c r="B963" s="107"/>
      <c r="C963" s="107"/>
      <c r="D963" s="102"/>
      <c r="E963" s="107"/>
      <c r="F963" s="108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10"/>
      <c r="V963" s="110"/>
    </row>
    <row r="964" ht="12.75" customHeight="1">
      <c r="A964" s="107"/>
      <c r="B964" s="107"/>
      <c r="C964" s="107"/>
      <c r="D964" s="102"/>
      <c r="E964" s="107"/>
      <c r="F964" s="108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10"/>
      <c r="V964" s="110"/>
    </row>
    <row r="965" ht="12.75" customHeight="1">
      <c r="A965" s="107"/>
      <c r="B965" s="107"/>
      <c r="C965" s="107"/>
      <c r="D965" s="102"/>
      <c r="E965" s="107"/>
      <c r="F965" s="108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10"/>
      <c r="V965" s="110"/>
    </row>
    <row r="966" ht="12.75" customHeight="1">
      <c r="A966" s="107"/>
      <c r="B966" s="107"/>
      <c r="C966" s="107"/>
      <c r="D966" s="102"/>
      <c r="E966" s="107"/>
      <c r="F966" s="108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10"/>
      <c r="V966" s="110"/>
    </row>
    <row r="967" ht="12.75" customHeight="1">
      <c r="A967" s="107"/>
      <c r="B967" s="107"/>
      <c r="C967" s="107"/>
      <c r="D967" s="102"/>
      <c r="E967" s="107"/>
      <c r="F967" s="108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10"/>
      <c r="V967" s="110"/>
    </row>
    <row r="968" ht="12.75" customHeight="1">
      <c r="A968" s="107"/>
      <c r="B968" s="107"/>
      <c r="C968" s="107"/>
      <c r="D968" s="102"/>
      <c r="E968" s="107"/>
      <c r="F968" s="108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10"/>
      <c r="V968" s="110"/>
    </row>
    <row r="969" ht="12.75" customHeight="1">
      <c r="A969" s="107"/>
      <c r="B969" s="107"/>
      <c r="C969" s="107"/>
      <c r="D969" s="102"/>
      <c r="E969" s="107"/>
      <c r="F969" s="108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10"/>
      <c r="V969" s="110"/>
    </row>
    <row r="970" ht="12.75" customHeight="1">
      <c r="A970" s="107"/>
      <c r="B970" s="107"/>
      <c r="C970" s="107"/>
      <c r="D970" s="102"/>
      <c r="E970" s="107"/>
      <c r="F970" s="108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10"/>
      <c r="V970" s="110"/>
    </row>
    <row r="971" ht="12.75" customHeight="1">
      <c r="A971" s="107"/>
      <c r="B971" s="107"/>
      <c r="C971" s="107"/>
      <c r="D971" s="102"/>
      <c r="E971" s="107"/>
      <c r="F971" s="108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10"/>
      <c r="V971" s="110"/>
    </row>
    <row r="972" ht="12.75" customHeight="1">
      <c r="A972" s="107"/>
      <c r="B972" s="107"/>
      <c r="C972" s="107"/>
      <c r="D972" s="102"/>
      <c r="E972" s="107"/>
      <c r="F972" s="108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10"/>
      <c r="V972" s="110"/>
    </row>
    <row r="973" ht="12.75" customHeight="1">
      <c r="A973" s="107"/>
      <c r="B973" s="107"/>
      <c r="C973" s="107"/>
      <c r="D973" s="102"/>
      <c r="E973" s="107"/>
      <c r="F973" s="108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10"/>
      <c r="V973" s="110"/>
    </row>
    <row r="974" ht="12.75" customHeight="1">
      <c r="A974" s="107"/>
      <c r="B974" s="107"/>
      <c r="C974" s="107"/>
      <c r="D974" s="102"/>
      <c r="E974" s="107"/>
      <c r="F974" s="108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10"/>
      <c r="V974" s="110"/>
    </row>
    <row r="975" ht="12.75" customHeight="1">
      <c r="A975" s="107"/>
      <c r="B975" s="107"/>
      <c r="C975" s="107"/>
      <c r="D975" s="102"/>
      <c r="E975" s="107"/>
      <c r="F975" s="108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10"/>
      <c r="V975" s="110"/>
    </row>
    <row r="976" ht="12.75" customHeight="1">
      <c r="A976" s="107"/>
      <c r="B976" s="107"/>
      <c r="C976" s="107"/>
      <c r="D976" s="102"/>
      <c r="E976" s="107"/>
      <c r="F976" s="108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10"/>
      <c r="V976" s="110"/>
    </row>
    <row r="977" ht="12.75" customHeight="1">
      <c r="A977" s="107"/>
      <c r="B977" s="107"/>
      <c r="C977" s="107"/>
      <c r="D977" s="102"/>
      <c r="E977" s="107"/>
      <c r="F977" s="108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10"/>
      <c r="V977" s="110"/>
    </row>
    <row r="978" ht="12.75" customHeight="1">
      <c r="A978" s="107"/>
      <c r="B978" s="107"/>
      <c r="C978" s="107"/>
      <c r="D978" s="102"/>
      <c r="E978" s="107"/>
      <c r="F978" s="108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10"/>
      <c r="V978" s="110"/>
    </row>
    <row r="979" ht="12.75" customHeight="1">
      <c r="A979" s="107"/>
      <c r="B979" s="107"/>
      <c r="C979" s="107"/>
      <c r="D979" s="102"/>
      <c r="E979" s="107"/>
      <c r="F979" s="108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10"/>
      <c r="V979" s="110"/>
    </row>
    <row r="980" ht="12.75" customHeight="1">
      <c r="A980" s="107"/>
      <c r="B980" s="107"/>
      <c r="C980" s="107"/>
      <c r="D980" s="102"/>
      <c r="E980" s="107"/>
      <c r="F980" s="108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10"/>
      <c r="V980" s="110"/>
    </row>
    <row r="981" ht="12.75" customHeight="1">
      <c r="A981" s="107"/>
      <c r="B981" s="107"/>
      <c r="C981" s="107"/>
      <c r="D981" s="102"/>
      <c r="E981" s="107"/>
      <c r="F981" s="108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10"/>
      <c r="V981" s="110"/>
    </row>
    <row r="982" ht="12.75" customHeight="1">
      <c r="A982" s="107"/>
      <c r="B982" s="107"/>
      <c r="C982" s="107"/>
      <c r="D982" s="102"/>
      <c r="E982" s="107"/>
      <c r="F982" s="108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10"/>
      <c r="V982" s="110"/>
    </row>
    <row r="983" ht="12.75" customHeight="1">
      <c r="A983" s="107"/>
      <c r="B983" s="107"/>
      <c r="C983" s="107"/>
      <c r="D983" s="102"/>
      <c r="E983" s="107"/>
      <c r="F983" s="108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10"/>
      <c r="V983" s="110"/>
    </row>
    <row r="984" ht="12.75" customHeight="1">
      <c r="A984" s="107"/>
      <c r="B984" s="107"/>
      <c r="C984" s="107"/>
      <c r="D984" s="102"/>
      <c r="E984" s="107"/>
      <c r="F984" s="108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10"/>
      <c r="V984" s="110"/>
    </row>
    <row r="985" ht="12.75" customHeight="1">
      <c r="A985" s="107"/>
      <c r="B985" s="107"/>
      <c r="C985" s="107"/>
      <c r="D985" s="102"/>
      <c r="E985" s="107"/>
      <c r="F985" s="108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10"/>
      <c r="V985" s="110"/>
    </row>
    <row r="986" ht="12.75" customHeight="1">
      <c r="A986" s="107"/>
      <c r="B986" s="107"/>
      <c r="C986" s="107"/>
      <c r="D986" s="102"/>
      <c r="E986" s="107"/>
      <c r="F986" s="108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10"/>
      <c r="V986" s="110"/>
    </row>
    <row r="987" ht="12.75" customHeight="1">
      <c r="A987" s="107"/>
      <c r="B987" s="107"/>
      <c r="C987" s="107"/>
      <c r="D987" s="102"/>
      <c r="E987" s="107"/>
      <c r="F987" s="108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10"/>
      <c r="V987" s="110"/>
    </row>
    <row r="988" ht="12.75" customHeight="1">
      <c r="A988" s="107"/>
      <c r="B988" s="107"/>
      <c r="C988" s="107"/>
      <c r="D988" s="102"/>
      <c r="E988" s="107"/>
      <c r="F988" s="108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10"/>
      <c r="V988" s="110"/>
    </row>
    <row r="989" ht="12.75" customHeight="1">
      <c r="A989" s="107"/>
      <c r="B989" s="107"/>
      <c r="C989" s="107"/>
      <c r="D989" s="102"/>
      <c r="E989" s="107"/>
      <c r="F989" s="108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10"/>
      <c r="V989" s="110"/>
    </row>
    <row r="990" ht="12.75" customHeight="1">
      <c r="A990" s="107"/>
      <c r="B990" s="107"/>
      <c r="C990" s="107"/>
      <c r="D990" s="102"/>
      <c r="E990" s="107"/>
      <c r="F990" s="108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10"/>
      <c r="V990" s="110"/>
    </row>
    <row r="991" ht="12.75" customHeight="1">
      <c r="A991" s="107"/>
      <c r="B991" s="107"/>
      <c r="C991" s="107"/>
      <c r="D991" s="102"/>
      <c r="E991" s="107"/>
      <c r="F991" s="108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10"/>
      <c r="V991" s="110"/>
    </row>
    <row r="992" ht="12.75" customHeight="1">
      <c r="A992" s="107"/>
      <c r="B992" s="107"/>
      <c r="C992" s="107"/>
      <c r="D992" s="102"/>
      <c r="E992" s="107"/>
      <c r="F992" s="108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10"/>
      <c r="V992" s="110"/>
    </row>
    <row r="993" ht="12.75" customHeight="1">
      <c r="A993" s="107"/>
      <c r="B993" s="107"/>
      <c r="C993" s="107"/>
      <c r="D993" s="102"/>
      <c r="E993" s="107"/>
      <c r="F993" s="108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10"/>
      <c r="V993" s="110"/>
    </row>
    <row r="994" ht="12.75" customHeight="1">
      <c r="A994" s="107"/>
      <c r="B994" s="107"/>
      <c r="C994" s="107"/>
      <c r="D994" s="102"/>
      <c r="E994" s="107"/>
      <c r="F994" s="108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10"/>
      <c r="V994" s="110"/>
    </row>
    <row r="995" ht="12.75" customHeight="1">
      <c r="A995" s="107"/>
      <c r="B995" s="107"/>
      <c r="C995" s="107"/>
      <c r="D995" s="102"/>
      <c r="E995" s="107"/>
      <c r="F995" s="108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10"/>
      <c r="V995" s="110"/>
    </row>
    <row r="996" ht="12.75" customHeight="1">
      <c r="A996" s="107"/>
      <c r="B996" s="107"/>
      <c r="C996" s="107"/>
      <c r="D996" s="102"/>
      <c r="E996" s="107"/>
      <c r="F996" s="108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10"/>
      <c r="V996" s="110"/>
    </row>
    <row r="997" ht="12.75" customHeight="1">
      <c r="A997" s="107"/>
      <c r="B997" s="107"/>
      <c r="C997" s="107"/>
      <c r="D997" s="102"/>
      <c r="E997" s="107"/>
      <c r="F997" s="108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10"/>
      <c r="V997" s="110"/>
    </row>
    <row r="998" ht="12.75" customHeight="1">
      <c r="A998" s="107"/>
      <c r="B998" s="107"/>
      <c r="C998" s="107"/>
      <c r="D998" s="102"/>
      <c r="E998" s="107"/>
      <c r="F998" s="108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10"/>
      <c r="V998" s="110"/>
    </row>
    <row r="999" ht="12.75" customHeight="1">
      <c r="A999" s="107"/>
      <c r="B999" s="107"/>
      <c r="C999" s="107"/>
      <c r="D999" s="102"/>
      <c r="E999" s="107"/>
      <c r="F999" s="108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10"/>
      <c r="V999" s="110"/>
    </row>
    <row r="1000" ht="12.75" customHeight="1">
      <c r="A1000" s="107"/>
      <c r="B1000" s="107"/>
      <c r="C1000" s="107"/>
      <c r="D1000" s="102"/>
      <c r="E1000" s="107"/>
      <c r="F1000" s="108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10"/>
      <c r="V1000" s="110"/>
    </row>
    <row r="1001" ht="12.75" customHeight="1">
      <c r="A1001" s="107"/>
      <c r="B1001" s="107"/>
      <c r="C1001" s="107"/>
      <c r="D1001" s="102"/>
      <c r="E1001" s="107"/>
      <c r="F1001" s="108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10"/>
      <c r="V1001" s="110"/>
    </row>
    <row r="1002" ht="12.75" customHeight="1">
      <c r="A1002" s="107"/>
      <c r="B1002" s="107"/>
      <c r="C1002" s="107"/>
      <c r="D1002" s="102"/>
      <c r="E1002" s="107"/>
      <c r="F1002" s="108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10"/>
      <c r="V1002" s="110"/>
    </row>
    <row r="1003" ht="12.75" customHeight="1">
      <c r="A1003" s="107"/>
      <c r="B1003" s="107"/>
      <c r="C1003" s="107"/>
      <c r="D1003" s="102"/>
      <c r="E1003" s="107"/>
      <c r="F1003" s="108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10"/>
      <c r="V1003" s="110"/>
    </row>
    <row r="1004" ht="12.75" customHeight="1">
      <c r="A1004" s="107"/>
      <c r="B1004" s="107"/>
      <c r="C1004" s="107"/>
      <c r="D1004" s="102"/>
      <c r="E1004" s="107"/>
      <c r="F1004" s="108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10"/>
      <c r="V1004" s="110"/>
    </row>
    <row r="1005" ht="12.75" customHeight="1">
      <c r="A1005" s="107"/>
      <c r="B1005" s="107"/>
      <c r="C1005" s="107"/>
      <c r="D1005" s="102"/>
      <c r="E1005" s="107"/>
      <c r="F1005" s="108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10"/>
      <c r="V1005" s="110"/>
    </row>
    <row r="1006" ht="12.75" customHeight="1">
      <c r="A1006" s="107"/>
      <c r="B1006" s="107"/>
      <c r="C1006" s="107"/>
      <c r="D1006" s="102"/>
      <c r="E1006" s="107"/>
      <c r="F1006" s="108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10"/>
      <c r="V1006" s="110"/>
    </row>
    <row r="1007" ht="12.75" customHeight="1">
      <c r="A1007" s="107"/>
      <c r="B1007" s="107"/>
      <c r="C1007" s="107"/>
      <c r="D1007" s="102"/>
      <c r="E1007" s="107"/>
      <c r="F1007" s="108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10"/>
      <c r="V1007" s="110"/>
    </row>
    <row r="1008" ht="12.75" customHeight="1">
      <c r="A1008" s="107"/>
      <c r="B1008" s="107"/>
      <c r="C1008" s="107"/>
      <c r="D1008" s="102"/>
      <c r="E1008" s="107"/>
      <c r="F1008" s="108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10"/>
      <c r="V1008" s="110"/>
    </row>
    <row r="1009" ht="12.75" customHeight="1">
      <c r="A1009" s="107"/>
      <c r="B1009" s="107"/>
      <c r="C1009" s="107"/>
      <c r="D1009" s="102"/>
      <c r="E1009" s="107"/>
      <c r="F1009" s="108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10"/>
      <c r="V1009" s="110"/>
    </row>
    <row r="1010" ht="12.75" customHeight="1">
      <c r="A1010" s="107"/>
      <c r="B1010" s="107"/>
      <c r="C1010" s="107"/>
      <c r="D1010" s="102"/>
      <c r="E1010" s="107"/>
      <c r="F1010" s="108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10"/>
      <c r="V1010" s="110"/>
    </row>
    <row r="1011" ht="12.75" customHeight="1">
      <c r="A1011" s="107"/>
      <c r="B1011" s="107"/>
      <c r="C1011" s="107"/>
      <c r="D1011" s="102"/>
      <c r="E1011" s="107"/>
      <c r="F1011" s="108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10"/>
      <c r="V1011" s="110"/>
    </row>
    <row r="1012" ht="12.75" customHeight="1">
      <c r="A1012" s="107"/>
      <c r="B1012" s="107"/>
      <c r="C1012" s="107"/>
      <c r="D1012" s="102"/>
      <c r="E1012" s="107"/>
      <c r="F1012" s="108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10"/>
      <c r="V1012" s="110"/>
    </row>
    <row r="1013" ht="12.75" customHeight="1">
      <c r="A1013" s="107"/>
      <c r="B1013" s="107"/>
      <c r="C1013" s="107"/>
      <c r="D1013" s="102"/>
      <c r="E1013" s="107"/>
      <c r="F1013" s="108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10"/>
      <c r="V1013" s="110"/>
    </row>
    <row r="1014" ht="12.75" customHeight="1">
      <c r="A1014" s="107"/>
      <c r="B1014" s="107"/>
      <c r="C1014" s="107"/>
      <c r="D1014" s="102"/>
      <c r="E1014" s="107"/>
      <c r="F1014" s="108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10"/>
      <c r="V1014" s="110"/>
    </row>
    <row r="1015" ht="12.75" customHeight="1">
      <c r="A1015" s="107"/>
      <c r="B1015" s="107"/>
      <c r="C1015" s="107"/>
      <c r="D1015" s="102"/>
      <c r="E1015" s="107"/>
      <c r="F1015" s="108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10"/>
      <c r="V1015" s="110"/>
    </row>
    <row r="1016" ht="12.75" customHeight="1">
      <c r="A1016" s="107"/>
      <c r="B1016" s="107"/>
      <c r="C1016" s="107"/>
      <c r="D1016" s="102"/>
      <c r="E1016" s="107"/>
      <c r="F1016" s="108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10"/>
      <c r="V1016" s="110"/>
    </row>
    <row r="1017" ht="12.75" customHeight="1">
      <c r="A1017" s="107"/>
      <c r="B1017" s="107"/>
      <c r="C1017" s="107"/>
      <c r="D1017" s="102"/>
      <c r="E1017" s="107"/>
      <c r="F1017" s="108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10"/>
      <c r="V1017" s="110"/>
    </row>
    <row r="1018" ht="12.75" customHeight="1">
      <c r="A1018" s="107"/>
      <c r="B1018" s="107"/>
      <c r="C1018" s="107"/>
      <c r="D1018" s="102"/>
      <c r="E1018" s="107"/>
      <c r="F1018" s="108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10"/>
      <c r="V1018" s="110"/>
    </row>
    <row r="1019" ht="12.75" customHeight="1">
      <c r="A1019" s="107"/>
      <c r="B1019" s="107"/>
      <c r="C1019" s="107"/>
      <c r="D1019" s="102"/>
      <c r="E1019" s="107"/>
      <c r="F1019" s="108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10"/>
      <c r="V1019" s="110"/>
    </row>
    <row r="1020" ht="12.75" customHeight="1">
      <c r="A1020" s="107"/>
      <c r="B1020" s="107"/>
      <c r="C1020" s="107"/>
      <c r="D1020" s="102"/>
      <c r="E1020" s="107"/>
      <c r="F1020" s="108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10"/>
      <c r="V1020" s="110"/>
    </row>
    <row r="1021" ht="12.75" customHeight="1">
      <c r="A1021" s="107"/>
      <c r="B1021" s="107"/>
      <c r="C1021" s="107"/>
      <c r="D1021" s="102"/>
      <c r="E1021" s="107"/>
      <c r="F1021" s="108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10"/>
      <c r="V1021" s="110"/>
    </row>
    <row r="1022" ht="12.75" customHeight="1">
      <c r="A1022" s="107"/>
      <c r="B1022" s="107"/>
      <c r="C1022" s="107"/>
      <c r="D1022" s="102"/>
      <c r="E1022" s="107"/>
      <c r="F1022" s="108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10"/>
      <c r="V1022" s="110"/>
    </row>
    <row r="1023" ht="12.75" customHeight="1">
      <c r="A1023" s="107"/>
      <c r="B1023" s="107"/>
      <c r="C1023" s="107"/>
      <c r="D1023" s="102"/>
      <c r="E1023" s="107"/>
      <c r="F1023" s="108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10"/>
      <c r="V1023" s="110"/>
    </row>
    <row r="1024" ht="12.75" customHeight="1">
      <c r="A1024" s="107"/>
      <c r="B1024" s="107"/>
      <c r="C1024" s="107"/>
      <c r="D1024" s="102"/>
      <c r="E1024" s="107"/>
      <c r="F1024" s="108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10"/>
      <c r="V1024" s="110"/>
    </row>
    <row r="1025" ht="12.75" customHeight="1">
      <c r="A1025" s="107"/>
      <c r="B1025" s="107"/>
      <c r="C1025" s="107"/>
      <c r="D1025" s="102"/>
      <c r="E1025" s="107"/>
      <c r="F1025" s="108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10"/>
      <c r="V1025" s="110"/>
    </row>
    <row r="1026" ht="12.75" customHeight="1">
      <c r="A1026" s="107"/>
      <c r="B1026" s="107"/>
      <c r="C1026" s="107"/>
      <c r="D1026" s="102"/>
      <c r="E1026" s="107"/>
      <c r="F1026" s="108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10"/>
      <c r="V1026" s="110"/>
    </row>
    <row r="1027" ht="12.75" customHeight="1">
      <c r="A1027" s="107"/>
      <c r="B1027" s="107"/>
      <c r="C1027" s="107"/>
      <c r="D1027" s="102"/>
      <c r="E1027" s="107"/>
      <c r="F1027" s="108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10"/>
      <c r="V1027" s="110"/>
    </row>
    <row r="1028" ht="12.75" customHeight="1">
      <c r="A1028" s="107"/>
      <c r="B1028" s="107"/>
      <c r="C1028" s="107"/>
      <c r="D1028" s="102"/>
      <c r="E1028" s="107"/>
      <c r="F1028" s="108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10"/>
      <c r="V1028" s="110"/>
    </row>
    <row r="1029" ht="12.75" customHeight="1">
      <c r="A1029" s="107"/>
      <c r="B1029" s="107"/>
      <c r="C1029" s="107"/>
      <c r="D1029" s="102"/>
      <c r="E1029" s="107"/>
      <c r="F1029" s="108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10"/>
      <c r="V1029" s="110"/>
    </row>
    <row r="1030" ht="12.75" customHeight="1">
      <c r="A1030" s="107"/>
      <c r="B1030" s="107"/>
      <c r="C1030" s="107"/>
      <c r="D1030" s="102"/>
      <c r="E1030" s="107"/>
      <c r="F1030" s="108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10"/>
      <c r="V1030" s="110"/>
    </row>
    <row r="1031" ht="12.75" customHeight="1">
      <c r="A1031" s="107"/>
      <c r="B1031" s="107"/>
      <c r="C1031" s="107"/>
      <c r="D1031" s="102"/>
      <c r="E1031" s="107"/>
      <c r="F1031" s="108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10"/>
      <c r="V1031" s="110"/>
    </row>
    <row r="1032" ht="12.75" customHeight="1">
      <c r="A1032" s="107"/>
      <c r="B1032" s="107"/>
      <c r="C1032" s="107"/>
      <c r="D1032" s="102"/>
      <c r="E1032" s="107"/>
      <c r="F1032" s="108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10"/>
      <c r="V1032" s="110"/>
    </row>
    <row r="1033" ht="12.75" customHeight="1">
      <c r="A1033" s="107"/>
      <c r="B1033" s="107"/>
      <c r="C1033" s="107"/>
      <c r="D1033" s="102"/>
      <c r="E1033" s="107"/>
      <c r="F1033" s="108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10"/>
      <c r="V1033" s="110"/>
    </row>
    <row r="1034" ht="12.75" customHeight="1">
      <c r="A1034" s="107"/>
      <c r="B1034" s="107"/>
      <c r="C1034" s="107"/>
      <c r="D1034" s="102"/>
      <c r="E1034" s="107"/>
      <c r="F1034" s="108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10"/>
      <c r="V1034" s="110"/>
    </row>
    <row r="1035" ht="12.75" customHeight="1">
      <c r="A1035" s="107"/>
      <c r="B1035" s="107"/>
      <c r="C1035" s="107"/>
      <c r="D1035" s="102"/>
      <c r="E1035" s="107"/>
      <c r="F1035" s="108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10"/>
      <c r="V1035" s="110"/>
    </row>
    <row r="1036" ht="12.75" customHeight="1">
      <c r="A1036" s="107"/>
      <c r="B1036" s="107"/>
      <c r="C1036" s="107"/>
      <c r="D1036" s="102"/>
      <c r="E1036" s="107"/>
      <c r="F1036" s="108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10"/>
      <c r="V1036" s="110"/>
    </row>
    <row r="1037" ht="12.75" customHeight="1">
      <c r="A1037" s="107"/>
      <c r="B1037" s="107"/>
      <c r="C1037" s="107"/>
      <c r="D1037" s="102"/>
      <c r="E1037" s="107"/>
      <c r="F1037" s="108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10"/>
      <c r="V1037" s="110"/>
    </row>
    <row r="1038" ht="12.75" customHeight="1">
      <c r="A1038" s="107"/>
      <c r="B1038" s="107"/>
      <c r="C1038" s="107"/>
      <c r="D1038" s="102"/>
      <c r="E1038" s="107"/>
      <c r="F1038" s="108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10"/>
      <c r="V1038" s="110"/>
    </row>
    <row r="1039" ht="12.75" customHeight="1">
      <c r="A1039" s="107"/>
      <c r="B1039" s="107"/>
      <c r="C1039" s="107"/>
      <c r="D1039" s="102"/>
      <c r="E1039" s="107"/>
      <c r="F1039" s="108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10"/>
      <c r="V1039" s="110"/>
    </row>
    <row r="1040" ht="12.75" customHeight="1">
      <c r="A1040" s="107"/>
      <c r="B1040" s="107"/>
      <c r="C1040" s="107"/>
      <c r="D1040" s="102"/>
      <c r="E1040" s="107"/>
      <c r="F1040" s="108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10"/>
      <c r="V1040" s="110"/>
    </row>
    <row r="1041" ht="12.75" customHeight="1">
      <c r="A1041" s="107"/>
      <c r="B1041" s="107"/>
      <c r="C1041" s="107"/>
      <c r="D1041" s="102"/>
      <c r="E1041" s="107"/>
      <c r="F1041" s="108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10"/>
      <c r="V1041" s="110"/>
    </row>
    <row r="1042" ht="12.75" customHeight="1">
      <c r="A1042" s="107"/>
      <c r="B1042" s="107"/>
      <c r="C1042" s="107"/>
      <c r="D1042" s="102"/>
      <c r="E1042" s="107"/>
      <c r="F1042" s="108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10"/>
      <c r="V1042" s="110"/>
    </row>
    <row r="1043" ht="12.75" customHeight="1">
      <c r="A1043" s="107"/>
      <c r="B1043" s="107"/>
      <c r="C1043" s="107"/>
      <c r="D1043" s="102"/>
      <c r="E1043" s="107"/>
      <c r="F1043" s="108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10"/>
      <c r="V1043" s="110"/>
    </row>
    <row r="1044" ht="12.75" customHeight="1">
      <c r="A1044" s="107"/>
      <c r="B1044" s="107"/>
      <c r="C1044" s="107"/>
      <c r="D1044" s="102"/>
      <c r="E1044" s="107"/>
      <c r="F1044" s="108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10"/>
      <c r="V1044" s="110"/>
    </row>
    <row r="1045" ht="12.75" customHeight="1">
      <c r="A1045" s="107"/>
      <c r="B1045" s="107"/>
      <c r="C1045" s="107"/>
      <c r="D1045" s="102"/>
      <c r="E1045" s="107"/>
      <c r="F1045" s="108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10"/>
      <c r="V1045" s="110"/>
    </row>
    <row r="1046" ht="12.75" customHeight="1">
      <c r="A1046" s="107"/>
      <c r="B1046" s="107"/>
      <c r="C1046" s="107"/>
      <c r="D1046" s="102"/>
      <c r="E1046" s="107"/>
      <c r="F1046" s="108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10"/>
      <c r="V1046" s="110"/>
    </row>
    <row r="1047" ht="12.75" customHeight="1">
      <c r="A1047" s="107"/>
      <c r="B1047" s="107"/>
      <c r="C1047" s="107"/>
      <c r="D1047" s="102"/>
      <c r="E1047" s="107"/>
      <c r="F1047" s="108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10"/>
      <c r="V1047" s="110"/>
    </row>
    <row r="1048" ht="12.75" customHeight="1">
      <c r="A1048" s="107"/>
      <c r="B1048" s="107"/>
      <c r="C1048" s="107"/>
      <c r="D1048" s="102"/>
      <c r="E1048" s="107"/>
      <c r="F1048" s="108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10"/>
      <c r="V1048" s="110"/>
    </row>
    <row r="1049" ht="12.75" customHeight="1">
      <c r="A1049" s="107"/>
      <c r="B1049" s="107"/>
      <c r="C1049" s="107"/>
      <c r="D1049" s="102"/>
      <c r="E1049" s="107"/>
      <c r="F1049" s="108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10"/>
      <c r="V1049" s="110"/>
    </row>
    <row r="1050" ht="12.75" customHeight="1">
      <c r="A1050" s="107"/>
      <c r="B1050" s="107"/>
      <c r="C1050" s="107"/>
      <c r="D1050" s="102"/>
      <c r="E1050" s="107"/>
      <c r="F1050" s="108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10"/>
      <c r="V1050" s="110"/>
    </row>
    <row r="1051" ht="12.75" customHeight="1">
      <c r="A1051" s="107"/>
      <c r="B1051" s="107"/>
      <c r="C1051" s="107"/>
      <c r="D1051" s="102"/>
      <c r="E1051" s="107"/>
      <c r="F1051" s="108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10"/>
      <c r="V1051" s="110"/>
    </row>
    <row r="1052" ht="12.75" customHeight="1">
      <c r="A1052" s="107"/>
      <c r="B1052" s="107"/>
      <c r="C1052" s="107"/>
      <c r="D1052" s="102"/>
      <c r="E1052" s="107"/>
      <c r="F1052" s="108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10"/>
      <c r="V1052" s="110"/>
    </row>
    <row r="1053" ht="12.75" customHeight="1">
      <c r="A1053" s="107"/>
      <c r="B1053" s="107"/>
      <c r="C1053" s="107"/>
      <c r="D1053" s="102"/>
      <c r="E1053" s="107"/>
      <c r="F1053" s="108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10"/>
      <c r="V1053" s="110"/>
    </row>
    <row r="1054" ht="12.75" customHeight="1">
      <c r="A1054" s="107"/>
      <c r="B1054" s="107"/>
      <c r="C1054" s="107"/>
      <c r="D1054" s="102"/>
      <c r="E1054" s="107"/>
      <c r="F1054" s="108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10"/>
      <c r="V1054" s="110"/>
    </row>
    <row r="1055" ht="12.75" customHeight="1">
      <c r="A1055" s="107"/>
      <c r="B1055" s="107"/>
      <c r="C1055" s="107"/>
      <c r="D1055" s="102"/>
      <c r="E1055" s="107"/>
      <c r="F1055" s="108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10"/>
      <c r="V1055" s="110"/>
    </row>
    <row r="1056" ht="12.75" customHeight="1">
      <c r="A1056" s="107"/>
      <c r="B1056" s="107"/>
      <c r="C1056" s="107"/>
      <c r="D1056" s="102"/>
      <c r="E1056" s="107"/>
      <c r="F1056" s="108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10"/>
      <c r="V1056" s="110"/>
    </row>
    <row r="1057" ht="12.75" customHeight="1">
      <c r="A1057" s="107"/>
      <c r="B1057" s="107"/>
      <c r="C1057" s="107"/>
      <c r="D1057" s="102"/>
      <c r="E1057" s="107"/>
      <c r="F1057" s="108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10"/>
      <c r="V1057" s="110"/>
    </row>
    <row r="1058" ht="12.75" customHeight="1">
      <c r="A1058" s="107"/>
      <c r="B1058" s="107"/>
      <c r="C1058" s="107"/>
      <c r="D1058" s="102"/>
      <c r="E1058" s="107"/>
      <c r="F1058" s="108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10"/>
      <c r="V1058" s="110"/>
    </row>
    <row r="1059" ht="12.75" customHeight="1">
      <c r="A1059" s="107"/>
      <c r="B1059" s="107"/>
      <c r="C1059" s="107"/>
      <c r="D1059" s="102"/>
      <c r="E1059" s="107"/>
      <c r="F1059" s="108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10"/>
      <c r="V1059" s="110"/>
    </row>
    <row r="1060" ht="12.75" customHeight="1">
      <c r="A1060" s="107"/>
      <c r="B1060" s="107"/>
      <c r="C1060" s="107"/>
      <c r="D1060" s="102"/>
      <c r="E1060" s="107"/>
      <c r="F1060" s="108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10"/>
      <c r="V1060" s="110"/>
    </row>
    <row r="1061" ht="12.75" customHeight="1">
      <c r="A1061" s="107"/>
      <c r="B1061" s="107"/>
      <c r="C1061" s="107"/>
      <c r="D1061" s="102"/>
      <c r="E1061" s="107"/>
      <c r="F1061" s="108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10"/>
      <c r="V1061" s="110"/>
    </row>
    <row r="1062" ht="12.75" customHeight="1">
      <c r="A1062" s="107"/>
      <c r="B1062" s="107"/>
      <c r="C1062" s="107"/>
      <c r="D1062" s="102"/>
      <c r="E1062" s="107"/>
      <c r="F1062" s="108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10"/>
      <c r="V1062" s="110"/>
    </row>
    <row r="1063" ht="12.75" customHeight="1">
      <c r="A1063" s="107"/>
      <c r="B1063" s="107"/>
      <c r="C1063" s="107"/>
      <c r="D1063" s="102"/>
      <c r="E1063" s="107"/>
      <c r="F1063" s="108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10"/>
      <c r="V1063" s="110"/>
    </row>
    <row r="1064" ht="12.75" customHeight="1">
      <c r="A1064" s="107"/>
      <c r="B1064" s="107"/>
      <c r="C1064" s="107"/>
      <c r="D1064" s="102"/>
      <c r="E1064" s="107"/>
      <c r="F1064" s="108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10"/>
      <c r="V1064" s="110"/>
    </row>
    <row r="1065" ht="12.75" customHeight="1">
      <c r="A1065" s="107"/>
      <c r="B1065" s="107"/>
      <c r="C1065" s="107"/>
      <c r="D1065" s="102"/>
      <c r="E1065" s="107"/>
      <c r="F1065" s="108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10"/>
      <c r="V1065" s="110"/>
    </row>
    <row r="1066" ht="12.75" customHeight="1">
      <c r="A1066" s="107"/>
      <c r="B1066" s="107"/>
      <c r="C1066" s="107"/>
      <c r="D1066" s="102"/>
      <c r="E1066" s="107"/>
      <c r="F1066" s="108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10"/>
      <c r="V1066" s="110"/>
    </row>
    <row r="1067" ht="12.75" customHeight="1">
      <c r="A1067" s="107"/>
      <c r="B1067" s="107"/>
      <c r="C1067" s="107"/>
      <c r="D1067" s="102"/>
      <c r="E1067" s="107"/>
      <c r="F1067" s="108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10"/>
      <c r="V1067" s="110"/>
    </row>
    <row r="1068" ht="12.75" customHeight="1">
      <c r="A1068" s="107"/>
      <c r="B1068" s="107"/>
      <c r="C1068" s="107"/>
      <c r="D1068" s="102"/>
      <c r="E1068" s="107"/>
      <c r="F1068" s="108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10"/>
      <c r="V1068" s="110"/>
    </row>
    <row r="1069" ht="12.75" customHeight="1">
      <c r="A1069" s="107"/>
      <c r="B1069" s="107"/>
      <c r="C1069" s="107"/>
      <c r="D1069" s="102"/>
      <c r="E1069" s="107"/>
      <c r="F1069" s="108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10"/>
      <c r="V1069" s="110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0</v>
      </c>
      <c r="D2" s="117"/>
      <c r="E2" s="116">
        <f t="shared" ref="E2:R2" si="1">SUM(E5,E11)</f>
        <v>0</v>
      </c>
      <c r="F2" s="116">
        <f t="shared" si="1"/>
        <v>0</v>
      </c>
      <c r="G2" s="118">
        <f t="shared" si="1"/>
        <v>0</v>
      </c>
      <c r="H2" s="118">
        <f t="shared" si="1"/>
        <v>0</v>
      </c>
      <c r="I2" s="118">
        <f t="shared" si="1"/>
        <v>0</v>
      </c>
      <c r="J2" s="118">
        <f t="shared" si="1"/>
        <v>0</v>
      </c>
      <c r="K2" s="118">
        <f t="shared" si="1"/>
        <v>0</v>
      </c>
      <c r="L2" s="118">
        <f t="shared" si="1"/>
        <v>0</v>
      </c>
      <c r="M2" s="118">
        <f t="shared" si="1"/>
        <v>0</v>
      </c>
      <c r="N2" s="118">
        <f t="shared" si="1"/>
        <v>0</v>
      </c>
      <c r="O2" s="118">
        <f t="shared" si="1"/>
        <v>0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33</v>
      </c>
      <c r="D4" s="120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0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5" si="2">IFERROR(I20/H20,0)</f>
        <v>0</v>
      </c>
      <c r="V20" s="131">
        <f t="shared" ref="V20:V35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1">
        <f t="shared" si="2"/>
        <v>0</v>
      </c>
      <c r="V23" s="131">
        <f t="shared" si="3"/>
        <v>0</v>
      </c>
    </row>
    <row r="24" ht="12.75" customHeight="1">
      <c r="A24" s="143" t="s">
        <v>26</v>
      </c>
      <c r="B24" s="144" t="s">
        <v>27</v>
      </c>
      <c r="C24" s="145" t="s">
        <v>51</v>
      </c>
      <c r="D24" s="146" t="s">
        <v>46</v>
      </c>
      <c r="E24" s="144" t="s">
        <v>47</v>
      </c>
      <c r="F24" s="145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7" t="s">
        <v>26</v>
      </c>
      <c r="B25" s="148" t="s">
        <v>27</v>
      </c>
      <c r="C25" s="149" t="s">
        <v>51</v>
      </c>
      <c r="D25" s="84"/>
      <c r="E25" s="148" t="s">
        <v>47</v>
      </c>
      <c r="F25" s="149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47" t="s">
        <v>26</v>
      </c>
      <c r="B26" s="148" t="s">
        <v>27</v>
      </c>
      <c r="C26" s="149" t="s">
        <v>51</v>
      </c>
      <c r="D26" s="84"/>
      <c r="E26" s="148" t="s">
        <v>47</v>
      </c>
      <c r="F26" s="149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7" t="s">
        <v>26</v>
      </c>
      <c r="B27" s="148" t="s">
        <v>27</v>
      </c>
      <c r="C27" s="149" t="s">
        <v>51</v>
      </c>
      <c r="D27" s="84"/>
      <c r="E27" s="148" t="s">
        <v>47</v>
      </c>
      <c r="F27" s="149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7" t="s">
        <v>26</v>
      </c>
      <c r="B28" s="138" t="s">
        <v>27</v>
      </c>
      <c r="C28" s="150" t="s">
        <v>55</v>
      </c>
      <c r="D28" s="151" t="s">
        <v>46</v>
      </c>
      <c r="E28" s="152" t="s">
        <v>47</v>
      </c>
      <c r="F28" s="150" t="s">
        <v>55</v>
      </c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1">
        <f t="shared" si="2"/>
        <v>0</v>
      </c>
      <c r="V28" s="131">
        <f t="shared" si="3"/>
        <v>0</v>
      </c>
    </row>
    <row r="29" ht="12.75" customHeight="1">
      <c r="A29" s="140" t="s">
        <v>26</v>
      </c>
      <c r="B29" s="141" t="s">
        <v>27</v>
      </c>
      <c r="C29" s="141" t="s">
        <v>55</v>
      </c>
      <c r="D29" s="75"/>
      <c r="E29" s="141" t="s">
        <v>47</v>
      </c>
      <c r="F29" s="63" t="s">
        <v>56</v>
      </c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1">
        <f t="shared" si="2"/>
        <v>0</v>
      </c>
      <c r="V29" s="131">
        <f t="shared" si="3"/>
        <v>0</v>
      </c>
    </row>
    <row r="30" ht="12.75" customHeight="1">
      <c r="A30" s="140" t="s">
        <v>26</v>
      </c>
      <c r="B30" s="141" t="s">
        <v>27</v>
      </c>
      <c r="C30" s="141" t="s">
        <v>55</v>
      </c>
      <c r="D30" s="75"/>
      <c r="E30" s="142"/>
      <c r="F30" s="63" t="s">
        <v>57</v>
      </c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1">
        <f t="shared" si="2"/>
        <v>0</v>
      </c>
      <c r="V30" s="131">
        <f t="shared" si="3"/>
        <v>0</v>
      </c>
    </row>
    <row r="31" ht="12.75" customHeight="1">
      <c r="A31" s="140" t="s">
        <v>26</v>
      </c>
      <c r="B31" s="141" t="s">
        <v>27</v>
      </c>
      <c r="C31" s="141" t="s">
        <v>55</v>
      </c>
      <c r="D31" s="75"/>
      <c r="E31" s="142"/>
      <c r="F31" s="63" t="s">
        <v>58</v>
      </c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1">
        <f t="shared" si="2"/>
        <v>0</v>
      </c>
      <c r="V31" s="131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55</v>
      </c>
      <c r="D32" s="129"/>
      <c r="E32" s="142"/>
      <c r="F32" s="63" t="s">
        <v>59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2"/>
        <v>0</v>
      </c>
      <c r="V32" s="131">
        <f t="shared" si="3"/>
        <v>0</v>
      </c>
    </row>
    <row r="33" ht="12.75" customHeight="1">
      <c r="A33" s="143" t="s">
        <v>26</v>
      </c>
      <c r="B33" s="144" t="s">
        <v>27</v>
      </c>
      <c r="C33" s="154" t="s">
        <v>60</v>
      </c>
      <c r="D33" s="146" t="s">
        <v>46</v>
      </c>
      <c r="E33" s="157"/>
      <c r="F33" s="154" t="s">
        <v>60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2"/>
        <v>0</v>
      </c>
      <c r="V33" s="131">
        <f t="shared" si="3"/>
        <v>0</v>
      </c>
    </row>
    <row r="34" ht="12.75" customHeight="1">
      <c r="A34" s="147" t="s">
        <v>26</v>
      </c>
      <c r="B34" s="148" t="s">
        <v>27</v>
      </c>
      <c r="C34" s="156" t="s">
        <v>60</v>
      </c>
      <c r="D34" s="84"/>
      <c r="E34" s="157"/>
      <c r="F34" s="156" t="s">
        <v>61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2"/>
        <v>0</v>
      </c>
      <c r="V34" s="131">
        <f t="shared" si="3"/>
        <v>0</v>
      </c>
    </row>
    <row r="35" ht="12.75" customHeight="1">
      <c r="A35" s="147" t="s">
        <v>26</v>
      </c>
      <c r="B35" s="148" t="s">
        <v>27</v>
      </c>
      <c r="C35" s="156" t="s">
        <v>60</v>
      </c>
      <c r="D35" s="84"/>
      <c r="E35" s="157"/>
      <c r="F35" s="156" t="s">
        <v>62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2"/>
        <v>0</v>
      </c>
      <c r="V35" s="131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28" t="s">
        <v>28</v>
      </c>
      <c r="B37" s="129"/>
      <c r="C37" s="129"/>
      <c r="D37" s="158" t="s">
        <v>46</v>
      </c>
      <c r="E37" s="128" t="s">
        <v>47</v>
      </c>
      <c r="F37" s="128" t="s">
        <v>28</v>
      </c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>
        <f t="shared" ref="U37:U53" si="4">IFERROR(I37/H37,0)</f>
        <v>0</v>
      </c>
      <c r="V37" s="131">
        <f t="shared" ref="V37:V53" si="5">IFERROR(SUM(H37+L37)/G37,0)</f>
        <v>0</v>
      </c>
    </row>
    <row r="38" ht="12.75" customHeight="1">
      <c r="A38" s="132" t="s">
        <v>28</v>
      </c>
      <c r="B38" s="124" t="s">
        <v>29</v>
      </c>
      <c r="C38" s="159"/>
      <c r="D38" s="160" t="s">
        <v>46</v>
      </c>
      <c r="E38" s="135" t="s">
        <v>47</v>
      </c>
      <c r="F38" s="124" t="s">
        <v>29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si="4"/>
        <v>0</v>
      </c>
      <c r="V38" s="131">
        <f t="shared" si="5"/>
        <v>0</v>
      </c>
    </row>
    <row r="39" ht="12.75" customHeight="1">
      <c r="A39" s="143" t="s">
        <v>28</v>
      </c>
      <c r="B39" s="144" t="s">
        <v>29</v>
      </c>
      <c r="C39" s="145" t="s">
        <v>63</v>
      </c>
      <c r="D39" s="146" t="s">
        <v>46</v>
      </c>
      <c r="E39" s="144" t="s">
        <v>47</v>
      </c>
      <c r="F39" s="145" t="s">
        <v>63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4"/>
        <v>0</v>
      </c>
      <c r="V39" s="131">
        <f t="shared" si="5"/>
        <v>0</v>
      </c>
    </row>
    <row r="40" ht="12.75" customHeight="1">
      <c r="A40" s="147" t="s">
        <v>28</v>
      </c>
      <c r="B40" s="148" t="s">
        <v>29</v>
      </c>
      <c r="C40" s="147" t="s">
        <v>63</v>
      </c>
      <c r="D40" s="157"/>
      <c r="E40" s="148" t="s">
        <v>47</v>
      </c>
      <c r="F40" s="147" t="s">
        <v>64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4"/>
        <v>0</v>
      </c>
      <c r="V40" s="131">
        <f t="shared" si="5"/>
        <v>0</v>
      </c>
    </row>
    <row r="41" ht="12.75" customHeight="1">
      <c r="A41" s="147" t="s">
        <v>28</v>
      </c>
      <c r="B41" s="148" t="s">
        <v>29</v>
      </c>
      <c r="C41" s="147" t="s">
        <v>63</v>
      </c>
      <c r="D41" s="84"/>
      <c r="E41" s="161" t="s">
        <v>47</v>
      </c>
      <c r="F41" s="149" t="s">
        <v>65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4"/>
        <v>0</v>
      </c>
      <c r="V41" s="131">
        <f t="shared" si="5"/>
        <v>0</v>
      </c>
    </row>
    <row r="42" ht="12.75" customHeight="1">
      <c r="A42" s="147" t="s">
        <v>28</v>
      </c>
      <c r="B42" s="148" t="s">
        <v>29</v>
      </c>
      <c r="C42" s="147" t="s">
        <v>63</v>
      </c>
      <c r="D42" s="84"/>
      <c r="E42" s="161" t="s">
        <v>47</v>
      </c>
      <c r="F42" s="149" t="s">
        <v>66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4"/>
        <v>0</v>
      </c>
      <c r="V42" s="131">
        <f t="shared" si="5"/>
        <v>0</v>
      </c>
    </row>
    <row r="43" ht="12.75" customHeight="1">
      <c r="A43" s="147" t="s">
        <v>28</v>
      </c>
      <c r="B43" s="148" t="s">
        <v>29</v>
      </c>
      <c r="C43" s="147" t="s">
        <v>63</v>
      </c>
      <c r="D43" s="84"/>
      <c r="E43" s="161" t="s">
        <v>47</v>
      </c>
      <c r="F43" s="149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4"/>
        <v>0</v>
      </c>
      <c r="V43" s="131">
        <f t="shared" si="5"/>
        <v>0</v>
      </c>
    </row>
    <row r="44" ht="12.75" customHeight="1">
      <c r="A44" s="147" t="s">
        <v>28</v>
      </c>
      <c r="B44" s="148" t="s">
        <v>29</v>
      </c>
      <c r="C44" s="147" t="s">
        <v>63</v>
      </c>
      <c r="D44" s="84"/>
      <c r="E44" s="161" t="s">
        <v>47</v>
      </c>
      <c r="F44" s="149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4"/>
        <v>0</v>
      </c>
      <c r="V44" s="131">
        <f t="shared" si="5"/>
        <v>0</v>
      </c>
    </row>
    <row r="45" ht="12.75" customHeight="1">
      <c r="A45" s="147" t="s">
        <v>28</v>
      </c>
      <c r="B45" s="148" t="s">
        <v>29</v>
      </c>
      <c r="C45" s="147" t="s">
        <v>63</v>
      </c>
      <c r="D45" s="84"/>
      <c r="E45" s="148" t="s">
        <v>47</v>
      </c>
      <c r="F45" s="149" t="s">
        <v>69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4"/>
        <v>0</v>
      </c>
      <c r="V45" s="131">
        <f t="shared" si="5"/>
        <v>0</v>
      </c>
    </row>
    <row r="46" ht="12.75" customHeight="1">
      <c r="A46" s="147" t="s">
        <v>28</v>
      </c>
      <c r="B46" s="148" t="s">
        <v>29</v>
      </c>
      <c r="C46" s="147" t="s">
        <v>63</v>
      </c>
      <c r="D46" s="84"/>
      <c r="E46" s="148" t="s">
        <v>47</v>
      </c>
      <c r="F46" s="149" t="s">
        <v>70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4"/>
        <v>0</v>
      </c>
      <c r="V46" s="131">
        <f t="shared" si="5"/>
        <v>0</v>
      </c>
    </row>
    <row r="47" ht="12.75" customHeight="1">
      <c r="A47" s="147" t="s">
        <v>28</v>
      </c>
      <c r="B47" s="148" t="s">
        <v>29</v>
      </c>
      <c r="C47" s="147" t="s">
        <v>63</v>
      </c>
      <c r="D47" s="162"/>
      <c r="E47" s="148" t="s">
        <v>47</v>
      </c>
      <c r="F47" s="156" t="s">
        <v>71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4"/>
        <v>0</v>
      </c>
      <c r="V47" s="131">
        <f t="shared" si="5"/>
        <v>0</v>
      </c>
    </row>
    <row r="48" ht="12.75" customHeight="1">
      <c r="A48" s="147" t="s">
        <v>28</v>
      </c>
      <c r="B48" s="148" t="s">
        <v>29</v>
      </c>
      <c r="C48" s="147" t="s">
        <v>63</v>
      </c>
      <c r="D48" s="162"/>
      <c r="E48" s="148" t="s">
        <v>47</v>
      </c>
      <c r="F48" s="156" t="s">
        <v>72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4"/>
        <v>0</v>
      </c>
      <c r="V48" s="131">
        <f t="shared" si="5"/>
        <v>0</v>
      </c>
    </row>
    <row r="49" ht="12.75" customHeight="1">
      <c r="A49" s="147" t="s">
        <v>28</v>
      </c>
      <c r="B49" s="148" t="s">
        <v>29</v>
      </c>
      <c r="C49" s="147" t="s">
        <v>63</v>
      </c>
      <c r="D49" s="162"/>
      <c r="E49" s="148" t="s">
        <v>73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4"/>
        <v>0</v>
      </c>
      <c r="V49" s="131">
        <f t="shared" si="5"/>
        <v>0</v>
      </c>
    </row>
    <row r="50" ht="12.75" customHeight="1">
      <c r="A50" s="147" t="s">
        <v>28</v>
      </c>
      <c r="B50" s="148" t="s">
        <v>29</v>
      </c>
      <c r="C50" s="147" t="s">
        <v>63</v>
      </c>
      <c r="D50" s="162"/>
      <c r="E50" s="148" t="s">
        <v>75</v>
      </c>
      <c r="F50" s="156" t="s">
        <v>76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4"/>
        <v>0</v>
      </c>
      <c r="V50" s="131">
        <f t="shared" si="5"/>
        <v>0</v>
      </c>
    </row>
    <row r="51" ht="12.75" customHeight="1">
      <c r="A51" s="147" t="s">
        <v>28</v>
      </c>
      <c r="B51" s="148" t="s">
        <v>29</v>
      </c>
      <c r="C51" s="147" t="s">
        <v>63</v>
      </c>
      <c r="D51" s="162"/>
      <c r="E51" s="157"/>
      <c r="F51" s="156" t="s">
        <v>77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4"/>
        <v>0</v>
      </c>
      <c r="V51" s="131">
        <f t="shared" si="5"/>
        <v>0</v>
      </c>
    </row>
    <row r="52" ht="12.75" customHeight="1">
      <c r="A52" s="147" t="s">
        <v>28</v>
      </c>
      <c r="B52" s="148" t="s">
        <v>29</v>
      </c>
      <c r="C52" s="147" t="s">
        <v>63</v>
      </c>
      <c r="D52" s="162"/>
      <c r="E52" s="148" t="s">
        <v>47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4"/>
        <v>0</v>
      </c>
      <c r="V52" s="131">
        <f t="shared" si="5"/>
        <v>0</v>
      </c>
    </row>
    <row r="53" ht="12.75" customHeight="1">
      <c r="A53" s="147" t="s">
        <v>28</v>
      </c>
      <c r="B53" s="148" t="s">
        <v>29</v>
      </c>
      <c r="C53" s="147" t="s">
        <v>63</v>
      </c>
      <c r="D53" s="162"/>
      <c r="E53" s="148" t="s">
        <v>47</v>
      </c>
      <c r="F53" s="156" t="s">
        <v>79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4"/>
        <v>0</v>
      </c>
      <c r="V53" s="131">
        <f t="shared" si="5"/>
        <v>0</v>
      </c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3"/>
      <c r="B201" s="163"/>
      <c r="C201" s="163"/>
      <c r="D201" s="1"/>
      <c r="E201" s="163"/>
      <c r="F201" s="11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5"/>
      <c r="V201" s="165"/>
    </row>
    <row r="202" ht="12.75" customHeight="1">
      <c r="A202" s="163"/>
      <c r="B202" s="163"/>
      <c r="C202" s="163"/>
      <c r="D202" s="1"/>
      <c r="E202" s="163"/>
      <c r="F202" s="11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5"/>
      <c r="V202" s="165"/>
    </row>
    <row r="203" ht="12.75" customHeight="1">
      <c r="A203" s="163"/>
      <c r="B203" s="163"/>
      <c r="C203" s="163"/>
      <c r="D203" s="1"/>
      <c r="E203" s="163"/>
      <c r="F203" s="11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5"/>
      <c r="V203" s="165"/>
    </row>
    <row r="204" ht="12.75" customHeight="1">
      <c r="A204" s="163"/>
      <c r="B204" s="163"/>
      <c r="C204" s="163"/>
      <c r="D204" s="1"/>
      <c r="E204" s="163"/>
      <c r="F204" s="11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5"/>
      <c r="V204" s="165"/>
    </row>
    <row r="205" ht="12.75" customHeight="1">
      <c r="A205" s="163"/>
      <c r="B205" s="163"/>
      <c r="C205" s="163"/>
      <c r="D205" s="1"/>
      <c r="E205" s="163"/>
      <c r="F205" s="11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5"/>
      <c r="V205" s="165"/>
    </row>
    <row r="206" ht="12.75" customHeight="1">
      <c r="A206" s="163"/>
      <c r="B206" s="163"/>
      <c r="C206" s="163"/>
      <c r="D206" s="1"/>
      <c r="E206" s="163"/>
      <c r="F206" s="11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5"/>
      <c r="V206" s="165"/>
    </row>
    <row r="207" ht="12.75" customHeight="1">
      <c r="A207" s="163"/>
      <c r="B207" s="163"/>
      <c r="C207" s="163"/>
      <c r="D207" s="1"/>
      <c r="E207" s="163"/>
      <c r="F207" s="11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5"/>
      <c r="V207" s="165"/>
    </row>
    <row r="208" ht="12.75" customHeight="1">
      <c r="A208" s="163"/>
      <c r="B208" s="163"/>
      <c r="C208" s="163"/>
      <c r="D208" s="1"/>
      <c r="E208" s="163"/>
      <c r="F208" s="11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5"/>
      <c r="V208" s="165"/>
    </row>
    <row r="209" ht="12.75" customHeight="1">
      <c r="A209" s="163"/>
      <c r="B209" s="163"/>
      <c r="C209" s="163"/>
      <c r="D209" s="1"/>
      <c r="E209" s="163"/>
      <c r="F209" s="11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5"/>
      <c r="V209" s="165"/>
    </row>
    <row r="210" ht="12.75" customHeight="1">
      <c r="A210" s="163"/>
      <c r="B210" s="163"/>
      <c r="C210" s="163"/>
      <c r="D210" s="1"/>
      <c r="E210" s="163"/>
      <c r="F210" s="11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5"/>
      <c r="V210" s="165"/>
    </row>
    <row r="211" ht="12.75" customHeight="1">
      <c r="A211" s="163"/>
      <c r="B211" s="163"/>
      <c r="C211" s="163"/>
      <c r="D211" s="1"/>
      <c r="E211" s="163"/>
      <c r="F211" s="11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5"/>
      <c r="V211" s="165"/>
    </row>
    <row r="212" ht="12.75" customHeight="1">
      <c r="A212" s="163"/>
      <c r="B212" s="163"/>
      <c r="C212" s="163"/>
      <c r="D212" s="1"/>
      <c r="E212" s="163"/>
      <c r="F212" s="11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5"/>
      <c r="V212" s="165"/>
    </row>
    <row r="213" ht="12.75" customHeight="1">
      <c r="A213" s="163"/>
      <c r="B213" s="163"/>
      <c r="C213" s="163"/>
      <c r="D213" s="1"/>
      <c r="E213" s="163"/>
      <c r="F213" s="11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5"/>
      <c r="V213" s="165"/>
    </row>
    <row r="214" ht="12.75" customHeight="1">
      <c r="A214" s="163"/>
      <c r="B214" s="163"/>
      <c r="C214" s="163"/>
      <c r="D214" s="1"/>
      <c r="E214" s="163"/>
      <c r="F214" s="11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5"/>
      <c r="V214" s="165"/>
    </row>
    <row r="215" ht="12.75" customHeight="1">
      <c r="A215" s="163"/>
      <c r="B215" s="163"/>
      <c r="C215" s="163"/>
      <c r="D215" s="1"/>
      <c r="E215" s="163"/>
      <c r="F215" s="11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5"/>
      <c r="V215" s="165"/>
    </row>
    <row r="216" ht="12.75" customHeight="1">
      <c r="A216" s="163"/>
      <c r="B216" s="163"/>
      <c r="C216" s="163"/>
      <c r="D216" s="1"/>
      <c r="E216" s="163"/>
      <c r="F216" s="11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5"/>
      <c r="V216" s="165"/>
    </row>
    <row r="217" ht="12.75" customHeight="1">
      <c r="A217" s="163"/>
      <c r="B217" s="163"/>
      <c r="C217" s="163"/>
      <c r="D217" s="1"/>
      <c r="E217" s="163"/>
      <c r="F217" s="11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5"/>
      <c r="V217" s="165"/>
    </row>
    <row r="218" ht="12.75" customHeight="1">
      <c r="A218" s="163"/>
      <c r="B218" s="163"/>
      <c r="C218" s="163"/>
      <c r="D218" s="1"/>
      <c r="E218" s="163"/>
      <c r="F218" s="11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5"/>
      <c r="V218" s="165"/>
    </row>
    <row r="219" ht="12.75" customHeight="1">
      <c r="A219" s="163"/>
      <c r="B219" s="163"/>
      <c r="C219" s="163"/>
      <c r="D219" s="1"/>
      <c r="E219" s="163"/>
      <c r="F219" s="11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5"/>
      <c r="V219" s="165"/>
    </row>
    <row r="220" ht="12.75" customHeight="1">
      <c r="A220" s="163"/>
      <c r="B220" s="163"/>
      <c r="C220" s="163"/>
      <c r="D220" s="1"/>
      <c r="E220" s="163"/>
      <c r="F220" s="11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5"/>
      <c r="V220" s="165"/>
    </row>
    <row r="221" ht="12.75" customHeight="1">
      <c r="A221" s="163"/>
      <c r="B221" s="163"/>
      <c r="C221" s="163"/>
      <c r="D221" s="1"/>
      <c r="E221" s="163"/>
      <c r="F221" s="11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5"/>
      <c r="V221" s="165"/>
    </row>
    <row r="222" ht="12.75" customHeight="1">
      <c r="A222" s="163"/>
      <c r="B222" s="163"/>
      <c r="C222" s="163"/>
      <c r="D222" s="1"/>
      <c r="E222" s="163"/>
      <c r="F222" s="11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5"/>
      <c r="V222" s="165"/>
    </row>
    <row r="223" ht="12.75" customHeight="1">
      <c r="A223" s="163"/>
      <c r="B223" s="163"/>
      <c r="C223" s="163"/>
      <c r="D223" s="1"/>
      <c r="E223" s="163"/>
      <c r="F223" s="11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5"/>
      <c r="V223" s="165"/>
    </row>
    <row r="224" ht="12.75" customHeight="1">
      <c r="A224" s="163"/>
      <c r="B224" s="163"/>
      <c r="C224" s="163"/>
      <c r="D224" s="1"/>
      <c r="E224" s="163"/>
      <c r="F224" s="11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5"/>
      <c r="V224" s="165"/>
    </row>
    <row r="225" ht="12.75" customHeight="1">
      <c r="A225" s="163"/>
      <c r="B225" s="163"/>
      <c r="C225" s="163"/>
      <c r="D225" s="1"/>
      <c r="E225" s="163"/>
      <c r="F225" s="11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5"/>
      <c r="V225" s="165"/>
    </row>
    <row r="226" ht="12.75" customHeight="1">
      <c r="A226" s="163"/>
      <c r="B226" s="163"/>
      <c r="C226" s="163"/>
      <c r="D226" s="1"/>
      <c r="E226" s="163"/>
      <c r="F226" s="11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5"/>
      <c r="V226" s="165"/>
    </row>
    <row r="227" ht="12.75" customHeight="1">
      <c r="A227" s="163"/>
      <c r="B227" s="163"/>
      <c r="C227" s="163"/>
      <c r="D227" s="1"/>
      <c r="E227" s="163"/>
      <c r="F227" s="11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5"/>
      <c r="V227" s="165"/>
    </row>
    <row r="228" ht="12.75" customHeight="1">
      <c r="A228" s="163"/>
      <c r="B228" s="163"/>
      <c r="C228" s="163"/>
      <c r="D228" s="1"/>
      <c r="E228" s="163"/>
      <c r="F228" s="11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5"/>
      <c r="V228" s="165"/>
    </row>
    <row r="229" ht="12.75" customHeight="1">
      <c r="A229" s="163"/>
      <c r="B229" s="163"/>
      <c r="C229" s="163"/>
      <c r="D229" s="1"/>
      <c r="E229" s="163"/>
      <c r="F229" s="11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5"/>
      <c r="V229" s="165"/>
    </row>
    <row r="230" ht="12.75" customHeight="1">
      <c r="A230" s="163"/>
      <c r="B230" s="163"/>
      <c r="C230" s="163"/>
      <c r="D230" s="1"/>
      <c r="E230" s="163"/>
      <c r="F230" s="11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5"/>
      <c r="V230" s="165"/>
    </row>
    <row r="231" ht="12.75" customHeight="1">
      <c r="A231" s="163"/>
      <c r="B231" s="163"/>
      <c r="C231" s="163"/>
      <c r="D231" s="1"/>
      <c r="E231" s="163"/>
      <c r="F231" s="11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5"/>
      <c r="V231" s="165"/>
    </row>
    <row r="232" ht="12.75" customHeight="1">
      <c r="A232" s="163"/>
      <c r="B232" s="163"/>
      <c r="C232" s="163"/>
      <c r="D232" s="1"/>
      <c r="E232" s="163"/>
      <c r="F232" s="11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5"/>
      <c r="V232" s="165"/>
    </row>
    <row r="233" ht="12.75" customHeight="1">
      <c r="A233" s="163"/>
      <c r="B233" s="163"/>
      <c r="C233" s="163"/>
      <c r="D233" s="1"/>
      <c r="E233" s="163"/>
      <c r="F233" s="11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5"/>
      <c r="V233" s="165"/>
    </row>
    <row r="234" ht="12.75" customHeight="1">
      <c r="A234" s="163"/>
      <c r="B234" s="163"/>
      <c r="C234" s="163"/>
      <c r="D234" s="1"/>
      <c r="E234" s="163"/>
      <c r="F234" s="11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5"/>
      <c r="V234" s="165"/>
    </row>
    <row r="235" ht="12.75" customHeight="1">
      <c r="A235" s="163"/>
      <c r="B235" s="163"/>
      <c r="C235" s="163"/>
      <c r="D235" s="1"/>
      <c r="E235" s="163"/>
      <c r="F235" s="11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5"/>
      <c r="V235" s="165"/>
    </row>
    <row r="236" ht="12.75" customHeight="1">
      <c r="A236" s="163"/>
      <c r="B236" s="163"/>
      <c r="C236" s="163"/>
      <c r="D236" s="1"/>
      <c r="E236" s="163"/>
      <c r="F236" s="11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5"/>
      <c r="V236" s="165"/>
    </row>
    <row r="237" ht="12.75" customHeight="1">
      <c r="A237" s="163"/>
      <c r="B237" s="163"/>
      <c r="C237" s="163"/>
      <c r="D237" s="1"/>
      <c r="E237" s="163"/>
      <c r="F237" s="11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5"/>
      <c r="V237" s="165"/>
    </row>
    <row r="238" ht="12.75" customHeight="1">
      <c r="A238" s="163"/>
      <c r="B238" s="163"/>
      <c r="C238" s="163"/>
      <c r="D238" s="1"/>
      <c r="E238" s="163"/>
      <c r="F238" s="11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5"/>
      <c r="V238" s="165"/>
    </row>
    <row r="239" ht="12.75" customHeight="1">
      <c r="A239" s="163"/>
      <c r="B239" s="163"/>
      <c r="C239" s="163"/>
      <c r="D239" s="1"/>
      <c r="E239" s="163"/>
      <c r="F239" s="11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5"/>
      <c r="V239" s="165"/>
    </row>
    <row r="240" ht="12.75" customHeight="1">
      <c r="A240" s="163"/>
      <c r="B240" s="163"/>
      <c r="C240" s="163"/>
      <c r="D240" s="1"/>
      <c r="E240" s="163"/>
      <c r="F240" s="11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5"/>
      <c r="V240" s="165"/>
    </row>
    <row r="241" ht="12.75" customHeight="1">
      <c r="A241" s="163"/>
      <c r="B241" s="163"/>
      <c r="C241" s="163"/>
      <c r="D241" s="1"/>
      <c r="E241" s="163"/>
      <c r="F241" s="11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5"/>
      <c r="V241" s="165"/>
    </row>
    <row r="242" ht="12.75" customHeight="1">
      <c r="A242" s="163"/>
      <c r="B242" s="163"/>
      <c r="C242" s="163"/>
      <c r="D242" s="1"/>
      <c r="E242" s="163"/>
      <c r="F242" s="11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5"/>
      <c r="V242" s="165"/>
    </row>
    <row r="243" ht="12.75" customHeight="1">
      <c r="A243" s="163"/>
      <c r="B243" s="163"/>
      <c r="C243" s="163"/>
      <c r="D243" s="1"/>
      <c r="E243" s="163"/>
      <c r="F243" s="11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5"/>
      <c r="V243" s="165"/>
    </row>
    <row r="244" ht="12.75" customHeight="1">
      <c r="A244" s="163"/>
      <c r="B244" s="163"/>
      <c r="C244" s="163"/>
      <c r="D244" s="1"/>
      <c r="E244" s="163"/>
      <c r="F244" s="11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5"/>
      <c r="V244" s="165"/>
    </row>
    <row r="245" ht="12.75" customHeight="1">
      <c r="A245" s="163"/>
      <c r="B245" s="163"/>
      <c r="C245" s="163"/>
      <c r="D245" s="1"/>
      <c r="E245" s="163"/>
      <c r="F245" s="11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5"/>
      <c r="V245" s="165"/>
    </row>
    <row r="246" ht="12.75" customHeight="1">
      <c r="A246" s="163"/>
      <c r="B246" s="163"/>
      <c r="C246" s="163"/>
      <c r="D246" s="1"/>
      <c r="E246" s="163"/>
      <c r="F246" s="11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5"/>
      <c r="V246" s="165"/>
    </row>
    <row r="247" ht="12.75" customHeight="1">
      <c r="A247" s="163"/>
      <c r="B247" s="163"/>
      <c r="C247" s="163"/>
      <c r="D247" s="1"/>
      <c r="E247" s="163"/>
      <c r="F247" s="11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5"/>
      <c r="V247" s="165"/>
    </row>
    <row r="248" ht="12.75" customHeight="1">
      <c r="A248" s="163"/>
      <c r="B248" s="163"/>
      <c r="C248" s="163"/>
      <c r="D248" s="1"/>
      <c r="E248" s="163"/>
      <c r="F248" s="11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5"/>
      <c r="V248" s="165"/>
    </row>
    <row r="249" ht="12.75" customHeight="1">
      <c r="A249" s="163"/>
      <c r="B249" s="163"/>
      <c r="C249" s="163"/>
      <c r="D249" s="1"/>
      <c r="E249" s="163"/>
      <c r="F249" s="11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5"/>
      <c r="V249" s="165"/>
    </row>
    <row r="250" ht="12.75" customHeight="1">
      <c r="A250" s="163"/>
      <c r="B250" s="163"/>
      <c r="C250" s="163"/>
      <c r="D250" s="1"/>
      <c r="E250" s="163"/>
      <c r="F250" s="11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5"/>
      <c r="V250" s="165"/>
    </row>
    <row r="251" ht="12.75" customHeight="1">
      <c r="A251" s="163"/>
      <c r="B251" s="163"/>
      <c r="C251" s="163"/>
      <c r="D251" s="1"/>
      <c r="E251" s="163"/>
      <c r="F251" s="11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5"/>
      <c r="V251" s="165"/>
    </row>
    <row r="252" ht="12.75" customHeight="1">
      <c r="A252" s="163"/>
      <c r="B252" s="163"/>
      <c r="C252" s="163"/>
      <c r="D252" s="1"/>
      <c r="E252" s="163"/>
      <c r="F252" s="11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5"/>
      <c r="V252" s="165"/>
    </row>
    <row r="253" ht="12.75" customHeight="1">
      <c r="A253" s="163"/>
      <c r="B253" s="163"/>
      <c r="C253" s="163"/>
      <c r="D253" s="1"/>
      <c r="E253" s="163"/>
      <c r="F253" s="11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5"/>
      <c r="V253" s="165"/>
    </row>
    <row r="254" ht="12.75" customHeight="1">
      <c r="A254" s="163"/>
      <c r="B254" s="163"/>
      <c r="C254" s="163"/>
      <c r="D254" s="1"/>
      <c r="E254" s="163"/>
      <c r="F254" s="11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5"/>
      <c r="V254" s="165"/>
    </row>
    <row r="255" ht="12.75" customHeight="1">
      <c r="A255" s="163"/>
      <c r="B255" s="163"/>
      <c r="C255" s="163"/>
      <c r="D255" s="1"/>
      <c r="E255" s="163"/>
      <c r="F255" s="11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5"/>
      <c r="V255" s="165"/>
    </row>
    <row r="256" ht="12.75" customHeight="1">
      <c r="A256" s="163"/>
      <c r="B256" s="163"/>
      <c r="C256" s="163"/>
      <c r="D256" s="1"/>
      <c r="E256" s="163"/>
      <c r="F256" s="11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5"/>
      <c r="V256" s="165"/>
    </row>
    <row r="257" ht="12.75" customHeight="1">
      <c r="A257" s="163"/>
      <c r="B257" s="163"/>
      <c r="C257" s="163"/>
      <c r="D257" s="1"/>
      <c r="E257" s="163"/>
      <c r="F257" s="11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5"/>
      <c r="V257" s="165"/>
    </row>
    <row r="258" ht="12.75" customHeight="1">
      <c r="A258" s="163"/>
      <c r="B258" s="163"/>
      <c r="C258" s="163"/>
      <c r="D258" s="1"/>
      <c r="E258" s="163"/>
      <c r="F258" s="11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5"/>
      <c r="V258" s="165"/>
    </row>
    <row r="259" ht="12.75" customHeight="1">
      <c r="A259" s="163"/>
      <c r="B259" s="163"/>
      <c r="C259" s="163"/>
      <c r="D259" s="1"/>
      <c r="E259" s="163"/>
      <c r="F259" s="11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5"/>
      <c r="V259" s="165"/>
    </row>
    <row r="260" ht="12.75" customHeight="1">
      <c r="A260" s="163"/>
      <c r="B260" s="163"/>
      <c r="C260" s="163"/>
      <c r="D260" s="1"/>
      <c r="E260" s="163"/>
      <c r="F260" s="11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5"/>
      <c r="V260" s="165"/>
    </row>
    <row r="261" ht="12.75" customHeight="1">
      <c r="A261" s="163"/>
      <c r="B261" s="163"/>
      <c r="C261" s="163"/>
      <c r="D261" s="1"/>
      <c r="E261" s="163"/>
      <c r="F261" s="11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5"/>
      <c r="V261" s="165"/>
    </row>
    <row r="262" ht="12.75" customHeight="1">
      <c r="A262" s="163"/>
      <c r="B262" s="163"/>
      <c r="C262" s="163"/>
      <c r="D262" s="1"/>
      <c r="E262" s="163"/>
      <c r="F262" s="11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5"/>
      <c r="V262" s="165"/>
    </row>
    <row r="263" ht="12.75" customHeight="1">
      <c r="A263" s="163"/>
      <c r="B263" s="163"/>
      <c r="C263" s="163"/>
      <c r="D263" s="1"/>
      <c r="E263" s="163"/>
      <c r="F263" s="11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5"/>
      <c r="V263" s="165"/>
    </row>
    <row r="264" ht="12.75" customHeight="1">
      <c r="A264" s="163"/>
      <c r="B264" s="163"/>
      <c r="C264" s="163"/>
      <c r="D264" s="1"/>
      <c r="E264" s="163"/>
      <c r="F264" s="11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5"/>
      <c r="V264" s="165"/>
    </row>
    <row r="265" ht="12.75" customHeight="1">
      <c r="A265" s="163"/>
      <c r="B265" s="163"/>
      <c r="C265" s="163"/>
      <c r="D265" s="1"/>
      <c r="E265" s="163"/>
      <c r="F265" s="11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5"/>
      <c r="V265" s="165"/>
    </row>
    <row r="266" ht="12.75" customHeight="1">
      <c r="A266" s="163"/>
      <c r="B266" s="163"/>
      <c r="C266" s="163"/>
      <c r="D266" s="1"/>
      <c r="E266" s="163"/>
      <c r="F266" s="11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5"/>
      <c r="V266" s="165"/>
    </row>
    <row r="267" ht="12.75" customHeight="1">
      <c r="A267" s="163"/>
      <c r="B267" s="163"/>
      <c r="C267" s="163"/>
      <c r="D267" s="1"/>
      <c r="E267" s="163"/>
      <c r="F267" s="11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5"/>
      <c r="V267" s="165"/>
    </row>
    <row r="268" ht="12.75" customHeight="1">
      <c r="A268" s="163"/>
      <c r="B268" s="163"/>
      <c r="C268" s="163"/>
      <c r="D268" s="1"/>
      <c r="E268" s="163"/>
      <c r="F268" s="11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5"/>
      <c r="V268" s="165"/>
    </row>
    <row r="269" ht="12.75" customHeight="1">
      <c r="A269" s="163"/>
      <c r="B269" s="163"/>
      <c r="C269" s="163"/>
      <c r="D269" s="1"/>
      <c r="E269" s="163"/>
      <c r="F269" s="11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5"/>
      <c r="V269" s="165"/>
    </row>
    <row r="270" ht="12.75" customHeight="1">
      <c r="A270" s="163"/>
      <c r="B270" s="163"/>
      <c r="C270" s="163"/>
      <c r="D270" s="1"/>
      <c r="E270" s="163"/>
      <c r="F270" s="11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5"/>
      <c r="V270" s="165"/>
    </row>
    <row r="271" ht="12.75" customHeight="1">
      <c r="A271" s="163"/>
      <c r="B271" s="163"/>
      <c r="C271" s="163"/>
      <c r="D271" s="1"/>
      <c r="E271" s="163"/>
      <c r="F271" s="11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5"/>
      <c r="V271" s="165"/>
    </row>
    <row r="272" ht="12.75" customHeight="1">
      <c r="A272" s="163"/>
      <c r="B272" s="163"/>
      <c r="C272" s="163"/>
      <c r="D272" s="1"/>
      <c r="E272" s="163"/>
      <c r="F272" s="11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5"/>
      <c r="V272" s="165"/>
    </row>
    <row r="273" ht="12.75" customHeight="1">
      <c r="A273" s="163"/>
      <c r="B273" s="163"/>
      <c r="C273" s="163"/>
      <c r="D273" s="1"/>
      <c r="E273" s="163"/>
      <c r="F273" s="11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5"/>
      <c r="V273" s="165"/>
    </row>
    <row r="274" ht="12.75" customHeight="1">
      <c r="A274" s="163"/>
      <c r="B274" s="163"/>
      <c r="C274" s="163"/>
      <c r="D274" s="1"/>
      <c r="E274" s="163"/>
      <c r="F274" s="11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5"/>
      <c r="V274" s="165"/>
    </row>
    <row r="275" ht="12.75" customHeight="1">
      <c r="A275" s="163"/>
      <c r="B275" s="163"/>
      <c r="C275" s="163"/>
      <c r="D275" s="1"/>
      <c r="E275" s="163"/>
      <c r="F275" s="11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5"/>
      <c r="V275" s="165"/>
    </row>
    <row r="276" ht="12.75" customHeight="1">
      <c r="A276" s="163"/>
      <c r="B276" s="163"/>
      <c r="C276" s="163"/>
      <c r="D276" s="1"/>
      <c r="E276" s="163"/>
      <c r="F276" s="11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5"/>
      <c r="V276" s="165"/>
    </row>
    <row r="277" ht="12.75" customHeight="1">
      <c r="A277" s="163"/>
      <c r="B277" s="163"/>
      <c r="C277" s="163"/>
      <c r="D277" s="1"/>
      <c r="E277" s="163"/>
      <c r="F277" s="11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5"/>
      <c r="V277" s="165"/>
    </row>
    <row r="278" ht="12.75" customHeight="1">
      <c r="A278" s="163"/>
      <c r="B278" s="163"/>
      <c r="C278" s="163"/>
      <c r="D278" s="1"/>
      <c r="E278" s="163"/>
      <c r="F278" s="11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5"/>
      <c r="V278" s="165"/>
    </row>
    <row r="279" ht="12.75" customHeight="1">
      <c r="A279" s="163"/>
      <c r="B279" s="163"/>
      <c r="C279" s="163"/>
      <c r="D279" s="1"/>
      <c r="E279" s="163"/>
      <c r="F279" s="11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5"/>
      <c r="V279" s="165"/>
    </row>
    <row r="280" ht="12.75" customHeight="1">
      <c r="A280" s="163"/>
      <c r="B280" s="163"/>
      <c r="C280" s="163"/>
      <c r="D280" s="1"/>
      <c r="E280" s="163"/>
      <c r="F280" s="11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5"/>
      <c r="V280" s="165"/>
    </row>
    <row r="281" ht="12.75" customHeight="1">
      <c r="A281" s="163"/>
      <c r="B281" s="163"/>
      <c r="C281" s="163"/>
      <c r="D281" s="1"/>
      <c r="E281" s="163"/>
      <c r="F281" s="11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5"/>
      <c r="V281" s="165"/>
    </row>
    <row r="282" ht="12.75" customHeight="1">
      <c r="A282" s="163"/>
      <c r="B282" s="163"/>
      <c r="C282" s="163"/>
      <c r="D282" s="1"/>
      <c r="E282" s="163"/>
      <c r="F282" s="11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5"/>
      <c r="V282" s="165"/>
    </row>
    <row r="283" ht="12.75" customHeight="1">
      <c r="A283" s="163"/>
      <c r="B283" s="163"/>
      <c r="C283" s="163"/>
      <c r="D283" s="1"/>
      <c r="E283" s="163"/>
      <c r="F283" s="11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5"/>
      <c r="V283" s="165"/>
    </row>
    <row r="284" ht="12.75" customHeight="1">
      <c r="A284" s="163"/>
      <c r="B284" s="163"/>
      <c r="C284" s="163"/>
      <c r="D284" s="1"/>
      <c r="E284" s="163"/>
      <c r="F284" s="11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5"/>
      <c r="V284" s="165"/>
    </row>
    <row r="285" ht="12.75" customHeight="1">
      <c r="A285" s="163"/>
      <c r="B285" s="163"/>
      <c r="C285" s="163"/>
      <c r="D285" s="1"/>
      <c r="E285" s="163"/>
      <c r="F285" s="11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5"/>
      <c r="V285" s="165"/>
    </row>
    <row r="286" ht="12.75" customHeight="1">
      <c r="A286" s="163"/>
      <c r="B286" s="163"/>
      <c r="C286" s="163"/>
      <c r="D286" s="1"/>
      <c r="E286" s="163"/>
      <c r="F286" s="11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5"/>
      <c r="V286" s="165"/>
    </row>
    <row r="287" ht="12.75" customHeight="1">
      <c r="A287" s="163"/>
      <c r="B287" s="163"/>
      <c r="C287" s="163"/>
      <c r="D287" s="1"/>
      <c r="E287" s="163"/>
      <c r="F287" s="11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5"/>
      <c r="V287" s="165"/>
    </row>
    <row r="288" ht="12.75" customHeight="1">
      <c r="A288" s="163"/>
      <c r="B288" s="163"/>
      <c r="C288" s="163"/>
      <c r="D288" s="1"/>
      <c r="E288" s="163"/>
      <c r="F288" s="11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5"/>
      <c r="V288" s="165"/>
    </row>
    <row r="289" ht="12.75" customHeight="1">
      <c r="A289" s="163"/>
      <c r="B289" s="163"/>
      <c r="C289" s="163"/>
      <c r="D289" s="1"/>
      <c r="E289" s="163"/>
      <c r="F289" s="11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5"/>
      <c r="V289" s="165"/>
    </row>
    <row r="290" ht="12.75" customHeight="1">
      <c r="A290" s="163"/>
      <c r="B290" s="163"/>
      <c r="C290" s="163"/>
      <c r="D290" s="1"/>
      <c r="E290" s="163"/>
      <c r="F290" s="11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5"/>
      <c r="V290" s="165"/>
    </row>
    <row r="291" ht="12.75" customHeight="1">
      <c r="A291" s="163"/>
      <c r="B291" s="163"/>
      <c r="C291" s="163"/>
      <c r="D291" s="1"/>
      <c r="E291" s="163"/>
      <c r="F291" s="11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5"/>
      <c r="V291" s="165"/>
    </row>
    <row r="292" ht="12.75" customHeight="1">
      <c r="A292" s="163"/>
      <c r="B292" s="163"/>
      <c r="C292" s="163"/>
      <c r="D292" s="1"/>
      <c r="E292" s="163"/>
      <c r="F292" s="11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5"/>
      <c r="V292" s="165"/>
    </row>
    <row r="293" ht="12.75" customHeight="1">
      <c r="A293" s="163"/>
      <c r="B293" s="163"/>
      <c r="C293" s="163"/>
      <c r="D293" s="1"/>
      <c r="E293" s="163"/>
      <c r="F293" s="11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5"/>
      <c r="V293" s="165"/>
    </row>
    <row r="294" ht="12.75" customHeight="1">
      <c r="A294" s="163"/>
      <c r="B294" s="163"/>
      <c r="C294" s="163"/>
      <c r="D294" s="1"/>
      <c r="E294" s="163"/>
      <c r="F294" s="11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5"/>
      <c r="V294" s="165"/>
    </row>
    <row r="295" ht="12.75" customHeight="1">
      <c r="A295" s="163"/>
      <c r="B295" s="163"/>
      <c r="C295" s="163"/>
      <c r="D295" s="1"/>
      <c r="E295" s="163"/>
      <c r="F295" s="11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5"/>
      <c r="V295" s="165"/>
    </row>
    <row r="296" ht="12.75" customHeight="1">
      <c r="A296" s="163"/>
      <c r="B296" s="163"/>
      <c r="C296" s="163"/>
      <c r="D296" s="1"/>
      <c r="E296" s="163"/>
      <c r="F296" s="11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5"/>
      <c r="V296" s="165"/>
    </row>
    <row r="297" ht="12.75" customHeight="1">
      <c r="A297" s="163"/>
      <c r="B297" s="163"/>
      <c r="C297" s="163"/>
      <c r="D297" s="1"/>
      <c r="E297" s="163"/>
      <c r="F297" s="11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5"/>
      <c r="V297" s="165"/>
    </row>
    <row r="298" ht="12.75" customHeight="1">
      <c r="A298" s="163"/>
      <c r="B298" s="163"/>
      <c r="C298" s="163"/>
      <c r="D298" s="1"/>
      <c r="E298" s="163"/>
      <c r="F298" s="11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5"/>
      <c r="V298" s="165"/>
    </row>
    <row r="299" ht="12.75" customHeight="1">
      <c r="A299" s="163"/>
      <c r="B299" s="163"/>
      <c r="C299" s="163"/>
      <c r="D299" s="1"/>
      <c r="E299" s="163"/>
      <c r="F299" s="11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5"/>
      <c r="V299" s="165"/>
    </row>
    <row r="300" ht="12.75" customHeight="1">
      <c r="A300" s="163"/>
      <c r="B300" s="163"/>
      <c r="C300" s="163"/>
      <c r="D300" s="1"/>
      <c r="E300" s="163"/>
      <c r="F300" s="11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5"/>
      <c r="V300" s="165"/>
    </row>
    <row r="301" ht="12.75" customHeight="1">
      <c r="A301" s="163"/>
      <c r="B301" s="163"/>
      <c r="C301" s="163"/>
      <c r="D301" s="1"/>
      <c r="E301" s="163"/>
      <c r="F301" s="11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5"/>
      <c r="V301" s="165"/>
    </row>
    <row r="302" ht="12.75" customHeight="1">
      <c r="A302" s="163"/>
      <c r="B302" s="163"/>
      <c r="C302" s="163"/>
      <c r="D302" s="1"/>
      <c r="E302" s="163"/>
      <c r="F302" s="11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5"/>
      <c r="V302" s="165"/>
    </row>
    <row r="303" ht="12.75" customHeight="1">
      <c r="A303" s="163"/>
      <c r="B303" s="163"/>
      <c r="C303" s="163"/>
      <c r="D303" s="1"/>
      <c r="E303" s="163"/>
      <c r="F303" s="11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5"/>
      <c r="V303" s="165"/>
    </row>
    <row r="304" ht="12.75" customHeight="1">
      <c r="A304" s="163"/>
      <c r="B304" s="163"/>
      <c r="C304" s="163"/>
      <c r="D304" s="1"/>
      <c r="E304" s="163"/>
      <c r="F304" s="11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5"/>
      <c r="V304" s="165"/>
    </row>
    <row r="305" ht="12.75" customHeight="1">
      <c r="A305" s="163"/>
      <c r="B305" s="163"/>
      <c r="C305" s="163"/>
      <c r="D305" s="1"/>
      <c r="E305" s="163"/>
      <c r="F305" s="11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5"/>
      <c r="V305" s="165"/>
    </row>
    <row r="306" ht="12.75" customHeight="1">
      <c r="A306" s="163"/>
      <c r="B306" s="163"/>
      <c r="C306" s="163"/>
      <c r="D306" s="1"/>
      <c r="E306" s="163"/>
      <c r="F306" s="11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5"/>
      <c r="V306" s="165"/>
    </row>
    <row r="307" ht="12.75" customHeight="1">
      <c r="A307" s="163"/>
      <c r="B307" s="163"/>
      <c r="C307" s="163"/>
      <c r="D307" s="1"/>
      <c r="E307" s="163"/>
      <c r="F307" s="11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5"/>
      <c r="V307" s="165"/>
    </row>
    <row r="308" ht="12.75" customHeight="1">
      <c r="A308" s="163"/>
      <c r="B308" s="163"/>
      <c r="C308" s="163"/>
      <c r="D308" s="1"/>
      <c r="E308" s="163"/>
      <c r="F308" s="11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5"/>
      <c r="V308" s="165"/>
    </row>
    <row r="309" ht="12.75" customHeight="1">
      <c r="A309" s="163"/>
      <c r="B309" s="163"/>
      <c r="C309" s="163"/>
      <c r="D309" s="1"/>
      <c r="E309" s="163"/>
      <c r="F309" s="11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5"/>
      <c r="V309" s="165"/>
    </row>
    <row r="310" ht="12.75" customHeight="1">
      <c r="A310" s="163"/>
      <c r="B310" s="163"/>
      <c r="C310" s="163"/>
      <c r="D310" s="1"/>
      <c r="E310" s="163"/>
      <c r="F310" s="11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5"/>
      <c r="V310" s="165"/>
    </row>
    <row r="311" ht="12.75" customHeight="1">
      <c r="A311" s="163"/>
      <c r="B311" s="163"/>
      <c r="C311" s="163"/>
      <c r="D311" s="1"/>
      <c r="E311" s="163"/>
      <c r="F311" s="11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5"/>
      <c r="V311" s="165"/>
    </row>
    <row r="312" ht="12.75" customHeight="1">
      <c r="A312" s="163"/>
      <c r="B312" s="163"/>
      <c r="C312" s="163"/>
      <c r="D312" s="1"/>
      <c r="E312" s="163"/>
      <c r="F312" s="11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5"/>
      <c r="V312" s="165"/>
    </row>
    <row r="313" ht="12.75" customHeight="1">
      <c r="A313" s="163"/>
      <c r="B313" s="163"/>
      <c r="C313" s="163"/>
      <c r="D313" s="1"/>
      <c r="E313" s="163"/>
      <c r="F313" s="11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5"/>
      <c r="V313" s="165"/>
    </row>
    <row r="314" ht="12.75" customHeight="1">
      <c r="A314" s="163"/>
      <c r="B314" s="163"/>
      <c r="C314" s="163"/>
      <c r="D314" s="1"/>
      <c r="E314" s="163"/>
      <c r="F314" s="11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5"/>
      <c r="V314" s="165"/>
    </row>
    <row r="315" ht="12.75" customHeight="1">
      <c r="A315" s="163"/>
      <c r="B315" s="163"/>
      <c r="C315" s="163"/>
      <c r="D315" s="1"/>
      <c r="E315" s="163"/>
      <c r="F315" s="11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5"/>
      <c r="V315" s="165"/>
    </row>
    <row r="316" ht="12.75" customHeight="1">
      <c r="A316" s="163"/>
      <c r="B316" s="163"/>
      <c r="C316" s="163"/>
      <c r="D316" s="1"/>
      <c r="E316" s="163"/>
      <c r="F316" s="11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5"/>
      <c r="V316" s="165"/>
    </row>
    <row r="317" ht="12.75" customHeight="1">
      <c r="A317" s="163"/>
      <c r="B317" s="163"/>
      <c r="C317" s="163"/>
      <c r="D317" s="1"/>
      <c r="E317" s="163"/>
      <c r="F317" s="11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5"/>
      <c r="V317" s="165"/>
    </row>
    <row r="318" ht="12.75" customHeight="1">
      <c r="A318" s="163"/>
      <c r="B318" s="163"/>
      <c r="C318" s="163"/>
      <c r="D318" s="1"/>
      <c r="E318" s="163"/>
      <c r="F318" s="11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5"/>
      <c r="V318" s="165"/>
    </row>
    <row r="319" ht="12.75" customHeight="1">
      <c r="A319" s="163"/>
      <c r="B319" s="163"/>
      <c r="C319" s="163"/>
      <c r="D319" s="1"/>
      <c r="E319" s="163"/>
      <c r="F319" s="11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5"/>
      <c r="V319" s="165"/>
    </row>
    <row r="320" ht="12.75" customHeight="1">
      <c r="A320" s="163"/>
      <c r="B320" s="163"/>
      <c r="C320" s="163"/>
      <c r="D320" s="1"/>
      <c r="E320" s="163"/>
      <c r="F320" s="11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5"/>
      <c r="V320" s="165"/>
    </row>
    <row r="321" ht="12.75" customHeight="1">
      <c r="A321" s="163"/>
      <c r="B321" s="163"/>
      <c r="C321" s="163"/>
      <c r="D321" s="1"/>
      <c r="E321" s="163"/>
      <c r="F321" s="11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5"/>
      <c r="V321" s="165"/>
    </row>
    <row r="322" ht="12.75" customHeight="1">
      <c r="A322" s="163"/>
      <c r="B322" s="163"/>
      <c r="C322" s="163"/>
      <c r="D322" s="1"/>
      <c r="E322" s="163"/>
      <c r="F322" s="11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5"/>
      <c r="V322" s="165"/>
    </row>
    <row r="323" ht="12.75" customHeight="1">
      <c r="A323" s="163"/>
      <c r="B323" s="163"/>
      <c r="C323" s="163"/>
      <c r="D323" s="1"/>
      <c r="E323" s="163"/>
      <c r="F323" s="11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5"/>
      <c r="V323" s="165"/>
    </row>
    <row r="324" ht="12.75" customHeight="1">
      <c r="A324" s="163"/>
      <c r="B324" s="163"/>
      <c r="C324" s="163"/>
      <c r="D324" s="1"/>
      <c r="E324" s="163"/>
      <c r="F324" s="11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5"/>
      <c r="V324" s="165"/>
    </row>
    <row r="325" ht="12.75" customHeight="1">
      <c r="A325" s="163"/>
      <c r="B325" s="163"/>
      <c r="C325" s="163"/>
      <c r="D325" s="1"/>
      <c r="E325" s="163"/>
      <c r="F325" s="11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5"/>
      <c r="V325" s="165"/>
    </row>
    <row r="326" ht="12.75" customHeight="1">
      <c r="A326" s="163"/>
      <c r="B326" s="163"/>
      <c r="C326" s="163"/>
      <c r="D326" s="1"/>
      <c r="E326" s="163"/>
      <c r="F326" s="11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5"/>
      <c r="V326" s="165"/>
    </row>
    <row r="327" ht="12.75" customHeight="1">
      <c r="A327" s="163"/>
      <c r="B327" s="163"/>
      <c r="C327" s="163"/>
      <c r="D327" s="1"/>
      <c r="E327" s="163"/>
      <c r="F327" s="11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5"/>
      <c r="V327" s="165"/>
    </row>
    <row r="328" ht="12.75" customHeight="1">
      <c r="A328" s="163"/>
      <c r="B328" s="163"/>
      <c r="C328" s="163"/>
      <c r="D328" s="1"/>
      <c r="E328" s="163"/>
      <c r="F328" s="11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5"/>
      <c r="V328" s="165"/>
    </row>
    <row r="329" ht="12.75" customHeight="1">
      <c r="A329" s="163"/>
      <c r="B329" s="163"/>
      <c r="C329" s="163"/>
      <c r="D329" s="1"/>
      <c r="E329" s="163"/>
      <c r="F329" s="11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5"/>
      <c r="V329" s="165"/>
    </row>
    <row r="330" ht="12.75" customHeight="1">
      <c r="A330" s="163"/>
      <c r="B330" s="163"/>
      <c r="C330" s="163"/>
      <c r="D330" s="1"/>
      <c r="E330" s="163"/>
      <c r="F330" s="11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5"/>
      <c r="V330" s="165"/>
    </row>
    <row r="331" ht="12.75" customHeight="1">
      <c r="A331" s="163"/>
      <c r="B331" s="163"/>
      <c r="C331" s="163"/>
      <c r="D331" s="1"/>
      <c r="E331" s="163"/>
      <c r="F331" s="11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5"/>
      <c r="V331" s="165"/>
    </row>
    <row r="332" ht="12.75" customHeight="1">
      <c r="A332" s="163"/>
      <c r="B332" s="163"/>
      <c r="C332" s="163"/>
      <c r="D332" s="1"/>
      <c r="E332" s="163"/>
      <c r="F332" s="11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5"/>
      <c r="V332" s="165"/>
    </row>
    <row r="333" ht="12.75" customHeight="1">
      <c r="A333" s="163"/>
      <c r="B333" s="163"/>
      <c r="C333" s="163"/>
      <c r="D333" s="1"/>
      <c r="E333" s="163"/>
      <c r="F333" s="11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5"/>
      <c r="V333" s="165"/>
    </row>
    <row r="334" ht="12.75" customHeight="1">
      <c r="A334" s="163"/>
      <c r="B334" s="163"/>
      <c r="C334" s="163"/>
      <c r="D334" s="1"/>
      <c r="E334" s="163"/>
      <c r="F334" s="11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5"/>
      <c r="V334" s="165"/>
    </row>
    <row r="335" ht="12.75" customHeight="1">
      <c r="A335" s="163"/>
      <c r="B335" s="163"/>
      <c r="C335" s="163"/>
      <c r="D335" s="1"/>
      <c r="E335" s="163"/>
      <c r="F335" s="11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5"/>
      <c r="V335" s="165"/>
    </row>
    <row r="336" ht="12.75" customHeight="1">
      <c r="A336" s="163"/>
      <c r="B336" s="163"/>
      <c r="C336" s="163"/>
      <c r="D336" s="1"/>
      <c r="E336" s="163"/>
      <c r="F336" s="11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5"/>
      <c r="V336" s="165"/>
    </row>
    <row r="337" ht="12.75" customHeight="1">
      <c r="A337" s="163"/>
      <c r="B337" s="163"/>
      <c r="C337" s="163"/>
      <c r="D337" s="1"/>
      <c r="E337" s="163"/>
      <c r="F337" s="11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5"/>
      <c r="V337" s="165"/>
    </row>
    <row r="338" ht="12.75" customHeight="1">
      <c r="A338" s="163"/>
      <c r="B338" s="163"/>
      <c r="C338" s="163"/>
      <c r="D338" s="1"/>
      <c r="E338" s="163"/>
      <c r="F338" s="11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5"/>
      <c r="V338" s="165"/>
    </row>
    <row r="339" ht="12.75" customHeight="1">
      <c r="A339" s="163"/>
      <c r="B339" s="163"/>
      <c r="C339" s="163"/>
      <c r="D339" s="1"/>
      <c r="E339" s="163"/>
      <c r="F339" s="11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5"/>
      <c r="V339" s="165"/>
    </row>
    <row r="340" ht="12.75" customHeight="1">
      <c r="A340" s="163"/>
      <c r="B340" s="163"/>
      <c r="C340" s="163"/>
      <c r="D340" s="1"/>
      <c r="E340" s="163"/>
      <c r="F340" s="11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5"/>
      <c r="V340" s="165"/>
    </row>
    <row r="341" ht="12.75" customHeight="1">
      <c r="A341" s="163"/>
      <c r="B341" s="163"/>
      <c r="C341" s="163"/>
      <c r="D341" s="1"/>
      <c r="E341" s="163"/>
      <c r="F341" s="11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5"/>
      <c r="V341" s="165"/>
    </row>
    <row r="342" ht="12.75" customHeight="1">
      <c r="A342" s="163"/>
      <c r="B342" s="163"/>
      <c r="C342" s="163"/>
      <c r="D342" s="1"/>
      <c r="E342" s="163"/>
      <c r="F342" s="11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5"/>
      <c r="V342" s="165"/>
    </row>
    <row r="343" ht="12.75" customHeight="1">
      <c r="A343" s="163"/>
      <c r="B343" s="163"/>
      <c r="C343" s="163"/>
      <c r="D343" s="1"/>
      <c r="E343" s="163"/>
      <c r="F343" s="11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5"/>
      <c r="V343" s="165"/>
    </row>
    <row r="344" ht="12.75" customHeight="1">
      <c r="A344" s="163"/>
      <c r="B344" s="163"/>
      <c r="C344" s="163"/>
      <c r="D344" s="1"/>
      <c r="E344" s="163"/>
      <c r="F344" s="11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5"/>
      <c r="V344" s="165"/>
    </row>
    <row r="345" ht="12.75" customHeight="1">
      <c r="A345" s="163"/>
      <c r="B345" s="163"/>
      <c r="C345" s="163"/>
      <c r="D345" s="1"/>
      <c r="E345" s="163"/>
      <c r="F345" s="11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5"/>
      <c r="V345" s="165"/>
    </row>
    <row r="346" ht="12.75" customHeight="1">
      <c r="A346" s="163"/>
      <c r="B346" s="163"/>
      <c r="C346" s="163"/>
      <c r="D346" s="1"/>
      <c r="E346" s="163"/>
      <c r="F346" s="11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5"/>
      <c r="V346" s="165"/>
    </row>
    <row r="347" ht="12.75" customHeight="1">
      <c r="A347" s="163"/>
      <c r="B347" s="163"/>
      <c r="C347" s="163"/>
      <c r="D347" s="1"/>
      <c r="E347" s="163"/>
      <c r="F347" s="11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5"/>
      <c r="V347" s="165"/>
    </row>
    <row r="348" ht="12.75" customHeight="1">
      <c r="A348" s="163"/>
      <c r="B348" s="163"/>
      <c r="C348" s="163"/>
      <c r="D348" s="1"/>
      <c r="E348" s="163"/>
      <c r="F348" s="11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5"/>
      <c r="V348" s="165"/>
    </row>
    <row r="349" ht="12.75" customHeight="1">
      <c r="A349" s="163"/>
      <c r="B349" s="163"/>
      <c r="C349" s="163"/>
      <c r="D349" s="1"/>
      <c r="E349" s="163"/>
      <c r="F349" s="11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5"/>
      <c r="V349" s="165"/>
    </row>
    <row r="350" ht="12.75" customHeight="1">
      <c r="A350" s="163"/>
      <c r="B350" s="163"/>
      <c r="C350" s="163"/>
      <c r="D350" s="1"/>
      <c r="E350" s="163"/>
      <c r="F350" s="11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5"/>
      <c r="V350" s="165"/>
    </row>
    <row r="351" ht="12.75" customHeight="1">
      <c r="A351" s="163"/>
      <c r="B351" s="163"/>
      <c r="C351" s="163"/>
      <c r="D351" s="1"/>
      <c r="E351" s="163"/>
      <c r="F351" s="11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5"/>
      <c r="V351" s="165"/>
    </row>
    <row r="352" ht="12.75" customHeight="1">
      <c r="A352" s="163"/>
      <c r="B352" s="163"/>
      <c r="C352" s="163"/>
      <c r="D352" s="1"/>
      <c r="E352" s="163"/>
      <c r="F352" s="11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5"/>
      <c r="V352" s="165"/>
    </row>
    <row r="353" ht="12.75" customHeight="1">
      <c r="A353" s="163"/>
      <c r="B353" s="163"/>
      <c r="C353" s="163"/>
      <c r="D353" s="1"/>
      <c r="E353" s="163"/>
      <c r="F353" s="11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5"/>
      <c r="V353" s="165"/>
    </row>
    <row r="354" ht="12.75" customHeight="1">
      <c r="A354" s="163"/>
      <c r="B354" s="163"/>
      <c r="C354" s="163"/>
      <c r="D354" s="1"/>
      <c r="E354" s="163"/>
      <c r="F354" s="11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5"/>
      <c r="V354" s="165"/>
    </row>
    <row r="355" ht="12.75" customHeight="1">
      <c r="A355" s="163"/>
      <c r="B355" s="163"/>
      <c r="C355" s="163"/>
      <c r="D355" s="1"/>
      <c r="E355" s="163"/>
      <c r="F355" s="11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5"/>
      <c r="V355" s="165"/>
    </row>
    <row r="356" ht="12.75" customHeight="1">
      <c r="A356" s="163"/>
      <c r="B356" s="163"/>
      <c r="C356" s="163"/>
      <c r="D356" s="1"/>
      <c r="E356" s="163"/>
      <c r="F356" s="11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5"/>
      <c r="V356" s="165"/>
    </row>
    <row r="357" ht="12.75" customHeight="1">
      <c r="A357" s="163"/>
      <c r="B357" s="163"/>
      <c r="C357" s="163"/>
      <c r="D357" s="1"/>
      <c r="E357" s="163"/>
      <c r="F357" s="11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5"/>
      <c r="V357" s="165"/>
    </row>
    <row r="358" ht="12.75" customHeight="1">
      <c r="A358" s="163"/>
      <c r="B358" s="163"/>
      <c r="C358" s="163"/>
      <c r="D358" s="1"/>
      <c r="E358" s="163"/>
      <c r="F358" s="11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5"/>
      <c r="V358" s="165"/>
    </row>
    <row r="359" ht="12.75" customHeight="1">
      <c r="A359" s="163"/>
      <c r="B359" s="163"/>
      <c r="C359" s="163"/>
      <c r="D359" s="1"/>
      <c r="E359" s="163"/>
      <c r="F359" s="11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5"/>
      <c r="V359" s="165"/>
    </row>
    <row r="360" ht="12.75" customHeight="1">
      <c r="A360" s="163"/>
      <c r="B360" s="163"/>
      <c r="C360" s="163"/>
      <c r="D360" s="1"/>
      <c r="E360" s="163"/>
      <c r="F360" s="11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5"/>
      <c r="V360" s="165"/>
    </row>
    <row r="361" ht="12.75" customHeight="1">
      <c r="A361" s="163"/>
      <c r="B361" s="163"/>
      <c r="C361" s="163"/>
      <c r="D361" s="1"/>
      <c r="E361" s="163"/>
      <c r="F361" s="11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5"/>
      <c r="V361" s="165"/>
    </row>
    <row r="362" ht="12.75" customHeight="1">
      <c r="A362" s="163"/>
      <c r="B362" s="163"/>
      <c r="C362" s="163"/>
      <c r="D362" s="1"/>
      <c r="E362" s="163"/>
      <c r="F362" s="11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5"/>
      <c r="V362" s="165"/>
    </row>
    <row r="363" ht="12.75" customHeight="1">
      <c r="A363" s="163"/>
      <c r="B363" s="163"/>
      <c r="C363" s="163"/>
      <c r="D363" s="1"/>
      <c r="E363" s="163"/>
      <c r="F363" s="11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5"/>
      <c r="V363" s="165"/>
    </row>
    <row r="364" ht="12.75" customHeight="1">
      <c r="A364" s="163"/>
      <c r="B364" s="163"/>
      <c r="C364" s="163"/>
      <c r="D364" s="1"/>
      <c r="E364" s="163"/>
      <c r="F364" s="11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5"/>
      <c r="V364" s="165"/>
    </row>
    <row r="365" ht="12.75" customHeight="1">
      <c r="A365" s="163"/>
      <c r="B365" s="163"/>
      <c r="C365" s="163"/>
      <c r="D365" s="1"/>
      <c r="E365" s="163"/>
      <c r="F365" s="11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5"/>
      <c r="V365" s="165"/>
    </row>
    <row r="366" ht="12.75" customHeight="1">
      <c r="A366" s="163"/>
      <c r="B366" s="163"/>
      <c r="C366" s="163"/>
      <c r="D366" s="1"/>
      <c r="E366" s="163"/>
      <c r="F366" s="11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5"/>
      <c r="V366" s="165"/>
    </row>
    <row r="367" ht="12.75" customHeight="1">
      <c r="A367" s="163"/>
      <c r="B367" s="163"/>
      <c r="C367" s="163"/>
      <c r="D367" s="1"/>
      <c r="E367" s="163"/>
      <c r="F367" s="11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5"/>
      <c r="V367" s="165"/>
    </row>
    <row r="368" ht="12.75" customHeight="1">
      <c r="A368" s="163"/>
      <c r="B368" s="163"/>
      <c r="C368" s="163"/>
      <c r="D368" s="1"/>
      <c r="E368" s="163"/>
      <c r="F368" s="11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5"/>
      <c r="V368" s="165"/>
    </row>
    <row r="369" ht="12.75" customHeight="1">
      <c r="A369" s="163"/>
      <c r="B369" s="163"/>
      <c r="C369" s="163"/>
      <c r="D369" s="1"/>
      <c r="E369" s="163"/>
      <c r="F369" s="11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5"/>
      <c r="V369" s="165"/>
    </row>
    <row r="370" ht="12.75" customHeight="1">
      <c r="A370" s="163"/>
      <c r="B370" s="163"/>
      <c r="C370" s="163"/>
      <c r="D370" s="1"/>
      <c r="E370" s="163"/>
      <c r="F370" s="11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5"/>
      <c r="V370" s="165"/>
    </row>
    <row r="371" ht="12.75" customHeight="1">
      <c r="A371" s="163"/>
      <c r="B371" s="163"/>
      <c r="C371" s="163"/>
      <c r="D371" s="1"/>
      <c r="E371" s="163"/>
      <c r="F371" s="11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5"/>
      <c r="V371" s="165"/>
    </row>
    <row r="372" ht="12.75" customHeight="1">
      <c r="A372" s="163"/>
      <c r="B372" s="163"/>
      <c r="C372" s="163"/>
      <c r="D372" s="1"/>
      <c r="E372" s="163"/>
      <c r="F372" s="11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5"/>
      <c r="V372" s="165"/>
    </row>
    <row r="373" ht="12.75" customHeight="1">
      <c r="A373" s="163"/>
      <c r="B373" s="163"/>
      <c r="C373" s="163"/>
      <c r="D373" s="1"/>
      <c r="E373" s="163"/>
      <c r="F373" s="11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5"/>
      <c r="V373" s="165"/>
    </row>
    <row r="374" ht="12.75" customHeight="1">
      <c r="A374" s="163"/>
      <c r="B374" s="163"/>
      <c r="C374" s="163"/>
      <c r="D374" s="1"/>
      <c r="E374" s="163"/>
      <c r="F374" s="11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5"/>
      <c r="V374" s="165"/>
    </row>
    <row r="375" ht="12.75" customHeight="1">
      <c r="A375" s="163"/>
      <c r="B375" s="163"/>
      <c r="C375" s="163"/>
      <c r="D375" s="1"/>
      <c r="E375" s="163"/>
      <c r="F375" s="11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5"/>
      <c r="V375" s="165"/>
    </row>
    <row r="376" ht="12.75" customHeight="1">
      <c r="A376" s="163"/>
      <c r="B376" s="163"/>
      <c r="C376" s="163"/>
      <c r="D376" s="1"/>
      <c r="E376" s="163"/>
      <c r="F376" s="11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5"/>
      <c r="V376" s="165"/>
    </row>
    <row r="377" ht="12.75" customHeight="1">
      <c r="A377" s="163"/>
      <c r="B377" s="163"/>
      <c r="C377" s="163"/>
      <c r="D377" s="1"/>
      <c r="E377" s="163"/>
      <c r="F377" s="11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5"/>
      <c r="V377" s="165"/>
    </row>
    <row r="378" ht="12.75" customHeight="1">
      <c r="A378" s="163"/>
      <c r="B378" s="163"/>
      <c r="C378" s="163"/>
      <c r="D378" s="1"/>
      <c r="E378" s="163"/>
      <c r="F378" s="11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5"/>
      <c r="V378" s="165"/>
    </row>
    <row r="379" ht="12.75" customHeight="1">
      <c r="A379" s="163"/>
      <c r="B379" s="163"/>
      <c r="C379" s="163"/>
      <c r="D379" s="1"/>
      <c r="E379" s="163"/>
      <c r="F379" s="11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5"/>
      <c r="V379" s="165"/>
    </row>
    <row r="380" ht="12.75" customHeight="1">
      <c r="A380" s="163"/>
      <c r="B380" s="163"/>
      <c r="C380" s="163"/>
      <c r="D380" s="1"/>
      <c r="E380" s="163"/>
      <c r="F380" s="11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5"/>
      <c r="V380" s="165"/>
    </row>
    <row r="381" ht="12.75" customHeight="1">
      <c r="A381" s="163"/>
      <c r="B381" s="163"/>
      <c r="C381" s="163"/>
      <c r="D381" s="1"/>
      <c r="E381" s="163"/>
      <c r="F381" s="11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5"/>
      <c r="V381" s="165"/>
    </row>
    <row r="382" ht="12.75" customHeight="1">
      <c r="A382" s="163"/>
      <c r="B382" s="163"/>
      <c r="C382" s="163"/>
      <c r="D382" s="1"/>
      <c r="E382" s="163"/>
      <c r="F382" s="11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5"/>
      <c r="V382" s="165"/>
    </row>
    <row r="383" ht="12.75" customHeight="1">
      <c r="A383" s="163"/>
      <c r="B383" s="163"/>
      <c r="C383" s="163"/>
      <c r="D383" s="1"/>
      <c r="E383" s="163"/>
      <c r="F383" s="11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5"/>
      <c r="V383" s="165"/>
    </row>
    <row r="384" ht="12.75" customHeight="1">
      <c r="A384" s="163"/>
      <c r="B384" s="163"/>
      <c r="C384" s="163"/>
      <c r="D384" s="1"/>
      <c r="E384" s="163"/>
      <c r="F384" s="11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5"/>
      <c r="V384" s="165"/>
    </row>
    <row r="385" ht="12.75" customHeight="1">
      <c r="A385" s="163"/>
      <c r="B385" s="163"/>
      <c r="C385" s="163"/>
      <c r="D385" s="1"/>
      <c r="E385" s="163"/>
      <c r="F385" s="11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5"/>
      <c r="V385" s="165"/>
    </row>
    <row r="386" ht="12.75" customHeight="1">
      <c r="A386" s="163"/>
      <c r="B386" s="163"/>
      <c r="C386" s="163"/>
      <c r="D386" s="1"/>
      <c r="E386" s="163"/>
      <c r="F386" s="11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5"/>
      <c r="V386" s="165"/>
    </row>
    <row r="387" ht="12.75" customHeight="1">
      <c r="A387" s="163"/>
      <c r="B387" s="163"/>
      <c r="C387" s="163"/>
      <c r="D387" s="1"/>
      <c r="E387" s="163"/>
      <c r="F387" s="11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5"/>
      <c r="V387" s="165"/>
    </row>
    <row r="388" ht="12.75" customHeight="1">
      <c r="A388" s="163"/>
      <c r="B388" s="163"/>
      <c r="C388" s="163"/>
      <c r="D388" s="1"/>
      <c r="E388" s="163"/>
      <c r="F388" s="11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5"/>
      <c r="V388" s="165"/>
    </row>
    <row r="389" ht="12.75" customHeight="1">
      <c r="A389" s="163"/>
      <c r="B389" s="163"/>
      <c r="C389" s="163"/>
      <c r="D389" s="1"/>
      <c r="E389" s="163"/>
      <c r="F389" s="11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5"/>
      <c r="V389" s="165"/>
    </row>
    <row r="390" ht="12.75" customHeight="1">
      <c r="A390" s="163"/>
      <c r="B390" s="163"/>
      <c r="C390" s="163"/>
      <c r="D390" s="1"/>
      <c r="E390" s="163"/>
      <c r="F390" s="11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5"/>
      <c r="V390" s="165"/>
    </row>
    <row r="391" ht="12.75" customHeight="1">
      <c r="A391" s="163"/>
      <c r="B391" s="163"/>
      <c r="C391" s="163"/>
      <c r="D391" s="1"/>
      <c r="E391" s="163"/>
      <c r="F391" s="11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5"/>
      <c r="V391" s="165"/>
    </row>
    <row r="392" ht="12.75" customHeight="1">
      <c r="A392" s="163"/>
      <c r="B392" s="163"/>
      <c r="C392" s="163"/>
      <c r="D392" s="1"/>
      <c r="E392" s="163"/>
      <c r="F392" s="11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5"/>
      <c r="V392" s="165"/>
    </row>
    <row r="393" ht="12.75" customHeight="1">
      <c r="A393" s="163"/>
      <c r="B393" s="163"/>
      <c r="C393" s="163"/>
      <c r="D393" s="1"/>
      <c r="E393" s="163"/>
      <c r="F393" s="11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5"/>
      <c r="V393" s="165"/>
    </row>
    <row r="394" ht="12.75" customHeight="1">
      <c r="A394" s="163"/>
      <c r="B394" s="163"/>
      <c r="C394" s="163"/>
      <c r="D394" s="1"/>
      <c r="E394" s="163"/>
      <c r="F394" s="11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5"/>
      <c r="V394" s="165"/>
    </row>
    <row r="395" ht="12.75" customHeight="1">
      <c r="A395" s="163"/>
      <c r="B395" s="163"/>
      <c r="C395" s="163"/>
      <c r="D395" s="1"/>
      <c r="E395" s="163"/>
      <c r="F395" s="11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5"/>
      <c r="V395" s="165"/>
    </row>
    <row r="396" ht="12.75" customHeight="1">
      <c r="A396" s="163"/>
      <c r="B396" s="163"/>
      <c r="C396" s="163"/>
      <c r="D396" s="1"/>
      <c r="E396" s="163"/>
      <c r="F396" s="11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5"/>
      <c r="V396" s="165"/>
    </row>
    <row r="397" ht="12.75" customHeight="1">
      <c r="A397" s="163"/>
      <c r="B397" s="163"/>
      <c r="C397" s="163"/>
      <c r="D397" s="1"/>
      <c r="E397" s="163"/>
      <c r="F397" s="11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5"/>
      <c r="V397" s="165"/>
    </row>
    <row r="398" ht="12.75" customHeight="1">
      <c r="A398" s="163"/>
      <c r="B398" s="163"/>
      <c r="C398" s="163"/>
      <c r="D398" s="1"/>
      <c r="E398" s="163"/>
      <c r="F398" s="11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5"/>
      <c r="V398" s="165"/>
    </row>
    <row r="399" ht="12.75" customHeight="1">
      <c r="A399" s="163"/>
      <c r="B399" s="163"/>
      <c r="C399" s="163"/>
      <c r="D399" s="1"/>
      <c r="E399" s="163"/>
      <c r="F399" s="11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5"/>
      <c r="V399" s="165"/>
    </row>
    <row r="400" ht="12.75" customHeight="1">
      <c r="A400" s="163"/>
      <c r="B400" s="163"/>
      <c r="C400" s="163"/>
      <c r="D400" s="1"/>
      <c r="E400" s="163"/>
      <c r="F400" s="11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5"/>
      <c r="V400" s="165"/>
    </row>
    <row r="401" ht="12.75" customHeight="1">
      <c r="A401" s="163"/>
      <c r="B401" s="163"/>
      <c r="C401" s="163"/>
      <c r="D401" s="1"/>
      <c r="E401" s="163"/>
      <c r="F401" s="11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5"/>
      <c r="V401" s="165"/>
    </row>
    <row r="402" ht="12.75" customHeight="1">
      <c r="A402" s="163"/>
      <c r="B402" s="163"/>
      <c r="C402" s="163"/>
      <c r="D402" s="1"/>
      <c r="E402" s="163"/>
      <c r="F402" s="11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5"/>
      <c r="V402" s="165"/>
    </row>
    <row r="403" ht="12.75" customHeight="1">
      <c r="A403" s="163"/>
      <c r="B403" s="163"/>
      <c r="C403" s="163"/>
      <c r="D403" s="1"/>
      <c r="E403" s="163"/>
      <c r="F403" s="11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5"/>
      <c r="V403" s="165"/>
    </row>
    <row r="404" ht="12.75" customHeight="1">
      <c r="A404" s="163"/>
      <c r="B404" s="163"/>
      <c r="C404" s="163"/>
      <c r="D404" s="1"/>
      <c r="E404" s="163"/>
      <c r="F404" s="11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5"/>
      <c r="V404" s="165"/>
    </row>
    <row r="405" ht="12.75" customHeight="1">
      <c r="A405" s="163"/>
      <c r="B405" s="163"/>
      <c r="C405" s="163"/>
      <c r="D405" s="1"/>
      <c r="E405" s="163"/>
      <c r="F405" s="11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5"/>
      <c r="V405" s="165"/>
    </row>
    <row r="406" ht="12.75" customHeight="1">
      <c r="A406" s="163"/>
      <c r="B406" s="163"/>
      <c r="C406" s="163"/>
      <c r="D406" s="1"/>
      <c r="E406" s="163"/>
      <c r="F406" s="11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5"/>
      <c r="V406" s="165"/>
    </row>
    <row r="407" ht="12.75" customHeight="1">
      <c r="A407" s="163"/>
      <c r="B407" s="163"/>
      <c r="C407" s="163"/>
      <c r="D407" s="1"/>
      <c r="E407" s="163"/>
      <c r="F407" s="11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5"/>
      <c r="V407" s="165"/>
    </row>
    <row r="408" ht="12.75" customHeight="1">
      <c r="A408" s="163"/>
      <c r="B408" s="163"/>
      <c r="C408" s="163"/>
      <c r="D408" s="1"/>
      <c r="E408" s="163"/>
      <c r="F408" s="11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5"/>
      <c r="V408" s="165"/>
    </row>
    <row r="409" ht="12.75" customHeight="1">
      <c r="A409" s="163"/>
      <c r="B409" s="163"/>
      <c r="C409" s="163"/>
      <c r="D409" s="1"/>
      <c r="E409" s="163"/>
      <c r="F409" s="11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5"/>
      <c r="V409" s="165"/>
    </row>
    <row r="410" ht="12.75" customHeight="1">
      <c r="A410" s="163"/>
      <c r="B410" s="163"/>
      <c r="C410" s="163"/>
      <c r="D410" s="1"/>
      <c r="E410" s="163"/>
      <c r="F410" s="11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5"/>
      <c r="V410" s="165"/>
    </row>
    <row r="411" ht="12.75" customHeight="1">
      <c r="A411" s="163"/>
      <c r="B411" s="163"/>
      <c r="C411" s="163"/>
      <c r="D411" s="1"/>
      <c r="E411" s="163"/>
      <c r="F411" s="11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5"/>
      <c r="V411" s="165"/>
    </row>
    <row r="412" ht="12.75" customHeight="1">
      <c r="A412" s="163"/>
      <c r="B412" s="163"/>
      <c r="C412" s="163"/>
      <c r="D412" s="1"/>
      <c r="E412" s="163"/>
      <c r="F412" s="11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5"/>
      <c r="V412" s="165"/>
    </row>
    <row r="413" ht="12.75" customHeight="1">
      <c r="A413" s="163"/>
      <c r="B413" s="163"/>
      <c r="C413" s="163"/>
      <c r="D413" s="1"/>
      <c r="E413" s="163"/>
      <c r="F413" s="11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5"/>
      <c r="V413" s="165"/>
    </row>
    <row r="414" ht="12.75" customHeight="1">
      <c r="A414" s="163"/>
      <c r="B414" s="163"/>
      <c r="C414" s="163"/>
      <c r="D414" s="1"/>
      <c r="E414" s="163"/>
      <c r="F414" s="11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5"/>
      <c r="V414" s="165"/>
    </row>
    <row r="415" ht="12.75" customHeight="1">
      <c r="A415" s="163"/>
      <c r="B415" s="163"/>
      <c r="C415" s="163"/>
      <c r="D415" s="1"/>
      <c r="E415" s="163"/>
      <c r="F415" s="11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5"/>
      <c r="V415" s="165"/>
    </row>
    <row r="416" ht="12.75" customHeight="1">
      <c r="A416" s="163"/>
      <c r="B416" s="163"/>
      <c r="C416" s="163"/>
      <c r="D416" s="1"/>
      <c r="E416" s="163"/>
      <c r="F416" s="11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5"/>
      <c r="V416" s="165"/>
    </row>
    <row r="417" ht="12.75" customHeight="1">
      <c r="A417" s="163"/>
      <c r="B417" s="163"/>
      <c r="C417" s="163"/>
      <c r="D417" s="1"/>
      <c r="E417" s="163"/>
      <c r="F417" s="11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5"/>
      <c r="V417" s="165"/>
    </row>
    <row r="418" ht="12.75" customHeight="1">
      <c r="A418" s="163"/>
      <c r="B418" s="163"/>
      <c r="C418" s="163"/>
      <c r="D418" s="1"/>
      <c r="E418" s="163"/>
      <c r="F418" s="11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5"/>
      <c r="V418" s="165"/>
    </row>
    <row r="419" ht="12.75" customHeight="1">
      <c r="A419" s="163"/>
      <c r="B419" s="163"/>
      <c r="C419" s="163"/>
      <c r="D419" s="1"/>
      <c r="E419" s="163"/>
      <c r="F419" s="11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5"/>
      <c r="V419" s="165"/>
    </row>
    <row r="420" ht="12.75" customHeight="1">
      <c r="A420" s="163"/>
      <c r="B420" s="163"/>
      <c r="C420" s="163"/>
      <c r="D420" s="1"/>
      <c r="E420" s="163"/>
      <c r="F420" s="11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5"/>
      <c r="V420" s="165"/>
    </row>
    <row r="421" ht="12.75" customHeight="1">
      <c r="A421" s="163"/>
      <c r="B421" s="163"/>
      <c r="C421" s="163"/>
      <c r="D421" s="1"/>
      <c r="E421" s="163"/>
      <c r="F421" s="11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5"/>
      <c r="V421" s="165"/>
    </row>
    <row r="422" ht="12.75" customHeight="1">
      <c r="A422" s="163"/>
      <c r="B422" s="163"/>
      <c r="C422" s="163"/>
      <c r="D422" s="1"/>
      <c r="E422" s="163"/>
      <c r="F422" s="11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5"/>
      <c r="V422" s="165"/>
    </row>
    <row r="423" ht="12.75" customHeight="1">
      <c r="A423" s="163"/>
      <c r="B423" s="163"/>
      <c r="C423" s="163"/>
      <c r="D423" s="1"/>
      <c r="E423" s="163"/>
      <c r="F423" s="11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5"/>
      <c r="V423" s="165"/>
    </row>
    <row r="424" ht="12.75" customHeight="1">
      <c r="A424" s="163"/>
      <c r="B424" s="163"/>
      <c r="C424" s="163"/>
      <c r="D424" s="1"/>
      <c r="E424" s="163"/>
      <c r="F424" s="11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5"/>
      <c r="V424" s="165"/>
    </row>
    <row r="425" ht="12.75" customHeight="1">
      <c r="A425" s="163"/>
      <c r="B425" s="163"/>
      <c r="C425" s="163"/>
      <c r="D425" s="1"/>
      <c r="E425" s="163"/>
      <c r="F425" s="11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5"/>
      <c r="V425" s="165"/>
    </row>
    <row r="426" ht="12.75" customHeight="1">
      <c r="A426" s="163"/>
      <c r="B426" s="163"/>
      <c r="C426" s="163"/>
      <c r="D426" s="1"/>
      <c r="E426" s="163"/>
      <c r="F426" s="11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5"/>
      <c r="V426" s="165"/>
    </row>
    <row r="427" ht="12.75" customHeight="1">
      <c r="A427" s="163"/>
      <c r="B427" s="163"/>
      <c r="C427" s="163"/>
      <c r="D427" s="1"/>
      <c r="E427" s="163"/>
      <c r="F427" s="11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5"/>
      <c r="V427" s="165"/>
    </row>
    <row r="428" ht="12.75" customHeight="1">
      <c r="A428" s="163"/>
      <c r="B428" s="163"/>
      <c r="C428" s="163"/>
      <c r="D428" s="1"/>
      <c r="E428" s="163"/>
      <c r="F428" s="11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5"/>
      <c r="V428" s="165"/>
    </row>
    <row r="429" ht="12.75" customHeight="1">
      <c r="A429" s="163"/>
      <c r="B429" s="163"/>
      <c r="C429" s="163"/>
      <c r="D429" s="1"/>
      <c r="E429" s="163"/>
      <c r="F429" s="11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5"/>
      <c r="V429" s="165"/>
    </row>
    <row r="430" ht="12.75" customHeight="1">
      <c r="A430" s="163"/>
      <c r="B430" s="163"/>
      <c r="C430" s="163"/>
      <c r="D430" s="1"/>
      <c r="E430" s="163"/>
      <c r="F430" s="11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5"/>
      <c r="V430" s="165"/>
    </row>
    <row r="431" ht="12.75" customHeight="1">
      <c r="A431" s="163"/>
      <c r="B431" s="163"/>
      <c r="C431" s="163"/>
      <c r="D431" s="1"/>
      <c r="E431" s="163"/>
      <c r="F431" s="11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5"/>
      <c r="V431" s="165"/>
    </row>
    <row r="432" ht="12.75" customHeight="1">
      <c r="A432" s="163"/>
      <c r="B432" s="163"/>
      <c r="C432" s="163"/>
      <c r="D432" s="1"/>
      <c r="E432" s="163"/>
      <c r="F432" s="11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5"/>
      <c r="V432" s="165"/>
    </row>
    <row r="433" ht="12.75" customHeight="1">
      <c r="A433" s="163"/>
      <c r="B433" s="163"/>
      <c r="C433" s="163"/>
      <c r="D433" s="1"/>
      <c r="E433" s="163"/>
      <c r="F433" s="11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5"/>
      <c r="V433" s="165"/>
    </row>
    <row r="434" ht="12.75" customHeight="1">
      <c r="A434" s="163"/>
      <c r="B434" s="163"/>
      <c r="C434" s="163"/>
      <c r="D434" s="1"/>
      <c r="E434" s="163"/>
      <c r="F434" s="11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5"/>
      <c r="V434" s="165"/>
    </row>
    <row r="435" ht="12.75" customHeight="1">
      <c r="A435" s="163"/>
      <c r="B435" s="163"/>
      <c r="C435" s="163"/>
      <c r="D435" s="1"/>
      <c r="E435" s="163"/>
      <c r="F435" s="11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5"/>
      <c r="V435" s="165"/>
    </row>
    <row r="436" ht="12.75" customHeight="1">
      <c r="A436" s="163"/>
      <c r="B436" s="163"/>
      <c r="C436" s="163"/>
      <c r="D436" s="1"/>
      <c r="E436" s="163"/>
      <c r="F436" s="11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5"/>
      <c r="V436" s="165"/>
    </row>
    <row r="437" ht="12.75" customHeight="1">
      <c r="A437" s="163"/>
      <c r="B437" s="163"/>
      <c r="C437" s="163"/>
      <c r="D437" s="1"/>
      <c r="E437" s="163"/>
      <c r="F437" s="11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5"/>
      <c r="V437" s="165"/>
    </row>
    <row r="438" ht="12.75" customHeight="1">
      <c r="A438" s="163"/>
      <c r="B438" s="163"/>
      <c r="C438" s="163"/>
      <c r="D438" s="1"/>
      <c r="E438" s="163"/>
      <c r="F438" s="11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5"/>
      <c r="V438" s="165"/>
    </row>
    <row r="439" ht="12.75" customHeight="1">
      <c r="A439" s="163"/>
      <c r="B439" s="163"/>
      <c r="C439" s="163"/>
      <c r="D439" s="1"/>
      <c r="E439" s="163"/>
      <c r="F439" s="11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5"/>
      <c r="V439" s="165"/>
    </row>
    <row r="440" ht="12.75" customHeight="1">
      <c r="A440" s="163"/>
      <c r="B440" s="163"/>
      <c r="C440" s="163"/>
      <c r="D440" s="1"/>
      <c r="E440" s="163"/>
      <c r="F440" s="11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5"/>
      <c r="V440" s="165"/>
    </row>
    <row r="441" ht="12.75" customHeight="1">
      <c r="A441" s="163"/>
      <c r="B441" s="163"/>
      <c r="C441" s="163"/>
      <c r="D441" s="1"/>
      <c r="E441" s="163"/>
      <c r="F441" s="11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5"/>
      <c r="V441" s="165"/>
    </row>
    <row r="442" ht="12.75" customHeight="1">
      <c r="A442" s="163"/>
      <c r="B442" s="163"/>
      <c r="C442" s="163"/>
      <c r="D442" s="1"/>
      <c r="E442" s="163"/>
      <c r="F442" s="11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5"/>
      <c r="V442" s="165"/>
    </row>
    <row r="443" ht="12.75" customHeight="1">
      <c r="A443" s="163"/>
      <c r="B443" s="163"/>
      <c r="C443" s="163"/>
      <c r="D443" s="1"/>
      <c r="E443" s="163"/>
      <c r="F443" s="11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5"/>
      <c r="V443" s="165"/>
    </row>
    <row r="444" ht="12.75" customHeight="1">
      <c r="A444" s="163"/>
      <c r="B444" s="163"/>
      <c r="C444" s="163"/>
      <c r="D444" s="1"/>
      <c r="E444" s="163"/>
      <c r="F444" s="11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5"/>
      <c r="V444" s="165"/>
    </row>
    <row r="445" ht="12.75" customHeight="1">
      <c r="A445" s="163"/>
      <c r="B445" s="163"/>
      <c r="C445" s="163"/>
      <c r="D445" s="1"/>
      <c r="E445" s="163"/>
      <c r="F445" s="11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5"/>
      <c r="V445" s="165"/>
    </row>
    <row r="446" ht="12.75" customHeight="1">
      <c r="A446" s="163"/>
      <c r="B446" s="163"/>
      <c r="C446" s="163"/>
      <c r="D446" s="1"/>
      <c r="E446" s="163"/>
      <c r="F446" s="11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5"/>
      <c r="V446" s="165"/>
    </row>
    <row r="447" ht="12.75" customHeight="1">
      <c r="A447" s="163"/>
      <c r="B447" s="163"/>
      <c r="C447" s="163"/>
      <c r="D447" s="1"/>
      <c r="E447" s="163"/>
      <c r="F447" s="11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5"/>
      <c r="V447" s="165"/>
    </row>
    <row r="448" ht="12.75" customHeight="1">
      <c r="A448" s="163"/>
      <c r="B448" s="163"/>
      <c r="C448" s="163"/>
      <c r="D448" s="1"/>
      <c r="E448" s="163"/>
      <c r="F448" s="11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5"/>
      <c r="V448" s="165"/>
    </row>
    <row r="449" ht="12.75" customHeight="1">
      <c r="A449" s="163"/>
      <c r="B449" s="163"/>
      <c r="C449" s="163"/>
      <c r="D449" s="1"/>
      <c r="E449" s="163"/>
      <c r="F449" s="11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5"/>
      <c r="V449" s="165"/>
    </row>
    <row r="450" ht="12.75" customHeight="1">
      <c r="A450" s="163"/>
      <c r="B450" s="163"/>
      <c r="C450" s="163"/>
      <c r="D450" s="1"/>
      <c r="E450" s="163"/>
      <c r="F450" s="11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5"/>
      <c r="V450" s="165"/>
    </row>
    <row r="451" ht="12.75" customHeight="1">
      <c r="A451" s="163"/>
      <c r="B451" s="163"/>
      <c r="C451" s="163"/>
      <c r="D451" s="1"/>
      <c r="E451" s="163"/>
      <c r="F451" s="11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5"/>
      <c r="V451" s="165"/>
    </row>
    <row r="452" ht="12.75" customHeight="1">
      <c r="A452" s="163"/>
      <c r="B452" s="163"/>
      <c r="C452" s="163"/>
      <c r="D452" s="1"/>
      <c r="E452" s="163"/>
      <c r="F452" s="11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5"/>
      <c r="V452" s="165"/>
    </row>
    <row r="453" ht="12.75" customHeight="1">
      <c r="A453" s="163"/>
      <c r="B453" s="163"/>
      <c r="C453" s="163"/>
      <c r="D453" s="1"/>
      <c r="E453" s="163"/>
      <c r="F453" s="11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5"/>
      <c r="V453" s="165"/>
    </row>
    <row r="454" ht="12.75" customHeight="1">
      <c r="A454" s="163"/>
      <c r="B454" s="163"/>
      <c r="C454" s="163"/>
      <c r="D454" s="1"/>
      <c r="E454" s="163"/>
      <c r="F454" s="11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5"/>
      <c r="V454" s="165"/>
    </row>
    <row r="455" ht="12.75" customHeight="1">
      <c r="A455" s="163"/>
      <c r="B455" s="163"/>
      <c r="C455" s="163"/>
      <c r="D455" s="1"/>
      <c r="E455" s="163"/>
      <c r="F455" s="11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5"/>
      <c r="V455" s="165"/>
    </row>
    <row r="456" ht="12.75" customHeight="1">
      <c r="A456" s="163"/>
      <c r="B456" s="163"/>
      <c r="C456" s="163"/>
      <c r="D456" s="1"/>
      <c r="E456" s="163"/>
      <c r="F456" s="11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5"/>
      <c r="V456" s="165"/>
    </row>
    <row r="457" ht="12.75" customHeight="1">
      <c r="A457" s="163"/>
      <c r="B457" s="163"/>
      <c r="C457" s="163"/>
      <c r="D457" s="1"/>
      <c r="E457" s="163"/>
      <c r="F457" s="11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5"/>
      <c r="V457" s="165"/>
    </row>
    <row r="458" ht="12.75" customHeight="1">
      <c r="A458" s="163"/>
      <c r="B458" s="163"/>
      <c r="C458" s="163"/>
      <c r="D458" s="1"/>
      <c r="E458" s="163"/>
      <c r="F458" s="11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5"/>
      <c r="V458" s="165"/>
    </row>
    <row r="459" ht="12.75" customHeight="1">
      <c r="A459" s="163"/>
      <c r="B459" s="163"/>
      <c r="C459" s="163"/>
      <c r="D459" s="1"/>
      <c r="E459" s="163"/>
      <c r="F459" s="11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5"/>
      <c r="V459" s="165"/>
    </row>
    <row r="460" ht="12.75" customHeight="1">
      <c r="A460" s="163"/>
      <c r="B460" s="163"/>
      <c r="C460" s="163"/>
      <c r="D460" s="1"/>
      <c r="E460" s="163"/>
      <c r="F460" s="11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5"/>
      <c r="V460" s="165"/>
    </row>
    <row r="461" ht="12.75" customHeight="1">
      <c r="A461" s="163"/>
      <c r="B461" s="163"/>
      <c r="C461" s="163"/>
      <c r="D461" s="1"/>
      <c r="E461" s="163"/>
      <c r="F461" s="11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5"/>
      <c r="V461" s="165"/>
    </row>
    <row r="462" ht="12.75" customHeight="1">
      <c r="A462" s="163"/>
      <c r="B462" s="163"/>
      <c r="C462" s="163"/>
      <c r="D462" s="1"/>
      <c r="E462" s="163"/>
      <c r="F462" s="11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5"/>
      <c r="V462" s="165"/>
    </row>
    <row r="463" ht="12.75" customHeight="1">
      <c r="A463" s="163"/>
      <c r="B463" s="163"/>
      <c r="C463" s="163"/>
      <c r="D463" s="1"/>
      <c r="E463" s="163"/>
      <c r="F463" s="11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5"/>
      <c r="V463" s="165"/>
    </row>
    <row r="464" ht="12.75" customHeight="1">
      <c r="A464" s="163"/>
      <c r="B464" s="163"/>
      <c r="C464" s="163"/>
      <c r="D464" s="1"/>
      <c r="E464" s="163"/>
      <c r="F464" s="11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5"/>
      <c r="V464" s="165"/>
    </row>
    <row r="465" ht="12.75" customHeight="1">
      <c r="A465" s="163"/>
      <c r="B465" s="163"/>
      <c r="C465" s="163"/>
      <c r="D465" s="1"/>
      <c r="E465" s="163"/>
      <c r="F465" s="11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5"/>
      <c r="V465" s="165"/>
    </row>
    <row r="466" ht="12.75" customHeight="1">
      <c r="A466" s="163"/>
      <c r="B466" s="163"/>
      <c r="C466" s="163"/>
      <c r="D466" s="1"/>
      <c r="E466" s="163"/>
      <c r="F466" s="11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5"/>
      <c r="V466" s="165"/>
    </row>
    <row r="467" ht="12.75" customHeight="1">
      <c r="A467" s="163"/>
      <c r="B467" s="163"/>
      <c r="C467" s="163"/>
      <c r="D467" s="1"/>
      <c r="E467" s="163"/>
      <c r="F467" s="11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5"/>
      <c r="V467" s="165"/>
    </row>
    <row r="468" ht="12.75" customHeight="1">
      <c r="A468" s="163"/>
      <c r="B468" s="163"/>
      <c r="C468" s="163"/>
      <c r="D468" s="1"/>
      <c r="E468" s="163"/>
      <c r="F468" s="11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5"/>
      <c r="V468" s="165"/>
    </row>
    <row r="469" ht="12.75" customHeight="1">
      <c r="A469" s="163"/>
      <c r="B469" s="163"/>
      <c r="C469" s="163"/>
      <c r="D469" s="1"/>
      <c r="E469" s="163"/>
      <c r="F469" s="11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5"/>
      <c r="V469" s="165"/>
    </row>
    <row r="470" ht="12.75" customHeight="1">
      <c r="A470" s="163"/>
      <c r="B470" s="163"/>
      <c r="C470" s="163"/>
      <c r="D470" s="1"/>
      <c r="E470" s="163"/>
      <c r="F470" s="11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5"/>
      <c r="V470" s="165"/>
    </row>
    <row r="471" ht="12.75" customHeight="1">
      <c r="A471" s="163"/>
      <c r="B471" s="163"/>
      <c r="C471" s="163"/>
      <c r="D471" s="1"/>
      <c r="E471" s="163"/>
      <c r="F471" s="11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5"/>
      <c r="V471" s="165"/>
    </row>
    <row r="472" ht="12.75" customHeight="1">
      <c r="A472" s="163"/>
      <c r="B472" s="163"/>
      <c r="C472" s="163"/>
      <c r="D472" s="1"/>
      <c r="E472" s="163"/>
      <c r="F472" s="11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5"/>
      <c r="V472" s="165"/>
    </row>
    <row r="473" ht="12.75" customHeight="1">
      <c r="A473" s="163"/>
      <c r="B473" s="163"/>
      <c r="C473" s="163"/>
      <c r="D473" s="1"/>
      <c r="E473" s="163"/>
      <c r="F473" s="11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5"/>
      <c r="V473" s="165"/>
    </row>
    <row r="474" ht="12.75" customHeight="1">
      <c r="A474" s="163"/>
      <c r="B474" s="163"/>
      <c r="C474" s="163"/>
      <c r="D474" s="1"/>
      <c r="E474" s="163"/>
      <c r="F474" s="11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5"/>
      <c r="V474" s="165"/>
    </row>
    <row r="475" ht="12.75" customHeight="1">
      <c r="A475" s="163"/>
      <c r="B475" s="163"/>
      <c r="C475" s="163"/>
      <c r="D475" s="1"/>
      <c r="E475" s="163"/>
      <c r="F475" s="11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5"/>
      <c r="V475" s="165"/>
    </row>
    <row r="476" ht="12.75" customHeight="1">
      <c r="A476" s="163"/>
      <c r="B476" s="163"/>
      <c r="C476" s="163"/>
      <c r="D476" s="1"/>
      <c r="E476" s="163"/>
      <c r="F476" s="11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5"/>
      <c r="V476" s="165"/>
    </row>
    <row r="477" ht="12.75" customHeight="1">
      <c r="A477" s="163"/>
      <c r="B477" s="163"/>
      <c r="C477" s="163"/>
      <c r="D477" s="1"/>
      <c r="E477" s="163"/>
      <c r="F477" s="11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5"/>
      <c r="V477" s="165"/>
    </row>
    <row r="478" ht="12.75" customHeight="1">
      <c r="A478" s="163"/>
      <c r="B478" s="163"/>
      <c r="C478" s="163"/>
      <c r="D478" s="1"/>
      <c r="E478" s="163"/>
      <c r="F478" s="11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5"/>
      <c r="V478" s="165"/>
    </row>
    <row r="479" ht="12.75" customHeight="1">
      <c r="A479" s="163"/>
      <c r="B479" s="163"/>
      <c r="C479" s="163"/>
      <c r="D479" s="1"/>
      <c r="E479" s="163"/>
      <c r="F479" s="11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5"/>
      <c r="V479" s="165"/>
    </row>
    <row r="480" ht="12.75" customHeight="1">
      <c r="A480" s="163"/>
      <c r="B480" s="163"/>
      <c r="C480" s="163"/>
      <c r="D480" s="1"/>
      <c r="E480" s="163"/>
      <c r="F480" s="11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5"/>
      <c r="V480" s="165"/>
    </row>
    <row r="481" ht="12.75" customHeight="1">
      <c r="A481" s="163"/>
      <c r="B481" s="163"/>
      <c r="C481" s="163"/>
      <c r="D481" s="1"/>
      <c r="E481" s="163"/>
      <c r="F481" s="11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5"/>
      <c r="V481" s="165"/>
    </row>
    <row r="482" ht="12.75" customHeight="1">
      <c r="A482" s="163"/>
      <c r="B482" s="163"/>
      <c r="C482" s="163"/>
      <c r="D482" s="1"/>
      <c r="E482" s="163"/>
      <c r="F482" s="11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5"/>
      <c r="V482" s="165"/>
    </row>
    <row r="483" ht="12.75" customHeight="1">
      <c r="A483" s="163"/>
      <c r="B483" s="163"/>
      <c r="C483" s="163"/>
      <c r="D483" s="1"/>
      <c r="E483" s="163"/>
      <c r="F483" s="11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5"/>
      <c r="V483" s="165"/>
    </row>
    <row r="484" ht="12.75" customHeight="1">
      <c r="A484" s="163"/>
      <c r="B484" s="163"/>
      <c r="C484" s="163"/>
      <c r="D484" s="1"/>
      <c r="E484" s="163"/>
      <c r="F484" s="11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5"/>
      <c r="V484" s="165"/>
    </row>
    <row r="485" ht="12.75" customHeight="1">
      <c r="A485" s="163"/>
      <c r="B485" s="163"/>
      <c r="C485" s="163"/>
      <c r="D485" s="1"/>
      <c r="E485" s="163"/>
      <c r="F485" s="11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5"/>
      <c r="V485" s="165"/>
    </row>
    <row r="486" ht="12.75" customHeight="1">
      <c r="A486" s="163"/>
      <c r="B486" s="163"/>
      <c r="C486" s="163"/>
      <c r="D486" s="1"/>
      <c r="E486" s="163"/>
      <c r="F486" s="11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5"/>
      <c r="V486" s="165"/>
    </row>
    <row r="487" ht="12.75" customHeight="1">
      <c r="A487" s="163"/>
      <c r="B487" s="163"/>
      <c r="C487" s="163"/>
      <c r="D487" s="1"/>
      <c r="E487" s="163"/>
      <c r="F487" s="11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5"/>
      <c r="V487" s="165"/>
    </row>
    <row r="488" ht="12.75" customHeight="1">
      <c r="A488" s="163"/>
      <c r="B488" s="163"/>
      <c r="C488" s="163"/>
      <c r="D488" s="1"/>
      <c r="E488" s="163"/>
      <c r="F488" s="11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5"/>
      <c r="V488" s="165"/>
    </row>
    <row r="489" ht="12.75" customHeight="1">
      <c r="A489" s="163"/>
      <c r="B489" s="163"/>
      <c r="C489" s="163"/>
      <c r="D489" s="1"/>
      <c r="E489" s="163"/>
      <c r="F489" s="11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5"/>
      <c r="V489" s="165"/>
    </row>
    <row r="490" ht="12.75" customHeight="1">
      <c r="A490" s="163"/>
      <c r="B490" s="163"/>
      <c r="C490" s="163"/>
      <c r="D490" s="1"/>
      <c r="E490" s="163"/>
      <c r="F490" s="11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5"/>
      <c r="V490" s="165"/>
    </row>
    <row r="491" ht="12.75" customHeight="1">
      <c r="A491" s="163"/>
      <c r="B491" s="163"/>
      <c r="C491" s="163"/>
      <c r="D491" s="1"/>
      <c r="E491" s="163"/>
      <c r="F491" s="11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5"/>
      <c r="V491" s="165"/>
    </row>
    <row r="492" ht="12.75" customHeight="1">
      <c r="A492" s="163"/>
      <c r="B492" s="163"/>
      <c r="C492" s="163"/>
      <c r="D492" s="1"/>
      <c r="E492" s="163"/>
      <c r="F492" s="11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5"/>
      <c r="V492" s="165"/>
    </row>
    <row r="493" ht="12.75" customHeight="1">
      <c r="A493" s="163"/>
      <c r="B493" s="163"/>
      <c r="C493" s="163"/>
      <c r="D493" s="1"/>
      <c r="E493" s="163"/>
      <c r="F493" s="11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5"/>
      <c r="V493" s="165"/>
    </row>
    <row r="494" ht="12.75" customHeight="1">
      <c r="A494" s="163"/>
      <c r="B494" s="163"/>
      <c r="C494" s="163"/>
      <c r="D494" s="1"/>
      <c r="E494" s="163"/>
      <c r="F494" s="11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5"/>
      <c r="V494" s="165"/>
    </row>
    <row r="495" ht="12.75" customHeight="1">
      <c r="A495" s="163"/>
      <c r="B495" s="163"/>
      <c r="C495" s="163"/>
      <c r="D495" s="1"/>
      <c r="E495" s="163"/>
      <c r="F495" s="11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5"/>
      <c r="V495" s="165"/>
    </row>
    <row r="496" ht="12.75" customHeight="1">
      <c r="A496" s="163"/>
      <c r="B496" s="163"/>
      <c r="C496" s="163"/>
      <c r="D496" s="1"/>
      <c r="E496" s="163"/>
      <c r="F496" s="11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5"/>
      <c r="V496" s="165"/>
    </row>
    <row r="497" ht="12.75" customHeight="1">
      <c r="A497" s="163"/>
      <c r="B497" s="163"/>
      <c r="C497" s="163"/>
      <c r="D497" s="1"/>
      <c r="E497" s="163"/>
      <c r="F497" s="11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5"/>
      <c r="V497" s="165"/>
    </row>
    <row r="498" ht="12.75" customHeight="1">
      <c r="A498" s="163"/>
      <c r="B498" s="163"/>
      <c r="C498" s="163"/>
      <c r="D498" s="1"/>
      <c r="E498" s="163"/>
      <c r="F498" s="11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5"/>
      <c r="V498" s="165"/>
    </row>
    <row r="499" ht="12.75" customHeight="1">
      <c r="A499" s="163"/>
      <c r="B499" s="163"/>
      <c r="C499" s="163"/>
      <c r="D499" s="1"/>
      <c r="E499" s="163"/>
      <c r="F499" s="11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5"/>
      <c r="V499" s="165"/>
    </row>
    <row r="500" ht="12.75" customHeight="1">
      <c r="A500" s="163"/>
      <c r="B500" s="163"/>
      <c r="C500" s="163"/>
      <c r="D500" s="1"/>
      <c r="E500" s="163"/>
      <c r="F500" s="11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5"/>
      <c r="V500" s="165"/>
    </row>
    <row r="501" ht="12.75" customHeight="1">
      <c r="A501" s="163"/>
      <c r="B501" s="163"/>
      <c r="C501" s="163"/>
      <c r="D501" s="1"/>
      <c r="E501" s="163"/>
      <c r="F501" s="11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5"/>
      <c r="V501" s="165"/>
    </row>
    <row r="502" ht="12.75" customHeight="1">
      <c r="A502" s="163"/>
      <c r="B502" s="163"/>
      <c r="C502" s="163"/>
      <c r="D502" s="1"/>
      <c r="E502" s="163"/>
      <c r="F502" s="11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5"/>
      <c r="V502" s="165"/>
    </row>
    <row r="503" ht="12.75" customHeight="1">
      <c r="A503" s="163"/>
      <c r="B503" s="163"/>
      <c r="C503" s="163"/>
      <c r="D503" s="1"/>
      <c r="E503" s="163"/>
      <c r="F503" s="11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5"/>
      <c r="V503" s="165"/>
    </row>
    <row r="504" ht="12.75" customHeight="1">
      <c r="A504" s="163"/>
      <c r="B504" s="163"/>
      <c r="C504" s="163"/>
      <c r="D504" s="1"/>
      <c r="E504" s="163"/>
      <c r="F504" s="11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5"/>
      <c r="V504" s="165"/>
    </row>
    <row r="505" ht="12.75" customHeight="1">
      <c r="A505" s="163"/>
      <c r="B505" s="163"/>
      <c r="C505" s="163"/>
      <c r="D505" s="1"/>
      <c r="E505" s="163"/>
      <c r="F505" s="11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5"/>
      <c r="V505" s="165"/>
    </row>
    <row r="506" ht="12.75" customHeight="1">
      <c r="A506" s="163"/>
      <c r="B506" s="163"/>
      <c r="C506" s="163"/>
      <c r="D506" s="1"/>
      <c r="E506" s="163"/>
      <c r="F506" s="11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5"/>
      <c r="V506" s="165"/>
    </row>
    <row r="507" ht="12.75" customHeight="1">
      <c r="A507" s="163"/>
      <c r="B507" s="163"/>
      <c r="C507" s="163"/>
      <c r="D507" s="1"/>
      <c r="E507" s="163"/>
      <c r="F507" s="11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5"/>
      <c r="V507" s="165"/>
    </row>
    <row r="508" ht="12.75" customHeight="1">
      <c r="A508" s="163"/>
      <c r="B508" s="163"/>
      <c r="C508" s="163"/>
      <c r="D508" s="1"/>
      <c r="E508" s="163"/>
      <c r="F508" s="11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5"/>
      <c r="V508" s="165"/>
    </row>
    <row r="509" ht="12.75" customHeight="1">
      <c r="A509" s="163"/>
      <c r="B509" s="163"/>
      <c r="C509" s="163"/>
      <c r="D509" s="1"/>
      <c r="E509" s="163"/>
      <c r="F509" s="11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5"/>
      <c r="V509" s="165"/>
    </row>
    <row r="510" ht="12.75" customHeight="1">
      <c r="A510" s="163"/>
      <c r="B510" s="163"/>
      <c r="C510" s="163"/>
      <c r="D510" s="1"/>
      <c r="E510" s="163"/>
      <c r="F510" s="11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5"/>
      <c r="V510" s="165"/>
    </row>
    <row r="511" ht="12.75" customHeight="1">
      <c r="A511" s="163"/>
      <c r="B511" s="163"/>
      <c r="C511" s="163"/>
      <c r="D511" s="1"/>
      <c r="E511" s="163"/>
      <c r="F511" s="11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5"/>
      <c r="V511" s="165"/>
    </row>
    <row r="512" ht="12.75" customHeight="1">
      <c r="A512" s="163"/>
      <c r="B512" s="163"/>
      <c r="C512" s="163"/>
      <c r="D512" s="1"/>
      <c r="E512" s="163"/>
      <c r="F512" s="11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5"/>
      <c r="V512" s="165"/>
    </row>
    <row r="513" ht="12.75" customHeight="1">
      <c r="A513" s="163"/>
      <c r="B513" s="163"/>
      <c r="C513" s="163"/>
      <c r="D513" s="1"/>
      <c r="E513" s="163"/>
      <c r="F513" s="11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5"/>
      <c r="V513" s="165"/>
    </row>
    <row r="514" ht="12.75" customHeight="1">
      <c r="A514" s="163"/>
      <c r="B514" s="163"/>
      <c r="C514" s="163"/>
      <c r="D514" s="1"/>
      <c r="E514" s="163"/>
      <c r="F514" s="11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5"/>
      <c r="V514" s="165"/>
    </row>
    <row r="515" ht="12.75" customHeight="1">
      <c r="A515" s="163"/>
      <c r="B515" s="163"/>
      <c r="C515" s="163"/>
      <c r="D515" s="1"/>
      <c r="E515" s="163"/>
      <c r="F515" s="11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5"/>
      <c r="V515" s="165"/>
    </row>
    <row r="516" ht="12.75" customHeight="1">
      <c r="A516" s="163"/>
      <c r="B516" s="163"/>
      <c r="C516" s="163"/>
      <c r="D516" s="1"/>
      <c r="E516" s="163"/>
      <c r="F516" s="11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5"/>
      <c r="V516" s="165"/>
    </row>
    <row r="517" ht="12.75" customHeight="1">
      <c r="A517" s="163"/>
      <c r="B517" s="163"/>
      <c r="C517" s="163"/>
      <c r="D517" s="1"/>
      <c r="E517" s="163"/>
      <c r="F517" s="11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5"/>
      <c r="V517" s="165"/>
    </row>
    <row r="518" ht="12.75" customHeight="1">
      <c r="A518" s="163"/>
      <c r="B518" s="163"/>
      <c r="C518" s="163"/>
      <c r="D518" s="1"/>
      <c r="E518" s="163"/>
      <c r="F518" s="11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5"/>
      <c r="V518" s="165"/>
    </row>
    <row r="519" ht="12.75" customHeight="1">
      <c r="A519" s="163"/>
      <c r="B519" s="163"/>
      <c r="C519" s="163"/>
      <c r="D519" s="1"/>
      <c r="E519" s="163"/>
      <c r="F519" s="11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5"/>
      <c r="V519" s="165"/>
    </row>
    <row r="520" ht="12.75" customHeight="1">
      <c r="A520" s="163"/>
      <c r="B520" s="163"/>
      <c r="C520" s="163"/>
      <c r="D520" s="1"/>
      <c r="E520" s="163"/>
      <c r="F520" s="11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5"/>
      <c r="V520" s="165"/>
    </row>
    <row r="521" ht="12.75" customHeight="1">
      <c r="A521" s="163"/>
      <c r="B521" s="163"/>
      <c r="C521" s="163"/>
      <c r="D521" s="1"/>
      <c r="E521" s="163"/>
      <c r="F521" s="11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5"/>
      <c r="V521" s="165"/>
    </row>
    <row r="522" ht="12.75" customHeight="1">
      <c r="A522" s="163"/>
      <c r="B522" s="163"/>
      <c r="C522" s="163"/>
      <c r="D522" s="1"/>
      <c r="E522" s="163"/>
      <c r="F522" s="11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5"/>
      <c r="V522" s="165"/>
    </row>
    <row r="523" ht="12.75" customHeight="1">
      <c r="A523" s="163"/>
      <c r="B523" s="163"/>
      <c r="C523" s="163"/>
      <c r="D523" s="1"/>
      <c r="E523" s="163"/>
      <c r="F523" s="11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5"/>
      <c r="V523" s="165"/>
    </row>
    <row r="524" ht="12.75" customHeight="1">
      <c r="A524" s="163"/>
      <c r="B524" s="163"/>
      <c r="C524" s="163"/>
      <c r="D524" s="1"/>
      <c r="E524" s="163"/>
      <c r="F524" s="11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5"/>
      <c r="V524" s="165"/>
    </row>
    <row r="525" ht="12.75" customHeight="1">
      <c r="A525" s="163"/>
      <c r="B525" s="163"/>
      <c r="C525" s="163"/>
      <c r="D525" s="1"/>
      <c r="E525" s="163"/>
      <c r="F525" s="11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5"/>
      <c r="V525" s="165"/>
    </row>
    <row r="526" ht="12.75" customHeight="1">
      <c r="A526" s="163"/>
      <c r="B526" s="163"/>
      <c r="C526" s="163"/>
      <c r="D526" s="1"/>
      <c r="E526" s="163"/>
      <c r="F526" s="11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5"/>
      <c r="V526" s="165"/>
    </row>
    <row r="527" ht="12.75" customHeight="1">
      <c r="A527" s="163"/>
      <c r="B527" s="163"/>
      <c r="C527" s="163"/>
      <c r="D527" s="1"/>
      <c r="E527" s="163"/>
      <c r="F527" s="11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5"/>
      <c r="V527" s="165"/>
    </row>
    <row r="528" ht="12.75" customHeight="1">
      <c r="A528" s="163"/>
      <c r="B528" s="163"/>
      <c r="C528" s="163"/>
      <c r="D528" s="1"/>
      <c r="E528" s="163"/>
      <c r="F528" s="11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5"/>
      <c r="V528" s="165"/>
    </row>
    <row r="529" ht="12.75" customHeight="1">
      <c r="A529" s="163"/>
      <c r="B529" s="163"/>
      <c r="C529" s="163"/>
      <c r="D529" s="1"/>
      <c r="E529" s="163"/>
      <c r="F529" s="11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5"/>
      <c r="V529" s="165"/>
    </row>
    <row r="530" ht="12.75" customHeight="1">
      <c r="A530" s="163"/>
      <c r="B530" s="163"/>
      <c r="C530" s="163"/>
      <c r="D530" s="1"/>
      <c r="E530" s="163"/>
      <c r="F530" s="11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5"/>
      <c r="V530" s="165"/>
    </row>
    <row r="531" ht="12.75" customHeight="1">
      <c r="A531" s="163"/>
      <c r="B531" s="163"/>
      <c r="C531" s="163"/>
      <c r="D531" s="1"/>
      <c r="E531" s="163"/>
      <c r="F531" s="11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5"/>
      <c r="V531" s="165"/>
    </row>
    <row r="532" ht="12.75" customHeight="1">
      <c r="A532" s="163"/>
      <c r="B532" s="163"/>
      <c r="C532" s="163"/>
      <c r="D532" s="1"/>
      <c r="E532" s="163"/>
      <c r="F532" s="11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5"/>
      <c r="V532" s="165"/>
    </row>
    <row r="533" ht="12.75" customHeight="1">
      <c r="A533" s="163"/>
      <c r="B533" s="163"/>
      <c r="C533" s="163"/>
      <c r="D533" s="1"/>
      <c r="E533" s="163"/>
      <c r="F533" s="11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5"/>
      <c r="V533" s="165"/>
    </row>
    <row r="534" ht="12.75" customHeight="1">
      <c r="A534" s="163"/>
      <c r="B534" s="163"/>
      <c r="C534" s="163"/>
      <c r="D534" s="1"/>
      <c r="E534" s="163"/>
      <c r="F534" s="11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5"/>
      <c r="V534" s="165"/>
    </row>
    <row r="535" ht="12.75" customHeight="1">
      <c r="A535" s="163"/>
      <c r="B535" s="163"/>
      <c r="C535" s="163"/>
      <c r="D535" s="1"/>
      <c r="E535" s="163"/>
      <c r="F535" s="11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5"/>
      <c r="V535" s="165"/>
    </row>
    <row r="536" ht="12.75" customHeight="1">
      <c r="A536" s="163"/>
      <c r="B536" s="163"/>
      <c r="C536" s="163"/>
      <c r="D536" s="1"/>
      <c r="E536" s="163"/>
      <c r="F536" s="11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5"/>
      <c r="V536" s="165"/>
    </row>
    <row r="537" ht="12.75" customHeight="1">
      <c r="A537" s="163"/>
      <c r="B537" s="163"/>
      <c r="C537" s="163"/>
      <c r="D537" s="1"/>
      <c r="E537" s="163"/>
      <c r="F537" s="11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5"/>
      <c r="V537" s="165"/>
    </row>
    <row r="538" ht="12.75" customHeight="1">
      <c r="A538" s="163"/>
      <c r="B538" s="163"/>
      <c r="C538" s="163"/>
      <c r="D538" s="1"/>
      <c r="E538" s="163"/>
      <c r="F538" s="11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5"/>
      <c r="V538" s="165"/>
    </row>
    <row r="539" ht="12.75" customHeight="1">
      <c r="A539" s="163"/>
      <c r="B539" s="163"/>
      <c r="C539" s="163"/>
      <c r="D539" s="1"/>
      <c r="E539" s="163"/>
      <c r="F539" s="11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5"/>
      <c r="V539" s="165"/>
    </row>
    <row r="540" ht="12.75" customHeight="1">
      <c r="A540" s="163"/>
      <c r="B540" s="163"/>
      <c r="C540" s="163"/>
      <c r="D540" s="1"/>
      <c r="E540" s="163"/>
      <c r="F540" s="11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5"/>
      <c r="V540" s="165"/>
    </row>
    <row r="541" ht="12.75" customHeight="1">
      <c r="A541" s="163"/>
      <c r="B541" s="163"/>
      <c r="C541" s="163"/>
      <c r="D541" s="1"/>
      <c r="E541" s="163"/>
      <c r="F541" s="11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5"/>
      <c r="V541" s="165"/>
    </row>
    <row r="542" ht="12.75" customHeight="1">
      <c r="A542" s="163"/>
      <c r="B542" s="163"/>
      <c r="C542" s="163"/>
      <c r="D542" s="1"/>
      <c r="E542" s="163"/>
      <c r="F542" s="11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5"/>
      <c r="V542" s="165"/>
    </row>
    <row r="543" ht="12.75" customHeight="1">
      <c r="A543" s="163"/>
      <c r="B543" s="163"/>
      <c r="C543" s="163"/>
      <c r="D543" s="1"/>
      <c r="E543" s="163"/>
      <c r="F543" s="11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5"/>
      <c r="V543" s="165"/>
    </row>
    <row r="544" ht="12.75" customHeight="1">
      <c r="A544" s="163"/>
      <c r="B544" s="163"/>
      <c r="C544" s="163"/>
      <c r="D544" s="1"/>
      <c r="E544" s="163"/>
      <c r="F544" s="11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5"/>
      <c r="V544" s="165"/>
    </row>
    <row r="545" ht="12.75" customHeight="1">
      <c r="A545" s="163"/>
      <c r="B545" s="163"/>
      <c r="C545" s="163"/>
      <c r="D545" s="1"/>
      <c r="E545" s="163"/>
      <c r="F545" s="11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5"/>
      <c r="V545" s="165"/>
    </row>
    <row r="546" ht="12.75" customHeight="1">
      <c r="A546" s="163"/>
      <c r="B546" s="163"/>
      <c r="C546" s="163"/>
      <c r="D546" s="1"/>
      <c r="E546" s="163"/>
      <c r="F546" s="11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5"/>
      <c r="V546" s="165"/>
    </row>
    <row r="547" ht="12.75" customHeight="1">
      <c r="A547" s="163"/>
      <c r="B547" s="163"/>
      <c r="C547" s="163"/>
      <c r="D547" s="1"/>
      <c r="E547" s="163"/>
      <c r="F547" s="11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5"/>
      <c r="V547" s="165"/>
    </row>
    <row r="548" ht="12.75" customHeight="1">
      <c r="A548" s="163"/>
      <c r="B548" s="163"/>
      <c r="C548" s="163"/>
      <c r="D548" s="1"/>
      <c r="E548" s="163"/>
      <c r="F548" s="11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5"/>
      <c r="V548" s="165"/>
    </row>
    <row r="549" ht="12.75" customHeight="1">
      <c r="A549" s="163"/>
      <c r="B549" s="163"/>
      <c r="C549" s="163"/>
      <c r="D549" s="1"/>
      <c r="E549" s="163"/>
      <c r="F549" s="11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5"/>
      <c r="V549" s="165"/>
    </row>
    <row r="550" ht="12.75" customHeight="1">
      <c r="A550" s="163"/>
      <c r="B550" s="163"/>
      <c r="C550" s="163"/>
      <c r="D550" s="1"/>
      <c r="E550" s="163"/>
      <c r="F550" s="11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5"/>
      <c r="V550" s="165"/>
    </row>
    <row r="551" ht="12.75" customHeight="1">
      <c r="A551" s="163"/>
      <c r="B551" s="163"/>
      <c r="C551" s="163"/>
      <c r="D551" s="1"/>
      <c r="E551" s="163"/>
      <c r="F551" s="11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5"/>
      <c r="V551" s="165"/>
    </row>
    <row r="552" ht="12.75" customHeight="1">
      <c r="A552" s="163"/>
      <c r="B552" s="163"/>
      <c r="C552" s="163"/>
      <c r="D552" s="1"/>
      <c r="E552" s="163"/>
      <c r="F552" s="11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5"/>
      <c r="V552" s="165"/>
    </row>
    <row r="553" ht="12.75" customHeight="1">
      <c r="A553" s="163"/>
      <c r="B553" s="163"/>
      <c r="C553" s="163"/>
      <c r="D553" s="1"/>
      <c r="E553" s="163"/>
      <c r="F553" s="11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5"/>
      <c r="V553" s="165"/>
    </row>
    <row r="554" ht="12.75" customHeight="1">
      <c r="A554" s="163"/>
      <c r="B554" s="163"/>
      <c r="C554" s="163"/>
      <c r="D554" s="1"/>
      <c r="E554" s="163"/>
      <c r="F554" s="11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5"/>
      <c r="V554" s="165"/>
    </row>
    <row r="555" ht="12.75" customHeight="1">
      <c r="A555" s="163"/>
      <c r="B555" s="163"/>
      <c r="C555" s="163"/>
      <c r="D555" s="1"/>
      <c r="E555" s="163"/>
      <c r="F555" s="11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5"/>
      <c r="V555" s="165"/>
    </row>
    <row r="556" ht="12.75" customHeight="1">
      <c r="A556" s="163"/>
      <c r="B556" s="163"/>
      <c r="C556" s="163"/>
      <c r="D556" s="1"/>
      <c r="E556" s="163"/>
      <c r="F556" s="11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5"/>
      <c r="V556" s="165"/>
    </row>
    <row r="557" ht="12.75" customHeight="1">
      <c r="A557" s="163"/>
      <c r="B557" s="163"/>
      <c r="C557" s="163"/>
      <c r="D557" s="1"/>
      <c r="E557" s="163"/>
      <c r="F557" s="11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5"/>
      <c r="V557" s="165"/>
    </row>
    <row r="558" ht="12.75" customHeight="1">
      <c r="A558" s="163"/>
      <c r="B558" s="163"/>
      <c r="C558" s="163"/>
      <c r="D558" s="1"/>
      <c r="E558" s="163"/>
      <c r="F558" s="11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5"/>
      <c r="V558" s="165"/>
    </row>
    <row r="559" ht="12.75" customHeight="1">
      <c r="A559" s="163"/>
      <c r="B559" s="163"/>
      <c r="C559" s="163"/>
      <c r="D559" s="1"/>
      <c r="E559" s="163"/>
      <c r="F559" s="11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5"/>
      <c r="V559" s="165"/>
    </row>
    <row r="560" ht="12.75" customHeight="1">
      <c r="A560" s="107"/>
      <c r="B560" s="107"/>
      <c r="C560" s="107"/>
      <c r="D560" s="102"/>
      <c r="E560" s="107"/>
      <c r="F560" s="108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10"/>
      <c r="V560" s="110"/>
    </row>
    <row r="561" ht="12.75" customHeight="1">
      <c r="A561" s="107"/>
      <c r="B561" s="107"/>
      <c r="C561" s="107"/>
      <c r="D561" s="102"/>
      <c r="E561" s="107"/>
      <c r="F561" s="108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10"/>
      <c r="V561" s="110"/>
    </row>
    <row r="562" ht="12.75" customHeight="1">
      <c r="A562" s="107"/>
      <c r="B562" s="107"/>
      <c r="C562" s="107"/>
      <c r="D562" s="102"/>
      <c r="E562" s="107"/>
      <c r="F562" s="108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10"/>
      <c r="V562" s="110"/>
    </row>
    <row r="563" ht="12.75" customHeight="1">
      <c r="A563" s="107"/>
      <c r="B563" s="107"/>
      <c r="C563" s="107"/>
      <c r="D563" s="102"/>
      <c r="E563" s="107"/>
      <c r="F563" s="108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10"/>
      <c r="V563" s="110"/>
    </row>
    <row r="564" ht="12.75" customHeight="1">
      <c r="A564" s="107"/>
      <c r="B564" s="107"/>
      <c r="C564" s="107"/>
      <c r="D564" s="102"/>
      <c r="E564" s="107"/>
      <c r="F564" s="108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10"/>
      <c r="V564" s="110"/>
    </row>
    <row r="565" ht="12.75" customHeight="1">
      <c r="A565" s="107"/>
      <c r="B565" s="107"/>
      <c r="C565" s="107"/>
      <c r="D565" s="102"/>
      <c r="E565" s="107"/>
      <c r="F565" s="108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10"/>
      <c r="V565" s="110"/>
    </row>
    <row r="566" ht="12.75" customHeight="1">
      <c r="A566" s="107"/>
      <c r="B566" s="107"/>
      <c r="C566" s="107"/>
      <c r="D566" s="102"/>
      <c r="E566" s="107"/>
      <c r="F566" s="108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10"/>
      <c r="V566" s="110"/>
    </row>
    <row r="567" ht="12.75" customHeight="1">
      <c r="A567" s="107"/>
      <c r="B567" s="107"/>
      <c r="C567" s="107"/>
      <c r="D567" s="102"/>
      <c r="E567" s="107"/>
      <c r="F567" s="108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10"/>
      <c r="V567" s="110"/>
    </row>
    <row r="568" ht="12.75" customHeight="1">
      <c r="A568" s="107"/>
      <c r="B568" s="107"/>
      <c r="C568" s="107"/>
      <c r="D568" s="102"/>
      <c r="E568" s="107"/>
      <c r="F568" s="108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10"/>
      <c r="V568" s="110"/>
    </row>
    <row r="569" ht="12.75" customHeight="1">
      <c r="A569" s="107"/>
      <c r="B569" s="107"/>
      <c r="C569" s="107"/>
      <c r="D569" s="102"/>
      <c r="E569" s="107"/>
      <c r="F569" s="108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10"/>
      <c r="V569" s="110"/>
    </row>
    <row r="570" ht="12.75" customHeight="1">
      <c r="A570" s="107"/>
      <c r="B570" s="107"/>
      <c r="C570" s="107"/>
      <c r="D570" s="102"/>
      <c r="E570" s="107"/>
      <c r="F570" s="108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10"/>
      <c r="V570" s="110"/>
    </row>
    <row r="571" ht="12.75" customHeight="1">
      <c r="A571" s="107"/>
      <c r="B571" s="107"/>
      <c r="C571" s="107"/>
      <c r="D571" s="102"/>
      <c r="E571" s="107"/>
      <c r="F571" s="108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10"/>
      <c r="V571" s="110"/>
    </row>
    <row r="572" ht="12.75" customHeight="1">
      <c r="A572" s="107"/>
      <c r="B572" s="107"/>
      <c r="C572" s="107"/>
      <c r="D572" s="102"/>
      <c r="E572" s="107"/>
      <c r="F572" s="108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10"/>
      <c r="V572" s="110"/>
    </row>
    <row r="573" ht="12.75" customHeight="1">
      <c r="A573" s="107"/>
      <c r="B573" s="107"/>
      <c r="C573" s="107"/>
      <c r="D573" s="102"/>
      <c r="E573" s="107"/>
      <c r="F573" s="108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10"/>
      <c r="V573" s="110"/>
    </row>
    <row r="574" ht="12.75" customHeight="1">
      <c r="A574" s="107"/>
      <c r="B574" s="107"/>
      <c r="C574" s="107"/>
      <c r="D574" s="102"/>
      <c r="E574" s="107"/>
      <c r="F574" s="108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10"/>
      <c r="V574" s="110"/>
    </row>
    <row r="575" ht="12.75" customHeight="1">
      <c r="A575" s="107"/>
      <c r="B575" s="107"/>
      <c r="C575" s="107"/>
      <c r="D575" s="102"/>
      <c r="E575" s="107"/>
      <c r="F575" s="108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10"/>
      <c r="V575" s="110"/>
    </row>
    <row r="576" ht="12.75" customHeight="1">
      <c r="A576" s="107"/>
      <c r="B576" s="107"/>
      <c r="C576" s="107"/>
      <c r="D576" s="102"/>
      <c r="E576" s="107"/>
      <c r="F576" s="108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10"/>
      <c r="V576" s="110"/>
    </row>
    <row r="577" ht="12.75" customHeight="1">
      <c r="A577" s="107"/>
      <c r="B577" s="107"/>
      <c r="C577" s="107"/>
      <c r="D577" s="102"/>
      <c r="E577" s="107"/>
      <c r="F577" s="108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10"/>
      <c r="V577" s="110"/>
    </row>
    <row r="578" ht="12.75" customHeight="1">
      <c r="A578" s="107"/>
      <c r="B578" s="107"/>
      <c r="C578" s="107"/>
      <c r="D578" s="102"/>
      <c r="E578" s="107"/>
      <c r="F578" s="108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10"/>
      <c r="V578" s="110"/>
    </row>
    <row r="579" ht="12.75" customHeight="1">
      <c r="A579" s="107"/>
      <c r="B579" s="107"/>
      <c r="C579" s="107"/>
      <c r="D579" s="102"/>
      <c r="E579" s="107"/>
      <c r="F579" s="108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10"/>
      <c r="V579" s="110"/>
    </row>
    <row r="580" ht="12.75" customHeight="1">
      <c r="A580" s="107"/>
      <c r="B580" s="107"/>
      <c r="C580" s="107"/>
      <c r="D580" s="102"/>
      <c r="E580" s="107"/>
      <c r="F580" s="108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10"/>
      <c r="V580" s="110"/>
    </row>
    <row r="581" ht="12.75" customHeight="1">
      <c r="A581" s="107"/>
      <c r="B581" s="107"/>
      <c r="C581" s="107"/>
      <c r="D581" s="102"/>
      <c r="E581" s="107"/>
      <c r="F581" s="108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10"/>
      <c r="V581" s="110"/>
    </row>
    <row r="582" ht="12.75" customHeight="1">
      <c r="A582" s="107"/>
      <c r="B582" s="107"/>
      <c r="C582" s="107"/>
      <c r="D582" s="102"/>
      <c r="E582" s="107"/>
      <c r="F582" s="108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10"/>
      <c r="V582" s="110"/>
    </row>
    <row r="583" ht="12.75" customHeight="1">
      <c r="A583" s="107"/>
      <c r="B583" s="107"/>
      <c r="C583" s="107"/>
      <c r="D583" s="102"/>
      <c r="E583" s="107"/>
      <c r="F583" s="108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10"/>
      <c r="V583" s="110"/>
    </row>
    <row r="584" ht="12.75" customHeight="1">
      <c r="A584" s="107"/>
      <c r="B584" s="107"/>
      <c r="C584" s="107"/>
      <c r="D584" s="102"/>
      <c r="E584" s="107"/>
      <c r="F584" s="108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10"/>
      <c r="V584" s="110"/>
    </row>
    <row r="585" ht="12.75" customHeight="1">
      <c r="A585" s="107"/>
      <c r="B585" s="107"/>
      <c r="C585" s="107"/>
      <c r="D585" s="102"/>
      <c r="E585" s="107"/>
      <c r="F585" s="108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10"/>
      <c r="V585" s="110"/>
    </row>
    <row r="586" ht="12.75" customHeight="1">
      <c r="A586" s="107"/>
      <c r="B586" s="107"/>
      <c r="C586" s="107"/>
      <c r="D586" s="102"/>
      <c r="E586" s="107"/>
      <c r="F586" s="108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10"/>
      <c r="V586" s="110"/>
    </row>
    <row r="587" ht="12.75" customHeight="1">
      <c r="A587" s="107"/>
      <c r="B587" s="107"/>
      <c r="C587" s="107"/>
      <c r="D587" s="102"/>
      <c r="E587" s="107"/>
      <c r="F587" s="108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10"/>
      <c r="V587" s="110"/>
    </row>
    <row r="588" ht="12.75" customHeight="1">
      <c r="A588" s="107"/>
      <c r="B588" s="107"/>
      <c r="C588" s="107"/>
      <c r="D588" s="102"/>
      <c r="E588" s="107"/>
      <c r="F588" s="108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10"/>
      <c r="V588" s="110"/>
    </row>
    <row r="589" ht="12.75" customHeight="1">
      <c r="A589" s="107"/>
      <c r="B589" s="107"/>
      <c r="C589" s="107"/>
      <c r="D589" s="102"/>
      <c r="E589" s="107"/>
      <c r="F589" s="108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10"/>
      <c r="V589" s="110"/>
    </row>
    <row r="590" ht="12.75" customHeight="1">
      <c r="A590" s="107"/>
      <c r="B590" s="107"/>
      <c r="C590" s="107"/>
      <c r="D590" s="102"/>
      <c r="E590" s="107"/>
      <c r="F590" s="108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10"/>
      <c r="V590" s="110"/>
    </row>
    <row r="591" ht="12.75" customHeight="1">
      <c r="A591" s="107"/>
      <c r="B591" s="107"/>
      <c r="C591" s="107"/>
      <c r="D591" s="102"/>
      <c r="E591" s="107"/>
      <c r="F591" s="108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10"/>
      <c r="V591" s="110"/>
    </row>
    <row r="592" ht="12.75" customHeight="1">
      <c r="A592" s="107"/>
      <c r="B592" s="107"/>
      <c r="C592" s="107"/>
      <c r="D592" s="102"/>
      <c r="E592" s="107"/>
      <c r="F592" s="108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10"/>
      <c r="V592" s="110"/>
    </row>
    <row r="593" ht="12.75" customHeight="1">
      <c r="A593" s="107"/>
      <c r="B593" s="107"/>
      <c r="C593" s="107"/>
      <c r="D593" s="102"/>
      <c r="E593" s="107"/>
      <c r="F593" s="108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10"/>
      <c r="V593" s="110"/>
    </row>
    <row r="594" ht="12.75" customHeight="1">
      <c r="A594" s="107"/>
      <c r="B594" s="107"/>
      <c r="C594" s="107"/>
      <c r="D594" s="102"/>
      <c r="E594" s="107"/>
      <c r="F594" s="108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10"/>
      <c r="V594" s="110"/>
    </row>
    <row r="595" ht="12.75" customHeight="1">
      <c r="A595" s="107"/>
      <c r="B595" s="107"/>
      <c r="C595" s="107"/>
      <c r="D595" s="102"/>
      <c r="E595" s="107"/>
      <c r="F595" s="108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10"/>
      <c r="V595" s="110"/>
    </row>
    <row r="596" ht="12.75" customHeight="1">
      <c r="A596" s="107"/>
      <c r="B596" s="107"/>
      <c r="C596" s="107"/>
      <c r="D596" s="102"/>
      <c r="E596" s="107"/>
      <c r="F596" s="108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10"/>
      <c r="V596" s="110"/>
    </row>
    <row r="597" ht="12.75" customHeight="1">
      <c r="A597" s="107"/>
      <c r="B597" s="107"/>
      <c r="C597" s="107"/>
      <c r="D597" s="102"/>
      <c r="E597" s="107"/>
      <c r="F597" s="108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10"/>
      <c r="V597" s="110"/>
    </row>
    <row r="598" ht="12.75" customHeight="1">
      <c r="A598" s="107"/>
      <c r="B598" s="107"/>
      <c r="C598" s="107"/>
      <c r="D598" s="102"/>
      <c r="E598" s="107"/>
      <c r="F598" s="108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10"/>
      <c r="V598" s="110"/>
    </row>
    <row r="599" ht="12.75" customHeight="1">
      <c r="A599" s="107"/>
      <c r="B599" s="107"/>
      <c r="C599" s="107"/>
      <c r="D599" s="102"/>
      <c r="E599" s="107"/>
      <c r="F599" s="108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10"/>
      <c r="V599" s="110"/>
    </row>
    <row r="600" ht="12.75" customHeight="1">
      <c r="A600" s="107"/>
      <c r="B600" s="107"/>
      <c r="C600" s="107"/>
      <c r="D600" s="102"/>
      <c r="E600" s="107"/>
      <c r="F600" s="108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10"/>
      <c r="V600" s="110"/>
    </row>
    <row r="601" ht="12.75" customHeight="1">
      <c r="A601" s="107"/>
      <c r="B601" s="107"/>
      <c r="C601" s="107"/>
      <c r="D601" s="102"/>
      <c r="E601" s="107"/>
      <c r="F601" s="108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10"/>
      <c r="V601" s="110"/>
    </row>
    <row r="602" ht="12.75" customHeight="1">
      <c r="A602" s="107"/>
      <c r="B602" s="107"/>
      <c r="C602" s="107"/>
      <c r="D602" s="102"/>
      <c r="E602" s="107"/>
      <c r="F602" s="108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10"/>
      <c r="V602" s="110"/>
    </row>
    <row r="603" ht="12.75" customHeight="1">
      <c r="A603" s="107"/>
      <c r="B603" s="107"/>
      <c r="C603" s="107"/>
      <c r="D603" s="102"/>
      <c r="E603" s="107"/>
      <c r="F603" s="108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10"/>
      <c r="V603" s="110"/>
    </row>
    <row r="604" ht="12.75" customHeight="1">
      <c r="A604" s="107"/>
      <c r="B604" s="107"/>
      <c r="C604" s="107"/>
      <c r="D604" s="102"/>
      <c r="E604" s="107"/>
      <c r="F604" s="108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10"/>
      <c r="V604" s="110"/>
    </row>
    <row r="605" ht="12.75" customHeight="1">
      <c r="A605" s="107"/>
      <c r="B605" s="107"/>
      <c r="C605" s="107"/>
      <c r="D605" s="102"/>
      <c r="E605" s="107"/>
      <c r="F605" s="108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10"/>
      <c r="V605" s="110"/>
    </row>
    <row r="606" ht="12.75" customHeight="1">
      <c r="A606" s="107"/>
      <c r="B606" s="107"/>
      <c r="C606" s="107"/>
      <c r="D606" s="102"/>
      <c r="E606" s="107"/>
      <c r="F606" s="108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10"/>
      <c r="V606" s="110"/>
    </row>
    <row r="607" ht="12.75" customHeight="1">
      <c r="A607" s="107"/>
      <c r="B607" s="107"/>
      <c r="C607" s="107"/>
      <c r="D607" s="102"/>
      <c r="E607" s="107"/>
      <c r="F607" s="108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10"/>
      <c r="V607" s="110"/>
    </row>
    <row r="608" ht="12.75" customHeight="1">
      <c r="A608" s="107"/>
      <c r="B608" s="107"/>
      <c r="C608" s="107"/>
      <c r="D608" s="102"/>
      <c r="E608" s="107"/>
      <c r="F608" s="108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10"/>
      <c r="V608" s="110"/>
    </row>
    <row r="609" ht="12.75" customHeight="1">
      <c r="A609" s="107"/>
      <c r="B609" s="107"/>
      <c r="C609" s="107"/>
      <c r="D609" s="102"/>
      <c r="E609" s="107"/>
      <c r="F609" s="108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10"/>
      <c r="V609" s="110"/>
    </row>
    <row r="610" ht="12.75" customHeight="1">
      <c r="A610" s="107"/>
      <c r="B610" s="107"/>
      <c r="C610" s="107"/>
      <c r="D610" s="102"/>
      <c r="E610" s="107"/>
      <c r="F610" s="108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10"/>
      <c r="V610" s="110"/>
    </row>
    <row r="611" ht="12.75" customHeight="1">
      <c r="A611" s="107"/>
      <c r="B611" s="107"/>
      <c r="C611" s="107"/>
      <c r="D611" s="102"/>
      <c r="E611" s="107"/>
      <c r="F611" s="108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10"/>
      <c r="V611" s="110"/>
    </row>
    <row r="612" ht="12.75" customHeight="1">
      <c r="A612" s="107"/>
      <c r="B612" s="107"/>
      <c r="C612" s="107"/>
      <c r="D612" s="102"/>
      <c r="E612" s="107"/>
      <c r="F612" s="108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10"/>
      <c r="V612" s="110"/>
    </row>
    <row r="613" ht="12.75" customHeight="1">
      <c r="A613" s="107"/>
      <c r="B613" s="107"/>
      <c r="C613" s="107"/>
      <c r="D613" s="102"/>
      <c r="E613" s="107"/>
      <c r="F613" s="108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10"/>
      <c r="V613" s="110"/>
    </row>
    <row r="614" ht="12.75" customHeight="1">
      <c r="A614" s="107"/>
      <c r="B614" s="107"/>
      <c r="C614" s="107"/>
      <c r="D614" s="102"/>
      <c r="E614" s="107"/>
      <c r="F614" s="108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10"/>
      <c r="V614" s="110"/>
    </row>
    <row r="615" ht="12.75" customHeight="1">
      <c r="A615" s="107"/>
      <c r="B615" s="107"/>
      <c r="C615" s="107"/>
      <c r="D615" s="102"/>
      <c r="E615" s="107"/>
      <c r="F615" s="108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10"/>
      <c r="V615" s="110"/>
    </row>
    <row r="616" ht="12.75" customHeight="1">
      <c r="A616" s="107"/>
      <c r="B616" s="107"/>
      <c r="C616" s="107"/>
      <c r="D616" s="102"/>
      <c r="E616" s="107"/>
      <c r="F616" s="108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10"/>
      <c r="V616" s="110"/>
    </row>
    <row r="617" ht="12.75" customHeight="1">
      <c r="A617" s="107"/>
      <c r="B617" s="107"/>
      <c r="C617" s="107"/>
      <c r="D617" s="102"/>
      <c r="E617" s="107"/>
      <c r="F617" s="108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10"/>
      <c r="V617" s="110"/>
    </row>
    <row r="618" ht="12.75" customHeight="1">
      <c r="A618" s="107"/>
      <c r="B618" s="107"/>
      <c r="C618" s="107"/>
      <c r="D618" s="102"/>
      <c r="E618" s="107"/>
      <c r="F618" s="108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10"/>
      <c r="V618" s="110"/>
    </row>
    <row r="619" ht="12.75" customHeight="1">
      <c r="A619" s="107"/>
      <c r="B619" s="107"/>
      <c r="C619" s="107"/>
      <c r="D619" s="102"/>
      <c r="E619" s="107"/>
      <c r="F619" s="108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10"/>
      <c r="V619" s="110"/>
    </row>
    <row r="620" ht="12.75" customHeight="1">
      <c r="A620" s="107"/>
      <c r="B620" s="107"/>
      <c r="C620" s="107"/>
      <c r="D620" s="102"/>
      <c r="E620" s="107"/>
      <c r="F620" s="108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10"/>
      <c r="V620" s="110"/>
    </row>
    <row r="621" ht="12.75" customHeight="1">
      <c r="A621" s="107"/>
      <c r="B621" s="107"/>
      <c r="C621" s="107"/>
      <c r="D621" s="102"/>
      <c r="E621" s="107"/>
      <c r="F621" s="108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10"/>
      <c r="V621" s="110"/>
    </row>
    <row r="622" ht="12.75" customHeight="1">
      <c r="A622" s="107"/>
      <c r="B622" s="107"/>
      <c r="C622" s="107"/>
      <c r="D622" s="102"/>
      <c r="E622" s="107"/>
      <c r="F622" s="108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10"/>
      <c r="V622" s="110"/>
    </row>
    <row r="623" ht="12.75" customHeight="1">
      <c r="A623" s="107"/>
      <c r="B623" s="107"/>
      <c r="C623" s="107"/>
      <c r="D623" s="102"/>
      <c r="E623" s="107"/>
      <c r="F623" s="108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10"/>
      <c r="V623" s="110"/>
    </row>
    <row r="624" ht="12.75" customHeight="1">
      <c r="A624" s="107"/>
      <c r="B624" s="107"/>
      <c r="C624" s="107"/>
      <c r="D624" s="102"/>
      <c r="E624" s="107"/>
      <c r="F624" s="108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10"/>
      <c r="V624" s="110"/>
    </row>
    <row r="625" ht="12.75" customHeight="1">
      <c r="A625" s="107"/>
      <c r="B625" s="107"/>
      <c r="C625" s="107"/>
      <c r="D625" s="102"/>
      <c r="E625" s="107"/>
      <c r="F625" s="108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10"/>
      <c r="V625" s="110"/>
    </row>
    <row r="626" ht="12.75" customHeight="1">
      <c r="A626" s="107"/>
      <c r="B626" s="107"/>
      <c r="C626" s="107"/>
      <c r="D626" s="102"/>
      <c r="E626" s="107"/>
      <c r="F626" s="108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10"/>
      <c r="V626" s="110"/>
    </row>
    <row r="627" ht="12.75" customHeight="1">
      <c r="A627" s="107"/>
      <c r="B627" s="107"/>
      <c r="C627" s="107"/>
      <c r="D627" s="102"/>
      <c r="E627" s="107"/>
      <c r="F627" s="108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10"/>
      <c r="V627" s="110"/>
    </row>
    <row r="628" ht="12.75" customHeight="1">
      <c r="A628" s="107"/>
      <c r="B628" s="107"/>
      <c r="C628" s="107"/>
      <c r="D628" s="102"/>
      <c r="E628" s="107"/>
      <c r="F628" s="108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10"/>
      <c r="V628" s="110"/>
    </row>
    <row r="629" ht="12.75" customHeight="1">
      <c r="A629" s="107"/>
      <c r="B629" s="107"/>
      <c r="C629" s="107"/>
      <c r="D629" s="102"/>
      <c r="E629" s="107"/>
      <c r="F629" s="108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10"/>
      <c r="V629" s="110"/>
    </row>
    <row r="630" ht="12.75" customHeight="1">
      <c r="A630" s="107"/>
      <c r="B630" s="107"/>
      <c r="C630" s="107"/>
      <c r="D630" s="102"/>
      <c r="E630" s="107"/>
      <c r="F630" s="108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10"/>
      <c r="V630" s="110"/>
    </row>
    <row r="631" ht="12.75" customHeight="1">
      <c r="A631" s="107"/>
      <c r="B631" s="107"/>
      <c r="C631" s="107"/>
      <c r="D631" s="102"/>
      <c r="E631" s="107"/>
      <c r="F631" s="108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10"/>
      <c r="V631" s="110"/>
    </row>
    <row r="632" ht="12.75" customHeight="1">
      <c r="A632" s="107"/>
      <c r="B632" s="107"/>
      <c r="C632" s="107"/>
      <c r="D632" s="102"/>
      <c r="E632" s="107"/>
      <c r="F632" s="108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10"/>
      <c r="V632" s="110"/>
    </row>
    <row r="633" ht="12.75" customHeight="1">
      <c r="A633" s="107"/>
      <c r="B633" s="107"/>
      <c r="C633" s="107"/>
      <c r="D633" s="102"/>
      <c r="E633" s="107"/>
      <c r="F633" s="108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10"/>
      <c r="V633" s="110"/>
    </row>
    <row r="634" ht="12.75" customHeight="1">
      <c r="A634" s="107"/>
      <c r="B634" s="107"/>
      <c r="C634" s="107"/>
      <c r="D634" s="102"/>
      <c r="E634" s="107"/>
      <c r="F634" s="108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10"/>
      <c r="V634" s="110"/>
    </row>
    <row r="635" ht="12.75" customHeight="1">
      <c r="A635" s="107"/>
      <c r="B635" s="107"/>
      <c r="C635" s="107"/>
      <c r="D635" s="102"/>
      <c r="E635" s="107"/>
      <c r="F635" s="108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10"/>
      <c r="V635" s="110"/>
    </row>
    <row r="636" ht="12.75" customHeight="1">
      <c r="A636" s="107"/>
      <c r="B636" s="107"/>
      <c r="C636" s="107"/>
      <c r="D636" s="102"/>
      <c r="E636" s="107"/>
      <c r="F636" s="108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10"/>
      <c r="V636" s="110"/>
    </row>
    <row r="637" ht="12.75" customHeight="1">
      <c r="A637" s="107"/>
      <c r="B637" s="107"/>
      <c r="C637" s="107"/>
      <c r="D637" s="102"/>
      <c r="E637" s="107"/>
      <c r="F637" s="108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10"/>
      <c r="V637" s="110"/>
    </row>
    <row r="638" ht="12.75" customHeight="1">
      <c r="A638" s="107"/>
      <c r="B638" s="107"/>
      <c r="C638" s="107"/>
      <c r="D638" s="102"/>
      <c r="E638" s="107"/>
      <c r="F638" s="108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10"/>
      <c r="V638" s="110"/>
    </row>
    <row r="639" ht="12.75" customHeight="1">
      <c r="A639" s="107"/>
      <c r="B639" s="107"/>
      <c r="C639" s="107"/>
      <c r="D639" s="102"/>
      <c r="E639" s="107"/>
      <c r="F639" s="108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10"/>
      <c r="V639" s="110"/>
    </row>
    <row r="640" ht="12.75" customHeight="1">
      <c r="A640" s="107"/>
      <c r="B640" s="107"/>
      <c r="C640" s="107"/>
      <c r="D640" s="102"/>
      <c r="E640" s="107"/>
      <c r="F640" s="108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10"/>
      <c r="V640" s="110"/>
    </row>
    <row r="641" ht="12.75" customHeight="1">
      <c r="A641" s="107"/>
      <c r="B641" s="107"/>
      <c r="C641" s="107"/>
      <c r="D641" s="102"/>
      <c r="E641" s="107"/>
      <c r="F641" s="108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10"/>
      <c r="V641" s="110"/>
    </row>
    <row r="642" ht="12.75" customHeight="1">
      <c r="A642" s="107"/>
      <c r="B642" s="107"/>
      <c r="C642" s="107"/>
      <c r="D642" s="102"/>
      <c r="E642" s="107"/>
      <c r="F642" s="108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10"/>
      <c r="V642" s="110"/>
    </row>
    <row r="643" ht="12.75" customHeight="1">
      <c r="A643" s="107"/>
      <c r="B643" s="107"/>
      <c r="C643" s="107"/>
      <c r="D643" s="102"/>
      <c r="E643" s="107"/>
      <c r="F643" s="108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10"/>
      <c r="V643" s="110"/>
    </row>
    <row r="644" ht="12.75" customHeight="1">
      <c r="A644" s="107"/>
      <c r="B644" s="107"/>
      <c r="C644" s="107"/>
      <c r="D644" s="102"/>
      <c r="E644" s="107"/>
      <c r="F644" s="108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10"/>
      <c r="V644" s="110"/>
    </row>
    <row r="645" ht="12.75" customHeight="1">
      <c r="A645" s="107"/>
      <c r="B645" s="107"/>
      <c r="C645" s="107"/>
      <c r="D645" s="102"/>
      <c r="E645" s="107"/>
      <c r="F645" s="108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10"/>
      <c r="V645" s="110"/>
    </row>
    <row r="646" ht="12.75" customHeight="1">
      <c r="A646" s="107"/>
      <c r="B646" s="107"/>
      <c r="C646" s="107"/>
      <c r="D646" s="102"/>
      <c r="E646" s="107"/>
      <c r="F646" s="108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10"/>
      <c r="V646" s="110"/>
    </row>
    <row r="647" ht="12.75" customHeight="1">
      <c r="A647" s="107"/>
      <c r="B647" s="107"/>
      <c r="C647" s="107"/>
      <c r="D647" s="102"/>
      <c r="E647" s="107"/>
      <c r="F647" s="108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10"/>
      <c r="V647" s="110"/>
    </row>
    <row r="648" ht="12.75" customHeight="1">
      <c r="A648" s="107"/>
      <c r="B648" s="107"/>
      <c r="C648" s="107"/>
      <c r="D648" s="102"/>
      <c r="E648" s="107"/>
      <c r="F648" s="108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10"/>
      <c r="V648" s="110"/>
    </row>
    <row r="649" ht="12.75" customHeight="1">
      <c r="A649" s="107"/>
      <c r="B649" s="107"/>
      <c r="C649" s="107"/>
      <c r="D649" s="102"/>
      <c r="E649" s="107"/>
      <c r="F649" s="108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10"/>
      <c r="V649" s="110"/>
    </row>
    <row r="650" ht="12.75" customHeight="1">
      <c r="A650" s="107"/>
      <c r="B650" s="107"/>
      <c r="C650" s="107"/>
      <c r="D650" s="102"/>
      <c r="E650" s="107"/>
      <c r="F650" s="108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10"/>
      <c r="V650" s="110"/>
    </row>
    <row r="651" ht="12.75" customHeight="1">
      <c r="A651" s="107"/>
      <c r="B651" s="107"/>
      <c r="C651" s="107"/>
      <c r="D651" s="102"/>
      <c r="E651" s="107"/>
      <c r="F651" s="108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10"/>
      <c r="V651" s="110"/>
    </row>
    <row r="652" ht="12.75" customHeight="1">
      <c r="A652" s="107"/>
      <c r="B652" s="107"/>
      <c r="C652" s="107"/>
      <c r="D652" s="102"/>
      <c r="E652" s="107"/>
      <c r="F652" s="108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10"/>
      <c r="V652" s="110"/>
    </row>
    <row r="653" ht="12.75" customHeight="1">
      <c r="A653" s="107"/>
      <c r="B653" s="107"/>
      <c r="C653" s="107"/>
      <c r="D653" s="102"/>
      <c r="E653" s="107"/>
      <c r="F653" s="108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10"/>
      <c r="V653" s="110"/>
    </row>
    <row r="654" ht="12.75" customHeight="1">
      <c r="A654" s="107"/>
      <c r="B654" s="107"/>
      <c r="C654" s="107"/>
      <c r="D654" s="102"/>
      <c r="E654" s="107"/>
      <c r="F654" s="108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10"/>
      <c r="V654" s="110"/>
    </row>
    <row r="655" ht="12.75" customHeight="1">
      <c r="A655" s="107"/>
      <c r="B655" s="107"/>
      <c r="C655" s="107"/>
      <c r="D655" s="102"/>
      <c r="E655" s="107"/>
      <c r="F655" s="108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10"/>
      <c r="V655" s="110"/>
    </row>
    <row r="656" ht="12.75" customHeight="1">
      <c r="A656" s="107"/>
      <c r="B656" s="107"/>
      <c r="C656" s="107"/>
      <c r="D656" s="102"/>
      <c r="E656" s="107"/>
      <c r="F656" s="108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10"/>
      <c r="V656" s="110"/>
    </row>
    <row r="657" ht="12.75" customHeight="1">
      <c r="A657" s="107"/>
      <c r="B657" s="107"/>
      <c r="C657" s="107"/>
      <c r="D657" s="102"/>
      <c r="E657" s="107"/>
      <c r="F657" s="108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10"/>
      <c r="V657" s="110"/>
    </row>
    <row r="658" ht="12.75" customHeight="1">
      <c r="A658" s="107"/>
      <c r="B658" s="107"/>
      <c r="C658" s="107"/>
      <c r="D658" s="102"/>
      <c r="E658" s="107"/>
      <c r="F658" s="108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10"/>
      <c r="V658" s="110"/>
    </row>
    <row r="659" ht="12.75" customHeight="1">
      <c r="A659" s="107"/>
      <c r="B659" s="107"/>
      <c r="C659" s="107"/>
      <c r="D659" s="102"/>
      <c r="E659" s="107"/>
      <c r="F659" s="108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10"/>
      <c r="V659" s="110"/>
    </row>
    <row r="660" ht="12.75" customHeight="1">
      <c r="A660" s="107"/>
      <c r="B660" s="107"/>
      <c r="C660" s="107"/>
      <c r="D660" s="102"/>
      <c r="E660" s="107"/>
      <c r="F660" s="108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10"/>
      <c r="V660" s="110"/>
    </row>
    <row r="661" ht="12.75" customHeight="1">
      <c r="A661" s="107"/>
      <c r="B661" s="107"/>
      <c r="C661" s="107"/>
      <c r="D661" s="102"/>
      <c r="E661" s="107"/>
      <c r="F661" s="108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10"/>
      <c r="V661" s="110"/>
    </row>
    <row r="662" ht="12.75" customHeight="1">
      <c r="A662" s="107"/>
      <c r="B662" s="107"/>
      <c r="C662" s="107"/>
      <c r="D662" s="102"/>
      <c r="E662" s="107"/>
      <c r="F662" s="108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10"/>
      <c r="V662" s="110"/>
    </row>
    <row r="663" ht="12.75" customHeight="1">
      <c r="A663" s="107"/>
      <c r="B663" s="107"/>
      <c r="C663" s="107"/>
      <c r="D663" s="102"/>
      <c r="E663" s="107"/>
      <c r="F663" s="108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10"/>
      <c r="V663" s="110"/>
    </row>
    <row r="664" ht="12.75" customHeight="1">
      <c r="A664" s="107"/>
      <c r="B664" s="107"/>
      <c r="C664" s="107"/>
      <c r="D664" s="102"/>
      <c r="E664" s="107"/>
      <c r="F664" s="108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10"/>
      <c r="V664" s="110"/>
    </row>
    <row r="665" ht="12.75" customHeight="1">
      <c r="A665" s="107"/>
      <c r="B665" s="107"/>
      <c r="C665" s="107"/>
      <c r="D665" s="102"/>
      <c r="E665" s="107"/>
      <c r="F665" s="108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10"/>
      <c r="V665" s="110"/>
    </row>
    <row r="666" ht="12.75" customHeight="1">
      <c r="A666" s="107"/>
      <c r="B666" s="107"/>
      <c r="C666" s="107"/>
      <c r="D666" s="102"/>
      <c r="E666" s="107"/>
      <c r="F666" s="108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10"/>
      <c r="V666" s="110"/>
    </row>
    <row r="667" ht="12.75" customHeight="1">
      <c r="A667" s="107"/>
      <c r="B667" s="107"/>
      <c r="C667" s="107"/>
      <c r="D667" s="102"/>
      <c r="E667" s="107"/>
      <c r="F667" s="108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10"/>
      <c r="V667" s="110"/>
    </row>
    <row r="668" ht="12.75" customHeight="1">
      <c r="A668" s="107"/>
      <c r="B668" s="107"/>
      <c r="C668" s="107"/>
      <c r="D668" s="102"/>
      <c r="E668" s="107"/>
      <c r="F668" s="108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10"/>
      <c r="V668" s="110"/>
    </row>
    <row r="669" ht="12.75" customHeight="1">
      <c r="A669" s="107"/>
      <c r="B669" s="107"/>
      <c r="C669" s="107"/>
      <c r="D669" s="102"/>
      <c r="E669" s="107"/>
      <c r="F669" s="108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10"/>
      <c r="V669" s="110"/>
    </row>
    <row r="670" ht="12.75" customHeight="1">
      <c r="A670" s="107"/>
      <c r="B670" s="107"/>
      <c r="C670" s="107"/>
      <c r="D670" s="102"/>
      <c r="E670" s="107"/>
      <c r="F670" s="108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10"/>
      <c r="V670" s="110"/>
    </row>
    <row r="671" ht="12.75" customHeight="1">
      <c r="A671" s="107"/>
      <c r="B671" s="107"/>
      <c r="C671" s="107"/>
      <c r="D671" s="102"/>
      <c r="E671" s="107"/>
      <c r="F671" s="108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10"/>
      <c r="V671" s="110"/>
    </row>
    <row r="672" ht="12.75" customHeight="1">
      <c r="A672" s="107"/>
      <c r="B672" s="107"/>
      <c r="C672" s="107"/>
      <c r="D672" s="102"/>
      <c r="E672" s="107"/>
      <c r="F672" s="108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10"/>
      <c r="V672" s="110"/>
    </row>
    <row r="673" ht="12.75" customHeight="1">
      <c r="A673" s="107"/>
      <c r="B673" s="107"/>
      <c r="C673" s="107"/>
      <c r="D673" s="102"/>
      <c r="E673" s="107"/>
      <c r="F673" s="108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10"/>
      <c r="V673" s="110"/>
    </row>
    <row r="674" ht="12.75" customHeight="1">
      <c r="A674" s="107"/>
      <c r="B674" s="107"/>
      <c r="C674" s="107"/>
      <c r="D674" s="102"/>
      <c r="E674" s="107"/>
      <c r="F674" s="108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10"/>
      <c r="V674" s="110"/>
    </row>
    <row r="675" ht="12.75" customHeight="1">
      <c r="A675" s="107"/>
      <c r="B675" s="107"/>
      <c r="C675" s="107"/>
      <c r="D675" s="102"/>
      <c r="E675" s="107"/>
      <c r="F675" s="108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10"/>
      <c r="V675" s="110"/>
    </row>
    <row r="676" ht="12.75" customHeight="1">
      <c r="A676" s="107"/>
      <c r="B676" s="107"/>
      <c r="C676" s="107"/>
      <c r="D676" s="102"/>
      <c r="E676" s="107"/>
      <c r="F676" s="108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10"/>
      <c r="V676" s="110"/>
    </row>
    <row r="677" ht="12.75" customHeight="1">
      <c r="A677" s="107"/>
      <c r="B677" s="107"/>
      <c r="C677" s="107"/>
      <c r="D677" s="102"/>
      <c r="E677" s="107"/>
      <c r="F677" s="108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10"/>
      <c r="V677" s="110"/>
    </row>
    <row r="678" ht="12.75" customHeight="1">
      <c r="A678" s="107"/>
      <c r="B678" s="107"/>
      <c r="C678" s="107"/>
      <c r="D678" s="102"/>
      <c r="E678" s="107"/>
      <c r="F678" s="108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10"/>
      <c r="V678" s="110"/>
    </row>
    <row r="679" ht="12.75" customHeight="1">
      <c r="A679" s="107"/>
      <c r="B679" s="107"/>
      <c r="C679" s="107"/>
      <c r="D679" s="102"/>
      <c r="E679" s="107"/>
      <c r="F679" s="108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10"/>
      <c r="V679" s="110"/>
    </row>
    <row r="680" ht="12.75" customHeight="1">
      <c r="A680" s="107"/>
      <c r="B680" s="107"/>
      <c r="C680" s="107"/>
      <c r="D680" s="102"/>
      <c r="E680" s="107"/>
      <c r="F680" s="108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10"/>
      <c r="V680" s="110"/>
    </row>
    <row r="681" ht="12.75" customHeight="1">
      <c r="A681" s="107"/>
      <c r="B681" s="107"/>
      <c r="C681" s="107"/>
      <c r="D681" s="102"/>
      <c r="E681" s="107"/>
      <c r="F681" s="108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10"/>
      <c r="V681" s="110"/>
    </row>
    <row r="682" ht="12.75" customHeight="1">
      <c r="A682" s="107"/>
      <c r="B682" s="107"/>
      <c r="C682" s="107"/>
      <c r="D682" s="102"/>
      <c r="E682" s="107"/>
      <c r="F682" s="108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10"/>
      <c r="V682" s="110"/>
    </row>
    <row r="683" ht="12.75" customHeight="1">
      <c r="A683" s="107"/>
      <c r="B683" s="107"/>
      <c r="C683" s="107"/>
      <c r="D683" s="102"/>
      <c r="E683" s="107"/>
      <c r="F683" s="108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10"/>
      <c r="V683" s="110"/>
    </row>
    <row r="684" ht="12.75" customHeight="1">
      <c r="A684" s="107"/>
      <c r="B684" s="107"/>
      <c r="C684" s="107"/>
      <c r="D684" s="102"/>
      <c r="E684" s="107"/>
      <c r="F684" s="108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10"/>
      <c r="V684" s="110"/>
    </row>
    <row r="685" ht="12.75" customHeight="1">
      <c r="A685" s="107"/>
      <c r="B685" s="107"/>
      <c r="C685" s="107"/>
      <c r="D685" s="102"/>
      <c r="E685" s="107"/>
      <c r="F685" s="108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10"/>
      <c r="V685" s="110"/>
    </row>
    <row r="686" ht="12.75" customHeight="1">
      <c r="A686" s="107"/>
      <c r="B686" s="107"/>
      <c r="C686" s="107"/>
      <c r="D686" s="102"/>
      <c r="E686" s="107"/>
      <c r="F686" s="108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10"/>
      <c r="V686" s="110"/>
    </row>
    <row r="687" ht="12.75" customHeight="1">
      <c r="A687" s="107"/>
      <c r="B687" s="107"/>
      <c r="C687" s="107"/>
      <c r="D687" s="102"/>
      <c r="E687" s="107"/>
      <c r="F687" s="108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10"/>
      <c r="V687" s="110"/>
    </row>
    <row r="688" ht="12.75" customHeight="1">
      <c r="A688" s="107"/>
      <c r="B688" s="107"/>
      <c r="C688" s="107"/>
      <c r="D688" s="102"/>
      <c r="E688" s="107"/>
      <c r="F688" s="108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10"/>
      <c r="V688" s="110"/>
    </row>
    <row r="689" ht="12.75" customHeight="1">
      <c r="A689" s="107"/>
      <c r="B689" s="107"/>
      <c r="C689" s="107"/>
      <c r="D689" s="102"/>
      <c r="E689" s="107"/>
      <c r="F689" s="108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10"/>
      <c r="V689" s="110"/>
    </row>
    <row r="690" ht="12.75" customHeight="1">
      <c r="A690" s="107"/>
      <c r="B690" s="107"/>
      <c r="C690" s="107"/>
      <c r="D690" s="102"/>
      <c r="E690" s="107"/>
      <c r="F690" s="108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10"/>
      <c r="V690" s="110"/>
    </row>
    <row r="691" ht="12.75" customHeight="1">
      <c r="A691" s="107"/>
      <c r="B691" s="107"/>
      <c r="C691" s="107"/>
      <c r="D691" s="102"/>
      <c r="E691" s="107"/>
      <c r="F691" s="108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10"/>
      <c r="V691" s="110"/>
    </row>
    <row r="692" ht="12.75" customHeight="1">
      <c r="A692" s="107"/>
      <c r="B692" s="107"/>
      <c r="C692" s="107"/>
      <c r="D692" s="102"/>
      <c r="E692" s="107"/>
      <c r="F692" s="108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10"/>
      <c r="V692" s="110"/>
    </row>
    <row r="693" ht="12.75" customHeight="1">
      <c r="A693" s="107"/>
      <c r="B693" s="107"/>
      <c r="C693" s="107"/>
      <c r="D693" s="102"/>
      <c r="E693" s="107"/>
      <c r="F693" s="108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10"/>
      <c r="V693" s="110"/>
    </row>
    <row r="694" ht="12.75" customHeight="1">
      <c r="A694" s="107"/>
      <c r="B694" s="107"/>
      <c r="C694" s="107"/>
      <c r="D694" s="102"/>
      <c r="E694" s="107"/>
      <c r="F694" s="108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10"/>
      <c r="V694" s="110"/>
    </row>
    <row r="695" ht="12.75" customHeight="1">
      <c r="A695" s="107"/>
      <c r="B695" s="107"/>
      <c r="C695" s="107"/>
      <c r="D695" s="102"/>
      <c r="E695" s="107"/>
      <c r="F695" s="108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10"/>
      <c r="V695" s="110"/>
    </row>
    <row r="696" ht="12.75" customHeight="1">
      <c r="A696" s="107"/>
      <c r="B696" s="107"/>
      <c r="C696" s="107"/>
      <c r="D696" s="102"/>
      <c r="E696" s="107"/>
      <c r="F696" s="108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10"/>
      <c r="V696" s="110"/>
    </row>
    <row r="697" ht="12.75" customHeight="1">
      <c r="A697" s="107"/>
      <c r="B697" s="107"/>
      <c r="C697" s="107"/>
      <c r="D697" s="102"/>
      <c r="E697" s="107"/>
      <c r="F697" s="108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10"/>
      <c r="V697" s="110"/>
    </row>
    <row r="698" ht="12.75" customHeight="1">
      <c r="A698" s="107"/>
      <c r="B698" s="107"/>
      <c r="C698" s="107"/>
      <c r="D698" s="102"/>
      <c r="E698" s="107"/>
      <c r="F698" s="108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10"/>
      <c r="V698" s="110"/>
    </row>
    <row r="699" ht="12.75" customHeight="1">
      <c r="A699" s="107"/>
      <c r="B699" s="107"/>
      <c r="C699" s="107"/>
      <c r="D699" s="102"/>
      <c r="E699" s="107"/>
      <c r="F699" s="108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10"/>
      <c r="V699" s="110"/>
    </row>
    <row r="700" ht="12.75" customHeight="1">
      <c r="A700" s="107"/>
      <c r="B700" s="107"/>
      <c r="C700" s="107"/>
      <c r="D700" s="102"/>
      <c r="E700" s="107"/>
      <c r="F700" s="108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10"/>
      <c r="V700" s="110"/>
    </row>
    <row r="701" ht="12.75" customHeight="1">
      <c r="A701" s="107"/>
      <c r="B701" s="107"/>
      <c r="C701" s="107"/>
      <c r="D701" s="102"/>
      <c r="E701" s="107"/>
      <c r="F701" s="108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10"/>
      <c r="V701" s="110"/>
    </row>
    <row r="702" ht="12.75" customHeight="1">
      <c r="A702" s="107"/>
      <c r="B702" s="107"/>
      <c r="C702" s="107"/>
      <c r="D702" s="102"/>
      <c r="E702" s="107"/>
      <c r="F702" s="108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10"/>
      <c r="V702" s="110"/>
    </row>
    <row r="703" ht="12.75" customHeight="1">
      <c r="A703" s="107"/>
      <c r="B703" s="107"/>
      <c r="C703" s="107"/>
      <c r="D703" s="102"/>
      <c r="E703" s="107"/>
      <c r="F703" s="108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10"/>
      <c r="V703" s="110"/>
    </row>
    <row r="704" ht="12.75" customHeight="1">
      <c r="A704" s="107"/>
      <c r="B704" s="107"/>
      <c r="C704" s="107"/>
      <c r="D704" s="102"/>
      <c r="E704" s="107"/>
      <c r="F704" s="108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10"/>
      <c r="V704" s="110"/>
    </row>
    <row r="705" ht="12.75" customHeight="1">
      <c r="A705" s="107"/>
      <c r="B705" s="107"/>
      <c r="C705" s="107"/>
      <c r="D705" s="102"/>
      <c r="E705" s="107"/>
      <c r="F705" s="108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10"/>
      <c r="V705" s="110"/>
    </row>
    <row r="706" ht="12.75" customHeight="1">
      <c r="A706" s="107"/>
      <c r="B706" s="107"/>
      <c r="C706" s="107"/>
      <c r="D706" s="102"/>
      <c r="E706" s="107"/>
      <c r="F706" s="108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10"/>
      <c r="V706" s="110"/>
    </row>
    <row r="707" ht="12.75" customHeight="1">
      <c r="A707" s="107"/>
      <c r="B707" s="107"/>
      <c r="C707" s="107"/>
      <c r="D707" s="102"/>
      <c r="E707" s="107"/>
      <c r="F707" s="108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10"/>
      <c r="V707" s="110"/>
    </row>
    <row r="708" ht="12.75" customHeight="1">
      <c r="A708" s="107"/>
      <c r="B708" s="107"/>
      <c r="C708" s="107"/>
      <c r="D708" s="102"/>
      <c r="E708" s="107"/>
      <c r="F708" s="108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10"/>
      <c r="V708" s="110"/>
    </row>
    <row r="709" ht="12.75" customHeight="1">
      <c r="A709" s="107"/>
      <c r="B709" s="107"/>
      <c r="C709" s="107"/>
      <c r="D709" s="102"/>
      <c r="E709" s="107"/>
      <c r="F709" s="108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10"/>
      <c r="V709" s="110"/>
    </row>
    <row r="710" ht="12.75" customHeight="1">
      <c r="A710" s="107"/>
      <c r="B710" s="107"/>
      <c r="C710" s="107"/>
      <c r="D710" s="102"/>
      <c r="E710" s="107"/>
      <c r="F710" s="108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10"/>
      <c r="V710" s="110"/>
    </row>
    <row r="711" ht="12.75" customHeight="1">
      <c r="A711" s="107"/>
      <c r="B711" s="107"/>
      <c r="C711" s="107"/>
      <c r="D711" s="102"/>
      <c r="E711" s="107"/>
      <c r="F711" s="108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10"/>
      <c r="V711" s="110"/>
    </row>
    <row r="712" ht="12.75" customHeight="1">
      <c r="A712" s="107"/>
      <c r="B712" s="107"/>
      <c r="C712" s="107"/>
      <c r="D712" s="102"/>
      <c r="E712" s="107"/>
      <c r="F712" s="108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10"/>
      <c r="V712" s="110"/>
    </row>
    <row r="713" ht="12.75" customHeight="1">
      <c r="A713" s="107"/>
      <c r="B713" s="107"/>
      <c r="C713" s="107"/>
      <c r="D713" s="102"/>
      <c r="E713" s="107"/>
      <c r="F713" s="108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10"/>
      <c r="V713" s="110"/>
    </row>
    <row r="714" ht="12.75" customHeight="1">
      <c r="A714" s="107"/>
      <c r="B714" s="107"/>
      <c r="C714" s="107"/>
      <c r="D714" s="102"/>
      <c r="E714" s="107"/>
      <c r="F714" s="108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10"/>
      <c r="V714" s="110"/>
    </row>
    <row r="715" ht="12.75" customHeight="1">
      <c r="A715" s="107"/>
      <c r="B715" s="107"/>
      <c r="C715" s="107"/>
      <c r="D715" s="102"/>
      <c r="E715" s="107"/>
      <c r="F715" s="108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10"/>
      <c r="V715" s="110"/>
    </row>
    <row r="716" ht="12.75" customHeight="1">
      <c r="A716" s="107"/>
      <c r="B716" s="107"/>
      <c r="C716" s="107"/>
      <c r="D716" s="102"/>
      <c r="E716" s="107"/>
      <c r="F716" s="108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10"/>
      <c r="V716" s="110"/>
    </row>
    <row r="717" ht="12.75" customHeight="1">
      <c r="A717" s="107"/>
      <c r="B717" s="107"/>
      <c r="C717" s="107"/>
      <c r="D717" s="102"/>
      <c r="E717" s="107"/>
      <c r="F717" s="108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10"/>
      <c r="V717" s="110"/>
    </row>
    <row r="718" ht="12.75" customHeight="1">
      <c r="A718" s="107"/>
      <c r="B718" s="107"/>
      <c r="C718" s="107"/>
      <c r="D718" s="102"/>
      <c r="E718" s="107"/>
      <c r="F718" s="108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10"/>
      <c r="V718" s="110"/>
    </row>
    <row r="719" ht="12.75" customHeight="1">
      <c r="A719" s="107"/>
      <c r="B719" s="107"/>
      <c r="C719" s="107"/>
      <c r="D719" s="102"/>
      <c r="E719" s="107"/>
      <c r="F719" s="108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10"/>
      <c r="V719" s="110"/>
    </row>
    <row r="720" ht="12.75" customHeight="1">
      <c r="A720" s="107"/>
      <c r="B720" s="107"/>
      <c r="C720" s="107"/>
      <c r="D720" s="102"/>
      <c r="E720" s="107"/>
      <c r="F720" s="108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10"/>
      <c r="V720" s="110"/>
    </row>
    <row r="721" ht="12.75" customHeight="1">
      <c r="A721" s="107"/>
      <c r="B721" s="107"/>
      <c r="C721" s="107"/>
      <c r="D721" s="102"/>
      <c r="E721" s="107"/>
      <c r="F721" s="108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10"/>
      <c r="V721" s="110"/>
    </row>
    <row r="722" ht="12.75" customHeight="1">
      <c r="A722" s="107"/>
      <c r="B722" s="107"/>
      <c r="C722" s="107"/>
      <c r="D722" s="102"/>
      <c r="E722" s="107"/>
      <c r="F722" s="108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10"/>
      <c r="V722" s="110"/>
    </row>
    <row r="723" ht="12.75" customHeight="1">
      <c r="A723" s="107"/>
      <c r="B723" s="107"/>
      <c r="C723" s="107"/>
      <c r="D723" s="102"/>
      <c r="E723" s="107"/>
      <c r="F723" s="108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10"/>
      <c r="V723" s="110"/>
    </row>
    <row r="724" ht="12.75" customHeight="1">
      <c r="A724" s="107"/>
      <c r="B724" s="107"/>
      <c r="C724" s="107"/>
      <c r="D724" s="102"/>
      <c r="E724" s="107"/>
      <c r="F724" s="108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10"/>
      <c r="V724" s="110"/>
    </row>
    <row r="725" ht="12.75" customHeight="1">
      <c r="A725" s="107"/>
      <c r="B725" s="107"/>
      <c r="C725" s="107"/>
      <c r="D725" s="102"/>
      <c r="E725" s="107"/>
      <c r="F725" s="108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10"/>
      <c r="V725" s="110"/>
    </row>
    <row r="726" ht="12.75" customHeight="1">
      <c r="A726" s="107"/>
      <c r="B726" s="107"/>
      <c r="C726" s="107"/>
      <c r="D726" s="102"/>
      <c r="E726" s="107"/>
      <c r="F726" s="108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10"/>
      <c r="V726" s="110"/>
    </row>
    <row r="727" ht="12.75" customHeight="1">
      <c r="A727" s="107"/>
      <c r="B727" s="107"/>
      <c r="C727" s="107"/>
      <c r="D727" s="102"/>
      <c r="E727" s="107"/>
      <c r="F727" s="108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10"/>
      <c r="V727" s="110"/>
    </row>
    <row r="728" ht="12.75" customHeight="1">
      <c r="A728" s="107"/>
      <c r="B728" s="107"/>
      <c r="C728" s="107"/>
      <c r="D728" s="102"/>
      <c r="E728" s="107"/>
      <c r="F728" s="108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10"/>
      <c r="V728" s="110"/>
    </row>
    <row r="729" ht="12.75" customHeight="1">
      <c r="A729" s="107"/>
      <c r="B729" s="107"/>
      <c r="C729" s="107"/>
      <c r="D729" s="102"/>
      <c r="E729" s="107"/>
      <c r="F729" s="108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10"/>
      <c r="V729" s="110"/>
    </row>
    <row r="730" ht="12.75" customHeight="1">
      <c r="A730" s="107"/>
      <c r="B730" s="107"/>
      <c r="C730" s="107"/>
      <c r="D730" s="102"/>
      <c r="E730" s="107"/>
      <c r="F730" s="108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10"/>
      <c r="V730" s="110"/>
    </row>
    <row r="731" ht="12.75" customHeight="1">
      <c r="A731" s="107"/>
      <c r="B731" s="107"/>
      <c r="C731" s="107"/>
      <c r="D731" s="102"/>
      <c r="E731" s="107"/>
      <c r="F731" s="108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10"/>
      <c r="V731" s="110"/>
    </row>
    <row r="732" ht="12.75" customHeight="1">
      <c r="A732" s="107"/>
      <c r="B732" s="107"/>
      <c r="C732" s="107"/>
      <c r="D732" s="102"/>
      <c r="E732" s="107"/>
      <c r="F732" s="108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10"/>
      <c r="V732" s="110"/>
    </row>
    <row r="733" ht="12.75" customHeight="1">
      <c r="A733" s="107"/>
      <c r="B733" s="107"/>
      <c r="C733" s="107"/>
      <c r="D733" s="102"/>
      <c r="E733" s="107"/>
      <c r="F733" s="108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10"/>
      <c r="V733" s="110"/>
    </row>
    <row r="734" ht="12.75" customHeight="1">
      <c r="A734" s="107"/>
      <c r="B734" s="107"/>
      <c r="C734" s="107"/>
      <c r="D734" s="102"/>
      <c r="E734" s="107"/>
      <c r="F734" s="108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10"/>
      <c r="V734" s="110"/>
    </row>
    <row r="735" ht="12.75" customHeight="1">
      <c r="A735" s="107"/>
      <c r="B735" s="107"/>
      <c r="C735" s="107"/>
      <c r="D735" s="102"/>
      <c r="E735" s="107"/>
      <c r="F735" s="108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10"/>
      <c r="V735" s="110"/>
    </row>
    <row r="736" ht="12.75" customHeight="1">
      <c r="A736" s="107"/>
      <c r="B736" s="107"/>
      <c r="C736" s="107"/>
      <c r="D736" s="102"/>
      <c r="E736" s="107"/>
      <c r="F736" s="108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10"/>
      <c r="V736" s="110"/>
    </row>
    <row r="737" ht="12.75" customHeight="1">
      <c r="A737" s="107"/>
      <c r="B737" s="107"/>
      <c r="C737" s="107"/>
      <c r="D737" s="102"/>
      <c r="E737" s="107"/>
      <c r="F737" s="108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10"/>
      <c r="V737" s="110"/>
    </row>
    <row r="738" ht="12.75" customHeight="1">
      <c r="A738" s="107"/>
      <c r="B738" s="107"/>
      <c r="C738" s="107"/>
      <c r="D738" s="102"/>
      <c r="E738" s="107"/>
      <c r="F738" s="108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10"/>
      <c r="V738" s="110"/>
    </row>
    <row r="739" ht="12.75" customHeight="1">
      <c r="A739" s="107"/>
      <c r="B739" s="107"/>
      <c r="C739" s="107"/>
      <c r="D739" s="102"/>
      <c r="E739" s="107"/>
      <c r="F739" s="108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10"/>
      <c r="V739" s="110"/>
    </row>
    <row r="740" ht="12.75" customHeight="1">
      <c r="A740" s="107"/>
      <c r="B740" s="107"/>
      <c r="C740" s="107"/>
      <c r="D740" s="102"/>
      <c r="E740" s="107"/>
      <c r="F740" s="108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10"/>
      <c r="V740" s="110"/>
    </row>
    <row r="741" ht="12.75" customHeight="1">
      <c r="A741" s="107"/>
      <c r="B741" s="107"/>
      <c r="C741" s="107"/>
      <c r="D741" s="102"/>
      <c r="E741" s="107"/>
      <c r="F741" s="108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10"/>
      <c r="V741" s="110"/>
    </row>
    <row r="742" ht="12.75" customHeight="1">
      <c r="A742" s="107"/>
      <c r="B742" s="107"/>
      <c r="C742" s="107"/>
      <c r="D742" s="102"/>
      <c r="E742" s="107"/>
      <c r="F742" s="108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10"/>
      <c r="V742" s="110"/>
    </row>
    <row r="743" ht="12.75" customHeight="1">
      <c r="A743" s="107"/>
      <c r="B743" s="107"/>
      <c r="C743" s="107"/>
      <c r="D743" s="102"/>
      <c r="E743" s="107"/>
      <c r="F743" s="108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10"/>
      <c r="V743" s="110"/>
    </row>
    <row r="744" ht="12.75" customHeight="1">
      <c r="A744" s="107"/>
      <c r="B744" s="107"/>
      <c r="C744" s="107"/>
      <c r="D744" s="102"/>
      <c r="E744" s="107"/>
      <c r="F744" s="108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10"/>
      <c r="V744" s="110"/>
    </row>
    <row r="745" ht="12.75" customHeight="1">
      <c r="A745" s="107"/>
      <c r="B745" s="107"/>
      <c r="C745" s="107"/>
      <c r="D745" s="102"/>
      <c r="E745" s="107"/>
      <c r="F745" s="108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10"/>
      <c r="V745" s="110"/>
    </row>
    <row r="746" ht="12.75" customHeight="1">
      <c r="A746" s="107"/>
      <c r="B746" s="107"/>
      <c r="C746" s="107"/>
      <c r="D746" s="102"/>
      <c r="E746" s="107"/>
      <c r="F746" s="108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10"/>
      <c r="V746" s="110"/>
    </row>
    <row r="747" ht="12.75" customHeight="1">
      <c r="A747" s="107"/>
      <c r="B747" s="107"/>
      <c r="C747" s="107"/>
      <c r="D747" s="102"/>
      <c r="E747" s="107"/>
      <c r="F747" s="108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10"/>
      <c r="V747" s="110"/>
    </row>
    <row r="748" ht="12.75" customHeight="1">
      <c r="A748" s="107"/>
      <c r="B748" s="107"/>
      <c r="C748" s="107"/>
      <c r="D748" s="102"/>
      <c r="E748" s="107"/>
      <c r="F748" s="108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10"/>
      <c r="V748" s="110"/>
    </row>
    <row r="749" ht="12.75" customHeight="1">
      <c r="A749" s="107"/>
      <c r="B749" s="107"/>
      <c r="C749" s="107"/>
      <c r="D749" s="102"/>
      <c r="E749" s="107"/>
      <c r="F749" s="108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10"/>
      <c r="V749" s="110"/>
    </row>
    <row r="750" ht="12.75" customHeight="1">
      <c r="A750" s="107"/>
      <c r="B750" s="107"/>
      <c r="C750" s="107"/>
      <c r="D750" s="102"/>
      <c r="E750" s="107"/>
      <c r="F750" s="108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10"/>
      <c r="V750" s="110"/>
    </row>
    <row r="751" ht="12.75" customHeight="1">
      <c r="A751" s="107"/>
      <c r="B751" s="107"/>
      <c r="C751" s="107"/>
      <c r="D751" s="102"/>
      <c r="E751" s="107"/>
      <c r="F751" s="108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10"/>
      <c r="V751" s="110"/>
    </row>
    <row r="752" ht="12.75" customHeight="1">
      <c r="A752" s="107"/>
      <c r="B752" s="107"/>
      <c r="C752" s="107"/>
      <c r="D752" s="102"/>
      <c r="E752" s="107"/>
      <c r="F752" s="108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10"/>
      <c r="V752" s="110"/>
    </row>
    <row r="753" ht="12.75" customHeight="1">
      <c r="A753" s="107"/>
      <c r="B753" s="107"/>
      <c r="C753" s="107"/>
      <c r="D753" s="102"/>
      <c r="E753" s="107"/>
      <c r="F753" s="108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10"/>
      <c r="V753" s="110"/>
    </row>
    <row r="754" ht="12.75" customHeight="1">
      <c r="A754" s="107"/>
      <c r="B754" s="107"/>
      <c r="C754" s="107"/>
      <c r="D754" s="102"/>
      <c r="E754" s="107"/>
      <c r="F754" s="108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10"/>
      <c r="V754" s="110"/>
    </row>
    <row r="755" ht="12.75" customHeight="1">
      <c r="A755" s="107"/>
      <c r="B755" s="107"/>
      <c r="C755" s="107"/>
      <c r="D755" s="102"/>
      <c r="E755" s="107"/>
      <c r="F755" s="108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10"/>
      <c r="V755" s="110"/>
    </row>
    <row r="756" ht="12.75" customHeight="1">
      <c r="A756" s="107"/>
      <c r="B756" s="107"/>
      <c r="C756" s="107"/>
      <c r="D756" s="102"/>
      <c r="E756" s="107"/>
      <c r="F756" s="108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10"/>
      <c r="V756" s="110"/>
    </row>
    <row r="757" ht="12.75" customHeight="1">
      <c r="A757" s="107"/>
      <c r="B757" s="107"/>
      <c r="C757" s="107"/>
      <c r="D757" s="102"/>
      <c r="E757" s="107"/>
      <c r="F757" s="108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10"/>
      <c r="V757" s="110"/>
    </row>
    <row r="758" ht="12.75" customHeight="1">
      <c r="A758" s="107"/>
      <c r="B758" s="107"/>
      <c r="C758" s="107"/>
      <c r="D758" s="102"/>
      <c r="E758" s="107"/>
      <c r="F758" s="108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10"/>
      <c r="V758" s="110"/>
    </row>
    <row r="759" ht="12.75" customHeight="1">
      <c r="A759" s="107"/>
      <c r="B759" s="107"/>
      <c r="C759" s="107"/>
      <c r="D759" s="102"/>
      <c r="E759" s="107"/>
      <c r="F759" s="108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10"/>
      <c r="V759" s="110"/>
    </row>
    <row r="760" ht="12.75" customHeight="1">
      <c r="A760" s="107"/>
      <c r="B760" s="107"/>
      <c r="C760" s="107"/>
      <c r="D760" s="102"/>
      <c r="E760" s="107"/>
      <c r="F760" s="108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10"/>
      <c r="V760" s="110"/>
    </row>
    <row r="761" ht="12.75" customHeight="1">
      <c r="A761" s="107"/>
      <c r="B761" s="107"/>
      <c r="C761" s="107"/>
      <c r="D761" s="102"/>
      <c r="E761" s="107"/>
      <c r="F761" s="108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10"/>
      <c r="V761" s="110"/>
    </row>
    <row r="762" ht="12.75" customHeight="1">
      <c r="A762" s="107"/>
      <c r="B762" s="107"/>
      <c r="C762" s="107"/>
      <c r="D762" s="102"/>
      <c r="E762" s="107"/>
      <c r="F762" s="108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10"/>
      <c r="V762" s="110"/>
    </row>
    <row r="763" ht="12.75" customHeight="1">
      <c r="A763" s="107"/>
      <c r="B763" s="107"/>
      <c r="C763" s="107"/>
      <c r="D763" s="102"/>
      <c r="E763" s="107"/>
      <c r="F763" s="108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10"/>
      <c r="V763" s="110"/>
    </row>
    <row r="764" ht="12.75" customHeight="1">
      <c r="A764" s="107"/>
      <c r="B764" s="107"/>
      <c r="C764" s="107"/>
      <c r="D764" s="102"/>
      <c r="E764" s="107"/>
      <c r="F764" s="108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10"/>
      <c r="V764" s="110"/>
    </row>
    <row r="765" ht="12.75" customHeight="1">
      <c r="A765" s="107"/>
      <c r="B765" s="107"/>
      <c r="C765" s="107"/>
      <c r="D765" s="102"/>
      <c r="E765" s="107"/>
      <c r="F765" s="108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10"/>
      <c r="V765" s="110"/>
    </row>
    <row r="766" ht="12.75" customHeight="1">
      <c r="A766" s="107"/>
      <c r="B766" s="107"/>
      <c r="C766" s="107"/>
      <c r="D766" s="102"/>
      <c r="E766" s="107"/>
      <c r="F766" s="108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10"/>
      <c r="V766" s="110"/>
    </row>
    <row r="767" ht="12.75" customHeight="1">
      <c r="A767" s="107"/>
      <c r="B767" s="107"/>
      <c r="C767" s="107"/>
      <c r="D767" s="102"/>
      <c r="E767" s="107"/>
      <c r="F767" s="108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10"/>
      <c r="V767" s="110"/>
    </row>
    <row r="768" ht="12.75" customHeight="1">
      <c r="A768" s="107"/>
      <c r="B768" s="107"/>
      <c r="C768" s="107"/>
      <c r="D768" s="102"/>
      <c r="E768" s="107"/>
      <c r="F768" s="108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10"/>
      <c r="V768" s="110"/>
    </row>
    <row r="769" ht="12.75" customHeight="1">
      <c r="A769" s="107"/>
      <c r="B769" s="107"/>
      <c r="C769" s="107"/>
      <c r="D769" s="102"/>
      <c r="E769" s="107"/>
      <c r="F769" s="108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10"/>
      <c r="V769" s="110"/>
    </row>
    <row r="770" ht="12.75" customHeight="1">
      <c r="A770" s="107"/>
      <c r="B770" s="107"/>
      <c r="C770" s="107"/>
      <c r="D770" s="102"/>
      <c r="E770" s="107"/>
      <c r="F770" s="108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10"/>
      <c r="V770" s="110"/>
    </row>
    <row r="771" ht="12.75" customHeight="1">
      <c r="A771" s="107"/>
      <c r="B771" s="107"/>
      <c r="C771" s="107"/>
      <c r="D771" s="102"/>
      <c r="E771" s="107"/>
      <c r="F771" s="108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10"/>
      <c r="V771" s="110"/>
    </row>
    <row r="772" ht="12.75" customHeight="1">
      <c r="A772" s="107"/>
      <c r="B772" s="107"/>
      <c r="C772" s="107"/>
      <c r="D772" s="102"/>
      <c r="E772" s="107"/>
      <c r="F772" s="108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10"/>
      <c r="V772" s="110"/>
    </row>
    <row r="773" ht="12.75" customHeight="1">
      <c r="A773" s="107"/>
      <c r="B773" s="107"/>
      <c r="C773" s="107"/>
      <c r="D773" s="102"/>
      <c r="E773" s="107"/>
      <c r="F773" s="108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10"/>
      <c r="V773" s="110"/>
    </row>
    <row r="774" ht="12.75" customHeight="1">
      <c r="A774" s="107"/>
      <c r="B774" s="107"/>
      <c r="C774" s="107"/>
      <c r="D774" s="102"/>
      <c r="E774" s="107"/>
      <c r="F774" s="108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10"/>
      <c r="V774" s="110"/>
    </row>
    <row r="775" ht="12.75" customHeight="1">
      <c r="A775" s="107"/>
      <c r="B775" s="107"/>
      <c r="C775" s="107"/>
      <c r="D775" s="102"/>
      <c r="E775" s="107"/>
      <c r="F775" s="108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10"/>
      <c r="V775" s="110"/>
    </row>
    <row r="776" ht="12.75" customHeight="1">
      <c r="A776" s="107"/>
      <c r="B776" s="107"/>
      <c r="C776" s="107"/>
      <c r="D776" s="102"/>
      <c r="E776" s="107"/>
      <c r="F776" s="108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10"/>
      <c r="V776" s="110"/>
    </row>
    <row r="777" ht="12.75" customHeight="1">
      <c r="A777" s="107"/>
      <c r="B777" s="107"/>
      <c r="C777" s="107"/>
      <c r="D777" s="102"/>
      <c r="E777" s="107"/>
      <c r="F777" s="108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10"/>
      <c r="V777" s="110"/>
    </row>
    <row r="778" ht="12.75" customHeight="1">
      <c r="A778" s="107"/>
      <c r="B778" s="107"/>
      <c r="C778" s="107"/>
      <c r="D778" s="102"/>
      <c r="E778" s="107"/>
      <c r="F778" s="108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10"/>
      <c r="V778" s="110"/>
    </row>
    <row r="779" ht="12.75" customHeight="1">
      <c r="A779" s="107"/>
      <c r="B779" s="107"/>
      <c r="C779" s="107"/>
      <c r="D779" s="102"/>
      <c r="E779" s="107"/>
      <c r="F779" s="108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10"/>
      <c r="V779" s="110"/>
    </row>
    <row r="780" ht="12.75" customHeight="1">
      <c r="A780" s="107"/>
      <c r="B780" s="107"/>
      <c r="C780" s="107"/>
      <c r="D780" s="102"/>
      <c r="E780" s="107"/>
      <c r="F780" s="108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10"/>
      <c r="V780" s="110"/>
    </row>
    <row r="781" ht="12.75" customHeight="1">
      <c r="A781" s="107"/>
      <c r="B781" s="107"/>
      <c r="C781" s="107"/>
      <c r="D781" s="102"/>
      <c r="E781" s="107"/>
      <c r="F781" s="108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10"/>
      <c r="V781" s="110"/>
    </row>
    <row r="782" ht="12.75" customHeight="1">
      <c r="A782" s="107"/>
      <c r="B782" s="107"/>
      <c r="C782" s="107"/>
      <c r="D782" s="102"/>
      <c r="E782" s="107"/>
      <c r="F782" s="108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10"/>
      <c r="V782" s="110"/>
    </row>
    <row r="783" ht="12.75" customHeight="1">
      <c r="A783" s="107"/>
      <c r="B783" s="107"/>
      <c r="C783" s="107"/>
      <c r="D783" s="102"/>
      <c r="E783" s="107"/>
      <c r="F783" s="108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10"/>
      <c r="V783" s="110"/>
    </row>
    <row r="784" ht="12.75" customHeight="1">
      <c r="A784" s="107"/>
      <c r="B784" s="107"/>
      <c r="C784" s="107"/>
      <c r="D784" s="102"/>
      <c r="E784" s="107"/>
      <c r="F784" s="108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10"/>
      <c r="V784" s="110"/>
    </row>
    <row r="785" ht="12.75" customHeight="1">
      <c r="A785" s="107"/>
      <c r="B785" s="107"/>
      <c r="C785" s="107"/>
      <c r="D785" s="102"/>
      <c r="E785" s="107"/>
      <c r="F785" s="108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10"/>
      <c r="V785" s="110"/>
    </row>
    <row r="786" ht="12.75" customHeight="1">
      <c r="A786" s="107"/>
      <c r="B786" s="107"/>
      <c r="C786" s="107"/>
      <c r="D786" s="102"/>
      <c r="E786" s="107"/>
      <c r="F786" s="108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10"/>
      <c r="V786" s="110"/>
    </row>
    <row r="787" ht="12.75" customHeight="1">
      <c r="A787" s="107"/>
      <c r="B787" s="107"/>
      <c r="C787" s="107"/>
      <c r="D787" s="102"/>
      <c r="E787" s="107"/>
      <c r="F787" s="108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10"/>
      <c r="V787" s="110"/>
    </row>
    <row r="788" ht="12.75" customHeight="1">
      <c r="A788" s="107"/>
      <c r="B788" s="107"/>
      <c r="C788" s="107"/>
      <c r="D788" s="102"/>
      <c r="E788" s="107"/>
      <c r="F788" s="108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10"/>
      <c r="V788" s="110"/>
    </row>
    <row r="789" ht="12.75" customHeight="1">
      <c r="A789" s="107"/>
      <c r="B789" s="107"/>
      <c r="C789" s="107"/>
      <c r="D789" s="102"/>
      <c r="E789" s="107"/>
      <c r="F789" s="108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10"/>
      <c r="V789" s="110"/>
    </row>
    <row r="790" ht="12.75" customHeight="1">
      <c r="A790" s="107"/>
      <c r="B790" s="107"/>
      <c r="C790" s="107"/>
      <c r="D790" s="102"/>
      <c r="E790" s="107"/>
      <c r="F790" s="108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10"/>
      <c r="V790" s="110"/>
    </row>
    <row r="791" ht="12.75" customHeight="1">
      <c r="A791" s="107"/>
      <c r="B791" s="107"/>
      <c r="C791" s="107"/>
      <c r="D791" s="102"/>
      <c r="E791" s="107"/>
      <c r="F791" s="108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10"/>
      <c r="V791" s="110"/>
    </row>
    <row r="792" ht="12.75" customHeight="1">
      <c r="A792" s="107"/>
      <c r="B792" s="107"/>
      <c r="C792" s="107"/>
      <c r="D792" s="102"/>
      <c r="E792" s="107"/>
      <c r="F792" s="108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10"/>
      <c r="V792" s="110"/>
    </row>
    <row r="793" ht="12.75" customHeight="1">
      <c r="A793" s="107"/>
      <c r="B793" s="107"/>
      <c r="C793" s="107"/>
      <c r="D793" s="102"/>
      <c r="E793" s="107"/>
      <c r="F793" s="108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10"/>
      <c r="V793" s="110"/>
    </row>
    <row r="794" ht="12.75" customHeight="1">
      <c r="A794" s="107"/>
      <c r="B794" s="107"/>
      <c r="C794" s="107"/>
      <c r="D794" s="102"/>
      <c r="E794" s="107"/>
      <c r="F794" s="108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10"/>
      <c r="V794" s="110"/>
    </row>
    <row r="795" ht="12.75" customHeight="1">
      <c r="A795" s="107"/>
      <c r="B795" s="107"/>
      <c r="C795" s="107"/>
      <c r="D795" s="102"/>
      <c r="E795" s="107"/>
      <c r="F795" s="108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10"/>
      <c r="V795" s="110"/>
    </row>
    <row r="796" ht="12.75" customHeight="1">
      <c r="A796" s="107"/>
      <c r="B796" s="107"/>
      <c r="C796" s="107"/>
      <c r="D796" s="102"/>
      <c r="E796" s="107"/>
      <c r="F796" s="108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10"/>
      <c r="V796" s="110"/>
    </row>
    <row r="797" ht="12.75" customHeight="1">
      <c r="A797" s="107"/>
      <c r="B797" s="107"/>
      <c r="C797" s="107"/>
      <c r="D797" s="102"/>
      <c r="E797" s="107"/>
      <c r="F797" s="108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10"/>
      <c r="V797" s="110"/>
    </row>
    <row r="798" ht="12.75" customHeight="1">
      <c r="A798" s="107"/>
      <c r="B798" s="107"/>
      <c r="C798" s="107"/>
      <c r="D798" s="102"/>
      <c r="E798" s="107"/>
      <c r="F798" s="108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10"/>
      <c r="V798" s="110"/>
    </row>
    <row r="799" ht="12.75" customHeight="1">
      <c r="A799" s="107"/>
      <c r="B799" s="107"/>
      <c r="C799" s="107"/>
      <c r="D799" s="102"/>
      <c r="E799" s="107"/>
      <c r="F799" s="108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10"/>
      <c r="V799" s="110"/>
    </row>
    <row r="800" ht="12.75" customHeight="1">
      <c r="A800" s="107"/>
      <c r="B800" s="107"/>
      <c r="C800" s="107"/>
      <c r="D800" s="102"/>
      <c r="E800" s="107"/>
      <c r="F800" s="108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10"/>
      <c r="V800" s="110"/>
    </row>
    <row r="801" ht="12.75" customHeight="1">
      <c r="A801" s="107"/>
      <c r="B801" s="107"/>
      <c r="C801" s="107"/>
      <c r="D801" s="102"/>
      <c r="E801" s="107"/>
      <c r="F801" s="108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10"/>
      <c r="V801" s="110"/>
    </row>
    <row r="802" ht="12.75" customHeight="1">
      <c r="A802" s="107"/>
      <c r="B802" s="107"/>
      <c r="C802" s="107"/>
      <c r="D802" s="102"/>
      <c r="E802" s="107"/>
      <c r="F802" s="108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10"/>
      <c r="V802" s="110"/>
    </row>
    <row r="803" ht="12.75" customHeight="1">
      <c r="A803" s="107"/>
      <c r="B803" s="107"/>
      <c r="C803" s="107"/>
      <c r="D803" s="102"/>
      <c r="E803" s="107"/>
      <c r="F803" s="108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10"/>
      <c r="V803" s="110"/>
    </row>
    <row r="804" ht="12.75" customHeight="1">
      <c r="A804" s="107"/>
      <c r="B804" s="107"/>
      <c r="C804" s="107"/>
      <c r="D804" s="102"/>
      <c r="E804" s="107"/>
      <c r="F804" s="108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10"/>
      <c r="V804" s="110"/>
    </row>
    <row r="805" ht="12.75" customHeight="1">
      <c r="A805" s="107"/>
      <c r="B805" s="107"/>
      <c r="C805" s="107"/>
      <c r="D805" s="102"/>
      <c r="E805" s="107"/>
      <c r="F805" s="108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10"/>
      <c r="V805" s="110"/>
    </row>
    <row r="806" ht="12.75" customHeight="1">
      <c r="A806" s="107"/>
      <c r="B806" s="107"/>
      <c r="C806" s="107"/>
      <c r="D806" s="102"/>
      <c r="E806" s="107"/>
      <c r="F806" s="108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10"/>
      <c r="V806" s="110"/>
    </row>
    <row r="807" ht="12.75" customHeight="1">
      <c r="A807" s="107"/>
      <c r="B807" s="107"/>
      <c r="C807" s="107"/>
      <c r="D807" s="102"/>
      <c r="E807" s="107"/>
      <c r="F807" s="108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10"/>
      <c r="V807" s="110"/>
    </row>
    <row r="808" ht="12.75" customHeight="1">
      <c r="A808" s="107"/>
      <c r="B808" s="107"/>
      <c r="C808" s="107"/>
      <c r="D808" s="102"/>
      <c r="E808" s="107"/>
      <c r="F808" s="108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10"/>
      <c r="V808" s="110"/>
    </row>
    <row r="809" ht="12.75" customHeight="1">
      <c r="A809" s="107"/>
      <c r="B809" s="107"/>
      <c r="C809" s="107"/>
      <c r="D809" s="102"/>
      <c r="E809" s="107"/>
      <c r="F809" s="108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10"/>
      <c r="V809" s="110"/>
    </row>
    <row r="810" ht="12.75" customHeight="1">
      <c r="A810" s="107"/>
      <c r="B810" s="107"/>
      <c r="C810" s="107"/>
      <c r="D810" s="102"/>
      <c r="E810" s="107"/>
      <c r="F810" s="108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10"/>
      <c r="V810" s="110"/>
    </row>
    <row r="811" ht="12.75" customHeight="1">
      <c r="A811" s="107"/>
      <c r="B811" s="107"/>
      <c r="C811" s="107"/>
      <c r="D811" s="102"/>
      <c r="E811" s="107"/>
      <c r="F811" s="108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10"/>
      <c r="V811" s="110"/>
    </row>
    <row r="812" ht="12.75" customHeight="1">
      <c r="A812" s="107"/>
      <c r="B812" s="107"/>
      <c r="C812" s="107"/>
      <c r="D812" s="102"/>
      <c r="E812" s="107"/>
      <c r="F812" s="108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10"/>
      <c r="V812" s="110"/>
    </row>
    <row r="813" ht="12.75" customHeight="1">
      <c r="A813" s="107"/>
      <c r="B813" s="107"/>
      <c r="C813" s="107"/>
      <c r="D813" s="102"/>
      <c r="E813" s="107"/>
      <c r="F813" s="108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10"/>
      <c r="V813" s="110"/>
    </row>
    <row r="814" ht="12.75" customHeight="1">
      <c r="A814" s="107"/>
      <c r="B814" s="107"/>
      <c r="C814" s="107"/>
      <c r="D814" s="102"/>
      <c r="E814" s="107"/>
      <c r="F814" s="108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10"/>
      <c r="V814" s="110"/>
    </row>
    <row r="815" ht="12.75" customHeight="1">
      <c r="A815" s="107"/>
      <c r="B815" s="107"/>
      <c r="C815" s="107"/>
      <c r="D815" s="102"/>
      <c r="E815" s="107"/>
      <c r="F815" s="108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10"/>
      <c r="V815" s="110"/>
    </row>
    <row r="816" ht="12.75" customHeight="1">
      <c r="A816" s="107"/>
      <c r="B816" s="107"/>
      <c r="C816" s="107"/>
      <c r="D816" s="102"/>
      <c r="E816" s="107"/>
      <c r="F816" s="108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10"/>
      <c r="V816" s="110"/>
    </row>
    <row r="817" ht="12.75" customHeight="1">
      <c r="A817" s="107"/>
      <c r="B817" s="107"/>
      <c r="C817" s="107"/>
      <c r="D817" s="102"/>
      <c r="E817" s="107"/>
      <c r="F817" s="108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10"/>
      <c r="V817" s="110"/>
    </row>
    <row r="818" ht="12.75" customHeight="1">
      <c r="A818" s="107"/>
      <c r="B818" s="107"/>
      <c r="C818" s="107"/>
      <c r="D818" s="102"/>
      <c r="E818" s="107"/>
      <c r="F818" s="108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10"/>
      <c r="V818" s="110"/>
    </row>
    <row r="819" ht="12.75" customHeight="1">
      <c r="A819" s="107"/>
      <c r="B819" s="107"/>
      <c r="C819" s="107"/>
      <c r="D819" s="102"/>
      <c r="E819" s="107"/>
      <c r="F819" s="108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10"/>
      <c r="V819" s="110"/>
    </row>
    <row r="820" ht="12.75" customHeight="1">
      <c r="A820" s="107"/>
      <c r="B820" s="107"/>
      <c r="C820" s="107"/>
      <c r="D820" s="102"/>
      <c r="E820" s="107"/>
      <c r="F820" s="108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10"/>
      <c r="V820" s="110"/>
    </row>
    <row r="821" ht="12.75" customHeight="1">
      <c r="A821" s="107"/>
      <c r="B821" s="107"/>
      <c r="C821" s="107"/>
      <c r="D821" s="102"/>
      <c r="E821" s="107"/>
      <c r="F821" s="108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10"/>
      <c r="V821" s="110"/>
    </row>
    <row r="822" ht="12.75" customHeight="1">
      <c r="A822" s="107"/>
      <c r="B822" s="107"/>
      <c r="C822" s="107"/>
      <c r="D822" s="102"/>
      <c r="E822" s="107"/>
      <c r="F822" s="108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10"/>
      <c r="V822" s="110"/>
    </row>
    <row r="823" ht="12.75" customHeight="1">
      <c r="A823" s="107"/>
      <c r="B823" s="107"/>
      <c r="C823" s="107"/>
      <c r="D823" s="102"/>
      <c r="E823" s="107"/>
      <c r="F823" s="108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10"/>
      <c r="V823" s="110"/>
    </row>
    <row r="824" ht="12.75" customHeight="1">
      <c r="A824" s="107"/>
      <c r="B824" s="107"/>
      <c r="C824" s="107"/>
      <c r="D824" s="102"/>
      <c r="E824" s="107"/>
      <c r="F824" s="108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10"/>
      <c r="V824" s="110"/>
    </row>
    <row r="825" ht="12.75" customHeight="1">
      <c r="A825" s="107"/>
      <c r="B825" s="107"/>
      <c r="C825" s="107"/>
      <c r="D825" s="102"/>
      <c r="E825" s="107"/>
      <c r="F825" s="108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10"/>
      <c r="V825" s="110"/>
    </row>
    <row r="826" ht="12.75" customHeight="1">
      <c r="A826" s="107"/>
      <c r="B826" s="107"/>
      <c r="C826" s="107"/>
      <c r="D826" s="102"/>
      <c r="E826" s="107"/>
      <c r="F826" s="108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10"/>
      <c r="V826" s="110"/>
    </row>
    <row r="827" ht="12.75" customHeight="1">
      <c r="A827" s="107"/>
      <c r="B827" s="107"/>
      <c r="C827" s="107"/>
      <c r="D827" s="102"/>
      <c r="E827" s="107"/>
      <c r="F827" s="108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10"/>
      <c r="V827" s="110"/>
    </row>
    <row r="828" ht="12.75" customHeight="1">
      <c r="A828" s="107"/>
      <c r="B828" s="107"/>
      <c r="C828" s="107"/>
      <c r="D828" s="102"/>
      <c r="E828" s="107"/>
      <c r="F828" s="108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10"/>
      <c r="V828" s="110"/>
    </row>
    <row r="829" ht="12.75" customHeight="1">
      <c r="A829" s="107"/>
      <c r="B829" s="107"/>
      <c r="C829" s="107"/>
      <c r="D829" s="102"/>
      <c r="E829" s="107"/>
      <c r="F829" s="108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10"/>
      <c r="V829" s="110"/>
    </row>
    <row r="830" ht="12.75" customHeight="1">
      <c r="A830" s="107"/>
      <c r="B830" s="107"/>
      <c r="C830" s="107"/>
      <c r="D830" s="102"/>
      <c r="E830" s="107"/>
      <c r="F830" s="108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10"/>
      <c r="V830" s="110"/>
    </row>
    <row r="831" ht="12.75" customHeight="1">
      <c r="A831" s="107"/>
      <c r="B831" s="107"/>
      <c r="C831" s="107"/>
      <c r="D831" s="102"/>
      <c r="E831" s="107"/>
      <c r="F831" s="108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10"/>
      <c r="V831" s="110"/>
    </row>
    <row r="832" ht="12.75" customHeight="1">
      <c r="A832" s="107"/>
      <c r="B832" s="107"/>
      <c r="C832" s="107"/>
      <c r="D832" s="102"/>
      <c r="E832" s="107"/>
      <c r="F832" s="108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10"/>
      <c r="V832" s="110"/>
    </row>
    <row r="833" ht="12.75" customHeight="1">
      <c r="A833" s="107"/>
      <c r="B833" s="107"/>
      <c r="C833" s="107"/>
      <c r="D833" s="102"/>
      <c r="E833" s="107"/>
      <c r="F833" s="108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10"/>
      <c r="V833" s="110"/>
    </row>
    <row r="834" ht="12.75" customHeight="1">
      <c r="A834" s="107"/>
      <c r="B834" s="107"/>
      <c r="C834" s="107"/>
      <c r="D834" s="102"/>
      <c r="E834" s="107"/>
      <c r="F834" s="108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10"/>
      <c r="V834" s="110"/>
    </row>
    <row r="835" ht="12.75" customHeight="1">
      <c r="A835" s="107"/>
      <c r="B835" s="107"/>
      <c r="C835" s="107"/>
      <c r="D835" s="102"/>
      <c r="E835" s="107"/>
      <c r="F835" s="108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10"/>
      <c r="V835" s="110"/>
    </row>
    <row r="836" ht="12.75" customHeight="1">
      <c r="A836" s="107"/>
      <c r="B836" s="107"/>
      <c r="C836" s="107"/>
      <c r="D836" s="102"/>
      <c r="E836" s="107"/>
      <c r="F836" s="108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10"/>
      <c r="V836" s="110"/>
    </row>
    <row r="837" ht="12.75" customHeight="1">
      <c r="A837" s="107"/>
      <c r="B837" s="107"/>
      <c r="C837" s="107"/>
      <c r="D837" s="102"/>
      <c r="E837" s="107"/>
      <c r="F837" s="108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10"/>
      <c r="V837" s="110"/>
    </row>
    <row r="838" ht="12.75" customHeight="1">
      <c r="A838" s="107"/>
      <c r="B838" s="107"/>
      <c r="C838" s="107"/>
      <c r="D838" s="102"/>
      <c r="E838" s="107"/>
      <c r="F838" s="108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10"/>
      <c r="V838" s="110"/>
    </row>
    <row r="839" ht="12.75" customHeight="1">
      <c r="A839" s="107"/>
      <c r="B839" s="107"/>
      <c r="C839" s="107"/>
      <c r="D839" s="102"/>
      <c r="E839" s="107"/>
      <c r="F839" s="108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10"/>
      <c r="V839" s="110"/>
    </row>
    <row r="840" ht="12.75" customHeight="1">
      <c r="A840" s="107"/>
      <c r="B840" s="107"/>
      <c r="C840" s="107"/>
      <c r="D840" s="102"/>
      <c r="E840" s="107"/>
      <c r="F840" s="108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10"/>
      <c r="V840" s="110"/>
    </row>
    <row r="841" ht="12.75" customHeight="1">
      <c r="A841" s="107"/>
      <c r="B841" s="107"/>
      <c r="C841" s="107"/>
      <c r="D841" s="102"/>
      <c r="E841" s="107"/>
      <c r="F841" s="108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10"/>
      <c r="V841" s="110"/>
    </row>
    <row r="842" ht="12.75" customHeight="1">
      <c r="A842" s="107"/>
      <c r="B842" s="107"/>
      <c r="C842" s="107"/>
      <c r="D842" s="102"/>
      <c r="E842" s="107"/>
      <c r="F842" s="108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10"/>
      <c r="V842" s="110"/>
    </row>
    <row r="843" ht="12.75" customHeight="1">
      <c r="A843" s="107"/>
      <c r="B843" s="107"/>
      <c r="C843" s="107"/>
      <c r="D843" s="102"/>
      <c r="E843" s="107"/>
      <c r="F843" s="108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10"/>
      <c r="V843" s="110"/>
    </row>
    <row r="844" ht="12.75" customHeight="1">
      <c r="A844" s="107"/>
      <c r="B844" s="107"/>
      <c r="C844" s="107"/>
      <c r="D844" s="102"/>
      <c r="E844" s="107"/>
      <c r="F844" s="108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10"/>
      <c r="V844" s="110"/>
    </row>
    <row r="845" ht="12.75" customHeight="1">
      <c r="A845" s="107"/>
      <c r="B845" s="107"/>
      <c r="C845" s="107"/>
      <c r="D845" s="102"/>
      <c r="E845" s="107"/>
      <c r="F845" s="108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10"/>
      <c r="V845" s="110"/>
    </row>
    <row r="846" ht="12.75" customHeight="1">
      <c r="A846" s="107"/>
      <c r="B846" s="107"/>
      <c r="C846" s="107"/>
      <c r="D846" s="102"/>
      <c r="E846" s="107"/>
      <c r="F846" s="108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10"/>
      <c r="V846" s="110"/>
    </row>
    <row r="847" ht="12.75" customHeight="1">
      <c r="A847" s="107"/>
      <c r="B847" s="107"/>
      <c r="C847" s="107"/>
      <c r="D847" s="102"/>
      <c r="E847" s="107"/>
      <c r="F847" s="108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10"/>
      <c r="V847" s="110"/>
    </row>
    <row r="848" ht="12.75" customHeight="1">
      <c r="A848" s="107"/>
      <c r="B848" s="107"/>
      <c r="C848" s="107"/>
      <c r="D848" s="102"/>
      <c r="E848" s="107"/>
      <c r="F848" s="108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10"/>
      <c r="V848" s="110"/>
    </row>
    <row r="849" ht="12.75" customHeight="1">
      <c r="A849" s="107"/>
      <c r="B849" s="107"/>
      <c r="C849" s="107"/>
      <c r="D849" s="102"/>
      <c r="E849" s="107"/>
      <c r="F849" s="108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10"/>
      <c r="V849" s="110"/>
    </row>
    <row r="850" ht="12.75" customHeight="1">
      <c r="A850" s="107"/>
      <c r="B850" s="107"/>
      <c r="C850" s="107"/>
      <c r="D850" s="102"/>
      <c r="E850" s="107"/>
      <c r="F850" s="108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10"/>
      <c r="V850" s="110"/>
    </row>
    <row r="851" ht="12.75" customHeight="1">
      <c r="A851" s="107"/>
      <c r="B851" s="107"/>
      <c r="C851" s="107"/>
      <c r="D851" s="102"/>
      <c r="E851" s="107"/>
      <c r="F851" s="108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10"/>
      <c r="V851" s="110"/>
    </row>
    <row r="852" ht="12.75" customHeight="1">
      <c r="A852" s="107"/>
      <c r="B852" s="107"/>
      <c r="C852" s="107"/>
      <c r="D852" s="102"/>
      <c r="E852" s="107"/>
      <c r="F852" s="108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10"/>
      <c r="V852" s="110"/>
    </row>
    <row r="853" ht="12.75" customHeight="1">
      <c r="A853" s="107"/>
      <c r="B853" s="107"/>
      <c r="C853" s="107"/>
      <c r="D853" s="102"/>
      <c r="E853" s="107"/>
      <c r="F853" s="108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10"/>
      <c r="V853" s="110"/>
    </row>
    <row r="854" ht="12.75" customHeight="1">
      <c r="A854" s="107"/>
      <c r="B854" s="107"/>
      <c r="C854" s="107"/>
      <c r="D854" s="102"/>
      <c r="E854" s="107"/>
      <c r="F854" s="108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10"/>
      <c r="V854" s="110"/>
    </row>
    <row r="855" ht="12.75" customHeight="1">
      <c r="A855" s="107"/>
      <c r="B855" s="107"/>
      <c r="C855" s="107"/>
      <c r="D855" s="102"/>
      <c r="E855" s="107"/>
      <c r="F855" s="108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10"/>
      <c r="V855" s="110"/>
    </row>
    <row r="856" ht="12.75" customHeight="1">
      <c r="A856" s="107"/>
      <c r="B856" s="107"/>
      <c r="C856" s="107"/>
      <c r="D856" s="102"/>
      <c r="E856" s="107"/>
      <c r="F856" s="108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10"/>
      <c r="V856" s="110"/>
    </row>
    <row r="857" ht="12.75" customHeight="1">
      <c r="A857" s="107"/>
      <c r="B857" s="107"/>
      <c r="C857" s="107"/>
      <c r="D857" s="102"/>
      <c r="E857" s="107"/>
      <c r="F857" s="108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10"/>
      <c r="V857" s="110"/>
    </row>
    <row r="858" ht="12.75" customHeight="1">
      <c r="A858" s="107"/>
      <c r="B858" s="107"/>
      <c r="C858" s="107"/>
      <c r="D858" s="102"/>
      <c r="E858" s="107"/>
      <c r="F858" s="108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10"/>
      <c r="V858" s="110"/>
    </row>
    <row r="859" ht="12.75" customHeight="1">
      <c r="A859" s="107"/>
      <c r="B859" s="107"/>
      <c r="C859" s="107"/>
      <c r="D859" s="102"/>
      <c r="E859" s="107"/>
      <c r="F859" s="108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10"/>
      <c r="V859" s="110"/>
    </row>
    <row r="860" ht="12.75" customHeight="1">
      <c r="A860" s="107"/>
      <c r="B860" s="107"/>
      <c r="C860" s="107"/>
      <c r="D860" s="102"/>
      <c r="E860" s="107"/>
      <c r="F860" s="108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10"/>
      <c r="V860" s="110"/>
    </row>
    <row r="861" ht="12.75" customHeight="1">
      <c r="A861" s="107"/>
      <c r="B861" s="107"/>
      <c r="C861" s="107"/>
      <c r="D861" s="102"/>
      <c r="E861" s="107"/>
      <c r="F861" s="108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10"/>
      <c r="V861" s="110"/>
    </row>
    <row r="862" ht="12.75" customHeight="1">
      <c r="A862" s="107"/>
      <c r="B862" s="107"/>
      <c r="C862" s="107"/>
      <c r="D862" s="102"/>
      <c r="E862" s="107"/>
      <c r="F862" s="108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10"/>
      <c r="V862" s="110"/>
    </row>
    <row r="863" ht="12.75" customHeight="1">
      <c r="A863" s="107"/>
      <c r="B863" s="107"/>
      <c r="C863" s="107"/>
      <c r="D863" s="102"/>
      <c r="E863" s="107"/>
      <c r="F863" s="108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10"/>
      <c r="V863" s="110"/>
    </row>
    <row r="864" ht="12.75" customHeight="1">
      <c r="A864" s="107"/>
      <c r="B864" s="107"/>
      <c r="C864" s="107"/>
      <c r="D864" s="102"/>
      <c r="E864" s="107"/>
      <c r="F864" s="108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10"/>
      <c r="V864" s="110"/>
    </row>
    <row r="865" ht="12.75" customHeight="1">
      <c r="A865" s="107"/>
      <c r="B865" s="107"/>
      <c r="C865" s="107"/>
      <c r="D865" s="102"/>
      <c r="E865" s="107"/>
      <c r="F865" s="108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10"/>
      <c r="V865" s="110"/>
    </row>
    <row r="866" ht="12.75" customHeight="1">
      <c r="A866" s="107"/>
      <c r="B866" s="107"/>
      <c r="C866" s="107"/>
      <c r="D866" s="102"/>
      <c r="E866" s="107"/>
      <c r="F866" s="108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10"/>
      <c r="V866" s="110"/>
    </row>
    <row r="867" ht="12.75" customHeight="1">
      <c r="A867" s="107"/>
      <c r="B867" s="107"/>
      <c r="C867" s="107"/>
      <c r="D867" s="102"/>
      <c r="E867" s="107"/>
      <c r="F867" s="108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10"/>
      <c r="V867" s="110"/>
    </row>
    <row r="868" ht="12.75" customHeight="1">
      <c r="A868" s="107"/>
      <c r="B868" s="107"/>
      <c r="C868" s="107"/>
      <c r="D868" s="102"/>
      <c r="E868" s="107"/>
      <c r="F868" s="108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10"/>
      <c r="V868" s="110"/>
    </row>
    <row r="869" ht="12.75" customHeight="1">
      <c r="A869" s="107"/>
      <c r="B869" s="107"/>
      <c r="C869" s="107"/>
      <c r="D869" s="102"/>
      <c r="E869" s="107"/>
      <c r="F869" s="108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10"/>
      <c r="V869" s="110"/>
    </row>
    <row r="870" ht="12.75" customHeight="1">
      <c r="A870" s="107"/>
      <c r="B870" s="107"/>
      <c r="C870" s="107"/>
      <c r="D870" s="102"/>
      <c r="E870" s="107"/>
      <c r="F870" s="108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10"/>
      <c r="V870" s="110"/>
    </row>
    <row r="871" ht="12.75" customHeight="1">
      <c r="A871" s="107"/>
      <c r="B871" s="107"/>
      <c r="C871" s="107"/>
      <c r="D871" s="102"/>
      <c r="E871" s="107"/>
      <c r="F871" s="108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10"/>
      <c r="V871" s="110"/>
    </row>
    <row r="872" ht="12.75" customHeight="1">
      <c r="A872" s="107"/>
      <c r="B872" s="107"/>
      <c r="C872" s="107"/>
      <c r="D872" s="102"/>
      <c r="E872" s="107"/>
      <c r="F872" s="108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10"/>
      <c r="V872" s="110"/>
    </row>
    <row r="873" ht="12.75" customHeight="1">
      <c r="A873" s="107"/>
      <c r="B873" s="107"/>
      <c r="C873" s="107"/>
      <c r="D873" s="102"/>
      <c r="E873" s="107"/>
      <c r="F873" s="108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10"/>
      <c r="V873" s="110"/>
    </row>
    <row r="874" ht="12.75" customHeight="1">
      <c r="A874" s="107"/>
      <c r="B874" s="107"/>
      <c r="C874" s="107"/>
      <c r="D874" s="102"/>
      <c r="E874" s="107"/>
      <c r="F874" s="108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10"/>
      <c r="V874" s="110"/>
    </row>
    <row r="875" ht="12.75" customHeight="1">
      <c r="A875" s="107"/>
      <c r="B875" s="107"/>
      <c r="C875" s="107"/>
      <c r="D875" s="102"/>
      <c r="E875" s="107"/>
      <c r="F875" s="108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10"/>
      <c r="V875" s="110"/>
    </row>
    <row r="876" ht="12.75" customHeight="1">
      <c r="A876" s="107"/>
      <c r="B876" s="107"/>
      <c r="C876" s="107"/>
      <c r="D876" s="102"/>
      <c r="E876" s="107"/>
      <c r="F876" s="108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10"/>
      <c r="V876" s="110"/>
    </row>
    <row r="877" ht="12.75" customHeight="1">
      <c r="A877" s="107"/>
      <c r="B877" s="107"/>
      <c r="C877" s="107"/>
      <c r="D877" s="102"/>
      <c r="E877" s="107"/>
      <c r="F877" s="108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10"/>
      <c r="V877" s="110"/>
    </row>
    <row r="878" ht="12.75" customHeight="1">
      <c r="A878" s="107"/>
      <c r="B878" s="107"/>
      <c r="C878" s="107"/>
      <c r="D878" s="102"/>
      <c r="E878" s="107"/>
      <c r="F878" s="108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10"/>
      <c r="V878" s="110"/>
    </row>
    <row r="879" ht="12.75" customHeight="1">
      <c r="A879" s="107"/>
      <c r="B879" s="107"/>
      <c r="C879" s="107"/>
      <c r="D879" s="102"/>
      <c r="E879" s="107"/>
      <c r="F879" s="108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10"/>
      <c r="V879" s="110"/>
    </row>
    <row r="880" ht="12.75" customHeight="1">
      <c r="A880" s="107"/>
      <c r="B880" s="107"/>
      <c r="C880" s="107"/>
      <c r="D880" s="102"/>
      <c r="E880" s="107"/>
      <c r="F880" s="108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10"/>
      <c r="V880" s="110"/>
    </row>
    <row r="881" ht="12.75" customHeight="1">
      <c r="A881" s="107"/>
      <c r="B881" s="107"/>
      <c r="C881" s="107"/>
      <c r="D881" s="102"/>
      <c r="E881" s="107"/>
      <c r="F881" s="108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10"/>
      <c r="V881" s="110"/>
    </row>
    <row r="882" ht="12.75" customHeight="1">
      <c r="A882" s="107"/>
      <c r="B882" s="107"/>
      <c r="C882" s="107"/>
      <c r="D882" s="102"/>
      <c r="E882" s="107"/>
      <c r="F882" s="108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10"/>
      <c r="V882" s="110"/>
    </row>
    <row r="883" ht="12.75" customHeight="1">
      <c r="A883" s="107"/>
      <c r="B883" s="107"/>
      <c r="C883" s="107"/>
      <c r="D883" s="102"/>
      <c r="E883" s="107"/>
      <c r="F883" s="108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10"/>
      <c r="V883" s="110"/>
    </row>
    <row r="884" ht="12.75" customHeight="1">
      <c r="A884" s="107"/>
      <c r="B884" s="107"/>
      <c r="C884" s="107"/>
      <c r="D884" s="102"/>
      <c r="E884" s="107"/>
      <c r="F884" s="108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10"/>
      <c r="V884" s="110"/>
    </row>
    <row r="885" ht="12.75" customHeight="1">
      <c r="A885" s="107"/>
      <c r="B885" s="107"/>
      <c r="C885" s="107"/>
      <c r="D885" s="102"/>
      <c r="E885" s="107"/>
      <c r="F885" s="108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10"/>
      <c r="V885" s="110"/>
    </row>
    <row r="886" ht="12.75" customHeight="1">
      <c r="A886" s="107"/>
      <c r="B886" s="107"/>
      <c r="C886" s="107"/>
      <c r="D886" s="102"/>
      <c r="E886" s="107"/>
      <c r="F886" s="108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10"/>
      <c r="V886" s="110"/>
    </row>
    <row r="887" ht="12.75" customHeight="1">
      <c r="A887" s="107"/>
      <c r="B887" s="107"/>
      <c r="C887" s="107"/>
      <c r="D887" s="102"/>
      <c r="E887" s="107"/>
      <c r="F887" s="108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10"/>
      <c r="V887" s="110"/>
    </row>
    <row r="888" ht="12.75" customHeight="1">
      <c r="A888" s="107"/>
      <c r="B888" s="107"/>
      <c r="C888" s="107"/>
      <c r="D888" s="102"/>
      <c r="E888" s="107"/>
      <c r="F888" s="108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10"/>
      <c r="V888" s="110"/>
    </row>
    <row r="889" ht="12.75" customHeight="1">
      <c r="A889" s="107"/>
      <c r="B889" s="107"/>
      <c r="C889" s="107"/>
      <c r="D889" s="102"/>
      <c r="E889" s="107"/>
      <c r="F889" s="108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10"/>
      <c r="V889" s="110"/>
    </row>
    <row r="890" ht="12.75" customHeight="1">
      <c r="A890" s="107"/>
      <c r="B890" s="107"/>
      <c r="C890" s="107"/>
      <c r="D890" s="102"/>
      <c r="E890" s="107"/>
      <c r="F890" s="108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10"/>
      <c r="V890" s="110"/>
    </row>
    <row r="891" ht="12.75" customHeight="1">
      <c r="A891" s="107"/>
      <c r="B891" s="107"/>
      <c r="C891" s="107"/>
      <c r="D891" s="102"/>
      <c r="E891" s="107"/>
      <c r="F891" s="108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10"/>
      <c r="V891" s="110"/>
    </row>
    <row r="892" ht="12.75" customHeight="1">
      <c r="A892" s="107"/>
      <c r="B892" s="107"/>
      <c r="C892" s="107"/>
      <c r="D892" s="102"/>
      <c r="E892" s="107"/>
      <c r="F892" s="108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10"/>
      <c r="V892" s="110"/>
    </row>
    <row r="893" ht="12.75" customHeight="1">
      <c r="A893" s="107"/>
      <c r="B893" s="107"/>
      <c r="C893" s="107"/>
      <c r="D893" s="102"/>
      <c r="E893" s="107"/>
      <c r="F893" s="108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10"/>
      <c r="V893" s="110"/>
    </row>
    <row r="894" ht="12.75" customHeight="1">
      <c r="A894" s="107"/>
      <c r="B894" s="107"/>
      <c r="C894" s="107"/>
      <c r="D894" s="102"/>
      <c r="E894" s="107"/>
      <c r="F894" s="108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10"/>
      <c r="V894" s="110"/>
    </row>
    <row r="895" ht="12.75" customHeight="1">
      <c r="A895" s="107"/>
      <c r="B895" s="107"/>
      <c r="C895" s="107"/>
      <c r="D895" s="102"/>
      <c r="E895" s="107"/>
      <c r="F895" s="108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10"/>
      <c r="V895" s="110"/>
    </row>
    <row r="896" ht="12.75" customHeight="1">
      <c r="A896" s="107"/>
      <c r="B896" s="107"/>
      <c r="C896" s="107"/>
      <c r="D896" s="102"/>
      <c r="E896" s="107"/>
      <c r="F896" s="108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10"/>
      <c r="V896" s="110"/>
    </row>
    <row r="897" ht="12.75" customHeight="1">
      <c r="A897" s="107"/>
      <c r="B897" s="107"/>
      <c r="C897" s="107"/>
      <c r="D897" s="102"/>
      <c r="E897" s="107"/>
      <c r="F897" s="108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10"/>
      <c r="V897" s="110"/>
    </row>
    <row r="898" ht="12.75" customHeight="1">
      <c r="A898" s="107"/>
      <c r="B898" s="107"/>
      <c r="C898" s="107"/>
      <c r="D898" s="102"/>
      <c r="E898" s="107"/>
      <c r="F898" s="108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10"/>
      <c r="V898" s="110"/>
    </row>
    <row r="899" ht="12.75" customHeight="1">
      <c r="A899" s="107"/>
      <c r="B899" s="107"/>
      <c r="C899" s="107"/>
      <c r="D899" s="102"/>
      <c r="E899" s="107"/>
      <c r="F899" s="108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10"/>
      <c r="V899" s="110"/>
    </row>
    <row r="900" ht="12.75" customHeight="1">
      <c r="A900" s="107"/>
      <c r="B900" s="107"/>
      <c r="C900" s="107"/>
      <c r="D900" s="102"/>
      <c r="E900" s="107"/>
      <c r="F900" s="108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10"/>
      <c r="V900" s="110"/>
    </row>
    <row r="901" ht="12.75" customHeight="1">
      <c r="A901" s="107"/>
      <c r="B901" s="107"/>
      <c r="C901" s="107"/>
      <c r="D901" s="102"/>
      <c r="E901" s="107"/>
      <c r="F901" s="108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10"/>
      <c r="V901" s="110"/>
    </row>
    <row r="902" ht="12.75" customHeight="1">
      <c r="A902" s="107"/>
      <c r="B902" s="107"/>
      <c r="C902" s="107"/>
      <c r="D902" s="102"/>
      <c r="E902" s="107"/>
      <c r="F902" s="108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10"/>
      <c r="V902" s="110"/>
    </row>
    <row r="903" ht="12.75" customHeight="1">
      <c r="A903" s="107"/>
      <c r="B903" s="107"/>
      <c r="C903" s="107"/>
      <c r="D903" s="102"/>
      <c r="E903" s="107"/>
      <c r="F903" s="108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10"/>
      <c r="V903" s="110"/>
    </row>
    <row r="904" ht="12.75" customHeight="1">
      <c r="A904" s="107"/>
      <c r="B904" s="107"/>
      <c r="C904" s="107"/>
      <c r="D904" s="102"/>
      <c r="E904" s="107"/>
      <c r="F904" s="108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10"/>
      <c r="V904" s="110"/>
    </row>
    <row r="905" ht="12.75" customHeight="1">
      <c r="A905" s="107"/>
      <c r="B905" s="107"/>
      <c r="C905" s="107"/>
      <c r="D905" s="102"/>
      <c r="E905" s="107"/>
      <c r="F905" s="108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10"/>
      <c r="V905" s="110"/>
    </row>
    <row r="906" ht="12.75" customHeight="1">
      <c r="A906" s="107"/>
      <c r="B906" s="107"/>
      <c r="C906" s="107"/>
      <c r="D906" s="102"/>
      <c r="E906" s="107"/>
      <c r="F906" s="108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10"/>
      <c r="V906" s="110"/>
    </row>
    <row r="907" ht="12.75" customHeight="1">
      <c r="A907" s="107"/>
      <c r="B907" s="107"/>
      <c r="C907" s="107"/>
      <c r="D907" s="102"/>
      <c r="E907" s="107"/>
      <c r="F907" s="108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10"/>
      <c r="V907" s="110"/>
    </row>
    <row r="908" ht="12.75" customHeight="1">
      <c r="A908" s="107"/>
      <c r="B908" s="107"/>
      <c r="C908" s="107"/>
      <c r="D908" s="102"/>
      <c r="E908" s="107"/>
      <c r="F908" s="108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10"/>
      <c r="V908" s="110"/>
    </row>
    <row r="909" ht="12.75" customHeight="1">
      <c r="A909" s="107"/>
      <c r="B909" s="107"/>
      <c r="C909" s="107"/>
      <c r="D909" s="102"/>
      <c r="E909" s="107"/>
      <c r="F909" s="108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10"/>
      <c r="V909" s="110"/>
    </row>
    <row r="910" ht="12.75" customHeight="1">
      <c r="A910" s="107"/>
      <c r="B910" s="107"/>
      <c r="C910" s="107"/>
      <c r="D910" s="102"/>
      <c r="E910" s="107"/>
      <c r="F910" s="108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10"/>
      <c r="V910" s="110"/>
    </row>
    <row r="911" ht="12.75" customHeight="1">
      <c r="A911" s="107"/>
      <c r="B911" s="107"/>
      <c r="C911" s="107"/>
      <c r="D911" s="102"/>
      <c r="E911" s="107"/>
      <c r="F911" s="108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10"/>
      <c r="V911" s="110"/>
    </row>
    <row r="912" ht="12.75" customHeight="1">
      <c r="A912" s="107"/>
      <c r="B912" s="107"/>
      <c r="C912" s="107"/>
      <c r="D912" s="102"/>
      <c r="E912" s="107"/>
      <c r="F912" s="108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10"/>
      <c r="V912" s="110"/>
    </row>
    <row r="913" ht="12.75" customHeight="1">
      <c r="A913" s="107"/>
      <c r="B913" s="107"/>
      <c r="C913" s="107"/>
      <c r="D913" s="102"/>
      <c r="E913" s="107"/>
      <c r="F913" s="108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10"/>
      <c r="V913" s="110"/>
    </row>
    <row r="914" ht="12.75" customHeight="1">
      <c r="A914" s="107"/>
      <c r="B914" s="107"/>
      <c r="C914" s="107"/>
      <c r="D914" s="102"/>
      <c r="E914" s="107"/>
      <c r="F914" s="108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10"/>
      <c r="V914" s="110"/>
    </row>
    <row r="915" ht="12.75" customHeight="1">
      <c r="A915" s="107"/>
      <c r="B915" s="107"/>
      <c r="C915" s="107"/>
      <c r="D915" s="102"/>
      <c r="E915" s="107"/>
      <c r="F915" s="108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10"/>
      <c r="V915" s="110"/>
    </row>
    <row r="916" ht="12.75" customHeight="1">
      <c r="A916" s="107"/>
      <c r="B916" s="107"/>
      <c r="C916" s="107"/>
      <c r="D916" s="102"/>
      <c r="E916" s="107"/>
      <c r="F916" s="108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10"/>
      <c r="V916" s="110"/>
    </row>
    <row r="917" ht="12.75" customHeight="1">
      <c r="A917" s="107"/>
      <c r="B917" s="107"/>
      <c r="C917" s="107"/>
      <c r="D917" s="102"/>
      <c r="E917" s="107"/>
      <c r="F917" s="108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10"/>
      <c r="V917" s="110"/>
    </row>
    <row r="918" ht="12.75" customHeight="1">
      <c r="A918" s="107"/>
      <c r="B918" s="107"/>
      <c r="C918" s="107"/>
      <c r="D918" s="102"/>
      <c r="E918" s="107"/>
      <c r="F918" s="108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10"/>
      <c r="V918" s="110"/>
    </row>
    <row r="919" ht="12.75" customHeight="1">
      <c r="A919" s="107"/>
      <c r="B919" s="107"/>
      <c r="C919" s="107"/>
      <c r="D919" s="102"/>
      <c r="E919" s="107"/>
      <c r="F919" s="108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10"/>
      <c r="V919" s="110"/>
    </row>
    <row r="920" ht="12.75" customHeight="1">
      <c r="A920" s="107"/>
      <c r="B920" s="107"/>
      <c r="C920" s="107"/>
      <c r="D920" s="102"/>
      <c r="E920" s="107"/>
      <c r="F920" s="108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10"/>
      <c r="V920" s="110"/>
    </row>
    <row r="921" ht="12.75" customHeight="1">
      <c r="A921" s="107"/>
      <c r="B921" s="107"/>
      <c r="C921" s="107"/>
      <c r="D921" s="102"/>
      <c r="E921" s="107"/>
      <c r="F921" s="108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10"/>
      <c r="V921" s="110"/>
    </row>
    <row r="922" ht="12.75" customHeight="1">
      <c r="A922" s="107"/>
      <c r="B922" s="107"/>
      <c r="C922" s="107"/>
      <c r="D922" s="102"/>
      <c r="E922" s="107"/>
      <c r="F922" s="108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10"/>
      <c r="V922" s="110"/>
    </row>
    <row r="923" ht="12.75" customHeight="1">
      <c r="A923" s="107"/>
      <c r="B923" s="107"/>
      <c r="C923" s="107"/>
      <c r="D923" s="102"/>
      <c r="E923" s="107"/>
      <c r="F923" s="108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10"/>
      <c r="V923" s="110"/>
    </row>
    <row r="924" ht="12.75" customHeight="1">
      <c r="A924" s="107"/>
      <c r="B924" s="107"/>
      <c r="C924" s="107"/>
      <c r="D924" s="102"/>
      <c r="E924" s="107"/>
      <c r="F924" s="108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10"/>
      <c r="V924" s="110"/>
    </row>
    <row r="925" ht="12.75" customHeight="1">
      <c r="A925" s="107"/>
      <c r="B925" s="107"/>
      <c r="C925" s="107"/>
      <c r="D925" s="102"/>
      <c r="E925" s="107"/>
      <c r="F925" s="108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10"/>
      <c r="V925" s="110"/>
    </row>
    <row r="926" ht="12.75" customHeight="1">
      <c r="A926" s="107"/>
      <c r="B926" s="107"/>
      <c r="C926" s="107"/>
      <c r="D926" s="102"/>
      <c r="E926" s="107"/>
      <c r="F926" s="108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10"/>
      <c r="V926" s="110"/>
    </row>
    <row r="927" ht="12.75" customHeight="1">
      <c r="A927" s="107"/>
      <c r="B927" s="107"/>
      <c r="C927" s="107"/>
      <c r="D927" s="102"/>
      <c r="E927" s="107"/>
      <c r="F927" s="108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10"/>
      <c r="V927" s="110"/>
    </row>
    <row r="928" ht="12.75" customHeight="1">
      <c r="A928" s="107"/>
      <c r="B928" s="107"/>
      <c r="C928" s="107"/>
      <c r="D928" s="102"/>
      <c r="E928" s="107"/>
      <c r="F928" s="108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10"/>
      <c r="V928" s="110"/>
    </row>
    <row r="929" ht="12.75" customHeight="1">
      <c r="A929" s="107"/>
      <c r="B929" s="107"/>
      <c r="C929" s="107"/>
      <c r="D929" s="102"/>
      <c r="E929" s="107"/>
      <c r="F929" s="108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10"/>
      <c r="V929" s="110"/>
    </row>
    <row r="930" ht="12.75" customHeight="1">
      <c r="A930" s="107"/>
      <c r="B930" s="107"/>
      <c r="C930" s="107"/>
      <c r="D930" s="102"/>
      <c r="E930" s="107"/>
      <c r="F930" s="108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10"/>
      <c r="V930" s="110"/>
    </row>
    <row r="931" ht="12.75" customHeight="1">
      <c r="A931" s="107"/>
      <c r="B931" s="107"/>
      <c r="C931" s="107"/>
      <c r="D931" s="102"/>
      <c r="E931" s="107"/>
      <c r="F931" s="108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10"/>
      <c r="V931" s="110"/>
    </row>
    <row r="932" ht="12.75" customHeight="1">
      <c r="A932" s="107"/>
      <c r="B932" s="107"/>
      <c r="C932" s="107"/>
      <c r="D932" s="102"/>
      <c r="E932" s="107"/>
      <c r="F932" s="108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10"/>
      <c r="V932" s="110"/>
    </row>
    <row r="933" ht="12.75" customHeight="1">
      <c r="A933" s="107"/>
      <c r="B933" s="107"/>
      <c r="C933" s="107"/>
      <c r="D933" s="102"/>
      <c r="E933" s="107"/>
      <c r="F933" s="108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10"/>
      <c r="V933" s="110"/>
    </row>
    <row r="934" ht="12.75" customHeight="1">
      <c r="A934" s="107"/>
      <c r="B934" s="107"/>
      <c r="C934" s="107"/>
      <c r="D934" s="102"/>
      <c r="E934" s="107"/>
      <c r="F934" s="108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10"/>
      <c r="V934" s="110"/>
    </row>
    <row r="935" ht="12.75" customHeight="1">
      <c r="A935" s="107"/>
      <c r="B935" s="107"/>
      <c r="C935" s="107"/>
      <c r="D935" s="102"/>
      <c r="E935" s="107"/>
      <c r="F935" s="108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10"/>
      <c r="V935" s="110"/>
    </row>
    <row r="936" ht="12.75" customHeight="1">
      <c r="A936" s="107"/>
      <c r="B936" s="107"/>
      <c r="C936" s="107"/>
      <c r="D936" s="102"/>
      <c r="E936" s="107"/>
      <c r="F936" s="108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10"/>
      <c r="V936" s="110"/>
    </row>
    <row r="937" ht="12.75" customHeight="1">
      <c r="A937" s="107"/>
      <c r="B937" s="107"/>
      <c r="C937" s="107"/>
      <c r="D937" s="102"/>
      <c r="E937" s="107"/>
      <c r="F937" s="108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10"/>
      <c r="V937" s="110"/>
    </row>
    <row r="938" ht="12.75" customHeight="1">
      <c r="A938" s="107"/>
      <c r="B938" s="107"/>
      <c r="C938" s="107"/>
      <c r="D938" s="102"/>
      <c r="E938" s="107"/>
      <c r="F938" s="108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10"/>
      <c r="V938" s="110"/>
    </row>
    <row r="939" ht="12.75" customHeight="1">
      <c r="A939" s="107"/>
      <c r="B939" s="107"/>
      <c r="C939" s="107"/>
      <c r="D939" s="102"/>
      <c r="E939" s="107"/>
      <c r="F939" s="108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10"/>
      <c r="V939" s="110"/>
    </row>
    <row r="940" ht="12.75" customHeight="1">
      <c r="A940" s="107"/>
      <c r="B940" s="107"/>
      <c r="C940" s="107"/>
      <c r="D940" s="102"/>
      <c r="E940" s="107"/>
      <c r="F940" s="108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10"/>
      <c r="V940" s="110"/>
    </row>
    <row r="941" ht="12.75" customHeight="1">
      <c r="A941" s="107"/>
      <c r="B941" s="107"/>
      <c r="C941" s="107"/>
      <c r="D941" s="102"/>
      <c r="E941" s="107"/>
      <c r="F941" s="108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10"/>
      <c r="V941" s="110"/>
    </row>
    <row r="942" ht="12.75" customHeight="1">
      <c r="A942" s="107"/>
      <c r="B942" s="107"/>
      <c r="C942" s="107"/>
      <c r="D942" s="102"/>
      <c r="E942" s="107"/>
      <c r="F942" s="108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10"/>
      <c r="V942" s="110"/>
    </row>
    <row r="943" ht="12.75" customHeight="1">
      <c r="A943" s="107"/>
      <c r="B943" s="107"/>
      <c r="C943" s="107"/>
      <c r="D943" s="102"/>
      <c r="E943" s="107"/>
      <c r="F943" s="108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10"/>
      <c r="V943" s="110"/>
    </row>
    <row r="944" ht="12.75" customHeight="1">
      <c r="A944" s="107"/>
      <c r="B944" s="107"/>
      <c r="C944" s="107"/>
      <c r="D944" s="102"/>
      <c r="E944" s="107"/>
      <c r="F944" s="108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10"/>
      <c r="V944" s="110"/>
    </row>
    <row r="945" ht="12.75" customHeight="1">
      <c r="A945" s="107"/>
      <c r="B945" s="107"/>
      <c r="C945" s="107"/>
      <c r="D945" s="102"/>
      <c r="E945" s="107"/>
      <c r="F945" s="108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10"/>
      <c r="V945" s="110"/>
    </row>
    <row r="946" ht="12.75" customHeight="1">
      <c r="A946" s="107"/>
      <c r="B946" s="107"/>
      <c r="C946" s="107"/>
      <c r="D946" s="102"/>
      <c r="E946" s="107"/>
      <c r="F946" s="108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10"/>
      <c r="V946" s="110"/>
    </row>
    <row r="947" ht="12.75" customHeight="1">
      <c r="A947" s="107"/>
      <c r="B947" s="107"/>
      <c r="C947" s="107"/>
      <c r="D947" s="102"/>
      <c r="E947" s="107"/>
      <c r="F947" s="108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10"/>
      <c r="V947" s="110"/>
    </row>
    <row r="948" ht="12.75" customHeight="1">
      <c r="A948" s="107"/>
      <c r="B948" s="107"/>
      <c r="C948" s="107"/>
      <c r="D948" s="102"/>
      <c r="E948" s="107"/>
      <c r="F948" s="108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10"/>
      <c r="V948" s="110"/>
    </row>
    <row r="949" ht="12.75" customHeight="1">
      <c r="A949" s="107"/>
      <c r="B949" s="107"/>
      <c r="C949" s="107"/>
      <c r="D949" s="102"/>
      <c r="E949" s="107"/>
      <c r="F949" s="108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10"/>
      <c r="V949" s="110"/>
    </row>
    <row r="950" ht="12.75" customHeight="1">
      <c r="A950" s="107"/>
      <c r="B950" s="107"/>
      <c r="C950" s="107"/>
      <c r="D950" s="102"/>
      <c r="E950" s="107"/>
      <c r="F950" s="108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10"/>
      <c r="V950" s="110"/>
    </row>
    <row r="951" ht="12.75" customHeight="1">
      <c r="A951" s="107"/>
      <c r="B951" s="107"/>
      <c r="C951" s="107"/>
      <c r="D951" s="102"/>
      <c r="E951" s="107"/>
      <c r="F951" s="108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10"/>
      <c r="V951" s="110"/>
    </row>
    <row r="952" ht="12.75" customHeight="1">
      <c r="A952" s="107"/>
      <c r="B952" s="107"/>
      <c r="C952" s="107"/>
      <c r="D952" s="102"/>
      <c r="E952" s="107"/>
      <c r="F952" s="108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10"/>
      <c r="V952" s="110"/>
    </row>
    <row r="953" ht="12.75" customHeight="1">
      <c r="A953" s="107"/>
      <c r="B953" s="107"/>
      <c r="C953" s="107"/>
      <c r="D953" s="102"/>
      <c r="E953" s="107"/>
      <c r="F953" s="108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10"/>
      <c r="V953" s="110"/>
    </row>
    <row r="954" ht="12.75" customHeight="1">
      <c r="A954" s="107"/>
      <c r="B954" s="107"/>
      <c r="C954" s="107"/>
      <c r="D954" s="102"/>
      <c r="E954" s="107"/>
      <c r="F954" s="108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10"/>
      <c r="V954" s="110"/>
    </row>
    <row r="955" ht="12.75" customHeight="1">
      <c r="A955" s="107"/>
      <c r="B955" s="107"/>
      <c r="C955" s="107"/>
      <c r="D955" s="102"/>
      <c r="E955" s="107"/>
      <c r="F955" s="108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10"/>
      <c r="V955" s="110"/>
    </row>
    <row r="956" ht="12.75" customHeight="1">
      <c r="A956" s="107"/>
      <c r="B956" s="107"/>
      <c r="C956" s="107"/>
      <c r="D956" s="102"/>
      <c r="E956" s="107"/>
      <c r="F956" s="108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10"/>
      <c r="V956" s="110"/>
    </row>
    <row r="957" ht="12.75" customHeight="1">
      <c r="A957" s="107"/>
      <c r="B957" s="107"/>
      <c r="C957" s="107"/>
      <c r="D957" s="102"/>
      <c r="E957" s="107"/>
      <c r="F957" s="108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10"/>
      <c r="V957" s="110"/>
    </row>
    <row r="958" ht="12.75" customHeight="1">
      <c r="A958" s="107"/>
      <c r="B958" s="107"/>
      <c r="C958" s="107"/>
      <c r="D958" s="102"/>
      <c r="E958" s="107"/>
      <c r="F958" s="108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10"/>
      <c r="V958" s="110"/>
    </row>
    <row r="959" ht="12.75" customHeight="1">
      <c r="A959" s="107"/>
      <c r="B959" s="107"/>
      <c r="C959" s="107"/>
      <c r="D959" s="102"/>
      <c r="E959" s="107"/>
      <c r="F959" s="108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10"/>
      <c r="V959" s="110"/>
    </row>
    <row r="960" ht="12.75" customHeight="1">
      <c r="A960" s="107"/>
      <c r="B960" s="107"/>
      <c r="C960" s="107"/>
      <c r="D960" s="102"/>
      <c r="E960" s="107"/>
      <c r="F960" s="108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10"/>
      <c r="V960" s="110"/>
    </row>
    <row r="961" ht="12.75" customHeight="1">
      <c r="A961" s="107"/>
      <c r="B961" s="107"/>
      <c r="C961" s="107"/>
      <c r="D961" s="102"/>
      <c r="E961" s="107"/>
      <c r="F961" s="108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10"/>
      <c r="V961" s="110"/>
    </row>
    <row r="962" ht="12.75" customHeight="1">
      <c r="A962" s="107"/>
      <c r="B962" s="107"/>
      <c r="C962" s="107"/>
      <c r="D962" s="102"/>
      <c r="E962" s="107"/>
      <c r="F962" s="108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10"/>
      <c r="V962" s="110"/>
    </row>
    <row r="963" ht="12.75" customHeight="1">
      <c r="A963" s="107"/>
      <c r="B963" s="107"/>
      <c r="C963" s="107"/>
      <c r="D963" s="102"/>
      <c r="E963" s="107"/>
      <c r="F963" s="108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10"/>
      <c r="V963" s="110"/>
    </row>
    <row r="964" ht="12.75" customHeight="1">
      <c r="A964" s="107"/>
      <c r="B964" s="107"/>
      <c r="C964" s="107"/>
      <c r="D964" s="102"/>
      <c r="E964" s="107"/>
      <c r="F964" s="108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10"/>
      <c r="V964" s="110"/>
    </row>
    <row r="965" ht="12.75" customHeight="1">
      <c r="A965" s="107"/>
      <c r="B965" s="107"/>
      <c r="C965" s="107"/>
      <c r="D965" s="102"/>
      <c r="E965" s="107"/>
      <c r="F965" s="108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10"/>
      <c r="V965" s="110"/>
    </row>
    <row r="966" ht="12.75" customHeight="1">
      <c r="A966" s="107"/>
      <c r="B966" s="107"/>
      <c r="C966" s="107"/>
      <c r="D966" s="102"/>
      <c r="E966" s="107"/>
      <c r="F966" s="108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10"/>
      <c r="V966" s="110"/>
    </row>
    <row r="967" ht="12.75" customHeight="1">
      <c r="A967" s="107"/>
      <c r="B967" s="107"/>
      <c r="C967" s="107"/>
      <c r="D967" s="102"/>
      <c r="E967" s="107"/>
      <c r="F967" s="108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10"/>
      <c r="V967" s="110"/>
    </row>
    <row r="968" ht="12.75" customHeight="1">
      <c r="A968" s="107"/>
      <c r="B968" s="107"/>
      <c r="C968" s="107"/>
      <c r="D968" s="102"/>
      <c r="E968" s="107"/>
      <c r="F968" s="108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10"/>
      <c r="V968" s="110"/>
    </row>
    <row r="969" ht="12.75" customHeight="1">
      <c r="A969" s="107"/>
      <c r="B969" s="107"/>
      <c r="C969" s="107"/>
      <c r="D969" s="102"/>
      <c r="E969" s="107"/>
      <c r="F969" s="108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10"/>
      <c r="V969" s="110"/>
    </row>
    <row r="970" ht="12.75" customHeight="1">
      <c r="A970" s="107"/>
      <c r="B970" s="107"/>
      <c r="C970" s="107"/>
      <c r="D970" s="102"/>
      <c r="E970" s="107"/>
      <c r="F970" s="108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10"/>
      <c r="V970" s="110"/>
    </row>
    <row r="971" ht="12.75" customHeight="1">
      <c r="A971" s="107"/>
      <c r="B971" s="107"/>
      <c r="C971" s="107"/>
      <c r="D971" s="102"/>
      <c r="E971" s="107"/>
      <c r="F971" s="108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10"/>
      <c r="V971" s="110"/>
    </row>
    <row r="972" ht="12.75" customHeight="1">
      <c r="A972" s="107"/>
      <c r="B972" s="107"/>
      <c r="C972" s="107"/>
      <c r="D972" s="102"/>
      <c r="E972" s="107"/>
      <c r="F972" s="108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10"/>
      <c r="V972" s="110"/>
    </row>
    <row r="973" ht="12.75" customHeight="1">
      <c r="A973" s="107"/>
      <c r="B973" s="107"/>
      <c r="C973" s="107"/>
      <c r="D973" s="102"/>
      <c r="E973" s="107"/>
      <c r="F973" s="108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10"/>
      <c r="V973" s="110"/>
    </row>
    <row r="974" ht="12.75" customHeight="1">
      <c r="A974" s="107"/>
      <c r="B974" s="107"/>
      <c r="C974" s="107"/>
      <c r="D974" s="102"/>
      <c r="E974" s="107"/>
      <c r="F974" s="108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10"/>
      <c r="V974" s="110"/>
    </row>
    <row r="975" ht="12.75" customHeight="1">
      <c r="A975" s="107"/>
      <c r="B975" s="107"/>
      <c r="C975" s="107"/>
      <c r="D975" s="102"/>
      <c r="E975" s="107"/>
      <c r="F975" s="108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10"/>
      <c r="V975" s="110"/>
    </row>
    <row r="976" ht="12.75" customHeight="1">
      <c r="A976" s="107"/>
      <c r="B976" s="107"/>
      <c r="C976" s="107"/>
      <c r="D976" s="102"/>
      <c r="E976" s="107"/>
      <c r="F976" s="108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10"/>
      <c r="V976" s="110"/>
    </row>
    <row r="977" ht="12.75" customHeight="1">
      <c r="A977" s="107"/>
      <c r="B977" s="107"/>
      <c r="C977" s="107"/>
      <c r="D977" s="102"/>
      <c r="E977" s="107"/>
      <c r="F977" s="108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10"/>
      <c r="V977" s="110"/>
    </row>
    <row r="978" ht="12.75" customHeight="1">
      <c r="A978" s="107"/>
      <c r="B978" s="107"/>
      <c r="C978" s="107"/>
      <c r="D978" s="102"/>
      <c r="E978" s="107"/>
      <c r="F978" s="108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10"/>
      <c r="V978" s="110"/>
    </row>
    <row r="979" ht="12.75" customHeight="1">
      <c r="A979" s="107"/>
      <c r="B979" s="107"/>
      <c r="C979" s="107"/>
      <c r="D979" s="102"/>
      <c r="E979" s="107"/>
      <c r="F979" s="108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10"/>
      <c r="V979" s="110"/>
    </row>
    <row r="980" ht="12.75" customHeight="1">
      <c r="A980" s="107"/>
      <c r="B980" s="107"/>
      <c r="C980" s="107"/>
      <c r="D980" s="102"/>
      <c r="E980" s="107"/>
      <c r="F980" s="108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10"/>
      <c r="V980" s="110"/>
    </row>
    <row r="981" ht="12.75" customHeight="1">
      <c r="A981" s="107"/>
      <c r="B981" s="107"/>
      <c r="C981" s="107"/>
      <c r="D981" s="102"/>
      <c r="E981" s="107"/>
      <c r="F981" s="108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10"/>
      <c r="V981" s="110"/>
    </row>
    <row r="982" ht="12.75" customHeight="1">
      <c r="A982" s="107"/>
      <c r="B982" s="107"/>
      <c r="C982" s="107"/>
      <c r="D982" s="102"/>
      <c r="E982" s="107"/>
      <c r="F982" s="108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10"/>
      <c r="V982" s="110"/>
    </row>
    <row r="983" ht="12.75" customHeight="1">
      <c r="A983" s="107"/>
      <c r="B983" s="107"/>
      <c r="C983" s="107"/>
      <c r="D983" s="102"/>
      <c r="E983" s="107"/>
      <c r="F983" s="108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10"/>
      <c r="V983" s="110"/>
    </row>
    <row r="984" ht="12.75" customHeight="1">
      <c r="A984" s="107"/>
      <c r="B984" s="107"/>
      <c r="C984" s="107"/>
      <c r="D984" s="102"/>
      <c r="E984" s="107"/>
      <c r="F984" s="108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10"/>
      <c r="V984" s="110"/>
    </row>
    <row r="985" ht="12.75" customHeight="1">
      <c r="A985" s="107"/>
      <c r="B985" s="107"/>
      <c r="C985" s="107"/>
      <c r="D985" s="102"/>
      <c r="E985" s="107"/>
      <c r="F985" s="108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10"/>
      <c r="V985" s="110"/>
    </row>
    <row r="986" ht="12.75" customHeight="1">
      <c r="A986" s="107"/>
      <c r="B986" s="107"/>
      <c r="C986" s="107"/>
      <c r="D986" s="102"/>
      <c r="E986" s="107"/>
      <c r="F986" s="108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10"/>
      <c r="V986" s="110"/>
    </row>
    <row r="987" ht="12.75" customHeight="1">
      <c r="A987" s="107"/>
      <c r="B987" s="107"/>
      <c r="C987" s="107"/>
      <c r="D987" s="102"/>
      <c r="E987" s="107"/>
      <c r="F987" s="108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10"/>
      <c r="V987" s="110"/>
    </row>
    <row r="988" ht="12.75" customHeight="1">
      <c r="A988" s="107"/>
      <c r="B988" s="107"/>
      <c r="C988" s="107"/>
      <c r="D988" s="102"/>
      <c r="E988" s="107"/>
      <c r="F988" s="108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10"/>
      <c r="V988" s="110"/>
    </row>
    <row r="989" ht="12.75" customHeight="1">
      <c r="A989" s="107"/>
      <c r="B989" s="107"/>
      <c r="C989" s="107"/>
      <c r="D989" s="102"/>
      <c r="E989" s="107"/>
      <c r="F989" s="108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10"/>
      <c r="V989" s="110"/>
    </row>
    <row r="990" ht="12.75" customHeight="1">
      <c r="A990" s="107"/>
      <c r="B990" s="107"/>
      <c r="C990" s="107"/>
      <c r="D990" s="102"/>
      <c r="E990" s="107"/>
      <c r="F990" s="108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10"/>
      <c r="V990" s="110"/>
    </row>
    <row r="991" ht="12.75" customHeight="1">
      <c r="A991" s="107"/>
      <c r="B991" s="107"/>
      <c r="C991" s="107"/>
      <c r="D991" s="102"/>
      <c r="E991" s="107"/>
      <c r="F991" s="108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10"/>
      <c r="V991" s="110"/>
    </row>
    <row r="992" ht="12.75" customHeight="1">
      <c r="A992" s="107"/>
      <c r="B992" s="107"/>
      <c r="C992" s="107"/>
      <c r="D992" s="102"/>
      <c r="E992" s="107"/>
      <c r="F992" s="108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10"/>
      <c r="V992" s="110"/>
    </row>
    <row r="993" ht="12.75" customHeight="1">
      <c r="A993" s="107"/>
      <c r="B993" s="107"/>
      <c r="C993" s="107"/>
      <c r="D993" s="102"/>
      <c r="E993" s="107"/>
      <c r="F993" s="108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10"/>
      <c r="V993" s="110"/>
    </row>
    <row r="994" ht="12.75" customHeight="1">
      <c r="A994" s="107"/>
      <c r="B994" s="107"/>
      <c r="C994" s="107"/>
      <c r="D994" s="102"/>
      <c r="E994" s="107"/>
      <c r="F994" s="108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10"/>
      <c r="V994" s="110"/>
    </row>
    <row r="995" ht="12.75" customHeight="1">
      <c r="A995" s="107"/>
      <c r="B995" s="107"/>
      <c r="C995" s="107"/>
      <c r="D995" s="102"/>
      <c r="E995" s="107"/>
      <c r="F995" s="108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10"/>
      <c r="V995" s="110"/>
    </row>
    <row r="996" ht="12.75" customHeight="1">
      <c r="A996" s="107"/>
      <c r="B996" s="107"/>
      <c r="C996" s="107"/>
      <c r="D996" s="102"/>
      <c r="E996" s="107"/>
      <c r="F996" s="108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10"/>
      <c r="V996" s="110"/>
    </row>
    <row r="997" ht="12.75" customHeight="1">
      <c r="A997" s="107"/>
      <c r="B997" s="107"/>
      <c r="C997" s="107"/>
      <c r="D997" s="102"/>
      <c r="E997" s="107"/>
      <c r="F997" s="108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10"/>
      <c r="V997" s="110"/>
    </row>
    <row r="998" ht="12.75" customHeight="1">
      <c r="A998" s="107"/>
      <c r="B998" s="107"/>
      <c r="C998" s="107"/>
      <c r="D998" s="102"/>
      <c r="E998" s="107"/>
      <c r="F998" s="108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10"/>
      <c r="V998" s="110"/>
    </row>
    <row r="999" ht="12.75" customHeight="1">
      <c r="A999" s="107"/>
      <c r="B999" s="107"/>
      <c r="C999" s="107"/>
      <c r="D999" s="102"/>
      <c r="E999" s="107"/>
      <c r="F999" s="108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10"/>
      <c r="V999" s="110"/>
    </row>
    <row r="1000" ht="12.75" customHeight="1">
      <c r="A1000" s="107"/>
      <c r="B1000" s="107"/>
      <c r="C1000" s="107"/>
      <c r="D1000" s="102"/>
      <c r="E1000" s="107"/>
      <c r="F1000" s="108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10"/>
      <c r="V1000" s="110"/>
    </row>
    <row r="1001" ht="12.75" customHeight="1">
      <c r="A1001" s="107"/>
      <c r="B1001" s="107"/>
      <c r="C1001" s="107"/>
      <c r="D1001" s="102"/>
      <c r="E1001" s="107"/>
      <c r="F1001" s="108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10"/>
      <c r="V1001" s="110"/>
    </row>
    <row r="1002" ht="12.75" customHeight="1">
      <c r="A1002" s="107"/>
      <c r="B1002" s="107"/>
      <c r="C1002" s="107"/>
      <c r="D1002" s="102"/>
      <c r="E1002" s="107"/>
      <c r="F1002" s="108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10"/>
      <c r="V1002" s="110"/>
    </row>
    <row r="1003" ht="12.75" customHeight="1">
      <c r="A1003" s="107"/>
      <c r="B1003" s="107"/>
      <c r="C1003" s="107"/>
      <c r="D1003" s="102"/>
      <c r="E1003" s="107"/>
      <c r="F1003" s="108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10"/>
      <c r="V1003" s="110"/>
    </row>
    <row r="1004" ht="12.75" customHeight="1">
      <c r="A1004" s="107"/>
      <c r="B1004" s="107"/>
      <c r="C1004" s="107"/>
      <c r="D1004" s="102"/>
      <c r="E1004" s="107"/>
      <c r="F1004" s="108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10"/>
      <c r="V1004" s="110"/>
    </row>
    <row r="1005" ht="12.75" customHeight="1">
      <c r="A1005" s="107"/>
      <c r="B1005" s="107"/>
      <c r="C1005" s="107"/>
      <c r="D1005" s="102"/>
      <c r="E1005" s="107"/>
      <c r="F1005" s="108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10"/>
      <c r="V1005" s="110"/>
    </row>
    <row r="1006" ht="12.75" customHeight="1">
      <c r="A1006" s="107"/>
      <c r="B1006" s="107"/>
      <c r="C1006" s="107"/>
      <c r="D1006" s="102"/>
      <c r="E1006" s="107"/>
      <c r="F1006" s="108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10"/>
      <c r="V1006" s="110"/>
    </row>
    <row r="1007" ht="12.75" customHeight="1">
      <c r="A1007" s="107"/>
      <c r="B1007" s="107"/>
      <c r="C1007" s="107"/>
      <c r="D1007" s="102"/>
      <c r="E1007" s="107"/>
      <c r="F1007" s="108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10"/>
      <c r="V1007" s="110"/>
    </row>
    <row r="1008" ht="12.75" customHeight="1">
      <c r="A1008" s="107"/>
      <c r="B1008" s="107"/>
      <c r="C1008" s="107"/>
      <c r="D1008" s="102"/>
      <c r="E1008" s="107"/>
      <c r="F1008" s="108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10"/>
      <c r="V1008" s="110"/>
    </row>
    <row r="1009" ht="12.75" customHeight="1">
      <c r="A1009" s="107"/>
      <c r="B1009" s="107"/>
      <c r="C1009" s="107"/>
      <c r="D1009" s="102"/>
      <c r="E1009" s="107"/>
      <c r="F1009" s="108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10"/>
      <c r="V1009" s="110"/>
    </row>
    <row r="1010" ht="12.75" customHeight="1">
      <c r="A1010" s="107"/>
      <c r="B1010" s="107"/>
      <c r="C1010" s="107"/>
      <c r="D1010" s="102"/>
      <c r="E1010" s="107"/>
      <c r="F1010" s="108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10"/>
      <c r="V1010" s="110"/>
    </row>
    <row r="1011" ht="12.75" customHeight="1">
      <c r="A1011" s="107"/>
      <c r="B1011" s="107"/>
      <c r="C1011" s="107"/>
      <c r="D1011" s="102"/>
      <c r="E1011" s="107"/>
      <c r="F1011" s="108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10"/>
      <c r="V1011" s="110"/>
    </row>
    <row r="1012" ht="12.75" customHeight="1">
      <c r="A1012" s="107"/>
      <c r="B1012" s="107"/>
      <c r="C1012" s="107"/>
      <c r="D1012" s="102"/>
      <c r="E1012" s="107"/>
      <c r="F1012" s="108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10"/>
      <c r="V1012" s="110"/>
    </row>
    <row r="1013" ht="12.75" customHeight="1">
      <c r="A1013" s="107"/>
      <c r="B1013" s="107"/>
      <c r="C1013" s="107"/>
      <c r="D1013" s="102"/>
      <c r="E1013" s="107"/>
      <c r="F1013" s="108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10"/>
      <c r="V1013" s="110"/>
    </row>
    <row r="1014" ht="12.75" customHeight="1">
      <c r="A1014" s="107"/>
      <c r="B1014" s="107"/>
      <c r="C1014" s="107"/>
      <c r="D1014" s="102"/>
      <c r="E1014" s="107"/>
      <c r="F1014" s="108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10"/>
      <c r="V1014" s="110"/>
    </row>
    <row r="1015" ht="12.75" customHeight="1">
      <c r="A1015" s="107"/>
      <c r="B1015" s="107"/>
      <c r="C1015" s="107"/>
      <c r="D1015" s="102"/>
      <c r="E1015" s="107"/>
      <c r="F1015" s="108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10"/>
      <c r="V1015" s="110"/>
    </row>
    <row r="1016" ht="12.75" customHeight="1">
      <c r="A1016" s="107"/>
      <c r="B1016" s="107"/>
      <c r="C1016" s="107"/>
      <c r="D1016" s="102"/>
      <c r="E1016" s="107"/>
      <c r="F1016" s="108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10"/>
      <c r="V1016" s="110"/>
    </row>
    <row r="1017" ht="12.75" customHeight="1">
      <c r="A1017" s="107"/>
      <c r="B1017" s="107"/>
      <c r="C1017" s="107"/>
      <c r="D1017" s="102"/>
      <c r="E1017" s="107"/>
      <c r="F1017" s="108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10"/>
      <c r="V1017" s="110"/>
    </row>
    <row r="1018" ht="12.75" customHeight="1">
      <c r="A1018" s="107"/>
      <c r="B1018" s="107"/>
      <c r="C1018" s="107"/>
      <c r="D1018" s="102"/>
      <c r="E1018" s="107"/>
      <c r="F1018" s="108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10"/>
      <c r="V1018" s="110"/>
    </row>
    <row r="1019" ht="12.75" customHeight="1">
      <c r="A1019" s="107"/>
      <c r="B1019" s="107"/>
      <c r="C1019" s="107"/>
      <c r="D1019" s="102"/>
      <c r="E1019" s="107"/>
      <c r="F1019" s="108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10"/>
      <c r="V1019" s="110"/>
    </row>
    <row r="1020" ht="12.75" customHeight="1">
      <c r="A1020" s="107"/>
      <c r="B1020" s="107"/>
      <c r="C1020" s="107"/>
      <c r="D1020" s="102"/>
      <c r="E1020" s="107"/>
      <c r="F1020" s="108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10"/>
      <c r="V1020" s="110"/>
    </row>
    <row r="1021" ht="12.75" customHeight="1">
      <c r="A1021" s="107"/>
      <c r="B1021" s="107"/>
      <c r="C1021" s="107"/>
      <c r="D1021" s="102"/>
      <c r="E1021" s="107"/>
      <c r="F1021" s="108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10"/>
      <c r="V1021" s="110"/>
    </row>
    <row r="1022" ht="12.75" customHeight="1">
      <c r="A1022" s="107"/>
      <c r="B1022" s="107"/>
      <c r="C1022" s="107"/>
      <c r="D1022" s="102"/>
      <c r="E1022" s="107"/>
      <c r="F1022" s="108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10"/>
      <c r="V1022" s="110"/>
    </row>
    <row r="1023" ht="12.75" customHeight="1">
      <c r="A1023" s="107"/>
      <c r="B1023" s="107"/>
      <c r="C1023" s="107"/>
      <c r="D1023" s="102"/>
      <c r="E1023" s="107"/>
      <c r="F1023" s="108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10"/>
      <c r="V1023" s="110"/>
    </row>
    <row r="1024" ht="12.75" customHeight="1">
      <c r="A1024" s="107"/>
      <c r="B1024" s="107"/>
      <c r="C1024" s="107"/>
      <c r="D1024" s="102"/>
      <c r="E1024" s="107"/>
      <c r="F1024" s="108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10"/>
      <c r="V1024" s="110"/>
    </row>
    <row r="1025" ht="12.75" customHeight="1">
      <c r="A1025" s="107"/>
      <c r="B1025" s="107"/>
      <c r="C1025" s="107"/>
      <c r="D1025" s="102"/>
      <c r="E1025" s="107"/>
      <c r="F1025" s="108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10"/>
      <c r="V1025" s="110"/>
    </row>
    <row r="1026" ht="12.75" customHeight="1">
      <c r="A1026" s="107"/>
      <c r="B1026" s="107"/>
      <c r="C1026" s="107"/>
      <c r="D1026" s="102"/>
      <c r="E1026" s="107"/>
      <c r="F1026" s="108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10"/>
      <c r="V1026" s="110"/>
    </row>
    <row r="1027" ht="12.75" customHeight="1">
      <c r="A1027" s="107"/>
      <c r="B1027" s="107"/>
      <c r="C1027" s="107"/>
      <c r="D1027" s="102"/>
      <c r="E1027" s="107"/>
      <c r="F1027" s="108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10"/>
      <c r="V1027" s="110"/>
    </row>
    <row r="1028" ht="12.75" customHeight="1">
      <c r="A1028" s="107"/>
      <c r="B1028" s="107"/>
      <c r="C1028" s="107"/>
      <c r="D1028" s="102"/>
      <c r="E1028" s="107"/>
      <c r="F1028" s="108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10"/>
      <c r="V1028" s="110"/>
    </row>
    <row r="1029" ht="12.75" customHeight="1">
      <c r="A1029" s="107"/>
      <c r="B1029" s="107"/>
      <c r="C1029" s="107"/>
      <c r="D1029" s="102"/>
      <c r="E1029" s="107"/>
      <c r="F1029" s="108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10"/>
      <c r="V1029" s="110"/>
    </row>
    <row r="1030" ht="12.75" customHeight="1">
      <c r="A1030" s="107"/>
      <c r="B1030" s="107"/>
      <c r="C1030" s="107"/>
      <c r="D1030" s="102"/>
      <c r="E1030" s="107"/>
      <c r="F1030" s="108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10"/>
      <c r="V1030" s="110"/>
    </row>
    <row r="1031" ht="12.75" customHeight="1">
      <c r="A1031" s="107"/>
      <c r="B1031" s="107"/>
      <c r="C1031" s="107"/>
      <c r="D1031" s="102"/>
      <c r="E1031" s="107"/>
      <c r="F1031" s="108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10"/>
      <c r="V1031" s="110"/>
    </row>
    <row r="1032" ht="12.75" customHeight="1">
      <c r="A1032" s="107"/>
      <c r="B1032" s="107"/>
      <c r="C1032" s="107"/>
      <c r="D1032" s="102"/>
      <c r="E1032" s="107"/>
      <c r="F1032" s="108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10"/>
      <c r="V1032" s="110"/>
    </row>
    <row r="1033" ht="12.75" customHeight="1">
      <c r="A1033" s="107"/>
      <c r="B1033" s="107"/>
      <c r="C1033" s="107"/>
      <c r="D1033" s="102"/>
      <c r="E1033" s="107"/>
      <c r="F1033" s="108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10"/>
      <c r="V1033" s="110"/>
    </row>
    <row r="1034" ht="12.75" customHeight="1">
      <c r="A1034" s="107"/>
      <c r="B1034" s="107"/>
      <c r="C1034" s="107"/>
      <c r="D1034" s="102"/>
      <c r="E1034" s="107"/>
      <c r="F1034" s="108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10"/>
      <c r="V1034" s="110"/>
    </row>
    <row r="1035" ht="12.75" customHeight="1">
      <c r="A1035" s="107"/>
      <c r="B1035" s="107"/>
      <c r="C1035" s="107"/>
      <c r="D1035" s="102"/>
      <c r="E1035" s="107"/>
      <c r="F1035" s="108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10"/>
      <c r="V1035" s="110"/>
    </row>
    <row r="1036" ht="12.75" customHeight="1">
      <c r="A1036" s="107"/>
      <c r="B1036" s="107"/>
      <c r="C1036" s="107"/>
      <c r="D1036" s="102"/>
      <c r="E1036" s="107"/>
      <c r="F1036" s="108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10"/>
      <c r="V1036" s="110"/>
    </row>
    <row r="1037" ht="12.75" customHeight="1">
      <c r="A1037" s="107"/>
      <c r="B1037" s="107"/>
      <c r="C1037" s="107"/>
      <c r="D1037" s="102"/>
      <c r="E1037" s="107"/>
      <c r="F1037" s="108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10"/>
      <c r="V1037" s="110"/>
    </row>
    <row r="1038" ht="12.75" customHeight="1">
      <c r="A1038" s="107"/>
      <c r="B1038" s="107"/>
      <c r="C1038" s="107"/>
      <c r="D1038" s="102"/>
      <c r="E1038" s="107"/>
      <c r="F1038" s="108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10"/>
      <c r="V1038" s="110"/>
    </row>
    <row r="1039" ht="12.75" customHeight="1">
      <c r="A1039" s="107"/>
      <c r="B1039" s="107"/>
      <c r="C1039" s="107"/>
      <c r="D1039" s="102"/>
      <c r="E1039" s="107"/>
      <c r="F1039" s="108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10"/>
      <c r="V1039" s="110"/>
    </row>
    <row r="1040" ht="12.75" customHeight="1">
      <c r="A1040" s="107"/>
      <c r="B1040" s="107"/>
      <c r="C1040" s="107"/>
      <c r="D1040" s="102"/>
      <c r="E1040" s="107"/>
      <c r="F1040" s="108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10"/>
      <c r="V1040" s="110"/>
    </row>
    <row r="1041" ht="12.75" customHeight="1">
      <c r="A1041" s="107"/>
      <c r="B1041" s="107"/>
      <c r="C1041" s="107"/>
      <c r="D1041" s="102"/>
      <c r="E1041" s="107"/>
      <c r="F1041" s="108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10"/>
      <c r="V1041" s="110"/>
    </row>
    <row r="1042" ht="12.75" customHeight="1">
      <c r="A1042" s="107"/>
      <c r="B1042" s="107"/>
      <c r="C1042" s="107"/>
      <c r="D1042" s="102"/>
      <c r="E1042" s="107"/>
      <c r="F1042" s="108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10"/>
      <c r="V1042" s="110"/>
    </row>
    <row r="1043" ht="12.75" customHeight="1">
      <c r="A1043" s="107"/>
      <c r="B1043" s="107"/>
      <c r="C1043" s="107"/>
      <c r="D1043" s="102"/>
      <c r="E1043" s="107"/>
      <c r="F1043" s="108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10"/>
      <c r="V1043" s="110"/>
    </row>
    <row r="1044" ht="12.75" customHeight="1">
      <c r="A1044" s="107"/>
      <c r="B1044" s="107"/>
      <c r="C1044" s="107"/>
      <c r="D1044" s="102"/>
      <c r="E1044" s="107"/>
      <c r="F1044" s="108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10"/>
      <c r="V1044" s="110"/>
    </row>
    <row r="1045" ht="12.75" customHeight="1">
      <c r="A1045" s="107"/>
      <c r="B1045" s="107"/>
      <c r="C1045" s="107"/>
      <c r="D1045" s="102"/>
      <c r="E1045" s="107"/>
      <c r="F1045" s="108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10"/>
      <c r="V1045" s="110"/>
    </row>
    <row r="1046" ht="12.75" customHeight="1">
      <c r="A1046" s="107"/>
      <c r="B1046" s="107"/>
      <c r="C1046" s="107"/>
      <c r="D1046" s="102"/>
      <c r="E1046" s="107"/>
      <c r="F1046" s="108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10"/>
      <c r="V1046" s="110"/>
    </row>
    <row r="1047" ht="12.75" customHeight="1">
      <c r="A1047" s="107"/>
      <c r="B1047" s="107"/>
      <c r="C1047" s="107"/>
      <c r="D1047" s="102"/>
      <c r="E1047" s="107"/>
      <c r="F1047" s="108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10"/>
      <c r="V1047" s="110"/>
    </row>
    <row r="1048" ht="12.75" customHeight="1">
      <c r="A1048" s="107"/>
      <c r="B1048" s="107"/>
      <c r="C1048" s="107"/>
      <c r="D1048" s="102"/>
      <c r="E1048" s="107"/>
      <c r="F1048" s="108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10"/>
      <c r="V1048" s="110"/>
    </row>
    <row r="1049" ht="12.75" customHeight="1">
      <c r="A1049" s="107"/>
      <c r="B1049" s="107"/>
      <c r="C1049" s="107"/>
      <c r="D1049" s="102"/>
      <c r="E1049" s="107"/>
      <c r="F1049" s="108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10"/>
      <c r="V1049" s="110"/>
    </row>
    <row r="1050" ht="12.75" customHeight="1">
      <c r="A1050" s="107"/>
      <c r="B1050" s="107"/>
      <c r="C1050" s="107"/>
      <c r="D1050" s="102"/>
      <c r="E1050" s="107"/>
      <c r="F1050" s="108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10"/>
      <c r="V1050" s="110"/>
    </row>
    <row r="1051" ht="12.75" customHeight="1">
      <c r="A1051" s="107"/>
      <c r="B1051" s="107"/>
      <c r="C1051" s="107"/>
      <c r="D1051" s="102"/>
      <c r="E1051" s="107"/>
      <c r="F1051" s="108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10"/>
      <c r="V1051" s="110"/>
    </row>
    <row r="1052" ht="12.75" customHeight="1">
      <c r="A1052" s="107"/>
      <c r="B1052" s="107"/>
      <c r="C1052" s="107"/>
      <c r="D1052" s="102"/>
      <c r="E1052" s="107"/>
      <c r="F1052" s="108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10"/>
      <c r="V1052" s="110"/>
    </row>
    <row r="1053" ht="12.75" customHeight="1">
      <c r="A1053" s="107"/>
      <c r="B1053" s="107"/>
      <c r="C1053" s="107"/>
      <c r="D1053" s="102"/>
      <c r="E1053" s="107"/>
      <c r="F1053" s="108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10"/>
      <c r="V1053" s="110"/>
    </row>
    <row r="1054" ht="12.75" customHeight="1">
      <c r="A1054" s="107"/>
      <c r="B1054" s="107"/>
      <c r="C1054" s="107"/>
      <c r="D1054" s="102"/>
      <c r="E1054" s="107"/>
      <c r="F1054" s="108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10"/>
      <c r="V1054" s="110"/>
    </row>
    <row r="1055" ht="12.75" customHeight="1">
      <c r="A1055" s="107"/>
      <c r="B1055" s="107"/>
      <c r="C1055" s="107"/>
      <c r="D1055" s="102"/>
      <c r="E1055" s="107"/>
      <c r="F1055" s="108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10"/>
      <c r="V1055" s="110"/>
    </row>
    <row r="1056" ht="12.75" customHeight="1">
      <c r="A1056" s="107"/>
      <c r="B1056" s="107"/>
      <c r="C1056" s="107"/>
      <c r="D1056" s="102"/>
      <c r="E1056" s="107"/>
      <c r="F1056" s="108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10"/>
      <c r="V1056" s="110"/>
    </row>
    <row r="1057" ht="12.75" customHeight="1">
      <c r="A1057" s="107"/>
      <c r="B1057" s="107"/>
      <c r="C1057" s="107"/>
      <c r="D1057" s="102"/>
      <c r="E1057" s="107"/>
      <c r="F1057" s="108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10"/>
      <c r="V1057" s="110"/>
    </row>
    <row r="1058" ht="12.75" customHeight="1">
      <c r="A1058" s="107"/>
      <c r="B1058" s="107"/>
      <c r="C1058" s="107"/>
      <c r="D1058" s="102"/>
      <c r="E1058" s="107"/>
      <c r="F1058" s="108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10"/>
      <c r="V1058" s="110"/>
    </row>
    <row r="1059" ht="12.75" customHeight="1">
      <c r="A1059" s="107"/>
      <c r="B1059" s="107"/>
      <c r="C1059" s="107"/>
      <c r="D1059" s="102"/>
      <c r="E1059" s="107"/>
      <c r="F1059" s="108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10"/>
      <c r="V1059" s="110"/>
    </row>
    <row r="1060" ht="12.75" customHeight="1">
      <c r="A1060" s="107"/>
      <c r="B1060" s="107"/>
      <c r="C1060" s="107"/>
      <c r="D1060" s="102"/>
      <c r="E1060" s="107"/>
      <c r="F1060" s="108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10"/>
      <c r="V1060" s="110"/>
    </row>
    <row r="1061" ht="12.75" customHeight="1">
      <c r="A1061" s="107"/>
      <c r="B1061" s="107"/>
      <c r="C1061" s="107"/>
      <c r="D1061" s="102"/>
      <c r="E1061" s="107"/>
      <c r="F1061" s="108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10"/>
      <c r="V1061" s="110"/>
    </row>
    <row r="1062" ht="12.75" customHeight="1">
      <c r="A1062" s="107"/>
      <c r="B1062" s="107"/>
      <c r="C1062" s="107"/>
      <c r="D1062" s="102"/>
      <c r="E1062" s="107"/>
      <c r="F1062" s="108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10"/>
      <c r="V1062" s="110"/>
    </row>
    <row r="1063" ht="12.75" customHeight="1">
      <c r="A1063" s="107"/>
      <c r="B1063" s="107"/>
      <c r="C1063" s="107"/>
      <c r="D1063" s="102"/>
      <c r="E1063" s="107"/>
      <c r="F1063" s="108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10"/>
      <c r="V1063" s="110"/>
    </row>
    <row r="1064" ht="12.75" customHeight="1">
      <c r="A1064" s="107"/>
      <c r="B1064" s="107"/>
      <c r="C1064" s="107"/>
      <c r="D1064" s="102"/>
      <c r="E1064" s="107"/>
      <c r="F1064" s="108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10"/>
      <c r="V1064" s="110"/>
    </row>
    <row r="1065" ht="12.75" customHeight="1">
      <c r="A1065" s="107"/>
      <c r="B1065" s="107"/>
      <c r="C1065" s="107"/>
      <c r="D1065" s="102"/>
      <c r="E1065" s="107"/>
      <c r="F1065" s="108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10"/>
      <c r="V1065" s="110"/>
    </row>
    <row r="1066" ht="12.75" customHeight="1">
      <c r="A1066" s="107"/>
      <c r="B1066" s="107"/>
      <c r="C1066" s="107"/>
      <c r="D1066" s="102"/>
      <c r="E1066" s="107"/>
      <c r="F1066" s="108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10"/>
      <c r="V1066" s="110"/>
    </row>
    <row r="1067" ht="12.75" customHeight="1">
      <c r="A1067" s="107"/>
      <c r="B1067" s="107"/>
      <c r="C1067" s="107"/>
      <c r="D1067" s="102"/>
      <c r="E1067" s="107"/>
      <c r="F1067" s="108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10"/>
      <c r="V1067" s="110"/>
    </row>
    <row r="1068" ht="12.75" customHeight="1">
      <c r="A1068" s="107"/>
      <c r="B1068" s="107"/>
      <c r="C1068" s="107"/>
      <c r="D1068" s="102"/>
      <c r="E1068" s="107"/>
      <c r="F1068" s="108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10"/>
      <c r="V1068" s="110"/>
    </row>
    <row r="1069" ht="12.75" customHeight="1">
      <c r="A1069" s="107"/>
      <c r="B1069" s="107"/>
      <c r="C1069" s="107"/>
      <c r="D1069" s="102"/>
      <c r="E1069" s="107"/>
      <c r="F1069" s="108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10"/>
      <c r="V1069" s="110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0</v>
      </c>
      <c r="D2" s="117"/>
      <c r="E2" s="116">
        <f t="shared" ref="E2:R2" si="1">SUM(E5,E11)</f>
        <v>0</v>
      </c>
      <c r="F2" s="116">
        <f t="shared" si="1"/>
        <v>0</v>
      </c>
      <c r="G2" s="118">
        <f t="shared" si="1"/>
        <v>0</v>
      </c>
      <c r="H2" s="118">
        <f t="shared" si="1"/>
        <v>0</v>
      </c>
      <c r="I2" s="118">
        <f t="shared" si="1"/>
        <v>0</v>
      </c>
      <c r="J2" s="118">
        <f t="shared" si="1"/>
        <v>0</v>
      </c>
      <c r="K2" s="118">
        <f t="shared" si="1"/>
        <v>0</v>
      </c>
      <c r="L2" s="118">
        <f t="shared" si="1"/>
        <v>0</v>
      </c>
      <c r="M2" s="118">
        <f t="shared" si="1"/>
        <v>0</v>
      </c>
      <c r="N2" s="118">
        <f t="shared" si="1"/>
        <v>0</v>
      </c>
      <c r="O2" s="118">
        <f t="shared" si="1"/>
        <v>0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33</v>
      </c>
      <c r="D4" s="120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0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16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5" si="2">IFERROR(I20/H20,0)</f>
        <v>0</v>
      </c>
      <c r="V20" s="131">
        <f t="shared" ref="V20:V35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1">
        <f t="shared" si="2"/>
        <v>0</v>
      </c>
      <c r="V23" s="131">
        <f t="shared" si="3"/>
        <v>0</v>
      </c>
    </row>
    <row r="24" ht="12.75" customHeight="1">
      <c r="A24" s="143" t="s">
        <v>26</v>
      </c>
      <c r="B24" s="144" t="s">
        <v>27</v>
      </c>
      <c r="C24" s="145" t="s">
        <v>51</v>
      </c>
      <c r="D24" s="146" t="s">
        <v>46</v>
      </c>
      <c r="E24" s="144" t="s">
        <v>47</v>
      </c>
      <c r="F24" s="145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7" t="s">
        <v>26</v>
      </c>
      <c r="B25" s="148" t="s">
        <v>27</v>
      </c>
      <c r="C25" s="149" t="s">
        <v>51</v>
      </c>
      <c r="D25" s="84"/>
      <c r="E25" s="148" t="s">
        <v>47</v>
      </c>
      <c r="F25" s="149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47" t="s">
        <v>26</v>
      </c>
      <c r="B26" s="148" t="s">
        <v>27</v>
      </c>
      <c r="C26" s="149" t="s">
        <v>51</v>
      </c>
      <c r="D26" s="84"/>
      <c r="E26" s="148" t="s">
        <v>47</v>
      </c>
      <c r="F26" s="149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7" t="s">
        <v>26</v>
      </c>
      <c r="B27" s="148" t="s">
        <v>27</v>
      </c>
      <c r="C27" s="149" t="s">
        <v>51</v>
      </c>
      <c r="D27" s="84"/>
      <c r="E27" s="148" t="s">
        <v>47</v>
      </c>
      <c r="F27" s="149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37" t="s">
        <v>26</v>
      </c>
      <c r="B28" s="138" t="s">
        <v>27</v>
      </c>
      <c r="C28" s="150" t="s">
        <v>55</v>
      </c>
      <c r="D28" s="151" t="s">
        <v>46</v>
      </c>
      <c r="E28" s="152" t="s">
        <v>47</v>
      </c>
      <c r="F28" s="150" t="s">
        <v>55</v>
      </c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1">
        <f t="shared" si="2"/>
        <v>0</v>
      </c>
      <c r="V28" s="131">
        <f t="shared" si="3"/>
        <v>0</v>
      </c>
    </row>
    <row r="29" ht="12.75" customHeight="1">
      <c r="A29" s="140" t="s">
        <v>26</v>
      </c>
      <c r="B29" s="141" t="s">
        <v>27</v>
      </c>
      <c r="C29" s="141" t="s">
        <v>55</v>
      </c>
      <c r="D29" s="75"/>
      <c r="E29" s="141" t="s">
        <v>47</v>
      </c>
      <c r="F29" s="63" t="s">
        <v>56</v>
      </c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1">
        <f t="shared" si="2"/>
        <v>0</v>
      </c>
      <c r="V29" s="131">
        <f t="shared" si="3"/>
        <v>0</v>
      </c>
    </row>
    <row r="30" ht="12.75" customHeight="1">
      <c r="A30" s="140" t="s">
        <v>26</v>
      </c>
      <c r="B30" s="141" t="s">
        <v>27</v>
      </c>
      <c r="C30" s="141" t="s">
        <v>55</v>
      </c>
      <c r="D30" s="75"/>
      <c r="E30" s="142"/>
      <c r="F30" s="63" t="s">
        <v>57</v>
      </c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1">
        <f t="shared" si="2"/>
        <v>0</v>
      </c>
      <c r="V30" s="131">
        <f t="shared" si="3"/>
        <v>0</v>
      </c>
    </row>
    <row r="31" ht="12.75" customHeight="1">
      <c r="A31" s="140" t="s">
        <v>26</v>
      </c>
      <c r="B31" s="141" t="s">
        <v>27</v>
      </c>
      <c r="C31" s="141" t="s">
        <v>55</v>
      </c>
      <c r="D31" s="75"/>
      <c r="E31" s="142"/>
      <c r="F31" s="63" t="s">
        <v>58</v>
      </c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1">
        <f t="shared" si="2"/>
        <v>0</v>
      </c>
      <c r="V31" s="131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55</v>
      </c>
      <c r="D32" s="129"/>
      <c r="E32" s="142"/>
      <c r="F32" s="63" t="s">
        <v>59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2"/>
        <v>0</v>
      </c>
      <c r="V32" s="131">
        <f t="shared" si="3"/>
        <v>0</v>
      </c>
    </row>
    <row r="33" ht="12.75" customHeight="1">
      <c r="A33" s="143" t="s">
        <v>26</v>
      </c>
      <c r="B33" s="144" t="s">
        <v>27</v>
      </c>
      <c r="C33" s="154" t="s">
        <v>60</v>
      </c>
      <c r="D33" s="146" t="s">
        <v>46</v>
      </c>
      <c r="E33" s="157"/>
      <c r="F33" s="154" t="s">
        <v>60</v>
      </c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f t="shared" si="2"/>
        <v>0</v>
      </c>
      <c r="V33" s="131">
        <f t="shared" si="3"/>
        <v>0</v>
      </c>
    </row>
    <row r="34" ht="12.75" customHeight="1">
      <c r="A34" s="147" t="s">
        <v>26</v>
      </c>
      <c r="B34" s="148" t="s">
        <v>27</v>
      </c>
      <c r="C34" s="156" t="s">
        <v>60</v>
      </c>
      <c r="D34" s="84"/>
      <c r="E34" s="157"/>
      <c r="F34" s="156" t="s">
        <v>61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si="2"/>
        <v>0</v>
      </c>
      <c r="V34" s="131">
        <f t="shared" si="3"/>
        <v>0</v>
      </c>
    </row>
    <row r="35" ht="12.75" customHeight="1">
      <c r="A35" s="147" t="s">
        <v>26</v>
      </c>
      <c r="B35" s="148" t="s">
        <v>27</v>
      </c>
      <c r="C35" s="156" t="s">
        <v>60</v>
      </c>
      <c r="D35" s="84"/>
      <c r="E35" s="157"/>
      <c r="F35" s="156" t="s">
        <v>62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2"/>
        <v>0</v>
      </c>
      <c r="V35" s="131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128" t="s">
        <v>28</v>
      </c>
      <c r="B37" s="129"/>
      <c r="C37" s="129"/>
      <c r="D37" s="158" t="s">
        <v>46</v>
      </c>
      <c r="E37" s="128" t="s">
        <v>47</v>
      </c>
      <c r="F37" s="128" t="s">
        <v>28</v>
      </c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>
        <f t="shared" ref="U37:U53" si="4">IFERROR(I37/H37,0)</f>
        <v>0</v>
      </c>
      <c r="V37" s="131">
        <f t="shared" ref="V37:V53" si="5">IFERROR(SUM(H37+L37)/G37,0)</f>
        <v>0</v>
      </c>
    </row>
    <row r="38" ht="12.75" customHeight="1">
      <c r="A38" s="132" t="s">
        <v>28</v>
      </c>
      <c r="B38" s="124" t="s">
        <v>29</v>
      </c>
      <c r="C38" s="159"/>
      <c r="D38" s="160" t="s">
        <v>46</v>
      </c>
      <c r="E38" s="135" t="s">
        <v>47</v>
      </c>
      <c r="F38" s="124" t="s">
        <v>29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si="4"/>
        <v>0</v>
      </c>
      <c r="V38" s="131">
        <f t="shared" si="5"/>
        <v>0</v>
      </c>
    </row>
    <row r="39" ht="12.75" customHeight="1">
      <c r="A39" s="143" t="s">
        <v>28</v>
      </c>
      <c r="B39" s="144" t="s">
        <v>29</v>
      </c>
      <c r="C39" s="145" t="s">
        <v>63</v>
      </c>
      <c r="D39" s="146" t="s">
        <v>46</v>
      </c>
      <c r="E39" s="144" t="s">
        <v>47</v>
      </c>
      <c r="F39" s="145" t="s">
        <v>63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4"/>
        <v>0</v>
      </c>
      <c r="V39" s="131">
        <f t="shared" si="5"/>
        <v>0</v>
      </c>
    </row>
    <row r="40" ht="12.75" customHeight="1">
      <c r="A40" s="147" t="s">
        <v>28</v>
      </c>
      <c r="B40" s="148" t="s">
        <v>29</v>
      </c>
      <c r="C40" s="147" t="s">
        <v>63</v>
      </c>
      <c r="D40" s="157"/>
      <c r="E40" s="148" t="s">
        <v>47</v>
      </c>
      <c r="F40" s="147" t="s">
        <v>64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4"/>
        <v>0</v>
      </c>
      <c r="V40" s="131">
        <f t="shared" si="5"/>
        <v>0</v>
      </c>
    </row>
    <row r="41" ht="12.75" customHeight="1">
      <c r="A41" s="147" t="s">
        <v>28</v>
      </c>
      <c r="B41" s="148" t="s">
        <v>29</v>
      </c>
      <c r="C41" s="147" t="s">
        <v>63</v>
      </c>
      <c r="D41" s="84"/>
      <c r="E41" s="161" t="s">
        <v>47</v>
      </c>
      <c r="F41" s="149" t="s">
        <v>65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4"/>
        <v>0</v>
      </c>
      <c r="V41" s="131">
        <f t="shared" si="5"/>
        <v>0</v>
      </c>
    </row>
    <row r="42" ht="12.75" customHeight="1">
      <c r="A42" s="147" t="s">
        <v>28</v>
      </c>
      <c r="B42" s="148" t="s">
        <v>29</v>
      </c>
      <c r="C42" s="147" t="s">
        <v>63</v>
      </c>
      <c r="D42" s="84"/>
      <c r="E42" s="161" t="s">
        <v>47</v>
      </c>
      <c r="F42" s="149" t="s">
        <v>66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4"/>
        <v>0</v>
      </c>
      <c r="V42" s="131">
        <f t="shared" si="5"/>
        <v>0</v>
      </c>
    </row>
    <row r="43" ht="12.75" customHeight="1">
      <c r="A43" s="147" t="s">
        <v>28</v>
      </c>
      <c r="B43" s="148" t="s">
        <v>29</v>
      </c>
      <c r="C43" s="147" t="s">
        <v>63</v>
      </c>
      <c r="D43" s="84"/>
      <c r="E43" s="161" t="s">
        <v>47</v>
      </c>
      <c r="F43" s="149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4"/>
        <v>0</v>
      </c>
      <c r="V43" s="131">
        <f t="shared" si="5"/>
        <v>0</v>
      </c>
    </row>
    <row r="44" ht="12.75" customHeight="1">
      <c r="A44" s="147" t="s">
        <v>28</v>
      </c>
      <c r="B44" s="148" t="s">
        <v>29</v>
      </c>
      <c r="C44" s="147" t="s">
        <v>63</v>
      </c>
      <c r="D44" s="84"/>
      <c r="E44" s="161" t="s">
        <v>47</v>
      </c>
      <c r="F44" s="149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4"/>
        <v>0</v>
      </c>
      <c r="V44" s="131">
        <f t="shared" si="5"/>
        <v>0</v>
      </c>
    </row>
    <row r="45" ht="12.75" customHeight="1">
      <c r="A45" s="147" t="s">
        <v>28</v>
      </c>
      <c r="B45" s="148" t="s">
        <v>29</v>
      </c>
      <c r="C45" s="147" t="s">
        <v>63</v>
      </c>
      <c r="D45" s="84"/>
      <c r="E45" s="148" t="s">
        <v>47</v>
      </c>
      <c r="F45" s="149" t="s">
        <v>69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4"/>
        <v>0</v>
      </c>
      <c r="V45" s="131">
        <f t="shared" si="5"/>
        <v>0</v>
      </c>
    </row>
    <row r="46" ht="12.75" customHeight="1">
      <c r="A46" s="147" t="s">
        <v>28</v>
      </c>
      <c r="B46" s="148" t="s">
        <v>29</v>
      </c>
      <c r="C46" s="147" t="s">
        <v>63</v>
      </c>
      <c r="D46" s="84"/>
      <c r="E46" s="148" t="s">
        <v>47</v>
      </c>
      <c r="F46" s="149" t="s">
        <v>70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4"/>
        <v>0</v>
      </c>
      <c r="V46" s="131">
        <f t="shared" si="5"/>
        <v>0</v>
      </c>
    </row>
    <row r="47" ht="12.75" customHeight="1">
      <c r="A47" s="147" t="s">
        <v>28</v>
      </c>
      <c r="B47" s="148" t="s">
        <v>29</v>
      </c>
      <c r="C47" s="147" t="s">
        <v>63</v>
      </c>
      <c r="D47" s="162"/>
      <c r="E47" s="148" t="s">
        <v>47</v>
      </c>
      <c r="F47" s="156" t="s">
        <v>71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4"/>
        <v>0</v>
      </c>
      <c r="V47" s="131">
        <f t="shared" si="5"/>
        <v>0</v>
      </c>
    </row>
    <row r="48" ht="12.75" customHeight="1">
      <c r="A48" s="147" t="s">
        <v>28</v>
      </c>
      <c r="B48" s="148" t="s">
        <v>29</v>
      </c>
      <c r="C48" s="147" t="s">
        <v>63</v>
      </c>
      <c r="D48" s="162"/>
      <c r="E48" s="148" t="s">
        <v>47</v>
      </c>
      <c r="F48" s="156" t="s">
        <v>72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4"/>
        <v>0</v>
      </c>
      <c r="V48" s="131">
        <f t="shared" si="5"/>
        <v>0</v>
      </c>
    </row>
    <row r="49" ht="12.75" customHeight="1">
      <c r="A49" s="147" t="s">
        <v>28</v>
      </c>
      <c r="B49" s="148" t="s">
        <v>29</v>
      </c>
      <c r="C49" s="147" t="s">
        <v>63</v>
      </c>
      <c r="D49" s="162"/>
      <c r="E49" s="148" t="s">
        <v>73</v>
      </c>
      <c r="F49" s="156" t="s">
        <v>74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4"/>
        <v>0</v>
      </c>
      <c r="V49" s="131">
        <f t="shared" si="5"/>
        <v>0</v>
      </c>
    </row>
    <row r="50" ht="12.75" customHeight="1">
      <c r="A50" s="147" t="s">
        <v>28</v>
      </c>
      <c r="B50" s="148" t="s">
        <v>29</v>
      </c>
      <c r="C50" s="147" t="s">
        <v>63</v>
      </c>
      <c r="D50" s="162"/>
      <c r="E50" s="148" t="s">
        <v>75</v>
      </c>
      <c r="F50" s="156" t="s">
        <v>76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4"/>
        <v>0</v>
      </c>
      <c r="V50" s="131">
        <f t="shared" si="5"/>
        <v>0</v>
      </c>
    </row>
    <row r="51" ht="12.75" customHeight="1">
      <c r="A51" s="147" t="s">
        <v>28</v>
      </c>
      <c r="B51" s="148" t="s">
        <v>29</v>
      </c>
      <c r="C51" s="147" t="s">
        <v>63</v>
      </c>
      <c r="D51" s="162"/>
      <c r="E51" s="157"/>
      <c r="F51" s="156" t="s">
        <v>77</v>
      </c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1">
        <f t="shared" si="4"/>
        <v>0</v>
      </c>
      <c r="V51" s="131">
        <f t="shared" si="5"/>
        <v>0</v>
      </c>
    </row>
    <row r="52" ht="12.75" customHeight="1">
      <c r="A52" s="147" t="s">
        <v>28</v>
      </c>
      <c r="B52" s="148" t="s">
        <v>29</v>
      </c>
      <c r="C52" s="147" t="s">
        <v>63</v>
      </c>
      <c r="D52" s="162"/>
      <c r="E52" s="148" t="s">
        <v>47</v>
      </c>
      <c r="F52" s="156" t="s">
        <v>78</v>
      </c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1">
        <f t="shared" si="4"/>
        <v>0</v>
      </c>
      <c r="V52" s="131">
        <f t="shared" si="5"/>
        <v>0</v>
      </c>
    </row>
    <row r="53" ht="12.75" customHeight="1">
      <c r="A53" s="147" t="s">
        <v>28</v>
      </c>
      <c r="B53" s="148" t="s">
        <v>29</v>
      </c>
      <c r="C53" s="147" t="s">
        <v>63</v>
      </c>
      <c r="D53" s="162"/>
      <c r="E53" s="148" t="s">
        <v>47</v>
      </c>
      <c r="F53" s="156" t="s">
        <v>79</v>
      </c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1">
        <f t="shared" si="4"/>
        <v>0</v>
      </c>
      <c r="V53" s="131">
        <f t="shared" si="5"/>
        <v>0</v>
      </c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3"/>
      <c r="B201" s="163"/>
      <c r="C201" s="163"/>
      <c r="D201" s="1"/>
      <c r="E201" s="163"/>
      <c r="F201" s="11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5"/>
      <c r="V201" s="165"/>
    </row>
    <row r="202" ht="12.75" customHeight="1">
      <c r="A202" s="163"/>
      <c r="B202" s="163"/>
      <c r="C202" s="163"/>
      <c r="D202" s="1"/>
      <c r="E202" s="163"/>
      <c r="F202" s="11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5"/>
      <c r="V202" s="165"/>
    </row>
    <row r="203" ht="12.75" customHeight="1">
      <c r="A203" s="163"/>
      <c r="B203" s="163"/>
      <c r="C203" s="163"/>
      <c r="D203" s="1"/>
      <c r="E203" s="163"/>
      <c r="F203" s="11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5"/>
      <c r="V203" s="165"/>
    </row>
    <row r="204" ht="12.75" customHeight="1">
      <c r="A204" s="163"/>
      <c r="B204" s="163"/>
      <c r="C204" s="163"/>
      <c r="D204" s="1"/>
      <c r="E204" s="163"/>
      <c r="F204" s="11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5"/>
      <c r="V204" s="165"/>
    </row>
    <row r="205" ht="12.75" customHeight="1">
      <c r="A205" s="163"/>
      <c r="B205" s="163"/>
      <c r="C205" s="163"/>
      <c r="D205" s="1"/>
      <c r="E205" s="163"/>
      <c r="F205" s="11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5"/>
      <c r="V205" s="165"/>
    </row>
    <row r="206" ht="12.75" customHeight="1">
      <c r="A206" s="163"/>
      <c r="B206" s="163"/>
      <c r="C206" s="163"/>
      <c r="D206" s="1"/>
      <c r="E206" s="163"/>
      <c r="F206" s="11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5"/>
      <c r="V206" s="165"/>
    </row>
    <row r="207" ht="12.75" customHeight="1">
      <c r="A207" s="163"/>
      <c r="B207" s="163"/>
      <c r="C207" s="163"/>
      <c r="D207" s="1"/>
      <c r="E207" s="163"/>
      <c r="F207" s="11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5"/>
      <c r="V207" s="165"/>
    </row>
    <row r="208" ht="12.75" customHeight="1">
      <c r="A208" s="163"/>
      <c r="B208" s="163"/>
      <c r="C208" s="163"/>
      <c r="D208" s="1"/>
      <c r="E208" s="163"/>
      <c r="F208" s="11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5"/>
      <c r="V208" s="165"/>
    </row>
    <row r="209" ht="12.75" customHeight="1">
      <c r="A209" s="163"/>
      <c r="B209" s="163"/>
      <c r="C209" s="163"/>
      <c r="D209" s="1"/>
      <c r="E209" s="163"/>
      <c r="F209" s="11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5"/>
      <c r="V209" s="165"/>
    </row>
    <row r="210" ht="12.75" customHeight="1">
      <c r="A210" s="163"/>
      <c r="B210" s="163"/>
      <c r="C210" s="163"/>
      <c r="D210" s="1"/>
      <c r="E210" s="163"/>
      <c r="F210" s="11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5"/>
      <c r="V210" s="165"/>
    </row>
    <row r="211" ht="12.75" customHeight="1">
      <c r="A211" s="163"/>
      <c r="B211" s="163"/>
      <c r="C211" s="163"/>
      <c r="D211" s="1"/>
      <c r="E211" s="163"/>
      <c r="F211" s="11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5"/>
      <c r="V211" s="165"/>
    </row>
    <row r="212" ht="12.75" customHeight="1">
      <c r="A212" s="163"/>
      <c r="B212" s="163"/>
      <c r="C212" s="163"/>
      <c r="D212" s="1"/>
      <c r="E212" s="163"/>
      <c r="F212" s="11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5"/>
      <c r="V212" s="165"/>
    </row>
    <row r="213" ht="12.75" customHeight="1">
      <c r="A213" s="163"/>
      <c r="B213" s="163"/>
      <c r="C213" s="163"/>
      <c r="D213" s="1"/>
      <c r="E213" s="163"/>
      <c r="F213" s="11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5"/>
      <c r="V213" s="165"/>
    </row>
    <row r="214" ht="12.75" customHeight="1">
      <c r="A214" s="163"/>
      <c r="B214" s="163"/>
      <c r="C214" s="163"/>
      <c r="D214" s="1"/>
      <c r="E214" s="163"/>
      <c r="F214" s="11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5"/>
      <c r="V214" s="165"/>
    </row>
    <row r="215" ht="12.75" customHeight="1">
      <c r="A215" s="163"/>
      <c r="B215" s="163"/>
      <c r="C215" s="163"/>
      <c r="D215" s="1"/>
      <c r="E215" s="163"/>
      <c r="F215" s="11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5"/>
      <c r="V215" s="165"/>
    </row>
    <row r="216" ht="12.75" customHeight="1">
      <c r="A216" s="163"/>
      <c r="B216" s="163"/>
      <c r="C216" s="163"/>
      <c r="D216" s="1"/>
      <c r="E216" s="163"/>
      <c r="F216" s="11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5"/>
      <c r="V216" s="165"/>
    </row>
    <row r="217" ht="12.75" customHeight="1">
      <c r="A217" s="163"/>
      <c r="B217" s="163"/>
      <c r="C217" s="163"/>
      <c r="D217" s="1"/>
      <c r="E217" s="163"/>
      <c r="F217" s="11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5"/>
      <c r="V217" s="165"/>
    </row>
    <row r="218" ht="12.75" customHeight="1">
      <c r="A218" s="163"/>
      <c r="B218" s="163"/>
      <c r="C218" s="163"/>
      <c r="D218" s="1"/>
      <c r="E218" s="163"/>
      <c r="F218" s="11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5"/>
      <c r="V218" s="165"/>
    </row>
    <row r="219" ht="12.75" customHeight="1">
      <c r="A219" s="163"/>
      <c r="B219" s="163"/>
      <c r="C219" s="163"/>
      <c r="D219" s="1"/>
      <c r="E219" s="163"/>
      <c r="F219" s="11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5"/>
      <c r="V219" s="165"/>
    </row>
    <row r="220" ht="12.75" customHeight="1">
      <c r="A220" s="163"/>
      <c r="B220" s="163"/>
      <c r="C220" s="163"/>
      <c r="D220" s="1"/>
      <c r="E220" s="163"/>
      <c r="F220" s="11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5"/>
      <c r="V220" s="165"/>
    </row>
    <row r="221" ht="12.75" customHeight="1">
      <c r="A221" s="163"/>
      <c r="B221" s="163"/>
      <c r="C221" s="163"/>
      <c r="D221" s="1"/>
      <c r="E221" s="163"/>
      <c r="F221" s="11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5"/>
      <c r="V221" s="165"/>
    </row>
    <row r="222" ht="12.75" customHeight="1">
      <c r="A222" s="163"/>
      <c r="B222" s="163"/>
      <c r="C222" s="163"/>
      <c r="D222" s="1"/>
      <c r="E222" s="163"/>
      <c r="F222" s="11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5"/>
      <c r="V222" s="165"/>
    </row>
    <row r="223" ht="12.75" customHeight="1">
      <c r="A223" s="163"/>
      <c r="B223" s="163"/>
      <c r="C223" s="163"/>
      <c r="D223" s="1"/>
      <c r="E223" s="163"/>
      <c r="F223" s="11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5"/>
      <c r="V223" s="165"/>
    </row>
    <row r="224" ht="12.75" customHeight="1">
      <c r="A224" s="163"/>
      <c r="B224" s="163"/>
      <c r="C224" s="163"/>
      <c r="D224" s="1"/>
      <c r="E224" s="163"/>
      <c r="F224" s="11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5"/>
      <c r="V224" s="165"/>
    </row>
    <row r="225" ht="12.75" customHeight="1">
      <c r="A225" s="163"/>
      <c r="B225" s="163"/>
      <c r="C225" s="163"/>
      <c r="D225" s="1"/>
      <c r="E225" s="163"/>
      <c r="F225" s="11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5"/>
      <c r="V225" s="165"/>
    </row>
    <row r="226" ht="12.75" customHeight="1">
      <c r="A226" s="163"/>
      <c r="B226" s="163"/>
      <c r="C226" s="163"/>
      <c r="D226" s="1"/>
      <c r="E226" s="163"/>
      <c r="F226" s="11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5"/>
      <c r="V226" s="165"/>
    </row>
    <row r="227" ht="12.75" customHeight="1">
      <c r="A227" s="163"/>
      <c r="B227" s="163"/>
      <c r="C227" s="163"/>
      <c r="D227" s="1"/>
      <c r="E227" s="163"/>
      <c r="F227" s="11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5"/>
      <c r="V227" s="165"/>
    </row>
    <row r="228" ht="12.75" customHeight="1">
      <c r="A228" s="163"/>
      <c r="B228" s="163"/>
      <c r="C228" s="163"/>
      <c r="D228" s="1"/>
      <c r="E228" s="163"/>
      <c r="F228" s="11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5"/>
      <c r="V228" s="165"/>
    </row>
    <row r="229" ht="12.75" customHeight="1">
      <c r="A229" s="163"/>
      <c r="B229" s="163"/>
      <c r="C229" s="163"/>
      <c r="D229" s="1"/>
      <c r="E229" s="163"/>
      <c r="F229" s="11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5"/>
      <c r="V229" s="165"/>
    </row>
    <row r="230" ht="12.75" customHeight="1">
      <c r="A230" s="163"/>
      <c r="B230" s="163"/>
      <c r="C230" s="163"/>
      <c r="D230" s="1"/>
      <c r="E230" s="163"/>
      <c r="F230" s="11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5"/>
      <c r="V230" s="165"/>
    </row>
    <row r="231" ht="12.75" customHeight="1">
      <c r="A231" s="163"/>
      <c r="B231" s="163"/>
      <c r="C231" s="163"/>
      <c r="D231" s="1"/>
      <c r="E231" s="163"/>
      <c r="F231" s="11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5"/>
      <c r="V231" s="165"/>
    </row>
    <row r="232" ht="12.75" customHeight="1">
      <c r="A232" s="163"/>
      <c r="B232" s="163"/>
      <c r="C232" s="163"/>
      <c r="D232" s="1"/>
      <c r="E232" s="163"/>
      <c r="F232" s="11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5"/>
      <c r="V232" s="165"/>
    </row>
    <row r="233" ht="12.75" customHeight="1">
      <c r="A233" s="163"/>
      <c r="B233" s="163"/>
      <c r="C233" s="163"/>
      <c r="D233" s="1"/>
      <c r="E233" s="163"/>
      <c r="F233" s="11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5"/>
      <c r="V233" s="165"/>
    </row>
    <row r="234" ht="12.75" customHeight="1">
      <c r="A234" s="163"/>
      <c r="B234" s="163"/>
      <c r="C234" s="163"/>
      <c r="D234" s="1"/>
      <c r="E234" s="163"/>
      <c r="F234" s="11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5"/>
      <c r="V234" s="165"/>
    </row>
    <row r="235" ht="12.75" customHeight="1">
      <c r="A235" s="163"/>
      <c r="B235" s="163"/>
      <c r="C235" s="163"/>
      <c r="D235" s="1"/>
      <c r="E235" s="163"/>
      <c r="F235" s="11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5"/>
      <c r="V235" s="165"/>
    </row>
    <row r="236" ht="12.75" customHeight="1">
      <c r="A236" s="163"/>
      <c r="B236" s="163"/>
      <c r="C236" s="163"/>
      <c r="D236" s="1"/>
      <c r="E236" s="163"/>
      <c r="F236" s="11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5"/>
      <c r="V236" s="165"/>
    </row>
    <row r="237" ht="12.75" customHeight="1">
      <c r="A237" s="163"/>
      <c r="B237" s="163"/>
      <c r="C237" s="163"/>
      <c r="D237" s="1"/>
      <c r="E237" s="163"/>
      <c r="F237" s="11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5"/>
      <c r="V237" s="165"/>
    </row>
    <row r="238" ht="12.75" customHeight="1">
      <c r="A238" s="163"/>
      <c r="B238" s="163"/>
      <c r="C238" s="163"/>
      <c r="D238" s="1"/>
      <c r="E238" s="163"/>
      <c r="F238" s="11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5"/>
      <c r="V238" s="165"/>
    </row>
    <row r="239" ht="12.75" customHeight="1">
      <c r="A239" s="163"/>
      <c r="B239" s="163"/>
      <c r="C239" s="163"/>
      <c r="D239" s="1"/>
      <c r="E239" s="163"/>
      <c r="F239" s="11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5"/>
      <c r="V239" s="165"/>
    </row>
    <row r="240" ht="12.75" customHeight="1">
      <c r="A240" s="163"/>
      <c r="B240" s="163"/>
      <c r="C240" s="163"/>
      <c r="D240" s="1"/>
      <c r="E240" s="163"/>
      <c r="F240" s="11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5"/>
      <c r="V240" s="165"/>
    </row>
    <row r="241" ht="12.75" customHeight="1">
      <c r="A241" s="163"/>
      <c r="B241" s="163"/>
      <c r="C241" s="163"/>
      <c r="D241" s="1"/>
      <c r="E241" s="163"/>
      <c r="F241" s="11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5"/>
      <c r="V241" s="165"/>
    </row>
    <row r="242" ht="12.75" customHeight="1">
      <c r="A242" s="163"/>
      <c r="B242" s="163"/>
      <c r="C242" s="163"/>
      <c r="D242" s="1"/>
      <c r="E242" s="163"/>
      <c r="F242" s="11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5"/>
      <c r="V242" s="165"/>
    </row>
    <row r="243" ht="12.75" customHeight="1">
      <c r="A243" s="163"/>
      <c r="B243" s="163"/>
      <c r="C243" s="163"/>
      <c r="D243" s="1"/>
      <c r="E243" s="163"/>
      <c r="F243" s="11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5"/>
      <c r="V243" s="165"/>
    </row>
    <row r="244" ht="12.75" customHeight="1">
      <c r="A244" s="163"/>
      <c r="B244" s="163"/>
      <c r="C244" s="163"/>
      <c r="D244" s="1"/>
      <c r="E244" s="163"/>
      <c r="F244" s="11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5"/>
      <c r="V244" s="165"/>
    </row>
    <row r="245" ht="12.75" customHeight="1">
      <c r="A245" s="163"/>
      <c r="B245" s="163"/>
      <c r="C245" s="163"/>
      <c r="D245" s="1"/>
      <c r="E245" s="163"/>
      <c r="F245" s="11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5"/>
      <c r="V245" s="165"/>
    </row>
    <row r="246" ht="12.75" customHeight="1">
      <c r="A246" s="163"/>
      <c r="B246" s="163"/>
      <c r="C246" s="163"/>
      <c r="D246" s="1"/>
      <c r="E246" s="163"/>
      <c r="F246" s="11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5"/>
      <c r="V246" s="165"/>
    </row>
    <row r="247" ht="12.75" customHeight="1">
      <c r="A247" s="163"/>
      <c r="B247" s="163"/>
      <c r="C247" s="163"/>
      <c r="D247" s="1"/>
      <c r="E247" s="163"/>
      <c r="F247" s="11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5"/>
      <c r="V247" s="165"/>
    </row>
    <row r="248" ht="12.75" customHeight="1">
      <c r="A248" s="163"/>
      <c r="B248" s="163"/>
      <c r="C248" s="163"/>
      <c r="D248" s="1"/>
      <c r="E248" s="163"/>
      <c r="F248" s="11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5"/>
      <c r="V248" s="165"/>
    </row>
    <row r="249" ht="12.75" customHeight="1">
      <c r="A249" s="163"/>
      <c r="B249" s="163"/>
      <c r="C249" s="163"/>
      <c r="D249" s="1"/>
      <c r="E249" s="163"/>
      <c r="F249" s="11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5"/>
      <c r="V249" s="165"/>
    </row>
    <row r="250" ht="12.75" customHeight="1">
      <c r="A250" s="163"/>
      <c r="B250" s="163"/>
      <c r="C250" s="163"/>
      <c r="D250" s="1"/>
      <c r="E250" s="163"/>
      <c r="F250" s="11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5"/>
      <c r="V250" s="165"/>
    </row>
    <row r="251" ht="12.75" customHeight="1">
      <c r="A251" s="163"/>
      <c r="B251" s="163"/>
      <c r="C251" s="163"/>
      <c r="D251" s="1"/>
      <c r="E251" s="163"/>
      <c r="F251" s="11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5"/>
      <c r="V251" s="165"/>
    </row>
    <row r="252" ht="12.75" customHeight="1">
      <c r="A252" s="163"/>
      <c r="B252" s="163"/>
      <c r="C252" s="163"/>
      <c r="D252" s="1"/>
      <c r="E252" s="163"/>
      <c r="F252" s="11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5"/>
      <c r="V252" s="165"/>
    </row>
    <row r="253" ht="12.75" customHeight="1">
      <c r="A253" s="163"/>
      <c r="B253" s="163"/>
      <c r="C253" s="163"/>
      <c r="D253" s="1"/>
      <c r="E253" s="163"/>
      <c r="F253" s="11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5"/>
      <c r="V253" s="165"/>
    </row>
    <row r="254" ht="12.75" customHeight="1">
      <c r="A254" s="163"/>
      <c r="B254" s="163"/>
      <c r="C254" s="163"/>
      <c r="D254" s="1"/>
      <c r="E254" s="163"/>
      <c r="F254" s="11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5"/>
      <c r="V254" s="165"/>
    </row>
    <row r="255" ht="12.75" customHeight="1">
      <c r="A255" s="163"/>
      <c r="B255" s="163"/>
      <c r="C255" s="163"/>
      <c r="D255" s="1"/>
      <c r="E255" s="163"/>
      <c r="F255" s="11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5"/>
      <c r="V255" s="165"/>
    </row>
    <row r="256" ht="12.75" customHeight="1">
      <c r="A256" s="163"/>
      <c r="B256" s="163"/>
      <c r="C256" s="163"/>
      <c r="D256" s="1"/>
      <c r="E256" s="163"/>
      <c r="F256" s="11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5"/>
      <c r="V256" s="165"/>
    </row>
    <row r="257" ht="12.75" customHeight="1">
      <c r="A257" s="163"/>
      <c r="B257" s="163"/>
      <c r="C257" s="163"/>
      <c r="D257" s="1"/>
      <c r="E257" s="163"/>
      <c r="F257" s="11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5"/>
      <c r="V257" s="165"/>
    </row>
    <row r="258" ht="12.75" customHeight="1">
      <c r="A258" s="163"/>
      <c r="B258" s="163"/>
      <c r="C258" s="163"/>
      <c r="D258" s="1"/>
      <c r="E258" s="163"/>
      <c r="F258" s="11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5"/>
      <c r="V258" s="165"/>
    </row>
    <row r="259" ht="12.75" customHeight="1">
      <c r="A259" s="163"/>
      <c r="B259" s="163"/>
      <c r="C259" s="163"/>
      <c r="D259" s="1"/>
      <c r="E259" s="163"/>
      <c r="F259" s="11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5"/>
      <c r="V259" s="165"/>
    </row>
    <row r="260" ht="12.75" customHeight="1">
      <c r="A260" s="163"/>
      <c r="B260" s="163"/>
      <c r="C260" s="163"/>
      <c r="D260" s="1"/>
      <c r="E260" s="163"/>
      <c r="F260" s="11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5"/>
      <c r="V260" s="165"/>
    </row>
    <row r="261" ht="12.75" customHeight="1">
      <c r="A261" s="163"/>
      <c r="B261" s="163"/>
      <c r="C261" s="163"/>
      <c r="D261" s="1"/>
      <c r="E261" s="163"/>
      <c r="F261" s="11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5"/>
      <c r="V261" s="165"/>
    </row>
    <row r="262" ht="12.75" customHeight="1">
      <c r="A262" s="163"/>
      <c r="B262" s="163"/>
      <c r="C262" s="163"/>
      <c r="D262" s="1"/>
      <c r="E262" s="163"/>
      <c r="F262" s="11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5"/>
      <c r="V262" s="165"/>
    </row>
    <row r="263" ht="12.75" customHeight="1">
      <c r="A263" s="163"/>
      <c r="B263" s="163"/>
      <c r="C263" s="163"/>
      <c r="D263" s="1"/>
      <c r="E263" s="163"/>
      <c r="F263" s="11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5"/>
      <c r="V263" s="165"/>
    </row>
    <row r="264" ht="12.75" customHeight="1">
      <c r="A264" s="163"/>
      <c r="B264" s="163"/>
      <c r="C264" s="163"/>
      <c r="D264" s="1"/>
      <c r="E264" s="163"/>
      <c r="F264" s="11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5"/>
      <c r="V264" s="165"/>
    </row>
    <row r="265" ht="12.75" customHeight="1">
      <c r="A265" s="163"/>
      <c r="B265" s="163"/>
      <c r="C265" s="163"/>
      <c r="D265" s="1"/>
      <c r="E265" s="163"/>
      <c r="F265" s="11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5"/>
      <c r="V265" s="165"/>
    </row>
    <row r="266" ht="12.75" customHeight="1">
      <c r="A266" s="163"/>
      <c r="B266" s="163"/>
      <c r="C266" s="163"/>
      <c r="D266" s="1"/>
      <c r="E266" s="163"/>
      <c r="F266" s="11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5"/>
      <c r="V266" s="165"/>
    </row>
    <row r="267" ht="12.75" customHeight="1">
      <c r="A267" s="163"/>
      <c r="B267" s="163"/>
      <c r="C267" s="163"/>
      <c r="D267" s="1"/>
      <c r="E267" s="163"/>
      <c r="F267" s="11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5"/>
      <c r="V267" s="165"/>
    </row>
    <row r="268" ht="12.75" customHeight="1">
      <c r="A268" s="163"/>
      <c r="B268" s="163"/>
      <c r="C268" s="163"/>
      <c r="D268" s="1"/>
      <c r="E268" s="163"/>
      <c r="F268" s="11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5"/>
      <c r="V268" s="165"/>
    </row>
    <row r="269" ht="12.75" customHeight="1">
      <c r="A269" s="163"/>
      <c r="B269" s="163"/>
      <c r="C269" s="163"/>
      <c r="D269" s="1"/>
      <c r="E269" s="163"/>
      <c r="F269" s="11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5"/>
      <c r="V269" s="165"/>
    </row>
    <row r="270" ht="12.75" customHeight="1">
      <c r="A270" s="163"/>
      <c r="B270" s="163"/>
      <c r="C270" s="163"/>
      <c r="D270" s="1"/>
      <c r="E270" s="163"/>
      <c r="F270" s="11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5"/>
      <c r="V270" s="165"/>
    </row>
    <row r="271" ht="12.75" customHeight="1">
      <c r="A271" s="163"/>
      <c r="B271" s="163"/>
      <c r="C271" s="163"/>
      <c r="D271" s="1"/>
      <c r="E271" s="163"/>
      <c r="F271" s="11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5"/>
      <c r="V271" s="165"/>
    </row>
    <row r="272" ht="12.75" customHeight="1">
      <c r="A272" s="163"/>
      <c r="B272" s="163"/>
      <c r="C272" s="163"/>
      <c r="D272" s="1"/>
      <c r="E272" s="163"/>
      <c r="F272" s="11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5"/>
      <c r="V272" s="165"/>
    </row>
    <row r="273" ht="12.75" customHeight="1">
      <c r="A273" s="163"/>
      <c r="B273" s="163"/>
      <c r="C273" s="163"/>
      <c r="D273" s="1"/>
      <c r="E273" s="163"/>
      <c r="F273" s="11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5"/>
      <c r="V273" s="165"/>
    </row>
    <row r="274" ht="12.75" customHeight="1">
      <c r="A274" s="163"/>
      <c r="B274" s="163"/>
      <c r="C274" s="163"/>
      <c r="D274" s="1"/>
      <c r="E274" s="163"/>
      <c r="F274" s="11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5"/>
      <c r="V274" s="165"/>
    </row>
    <row r="275" ht="12.75" customHeight="1">
      <c r="A275" s="163"/>
      <c r="B275" s="163"/>
      <c r="C275" s="163"/>
      <c r="D275" s="1"/>
      <c r="E275" s="163"/>
      <c r="F275" s="11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5"/>
      <c r="V275" s="165"/>
    </row>
    <row r="276" ht="12.75" customHeight="1">
      <c r="A276" s="163"/>
      <c r="B276" s="163"/>
      <c r="C276" s="163"/>
      <c r="D276" s="1"/>
      <c r="E276" s="163"/>
      <c r="F276" s="11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5"/>
      <c r="V276" s="165"/>
    </row>
    <row r="277" ht="12.75" customHeight="1">
      <c r="A277" s="163"/>
      <c r="B277" s="163"/>
      <c r="C277" s="163"/>
      <c r="D277" s="1"/>
      <c r="E277" s="163"/>
      <c r="F277" s="11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5"/>
      <c r="V277" s="165"/>
    </row>
    <row r="278" ht="12.75" customHeight="1">
      <c r="A278" s="163"/>
      <c r="B278" s="163"/>
      <c r="C278" s="163"/>
      <c r="D278" s="1"/>
      <c r="E278" s="163"/>
      <c r="F278" s="11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5"/>
      <c r="V278" s="165"/>
    </row>
    <row r="279" ht="12.75" customHeight="1">
      <c r="A279" s="163"/>
      <c r="B279" s="163"/>
      <c r="C279" s="163"/>
      <c r="D279" s="1"/>
      <c r="E279" s="163"/>
      <c r="F279" s="11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5"/>
      <c r="V279" s="165"/>
    </row>
    <row r="280" ht="12.75" customHeight="1">
      <c r="A280" s="163"/>
      <c r="B280" s="163"/>
      <c r="C280" s="163"/>
      <c r="D280" s="1"/>
      <c r="E280" s="163"/>
      <c r="F280" s="11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5"/>
      <c r="V280" s="165"/>
    </row>
    <row r="281" ht="12.75" customHeight="1">
      <c r="A281" s="163"/>
      <c r="B281" s="163"/>
      <c r="C281" s="163"/>
      <c r="D281" s="1"/>
      <c r="E281" s="163"/>
      <c r="F281" s="11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5"/>
      <c r="V281" s="165"/>
    </row>
    <row r="282" ht="12.75" customHeight="1">
      <c r="A282" s="163"/>
      <c r="B282" s="163"/>
      <c r="C282" s="163"/>
      <c r="D282" s="1"/>
      <c r="E282" s="163"/>
      <c r="F282" s="11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5"/>
      <c r="V282" s="165"/>
    </row>
    <row r="283" ht="12.75" customHeight="1">
      <c r="A283" s="163"/>
      <c r="B283" s="163"/>
      <c r="C283" s="163"/>
      <c r="D283" s="1"/>
      <c r="E283" s="163"/>
      <c r="F283" s="11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5"/>
      <c r="V283" s="165"/>
    </row>
    <row r="284" ht="12.75" customHeight="1">
      <c r="A284" s="163"/>
      <c r="B284" s="163"/>
      <c r="C284" s="163"/>
      <c r="D284" s="1"/>
      <c r="E284" s="163"/>
      <c r="F284" s="11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5"/>
      <c r="V284" s="165"/>
    </row>
    <row r="285" ht="12.75" customHeight="1">
      <c r="A285" s="163"/>
      <c r="B285" s="163"/>
      <c r="C285" s="163"/>
      <c r="D285" s="1"/>
      <c r="E285" s="163"/>
      <c r="F285" s="11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5"/>
      <c r="V285" s="165"/>
    </row>
    <row r="286" ht="12.75" customHeight="1">
      <c r="A286" s="163"/>
      <c r="B286" s="163"/>
      <c r="C286" s="163"/>
      <c r="D286" s="1"/>
      <c r="E286" s="163"/>
      <c r="F286" s="11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5"/>
      <c r="V286" s="165"/>
    </row>
    <row r="287" ht="12.75" customHeight="1">
      <c r="A287" s="163"/>
      <c r="B287" s="163"/>
      <c r="C287" s="163"/>
      <c r="D287" s="1"/>
      <c r="E287" s="163"/>
      <c r="F287" s="11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5"/>
      <c r="V287" s="165"/>
    </row>
    <row r="288" ht="12.75" customHeight="1">
      <c r="A288" s="163"/>
      <c r="B288" s="163"/>
      <c r="C288" s="163"/>
      <c r="D288" s="1"/>
      <c r="E288" s="163"/>
      <c r="F288" s="11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5"/>
      <c r="V288" s="165"/>
    </row>
    <row r="289" ht="12.75" customHeight="1">
      <c r="A289" s="163"/>
      <c r="B289" s="163"/>
      <c r="C289" s="163"/>
      <c r="D289" s="1"/>
      <c r="E289" s="163"/>
      <c r="F289" s="11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5"/>
      <c r="V289" s="165"/>
    </row>
    <row r="290" ht="12.75" customHeight="1">
      <c r="A290" s="163"/>
      <c r="B290" s="163"/>
      <c r="C290" s="163"/>
      <c r="D290" s="1"/>
      <c r="E290" s="163"/>
      <c r="F290" s="11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5"/>
      <c r="V290" s="165"/>
    </row>
    <row r="291" ht="12.75" customHeight="1">
      <c r="A291" s="163"/>
      <c r="B291" s="163"/>
      <c r="C291" s="163"/>
      <c r="D291" s="1"/>
      <c r="E291" s="163"/>
      <c r="F291" s="11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5"/>
      <c r="V291" s="165"/>
    </row>
    <row r="292" ht="12.75" customHeight="1">
      <c r="A292" s="163"/>
      <c r="B292" s="163"/>
      <c r="C292" s="163"/>
      <c r="D292" s="1"/>
      <c r="E292" s="163"/>
      <c r="F292" s="11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5"/>
      <c r="V292" s="165"/>
    </row>
    <row r="293" ht="12.75" customHeight="1">
      <c r="A293" s="163"/>
      <c r="B293" s="163"/>
      <c r="C293" s="163"/>
      <c r="D293" s="1"/>
      <c r="E293" s="163"/>
      <c r="F293" s="11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5"/>
      <c r="V293" s="165"/>
    </row>
    <row r="294" ht="12.75" customHeight="1">
      <c r="A294" s="163"/>
      <c r="B294" s="163"/>
      <c r="C294" s="163"/>
      <c r="D294" s="1"/>
      <c r="E294" s="163"/>
      <c r="F294" s="11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5"/>
      <c r="V294" s="165"/>
    </row>
    <row r="295" ht="12.75" customHeight="1">
      <c r="A295" s="163"/>
      <c r="B295" s="163"/>
      <c r="C295" s="163"/>
      <c r="D295" s="1"/>
      <c r="E295" s="163"/>
      <c r="F295" s="11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5"/>
      <c r="V295" s="165"/>
    </row>
    <row r="296" ht="12.75" customHeight="1">
      <c r="A296" s="163"/>
      <c r="B296" s="163"/>
      <c r="C296" s="163"/>
      <c r="D296" s="1"/>
      <c r="E296" s="163"/>
      <c r="F296" s="11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5"/>
      <c r="V296" s="165"/>
    </row>
    <row r="297" ht="12.75" customHeight="1">
      <c r="A297" s="163"/>
      <c r="B297" s="163"/>
      <c r="C297" s="163"/>
      <c r="D297" s="1"/>
      <c r="E297" s="163"/>
      <c r="F297" s="11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5"/>
      <c r="V297" s="165"/>
    </row>
    <row r="298" ht="12.75" customHeight="1">
      <c r="A298" s="163"/>
      <c r="B298" s="163"/>
      <c r="C298" s="163"/>
      <c r="D298" s="1"/>
      <c r="E298" s="163"/>
      <c r="F298" s="11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5"/>
      <c r="V298" s="165"/>
    </row>
    <row r="299" ht="12.75" customHeight="1">
      <c r="A299" s="163"/>
      <c r="B299" s="163"/>
      <c r="C299" s="163"/>
      <c r="D299" s="1"/>
      <c r="E299" s="163"/>
      <c r="F299" s="11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5"/>
      <c r="V299" s="165"/>
    </row>
    <row r="300" ht="12.75" customHeight="1">
      <c r="A300" s="163"/>
      <c r="B300" s="163"/>
      <c r="C300" s="163"/>
      <c r="D300" s="1"/>
      <c r="E300" s="163"/>
      <c r="F300" s="11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5"/>
      <c r="V300" s="165"/>
    </row>
    <row r="301" ht="12.75" customHeight="1">
      <c r="A301" s="163"/>
      <c r="B301" s="163"/>
      <c r="C301" s="163"/>
      <c r="D301" s="1"/>
      <c r="E301" s="163"/>
      <c r="F301" s="11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5"/>
      <c r="V301" s="165"/>
    </row>
    <row r="302" ht="12.75" customHeight="1">
      <c r="A302" s="163"/>
      <c r="B302" s="163"/>
      <c r="C302" s="163"/>
      <c r="D302" s="1"/>
      <c r="E302" s="163"/>
      <c r="F302" s="11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5"/>
      <c r="V302" s="165"/>
    </row>
    <row r="303" ht="12.75" customHeight="1">
      <c r="A303" s="163"/>
      <c r="B303" s="163"/>
      <c r="C303" s="163"/>
      <c r="D303" s="1"/>
      <c r="E303" s="163"/>
      <c r="F303" s="11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5"/>
      <c r="V303" s="165"/>
    </row>
    <row r="304" ht="12.75" customHeight="1">
      <c r="A304" s="163"/>
      <c r="B304" s="163"/>
      <c r="C304" s="163"/>
      <c r="D304" s="1"/>
      <c r="E304" s="163"/>
      <c r="F304" s="11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5"/>
      <c r="V304" s="165"/>
    </row>
    <row r="305" ht="12.75" customHeight="1">
      <c r="A305" s="163"/>
      <c r="B305" s="163"/>
      <c r="C305" s="163"/>
      <c r="D305" s="1"/>
      <c r="E305" s="163"/>
      <c r="F305" s="11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5"/>
      <c r="V305" s="165"/>
    </row>
    <row r="306" ht="12.75" customHeight="1">
      <c r="A306" s="163"/>
      <c r="B306" s="163"/>
      <c r="C306" s="163"/>
      <c r="D306" s="1"/>
      <c r="E306" s="163"/>
      <c r="F306" s="11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5"/>
      <c r="V306" s="165"/>
    </row>
    <row r="307" ht="12.75" customHeight="1">
      <c r="A307" s="163"/>
      <c r="B307" s="163"/>
      <c r="C307" s="163"/>
      <c r="D307" s="1"/>
      <c r="E307" s="163"/>
      <c r="F307" s="11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5"/>
      <c r="V307" s="165"/>
    </row>
    <row r="308" ht="12.75" customHeight="1">
      <c r="A308" s="163"/>
      <c r="B308" s="163"/>
      <c r="C308" s="163"/>
      <c r="D308" s="1"/>
      <c r="E308" s="163"/>
      <c r="F308" s="11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5"/>
      <c r="V308" s="165"/>
    </row>
    <row r="309" ht="12.75" customHeight="1">
      <c r="A309" s="163"/>
      <c r="B309" s="163"/>
      <c r="C309" s="163"/>
      <c r="D309" s="1"/>
      <c r="E309" s="163"/>
      <c r="F309" s="11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5"/>
      <c r="V309" s="165"/>
    </row>
    <row r="310" ht="12.75" customHeight="1">
      <c r="A310" s="163"/>
      <c r="B310" s="163"/>
      <c r="C310" s="163"/>
      <c r="D310" s="1"/>
      <c r="E310" s="163"/>
      <c r="F310" s="11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5"/>
      <c r="V310" s="165"/>
    </row>
    <row r="311" ht="12.75" customHeight="1">
      <c r="A311" s="163"/>
      <c r="B311" s="163"/>
      <c r="C311" s="163"/>
      <c r="D311" s="1"/>
      <c r="E311" s="163"/>
      <c r="F311" s="11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5"/>
      <c r="V311" s="165"/>
    </row>
    <row r="312" ht="12.75" customHeight="1">
      <c r="A312" s="163"/>
      <c r="B312" s="163"/>
      <c r="C312" s="163"/>
      <c r="D312" s="1"/>
      <c r="E312" s="163"/>
      <c r="F312" s="11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5"/>
      <c r="V312" s="165"/>
    </row>
    <row r="313" ht="12.75" customHeight="1">
      <c r="A313" s="163"/>
      <c r="B313" s="163"/>
      <c r="C313" s="163"/>
      <c r="D313" s="1"/>
      <c r="E313" s="163"/>
      <c r="F313" s="11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5"/>
      <c r="V313" s="165"/>
    </row>
    <row r="314" ht="12.75" customHeight="1">
      <c r="A314" s="163"/>
      <c r="B314" s="163"/>
      <c r="C314" s="163"/>
      <c r="D314" s="1"/>
      <c r="E314" s="163"/>
      <c r="F314" s="11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5"/>
      <c r="V314" s="165"/>
    </row>
    <row r="315" ht="12.75" customHeight="1">
      <c r="A315" s="163"/>
      <c r="B315" s="163"/>
      <c r="C315" s="163"/>
      <c r="D315" s="1"/>
      <c r="E315" s="163"/>
      <c r="F315" s="11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5"/>
      <c r="V315" s="165"/>
    </row>
    <row r="316" ht="12.75" customHeight="1">
      <c r="A316" s="163"/>
      <c r="B316" s="163"/>
      <c r="C316" s="163"/>
      <c r="D316" s="1"/>
      <c r="E316" s="163"/>
      <c r="F316" s="11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5"/>
      <c r="V316" s="165"/>
    </row>
    <row r="317" ht="12.75" customHeight="1">
      <c r="A317" s="163"/>
      <c r="B317" s="163"/>
      <c r="C317" s="163"/>
      <c r="D317" s="1"/>
      <c r="E317" s="163"/>
      <c r="F317" s="11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5"/>
      <c r="V317" s="165"/>
    </row>
    <row r="318" ht="12.75" customHeight="1">
      <c r="A318" s="163"/>
      <c r="B318" s="163"/>
      <c r="C318" s="163"/>
      <c r="D318" s="1"/>
      <c r="E318" s="163"/>
      <c r="F318" s="11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5"/>
      <c r="V318" s="165"/>
    </row>
    <row r="319" ht="12.75" customHeight="1">
      <c r="A319" s="163"/>
      <c r="B319" s="163"/>
      <c r="C319" s="163"/>
      <c r="D319" s="1"/>
      <c r="E319" s="163"/>
      <c r="F319" s="11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5"/>
      <c r="V319" s="165"/>
    </row>
    <row r="320" ht="12.75" customHeight="1">
      <c r="A320" s="163"/>
      <c r="B320" s="163"/>
      <c r="C320" s="163"/>
      <c r="D320" s="1"/>
      <c r="E320" s="163"/>
      <c r="F320" s="11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5"/>
      <c r="V320" s="165"/>
    </row>
    <row r="321" ht="12.75" customHeight="1">
      <c r="A321" s="163"/>
      <c r="B321" s="163"/>
      <c r="C321" s="163"/>
      <c r="D321" s="1"/>
      <c r="E321" s="163"/>
      <c r="F321" s="11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5"/>
      <c r="V321" s="165"/>
    </row>
    <row r="322" ht="12.75" customHeight="1">
      <c r="A322" s="163"/>
      <c r="B322" s="163"/>
      <c r="C322" s="163"/>
      <c r="D322" s="1"/>
      <c r="E322" s="163"/>
      <c r="F322" s="11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5"/>
      <c r="V322" s="165"/>
    </row>
    <row r="323" ht="12.75" customHeight="1">
      <c r="A323" s="163"/>
      <c r="B323" s="163"/>
      <c r="C323" s="163"/>
      <c r="D323" s="1"/>
      <c r="E323" s="163"/>
      <c r="F323" s="11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5"/>
      <c r="V323" s="165"/>
    </row>
    <row r="324" ht="12.75" customHeight="1">
      <c r="A324" s="163"/>
      <c r="B324" s="163"/>
      <c r="C324" s="163"/>
      <c r="D324" s="1"/>
      <c r="E324" s="163"/>
      <c r="F324" s="11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5"/>
      <c r="V324" s="165"/>
    </row>
    <row r="325" ht="12.75" customHeight="1">
      <c r="A325" s="163"/>
      <c r="B325" s="163"/>
      <c r="C325" s="163"/>
      <c r="D325" s="1"/>
      <c r="E325" s="163"/>
      <c r="F325" s="11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5"/>
      <c r="V325" s="165"/>
    </row>
    <row r="326" ht="12.75" customHeight="1">
      <c r="A326" s="163"/>
      <c r="B326" s="163"/>
      <c r="C326" s="163"/>
      <c r="D326" s="1"/>
      <c r="E326" s="163"/>
      <c r="F326" s="11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5"/>
      <c r="V326" s="165"/>
    </row>
    <row r="327" ht="12.75" customHeight="1">
      <c r="A327" s="163"/>
      <c r="B327" s="163"/>
      <c r="C327" s="163"/>
      <c r="D327" s="1"/>
      <c r="E327" s="163"/>
      <c r="F327" s="11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5"/>
      <c r="V327" s="165"/>
    </row>
    <row r="328" ht="12.75" customHeight="1">
      <c r="A328" s="163"/>
      <c r="B328" s="163"/>
      <c r="C328" s="163"/>
      <c r="D328" s="1"/>
      <c r="E328" s="163"/>
      <c r="F328" s="11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5"/>
      <c r="V328" s="165"/>
    </row>
    <row r="329" ht="12.75" customHeight="1">
      <c r="A329" s="163"/>
      <c r="B329" s="163"/>
      <c r="C329" s="163"/>
      <c r="D329" s="1"/>
      <c r="E329" s="163"/>
      <c r="F329" s="11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5"/>
      <c r="V329" s="165"/>
    </row>
    <row r="330" ht="12.75" customHeight="1">
      <c r="A330" s="163"/>
      <c r="B330" s="163"/>
      <c r="C330" s="163"/>
      <c r="D330" s="1"/>
      <c r="E330" s="163"/>
      <c r="F330" s="11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5"/>
      <c r="V330" s="165"/>
    </row>
    <row r="331" ht="12.75" customHeight="1">
      <c r="A331" s="163"/>
      <c r="B331" s="163"/>
      <c r="C331" s="163"/>
      <c r="D331" s="1"/>
      <c r="E331" s="163"/>
      <c r="F331" s="11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5"/>
      <c r="V331" s="165"/>
    </row>
    <row r="332" ht="12.75" customHeight="1">
      <c r="A332" s="163"/>
      <c r="B332" s="163"/>
      <c r="C332" s="163"/>
      <c r="D332" s="1"/>
      <c r="E332" s="163"/>
      <c r="F332" s="11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5"/>
      <c r="V332" s="165"/>
    </row>
    <row r="333" ht="12.75" customHeight="1">
      <c r="A333" s="163"/>
      <c r="B333" s="163"/>
      <c r="C333" s="163"/>
      <c r="D333" s="1"/>
      <c r="E333" s="163"/>
      <c r="F333" s="11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5"/>
      <c r="V333" s="165"/>
    </row>
    <row r="334" ht="12.75" customHeight="1">
      <c r="A334" s="163"/>
      <c r="B334" s="163"/>
      <c r="C334" s="163"/>
      <c r="D334" s="1"/>
      <c r="E334" s="163"/>
      <c r="F334" s="11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5"/>
      <c r="V334" s="165"/>
    </row>
    <row r="335" ht="12.75" customHeight="1">
      <c r="A335" s="163"/>
      <c r="B335" s="163"/>
      <c r="C335" s="163"/>
      <c r="D335" s="1"/>
      <c r="E335" s="163"/>
      <c r="F335" s="11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5"/>
      <c r="V335" s="165"/>
    </row>
    <row r="336" ht="12.75" customHeight="1">
      <c r="A336" s="163"/>
      <c r="B336" s="163"/>
      <c r="C336" s="163"/>
      <c r="D336" s="1"/>
      <c r="E336" s="163"/>
      <c r="F336" s="11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5"/>
      <c r="V336" s="165"/>
    </row>
    <row r="337" ht="12.75" customHeight="1">
      <c r="A337" s="163"/>
      <c r="B337" s="163"/>
      <c r="C337" s="163"/>
      <c r="D337" s="1"/>
      <c r="E337" s="163"/>
      <c r="F337" s="11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5"/>
      <c r="V337" s="165"/>
    </row>
    <row r="338" ht="12.75" customHeight="1">
      <c r="A338" s="163"/>
      <c r="B338" s="163"/>
      <c r="C338" s="163"/>
      <c r="D338" s="1"/>
      <c r="E338" s="163"/>
      <c r="F338" s="11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5"/>
      <c r="V338" s="165"/>
    </row>
    <row r="339" ht="12.75" customHeight="1">
      <c r="A339" s="163"/>
      <c r="B339" s="163"/>
      <c r="C339" s="163"/>
      <c r="D339" s="1"/>
      <c r="E339" s="163"/>
      <c r="F339" s="11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5"/>
      <c r="V339" s="165"/>
    </row>
    <row r="340" ht="12.75" customHeight="1">
      <c r="A340" s="163"/>
      <c r="B340" s="163"/>
      <c r="C340" s="163"/>
      <c r="D340" s="1"/>
      <c r="E340" s="163"/>
      <c r="F340" s="11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5"/>
      <c r="V340" s="165"/>
    </row>
    <row r="341" ht="12.75" customHeight="1">
      <c r="A341" s="163"/>
      <c r="B341" s="163"/>
      <c r="C341" s="163"/>
      <c r="D341" s="1"/>
      <c r="E341" s="163"/>
      <c r="F341" s="11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5"/>
      <c r="V341" s="165"/>
    </row>
    <row r="342" ht="12.75" customHeight="1">
      <c r="A342" s="163"/>
      <c r="B342" s="163"/>
      <c r="C342" s="163"/>
      <c r="D342" s="1"/>
      <c r="E342" s="163"/>
      <c r="F342" s="11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5"/>
      <c r="V342" s="165"/>
    </row>
    <row r="343" ht="12.75" customHeight="1">
      <c r="A343" s="163"/>
      <c r="B343" s="163"/>
      <c r="C343" s="163"/>
      <c r="D343" s="1"/>
      <c r="E343" s="163"/>
      <c r="F343" s="11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5"/>
      <c r="V343" s="165"/>
    </row>
    <row r="344" ht="12.75" customHeight="1">
      <c r="A344" s="163"/>
      <c r="B344" s="163"/>
      <c r="C344" s="163"/>
      <c r="D344" s="1"/>
      <c r="E344" s="163"/>
      <c r="F344" s="11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5"/>
      <c r="V344" s="165"/>
    </row>
    <row r="345" ht="12.75" customHeight="1">
      <c r="A345" s="163"/>
      <c r="B345" s="163"/>
      <c r="C345" s="163"/>
      <c r="D345" s="1"/>
      <c r="E345" s="163"/>
      <c r="F345" s="11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5"/>
      <c r="V345" s="165"/>
    </row>
    <row r="346" ht="12.75" customHeight="1">
      <c r="A346" s="163"/>
      <c r="B346" s="163"/>
      <c r="C346" s="163"/>
      <c r="D346" s="1"/>
      <c r="E346" s="163"/>
      <c r="F346" s="11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5"/>
      <c r="V346" s="165"/>
    </row>
    <row r="347" ht="12.75" customHeight="1">
      <c r="A347" s="163"/>
      <c r="B347" s="163"/>
      <c r="C347" s="163"/>
      <c r="D347" s="1"/>
      <c r="E347" s="163"/>
      <c r="F347" s="11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5"/>
      <c r="V347" s="165"/>
    </row>
    <row r="348" ht="12.75" customHeight="1">
      <c r="A348" s="163"/>
      <c r="B348" s="163"/>
      <c r="C348" s="163"/>
      <c r="D348" s="1"/>
      <c r="E348" s="163"/>
      <c r="F348" s="11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5"/>
      <c r="V348" s="165"/>
    </row>
    <row r="349" ht="12.75" customHeight="1">
      <c r="A349" s="163"/>
      <c r="B349" s="163"/>
      <c r="C349" s="163"/>
      <c r="D349" s="1"/>
      <c r="E349" s="163"/>
      <c r="F349" s="11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5"/>
      <c r="V349" s="165"/>
    </row>
    <row r="350" ht="12.75" customHeight="1">
      <c r="A350" s="163"/>
      <c r="B350" s="163"/>
      <c r="C350" s="163"/>
      <c r="D350" s="1"/>
      <c r="E350" s="163"/>
      <c r="F350" s="11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5"/>
      <c r="V350" s="165"/>
    </row>
    <row r="351" ht="12.75" customHeight="1">
      <c r="A351" s="163"/>
      <c r="B351" s="163"/>
      <c r="C351" s="163"/>
      <c r="D351" s="1"/>
      <c r="E351" s="163"/>
      <c r="F351" s="11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5"/>
      <c r="V351" s="165"/>
    </row>
    <row r="352" ht="12.75" customHeight="1">
      <c r="A352" s="163"/>
      <c r="B352" s="163"/>
      <c r="C352" s="163"/>
      <c r="D352" s="1"/>
      <c r="E352" s="163"/>
      <c r="F352" s="11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5"/>
      <c r="V352" s="165"/>
    </row>
    <row r="353" ht="12.75" customHeight="1">
      <c r="A353" s="163"/>
      <c r="B353" s="163"/>
      <c r="C353" s="163"/>
      <c r="D353" s="1"/>
      <c r="E353" s="163"/>
      <c r="F353" s="11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5"/>
      <c r="V353" s="165"/>
    </row>
    <row r="354" ht="12.75" customHeight="1">
      <c r="A354" s="163"/>
      <c r="B354" s="163"/>
      <c r="C354" s="163"/>
      <c r="D354" s="1"/>
      <c r="E354" s="163"/>
      <c r="F354" s="11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5"/>
      <c r="V354" s="165"/>
    </row>
    <row r="355" ht="12.75" customHeight="1">
      <c r="A355" s="163"/>
      <c r="B355" s="163"/>
      <c r="C355" s="163"/>
      <c r="D355" s="1"/>
      <c r="E355" s="163"/>
      <c r="F355" s="11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5"/>
      <c r="V355" s="165"/>
    </row>
    <row r="356" ht="12.75" customHeight="1">
      <c r="A356" s="163"/>
      <c r="B356" s="163"/>
      <c r="C356" s="163"/>
      <c r="D356" s="1"/>
      <c r="E356" s="163"/>
      <c r="F356" s="11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5"/>
      <c r="V356" s="165"/>
    </row>
    <row r="357" ht="12.75" customHeight="1">
      <c r="A357" s="163"/>
      <c r="B357" s="163"/>
      <c r="C357" s="163"/>
      <c r="D357" s="1"/>
      <c r="E357" s="163"/>
      <c r="F357" s="11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5"/>
      <c r="V357" s="165"/>
    </row>
    <row r="358" ht="12.75" customHeight="1">
      <c r="A358" s="163"/>
      <c r="B358" s="163"/>
      <c r="C358" s="163"/>
      <c r="D358" s="1"/>
      <c r="E358" s="163"/>
      <c r="F358" s="11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5"/>
      <c r="V358" s="165"/>
    </row>
    <row r="359" ht="12.75" customHeight="1">
      <c r="A359" s="163"/>
      <c r="B359" s="163"/>
      <c r="C359" s="163"/>
      <c r="D359" s="1"/>
      <c r="E359" s="163"/>
      <c r="F359" s="11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5"/>
      <c r="V359" s="165"/>
    </row>
    <row r="360" ht="12.75" customHeight="1">
      <c r="A360" s="163"/>
      <c r="B360" s="163"/>
      <c r="C360" s="163"/>
      <c r="D360" s="1"/>
      <c r="E360" s="163"/>
      <c r="F360" s="11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5"/>
      <c r="V360" s="165"/>
    </row>
    <row r="361" ht="12.75" customHeight="1">
      <c r="A361" s="163"/>
      <c r="B361" s="163"/>
      <c r="C361" s="163"/>
      <c r="D361" s="1"/>
      <c r="E361" s="163"/>
      <c r="F361" s="11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5"/>
      <c r="V361" s="165"/>
    </row>
    <row r="362" ht="12.75" customHeight="1">
      <c r="A362" s="163"/>
      <c r="B362" s="163"/>
      <c r="C362" s="163"/>
      <c r="D362" s="1"/>
      <c r="E362" s="163"/>
      <c r="F362" s="11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5"/>
      <c r="V362" s="165"/>
    </row>
    <row r="363" ht="12.75" customHeight="1">
      <c r="A363" s="163"/>
      <c r="B363" s="163"/>
      <c r="C363" s="163"/>
      <c r="D363" s="1"/>
      <c r="E363" s="163"/>
      <c r="F363" s="11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5"/>
      <c r="V363" s="165"/>
    </row>
    <row r="364" ht="12.75" customHeight="1">
      <c r="A364" s="163"/>
      <c r="B364" s="163"/>
      <c r="C364" s="163"/>
      <c r="D364" s="1"/>
      <c r="E364" s="163"/>
      <c r="F364" s="11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5"/>
      <c r="V364" s="165"/>
    </row>
    <row r="365" ht="12.75" customHeight="1">
      <c r="A365" s="163"/>
      <c r="B365" s="163"/>
      <c r="C365" s="163"/>
      <c r="D365" s="1"/>
      <c r="E365" s="163"/>
      <c r="F365" s="11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5"/>
      <c r="V365" s="165"/>
    </row>
    <row r="366" ht="12.75" customHeight="1">
      <c r="A366" s="163"/>
      <c r="B366" s="163"/>
      <c r="C366" s="163"/>
      <c r="D366" s="1"/>
      <c r="E366" s="163"/>
      <c r="F366" s="11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5"/>
      <c r="V366" s="165"/>
    </row>
    <row r="367" ht="12.75" customHeight="1">
      <c r="A367" s="163"/>
      <c r="B367" s="163"/>
      <c r="C367" s="163"/>
      <c r="D367" s="1"/>
      <c r="E367" s="163"/>
      <c r="F367" s="11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5"/>
      <c r="V367" s="165"/>
    </row>
    <row r="368" ht="12.75" customHeight="1">
      <c r="A368" s="163"/>
      <c r="B368" s="163"/>
      <c r="C368" s="163"/>
      <c r="D368" s="1"/>
      <c r="E368" s="163"/>
      <c r="F368" s="11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5"/>
      <c r="V368" s="165"/>
    </row>
    <row r="369" ht="12.75" customHeight="1">
      <c r="A369" s="163"/>
      <c r="B369" s="163"/>
      <c r="C369" s="163"/>
      <c r="D369" s="1"/>
      <c r="E369" s="163"/>
      <c r="F369" s="11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5"/>
      <c r="V369" s="165"/>
    </row>
    <row r="370" ht="12.75" customHeight="1">
      <c r="A370" s="163"/>
      <c r="B370" s="163"/>
      <c r="C370" s="163"/>
      <c r="D370" s="1"/>
      <c r="E370" s="163"/>
      <c r="F370" s="11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5"/>
      <c r="V370" s="165"/>
    </row>
    <row r="371" ht="12.75" customHeight="1">
      <c r="A371" s="163"/>
      <c r="B371" s="163"/>
      <c r="C371" s="163"/>
      <c r="D371" s="1"/>
      <c r="E371" s="163"/>
      <c r="F371" s="11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5"/>
      <c r="V371" s="165"/>
    </row>
    <row r="372" ht="12.75" customHeight="1">
      <c r="A372" s="163"/>
      <c r="B372" s="163"/>
      <c r="C372" s="163"/>
      <c r="D372" s="1"/>
      <c r="E372" s="163"/>
      <c r="F372" s="11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5"/>
      <c r="V372" s="165"/>
    </row>
    <row r="373" ht="12.75" customHeight="1">
      <c r="A373" s="163"/>
      <c r="B373" s="163"/>
      <c r="C373" s="163"/>
      <c r="D373" s="1"/>
      <c r="E373" s="163"/>
      <c r="F373" s="11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5"/>
      <c r="V373" s="165"/>
    </row>
    <row r="374" ht="12.75" customHeight="1">
      <c r="A374" s="163"/>
      <c r="B374" s="163"/>
      <c r="C374" s="163"/>
      <c r="D374" s="1"/>
      <c r="E374" s="163"/>
      <c r="F374" s="11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5"/>
      <c r="V374" s="165"/>
    </row>
    <row r="375" ht="12.75" customHeight="1">
      <c r="A375" s="163"/>
      <c r="B375" s="163"/>
      <c r="C375" s="163"/>
      <c r="D375" s="1"/>
      <c r="E375" s="163"/>
      <c r="F375" s="11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5"/>
      <c r="V375" s="165"/>
    </row>
    <row r="376" ht="12.75" customHeight="1">
      <c r="A376" s="163"/>
      <c r="B376" s="163"/>
      <c r="C376" s="163"/>
      <c r="D376" s="1"/>
      <c r="E376" s="163"/>
      <c r="F376" s="11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5"/>
      <c r="V376" s="165"/>
    </row>
    <row r="377" ht="12.75" customHeight="1">
      <c r="A377" s="163"/>
      <c r="B377" s="163"/>
      <c r="C377" s="163"/>
      <c r="D377" s="1"/>
      <c r="E377" s="163"/>
      <c r="F377" s="11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5"/>
      <c r="V377" s="165"/>
    </row>
    <row r="378" ht="12.75" customHeight="1">
      <c r="A378" s="163"/>
      <c r="B378" s="163"/>
      <c r="C378" s="163"/>
      <c r="D378" s="1"/>
      <c r="E378" s="163"/>
      <c r="F378" s="11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5"/>
      <c r="V378" s="165"/>
    </row>
    <row r="379" ht="12.75" customHeight="1">
      <c r="A379" s="163"/>
      <c r="B379" s="163"/>
      <c r="C379" s="163"/>
      <c r="D379" s="1"/>
      <c r="E379" s="163"/>
      <c r="F379" s="11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5"/>
      <c r="V379" s="165"/>
    </row>
    <row r="380" ht="12.75" customHeight="1">
      <c r="A380" s="163"/>
      <c r="B380" s="163"/>
      <c r="C380" s="163"/>
      <c r="D380" s="1"/>
      <c r="E380" s="163"/>
      <c r="F380" s="11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5"/>
      <c r="V380" s="165"/>
    </row>
    <row r="381" ht="12.75" customHeight="1">
      <c r="A381" s="163"/>
      <c r="B381" s="163"/>
      <c r="C381" s="163"/>
      <c r="D381" s="1"/>
      <c r="E381" s="163"/>
      <c r="F381" s="11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5"/>
      <c r="V381" s="165"/>
    </row>
    <row r="382" ht="12.75" customHeight="1">
      <c r="A382" s="163"/>
      <c r="B382" s="163"/>
      <c r="C382" s="163"/>
      <c r="D382" s="1"/>
      <c r="E382" s="163"/>
      <c r="F382" s="11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5"/>
      <c r="V382" s="165"/>
    </row>
    <row r="383" ht="12.75" customHeight="1">
      <c r="A383" s="163"/>
      <c r="B383" s="163"/>
      <c r="C383" s="163"/>
      <c r="D383" s="1"/>
      <c r="E383" s="163"/>
      <c r="F383" s="11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5"/>
      <c r="V383" s="165"/>
    </row>
    <row r="384" ht="12.75" customHeight="1">
      <c r="A384" s="163"/>
      <c r="B384" s="163"/>
      <c r="C384" s="163"/>
      <c r="D384" s="1"/>
      <c r="E384" s="163"/>
      <c r="F384" s="11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5"/>
      <c r="V384" s="165"/>
    </row>
    <row r="385" ht="12.75" customHeight="1">
      <c r="A385" s="163"/>
      <c r="B385" s="163"/>
      <c r="C385" s="163"/>
      <c r="D385" s="1"/>
      <c r="E385" s="163"/>
      <c r="F385" s="11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5"/>
      <c r="V385" s="165"/>
    </row>
    <row r="386" ht="12.75" customHeight="1">
      <c r="A386" s="163"/>
      <c r="B386" s="163"/>
      <c r="C386" s="163"/>
      <c r="D386" s="1"/>
      <c r="E386" s="163"/>
      <c r="F386" s="11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5"/>
      <c r="V386" s="165"/>
    </row>
    <row r="387" ht="12.75" customHeight="1">
      <c r="A387" s="163"/>
      <c r="B387" s="163"/>
      <c r="C387" s="163"/>
      <c r="D387" s="1"/>
      <c r="E387" s="163"/>
      <c r="F387" s="11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5"/>
      <c r="V387" s="165"/>
    </row>
    <row r="388" ht="12.75" customHeight="1">
      <c r="A388" s="163"/>
      <c r="B388" s="163"/>
      <c r="C388" s="163"/>
      <c r="D388" s="1"/>
      <c r="E388" s="163"/>
      <c r="F388" s="11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5"/>
      <c r="V388" s="165"/>
    </row>
    <row r="389" ht="12.75" customHeight="1">
      <c r="A389" s="163"/>
      <c r="B389" s="163"/>
      <c r="C389" s="163"/>
      <c r="D389" s="1"/>
      <c r="E389" s="163"/>
      <c r="F389" s="11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5"/>
      <c r="V389" s="165"/>
    </row>
    <row r="390" ht="12.75" customHeight="1">
      <c r="A390" s="163"/>
      <c r="B390" s="163"/>
      <c r="C390" s="163"/>
      <c r="D390" s="1"/>
      <c r="E390" s="163"/>
      <c r="F390" s="11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5"/>
      <c r="V390" s="165"/>
    </row>
    <row r="391" ht="12.75" customHeight="1">
      <c r="A391" s="163"/>
      <c r="B391" s="163"/>
      <c r="C391" s="163"/>
      <c r="D391" s="1"/>
      <c r="E391" s="163"/>
      <c r="F391" s="11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5"/>
      <c r="V391" s="165"/>
    </row>
    <row r="392" ht="12.75" customHeight="1">
      <c r="A392" s="163"/>
      <c r="B392" s="163"/>
      <c r="C392" s="163"/>
      <c r="D392" s="1"/>
      <c r="E392" s="163"/>
      <c r="F392" s="11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5"/>
      <c r="V392" s="165"/>
    </row>
    <row r="393" ht="12.75" customHeight="1">
      <c r="A393" s="163"/>
      <c r="B393" s="163"/>
      <c r="C393" s="163"/>
      <c r="D393" s="1"/>
      <c r="E393" s="163"/>
      <c r="F393" s="11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5"/>
      <c r="V393" s="165"/>
    </row>
    <row r="394" ht="12.75" customHeight="1">
      <c r="A394" s="163"/>
      <c r="B394" s="163"/>
      <c r="C394" s="163"/>
      <c r="D394" s="1"/>
      <c r="E394" s="163"/>
      <c r="F394" s="11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5"/>
      <c r="V394" s="165"/>
    </row>
    <row r="395" ht="12.75" customHeight="1">
      <c r="A395" s="163"/>
      <c r="B395" s="163"/>
      <c r="C395" s="163"/>
      <c r="D395" s="1"/>
      <c r="E395" s="163"/>
      <c r="F395" s="11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5"/>
      <c r="V395" s="165"/>
    </row>
    <row r="396" ht="12.75" customHeight="1">
      <c r="A396" s="163"/>
      <c r="B396" s="163"/>
      <c r="C396" s="163"/>
      <c r="D396" s="1"/>
      <c r="E396" s="163"/>
      <c r="F396" s="11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5"/>
      <c r="V396" s="165"/>
    </row>
    <row r="397" ht="12.75" customHeight="1">
      <c r="A397" s="163"/>
      <c r="B397" s="163"/>
      <c r="C397" s="163"/>
      <c r="D397" s="1"/>
      <c r="E397" s="163"/>
      <c r="F397" s="11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5"/>
      <c r="V397" s="165"/>
    </row>
    <row r="398" ht="12.75" customHeight="1">
      <c r="A398" s="163"/>
      <c r="B398" s="163"/>
      <c r="C398" s="163"/>
      <c r="D398" s="1"/>
      <c r="E398" s="163"/>
      <c r="F398" s="11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5"/>
      <c r="V398" s="165"/>
    </row>
    <row r="399" ht="12.75" customHeight="1">
      <c r="A399" s="163"/>
      <c r="B399" s="163"/>
      <c r="C399" s="163"/>
      <c r="D399" s="1"/>
      <c r="E399" s="163"/>
      <c r="F399" s="11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5"/>
      <c r="V399" s="165"/>
    </row>
    <row r="400" ht="12.75" customHeight="1">
      <c r="A400" s="163"/>
      <c r="B400" s="163"/>
      <c r="C400" s="163"/>
      <c r="D400" s="1"/>
      <c r="E400" s="163"/>
      <c r="F400" s="11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5"/>
      <c r="V400" s="165"/>
    </row>
    <row r="401" ht="12.75" customHeight="1">
      <c r="A401" s="163"/>
      <c r="B401" s="163"/>
      <c r="C401" s="163"/>
      <c r="D401" s="1"/>
      <c r="E401" s="163"/>
      <c r="F401" s="11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5"/>
      <c r="V401" s="165"/>
    </row>
    <row r="402" ht="12.75" customHeight="1">
      <c r="A402" s="163"/>
      <c r="B402" s="163"/>
      <c r="C402" s="163"/>
      <c r="D402" s="1"/>
      <c r="E402" s="163"/>
      <c r="F402" s="11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5"/>
      <c r="V402" s="165"/>
    </row>
    <row r="403" ht="12.75" customHeight="1">
      <c r="A403" s="163"/>
      <c r="B403" s="163"/>
      <c r="C403" s="163"/>
      <c r="D403" s="1"/>
      <c r="E403" s="163"/>
      <c r="F403" s="11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5"/>
      <c r="V403" s="165"/>
    </row>
    <row r="404" ht="12.75" customHeight="1">
      <c r="A404" s="163"/>
      <c r="B404" s="163"/>
      <c r="C404" s="163"/>
      <c r="D404" s="1"/>
      <c r="E404" s="163"/>
      <c r="F404" s="11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5"/>
      <c r="V404" s="165"/>
    </row>
    <row r="405" ht="12.75" customHeight="1">
      <c r="A405" s="163"/>
      <c r="B405" s="163"/>
      <c r="C405" s="163"/>
      <c r="D405" s="1"/>
      <c r="E405" s="163"/>
      <c r="F405" s="11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5"/>
      <c r="V405" s="165"/>
    </row>
    <row r="406" ht="12.75" customHeight="1">
      <c r="A406" s="163"/>
      <c r="B406" s="163"/>
      <c r="C406" s="163"/>
      <c r="D406" s="1"/>
      <c r="E406" s="163"/>
      <c r="F406" s="11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5"/>
      <c r="V406" s="165"/>
    </row>
    <row r="407" ht="12.75" customHeight="1">
      <c r="A407" s="163"/>
      <c r="B407" s="163"/>
      <c r="C407" s="163"/>
      <c r="D407" s="1"/>
      <c r="E407" s="163"/>
      <c r="F407" s="11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5"/>
      <c r="V407" s="165"/>
    </row>
    <row r="408" ht="12.75" customHeight="1">
      <c r="A408" s="163"/>
      <c r="B408" s="163"/>
      <c r="C408" s="163"/>
      <c r="D408" s="1"/>
      <c r="E408" s="163"/>
      <c r="F408" s="11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5"/>
      <c r="V408" s="165"/>
    </row>
    <row r="409" ht="12.75" customHeight="1">
      <c r="A409" s="163"/>
      <c r="B409" s="163"/>
      <c r="C409" s="163"/>
      <c r="D409" s="1"/>
      <c r="E409" s="163"/>
      <c r="F409" s="11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5"/>
      <c r="V409" s="165"/>
    </row>
    <row r="410" ht="12.75" customHeight="1">
      <c r="A410" s="163"/>
      <c r="B410" s="163"/>
      <c r="C410" s="163"/>
      <c r="D410" s="1"/>
      <c r="E410" s="163"/>
      <c r="F410" s="11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5"/>
      <c r="V410" s="165"/>
    </row>
    <row r="411" ht="12.75" customHeight="1">
      <c r="A411" s="163"/>
      <c r="B411" s="163"/>
      <c r="C411" s="163"/>
      <c r="D411" s="1"/>
      <c r="E411" s="163"/>
      <c r="F411" s="11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5"/>
      <c r="V411" s="165"/>
    </row>
    <row r="412" ht="12.75" customHeight="1">
      <c r="A412" s="163"/>
      <c r="B412" s="163"/>
      <c r="C412" s="163"/>
      <c r="D412" s="1"/>
      <c r="E412" s="163"/>
      <c r="F412" s="11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5"/>
      <c r="V412" s="165"/>
    </row>
    <row r="413" ht="12.75" customHeight="1">
      <c r="A413" s="163"/>
      <c r="B413" s="163"/>
      <c r="C413" s="163"/>
      <c r="D413" s="1"/>
      <c r="E413" s="163"/>
      <c r="F413" s="11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5"/>
      <c r="V413" s="165"/>
    </row>
    <row r="414" ht="12.75" customHeight="1">
      <c r="A414" s="163"/>
      <c r="B414" s="163"/>
      <c r="C414" s="163"/>
      <c r="D414" s="1"/>
      <c r="E414" s="163"/>
      <c r="F414" s="11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5"/>
      <c r="V414" s="165"/>
    </row>
    <row r="415" ht="12.75" customHeight="1">
      <c r="A415" s="163"/>
      <c r="B415" s="163"/>
      <c r="C415" s="163"/>
      <c r="D415" s="1"/>
      <c r="E415" s="163"/>
      <c r="F415" s="11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5"/>
      <c r="V415" s="165"/>
    </row>
    <row r="416" ht="12.75" customHeight="1">
      <c r="A416" s="163"/>
      <c r="B416" s="163"/>
      <c r="C416" s="163"/>
      <c r="D416" s="1"/>
      <c r="E416" s="163"/>
      <c r="F416" s="11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5"/>
      <c r="V416" s="165"/>
    </row>
    <row r="417" ht="12.75" customHeight="1">
      <c r="A417" s="163"/>
      <c r="B417" s="163"/>
      <c r="C417" s="163"/>
      <c r="D417" s="1"/>
      <c r="E417" s="163"/>
      <c r="F417" s="11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5"/>
      <c r="V417" s="165"/>
    </row>
    <row r="418" ht="12.75" customHeight="1">
      <c r="A418" s="163"/>
      <c r="B418" s="163"/>
      <c r="C418" s="163"/>
      <c r="D418" s="1"/>
      <c r="E418" s="163"/>
      <c r="F418" s="11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5"/>
      <c r="V418" s="165"/>
    </row>
    <row r="419" ht="12.75" customHeight="1">
      <c r="A419" s="163"/>
      <c r="B419" s="163"/>
      <c r="C419" s="163"/>
      <c r="D419" s="1"/>
      <c r="E419" s="163"/>
      <c r="F419" s="11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5"/>
      <c r="V419" s="165"/>
    </row>
    <row r="420" ht="12.75" customHeight="1">
      <c r="A420" s="163"/>
      <c r="B420" s="163"/>
      <c r="C420" s="163"/>
      <c r="D420" s="1"/>
      <c r="E420" s="163"/>
      <c r="F420" s="11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5"/>
      <c r="V420" s="165"/>
    </row>
    <row r="421" ht="12.75" customHeight="1">
      <c r="A421" s="163"/>
      <c r="B421" s="163"/>
      <c r="C421" s="163"/>
      <c r="D421" s="1"/>
      <c r="E421" s="163"/>
      <c r="F421" s="11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5"/>
      <c r="V421" s="165"/>
    </row>
    <row r="422" ht="12.75" customHeight="1">
      <c r="A422" s="163"/>
      <c r="B422" s="163"/>
      <c r="C422" s="163"/>
      <c r="D422" s="1"/>
      <c r="E422" s="163"/>
      <c r="F422" s="11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5"/>
      <c r="V422" s="165"/>
    </row>
    <row r="423" ht="12.75" customHeight="1">
      <c r="A423" s="163"/>
      <c r="B423" s="163"/>
      <c r="C423" s="163"/>
      <c r="D423" s="1"/>
      <c r="E423" s="163"/>
      <c r="F423" s="11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5"/>
      <c r="V423" s="165"/>
    </row>
    <row r="424" ht="12.75" customHeight="1">
      <c r="A424" s="163"/>
      <c r="B424" s="163"/>
      <c r="C424" s="163"/>
      <c r="D424" s="1"/>
      <c r="E424" s="163"/>
      <c r="F424" s="11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5"/>
      <c r="V424" s="165"/>
    </row>
    <row r="425" ht="12.75" customHeight="1">
      <c r="A425" s="163"/>
      <c r="B425" s="163"/>
      <c r="C425" s="163"/>
      <c r="D425" s="1"/>
      <c r="E425" s="163"/>
      <c r="F425" s="11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5"/>
      <c r="V425" s="165"/>
    </row>
    <row r="426" ht="12.75" customHeight="1">
      <c r="A426" s="163"/>
      <c r="B426" s="163"/>
      <c r="C426" s="163"/>
      <c r="D426" s="1"/>
      <c r="E426" s="163"/>
      <c r="F426" s="11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5"/>
      <c r="V426" s="165"/>
    </row>
    <row r="427" ht="12.75" customHeight="1">
      <c r="A427" s="163"/>
      <c r="B427" s="163"/>
      <c r="C427" s="163"/>
      <c r="D427" s="1"/>
      <c r="E427" s="163"/>
      <c r="F427" s="11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5"/>
      <c r="V427" s="165"/>
    </row>
    <row r="428" ht="12.75" customHeight="1">
      <c r="A428" s="163"/>
      <c r="B428" s="163"/>
      <c r="C428" s="163"/>
      <c r="D428" s="1"/>
      <c r="E428" s="163"/>
      <c r="F428" s="11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5"/>
      <c r="V428" s="165"/>
    </row>
    <row r="429" ht="12.75" customHeight="1">
      <c r="A429" s="163"/>
      <c r="B429" s="163"/>
      <c r="C429" s="163"/>
      <c r="D429" s="1"/>
      <c r="E429" s="163"/>
      <c r="F429" s="11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5"/>
      <c r="V429" s="165"/>
    </row>
    <row r="430" ht="12.75" customHeight="1">
      <c r="A430" s="163"/>
      <c r="B430" s="163"/>
      <c r="C430" s="163"/>
      <c r="D430" s="1"/>
      <c r="E430" s="163"/>
      <c r="F430" s="11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5"/>
      <c r="V430" s="165"/>
    </row>
    <row r="431" ht="12.75" customHeight="1">
      <c r="A431" s="163"/>
      <c r="B431" s="163"/>
      <c r="C431" s="163"/>
      <c r="D431" s="1"/>
      <c r="E431" s="163"/>
      <c r="F431" s="11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5"/>
      <c r="V431" s="165"/>
    </row>
    <row r="432" ht="12.75" customHeight="1">
      <c r="A432" s="163"/>
      <c r="B432" s="163"/>
      <c r="C432" s="163"/>
      <c r="D432" s="1"/>
      <c r="E432" s="163"/>
      <c r="F432" s="11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5"/>
      <c r="V432" s="165"/>
    </row>
    <row r="433" ht="12.75" customHeight="1">
      <c r="A433" s="163"/>
      <c r="B433" s="163"/>
      <c r="C433" s="163"/>
      <c r="D433" s="1"/>
      <c r="E433" s="163"/>
      <c r="F433" s="11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5"/>
      <c r="V433" s="165"/>
    </row>
    <row r="434" ht="12.75" customHeight="1">
      <c r="A434" s="163"/>
      <c r="B434" s="163"/>
      <c r="C434" s="163"/>
      <c r="D434" s="1"/>
      <c r="E434" s="163"/>
      <c r="F434" s="11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5"/>
      <c r="V434" s="165"/>
    </row>
    <row r="435" ht="12.75" customHeight="1">
      <c r="A435" s="163"/>
      <c r="B435" s="163"/>
      <c r="C435" s="163"/>
      <c r="D435" s="1"/>
      <c r="E435" s="163"/>
      <c r="F435" s="11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5"/>
      <c r="V435" s="165"/>
    </row>
    <row r="436" ht="12.75" customHeight="1">
      <c r="A436" s="163"/>
      <c r="B436" s="163"/>
      <c r="C436" s="163"/>
      <c r="D436" s="1"/>
      <c r="E436" s="163"/>
      <c r="F436" s="11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5"/>
      <c r="V436" s="165"/>
    </row>
    <row r="437" ht="12.75" customHeight="1">
      <c r="A437" s="163"/>
      <c r="B437" s="163"/>
      <c r="C437" s="163"/>
      <c r="D437" s="1"/>
      <c r="E437" s="163"/>
      <c r="F437" s="11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5"/>
      <c r="V437" s="165"/>
    </row>
    <row r="438" ht="12.75" customHeight="1">
      <c r="A438" s="163"/>
      <c r="B438" s="163"/>
      <c r="C438" s="163"/>
      <c r="D438" s="1"/>
      <c r="E438" s="163"/>
      <c r="F438" s="11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5"/>
      <c r="V438" s="165"/>
    </row>
    <row r="439" ht="12.75" customHeight="1">
      <c r="A439" s="163"/>
      <c r="B439" s="163"/>
      <c r="C439" s="163"/>
      <c r="D439" s="1"/>
      <c r="E439" s="163"/>
      <c r="F439" s="11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5"/>
      <c r="V439" s="165"/>
    </row>
    <row r="440" ht="12.75" customHeight="1">
      <c r="A440" s="163"/>
      <c r="B440" s="163"/>
      <c r="C440" s="163"/>
      <c r="D440" s="1"/>
      <c r="E440" s="163"/>
      <c r="F440" s="11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5"/>
      <c r="V440" s="165"/>
    </row>
    <row r="441" ht="12.75" customHeight="1">
      <c r="A441" s="163"/>
      <c r="B441" s="163"/>
      <c r="C441" s="163"/>
      <c r="D441" s="1"/>
      <c r="E441" s="163"/>
      <c r="F441" s="11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5"/>
      <c r="V441" s="165"/>
    </row>
    <row r="442" ht="12.75" customHeight="1">
      <c r="A442" s="163"/>
      <c r="B442" s="163"/>
      <c r="C442" s="163"/>
      <c r="D442" s="1"/>
      <c r="E442" s="163"/>
      <c r="F442" s="11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5"/>
      <c r="V442" s="165"/>
    </row>
    <row r="443" ht="12.75" customHeight="1">
      <c r="A443" s="163"/>
      <c r="B443" s="163"/>
      <c r="C443" s="163"/>
      <c r="D443" s="1"/>
      <c r="E443" s="163"/>
      <c r="F443" s="11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5"/>
      <c r="V443" s="165"/>
    </row>
    <row r="444" ht="12.75" customHeight="1">
      <c r="A444" s="163"/>
      <c r="B444" s="163"/>
      <c r="C444" s="163"/>
      <c r="D444" s="1"/>
      <c r="E444" s="163"/>
      <c r="F444" s="11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5"/>
      <c r="V444" s="165"/>
    </row>
    <row r="445" ht="12.75" customHeight="1">
      <c r="A445" s="163"/>
      <c r="B445" s="163"/>
      <c r="C445" s="163"/>
      <c r="D445" s="1"/>
      <c r="E445" s="163"/>
      <c r="F445" s="11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5"/>
      <c r="V445" s="165"/>
    </row>
    <row r="446" ht="12.75" customHeight="1">
      <c r="A446" s="163"/>
      <c r="B446" s="163"/>
      <c r="C446" s="163"/>
      <c r="D446" s="1"/>
      <c r="E446" s="163"/>
      <c r="F446" s="11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5"/>
      <c r="V446" s="165"/>
    </row>
    <row r="447" ht="12.75" customHeight="1">
      <c r="A447" s="163"/>
      <c r="B447" s="163"/>
      <c r="C447" s="163"/>
      <c r="D447" s="1"/>
      <c r="E447" s="163"/>
      <c r="F447" s="11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5"/>
      <c r="V447" s="165"/>
    </row>
    <row r="448" ht="12.75" customHeight="1">
      <c r="A448" s="163"/>
      <c r="B448" s="163"/>
      <c r="C448" s="163"/>
      <c r="D448" s="1"/>
      <c r="E448" s="163"/>
      <c r="F448" s="11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5"/>
      <c r="V448" s="165"/>
    </row>
    <row r="449" ht="12.75" customHeight="1">
      <c r="A449" s="163"/>
      <c r="B449" s="163"/>
      <c r="C449" s="163"/>
      <c r="D449" s="1"/>
      <c r="E449" s="163"/>
      <c r="F449" s="11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5"/>
      <c r="V449" s="165"/>
    </row>
    <row r="450" ht="12.75" customHeight="1">
      <c r="A450" s="163"/>
      <c r="B450" s="163"/>
      <c r="C450" s="163"/>
      <c r="D450" s="1"/>
      <c r="E450" s="163"/>
      <c r="F450" s="11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5"/>
      <c r="V450" s="165"/>
    </row>
    <row r="451" ht="12.75" customHeight="1">
      <c r="A451" s="163"/>
      <c r="B451" s="163"/>
      <c r="C451" s="163"/>
      <c r="D451" s="1"/>
      <c r="E451" s="163"/>
      <c r="F451" s="11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5"/>
      <c r="V451" s="165"/>
    </row>
    <row r="452" ht="12.75" customHeight="1">
      <c r="A452" s="163"/>
      <c r="B452" s="163"/>
      <c r="C452" s="163"/>
      <c r="D452" s="1"/>
      <c r="E452" s="163"/>
      <c r="F452" s="11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5"/>
      <c r="V452" s="165"/>
    </row>
    <row r="453" ht="12.75" customHeight="1">
      <c r="A453" s="163"/>
      <c r="B453" s="163"/>
      <c r="C453" s="163"/>
      <c r="D453" s="1"/>
      <c r="E453" s="163"/>
      <c r="F453" s="11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5"/>
      <c r="V453" s="165"/>
    </row>
    <row r="454" ht="12.75" customHeight="1">
      <c r="A454" s="163"/>
      <c r="B454" s="163"/>
      <c r="C454" s="163"/>
      <c r="D454" s="1"/>
      <c r="E454" s="163"/>
      <c r="F454" s="11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5"/>
      <c r="V454" s="165"/>
    </row>
    <row r="455" ht="12.75" customHeight="1">
      <c r="A455" s="163"/>
      <c r="B455" s="163"/>
      <c r="C455" s="163"/>
      <c r="D455" s="1"/>
      <c r="E455" s="163"/>
      <c r="F455" s="11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5"/>
      <c r="V455" s="165"/>
    </row>
    <row r="456" ht="12.75" customHeight="1">
      <c r="A456" s="163"/>
      <c r="B456" s="163"/>
      <c r="C456" s="163"/>
      <c r="D456" s="1"/>
      <c r="E456" s="163"/>
      <c r="F456" s="11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5"/>
      <c r="V456" s="165"/>
    </row>
    <row r="457" ht="12.75" customHeight="1">
      <c r="A457" s="163"/>
      <c r="B457" s="163"/>
      <c r="C457" s="163"/>
      <c r="D457" s="1"/>
      <c r="E457" s="163"/>
      <c r="F457" s="11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5"/>
      <c r="V457" s="165"/>
    </row>
    <row r="458" ht="12.75" customHeight="1">
      <c r="A458" s="163"/>
      <c r="B458" s="163"/>
      <c r="C458" s="163"/>
      <c r="D458" s="1"/>
      <c r="E458" s="163"/>
      <c r="F458" s="11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5"/>
      <c r="V458" s="165"/>
    </row>
    <row r="459" ht="12.75" customHeight="1">
      <c r="A459" s="163"/>
      <c r="B459" s="163"/>
      <c r="C459" s="163"/>
      <c r="D459" s="1"/>
      <c r="E459" s="163"/>
      <c r="F459" s="11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5"/>
      <c r="V459" s="165"/>
    </row>
    <row r="460" ht="12.75" customHeight="1">
      <c r="A460" s="163"/>
      <c r="B460" s="163"/>
      <c r="C460" s="163"/>
      <c r="D460" s="1"/>
      <c r="E460" s="163"/>
      <c r="F460" s="11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5"/>
      <c r="V460" s="165"/>
    </row>
    <row r="461" ht="12.75" customHeight="1">
      <c r="A461" s="163"/>
      <c r="B461" s="163"/>
      <c r="C461" s="163"/>
      <c r="D461" s="1"/>
      <c r="E461" s="163"/>
      <c r="F461" s="11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5"/>
      <c r="V461" s="165"/>
    </row>
    <row r="462" ht="12.75" customHeight="1">
      <c r="A462" s="163"/>
      <c r="B462" s="163"/>
      <c r="C462" s="163"/>
      <c r="D462" s="1"/>
      <c r="E462" s="163"/>
      <c r="F462" s="11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5"/>
      <c r="V462" s="165"/>
    </row>
    <row r="463" ht="12.75" customHeight="1">
      <c r="A463" s="163"/>
      <c r="B463" s="163"/>
      <c r="C463" s="163"/>
      <c r="D463" s="1"/>
      <c r="E463" s="163"/>
      <c r="F463" s="11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5"/>
      <c r="V463" s="165"/>
    </row>
    <row r="464" ht="12.75" customHeight="1">
      <c r="A464" s="163"/>
      <c r="B464" s="163"/>
      <c r="C464" s="163"/>
      <c r="D464" s="1"/>
      <c r="E464" s="163"/>
      <c r="F464" s="11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5"/>
      <c r="V464" s="165"/>
    </row>
    <row r="465" ht="12.75" customHeight="1">
      <c r="A465" s="163"/>
      <c r="B465" s="163"/>
      <c r="C465" s="163"/>
      <c r="D465" s="1"/>
      <c r="E465" s="163"/>
      <c r="F465" s="11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5"/>
      <c r="V465" s="165"/>
    </row>
    <row r="466" ht="12.75" customHeight="1">
      <c r="A466" s="163"/>
      <c r="B466" s="163"/>
      <c r="C466" s="163"/>
      <c r="D466" s="1"/>
      <c r="E466" s="163"/>
      <c r="F466" s="11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5"/>
      <c r="V466" s="165"/>
    </row>
    <row r="467" ht="12.75" customHeight="1">
      <c r="A467" s="163"/>
      <c r="B467" s="163"/>
      <c r="C467" s="163"/>
      <c r="D467" s="1"/>
      <c r="E467" s="163"/>
      <c r="F467" s="11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5"/>
      <c r="V467" s="165"/>
    </row>
    <row r="468" ht="12.75" customHeight="1">
      <c r="A468" s="163"/>
      <c r="B468" s="163"/>
      <c r="C468" s="163"/>
      <c r="D468" s="1"/>
      <c r="E468" s="163"/>
      <c r="F468" s="11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5"/>
      <c r="V468" s="165"/>
    </row>
    <row r="469" ht="12.75" customHeight="1">
      <c r="A469" s="163"/>
      <c r="B469" s="163"/>
      <c r="C469" s="163"/>
      <c r="D469" s="1"/>
      <c r="E469" s="163"/>
      <c r="F469" s="11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5"/>
      <c r="V469" s="165"/>
    </row>
    <row r="470" ht="12.75" customHeight="1">
      <c r="A470" s="163"/>
      <c r="B470" s="163"/>
      <c r="C470" s="163"/>
      <c r="D470" s="1"/>
      <c r="E470" s="163"/>
      <c r="F470" s="11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5"/>
      <c r="V470" s="165"/>
    </row>
    <row r="471" ht="12.75" customHeight="1">
      <c r="A471" s="163"/>
      <c r="B471" s="163"/>
      <c r="C471" s="163"/>
      <c r="D471" s="1"/>
      <c r="E471" s="163"/>
      <c r="F471" s="11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5"/>
      <c r="V471" s="165"/>
    </row>
    <row r="472" ht="12.75" customHeight="1">
      <c r="A472" s="163"/>
      <c r="B472" s="163"/>
      <c r="C472" s="163"/>
      <c r="D472" s="1"/>
      <c r="E472" s="163"/>
      <c r="F472" s="11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5"/>
      <c r="V472" s="165"/>
    </row>
    <row r="473" ht="12.75" customHeight="1">
      <c r="A473" s="163"/>
      <c r="B473" s="163"/>
      <c r="C473" s="163"/>
      <c r="D473" s="1"/>
      <c r="E473" s="163"/>
      <c r="F473" s="11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5"/>
      <c r="V473" s="165"/>
    </row>
    <row r="474" ht="12.75" customHeight="1">
      <c r="A474" s="163"/>
      <c r="B474" s="163"/>
      <c r="C474" s="163"/>
      <c r="D474" s="1"/>
      <c r="E474" s="163"/>
      <c r="F474" s="11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5"/>
      <c r="V474" s="165"/>
    </row>
    <row r="475" ht="12.75" customHeight="1">
      <c r="A475" s="163"/>
      <c r="B475" s="163"/>
      <c r="C475" s="163"/>
      <c r="D475" s="1"/>
      <c r="E475" s="163"/>
      <c r="F475" s="11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5"/>
      <c r="V475" s="165"/>
    </row>
    <row r="476" ht="12.75" customHeight="1">
      <c r="A476" s="163"/>
      <c r="B476" s="163"/>
      <c r="C476" s="163"/>
      <c r="D476" s="1"/>
      <c r="E476" s="163"/>
      <c r="F476" s="11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5"/>
      <c r="V476" s="165"/>
    </row>
    <row r="477" ht="12.75" customHeight="1">
      <c r="A477" s="163"/>
      <c r="B477" s="163"/>
      <c r="C477" s="163"/>
      <c r="D477" s="1"/>
      <c r="E477" s="163"/>
      <c r="F477" s="11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5"/>
      <c r="V477" s="165"/>
    </row>
    <row r="478" ht="12.75" customHeight="1">
      <c r="A478" s="163"/>
      <c r="B478" s="163"/>
      <c r="C478" s="163"/>
      <c r="D478" s="1"/>
      <c r="E478" s="163"/>
      <c r="F478" s="11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5"/>
      <c r="V478" s="165"/>
    </row>
    <row r="479" ht="12.75" customHeight="1">
      <c r="A479" s="163"/>
      <c r="B479" s="163"/>
      <c r="C479" s="163"/>
      <c r="D479" s="1"/>
      <c r="E479" s="163"/>
      <c r="F479" s="11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5"/>
      <c r="V479" s="165"/>
    </row>
    <row r="480" ht="12.75" customHeight="1">
      <c r="A480" s="163"/>
      <c r="B480" s="163"/>
      <c r="C480" s="163"/>
      <c r="D480" s="1"/>
      <c r="E480" s="163"/>
      <c r="F480" s="11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5"/>
      <c r="V480" s="165"/>
    </row>
    <row r="481" ht="12.75" customHeight="1">
      <c r="A481" s="163"/>
      <c r="B481" s="163"/>
      <c r="C481" s="163"/>
      <c r="D481" s="1"/>
      <c r="E481" s="163"/>
      <c r="F481" s="11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5"/>
      <c r="V481" s="165"/>
    </row>
    <row r="482" ht="12.75" customHeight="1">
      <c r="A482" s="163"/>
      <c r="B482" s="163"/>
      <c r="C482" s="163"/>
      <c r="D482" s="1"/>
      <c r="E482" s="163"/>
      <c r="F482" s="11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5"/>
      <c r="V482" s="165"/>
    </row>
    <row r="483" ht="12.75" customHeight="1">
      <c r="A483" s="163"/>
      <c r="B483" s="163"/>
      <c r="C483" s="163"/>
      <c r="D483" s="1"/>
      <c r="E483" s="163"/>
      <c r="F483" s="11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5"/>
      <c r="V483" s="165"/>
    </row>
    <row r="484" ht="12.75" customHeight="1">
      <c r="A484" s="163"/>
      <c r="B484" s="163"/>
      <c r="C484" s="163"/>
      <c r="D484" s="1"/>
      <c r="E484" s="163"/>
      <c r="F484" s="11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5"/>
      <c r="V484" s="165"/>
    </row>
    <row r="485" ht="12.75" customHeight="1">
      <c r="A485" s="163"/>
      <c r="B485" s="163"/>
      <c r="C485" s="163"/>
      <c r="D485" s="1"/>
      <c r="E485" s="163"/>
      <c r="F485" s="11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5"/>
      <c r="V485" s="165"/>
    </row>
    <row r="486" ht="12.75" customHeight="1">
      <c r="A486" s="163"/>
      <c r="B486" s="163"/>
      <c r="C486" s="163"/>
      <c r="D486" s="1"/>
      <c r="E486" s="163"/>
      <c r="F486" s="11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5"/>
      <c r="V486" s="165"/>
    </row>
    <row r="487" ht="12.75" customHeight="1">
      <c r="A487" s="163"/>
      <c r="B487" s="163"/>
      <c r="C487" s="163"/>
      <c r="D487" s="1"/>
      <c r="E487" s="163"/>
      <c r="F487" s="11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5"/>
      <c r="V487" s="165"/>
    </row>
    <row r="488" ht="12.75" customHeight="1">
      <c r="A488" s="163"/>
      <c r="B488" s="163"/>
      <c r="C488" s="163"/>
      <c r="D488" s="1"/>
      <c r="E488" s="163"/>
      <c r="F488" s="11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5"/>
      <c r="V488" s="165"/>
    </row>
    <row r="489" ht="12.75" customHeight="1">
      <c r="A489" s="163"/>
      <c r="B489" s="163"/>
      <c r="C489" s="163"/>
      <c r="D489" s="1"/>
      <c r="E489" s="163"/>
      <c r="F489" s="11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5"/>
      <c r="V489" s="165"/>
    </row>
    <row r="490" ht="12.75" customHeight="1">
      <c r="A490" s="163"/>
      <c r="B490" s="163"/>
      <c r="C490" s="163"/>
      <c r="D490" s="1"/>
      <c r="E490" s="163"/>
      <c r="F490" s="11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5"/>
      <c r="V490" s="165"/>
    </row>
    <row r="491" ht="12.75" customHeight="1">
      <c r="A491" s="163"/>
      <c r="B491" s="163"/>
      <c r="C491" s="163"/>
      <c r="D491" s="1"/>
      <c r="E491" s="163"/>
      <c r="F491" s="11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5"/>
      <c r="V491" s="165"/>
    </row>
    <row r="492" ht="12.75" customHeight="1">
      <c r="A492" s="163"/>
      <c r="B492" s="163"/>
      <c r="C492" s="163"/>
      <c r="D492" s="1"/>
      <c r="E492" s="163"/>
      <c r="F492" s="11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5"/>
      <c r="V492" s="165"/>
    </row>
    <row r="493" ht="12.75" customHeight="1">
      <c r="A493" s="163"/>
      <c r="B493" s="163"/>
      <c r="C493" s="163"/>
      <c r="D493" s="1"/>
      <c r="E493" s="163"/>
      <c r="F493" s="11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5"/>
      <c r="V493" s="165"/>
    </row>
    <row r="494" ht="12.75" customHeight="1">
      <c r="A494" s="163"/>
      <c r="B494" s="163"/>
      <c r="C494" s="163"/>
      <c r="D494" s="1"/>
      <c r="E494" s="163"/>
      <c r="F494" s="11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5"/>
      <c r="V494" s="165"/>
    </row>
    <row r="495" ht="12.75" customHeight="1">
      <c r="A495" s="163"/>
      <c r="B495" s="163"/>
      <c r="C495" s="163"/>
      <c r="D495" s="1"/>
      <c r="E495" s="163"/>
      <c r="F495" s="11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5"/>
      <c r="V495" s="165"/>
    </row>
    <row r="496" ht="12.75" customHeight="1">
      <c r="A496" s="163"/>
      <c r="B496" s="163"/>
      <c r="C496" s="163"/>
      <c r="D496" s="1"/>
      <c r="E496" s="163"/>
      <c r="F496" s="11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5"/>
      <c r="V496" s="165"/>
    </row>
    <row r="497" ht="12.75" customHeight="1">
      <c r="A497" s="163"/>
      <c r="B497" s="163"/>
      <c r="C497" s="163"/>
      <c r="D497" s="1"/>
      <c r="E497" s="163"/>
      <c r="F497" s="11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5"/>
      <c r="V497" s="165"/>
    </row>
    <row r="498" ht="12.75" customHeight="1">
      <c r="A498" s="163"/>
      <c r="B498" s="163"/>
      <c r="C498" s="163"/>
      <c r="D498" s="1"/>
      <c r="E498" s="163"/>
      <c r="F498" s="11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5"/>
      <c r="V498" s="165"/>
    </row>
    <row r="499" ht="12.75" customHeight="1">
      <c r="A499" s="163"/>
      <c r="B499" s="163"/>
      <c r="C499" s="163"/>
      <c r="D499" s="1"/>
      <c r="E499" s="163"/>
      <c r="F499" s="11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5"/>
      <c r="V499" s="165"/>
    </row>
    <row r="500" ht="12.75" customHeight="1">
      <c r="A500" s="163"/>
      <c r="B500" s="163"/>
      <c r="C500" s="163"/>
      <c r="D500" s="1"/>
      <c r="E500" s="163"/>
      <c r="F500" s="11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5"/>
      <c r="V500" s="165"/>
    </row>
    <row r="501" ht="12.75" customHeight="1">
      <c r="A501" s="163"/>
      <c r="B501" s="163"/>
      <c r="C501" s="163"/>
      <c r="D501" s="1"/>
      <c r="E501" s="163"/>
      <c r="F501" s="11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5"/>
      <c r="V501" s="165"/>
    </row>
    <row r="502" ht="12.75" customHeight="1">
      <c r="A502" s="163"/>
      <c r="B502" s="163"/>
      <c r="C502" s="163"/>
      <c r="D502" s="1"/>
      <c r="E502" s="163"/>
      <c r="F502" s="11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5"/>
      <c r="V502" s="165"/>
    </row>
    <row r="503" ht="12.75" customHeight="1">
      <c r="A503" s="163"/>
      <c r="B503" s="163"/>
      <c r="C503" s="163"/>
      <c r="D503" s="1"/>
      <c r="E503" s="163"/>
      <c r="F503" s="11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5"/>
      <c r="V503" s="165"/>
    </row>
    <row r="504" ht="12.75" customHeight="1">
      <c r="A504" s="163"/>
      <c r="B504" s="163"/>
      <c r="C504" s="163"/>
      <c r="D504" s="1"/>
      <c r="E504" s="163"/>
      <c r="F504" s="11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5"/>
      <c r="V504" s="165"/>
    </row>
    <row r="505" ht="12.75" customHeight="1">
      <c r="A505" s="163"/>
      <c r="B505" s="163"/>
      <c r="C505" s="163"/>
      <c r="D505" s="1"/>
      <c r="E505" s="163"/>
      <c r="F505" s="11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5"/>
      <c r="V505" s="165"/>
    </row>
    <row r="506" ht="12.75" customHeight="1">
      <c r="A506" s="163"/>
      <c r="B506" s="163"/>
      <c r="C506" s="163"/>
      <c r="D506" s="1"/>
      <c r="E506" s="163"/>
      <c r="F506" s="11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5"/>
      <c r="V506" s="165"/>
    </row>
    <row r="507" ht="12.75" customHeight="1">
      <c r="A507" s="163"/>
      <c r="B507" s="163"/>
      <c r="C507" s="163"/>
      <c r="D507" s="1"/>
      <c r="E507" s="163"/>
      <c r="F507" s="11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5"/>
      <c r="V507" s="165"/>
    </row>
    <row r="508" ht="12.75" customHeight="1">
      <c r="A508" s="163"/>
      <c r="B508" s="163"/>
      <c r="C508" s="163"/>
      <c r="D508" s="1"/>
      <c r="E508" s="163"/>
      <c r="F508" s="11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5"/>
      <c r="V508" s="165"/>
    </row>
    <row r="509" ht="12.75" customHeight="1">
      <c r="A509" s="163"/>
      <c r="B509" s="163"/>
      <c r="C509" s="163"/>
      <c r="D509" s="1"/>
      <c r="E509" s="163"/>
      <c r="F509" s="11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5"/>
      <c r="V509" s="165"/>
    </row>
    <row r="510" ht="12.75" customHeight="1">
      <c r="A510" s="163"/>
      <c r="B510" s="163"/>
      <c r="C510" s="163"/>
      <c r="D510" s="1"/>
      <c r="E510" s="163"/>
      <c r="F510" s="11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5"/>
      <c r="V510" s="165"/>
    </row>
    <row r="511" ht="12.75" customHeight="1">
      <c r="A511" s="163"/>
      <c r="B511" s="163"/>
      <c r="C511" s="163"/>
      <c r="D511" s="1"/>
      <c r="E511" s="163"/>
      <c r="F511" s="11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5"/>
      <c r="V511" s="165"/>
    </row>
    <row r="512" ht="12.75" customHeight="1">
      <c r="A512" s="163"/>
      <c r="B512" s="163"/>
      <c r="C512" s="163"/>
      <c r="D512" s="1"/>
      <c r="E512" s="163"/>
      <c r="F512" s="11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5"/>
      <c r="V512" s="165"/>
    </row>
    <row r="513" ht="12.75" customHeight="1">
      <c r="A513" s="163"/>
      <c r="B513" s="163"/>
      <c r="C513" s="163"/>
      <c r="D513" s="1"/>
      <c r="E513" s="163"/>
      <c r="F513" s="11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5"/>
      <c r="V513" s="165"/>
    </row>
    <row r="514" ht="12.75" customHeight="1">
      <c r="A514" s="163"/>
      <c r="B514" s="163"/>
      <c r="C514" s="163"/>
      <c r="D514" s="1"/>
      <c r="E514" s="163"/>
      <c r="F514" s="11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5"/>
      <c r="V514" s="165"/>
    </row>
    <row r="515" ht="12.75" customHeight="1">
      <c r="A515" s="163"/>
      <c r="B515" s="163"/>
      <c r="C515" s="163"/>
      <c r="D515" s="1"/>
      <c r="E515" s="163"/>
      <c r="F515" s="11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5"/>
      <c r="V515" s="165"/>
    </row>
    <row r="516" ht="12.75" customHeight="1">
      <c r="A516" s="163"/>
      <c r="B516" s="163"/>
      <c r="C516" s="163"/>
      <c r="D516" s="1"/>
      <c r="E516" s="163"/>
      <c r="F516" s="11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5"/>
      <c r="V516" s="165"/>
    </row>
    <row r="517" ht="12.75" customHeight="1">
      <c r="A517" s="163"/>
      <c r="B517" s="163"/>
      <c r="C517" s="163"/>
      <c r="D517" s="1"/>
      <c r="E517" s="163"/>
      <c r="F517" s="11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5"/>
      <c r="V517" s="165"/>
    </row>
    <row r="518" ht="12.75" customHeight="1">
      <c r="A518" s="163"/>
      <c r="B518" s="163"/>
      <c r="C518" s="163"/>
      <c r="D518" s="1"/>
      <c r="E518" s="163"/>
      <c r="F518" s="11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5"/>
      <c r="V518" s="165"/>
    </row>
    <row r="519" ht="12.75" customHeight="1">
      <c r="A519" s="163"/>
      <c r="B519" s="163"/>
      <c r="C519" s="163"/>
      <c r="D519" s="1"/>
      <c r="E519" s="163"/>
      <c r="F519" s="11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5"/>
      <c r="V519" s="165"/>
    </row>
    <row r="520" ht="12.75" customHeight="1">
      <c r="A520" s="163"/>
      <c r="B520" s="163"/>
      <c r="C520" s="163"/>
      <c r="D520" s="1"/>
      <c r="E520" s="163"/>
      <c r="F520" s="11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5"/>
      <c r="V520" s="165"/>
    </row>
    <row r="521" ht="12.75" customHeight="1">
      <c r="A521" s="163"/>
      <c r="B521" s="163"/>
      <c r="C521" s="163"/>
      <c r="D521" s="1"/>
      <c r="E521" s="163"/>
      <c r="F521" s="11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5"/>
      <c r="V521" s="165"/>
    </row>
    <row r="522" ht="12.75" customHeight="1">
      <c r="A522" s="163"/>
      <c r="B522" s="163"/>
      <c r="C522" s="163"/>
      <c r="D522" s="1"/>
      <c r="E522" s="163"/>
      <c r="F522" s="11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5"/>
      <c r="V522" s="165"/>
    </row>
    <row r="523" ht="12.75" customHeight="1">
      <c r="A523" s="163"/>
      <c r="B523" s="163"/>
      <c r="C523" s="163"/>
      <c r="D523" s="1"/>
      <c r="E523" s="163"/>
      <c r="F523" s="11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5"/>
      <c r="V523" s="165"/>
    </row>
    <row r="524" ht="12.75" customHeight="1">
      <c r="A524" s="163"/>
      <c r="B524" s="163"/>
      <c r="C524" s="163"/>
      <c r="D524" s="1"/>
      <c r="E524" s="163"/>
      <c r="F524" s="11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5"/>
      <c r="V524" s="165"/>
    </row>
    <row r="525" ht="12.75" customHeight="1">
      <c r="A525" s="163"/>
      <c r="B525" s="163"/>
      <c r="C525" s="163"/>
      <c r="D525" s="1"/>
      <c r="E525" s="163"/>
      <c r="F525" s="11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5"/>
      <c r="V525" s="165"/>
    </row>
    <row r="526" ht="12.75" customHeight="1">
      <c r="A526" s="163"/>
      <c r="B526" s="163"/>
      <c r="C526" s="163"/>
      <c r="D526" s="1"/>
      <c r="E526" s="163"/>
      <c r="F526" s="11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5"/>
      <c r="V526" s="165"/>
    </row>
    <row r="527" ht="12.75" customHeight="1">
      <c r="A527" s="163"/>
      <c r="B527" s="163"/>
      <c r="C527" s="163"/>
      <c r="D527" s="1"/>
      <c r="E527" s="163"/>
      <c r="F527" s="11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5"/>
      <c r="V527" s="165"/>
    </row>
    <row r="528" ht="12.75" customHeight="1">
      <c r="A528" s="163"/>
      <c r="B528" s="163"/>
      <c r="C528" s="163"/>
      <c r="D528" s="1"/>
      <c r="E528" s="163"/>
      <c r="F528" s="11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5"/>
      <c r="V528" s="165"/>
    </row>
    <row r="529" ht="12.75" customHeight="1">
      <c r="A529" s="163"/>
      <c r="B529" s="163"/>
      <c r="C529" s="163"/>
      <c r="D529" s="1"/>
      <c r="E529" s="163"/>
      <c r="F529" s="11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5"/>
      <c r="V529" s="165"/>
    </row>
    <row r="530" ht="12.75" customHeight="1">
      <c r="A530" s="163"/>
      <c r="B530" s="163"/>
      <c r="C530" s="163"/>
      <c r="D530" s="1"/>
      <c r="E530" s="163"/>
      <c r="F530" s="11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5"/>
      <c r="V530" s="165"/>
    </row>
    <row r="531" ht="12.75" customHeight="1">
      <c r="A531" s="163"/>
      <c r="B531" s="163"/>
      <c r="C531" s="163"/>
      <c r="D531" s="1"/>
      <c r="E531" s="163"/>
      <c r="F531" s="11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5"/>
      <c r="V531" s="165"/>
    </row>
    <row r="532" ht="12.75" customHeight="1">
      <c r="A532" s="163"/>
      <c r="B532" s="163"/>
      <c r="C532" s="163"/>
      <c r="D532" s="1"/>
      <c r="E532" s="163"/>
      <c r="F532" s="11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5"/>
      <c r="V532" s="165"/>
    </row>
    <row r="533" ht="12.75" customHeight="1">
      <c r="A533" s="163"/>
      <c r="B533" s="163"/>
      <c r="C533" s="163"/>
      <c r="D533" s="1"/>
      <c r="E533" s="163"/>
      <c r="F533" s="11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5"/>
      <c r="V533" s="165"/>
    </row>
    <row r="534" ht="12.75" customHeight="1">
      <c r="A534" s="163"/>
      <c r="B534" s="163"/>
      <c r="C534" s="163"/>
      <c r="D534" s="1"/>
      <c r="E534" s="163"/>
      <c r="F534" s="11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5"/>
      <c r="V534" s="165"/>
    </row>
    <row r="535" ht="12.75" customHeight="1">
      <c r="A535" s="163"/>
      <c r="B535" s="163"/>
      <c r="C535" s="163"/>
      <c r="D535" s="1"/>
      <c r="E535" s="163"/>
      <c r="F535" s="11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5"/>
      <c r="V535" s="165"/>
    </row>
    <row r="536" ht="12.75" customHeight="1">
      <c r="A536" s="163"/>
      <c r="B536" s="163"/>
      <c r="C536" s="163"/>
      <c r="D536" s="1"/>
      <c r="E536" s="163"/>
      <c r="F536" s="11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5"/>
      <c r="V536" s="165"/>
    </row>
    <row r="537" ht="12.75" customHeight="1">
      <c r="A537" s="163"/>
      <c r="B537" s="163"/>
      <c r="C537" s="163"/>
      <c r="D537" s="1"/>
      <c r="E537" s="163"/>
      <c r="F537" s="11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5"/>
      <c r="V537" s="165"/>
    </row>
    <row r="538" ht="12.75" customHeight="1">
      <c r="A538" s="163"/>
      <c r="B538" s="163"/>
      <c r="C538" s="163"/>
      <c r="D538" s="1"/>
      <c r="E538" s="163"/>
      <c r="F538" s="11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5"/>
      <c r="V538" s="165"/>
    </row>
    <row r="539" ht="12.75" customHeight="1">
      <c r="A539" s="163"/>
      <c r="B539" s="163"/>
      <c r="C539" s="163"/>
      <c r="D539" s="1"/>
      <c r="E539" s="163"/>
      <c r="F539" s="11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5"/>
      <c r="V539" s="165"/>
    </row>
    <row r="540" ht="12.75" customHeight="1">
      <c r="A540" s="163"/>
      <c r="B540" s="163"/>
      <c r="C540" s="163"/>
      <c r="D540" s="1"/>
      <c r="E540" s="163"/>
      <c r="F540" s="11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5"/>
      <c r="V540" s="165"/>
    </row>
    <row r="541" ht="12.75" customHeight="1">
      <c r="A541" s="163"/>
      <c r="B541" s="163"/>
      <c r="C541" s="163"/>
      <c r="D541" s="1"/>
      <c r="E541" s="163"/>
      <c r="F541" s="11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5"/>
      <c r="V541" s="165"/>
    </row>
    <row r="542" ht="12.75" customHeight="1">
      <c r="A542" s="163"/>
      <c r="B542" s="163"/>
      <c r="C542" s="163"/>
      <c r="D542" s="1"/>
      <c r="E542" s="163"/>
      <c r="F542" s="11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5"/>
      <c r="V542" s="165"/>
    </row>
    <row r="543" ht="12.75" customHeight="1">
      <c r="A543" s="163"/>
      <c r="B543" s="163"/>
      <c r="C543" s="163"/>
      <c r="D543" s="1"/>
      <c r="E543" s="163"/>
      <c r="F543" s="11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5"/>
      <c r="V543" s="165"/>
    </row>
    <row r="544" ht="12.75" customHeight="1">
      <c r="A544" s="163"/>
      <c r="B544" s="163"/>
      <c r="C544" s="163"/>
      <c r="D544" s="1"/>
      <c r="E544" s="163"/>
      <c r="F544" s="11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5"/>
      <c r="V544" s="165"/>
    </row>
    <row r="545" ht="12.75" customHeight="1">
      <c r="A545" s="163"/>
      <c r="B545" s="163"/>
      <c r="C545" s="163"/>
      <c r="D545" s="1"/>
      <c r="E545" s="163"/>
      <c r="F545" s="11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5"/>
      <c r="V545" s="165"/>
    </row>
    <row r="546" ht="12.75" customHeight="1">
      <c r="A546" s="163"/>
      <c r="B546" s="163"/>
      <c r="C546" s="163"/>
      <c r="D546" s="1"/>
      <c r="E546" s="163"/>
      <c r="F546" s="11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5"/>
      <c r="V546" s="165"/>
    </row>
    <row r="547" ht="12.75" customHeight="1">
      <c r="A547" s="163"/>
      <c r="B547" s="163"/>
      <c r="C547" s="163"/>
      <c r="D547" s="1"/>
      <c r="E547" s="163"/>
      <c r="F547" s="11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5"/>
      <c r="V547" s="165"/>
    </row>
    <row r="548" ht="12.75" customHeight="1">
      <c r="A548" s="163"/>
      <c r="B548" s="163"/>
      <c r="C548" s="163"/>
      <c r="D548" s="1"/>
      <c r="E548" s="163"/>
      <c r="F548" s="11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5"/>
      <c r="V548" s="165"/>
    </row>
    <row r="549" ht="12.75" customHeight="1">
      <c r="A549" s="163"/>
      <c r="B549" s="163"/>
      <c r="C549" s="163"/>
      <c r="D549" s="1"/>
      <c r="E549" s="163"/>
      <c r="F549" s="11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5"/>
      <c r="V549" s="165"/>
    </row>
    <row r="550" ht="12.75" customHeight="1">
      <c r="A550" s="163"/>
      <c r="B550" s="163"/>
      <c r="C550" s="163"/>
      <c r="D550" s="1"/>
      <c r="E550" s="163"/>
      <c r="F550" s="11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5"/>
      <c r="V550" s="165"/>
    </row>
    <row r="551" ht="12.75" customHeight="1">
      <c r="A551" s="163"/>
      <c r="B551" s="163"/>
      <c r="C551" s="163"/>
      <c r="D551" s="1"/>
      <c r="E551" s="163"/>
      <c r="F551" s="11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5"/>
      <c r="V551" s="165"/>
    </row>
    <row r="552" ht="12.75" customHeight="1">
      <c r="A552" s="163"/>
      <c r="B552" s="163"/>
      <c r="C552" s="163"/>
      <c r="D552" s="1"/>
      <c r="E552" s="163"/>
      <c r="F552" s="11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5"/>
      <c r="V552" s="165"/>
    </row>
    <row r="553" ht="12.75" customHeight="1">
      <c r="A553" s="163"/>
      <c r="B553" s="163"/>
      <c r="C553" s="163"/>
      <c r="D553" s="1"/>
      <c r="E553" s="163"/>
      <c r="F553" s="11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5"/>
      <c r="V553" s="165"/>
    </row>
    <row r="554" ht="12.75" customHeight="1">
      <c r="A554" s="163"/>
      <c r="B554" s="163"/>
      <c r="C554" s="163"/>
      <c r="D554" s="1"/>
      <c r="E554" s="163"/>
      <c r="F554" s="11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5"/>
      <c r="V554" s="165"/>
    </row>
    <row r="555" ht="12.75" customHeight="1">
      <c r="A555" s="163"/>
      <c r="B555" s="163"/>
      <c r="C555" s="163"/>
      <c r="D555" s="1"/>
      <c r="E555" s="163"/>
      <c r="F555" s="11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5"/>
      <c r="V555" s="165"/>
    </row>
    <row r="556" ht="12.75" customHeight="1">
      <c r="A556" s="163"/>
      <c r="B556" s="163"/>
      <c r="C556" s="163"/>
      <c r="D556" s="1"/>
      <c r="E556" s="163"/>
      <c r="F556" s="11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5"/>
      <c r="V556" s="165"/>
    </row>
    <row r="557" ht="12.75" customHeight="1">
      <c r="A557" s="163"/>
      <c r="B557" s="163"/>
      <c r="C557" s="163"/>
      <c r="D557" s="1"/>
      <c r="E557" s="163"/>
      <c r="F557" s="11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5"/>
      <c r="V557" s="165"/>
    </row>
    <row r="558" ht="12.75" customHeight="1">
      <c r="A558" s="163"/>
      <c r="B558" s="163"/>
      <c r="C558" s="163"/>
      <c r="D558" s="1"/>
      <c r="E558" s="163"/>
      <c r="F558" s="11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5"/>
      <c r="V558" s="165"/>
    </row>
    <row r="559" ht="12.75" customHeight="1">
      <c r="A559" s="163"/>
      <c r="B559" s="163"/>
      <c r="C559" s="163"/>
      <c r="D559" s="1"/>
      <c r="E559" s="163"/>
      <c r="F559" s="11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5"/>
      <c r="V559" s="165"/>
    </row>
    <row r="560" ht="12.75" customHeight="1">
      <c r="A560" s="107"/>
      <c r="B560" s="107"/>
      <c r="C560" s="107"/>
      <c r="D560" s="102"/>
      <c r="E560" s="107"/>
      <c r="F560" s="108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10"/>
      <c r="V560" s="110"/>
    </row>
    <row r="561" ht="12.75" customHeight="1">
      <c r="A561" s="107"/>
      <c r="B561" s="107"/>
      <c r="C561" s="107"/>
      <c r="D561" s="102"/>
      <c r="E561" s="107"/>
      <c r="F561" s="108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10"/>
      <c r="V561" s="110"/>
    </row>
    <row r="562" ht="12.75" customHeight="1">
      <c r="A562" s="107"/>
      <c r="B562" s="107"/>
      <c r="C562" s="107"/>
      <c r="D562" s="102"/>
      <c r="E562" s="107"/>
      <c r="F562" s="108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10"/>
      <c r="V562" s="110"/>
    </row>
    <row r="563" ht="12.75" customHeight="1">
      <c r="A563" s="107"/>
      <c r="B563" s="107"/>
      <c r="C563" s="107"/>
      <c r="D563" s="102"/>
      <c r="E563" s="107"/>
      <c r="F563" s="108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10"/>
      <c r="V563" s="110"/>
    </row>
    <row r="564" ht="12.75" customHeight="1">
      <c r="A564" s="107"/>
      <c r="B564" s="107"/>
      <c r="C564" s="107"/>
      <c r="D564" s="102"/>
      <c r="E564" s="107"/>
      <c r="F564" s="108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10"/>
      <c r="V564" s="110"/>
    </row>
    <row r="565" ht="12.75" customHeight="1">
      <c r="A565" s="107"/>
      <c r="B565" s="107"/>
      <c r="C565" s="107"/>
      <c r="D565" s="102"/>
      <c r="E565" s="107"/>
      <c r="F565" s="108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10"/>
      <c r="V565" s="110"/>
    </row>
    <row r="566" ht="12.75" customHeight="1">
      <c r="A566" s="107"/>
      <c r="B566" s="107"/>
      <c r="C566" s="107"/>
      <c r="D566" s="102"/>
      <c r="E566" s="107"/>
      <c r="F566" s="108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10"/>
      <c r="V566" s="110"/>
    </row>
    <row r="567" ht="12.75" customHeight="1">
      <c r="A567" s="107"/>
      <c r="B567" s="107"/>
      <c r="C567" s="107"/>
      <c r="D567" s="102"/>
      <c r="E567" s="107"/>
      <c r="F567" s="108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10"/>
      <c r="V567" s="110"/>
    </row>
    <row r="568" ht="12.75" customHeight="1">
      <c r="A568" s="107"/>
      <c r="B568" s="107"/>
      <c r="C568" s="107"/>
      <c r="D568" s="102"/>
      <c r="E568" s="107"/>
      <c r="F568" s="108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10"/>
      <c r="V568" s="110"/>
    </row>
    <row r="569" ht="12.75" customHeight="1">
      <c r="A569" s="107"/>
      <c r="B569" s="107"/>
      <c r="C569" s="107"/>
      <c r="D569" s="102"/>
      <c r="E569" s="107"/>
      <c r="F569" s="108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10"/>
      <c r="V569" s="110"/>
    </row>
    <row r="570" ht="12.75" customHeight="1">
      <c r="A570" s="107"/>
      <c r="B570" s="107"/>
      <c r="C570" s="107"/>
      <c r="D570" s="102"/>
      <c r="E570" s="107"/>
      <c r="F570" s="108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10"/>
      <c r="V570" s="110"/>
    </row>
    <row r="571" ht="12.75" customHeight="1">
      <c r="A571" s="107"/>
      <c r="B571" s="107"/>
      <c r="C571" s="107"/>
      <c r="D571" s="102"/>
      <c r="E571" s="107"/>
      <c r="F571" s="108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10"/>
      <c r="V571" s="110"/>
    </row>
    <row r="572" ht="12.75" customHeight="1">
      <c r="A572" s="107"/>
      <c r="B572" s="107"/>
      <c r="C572" s="107"/>
      <c r="D572" s="102"/>
      <c r="E572" s="107"/>
      <c r="F572" s="108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10"/>
      <c r="V572" s="110"/>
    </row>
    <row r="573" ht="12.75" customHeight="1">
      <c r="A573" s="107"/>
      <c r="B573" s="107"/>
      <c r="C573" s="107"/>
      <c r="D573" s="102"/>
      <c r="E573" s="107"/>
      <c r="F573" s="108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10"/>
      <c r="V573" s="110"/>
    </row>
    <row r="574" ht="12.75" customHeight="1">
      <c r="A574" s="107"/>
      <c r="B574" s="107"/>
      <c r="C574" s="107"/>
      <c r="D574" s="102"/>
      <c r="E574" s="107"/>
      <c r="F574" s="108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10"/>
      <c r="V574" s="110"/>
    </row>
    <row r="575" ht="12.75" customHeight="1">
      <c r="A575" s="107"/>
      <c r="B575" s="107"/>
      <c r="C575" s="107"/>
      <c r="D575" s="102"/>
      <c r="E575" s="107"/>
      <c r="F575" s="108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10"/>
      <c r="V575" s="110"/>
    </row>
    <row r="576" ht="12.75" customHeight="1">
      <c r="A576" s="107"/>
      <c r="B576" s="107"/>
      <c r="C576" s="107"/>
      <c r="D576" s="102"/>
      <c r="E576" s="107"/>
      <c r="F576" s="108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10"/>
      <c r="V576" s="110"/>
    </row>
    <row r="577" ht="12.75" customHeight="1">
      <c r="A577" s="107"/>
      <c r="B577" s="107"/>
      <c r="C577" s="107"/>
      <c r="D577" s="102"/>
      <c r="E577" s="107"/>
      <c r="F577" s="108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10"/>
      <c r="V577" s="110"/>
    </row>
    <row r="578" ht="12.75" customHeight="1">
      <c r="A578" s="107"/>
      <c r="B578" s="107"/>
      <c r="C578" s="107"/>
      <c r="D578" s="102"/>
      <c r="E578" s="107"/>
      <c r="F578" s="108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10"/>
      <c r="V578" s="110"/>
    </row>
    <row r="579" ht="12.75" customHeight="1">
      <c r="A579" s="107"/>
      <c r="B579" s="107"/>
      <c r="C579" s="107"/>
      <c r="D579" s="102"/>
      <c r="E579" s="107"/>
      <c r="F579" s="108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10"/>
      <c r="V579" s="110"/>
    </row>
    <row r="580" ht="12.75" customHeight="1">
      <c r="A580" s="107"/>
      <c r="B580" s="107"/>
      <c r="C580" s="107"/>
      <c r="D580" s="102"/>
      <c r="E580" s="107"/>
      <c r="F580" s="108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10"/>
      <c r="V580" s="110"/>
    </row>
    <row r="581" ht="12.75" customHeight="1">
      <c r="A581" s="107"/>
      <c r="B581" s="107"/>
      <c r="C581" s="107"/>
      <c r="D581" s="102"/>
      <c r="E581" s="107"/>
      <c r="F581" s="108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10"/>
      <c r="V581" s="110"/>
    </row>
    <row r="582" ht="12.75" customHeight="1">
      <c r="A582" s="107"/>
      <c r="B582" s="107"/>
      <c r="C582" s="107"/>
      <c r="D582" s="102"/>
      <c r="E582" s="107"/>
      <c r="F582" s="108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10"/>
      <c r="V582" s="110"/>
    </row>
    <row r="583" ht="12.75" customHeight="1">
      <c r="A583" s="107"/>
      <c r="B583" s="107"/>
      <c r="C583" s="107"/>
      <c r="D583" s="102"/>
      <c r="E583" s="107"/>
      <c r="F583" s="108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10"/>
      <c r="V583" s="110"/>
    </row>
    <row r="584" ht="12.75" customHeight="1">
      <c r="A584" s="107"/>
      <c r="B584" s="107"/>
      <c r="C584" s="107"/>
      <c r="D584" s="102"/>
      <c r="E584" s="107"/>
      <c r="F584" s="108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10"/>
      <c r="V584" s="110"/>
    </row>
    <row r="585" ht="12.75" customHeight="1">
      <c r="A585" s="107"/>
      <c r="B585" s="107"/>
      <c r="C585" s="107"/>
      <c r="D585" s="102"/>
      <c r="E585" s="107"/>
      <c r="F585" s="108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10"/>
      <c r="V585" s="110"/>
    </row>
    <row r="586" ht="12.75" customHeight="1">
      <c r="A586" s="107"/>
      <c r="B586" s="107"/>
      <c r="C586" s="107"/>
      <c r="D586" s="102"/>
      <c r="E586" s="107"/>
      <c r="F586" s="108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10"/>
      <c r="V586" s="110"/>
    </row>
    <row r="587" ht="12.75" customHeight="1">
      <c r="A587" s="107"/>
      <c r="B587" s="107"/>
      <c r="C587" s="107"/>
      <c r="D587" s="102"/>
      <c r="E587" s="107"/>
      <c r="F587" s="108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10"/>
      <c r="V587" s="110"/>
    </row>
    <row r="588" ht="12.75" customHeight="1">
      <c r="A588" s="107"/>
      <c r="B588" s="107"/>
      <c r="C588" s="107"/>
      <c r="D588" s="102"/>
      <c r="E588" s="107"/>
      <c r="F588" s="108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10"/>
      <c r="V588" s="110"/>
    </row>
    <row r="589" ht="12.75" customHeight="1">
      <c r="A589" s="107"/>
      <c r="B589" s="107"/>
      <c r="C589" s="107"/>
      <c r="D589" s="102"/>
      <c r="E589" s="107"/>
      <c r="F589" s="108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10"/>
      <c r="V589" s="110"/>
    </row>
    <row r="590" ht="12.75" customHeight="1">
      <c r="A590" s="107"/>
      <c r="B590" s="107"/>
      <c r="C590" s="107"/>
      <c r="D590" s="102"/>
      <c r="E590" s="107"/>
      <c r="F590" s="108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10"/>
      <c r="V590" s="110"/>
    </row>
    <row r="591" ht="12.75" customHeight="1">
      <c r="A591" s="107"/>
      <c r="B591" s="107"/>
      <c r="C591" s="107"/>
      <c r="D591" s="102"/>
      <c r="E591" s="107"/>
      <c r="F591" s="108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10"/>
      <c r="V591" s="110"/>
    </row>
    <row r="592" ht="12.75" customHeight="1">
      <c r="A592" s="107"/>
      <c r="B592" s="107"/>
      <c r="C592" s="107"/>
      <c r="D592" s="102"/>
      <c r="E592" s="107"/>
      <c r="F592" s="108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10"/>
      <c r="V592" s="110"/>
    </row>
    <row r="593" ht="12.75" customHeight="1">
      <c r="A593" s="107"/>
      <c r="B593" s="107"/>
      <c r="C593" s="107"/>
      <c r="D593" s="102"/>
      <c r="E593" s="107"/>
      <c r="F593" s="108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10"/>
      <c r="V593" s="110"/>
    </row>
    <row r="594" ht="12.75" customHeight="1">
      <c r="A594" s="107"/>
      <c r="B594" s="107"/>
      <c r="C594" s="107"/>
      <c r="D594" s="102"/>
      <c r="E594" s="107"/>
      <c r="F594" s="108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10"/>
      <c r="V594" s="110"/>
    </row>
    <row r="595" ht="12.75" customHeight="1">
      <c r="A595" s="107"/>
      <c r="B595" s="107"/>
      <c r="C595" s="107"/>
      <c r="D595" s="102"/>
      <c r="E595" s="107"/>
      <c r="F595" s="108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10"/>
      <c r="V595" s="110"/>
    </row>
    <row r="596" ht="12.75" customHeight="1">
      <c r="A596" s="107"/>
      <c r="B596" s="107"/>
      <c r="C596" s="107"/>
      <c r="D596" s="102"/>
      <c r="E596" s="107"/>
      <c r="F596" s="108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10"/>
      <c r="V596" s="110"/>
    </row>
    <row r="597" ht="12.75" customHeight="1">
      <c r="A597" s="107"/>
      <c r="B597" s="107"/>
      <c r="C597" s="107"/>
      <c r="D597" s="102"/>
      <c r="E597" s="107"/>
      <c r="F597" s="108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10"/>
      <c r="V597" s="110"/>
    </row>
    <row r="598" ht="12.75" customHeight="1">
      <c r="A598" s="107"/>
      <c r="B598" s="107"/>
      <c r="C598" s="107"/>
      <c r="D598" s="102"/>
      <c r="E598" s="107"/>
      <c r="F598" s="108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10"/>
      <c r="V598" s="110"/>
    </row>
    <row r="599" ht="12.75" customHeight="1">
      <c r="A599" s="107"/>
      <c r="B599" s="107"/>
      <c r="C599" s="107"/>
      <c r="D599" s="102"/>
      <c r="E599" s="107"/>
      <c r="F599" s="108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10"/>
      <c r="V599" s="110"/>
    </row>
    <row r="600" ht="12.75" customHeight="1">
      <c r="A600" s="107"/>
      <c r="B600" s="107"/>
      <c r="C600" s="107"/>
      <c r="D600" s="102"/>
      <c r="E600" s="107"/>
      <c r="F600" s="108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10"/>
      <c r="V600" s="110"/>
    </row>
    <row r="601" ht="12.75" customHeight="1">
      <c r="A601" s="107"/>
      <c r="B601" s="107"/>
      <c r="C601" s="107"/>
      <c r="D601" s="102"/>
      <c r="E601" s="107"/>
      <c r="F601" s="108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10"/>
      <c r="V601" s="110"/>
    </row>
    <row r="602" ht="12.75" customHeight="1">
      <c r="A602" s="107"/>
      <c r="B602" s="107"/>
      <c r="C602" s="107"/>
      <c r="D602" s="102"/>
      <c r="E602" s="107"/>
      <c r="F602" s="108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10"/>
      <c r="V602" s="110"/>
    </row>
    <row r="603" ht="12.75" customHeight="1">
      <c r="A603" s="107"/>
      <c r="B603" s="107"/>
      <c r="C603" s="107"/>
      <c r="D603" s="102"/>
      <c r="E603" s="107"/>
      <c r="F603" s="108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10"/>
      <c r="V603" s="110"/>
    </row>
    <row r="604" ht="12.75" customHeight="1">
      <c r="A604" s="107"/>
      <c r="B604" s="107"/>
      <c r="C604" s="107"/>
      <c r="D604" s="102"/>
      <c r="E604" s="107"/>
      <c r="F604" s="108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10"/>
      <c r="V604" s="110"/>
    </row>
    <row r="605" ht="12.75" customHeight="1">
      <c r="A605" s="107"/>
      <c r="B605" s="107"/>
      <c r="C605" s="107"/>
      <c r="D605" s="102"/>
      <c r="E605" s="107"/>
      <c r="F605" s="108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10"/>
      <c r="V605" s="110"/>
    </row>
    <row r="606" ht="12.75" customHeight="1">
      <c r="A606" s="107"/>
      <c r="B606" s="107"/>
      <c r="C606" s="107"/>
      <c r="D606" s="102"/>
      <c r="E606" s="107"/>
      <c r="F606" s="108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10"/>
      <c r="V606" s="110"/>
    </row>
    <row r="607" ht="12.75" customHeight="1">
      <c r="A607" s="107"/>
      <c r="B607" s="107"/>
      <c r="C607" s="107"/>
      <c r="D607" s="102"/>
      <c r="E607" s="107"/>
      <c r="F607" s="108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10"/>
      <c r="V607" s="110"/>
    </row>
    <row r="608" ht="12.75" customHeight="1">
      <c r="A608" s="107"/>
      <c r="B608" s="107"/>
      <c r="C608" s="107"/>
      <c r="D608" s="102"/>
      <c r="E608" s="107"/>
      <c r="F608" s="108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10"/>
      <c r="V608" s="110"/>
    </row>
    <row r="609" ht="12.75" customHeight="1">
      <c r="A609" s="107"/>
      <c r="B609" s="107"/>
      <c r="C609" s="107"/>
      <c r="D609" s="102"/>
      <c r="E609" s="107"/>
      <c r="F609" s="108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10"/>
      <c r="V609" s="110"/>
    </row>
    <row r="610" ht="12.75" customHeight="1">
      <c r="A610" s="107"/>
      <c r="B610" s="107"/>
      <c r="C610" s="107"/>
      <c r="D610" s="102"/>
      <c r="E610" s="107"/>
      <c r="F610" s="108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10"/>
      <c r="V610" s="110"/>
    </row>
    <row r="611" ht="12.75" customHeight="1">
      <c r="A611" s="107"/>
      <c r="B611" s="107"/>
      <c r="C611" s="107"/>
      <c r="D611" s="102"/>
      <c r="E611" s="107"/>
      <c r="F611" s="108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10"/>
      <c r="V611" s="110"/>
    </row>
    <row r="612" ht="12.75" customHeight="1">
      <c r="A612" s="107"/>
      <c r="B612" s="107"/>
      <c r="C612" s="107"/>
      <c r="D612" s="102"/>
      <c r="E612" s="107"/>
      <c r="F612" s="108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10"/>
      <c r="V612" s="110"/>
    </row>
    <row r="613" ht="12.75" customHeight="1">
      <c r="A613" s="107"/>
      <c r="B613" s="107"/>
      <c r="C613" s="107"/>
      <c r="D613" s="102"/>
      <c r="E613" s="107"/>
      <c r="F613" s="108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10"/>
      <c r="V613" s="110"/>
    </row>
    <row r="614" ht="12.75" customHeight="1">
      <c r="A614" s="107"/>
      <c r="B614" s="107"/>
      <c r="C614" s="107"/>
      <c r="D614" s="102"/>
      <c r="E614" s="107"/>
      <c r="F614" s="108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10"/>
      <c r="V614" s="110"/>
    </row>
    <row r="615" ht="12.75" customHeight="1">
      <c r="A615" s="107"/>
      <c r="B615" s="107"/>
      <c r="C615" s="107"/>
      <c r="D615" s="102"/>
      <c r="E615" s="107"/>
      <c r="F615" s="108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10"/>
      <c r="V615" s="110"/>
    </row>
    <row r="616" ht="12.75" customHeight="1">
      <c r="A616" s="107"/>
      <c r="B616" s="107"/>
      <c r="C616" s="107"/>
      <c r="D616" s="102"/>
      <c r="E616" s="107"/>
      <c r="F616" s="108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10"/>
      <c r="V616" s="110"/>
    </row>
    <row r="617" ht="12.75" customHeight="1">
      <c r="A617" s="107"/>
      <c r="B617" s="107"/>
      <c r="C617" s="107"/>
      <c r="D617" s="102"/>
      <c r="E617" s="107"/>
      <c r="F617" s="108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10"/>
      <c r="V617" s="110"/>
    </row>
    <row r="618" ht="12.75" customHeight="1">
      <c r="A618" s="107"/>
      <c r="B618" s="107"/>
      <c r="C618" s="107"/>
      <c r="D618" s="102"/>
      <c r="E618" s="107"/>
      <c r="F618" s="108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10"/>
      <c r="V618" s="110"/>
    </row>
    <row r="619" ht="12.75" customHeight="1">
      <c r="A619" s="107"/>
      <c r="B619" s="107"/>
      <c r="C619" s="107"/>
      <c r="D619" s="102"/>
      <c r="E619" s="107"/>
      <c r="F619" s="108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10"/>
      <c r="V619" s="110"/>
    </row>
    <row r="620" ht="12.75" customHeight="1">
      <c r="A620" s="107"/>
      <c r="B620" s="107"/>
      <c r="C620" s="107"/>
      <c r="D620" s="102"/>
      <c r="E620" s="107"/>
      <c r="F620" s="108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10"/>
      <c r="V620" s="110"/>
    </row>
    <row r="621" ht="12.75" customHeight="1">
      <c r="A621" s="107"/>
      <c r="B621" s="107"/>
      <c r="C621" s="107"/>
      <c r="D621" s="102"/>
      <c r="E621" s="107"/>
      <c r="F621" s="108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10"/>
      <c r="V621" s="110"/>
    </row>
    <row r="622" ht="12.75" customHeight="1">
      <c r="A622" s="107"/>
      <c r="B622" s="107"/>
      <c r="C622" s="107"/>
      <c r="D622" s="102"/>
      <c r="E622" s="107"/>
      <c r="F622" s="108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10"/>
      <c r="V622" s="110"/>
    </row>
    <row r="623" ht="12.75" customHeight="1">
      <c r="A623" s="107"/>
      <c r="B623" s="107"/>
      <c r="C623" s="107"/>
      <c r="D623" s="102"/>
      <c r="E623" s="107"/>
      <c r="F623" s="108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10"/>
      <c r="V623" s="110"/>
    </row>
    <row r="624" ht="12.75" customHeight="1">
      <c r="A624" s="107"/>
      <c r="B624" s="107"/>
      <c r="C624" s="107"/>
      <c r="D624" s="102"/>
      <c r="E624" s="107"/>
      <c r="F624" s="108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10"/>
      <c r="V624" s="110"/>
    </row>
    <row r="625" ht="12.75" customHeight="1">
      <c r="A625" s="107"/>
      <c r="B625" s="107"/>
      <c r="C625" s="107"/>
      <c r="D625" s="102"/>
      <c r="E625" s="107"/>
      <c r="F625" s="108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10"/>
      <c r="V625" s="110"/>
    </row>
    <row r="626" ht="12.75" customHeight="1">
      <c r="A626" s="107"/>
      <c r="B626" s="107"/>
      <c r="C626" s="107"/>
      <c r="D626" s="102"/>
      <c r="E626" s="107"/>
      <c r="F626" s="108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10"/>
      <c r="V626" s="110"/>
    </row>
    <row r="627" ht="12.75" customHeight="1">
      <c r="A627" s="107"/>
      <c r="B627" s="107"/>
      <c r="C627" s="107"/>
      <c r="D627" s="102"/>
      <c r="E627" s="107"/>
      <c r="F627" s="108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10"/>
      <c r="V627" s="110"/>
    </row>
    <row r="628" ht="12.75" customHeight="1">
      <c r="A628" s="107"/>
      <c r="B628" s="107"/>
      <c r="C628" s="107"/>
      <c r="D628" s="102"/>
      <c r="E628" s="107"/>
      <c r="F628" s="108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10"/>
      <c r="V628" s="110"/>
    </row>
    <row r="629" ht="12.75" customHeight="1">
      <c r="A629" s="107"/>
      <c r="B629" s="107"/>
      <c r="C629" s="107"/>
      <c r="D629" s="102"/>
      <c r="E629" s="107"/>
      <c r="F629" s="108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10"/>
      <c r="V629" s="110"/>
    </row>
    <row r="630" ht="12.75" customHeight="1">
      <c r="A630" s="107"/>
      <c r="B630" s="107"/>
      <c r="C630" s="107"/>
      <c r="D630" s="102"/>
      <c r="E630" s="107"/>
      <c r="F630" s="108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10"/>
      <c r="V630" s="110"/>
    </row>
    <row r="631" ht="12.75" customHeight="1">
      <c r="A631" s="107"/>
      <c r="B631" s="107"/>
      <c r="C631" s="107"/>
      <c r="D631" s="102"/>
      <c r="E631" s="107"/>
      <c r="F631" s="108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10"/>
      <c r="V631" s="110"/>
    </row>
    <row r="632" ht="12.75" customHeight="1">
      <c r="A632" s="107"/>
      <c r="B632" s="107"/>
      <c r="C632" s="107"/>
      <c r="D632" s="102"/>
      <c r="E632" s="107"/>
      <c r="F632" s="108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10"/>
      <c r="V632" s="110"/>
    </row>
    <row r="633" ht="12.75" customHeight="1">
      <c r="A633" s="107"/>
      <c r="B633" s="107"/>
      <c r="C633" s="107"/>
      <c r="D633" s="102"/>
      <c r="E633" s="107"/>
      <c r="F633" s="108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10"/>
      <c r="V633" s="110"/>
    </row>
    <row r="634" ht="12.75" customHeight="1">
      <c r="A634" s="107"/>
      <c r="B634" s="107"/>
      <c r="C634" s="107"/>
      <c r="D634" s="102"/>
      <c r="E634" s="107"/>
      <c r="F634" s="108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10"/>
      <c r="V634" s="110"/>
    </row>
    <row r="635" ht="12.75" customHeight="1">
      <c r="A635" s="107"/>
      <c r="B635" s="107"/>
      <c r="C635" s="107"/>
      <c r="D635" s="102"/>
      <c r="E635" s="107"/>
      <c r="F635" s="108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10"/>
      <c r="V635" s="110"/>
    </row>
    <row r="636" ht="12.75" customHeight="1">
      <c r="A636" s="107"/>
      <c r="B636" s="107"/>
      <c r="C636" s="107"/>
      <c r="D636" s="102"/>
      <c r="E636" s="107"/>
      <c r="F636" s="108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10"/>
      <c r="V636" s="110"/>
    </row>
    <row r="637" ht="12.75" customHeight="1">
      <c r="A637" s="107"/>
      <c r="B637" s="107"/>
      <c r="C637" s="107"/>
      <c r="D637" s="102"/>
      <c r="E637" s="107"/>
      <c r="F637" s="108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10"/>
      <c r="V637" s="110"/>
    </row>
    <row r="638" ht="12.75" customHeight="1">
      <c r="A638" s="107"/>
      <c r="B638" s="107"/>
      <c r="C638" s="107"/>
      <c r="D638" s="102"/>
      <c r="E638" s="107"/>
      <c r="F638" s="108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10"/>
      <c r="V638" s="110"/>
    </row>
    <row r="639" ht="12.75" customHeight="1">
      <c r="A639" s="107"/>
      <c r="B639" s="107"/>
      <c r="C639" s="107"/>
      <c r="D639" s="102"/>
      <c r="E639" s="107"/>
      <c r="F639" s="108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10"/>
      <c r="V639" s="110"/>
    </row>
    <row r="640" ht="12.75" customHeight="1">
      <c r="A640" s="107"/>
      <c r="B640" s="107"/>
      <c r="C640" s="107"/>
      <c r="D640" s="102"/>
      <c r="E640" s="107"/>
      <c r="F640" s="108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10"/>
      <c r="V640" s="110"/>
    </row>
    <row r="641" ht="12.75" customHeight="1">
      <c r="A641" s="107"/>
      <c r="B641" s="107"/>
      <c r="C641" s="107"/>
      <c r="D641" s="102"/>
      <c r="E641" s="107"/>
      <c r="F641" s="108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10"/>
      <c r="V641" s="110"/>
    </row>
    <row r="642" ht="12.75" customHeight="1">
      <c r="A642" s="107"/>
      <c r="B642" s="107"/>
      <c r="C642" s="107"/>
      <c r="D642" s="102"/>
      <c r="E642" s="107"/>
      <c r="F642" s="108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10"/>
      <c r="V642" s="110"/>
    </row>
    <row r="643" ht="12.75" customHeight="1">
      <c r="A643" s="107"/>
      <c r="B643" s="107"/>
      <c r="C643" s="107"/>
      <c r="D643" s="102"/>
      <c r="E643" s="107"/>
      <c r="F643" s="108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10"/>
      <c r="V643" s="110"/>
    </row>
    <row r="644" ht="12.75" customHeight="1">
      <c r="A644" s="107"/>
      <c r="B644" s="107"/>
      <c r="C644" s="107"/>
      <c r="D644" s="102"/>
      <c r="E644" s="107"/>
      <c r="F644" s="108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10"/>
      <c r="V644" s="110"/>
    </row>
    <row r="645" ht="12.75" customHeight="1">
      <c r="A645" s="107"/>
      <c r="B645" s="107"/>
      <c r="C645" s="107"/>
      <c r="D645" s="102"/>
      <c r="E645" s="107"/>
      <c r="F645" s="108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10"/>
      <c r="V645" s="110"/>
    </row>
    <row r="646" ht="12.75" customHeight="1">
      <c r="A646" s="107"/>
      <c r="B646" s="107"/>
      <c r="C646" s="107"/>
      <c r="D646" s="102"/>
      <c r="E646" s="107"/>
      <c r="F646" s="108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10"/>
      <c r="V646" s="110"/>
    </row>
    <row r="647" ht="12.75" customHeight="1">
      <c r="A647" s="107"/>
      <c r="B647" s="107"/>
      <c r="C647" s="107"/>
      <c r="D647" s="102"/>
      <c r="E647" s="107"/>
      <c r="F647" s="108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10"/>
      <c r="V647" s="110"/>
    </row>
    <row r="648" ht="12.75" customHeight="1">
      <c r="A648" s="107"/>
      <c r="B648" s="107"/>
      <c r="C648" s="107"/>
      <c r="D648" s="102"/>
      <c r="E648" s="107"/>
      <c r="F648" s="108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10"/>
      <c r="V648" s="110"/>
    </row>
    <row r="649" ht="12.75" customHeight="1">
      <c r="A649" s="107"/>
      <c r="B649" s="107"/>
      <c r="C649" s="107"/>
      <c r="D649" s="102"/>
      <c r="E649" s="107"/>
      <c r="F649" s="108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10"/>
      <c r="V649" s="110"/>
    </row>
    <row r="650" ht="12.75" customHeight="1">
      <c r="A650" s="107"/>
      <c r="B650" s="107"/>
      <c r="C650" s="107"/>
      <c r="D650" s="102"/>
      <c r="E650" s="107"/>
      <c r="F650" s="108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10"/>
      <c r="V650" s="110"/>
    </row>
    <row r="651" ht="12.75" customHeight="1">
      <c r="A651" s="107"/>
      <c r="B651" s="107"/>
      <c r="C651" s="107"/>
      <c r="D651" s="102"/>
      <c r="E651" s="107"/>
      <c r="F651" s="108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10"/>
      <c r="V651" s="110"/>
    </row>
    <row r="652" ht="12.75" customHeight="1">
      <c r="A652" s="107"/>
      <c r="B652" s="107"/>
      <c r="C652" s="107"/>
      <c r="D652" s="102"/>
      <c r="E652" s="107"/>
      <c r="F652" s="108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10"/>
      <c r="V652" s="110"/>
    </row>
    <row r="653" ht="12.75" customHeight="1">
      <c r="A653" s="107"/>
      <c r="B653" s="107"/>
      <c r="C653" s="107"/>
      <c r="D653" s="102"/>
      <c r="E653" s="107"/>
      <c r="F653" s="108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10"/>
      <c r="V653" s="110"/>
    </row>
    <row r="654" ht="12.75" customHeight="1">
      <c r="A654" s="107"/>
      <c r="B654" s="107"/>
      <c r="C654" s="107"/>
      <c r="D654" s="102"/>
      <c r="E654" s="107"/>
      <c r="F654" s="108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10"/>
      <c r="V654" s="110"/>
    </row>
    <row r="655" ht="12.75" customHeight="1">
      <c r="A655" s="107"/>
      <c r="B655" s="107"/>
      <c r="C655" s="107"/>
      <c r="D655" s="102"/>
      <c r="E655" s="107"/>
      <c r="F655" s="108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10"/>
      <c r="V655" s="110"/>
    </row>
    <row r="656" ht="12.75" customHeight="1">
      <c r="A656" s="107"/>
      <c r="B656" s="107"/>
      <c r="C656" s="107"/>
      <c r="D656" s="102"/>
      <c r="E656" s="107"/>
      <c r="F656" s="108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10"/>
      <c r="V656" s="110"/>
    </row>
    <row r="657" ht="12.75" customHeight="1">
      <c r="A657" s="107"/>
      <c r="B657" s="107"/>
      <c r="C657" s="107"/>
      <c r="D657" s="102"/>
      <c r="E657" s="107"/>
      <c r="F657" s="108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10"/>
      <c r="V657" s="110"/>
    </row>
    <row r="658" ht="12.75" customHeight="1">
      <c r="A658" s="107"/>
      <c r="B658" s="107"/>
      <c r="C658" s="107"/>
      <c r="D658" s="102"/>
      <c r="E658" s="107"/>
      <c r="F658" s="108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10"/>
      <c r="V658" s="110"/>
    </row>
    <row r="659" ht="12.75" customHeight="1">
      <c r="A659" s="107"/>
      <c r="B659" s="107"/>
      <c r="C659" s="107"/>
      <c r="D659" s="102"/>
      <c r="E659" s="107"/>
      <c r="F659" s="108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10"/>
      <c r="V659" s="110"/>
    </row>
    <row r="660" ht="12.75" customHeight="1">
      <c r="A660" s="107"/>
      <c r="B660" s="107"/>
      <c r="C660" s="107"/>
      <c r="D660" s="102"/>
      <c r="E660" s="107"/>
      <c r="F660" s="108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10"/>
      <c r="V660" s="110"/>
    </row>
    <row r="661" ht="12.75" customHeight="1">
      <c r="A661" s="107"/>
      <c r="B661" s="107"/>
      <c r="C661" s="107"/>
      <c r="D661" s="102"/>
      <c r="E661" s="107"/>
      <c r="F661" s="108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10"/>
      <c r="V661" s="110"/>
    </row>
    <row r="662" ht="12.75" customHeight="1">
      <c r="A662" s="107"/>
      <c r="B662" s="107"/>
      <c r="C662" s="107"/>
      <c r="D662" s="102"/>
      <c r="E662" s="107"/>
      <c r="F662" s="108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10"/>
      <c r="V662" s="110"/>
    </row>
    <row r="663" ht="12.75" customHeight="1">
      <c r="A663" s="107"/>
      <c r="B663" s="107"/>
      <c r="C663" s="107"/>
      <c r="D663" s="102"/>
      <c r="E663" s="107"/>
      <c r="F663" s="108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10"/>
      <c r="V663" s="110"/>
    </row>
    <row r="664" ht="12.75" customHeight="1">
      <c r="A664" s="107"/>
      <c r="B664" s="107"/>
      <c r="C664" s="107"/>
      <c r="D664" s="102"/>
      <c r="E664" s="107"/>
      <c r="F664" s="108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10"/>
      <c r="V664" s="110"/>
    </row>
    <row r="665" ht="12.75" customHeight="1">
      <c r="A665" s="107"/>
      <c r="B665" s="107"/>
      <c r="C665" s="107"/>
      <c r="D665" s="102"/>
      <c r="E665" s="107"/>
      <c r="F665" s="108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10"/>
      <c r="V665" s="110"/>
    </row>
    <row r="666" ht="12.75" customHeight="1">
      <c r="A666" s="107"/>
      <c r="B666" s="107"/>
      <c r="C666" s="107"/>
      <c r="D666" s="102"/>
      <c r="E666" s="107"/>
      <c r="F666" s="108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10"/>
      <c r="V666" s="110"/>
    </row>
    <row r="667" ht="12.75" customHeight="1">
      <c r="A667" s="107"/>
      <c r="B667" s="107"/>
      <c r="C667" s="107"/>
      <c r="D667" s="102"/>
      <c r="E667" s="107"/>
      <c r="F667" s="108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10"/>
      <c r="V667" s="110"/>
    </row>
    <row r="668" ht="12.75" customHeight="1">
      <c r="A668" s="107"/>
      <c r="B668" s="107"/>
      <c r="C668" s="107"/>
      <c r="D668" s="102"/>
      <c r="E668" s="107"/>
      <c r="F668" s="108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10"/>
      <c r="V668" s="110"/>
    </row>
    <row r="669" ht="12.75" customHeight="1">
      <c r="A669" s="107"/>
      <c r="B669" s="107"/>
      <c r="C669" s="107"/>
      <c r="D669" s="102"/>
      <c r="E669" s="107"/>
      <c r="F669" s="108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10"/>
      <c r="V669" s="110"/>
    </row>
    <row r="670" ht="12.75" customHeight="1">
      <c r="A670" s="107"/>
      <c r="B670" s="107"/>
      <c r="C670" s="107"/>
      <c r="D670" s="102"/>
      <c r="E670" s="107"/>
      <c r="F670" s="108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10"/>
      <c r="V670" s="110"/>
    </row>
    <row r="671" ht="12.75" customHeight="1">
      <c r="A671" s="107"/>
      <c r="B671" s="107"/>
      <c r="C671" s="107"/>
      <c r="D671" s="102"/>
      <c r="E671" s="107"/>
      <c r="F671" s="108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10"/>
      <c r="V671" s="110"/>
    </row>
    <row r="672" ht="12.75" customHeight="1">
      <c r="A672" s="107"/>
      <c r="B672" s="107"/>
      <c r="C672" s="107"/>
      <c r="D672" s="102"/>
      <c r="E672" s="107"/>
      <c r="F672" s="108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10"/>
      <c r="V672" s="110"/>
    </row>
    <row r="673" ht="12.75" customHeight="1">
      <c r="A673" s="107"/>
      <c r="B673" s="107"/>
      <c r="C673" s="107"/>
      <c r="D673" s="102"/>
      <c r="E673" s="107"/>
      <c r="F673" s="108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10"/>
      <c r="V673" s="110"/>
    </row>
    <row r="674" ht="12.75" customHeight="1">
      <c r="A674" s="107"/>
      <c r="B674" s="107"/>
      <c r="C674" s="107"/>
      <c r="D674" s="102"/>
      <c r="E674" s="107"/>
      <c r="F674" s="108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10"/>
      <c r="V674" s="110"/>
    </row>
    <row r="675" ht="12.75" customHeight="1">
      <c r="A675" s="107"/>
      <c r="B675" s="107"/>
      <c r="C675" s="107"/>
      <c r="D675" s="102"/>
      <c r="E675" s="107"/>
      <c r="F675" s="108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10"/>
      <c r="V675" s="110"/>
    </row>
    <row r="676" ht="12.75" customHeight="1">
      <c r="A676" s="107"/>
      <c r="B676" s="107"/>
      <c r="C676" s="107"/>
      <c r="D676" s="102"/>
      <c r="E676" s="107"/>
      <c r="F676" s="108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10"/>
      <c r="V676" s="110"/>
    </row>
    <row r="677" ht="12.75" customHeight="1">
      <c r="A677" s="107"/>
      <c r="B677" s="107"/>
      <c r="C677" s="107"/>
      <c r="D677" s="102"/>
      <c r="E677" s="107"/>
      <c r="F677" s="108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10"/>
      <c r="V677" s="110"/>
    </row>
    <row r="678" ht="12.75" customHeight="1">
      <c r="A678" s="107"/>
      <c r="B678" s="107"/>
      <c r="C678" s="107"/>
      <c r="D678" s="102"/>
      <c r="E678" s="107"/>
      <c r="F678" s="108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10"/>
      <c r="V678" s="110"/>
    </row>
    <row r="679" ht="12.75" customHeight="1">
      <c r="A679" s="107"/>
      <c r="B679" s="107"/>
      <c r="C679" s="107"/>
      <c r="D679" s="102"/>
      <c r="E679" s="107"/>
      <c r="F679" s="108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10"/>
      <c r="V679" s="110"/>
    </row>
    <row r="680" ht="12.75" customHeight="1">
      <c r="A680" s="107"/>
      <c r="B680" s="107"/>
      <c r="C680" s="107"/>
      <c r="D680" s="102"/>
      <c r="E680" s="107"/>
      <c r="F680" s="108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10"/>
      <c r="V680" s="110"/>
    </row>
    <row r="681" ht="12.75" customHeight="1">
      <c r="A681" s="107"/>
      <c r="B681" s="107"/>
      <c r="C681" s="107"/>
      <c r="D681" s="102"/>
      <c r="E681" s="107"/>
      <c r="F681" s="108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10"/>
      <c r="V681" s="110"/>
    </row>
    <row r="682" ht="12.75" customHeight="1">
      <c r="A682" s="107"/>
      <c r="B682" s="107"/>
      <c r="C682" s="107"/>
      <c r="D682" s="102"/>
      <c r="E682" s="107"/>
      <c r="F682" s="108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10"/>
      <c r="V682" s="110"/>
    </row>
    <row r="683" ht="12.75" customHeight="1">
      <c r="A683" s="107"/>
      <c r="B683" s="107"/>
      <c r="C683" s="107"/>
      <c r="D683" s="102"/>
      <c r="E683" s="107"/>
      <c r="F683" s="108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10"/>
      <c r="V683" s="110"/>
    </row>
    <row r="684" ht="12.75" customHeight="1">
      <c r="A684" s="107"/>
      <c r="B684" s="107"/>
      <c r="C684" s="107"/>
      <c r="D684" s="102"/>
      <c r="E684" s="107"/>
      <c r="F684" s="108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10"/>
      <c r="V684" s="110"/>
    </row>
    <row r="685" ht="12.75" customHeight="1">
      <c r="A685" s="107"/>
      <c r="B685" s="107"/>
      <c r="C685" s="107"/>
      <c r="D685" s="102"/>
      <c r="E685" s="107"/>
      <c r="F685" s="108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10"/>
      <c r="V685" s="110"/>
    </row>
    <row r="686" ht="12.75" customHeight="1">
      <c r="A686" s="107"/>
      <c r="B686" s="107"/>
      <c r="C686" s="107"/>
      <c r="D686" s="102"/>
      <c r="E686" s="107"/>
      <c r="F686" s="108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10"/>
      <c r="V686" s="110"/>
    </row>
    <row r="687" ht="12.75" customHeight="1">
      <c r="A687" s="107"/>
      <c r="B687" s="107"/>
      <c r="C687" s="107"/>
      <c r="D687" s="102"/>
      <c r="E687" s="107"/>
      <c r="F687" s="108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10"/>
      <c r="V687" s="110"/>
    </row>
    <row r="688" ht="12.75" customHeight="1">
      <c r="A688" s="107"/>
      <c r="B688" s="107"/>
      <c r="C688" s="107"/>
      <c r="D688" s="102"/>
      <c r="E688" s="107"/>
      <c r="F688" s="108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10"/>
      <c r="V688" s="110"/>
    </row>
    <row r="689" ht="12.75" customHeight="1">
      <c r="A689" s="107"/>
      <c r="B689" s="107"/>
      <c r="C689" s="107"/>
      <c r="D689" s="102"/>
      <c r="E689" s="107"/>
      <c r="F689" s="108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10"/>
      <c r="V689" s="110"/>
    </row>
    <row r="690" ht="12.75" customHeight="1">
      <c r="A690" s="107"/>
      <c r="B690" s="107"/>
      <c r="C690" s="107"/>
      <c r="D690" s="102"/>
      <c r="E690" s="107"/>
      <c r="F690" s="108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10"/>
      <c r="V690" s="110"/>
    </row>
    <row r="691" ht="12.75" customHeight="1">
      <c r="A691" s="107"/>
      <c r="B691" s="107"/>
      <c r="C691" s="107"/>
      <c r="D691" s="102"/>
      <c r="E691" s="107"/>
      <c r="F691" s="108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10"/>
      <c r="V691" s="110"/>
    </row>
    <row r="692" ht="12.75" customHeight="1">
      <c r="A692" s="107"/>
      <c r="B692" s="107"/>
      <c r="C692" s="107"/>
      <c r="D692" s="102"/>
      <c r="E692" s="107"/>
      <c r="F692" s="108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10"/>
      <c r="V692" s="110"/>
    </row>
    <row r="693" ht="12.75" customHeight="1">
      <c r="A693" s="107"/>
      <c r="B693" s="107"/>
      <c r="C693" s="107"/>
      <c r="D693" s="102"/>
      <c r="E693" s="107"/>
      <c r="F693" s="108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10"/>
      <c r="V693" s="110"/>
    </row>
    <row r="694" ht="12.75" customHeight="1">
      <c r="A694" s="107"/>
      <c r="B694" s="107"/>
      <c r="C694" s="107"/>
      <c r="D694" s="102"/>
      <c r="E694" s="107"/>
      <c r="F694" s="108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10"/>
      <c r="V694" s="110"/>
    </row>
    <row r="695" ht="12.75" customHeight="1">
      <c r="A695" s="107"/>
      <c r="B695" s="107"/>
      <c r="C695" s="107"/>
      <c r="D695" s="102"/>
      <c r="E695" s="107"/>
      <c r="F695" s="108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10"/>
      <c r="V695" s="110"/>
    </row>
    <row r="696" ht="12.75" customHeight="1">
      <c r="A696" s="107"/>
      <c r="B696" s="107"/>
      <c r="C696" s="107"/>
      <c r="D696" s="102"/>
      <c r="E696" s="107"/>
      <c r="F696" s="108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10"/>
      <c r="V696" s="110"/>
    </row>
    <row r="697" ht="12.75" customHeight="1">
      <c r="A697" s="107"/>
      <c r="B697" s="107"/>
      <c r="C697" s="107"/>
      <c r="D697" s="102"/>
      <c r="E697" s="107"/>
      <c r="F697" s="108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10"/>
      <c r="V697" s="110"/>
    </row>
    <row r="698" ht="12.75" customHeight="1">
      <c r="A698" s="107"/>
      <c r="B698" s="107"/>
      <c r="C698" s="107"/>
      <c r="D698" s="102"/>
      <c r="E698" s="107"/>
      <c r="F698" s="108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10"/>
      <c r="V698" s="110"/>
    </row>
    <row r="699" ht="12.75" customHeight="1">
      <c r="A699" s="107"/>
      <c r="B699" s="107"/>
      <c r="C699" s="107"/>
      <c r="D699" s="102"/>
      <c r="E699" s="107"/>
      <c r="F699" s="108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10"/>
      <c r="V699" s="110"/>
    </row>
    <row r="700" ht="12.75" customHeight="1">
      <c r="A700" s="107"/>
      <c r="B700" s="107"/>
      <c r="C700" s="107"/>
      <c r="D700" s="102"/>
      <c r="E700" s="107"/>
      <c r="F700" s="108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10"/>
      <c r="V700" s="110"/>
    </row>
    <row r="701" ht="12.75" customHeight="1">
      <c r="A701" s="107"/>
      <c r="B701" s="107"/>
      <c r="C701" s="107"/>
      <c r="D701" s="102"/>
      <c r="E701" s="107"/>
      <c r="F701" s="108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10"/>
      <c r="V701" s="110"/>
    </row>
    <row r="702" ht="12.75" customHeight="1">
      <c r="A702" s="107"/>
      <c r="B702" s="107"/>
      <c r="C702" s="107"/>
      <c r="D702" s="102"/>
      <c r="E702" s="107"/>
      <c r="F702" s="108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10"/>
      <c r="V702" s="110"/>
    </row>
    <row r="703" ht="12.75" customHeight="1">
      <c r="A703" s="107"/>
      <c r="B703" s="107"/>
      <c r="C703" s="107"/>
      <c r="D703" s="102"/>
      <c r="E703" s="107"/>
      <c r="F703" s="108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10"/>
      <c r="V703" s="110"/>
    </row>
    <row r="704" ht="12.75" customHeight="1">
      <c r="A704" s="107"/>
      <c r="B704" s="107"/>
      <c r="C704" s="107"/>
      <c r="D704" s="102"/>
      <c r="E704" s="107"/>
      <c r="F704" s="108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10"/>
      <c r="V704" s="110"/>
    </row>
    <row r="705" ht="12.75" customHeight="1">
      <c r="A705" s="107"/>
      <c r="B705" s="107"/>
      <c r="C705" s="107"/>
      <c r="D705" s="102"/>
      <c r="E705" s="107"/>
      <c r="F705" s="108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10"/>
      <c r="V705" s="110"/>
    </row>
    <row r="706" ht="12.75" customHeight="1">
      <c r="A706" s="107"/>
      <c r="B706" s="107"/>
      <c r="C706" s="107"/>
      <c r="D706" s="102"/>
      <c r="E706" s="107"/>
      <c r="F706" s="108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10"/>
      <c r="V706" s="110"/>
    </row>
    <row r="707" ht="12.75" customHeight="1">
      <c r="A707" s="107"/>
      <c r="B707" s="107"/>
      <c r="C707" s="107"/>
      <c r="D707" s="102"/>
      <c r="E707" s="107"/>
      <c r="F707" s="108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10"/>
      <c r="V707" s="110"/>
    </row>
    <row r="708" ht="12.75" customHeight="1">
      <c r="A708" s="107"/>
      <c r="B708" s="107"/>
      <c r="C708" s="107"/>
      <c r="D708" s="102"/>
      <c r="E708" s="107"/>
      <c r="F708" s="108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10"/>
      <c r="V708" s="110"/>
    </row>
    <row r="709" ht="12.75" customHeight="1">
      <c r="A709" s="107"/>
      <c r="B709" s="107"/>
      <c r="C709" s="107"/>
      <c r="D709" s="102"/>
      <c r="E709" s="107"/>
      <c r="F709" s="108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10"/>
      <c r="V709" s="110"/>
    </row>
    <row r="710" ht="12.75" customHeight="1">
      <c r="A710" s="107"/>
      <c r="B710" s="107"/>
      <c r="C710" s="107"/>
      <c r="D710" s="102"/>
      <c r="E710" s="107"/>
      <c r="F710" s="108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10"/>
      <c r="V710" s="110"/>
    </row>
    <row r="711" ht="12.75" customHeight="1">
      <c r="A711" s="107"/>
      <c r="B711" s="107"/>
      <c r="C711" s="107"/>
      <c r="D711" s="102"/>
      <c r="E711" s="107"/>
      <c r="F711" s="108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10"/>
      <c r="V711" s="110"/>
    </row>
    <row r="712" ht="12.75" customHeight="1">
      <c r="A712" s="107"/>
      <c r="B712" s="107"/>
      <c r="C712" s="107"/>
      <c r="D712" s="102"/>
      <c r="E712" s="107"/>
      <c r="F712" s="108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10"/>
      <c r="V712" s="110"/>
    </row>
    <row r="713" ht="12.75" customHeight="1">
      <c r="A713" s="107"/>
      <c r="B713" s="107"/>
      <c r="C713" s="107"/>
      <c r="D713" s="102"/>
      <c r="E713" s="107"/>
      <c r="F713" s="108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10"/>
      <c r="V713" s="110"/>
    </row>
    <row r="714" ht="12.75" customHeight="1">
      <c r="A714" s="107"/>
      <c r="B714" s="107"/>
      <c r="C714" s="107"/>
      <c r="D714" s="102"/>
      <c r="E714" s="107"/>
      <c r="F714" s="108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10"/>
      <c r="V714" s="110"/>
    </row>
    <row r="715" ht="12.75" customHeight="1">
      <c r="A715" s="107"/>
      <c r="B715" s="107"/>
      <c r="C715" s="107"/>
      <c r="D715" s="102"/>
      <c r="E715" s="107"/>
      <c r="F715" s="108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10"/>
      <c r="V715" s="110"/>
    </row>
    <row r="716" ht="12.75" customHeight="1">
      <c r="A716" s="107"/>
      <c r="B716" s="107"/>
      <c r="C716" s="107"/>
      <c r="D716" s="102"/>
      <c r="E716" s="107"/>
      <c r="F716" s="108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10"/>
      <c r="V716" s="110"/>
    </row>
    <row r="717" ht="12.75" customHeight="1">
      <c r="A717" s="107"/>
      <c r="B717" s="107"/>
      <c r="C717" s="107"/>
      <c r="D717" s="102"/>
      <c r="E717" s="107"/>
      <c r="F717" s="108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10"/>
      <c r="V717" s="110"/>
    </row>
    <row r="718" ht="12.75" customHeight="1">
      <c r="A718" s="107"/>
      <c r="B718" s="107"/>
      <c r="C718" s="107"/>
      <c r="D718" s="102"/>
      <c r="E718" s="107"/>
      <c r="F718" s="108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10"/>
      <c r="V718" s="110"/>
    </row>
    <row r="719" ht="12.75" customHeight="1">
      <c r="A719" s="107"/>
      <c r="B719" s="107"/>
      <c r="C719" s="107"/>
      <c r="D719" s="102"/>
      <c r="E719" s="107"/>
      <c r="F719" s="108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10"/>
      <c r="V719" s="110"/>
    </row>
    <row r="720" ht="12.75" customHeight="1">
      <c r="A720" s="107"/>
      <c r="B720" s="107"/>
      <c r="C720" s="107"/>
      <c r="D720" s="102"/>
      <c r="E720" s="107"/>
      <c r="F720" s="108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10"/>
      <c r="V720" s="110"/>
    </row>
    <row r="721" ht="12.75" customHeight="1">
      <c r="A721" s="107"/>
      <c r="B721" s="107"/>
      <c r="C721" s="107"/>
      <c r="D721" s="102"/>
      <c r="E721" s="107"/>
      <c r="F721" s="108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10"/>
      <c r="V721" s="110"/>
    </row>
    <row r="722" ht="12.75" customHeight="1">
      <c r="A722" s="107"/>
      <c r="B722" s="107"/>
      <c r="C722" s="107"/>
      <c r="D722" s="102"/>
      <c r="E722" s="107"/>
      <c r="F722" s="108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10"/>
      <c r="V722" s="110"/>
    </row>
    <row r="723" ht="12.75" customHeight="1">
      <c r="A723" s="107"/>
      <c r="B723" s="107"/>
      <c r="C723" s="107"/>
      <c r="D723" s="102"/>
      <c r="E723" s="107"/>
      <c r="F723" s="108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10"/>
      <c r="V723" s="110"/>
    </row>
    <row r="724" ht="12.75" customHeight="1">
      <c r="A724" s="107"/>
      <c r="B724" s="107"/>
      <c r="C724" s="107"/>
      <c r="D724" s="102"/>
      <c r="E724" s="107"/>
      <c r="F724" s="108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10"/>
      <c r="V724" s="110"/>
    </row>
    <row r="725" ht="12.75" customHeight="1">
      <c r="A725" s="107"/>
      <c r="B725" s="107"/>
      <c r="C725" s="107"/>
      <c r="D725" s="102"/>
      <c r="E725" s="107"/>
      <c r="F725" s="108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10"/>
      <c r="V725" s="110"/>
    </row>
    <row r="726" ht="12.75" customHeight="1">
      <c r="A726" s="107"/>
      <c r="B726" s="107"/>
      <c r="C726" s="107"/>
      <c r="D726" s="102"/>
      <c r="E726" s="107"/>
      <c r="F726" s="108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10"/>
      <c r="V726" s="110"/>
    </row>
    <row r="727" ht="12.75" customHeight="1">
      <c r="A727" s="107"/>
      <c r="B727" s="107"/>
      <c r="C727" s="107"/>
      <c r="D727" s="102"/>
      <c r="E727" s="107"/>
      <c r="F727" s="108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10"/>
      <c r="V727" s="110"/>
    </row>
    <row r="728" ht="12.75" customHeight="1">
      <c r="A728" s="107"/>
      <c r="B728" s="107"/>
      <c r="C728" s="107"/>
      <c r="D728" s="102"/>
      <c r="E728" s="107"/>
      <c r="F728" s="108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10"/>
      <c r="V728" s="110"/>
    </row>
    <row r="729" ht="12.75" customHeight="1">
      <c r="A729" s="107"/>
      <c r="B729" s="107"/>
      <c r="C729" s="107"/>
      <c r="D729" s="102"/>
      <c r="E729" s="107"/>
      <c r="F729" s="108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10"/>
      <c r="V729" s="110"/>
    </row>
    <row r="730" ht="12.75" customHeight="1">
      <c r="A730" s="107"/>
      <c r="B730" s="107"/>
      <c r="C730" s="107"/>
      <c r="D730" s="102"/>
      <c r="E730" s="107"/>
      <c r="F730" s="108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10"/>
      <c r="V730" s="110"/>
    </row>
    <row r="731" ht="12.75" customHeight="1">
      <c r="A731" s="107"/>
      <c r="B731" s="107"/>
      <c r="C731" s="107"/>
      <c r="D731" s="102"/>
      <c r="E731" s="107"/>
      <c r="F731" s="108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10"/>
      <c r="V731" s="110"/>
    </row>
    <row r="732" ht="12.75" customHeight="1">
      <c r="A732" s="107"/>
      <c r="B732" s="107"/>
      <c r="C732" s="107"/>
      <c r="D732" s="102"/>
      <c r="E732" s="107"/>
      <c r="F732" s="108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10"/>
      <c r="V732" s="110"/>
    </row>
    <row r="733" ht="12.75" customHeight="1">
      <c r="A733" s="107"/>
      <c r="B733" s="107"/>
      <c r="C733" s="107"/>
      <c r="D733" s="102"/>
      <c r="E733" s="107"/>
      <c r="F733" s="108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10"/>
      <c r="V733" s="110"/>
    </row>
    <row r="734" ht="12.75" customHeight="1">
      <c r="A734" s="107"/>
      <c r="B734" s="107"/>
      <c r="C734" s="107"/>
      <c r="D734" s="102"/>
      <c r="E734" s="107"/>
      <c r="F734" s="108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10"/>
      <c r="V734" s="110"/>
    </row>
    <row r="735" ht="12.75" customHeight="1">
      <c r="A735" s="107"/>
      <c r="B735" s="107"/>
      <c r="C735" s="107"/>
      <c r="D735" s="102"/>
      <c r="E735" s="107"/>
      <c r="F735" s="108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10"/>
      <c r="V735" s="110"/>
    </row>
    <row r="736" ht="12.75" customHeight="1">
      <c r="A736" s="107"/>
      <c r="B736" s="107"/>
      <c r="C736" s="107"/>
      <c r="D736" s="102"/>
      <c r="E736" s="107"/>
      <c r="F736" s="108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10"/>
      <c r="V736" s="110"/>
    </row>
    <row r="737" ht="12.75" customHeight="1">
      <c r="A737" s="107"/>
      <c r="B737" s="107"/>
      <c r="C737" s="107"/>
      <c r="D737" s="102"/>
      <c r="E737" s="107"/>
      <c r="F737" s="108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10"/>
      <c r="V737" s="110"/>
    </row>
    <row r="738" ht="12.75" customHeight="1">
      <c r="A738" s="107"/>
      <c r="B738" s="107"/>
      <c r="C738" s="107"/>
      <c r="D738" s="102"/>
      <c r="E738" s="107"/>
      <c r="F738" s="108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10"/>
      <c r="V738" s="110"/>
    </row>
    <row r="739" ht="12.75" customHeight="1">
      <c r="A739" s="107"/>
      <c r="B739" s="107"/>
      <c r="C739" s="107"/>
      <c r="D739" s="102"/>
      <c r="E739" s="107"/>
      <c r="F739" s="108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10"/>
      <c r="V739" s="110"/>
    </row>
    <row r="740" ht="12.75" customHeight="1">
      <c r="A740" s="107"/>
      <c r="B740" s="107"/>
      <c r="C740" s="107"/>
      <c r="D740" s="102"/>
      <c r="E740" s="107"/>
      <c r="F740" s="108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10"/>
      <c r="V740" s="110"/>
    </row>
    <row r="741" ht="12.75" customHeight="1">
      <c r="A741" s="107"/>
      <c r="B741" s="107"/>
      <c r="C741" s="107"/>
      <c r="D741" s="102"/>
      <c r="E741" s="107"/>
      <c r="F741" s="108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10"/>
      <c r="V741" s="110"/>
    </row>
    <row r="742" ht="12.75" customHeight="1">
      <c r="A742" s="107"/>
      <c r="B742" s="107"/>
      <c r="C742" s="107"/>
      <c r="D742" s="102"/>
      <c r="E742" s="107"/>
      <c r="F742" s="108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10"/>
      <c r="V742" s="110"/>
    </row>
    <row r="743" ht="12.75" customHeight="1">
      <c r="A743" s="107"/>
      <c r="B743" s="107"/>
      <c r="C743" s="107"/>
      <c r="D743" s="102"/>
      <c r="E743" s="107"/>
      <c r="F743" s="108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10"/>
      <c r="V743" s="110"/>
    </row>
    <row r="744" ht="12.75" customHeight="1">
      <c r="A744" s="107"/>
      <c r="B744" s="107"/>
      <c r="C744" s="107"/>
      <c r="D744" s="102"/>
      <c r="E744" s="107"/>
      <c r="F744" s="108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10"/>
      <c r="V744" s="110"/>
    </row>
    <row r="745" ht="12.75" customHeight="1">
      <c r="A745" s="107"/>
      <c r="B745" s="107"/>
      <c r="C745" s="107"/>
      <c r="D745" s="102"/>
      <c r="E745" s="107"/>
      <c r="F745" s="108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10"/>
      <c r="V745" s="110"/>
    </row>
    <row r="746" ht="12.75" customHeight="1">
      <c r="A746" s="107"/>
      <c r="B746" s="107"/>
      <c r="C746" s="107"/>
      <c r="D746" s="102"/>
      <c r="E746" s="107"/>
      <c r="F746" s="108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10"/>
      <c r="V746" s="110"/>
    </row>
    <row r="747" ht="12.75" customHeight="1">
      <c r="A747" s="107"/>
      <c r="B747" s="107"/>
      <c r="C747" s="107"/>
      <c r="D747" s="102"/>
      <c r="E747" s="107"/>
      <c r="F747" s="108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10"/>
      <c r="V747" s="110"/>
    </row>
    <row r="748" ht="12.75" customHeight="1">
      <c r="A748" s="107"/>
      <c r="B748" s="107"/>
      <c r="C748" s="107"/>
      <c r="D748" s="102"/>
      <c r="E748" s="107"/>
      <c r="F748" s="108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10"/>
      <c r="V748" s="110"/>
    </row>
    <row r="749" ht="12.75" customHeight="1">
      <c r="A749" s="107"/>
      <c r="B749" s="107"/>
      <c r="C749" s="107"/>
      <c r="D749" s="102"/>
      <c r="E749" s="107"/>
      <c r="F749" s="108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10"/>
      <c r="V749" s="110"/>
    </row>
    <row r="750" ht="12.75" customHeight="1">
      <c r="A750" s="107"/>
      <c r="B750" s="107"/>
      <c r="C750" s="107"/>
      <c r="D750" s="102"/>
      <c r="E750" s="107"/>
      <c r="F750" s="108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10"/>
      <c r="V750" s="110"/>
    </row>
    <row r="751" ht="12.75" customHeight="1">
      <c r="A751" s="107"/>
      <c r="B751" s="107"/>
      <c r="C751" s="107"/>
      <c r="D751" s="102"/>
      <c r="E751" s="107"/>
      <c r="F751" s="108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10"/>
      <c r="V751" s="110"/>
    </row>
    <row r="752" ht="12.75" customHeight="1">
      <c r="A752" s="107"/>
      <c r="B752" s="107"/>
      <c r="C752" s="107"/>
      <c r="D752" s="102"/>
      <c r="E752" s="107"/>
      <c r="F752" s="108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10"/>
      <c r="V752" s="110"/>
    </row>
    <row r="753" ht="12.75" customHeight="1">
      <c r="A753" s="107"/>
      <c r="B753" s="107"/>
      <c r="C753" s="107"/>
      <c r="D753" s="102"/>
      <c r="E753" s="107"/>
      <c r="F753" s="108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10"/>
      <c r="V753" s="110"/>
    </row>
    <row r="754" ht="12.75" customHeight="1">
      <c r="A754" s="107"/>
      <c r="B754" s="107"/>
      <c r="C754" s="107"/>
      <c r="D754" s="102"/>
      <c r="E754" s="107"/>
      <c r="F754" s="108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10"/>
      <c r="V754" s="110"/>
    </row>
    <row r="755" ht="12.75" customHeight="1">
      <c r="A755" s="107"/>
      <c r="B755" s="107"/>
      <c r="C755" s="107"/>
      <c r="D755" s="102"/>
      <c r="E755" s="107"/>
      <c r="F755" s="108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10"/>
      <c r="V755" s="110"/>
    </row>
    <row r="756" ht="12.75" customHeight="1">
      <c r="A756" s="107"/>
      <c r="B756" s="107"/>
      <c r="C756" s="107"/>
      <c r="D756" s="102"/>
      <c r="E756" s="107"/>
      <c r="F756" s="108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10"/>
      <c r="V756" s="110"/>
    </row>
    <row r="757" ht="12.75" customHeight="1">
      <c r="A757" s="107"/>
      <c r="B757" s="107"/>
      <c r="C757" s="107"/>
      <c r="D757" s="102"/>
      <c r="E757" s="107"/>
      <c r="F757" s="108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10"/>
      <c r="V757" s="110"/>
    </row>
    <row r="758" ht="12.75" customHeight="1">
      <c r="A758" s="107"/>
      <c r="B758" s="107"/>
      <c r="C758" s="107"/>
      <c r="D758" s="102"/>
      <c r="E758" s="107"/>
      <c r="F758" s="108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10"/>
      <c r="V758" s="110"/>
    </row>
    <row r="759" ht="12.75" customHeight="1">
      <c r="A759" s="107"/>
      <c r="B759" s="107"/>
      <c r="C759" s="107"/>
      <c r="D759" s="102"/>
      <c r="E759" s="107"/>
      <c r="F759" s="108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10"/>
      <c r="V759" s="110"/>
    </row>
    <row r="760" ht="12.75" customHeight="1">
      <c r="A760" s="107"/>
      <c r="B760" s="107"/>
      <c r="C760" s="107"/>
      <c r="D760" s="102"/>
      <c r="E760" s="107"/>
      <c r="F760" s="108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10"/>
      <c r="V760" s="110"/>
    </row>
    <row r="761" ht="12.75" customHeight="1">
      <c r="A761" s="107"/>
      <c r="B761" s="107"/>
      <c r="C761" s="107"/>
      <c r="D761" s="102"/>
      <c r="E761" s="107"/>
      <c r="F761" s="108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10"/>
      <c r="V761" s="110"/>
    </row>
    <row r="762" ht="12.75" customHeight="1">
      <c r="A762" s="107"/>
      <c r="B762" s="107"/>
      <c r="C762" s="107"/>
      <c r="D762" s="102"/>
      <c r="E762" s="107"/>
      <c r="F762" s="108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10"/>
      <c r="V762" s="110"/>
    </row>
    <row r="763" ht="12.75" customHeight="1">
      <c r="A763" s="107"/>
      <c r="B763" s="107"/>
      <c r="C763" s="107"/>
      <c r="D763" s="102"/>
      <c r="E763" s="107"/>
      <c r="F763" s="108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10"/>
      <c r="V763" s="110"/>
    </row>
    <row r="764" ht="12.75" customHeight="1">
      <c r="A764" s="107"/>
      <c r="B764" s="107"/>
      <c r="C764" s="107"/>
      <c r="D764" s="102"/>
      <c r="E764" s="107"/>
      <c r="F764" s="108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10"/>
      <c r="V764" s="110"/>
    </row>
    <row r="765" ht="12.75" customHeight="1">
      <c r="A765" s="107"/>
      <c r="B765" s="107"/>
      <c r="C765" s="107"/>
      <c r="D765" s="102"/>
      <c r="E765" s="107"/>
      <c r="F765" s="108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10"/>
      <c r="V765" s="110"/>
    </row>
    <row r="766" ht="12.75" customHeight="1">
      <c r="A766" s="107"/>
      <c r="B766" s="107"/>
      <c r="C766" s="107"/>
      <c r="D766" s="102"/>
      <c r="E766" s="107"/>
      <c r="F766" s="108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10"/>
      <c r="V766" s="110"/>
    </row>
    <row r="767" ht="12.75" customHeight="1">
      <c r="A767" s="107"/>
      <c r="B767" s="107"/>
      <c r="C767" s="107"/>
      <c r="D767" s="102"/>
      <c r="E767" s="107"/>
      <c r="F767" s="108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10"/>
      <c r="V767" s="110"/>
    </row>
    <row r="768" ht="12.75" customHeight="1">
      <c r="A768" s="107"/>
      <c r="B768" s="107"/>
      <c r="C768" s="107"/>
      <c r="D768" s="102"/>
      <c r="E768" s="107"/>
      <c r="F768" s="108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10"/>
      <c r="V768" s="110"/>
    </row>
    <row r="769" ht="12.75" customHeight="1">
      <c r="A769" s="107"/>
      <c r="B769" s="107"/>
      <c r="C769" s="107"/>
      <c r="D769" s="102"/>
      <c r="E769" s="107"/>
      <c r="F769" s="108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10"/>
      <c r="V769" s="110"/>
    </row>
    <row r="770" ht="12.75" customHeight="1">
      <c r="A770" s="107"/>
      <c r="B770" s="107"/>
      <c r="C770" s="107"/>
      <c r="D770" s="102"/>
      <c r="E770" s="107"/>
      <c r="F770" s="108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10"/>
      <c r="V770" s="110"/>
    </row>
    <row r="771" ht="12.75" customHeight="1">
      <c r="A771" s="107"/>
      <c r="B771" s="107"/>
      <c r="C771" s="107"/>
      <c r="D771" s="102"/>
      <c r="E771" s="107"/>
      <c r="F771" s="108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10"/>
      <c r="V771" s="110"/>
    </row>
    <row r="772" ht="12.75" customHeight="1">
      <c r="A772" s="107"/>
      <c r="B772" s="107"/>
      <c r="C772" s="107"/>
      <c r="D772" s="102"/>
      <c r="E772" s="107"/>
      <c r="F772" s="108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10"/>
      <c r="V772" s="110"/>
    </row>
    <row r="773" ht="12.75" customHeight="1">
      <c r="A773" s="107"/>
      <c r="B773" s="107"/>
      <c r="C773" s="107"/>
      <c r="D773" s="102"/>
      <c r="E773" s="107"/>
      <c r="F773" s="108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10"/>
      <c r="V773" s="110"/>
    </row>
    <row r="774" ht="12.75" customHeight="1">
      <c r="A774" s="107"/>
      <c r="B774" s="107"/>
      <c r="C774" s="107"/>
      <c r="D774" s="102"/>
      <c r="E774" s="107"/>
      <c r="F774" s="108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10"/>
      <c r="V774" s="110"/>
    </row>
    <row r="775" ht="12.75" customHeight="1">
      <c r="A775" s="107"/>
      <c r="B775" s="107"/>
      <c r="C775" s="107"/>
      <c r="D775" s="102"/>
      <c r="E775" s="107"/>
      <c r="F775" s="108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10"/>
      <c r="V775" s="110"/>
    </row>
    <row r="776" ht="12.75" customHeight="1">
      <c r="A776" s="107"/>
      <c r="B776" s="107"/>
      <c r="C776" s="107"/>
      <c r="D776" s="102"/>
      <c r="E776" s="107"/>
      <c r="F776" s="108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10"/>
      <c r="V776" s="110"/>
    </row>
    <row r="777" ht="12.75" customHeight="1">
      <c r="A777" s="107"/>
      <c r="B777" s="107"/>
      <c r="C777" s="107"/>
      <c r="D777" s="102"/>
      <c r="E777" s="107"/>
      <c r="F777" s="108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10"/>
      <c r="V777" s="110"/>
    </row>
    <row r="778" ht="12.75" customHeight="1">
      <c r="A778" s="107"/>
      <c r="B778" s="107"/>
      <c r="C778" s="107"/>
      <c r="D778" s="102"/>
      <c r="E778" s="107"/>
      <c r="F778" s="108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10"/>
      <c r="V778" s="110"/>
    </row>
    <row r="779" ht="12.75" customHeight="1">
      <c r="A779" s="107"/>
      <c r="B779" s="107"/>
      <c r="C779" s="107"/>
      <c r="D779" s="102"/>
      <c r="E779" s="107"/>
      <c r="F779" s="108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10"/>
      <c r="V779" s="110"/>
    </row>
    <row r="780" ht="12.75" customHeight="1">
      <c r="A780" s="107"/>
      <c r="B780" s="107"/>
      <c r="C780" s="107"/>
      <c r="D780" s="102"/>
      <c r="E780" s="107"/>
      <c r="F780" s="108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10"/>
      <c r="V780" s="110"/>
    </row>
    <row r="781" ht="12.75" customHeight="1">
      <c r="A781" s="107"/>
      <c r="B781" s="107"/>
      <c r="C781" s="107"/>
      <c r="D781" s="102"/>
      <c r="E781" s="107"/>
      <c r="F781" s="108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10"/>
      <c r="V781" s="110"/>
    </row>
    <row r="782" ht="12.75" customHeight="1">
      <c r="A782" s="107"/>
      <c r="B782" s="107"/>
      <c r="C782" s="107"/>
      <c r="D782" s="102"/>
      <c r="E782" s="107"/>
      <c r="F782" s="108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10"/>
      <c r="V782" s="110"/>
    </row>
    <row r="783" ht="12.75" customHeight="1">
      <c r="A783" s="107"/>
      <c r="B783" s="107"/>
      <c r="C783" s="107"/>
      <c r="D783" s="102"/>
      <c r="E783" s="107"/>
      <c r="F783" s="108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10"/>
      <c r="V783" s="110"/>
    </row>
    <row r="784" ht="12.75" customHeight="1">
      <c r="A784" s="107"/>
      <c r="B784" s="107"/>
      <c r="C784" s="107"/>
      <c r="D784" s="102"/>
      <c r="E784" s="107"/>
      <c r="F784" s="108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10"/>
      <c r="V784" s="110"/>
    </row>
    <row r="785" ht="12.75" customHeight="1">
      <c r="A785" s="107"/>
      <c r="B785" s="107"/>
      <c r="C785" s="107"/>
      <c r="D785" s="102"/>
      <c r="E785" s="107"/>
      <c r="F785" s="108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10"/>
      <c r="V785" s="110"/>
    </row>
    <row r="786" ht="12.75" customHeight="1">
      <c r="A786" s="107"/>
      <c r="B786" s="107"/>
      <c r="C786" s="107"/>
      <c r="D786" s="102"/>
      <c r="E786" s="107"/>
      <c r="F786" s="108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10"/>
      <c r="V786" s="110"/>
    </row>
    <row r="787" ht="12.75" customHeight="1">
      <c r="A787" s="107"/>
      <c r="B787" s="107"/>
      <c r="C787" s="107"/>
      <c r="D787" s="102"/>
      <c r="E787" s="107"/>
      <c r="F787" s="108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10"/>
      <c r="V787" s="110"/>
    </row>
    <row r="788" ht="12.75" customHeight="1">
      <c r="A788" s="107"/>
      <c r="B788" s="107"/>
      <c r="C788" s="107"/>
      <c r="D788" s="102"/>
      <c r="E788" s="107"/>
      <c r="F788" s="108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10"/>
      <c r="V788" s="110"/>
    </row>
    <row r="789" ht="12.75" customHeight="1">
      <c r="A789" s="107"/>
      <c r="B789" s="107"/>
      <c r="C789" s="107"/>
      <c r="D789" s="102"/>
      <c r="E789" s="107"/>
      <c r="F789" s="108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10"/>
      <c r="V789" s="110"/>
    </row>
    <row r="790" ht="12.75" customHeight="1">
      <c r="A790" s="107"/>
      <c r="B790" s="107"/>
      <c r="C790" s="107"/>
      <c r="D790" s="102"/>
      <c r="E790" s="107"/>
      <c r="F790" s="108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10"/>
      <c r="V790" s="110"/>
    </row>
    <row r="791" ht="12.75" customHeight="1">
      <c r="A791" s="107"/>
      <c r="B791" s="107"/>
      <c r="C791" s="107"/>
      <c r="D791" s="102"/>
      <c r="E791" s="107"/>
      <c r="F791" s="108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10"/>
      <c r="V791" s="110"/>
    </row>
    <row r="792" ht="12.75" customHeight="1">
      <c r="A792" s="107"/>
      <c r="B792" s="107"/>
      <c r="C792" s="107"/>
      <c r="D792" s="102"/>
      <c r="E792" s="107"/>
      <c r="F792" s="108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10"/>
      <c r="V792" s="110"/>
    </row>
    <row r="793" ht="12.75" customHeight="1">
      <c r="A793" s="107"/>
      <c r="B793" s="107"/>
      <c r="C793" s="107"/>
      <c r="D793" s="102"/>
      <c r="E793" s="107"/>
      <c r="F793" s="108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10"/>
      <c r="V793" s="110"/>
    </row>
    <row r="794" ht="12.75" customHeight="1">
      <c r="A794" s="107"/>
      <c r="B794" s="107"/>
      <c r="C794" s="107"/>
      <c r="D794" s="102"/>
      <c r="E794" s="107"/>
      <c r="F794" s="108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10"/>
      <c r="V794" s="110"/>
    </row>
    <row r="795" ht="12.75" customHeight="1">
      <c r="A795" s="107"/>
      <c r="B795" s="107"/>
      <c r="C795" s="107"/>
      <c r="D795" s="102"/>
      <c r="E795" s="107"/>
      <c r="F795" s="108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10"/>
      <c r="V795" s="110"/>
    </row>
    <row r="796" ht="12.75" customHeight="1">
      <c r="A796" s="107"/>
      <c r="B796" s="107"/>
      <c r="C796" s="107"/>
      <c r="D796" s="102"/>
      <c r="E796" s="107"/>
      <c r="F796" s="108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10"/>
      <c r="V796" s="110"/>
    </row>
    <row r="797" ht="12.75" customHeight="1">
      <c r="A797" s="107"/>
      <c r="B797" s="107"/>
      <c r="C797" s="107"/>
      <c r="D797" s="102"/>
      <c r="E797" s="107"/>
      <c r="F797" s="108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10"/>
      <c r="V797" s="110"/>
    </row>
    <row r="798" ht="12.75" customHeight="1">
      <c r="A798" s="107"/>
      <c r="B798" s="107"/>
      <c r="C798" s="107"/>
      <c r="D798" s="102"/>
      <c r="E798" s="107"/>
      <c r="F798" s="108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10"/>
      <c r="V798" s="110"/>
    </row>
    <row r="799" ht="12.75" customHeight="1">
      <c r="A799" s="107"/>
      <c r="B799" s="107"/>
      <c r="C799" s="107"/>
      <c r="D799" s="102"/>
      <c r="E799" s="107"/>
      <c r="F799" s="108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10"/>
      <c r="V799" s="110"/>
    </row>
    <row r="800" ht="12.75" customHeight="1">
      <c r="A800" s="107"/>
      <c r="B800" s="107"/>
      <c r="C800" s="107"/>
      <c r="D800" s="102"/>
      <c r="E800" s="107"/>
      <c r="F800" s="108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10"/>
      <c r="V800" s="110"/>
    </row>
    <row r="801" ht="12.75" customHeight="1">
      <c r="A801" s="107"/>
      <c r="B801" s="107"/>
      <c r="C801" s="107"/>
      <c r="D801" s="102"/>
      <c r="E801" s="107"/>
      <c r="F801" s="108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10"/>
      <c r="V801" s="110"/>
    </row>
    <row r="802" ht="12.75" customHeight="1">
      <c r="A802" s="107"/>
      <c r="B802" s="107"/>
      <c r="C802" s="107"/>
      <c r="D802" s="102"/>
      <c r="E802" s="107"/>
      <c r="F802" s="108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10"/>
      <c r="V802" s="110"/>
    </row>
    <row r="803" ht="12.75" customHeight="1">
      <c r="A803" s="107"/>
      <c r="B803" s="107"/>
      <c r="C803" s="107"/>
      <c r="D803" s="102"/>
      <c r="E803" s="107"/>
      <c r="F803" s="108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10"/>
      <c r="V803" s="110"/>
    </row>
    <row r="804" ht="12.75" customHeight="1">
      <c r="A804" s="107"/>
      <c r="B804" s="107"/>
      <c r="C804" s="107"/>
      <c r="D804" s="102"/>
      <c r="E804" s="107"/>
      <c r="F804" s="108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10"/>
      <c r="V804" s="110"/>
    </row>
    <row r="805" ht="12.75" customHeight="1">
      <c r="A805" s="107"/>
      <c r="B805" s="107"/>
      <c r="C805" s="107"/>
      <c r="D805" s="102"/>
      <c r="E805" s="107"/>
      <c r="F805" s="108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10"/>
      <c r="V805" s="110"/>
    </row>
    <row r="806" ht="12.75" customHeight="1">
      <c r="A806" s="107"/>
      <c r="B806" s="107"/>
      <c r="C806" s="107"/>
      <c r="D806" s="102"/>
      <c r="E806" s="107"/>
      <c r="F806" s="108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10"/>
      <c r="V806" s="110"/>
    </row>
    <row r="807" ht="12.75" customHeight="1">
      <c r="A807" s="107"/>
      <c r="B807" s="107"/>
      <c r="C807" s="107"/>
      <c r="D807" s="102"/>
      <c r="E807" s="107"/>
      <c r="F807" s="108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10"/>
      <c r="V807" s="110"/>
    </row>
    <row r="808" ht="12.75" customHeight="1">
      <c r="A808" s="107"/>
      <c r="B808" s="107"/>
      <c r="C808" s="107"/>
      <c r="D808" s="102"/>
      <c r="E808" s="107"/>
      <c r="F808" s="108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10"/>
      <c r="V808" s="110"/>
    </row>
    <row r="809" ht="12.75" customHeight="1">
      <c r="A809" s="107"/>
      <c r="B809" s="107"/>
      <c r="C809" s="107"/>
      <c r="D809" s="102"/>
      <c r="E809" s="107"/>
      <c r="F809" s="108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10"/>
      <c r="V809" s="110"/>
    </row>
    <row r="810" ht="12.75" customHeight="1">
      <c r="A810" s="107"/>
      <c r="B810" s="107"/>
      <c r="C810" s="107"/>
      <c r="D810" s="102"/>
      <c r="E810" s="107"/>
      <c r="F810" s="108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10"/>
      <c r="V810" s="110"/>
    </row>
    <row r="811" ht="12.75" customHeight="1">
      <c r="A811" s="107"/>
      <c r="B811" s="107"/>
      <c r="C811" s="107"/>
      <c r="D811" s="102"/>
      <c r="E811" s="107"/>
      <c r="F811" s="108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10"/>
      <c r="V811" s="110"/>
    </row>
    <row r="812" ht="12.75" customHeight="1">
      <c r="A812" s="107"/>
      <c r="B812" s="107"/>
      <c r="C812" s="107"/>
      <c r="D812" s="102"/>
      <c r="E812" s="107"/>
      <c r="F812" s="108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10"/>
      <c r="V812" s="110"/>
    </row>
    <row r="813" ht="12.75" customHeight="1">
      <c r="A813" s="107"/>
      <c r="B813" s="107"/>
      <c r="C813" s="107"/>
      <c r="D813" s="102"/>
      <c r="E813" s="107"/>
      <c r="F813" s="108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10"/>
      <c r="V813" s="110"/>
    </row>
    <row r="814" ht="12.75" customHeight="1">
      <c r="A814" s="107"/>
      <c r="B814" s="107"/>
      <c r="C814" s="107"/>
      <c r="D814" s="102"/>
      <c r="E814" s="107"/>
      <c r="F814" s="108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10"/>
      <c r="V814" s="110"/>
    </row>
    <row r="815" ht="12.75" customHeight="1">
      <c r="A815" s="107"/>
      <c r="B815" s="107"/>
      <c r="C815" s="107"/>
      <c r="D815" s="102"/>
      <c r="E815" s="107"/>
      <c r="F815" s="108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10"/>
      <c r="V815" s="110"/>
    </row>
    <row r="816" ht="12.75" customHeight="1">
      <c r="A816" s="107"/>
      <c r="B816" s="107"/>
      <c r="C816" s="107"/>
      <c r="D816" s="102"/>
      <c r="E816" s="107"/>
      <c r="F816" s="108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10"/>
      <c r="V816" s="110"/>
    </row>
    <row r="817" ht="12.75" customHeight="1">
      <c r="A817" s="107"/>
      <c r="B817" s="107"/>
      <c r="C817" s="107"/>
      <c r="D817" s="102"/>
      <c r="E817" s="107"/>
      <c r="F817" s="108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10"/>
      <c r="V817" s="110"/>
    </row>
    <row r="818" ht="12.75" customHeight="1">
      <c r="A818" s="107"/>
      <c r="B818" s="107"/>
      <c r="C818" s="107"/>
      <c r="D818" s="102"/>
      <c r="E818" s="107"/>
      <c r="F818" s="108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10"/>
      <c r="V818" s="110"/>
    </row>
    <row r="819" ht="12.75" customHeight="1">
      <c r="A819" s="107"/>
      <c r="B819" s="107"/>
      <c r="C819" s="107"/>
      <c r="D819" s="102"/>
      <c r="E819" s="107"/>
      <c r="F819" s="108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10"/>
      <c r="V819" s="110"/>
    </row>
    <row r="820" ht="12.75" customHeight="1">
      <c r="A820" s="107"/>
      <c r="B820" s="107"/>
      <c r="C820" s="107"/>
      <c r="D820" s="102"/>
      <c r="E820" s="107"/>
      <c r="F820" s="108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10"/>
      <c r="V820" s="110"/>
    </row>
    <row r="821" ht="12.75" customHeight="1">
      <c r="A821" s="107"/>
      <c r="B821" s="107"/>
      <c r="C821" s="107"/>
      <c r="D821" s="102"/>
      <c r="E821" s="107"/>
      <c r="F821" s="108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10"/>
      <c r="V821" s="110"/>
    </row>
    <row r="822" ht="12.75" customHeight="1">
      <c r="A822" s="107"/>
      <c r="B822" s="107"/>
      <c r="C822" s="107"/>
      <c r="D822" s="102"/>
      <c r="E822" s="107"/>
      <c r="F822" s="108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10"/>
      <c r="V822" s="110"/>
    </row>
    <row r="823" ht="12.75" customHeight="1">
      <c r="A823" s="107"/>
      <c r="B823" s="107"/>
      <c r="C823" s="107"/>
      <c r="D823" s="102"/>
      <c r="E823" s="107"/>
      <c r="F823" s="108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10"/>
      <c r="V823" s="110"/>
    </row>
    <row r="824" ht="12.75" customHeight="1">
      <c r="A824" s="107"/>
      <c r="B824" s="107"/>
      <c r="C824" s="107"/>
      <c r="D824" s="102"/>
      <c r="E824" s="107"/>
      <c r="F824" s="108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10"/>
      <c r="V824" s="110"/>
    </row>
    <row r="825" ht="12.75" customHeight="1">
      <c r="A825" s="107"/>
      <c r="B825" s="107"/>
      <c r="C825" s="107"/>
      <c r="D825" s="102"/>
      <c r="E825" s="107"/>
      <c r="F825" s="108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10"/>
      <c r="V825" s="110"/>
    </row>
    <row r="826" ht="12.75" customHeight="1">
      <c r="A826" s="107"/>
      <c r="B826" s="107"/>
      <c r="C826" s="107"/>
      <c r="D826" s="102"/>
      <c r="E826" s="107"/>
      <c r="F826" s="108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10"/>
      <c r="V826" s="110"/>
    </row>
    <row r="827" ht="12.75" customHeight="1">
      <c r="A827" s="107"/>
      <c r="B827" s="107"/>
      <c r="C827" s="107"/>
      <c r="D827" s="102"/>
      <c r="E827" s="107"/>
      <c r="F827" s="108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10"/>
      <c r="V827" s="110"/>
    </row>
    <row r="828" ht="12.75" customHeight="1">
      <c r="A828" s="107"/>
      <c r="B828" s="107"/>
      <c r="C828" s="107"/>
      <c r="D828" s="102"/>
      <c r="E828" s="107"/>
      <c r="F828" s="108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10"/>
      <c r="V828" s="110"/>
    </row>
    <row r="829" ht="12.75" customHeight="1">
      <c r="A829" s="107"/>
      <c r="B829" s="107"/>
      <c r="C829" s="107"/>
      <c r="D829" s="102"/>
      <c r="E829" s="107"/>
      <c r="F829" s="108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10"/>
      <c r="V829" s="110"/>
    </row>
    <row r="830" ht="12.75" customHeight="1">
      <c r="A830" s="107"/>
      <c r="B830" s="107"/>
      <c r="C830" s="107"/>
      <c r="D830" s="102"/>
      <c r="E830" s="107"/>
      <c r="F830" s="108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10"/>
      <c r="V830" s="110"/>
    </row>
    <row r="831" ht="12.75" customHeight="1">
      <c r="A831" s="107"/>
      <c r="B831" s="107"/>
      <c r="C831" s="107"/>
      <c r="D831" s="102"/>
      <c r="E831" s="107"/>
      <c r="F831" s="108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10"/>
      <c r="V831" s="110"/>
    </row>
    <row r="832" ht="12.75" customHeight="1">
      <c r="A832" s="107"/>
      <c r="B832" s="107"/>
      <c r="C832" s="107"/>
      <c r="D832" s="102"/>
      <c r="E832" s="107"/>
      <c r="F832" s="108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10"/>
      <c r="V832" s="110"/>
    </row>
    <row r="833" ht="12.75" customHeight="1">
      <c r="A833" s="107"/>
      <c r="B833" s="107"/>
      <c r="C833" s="107"/>
      <c r="D833" s="102"/>
      <c r="E833" s="107"/>
      <c r="F833" s="108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10"/>
      <c r="V833" s="110"/>
    </row>
    <row r="834" ht="12.75" customHeight="1">
      <c r="A834" s="107"/>
      <c r="B834" s="107"/>
      <c r="C834" s="107"/>
      <c r="D834" s="102"/>
      <c r="E834" s="107"/>
      <c r="F834" s="108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10"/>
      <c r="V834" s="110"/>
    </row>
    <row r="835" ht="12.75" customHeight="1">
      <c r="A835" s="107"/>
      <c r="B835" s="107"/>
      <c r="C835" s="107"/>
      <c r="D835" s="102"/>
      <c r="E835" s="107"/>
      <c r="F835" s="108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10"/>
      <c r="V835" s="110"/>
    </row>
    <row r="836" ht="12.75" customHeight="1">
      <c r="A836" s="107"/>
      <c r="B836" s="107"/>
      <c r="C836" s="107"/>
      <c r="D836" s="102"/>
      <c r="E836" s="107"/>
      <c r="F836" s="108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10"/>
      <c r="V836" s="110"/>
    </row>
    <row r="837" ht="12.75" customHeight="1">
      <c r="A837" s="107"/>
      <c r="B837" s="107"/>
      <c r="C837" s="107"/>
      <c r="D837" s="102"/>
      <c r="E837" s="107"/>
      <c r="F837" s="108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10"/>
      <c r="V837" s="110"/>
    </row>
    <row r="838" ht="12.75" customHeight="1">
      <c r="A838" s="107"/>
      <c r="B838" s="107"/>
      <c r="C838" s="107"/>
      <c r="D838" s="102"/>
      <c r="E838" s="107"/>
      <c r="F838" s="108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10"/>
      <c r="V838" s="110"/>
    </row>
    <row r="839" ht="12.75" customHeight="1">
      <c r="A839" s="107"/>
      <c r="B839" s="107"/>
      <c r="C839" s="107"/>
      <c r="D839" s="102"/>
      <c r="E839" s="107"/>
      <c r="F839" s="108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10"/>
      <c r="V839" s="110"/>
    </row>
    <row r="840" ht="12.75" customHeight="1">
      <c r="A840" s="107"/>
      <c r="B840" s="107"/>
      <c r="C840" s="107"/>
      <c r="D840" s="102"/>
      <c r="E840" s="107"/>
      <c r="F840" s="108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10"/>
      <c r="V840" s="110"/>
    </row>
    <row r="841" ht="12.75" customHeight="1">
      <c r="A841" s="107"/>
      <c r="B841" s="107"/>
      <c r="C841" s="107"/>
      <c r="D841" s="102"/>
      <c r="E841" s="107"/>
      <c r="F841" s="108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10"/>
      <c r="V841" s="110"/>
    </row>
    <row r="842" ht="12.75" customHeight="1">
      <c r="A842" s="107"/>
      <c r="B842" s="107"/>
      <c r="C842" s="107"/>
      <c r="D842" s="102"/>
      <c r="E842" s="107"/>
      <c r="F842" s="108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10"/>
      <c r="V842" s="110"/>
    </row>
    <row r="843" ht="12.75" customHeight="1">
      <c r="A843" s="107"/>
      <c r="B843" s="107"/>
      <c r="C843" s="107"/>
      <c r="D843" s="102"/>
      <c r="E843" s="107"/>
      <c r="F843" s="108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10"/>
      <c r="V843" s="110"/>
    </row>
    <row r="844" ht="12.75" customHeight="1">
      <c r="A844" s="107"/>
      <c r="B844" s="107"/>
      <c r="C844" s="107"/>
      <c r="D844" s="102"/>
      <c r="E844" s="107"/>
      <c r="F844" s="108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10"/>
      <c r="V844" s="110"/>
    </row>
    <row r="845" ht="12.75" customHeight="1">
      <c r="A845" s="107"/>
      <c r="B845" s="107"/>
      <c r="C845" s="107"/>
      <c r="D845" s="102"/>
      <c r="E845" s="107"/>
      <c r="F845" s="108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10"/>
      <c r="V845" s="110"/>
    </row>
    <row r="846" ht="12.75" customHeight="1">
      <c r="A846" s="107"/>
      <c r="B846" s="107"/>
      <c r="C846" s="107"/>
      <c r="D846" s="102"/>
      <c r="E846" s="107"/>
      <c r="F846" s="108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10"/>
      <c r="V846" s="110"/>
    </row>
    <row r="847" ht="12.75" customHeight="1">
      <c r="A847" s="107"/>
      <c r="B847" s="107"/>
      <c r="C847" s="107"/>
      <c r="D847" s="102"/>
      <c r="E847" s="107"/>
      <c r="F847" s="108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10"/>
      <c r="V847" s="110"/>
    </row>
    <row r="848" ht="12.75" customHeight="1">
      <c r="A848" s="107"/>
      <c r="B848" s="107"/>
      <c r="C848" s="107"/>
      <c r="D848" s="102"/>
      <c r="E848" s="107"/>
      <c r="F848" s="108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10"/>
      <c r="V848" s="110"/>
    </row>
    <row r="849" ht="12.75" customHeight="1">
      <c r="A849" s="107"/>
      <c r="B849" s="107"/>
      <c r="C849" s="107"/>
      <c r="D849" s="102"/>
      <c r="E849" s="107"/>
      <c r="F849" s="108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10"/>
      <c r="V849" s="110"/>
    </row>
    <row r="850" ht="12.75" customHeight="1">
      <c r="A850" s="107"/>
      <c r="B850" s="107"/>
      <c r="C850" s="107"/>
      <c r="D850" s="102"/>
      <c r="E850" s="107"/>
      <c r="F850" s="108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10"/>
      <c r="V850" s="110"/>
    </row>
    <row r="851" ht="12.75" customHeight="1">
      <c r="A851" s="107"/>
      <c r="B851" s="107"/>
      <c r="C851" s="107"/>
      <c r="D851" s="102"/>
      <c r="E851" s="107"/>
      <c r="F851" s="108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10"/>
      <c r="V851" s="110"/>
    </row>
    <row r="852" ht="12.75" customHeight="1">
      <c r="A852" s="107"/>
      <c r="B852" s="107"/>
      <c r="C852" s="107"/>
      <c r="D852" s="102"/>
      <c r="E852" s="107"/>
      <c r="F852" s="108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10"/>
      <c r="V852" s="110"/>
    </row>
    <row r="853" ht="12.75" customHeight="1">
      <c r="A853" s="107"/>
      <c r="B853" s="107"/>
      <c r="C853" s="107"/>
      <c r="D853" s="102"/>
      <c r="E853" s="107"/>
      <c r="F853" s="108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10"/>
      <c r="V853" s="110"/>
    </row>
    <row r="854" ht="12.75" customHeight="1">
      <c r="A854" s="107"/>
      <c r="B854" s="107"/>
      <c r="C854" s="107"/>
      <c r="D854" s="102"/>
      <c r="E854" s="107"/>
      <c r="F854" s="108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10"/>
      <c r="V854" s="110"/>
    </row>
    <row r="855" ht="12.75" customHeight="1">
      <c r="A855" s="107"/>
      <c r="B855" s="107"/>
      <c r="C855" s="107"/>
      <c r="D855" s="102"/>
      <c r="E855" s="107"/>
      <c r="F855" s="108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10"/>
      <c r="V855" s="110"/>
    </row>
    <row r="856" ht="12.75" customHeight="1">
      <c r="A856" s="107"/>
      <c r="B856" s="107"/>
      <c r="C856" s="107"/>
      <c r="D856" s="102"/>
      <c r="E856" s="107"/>
      <c r="F856" s="108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10"/>
      <c r="V856" s="110"/>
    </row>
    <row r="857" ht="12.75" customHeight="1">
      <c r="A857" s="107"/>
      <c r="B857" s="107"/>
      <c r="C857" s="107"/>
      <c r="D857" s="102"/>
      <c r="E857" s="107"/>
      <c r="F857" s="108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10"/>
      <c r="V857" s="110"/>
    </row>
    <row r="858" ht="12.75" customHeight="1">
      <c r="A858" s="107"/>
      <c r="B858" s="107"/>
      <c r="C858" s="107"/>
      <c r="D858" s="102"/>
      <c r="E858" s="107"/>
      <c r="F858" s="108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10"/>
      <c r="V858" s="110"/>
    </row>
    <row r="859" ht="12.75" customHeight="1">
      <c r="A859" s="107"/>
      <c r="B859" s="107"/>
      <c r="C859" s="107"/>
      <c r="D859" s="102"/>
      <c r="E859" s="107"/>
      <c r="F859" s="108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10"/>
      <c r="V859" s="110"/>
    </row>
    <row r="860" ht="12.75" customHeight="1">
      <c r="A860" s="107"/>
      <c r="B860" s="107"/>
      <c r="C860" s="107"/>
      <c r="D860" s="102"/>
      <c r="E860" s="107"/>
      <c r="F860" s="108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10"/>
      <c r="V860" s="110"/>
    </row>
    <row r="861" ht="12.75" customHeight="1">
      <c r="A861" s="107"/>
      <c r="B861" s="107"/>
      <c r="C861" s="107"/>
      <c r="D861" s="102"/>
      <c r="E861" s="107"/>
      <c r="F861" s="108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10"/>
      <c r="V861" s="110"/>
    </row>
    <row r="862" ht="12.75" customHeight="1">
      <c r="A862" s="107"/>
      <c r="B862" s="107"/>
      <c r="C862" s="107"/>
      <c r="D862" s="102"/>
      <c r="E862" s="107"/>
      <c r="F862" s="108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10"/>
      <c r="V862" s="110"/>
    </row>
    <row r="863" ht="12.75" customHeight="1">
      <c r="A863" s="107"/>
      <c r="B863" s="107"/>
      <c r="C863" s="107"/>
      <c r="D863" s="102"/>
      <c r="E863" s="107"/>
      <c r="F863" s="108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10"/>
      <c r="V863" s="110"/>
    </row>
    <row r="864" ht="12.75" customHeight="1">
      <c r="A864" s="107"/>
      <c r="B864" s="107"/>
      <c r="C864" s="107"/>
      <c r="D864" s="102"/>
      <c r="E864" s="107"/>
      <c r="F864" s="108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10"/>
      <c r="V864" s="110"/>
    </row>
    <row r="865" ht="12.75" customHeight="1">
      <c r="A865" s="107"/>
      <c r="B865" s="107"/>
      <c r="C865" s="107"/>
      <c r="D865" s="102"/>
      <c r="E865" s="107"/>
      <c r="F865" s="108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10"/>
      <c r="V865" s="110"/>
    </row>
    <row r="866" ht="12.75" customHeight="1">
      <c r="A866" s="107"/>
      <c r="B866" s="107"/>
      <c r="C866" s="107"/>
      <c r="D866" s="102"/>
      <c r="E866" s="107"/>
      <c r="F866" s="108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10"/>
      <c r="V866" s="110"/>
    </row>
    <row r="867" ht="12.75" customHeight="1">
      <c r="A867" s="107"/>
      <c r="B867" s="107"/>
      <c r="C867" s="107"/>
      <c r="D867" s="102"/>
      <c r="E867" s="107"/>
      <c r="F867" s="108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10"/>
      <c r="V867" s="110"/>
    </row>
    <row r="868" ht="12.75" customHeight="1">
      <c r="A868" s="107"/>
      <c r="B868" s="107"/>
      <c r="C868" s="107"/>
      <c r="D868" s="102"/>
      <c r="E868" s="107"/>
      <c r="F868" s="108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10"/>
      <c r="V868" s="110"/>
    </row>
    <row r="869" ht="12.75" customHeight="1">
      <c r="A869" s="107"/>
      <c r="B869" s="107"/>
      <c r="C869" s="107"/>
      <c r="D869" s="102"/>
      <c r="E869" s="107"/>
      <c r="F869" s="108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10"/>
      <c r="V869" s="110"/>
    </row>
    <row r="870" ht="12.75" customHeight="1">
      <c r="A870" s="107"/>
      <c r="B870" s="107"/>
      <c r="C870" s="107"/>
      <c r="D870" s="102"/>
      <c r="E870" s="107"/>
      <c r="F870" s="108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10"/>
      <c r="V870" s="110"/>
    </row>
    <row r="871" ht="12.75" customHeight="1">
      <c r="A871" s="107"/>
      <c r="B871" s="107"/>
      <c r="C871" s="107"/>
      <c r="D871" s="102"/>
      <c r="E871" s="107"/>
      <c r="F871" s="108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10"/>
      <c r="V871" s="110"/>
    </row>
    <row r="872" ht="12.75" customHeight="1">
      <c r="A872" s="107"/>
      <c r="B872" s="107"/>
      <c r="C872" s="107"/>
      <c r="D872" s="102"/>
      <c r="E872" s="107"/>
      <c r="F872" s="108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10"/>
      <c r="V872" s="110"/>
    </row>
    <row r="873" ht="12.75" customHeight="1">
      <c r="A873" s="107"/>
      <c r="B873" s="107"/>
      <c r="C873" s="107"/>
      <c r="D873" s="102"/>
      <c r="E873" s="107"/>
      <c r="F873" s="108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10"/>
      <c r="V873" s="110"/>
    </row>
    <row r="874" ht="12.75" customHeight="1">
      <c r="A874" s="107"/>
      <c r="B874" s="107"/>
      <c r="C874" s="107"/>
      <c r="D874" s="102"/>
      <c r="E874" s="107"/>
      <c r="F874" s="108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10"/>
      <c r="V874" s="110"/>
    </row>
    <row r="875" ht="12.75" customHeight="1">
      <c r="A875" s="107"/>
      <c r="B875" s="107"/>
      <c r="C875" s="107"/>
      <c r="D875" s="102"/>
      <c r="E875" s="107"/>
      <c r="F875" s="108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10"/>
      <c r="V875" s="110"/>
    </row>
    <row r="876" ht="12.75" customHeight="1">
      <c r="A876" s="107"/>
      <c r="B876" s="107"/>
      <c r="C876" s="107"/>
      <c r="D876" s="102"/>
      <c r="E876" s="107"/>
      <c r="F876" s="108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10"/>
      <c r="V876" s="110"/>
    </row>
    <row r="877" ht="12.75" customHeight="1">
      <c r="A877" s="107"/>
      <c r="B877" s="107"/>
      <c r="C877" s="107"/>
      <c r="D877" s="102"/>
      <c r="E877" s="107"/>
      <c r="F877" s="108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10"/>
      <c r="V877" s="110"/>
    </row>
    <row r="878" ht="12.75" customHeight="1">
      <c r="A878" s="107"/>
      <c r="B878" s="107"/>
      <c r="C878" s="107"/>
      <c r="D878" s="102"/>
      <c r="E878" s="107"/>
      <c r="F878" s="108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10"/>
      <c r="V878" s="110"/>
    </row>
    <row r="879" ht="12.75" customHeight="1">
      <c r="A879" s="107"/>
      <c r="B879" s="107"/>
      <c r="C879" s="107"/>
      <c r="D879" s="102"/>
      <c r="E879" s="107"/>
      <c r="F879" s="108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10"/>
      <c r="V879" s="110"/>
    </row>
    <row r="880" ht="12.75" customHeight="1">
      <c r="A880" s="107"/>
      <c r="B880" s="107"/>
      <c r="C880" s="107"/>
      <c r="D880" s="102"/>
      <c r="E880" s="107"/>
      <c r="F880" s="108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10"/>
      <c r="V880" s="110"/>
    </row>
    <row r="881" ht="12.75" customHeight="1">
      <c r="A881" s="107"/>
      <c r="B881" s="107"/>
      <c r="C881" s="107"/>
      <c r="D881" s="102"/>
      <c r="E881" s="107"/>
      <c r="F881" s="108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10"/>
      <c r="V881" s="110"/>
    </row>
    <row r="882" ht="12.75" customHeight="1">
      <c r="A882" s="107"/>
      <c r="B882" s="107"/>
      <c r="C882" s="107"/>
      <c r="D882" s="102"/>
      <c r="E882" s="107"/>
      <c r="F882" s="108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10"/>
      <c r="V882" s="110"/>
    </row>
    <row r="883" ht="12.75" customHeight="1">
      <c r="A883" s="107"/>
      <c r="B883" s="107"/>
      <c r="C883" s="107"/>
      <c r="D883" s="102"/>
      <c r="E883" s="107"/>
      <c r="F883" s="108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10"/>
      <c r="V883" s="110"/>
    </row>
    <row r="884" ht="12.75" customHeight="1">
      <c r="A884" s="107"/>
      <c r="B884" s="107"/>
      <c r="C884" s="107"/>
      <c r="D884" s="102"/>
      <c r="E884" s="107"/>
      <c r="F884" s="108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10"/>
      <c r="V884" s="110"/>
    </row>
    <row r="885" ht="12.75" customHeight="1">
      <c r="A885" s="107"/>
      <c r="B885" s="107"/>
      <c r="C885" s="107"/>
      <c r="D885" s="102"/>
      <c r="E885" s="107"/>
      <c r="F885" s="108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10"/>
      <c r="V885" s="110"/>
    </row>
    <row r="886" ht="12.75" customHeight="1">
      <c r="A886" s="107"/>
      <c r="B886" s="107"/>
      <c r="C886" s="107"/>
      <c r="D886" s="102"/>
      <c r="E886" s="107"/>
      <c r="F886" s="108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10"/>
      <c r="V886" s="110"/>
    </row>
    <row r="887" ht="12.75" customHeight="1">
      <c r="A887" s="107"/>
      <c r="B887" s="107"/>
      <c r="C887" s="107"/>
      <c r="D887" s="102"/>
      <c r="E887" s="107"/>
      <c r="F887" s="108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10"/>
      <c r="V887" s="110"/>
    </row>
    <row r="888" ht="12.75" customHeight="1">
      <c r="A888" s="107"/>
      <c r="B888" s="107"/>
      <c r="C888" s="107"/>
      <c r="D888" s="102"/>
      <c r="E888" s="107"/>
      <c r="F888" s="108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10"/>
      <c r="V888" s="110"/>
    </row>
    <row r="889" ht="12.75" customHeight="1">
      <c r="A889" s="107"/>
      <c r="B889" s="107"/>
      <c r="C889" s="107"/>
      <c r="D889" s="102"/>
      <c r="E889" s="107"/>
      <c r="F889" s="108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10"/>
      <c r="V889" s="110"/>
    </row>
    <row r="890" ht="12.75" customHeight="1">
      <c r="A890" s="107"/>
      <c r="B890" s="107"/>
      <c r="C890" s="107"/>
      <c r="D890" s="102"/>
      <c r="E890" s="107"/>
      <c r="F890" s="108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10"/>
      <c r="V890" s="110"/>
    </row>
    <row r="891" ht="12.75" customHeight="1">
      <c r="A891" s="107"/>
      <c r="B891" s="107"/>
      <c r="C891" s="107"/>
      <c r="D891" s="102"/>
      <c r="E891" s="107"/>
      <c r="F891" s="108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10"/>
      <c r="V891" s="110"/>
    </row>
    <row r="892" ht="12.75" customHeight="1">
      <c r="A892" s="107"/>
      <c r="B892" s="107"/>
      <c r="C892" s="107"/>
      <c r="D892" s="102"/>
      <c r="E892" s="107"/>
      <c r="F892" s="108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10"/>
      <c r="V892" s="110"/>
    </row>
    <row r="893" ht="12.75" customHeight="1">
      <c r="A893" s="107"/>
      <c r="B893" s="107"/>
      <c r="C893" s="107"/>
      <c r="D893" s="102"/>
      <c r="E893" s="107"/>
      <c r="F893" s="108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10"/>
      <c r="V893" s="110"/>
    </row>
    <row r="894" ht="12.75" customHeight="1">
      <c r="A894" s="107"/>
      <c r="B894" s="107"/>
      <c r="C894" s="107"/>
      <c r="D894" s="102"/>
      <c r="E894" s="107"/>
      <c r="F894" s="108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10"/>
      <c r="V894" s="110"/>
    </row>
    <row r="895" ht="12.75" customHeight="1">
      <c r="A895" s="107"/>
      <c r="B895" s="107"/>
      <c r="C895" s="107"/>
      <c r="D895" s="102"/>
      <c r="E895" s="107"/>
      <c r="F895" s="108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10"/>
      <c r="V895" s="110"/>
    </row>
    <row r="896" ht="12.75" customHeight="1">
      <c r="A896" s="107"/>
      <c r="B896" s="107"/>
      <c r="C896" s="107"/>
      <c r="D896" s="102"/>
      <c r="E896" s="107"/>
      <c r="F896" s="108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10"/>
      <c r="V896" s="110"/>
    </row>
    <row r="897" ht="12.75" customHeight="1">
      <c r="A897" s="107"/>
      <c r="B897" s="107"/>
      <c r="C897" s="107"/>
      <c r="D897" s="102"/>
      <c r="E897" s="107"/>
      <c r="F897" s="108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10"/>
      <c r="V897" s="110"/>
    </row>
    <row r="898" ht="12.75" customHeight="1">
      <c r="A898" s="107"/>
      <c r="B898" s="107"/>
      <c r="C898" s="107"/>
      <c r="D898" s="102"/>
      <c r="E898" s="107"/>
      <c r="F898" s="108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10"/>
      <c r="V898" s="110"/>
    </row>
    <row r="899" ht="12.75" customHeight="1">
      <c r="A899" s="107"/>
      <c r="B899" s="107"/>
      <c r="C899" s="107"/>
      <c r="D899" s="102"/>
      <c r="E899" s="107"/>
      <c r="F899" s="108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10"/>
      <c r="V899" s="110"/>
    </row>
    <row r="900" ht="12.75" customHeight="1">
      <c r="A900" s="107"/>
      <c r="B900" s="107"/>
      <c r="C900" s="107"/>
      <c r="D900" s="102"/>
      <c r="E900" s="107"/>
      <c r="F900" s="108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10"/>
      <c r="V900" s="110"/>
    </row>
    <row r="901" ht="12.75" customHeight="1">
      <c r="A901" s="107"/>
      <c r="B901" s="107"/>
      <c r="C901" s="107"/>
      <c r="D901" s="102"/>
      <c r="E901" s="107"/>
      <c r="F901" s="108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10"/>
      <c r="V901" s="110"/>
    </row>
    <row r="902" ht="12.75" customHeight="1">
      <c r="A902" s="107"/>
      <c r="B902" s="107"/>
      <c r="C902" s="107"/>
      <c r="D902" s="102"/>
      <c r="E902" s="107"/>
      <c r="F902" s="108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10"/>
      <c r="V902" s="110"/>
    </row>
    <row r="903" ht="12.75" customHeight="1">
      <c r="A903" s="107"/>
      <c r="B903" s="107"/>
      <c r="C903" s="107"/>
      <c r="D903" s="102"/>
      <c r="E903" s="107"/>
      <c r="F903" s="108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10"/>
      <c r="V903" s="110"/>
    </row>
    <row r="904" ht="12.75" customHeight="1">
      <c r="A904" s="107"/>
      <c r="B904" s="107"/>
      <c r="C904" s="107"/>
      <c r="D904" s="102"/>
      <c r="E904" s="107"/>
      <c r="F904" s="108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10"/>
      <c r="V904" s="110"/>
    </row>
    <row r="905" ht="12.75" customHeight="1">
      <c r="A905" s="107"/>
      <c r="B905" s="107"/>
      <c r="C905" s="107"/>
      <c r="D905" s="102"/>
      <c r="E905" s="107"/>
      <c r="F905" s="108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10"/>
      <c r="V905" s="110"/>
    </row>
    <row r="906" ht="12.75" customHeight="1">
      <c r="A906" s="107"/>
      <c r="B906" s="107"/>
      <c r="C906" s="107"/>
      <c r="D906" s="102"/>
      <c r="E906" s="107"/>
      <c r="F906" s="108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10"/>
      <c r="V906" s="110"/>
    </row>
    <row r="907" ht="12.75" customHeight="1">
      <c r="A907" s="107"/>
      <c r="B907" s="107"/>
      <c r="C907" s="107"/>
      <c r="D907" s="102"/>
      <c r="E907" s="107"/>
      <c r="F907" s="108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10"/>
      <c r="V907" s="110"/>
    </row>
    <row r="908" ht="12.75" customHeight="1">
      <c r="A908" s="107"/>
      <c r="B908" s="107"/>
      <c r="C908" s="107"/>
      <c r="D908" s="102"/>
      <c r="E908" s="107"/>
      <c r="F908" s="108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10"/>
      <c r="V908" s="110"/>
    </row>
    <row r="909" ht="12.75" customHeight="1">
      <c r="A909" s="107"/>
      <c r="B909" s="107"/>
      <c r="C909" s="107"/>
      <c r="D909" s="102"/>
      <c r="E909" s="107"/>
      <c r="F909" s="108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10"/>
      <c r="V909" s="110"/>
    </row>
    <row r="910" ht="12.75" customHeight="1">
      <c r="A910" s="107"/>
      <c r="B910" s="107"/>
      <c r="C910" s="107"/>
      <c r="D910" s="102"/>
      <c r="E910" s="107"/>
      <c r="F910" s="108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10"/>
      <c r="V910" s="110"/>
    </row>
    <row r="911" ht="12.75" customHeight="1">
      <c r="A911" s="107"/>
      <c r="B911" s="107"/>
      <c r="C911" s="107"/>
      <c r="D911" s="102"/>
      <c r="E911" s="107"/>
      <c r="F911" s="108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10"/>
      <c r="V911" s="110"/>
    </row>
    <row r="912" ht="12.75" customHeight="1">
      <c r="A912" s="107"/>
      <c r="B912" s="107"/>
      <c r="C912" s="107"/>
      <c r="D912" s="102"/>
      <c r="E912" s="107"/>
      <c r="F912" s="108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10"/>
      <c r="V912" s="110"/>
    </row>
    <row r="913" ht="12.75" customHeight="1">
      <c r="A913" s="107"/>
      <c r="B913" s="107"/>
      <c r="C913" s="107"/>
      <c r="D913" s="102"/>
      <c r="E913" s="107"/>
      <c r="F913" s="108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10"/>
      <c r="V913" s="110"/>
    </row>
    <row r="914" ht="12.75" customHeight="1">
      <c r="A914" s="107"/>
      <c r="B914" s="107"/>
      <c r="C914" s="107"/>
      <c r="D914" s="102"/>
      <c r="E914" s="107"/>
      <c r="F914" s="108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10"/>
      <c r="V914" s="110"/>
    </row>
    <row r="915" ht="12.75" customHeight="1">
      <c r="A915" s="107"/>
      <c r="B915" s="107"/>
      <c r="C915" s="107"/>
      <c r="D915" s="102"/>
      <c r="E915" s="107"/>
      <c r="F915" s="108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10"/>
      <c r="V915" s="110"/>
    </row>
    <row r="916" ht="12.75" customHeight="1">
      <c r="A916" s="107"/>
      <c r="B916" s="107"/>
      <c r="C916" s="107"/>
      <c r="D916" s="102"/>
      <c r="E916" s="107"/>
      <c r="F916" s="108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10"/>
      <c r="V916" s="110"/>
    </row>
    <row r="917" ht="12.75" customHeight="1">
      <c r="A917" s="107"/>
      <c r="B917" s="107"/>
      <c r="C917" s="107"/>
      <c r="D917" s="102"/>
      <c r="E917" s="107"/>
      <c r="F917" s="108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10"/>
      <c r="V917" s="110"/>
    </row>
    <row r="918" ht="12.75" customHeight="1">
      <c r="A918" s="107"/>
      <c r="B918" s="107"/>
      <c r="C918" s="107"/>
      <c r="D918" s="102"/>
      <c r="E918" s="107"/>
      <c r="F918" s="108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10"/>
      <c r="V918" s="110"/>
    </row>
    <row r="919" ht="12.75" customHeight="1">
      <c r="A919" s="107"/>
      <c r="B919" s="107"/>
      <c r="C919" s="107"/>
      <c r="D919" s="102"/>
      <c r="E919" s="107"/>
      <c r="F919" s="108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10"/>
      <c r="V919" s="110"/>
    </row>
    <row r="920" ht="12.75" customHeight="1">
      <c r="A920" s="107"/>
      <c r="B920" s="107"/>
      <c r="C920" s="107"/>
      <c r="D920" s="102"/>
      <c r="E920" s="107"/>
      <c r="F920" s="108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10"/>
      <c r="V920" s="110"/>
    </row>
    <row r="921" ht="12.75" customHeight="1">
      <c r="A921" s="107"/>
      <c r="B921" s="107"/>
      <c r="C921" s="107"/>
      <c r="D921" s="102"/>
      <c r="E921" s="107"/>
      <c r="F921" s="108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10"/>
      <c r="V921" s="110"/>
    </row>
    <row r="922" ht="12.75" customHeight="1">
      <c r="A922" s="107"/>
      <c r="B922" s="107"/>
      <c r="C922" s="107"/>
      <c r="D922" s="102"/>
      <c r="E922" s="107"/>
      <c r="F922" s="108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10"/>
      <c r="V922" s="110"/>
    </row>
    <row r="923" ht="12.75" customHeight="1">
      <c r="A923" s="107"/>
      <c r="B923" s="107"/>
      <c r="C923" s="107"/>
      <c r="D923" s="102"/>
      <c r="E923" s="107"/>
      <c r="F923" s="108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10"/>
      <c r="V923" s="110"/>
    </row>
    <row r="924" ht="12.75" customHeight="1">
      <c r="A924" s="107"/>
      <c r="B924" s="107"/>
      <c r="C924" s="107"/>
      <c r="D924" s="102"/>
      <c r="E924" s="107"/>
      <c r="F924" s="108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10"/>
      <c r="V924" s="110"/>
    </row>
    <row r="925" ht="12.75" customHeight="1">
      <c r="A925" s="107"/>
      <c r="B925" s="107"/>
      <c r="C925" s="107"/>
      <c r="D925" s="102"/>
      <c r="E925" s="107"/>
      <c r="F925" s="108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10"/>
      <c r="V925" s="110"/>
    </row>
    <row r="926" ht="12.75" customHeight="1">
      <c r="A926" s="107"/>
      <c r="B926" s="107"/>
      <c r="C926" s="107"/>
      <c r="D926" s="102"/>
      <c r="E926" s="107"/>
      <c r="F926" s="108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10"/>
      <c r="V926" s="110"/>
    </row>
    <row r="927" ht="12.75" customHeight="1">
      <c r="A927" s="107"/>
      <c r="B927" s="107"/>
      <c r="C927" s="107"/>
      <c r="D927" s="102"/>
      <c r="E927" s="107"/>
      <c r="F927" s="108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10"/>
      <c r="V927" s="110"/>
    </row>
    <row r="928" ht="12.75" customHeight="1">
      <c r="A928" s="107"/>
      <c r="B928" s="107"/>
      <c r="C928" s="107"/>
      <c r="D928" s="102"/>
      <c r="E928" s="107"/>
      <c r="F928" s="108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10"/>
      <c r="V928" s="110"/>
    </row>
    <row r="929" ht="12.75" customHeight="1">
      <c r="A929" s="107"/>
      <c r="B929" s="107"/>
      <c r="C929" s="107"/>
      <c r="D929" s="102"/>
      <c r="E929" s="107"/>
      <c r="F929" s="108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10"/>
      <c r="V929" s="110"/>
    </row>
    <row r="930" ht="12.75" customHeight="1">
      <c r="A930" s="107"/>
      <c r="B930" s="107"/>
      <c r="C930" s="107"/>
      <c r="D930" s="102"/>
      <c r="E930" s="107"/>
      <c r="F930" s="108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10"/>
      <c r="V930" s="110"/>
    </row>
    <row r="931" ht="12.75" customHeight="1">
      <c r="A931" s="107"/>
      <c r="B931" s="107"/>
      <c r="C931" s="107"/>
      <c r="D931" s="102"/>
      <c r="E931" s="107"/>
      <c r="F931" s="108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10"/>
      <c r="V931" s="110"/>
    </row>
    <row r="932" ht="12.75" customHeight="1">
      <c r="A932" s="107"/>
      <c r="B932" s="107"/>
      <c r="C932" s="107"/>
      <c r="D932" s="102"/>
      <c r="E932" s="107"/>
      <c r="F932" s="108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10"/>
      <c r="V932" s="110"/>
    </row>
    <row r="933" ht="12.75" customHeight="1">
      <c r="A933" s="107"/>
      <c r="B933" s="107"/>
      <c r="C933" s="107"/>
      <c r="D933" s="102"/>
      <c r="E933" s="107"/>
      <c r="F933" s="108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10"/>
      <c r="V933" s="110"/>
    </row>
    <row r="934" ht="12.75" customHeight="1">
      <c r="A934" s="107"/>
      <c r="B934" s="107"/>
      <c r="C934" s="107"/>
      <c r="D934" s="102"/>
      <c r="E934" s="107"/>
      <c r="F934" s="108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10"/>
      <c r="V934" s="110"/>
    </row>
    <row r="935" ht="12.75" customHeight="1">
      <c r="A935" s="107"/>
      <c r="B935" s="107"/>
      <c r="C935" s="107"/>
      <c r="D935" s="102"/>
      <c r="E935" s="107"/>
      <c r="F935" s="108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10"/>
      <c r="V935" s="110"/>
    </row>
    <row r="936" ht="12.75" customHeight="1">
      <c r="A936" s="107"/>
      <c r="B936" s="107"/>
      <c r="C936" s="107"/>
      <c r="D936" s="102"/>
      <c r="E936" s="107"/>
      <c r="F936" s="108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10"/>
      <c r="V936" s="110"/>
    </row>
    <row r="937" ht="12.75" customHeight="1">
      <c r="A937" s="107"/>
      <c r="B937" s="107"/>
      <c r="C937" s="107"/>
      <c r="D937" s="102"/>
      <c r="E937" s="107"/>
      <c r="F937" s="108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10"/>
      <c r="V937" s="110"/>
    </row>
    <row r="938" ht="12.75" customHeight="1">
      <c r="A938" s="107"/>
      <c r="B938" s="107"/>
      <c r="C938" s="107"/>
      <c r="D938" s="102"/>
      <c r="E938" s="107"/>
      <c r="F938" s="108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10"/>
      <c r="V938" s="110"/>
    </row>
    <row r="939" ht="12.75" customHeight="1">
      <c r="A939" s="107"/>
      <c r="B939" s="107"/>
      <c r="C939" s="107"/>
      <c r="D939" s="102"/>
      <c r="E939" s="107"/>
      <c r="F939" s="108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10"/>
      <c r="V939" s="110"/>
    </row>
    <row r="940" ht="12.75" customHeight="1">
      <c r="A940" s="107"/>
      <c r="B940" s="107"/>
      <c r="C940" s="107"/>
      <c r="D940" s="102"/>
      <c r="E940" s="107"/>
      <c r="F940" s="108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10"/>
      <c r="V940" s="110"/>
    </row>
    <row r="941" ht="12.75" customHeight="1">
      <c r="A941" s="107"/>
      <c r="B941" s="107"/>
      <c r="C941" s="107"/>
      <c r="D941" s="102"/>
      <c r="E941" s="107"/>
      <c r="F941" s="108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10"/>
      <c r="V941" s="110"/>
    </row>
    <row r="942" ht="12.75" customHeight="1">
      <c r="A942" s="107"/>
      <c r="B942" s="107"/>
      <c r="C942" s="107"/>
      <c r="D942" s="102"/>
      <c r="E942" s="107"/>
      <c r="F942" s="108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10"/>
      <c r="V942" s="110"/>
    </row>
    <row r="943" ht="12.75" customHeight="1">
      <c r="A943" s="107"/>
      <c r="B943" s="107"/>
      <c r="C943" s="107"/>
      <c r="D943" s="102"/>
      <c r="E943" s="107"/>
      <c r="F943" s="108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10"/>
      <c r="V943" s="110"/>
    </row>
    <row r="944" ht="12.75" customHeight="1">
      <c r="A944" s="107"/>
      <c r="B944" s="107"/>
      <c r="C944" s="107"/>
      <c r="D944" s="102"/>
      <c r="E944" s="107"/>
      <c r="F944" s="108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10"/>
      <c r="V944" s="110"/>
    </row>
    <row r="945" ht="12.75" customHeight="1">
      <c r="A945" s="107"/>
      <c r="B945" s="107"/>
      <c r="C945" s="107"/>
      <c r="D945" s="102"/>
      <c r="E945" s="107"/>
      <c r="F945" s="108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10"/>
      <c r="V945" s="110"/>
    </row>
    <row r="946" ht="12.75" customHeight="1">
      <c r="A946" s="107"/>
      <c r="B946" s="107"/>
      <c r="C946" s="107"/>
      <c r="D946" s="102"/>
      <c r="E946" s="107"/>
      <c r="F946" s="108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10"/>
      <c r="V946" s="110"/>
    </row>
    <row r="947" ht="12.75" customHeight="1">
      <c r="A947" s="107"/>
      <c r="B947" s="107"/>
      <c r="C947" s="107"/>
      <c r="D947" s="102"/>
      <c r="E947" s="107"/>
      <c r="F947" s="108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10"/>
      <c r="V947" s="110"/>
    </row>
    <row r="948" ht="12.75" customHeight="1">
      <c r="A948" s="107"/>
      <c r="B948" s="107"/>
      <c r="C948" s="107"/>
      <c r="D948" s="102"/>
      <c r="E948" s="107"/>
      <c r="F948" s="108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10"/>
      <c r="V948" s="110"/>
    </row>
    <row r="949" ht="12.75" customHeight="1">
      <c r="A949" s="107"/>
      <c r="B949" s="107"/>
      <c r="C949" s="107"/>
      <c r="D949" s="102"/>
      <c r="E949" s="107"/>
      <c r="F949" s="108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10"/>
      <c r="V949" s="110"/>
    </row>
    <row r="950" ht="12.75" customHeight="1">
      <c r="A950" s="107"/>
      <c r="B950" s="107"/>
      <c r="C950" s="107"/>
      <c r="D950" s="102"/>
      <c r="E950" s="107"/>
      <c r="F950" s="108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10"/>
      <c r="V950" s="110"/>
    </row>
    <row r="951" ht="12.75" customHeight="1">
      <c r="A951" s="107"/>
      <c r="B951" s="107"/>
      <c r="C951" s="107"/>
      <c r="D951" s="102"/>
      <c r="E951" s="107"/>
      <c r="F951" s="108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10"/>
      <c r="V951" s="110"/>
    </row>
    <row r="952" ht="12.75" customHeight="1">
      <c r="A952" s="107"/>
      <c r="B952" s="107"/>
      <c r="C952" s="107"/>
      <c r="D952" s="102"/>
      <c r="E952" s="107"/>
      <c r="F952" s="108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10"/>
      <c r="V952" s="110"/>
    </row>
    <row r="953" ht="12.75" customHeight="1">
      <c r="A953" s="107"/>
      <c r="B953" s="107"/>
      <c r="C953" s="107"/>
      <c r="D953" s="102"/>
      <c r="E953" s="107"/>
      <c r="F953" s="108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10"/>
      <c r="V953" s="110"/>
    </row>
    <row r="954" ht="12.75" customHeight="1">
      <c r="A954" s="107"/>
      <c r="B954" s="107"/>
      <c r="C954" s="107"/>
      <c r="D954" s="102"/>
      <c r="E954" s="107"/>
      <c r="F954" s="108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10"/>
      <c r="V954" s="110"/>
    </row>
    <row r="955" ht="12.75" customHeight="1">
      <c r="A955" s="107"/>
      <c r="B955" s="107"/>
      <c r="C955" s="107"/>
      <c r="D955" s="102"/>
      <c r="E955" s="107"/>
      <c r="F955" s="108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10"/>
      <c r="V955" s="110"/>
    </row>
    <row r="956" ht="12.75" customHeight="1">
      <c r="A956" s="107"/>
      <c r="B956" s="107"/>
      <c r="C956" s="107"/>
      <c r="D956" s="102"/>
      <c r="E956" s="107"/>
      <c r="F956" s="108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10"/>
      <c r="V956" s="110"/>
    </row>
    <row r="957" ht="12.75" customHeight="1">
      <c r="A957" s="107"/>
      <c r="B957" s="107"/>
      <c r="C957" s="107"/>
      <c r="D957" s="102"/>
      <c r="E957" s="107"/>
      <c r="F957" s="108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10"/>
      <c r="V957" s="110"/>
    </row>
    <row r="958" ht="12.75" customHeight="1">
      <c r="A958" s="107"/>
      <c r="B958" s="107"/>
      <c r="C958" s="107"/>
      <c r="D958" s="102"/>
      <c r="E958" s="107"/>
      <c r="F958" s="108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10"/>
      <c r="V958" s="110"/>
    </row>
    <row r="959" ht="12.75" customHeight="1">
      <c r="A959" s="107"/>
      <c r="B959" s="107"/>
      <c r="C959" s="107"/>
      <c r="D959" s="102"/>
      <c r="E959" s="107"/>
      <c r="F959" s="108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10"/>
      <c r="V959" s="110"/>
    </row>
    <row r="960" ht="12.75" customHeight="1">
      <c r="A960" s="107"/>
      <c r="B960" s="107"/>
      <c r="C960" s="107"/>
      <c r="D960" s="102"/>
      <c r="E960" s="107"/>
      <c r="F960" s="108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10"/>
      <c r="V960" s="110"/>
    </row>
    <row r="961" ht="12.75" customHeight="1">
      <c r="A961" s="107"/>
      <c r="B961" s="107"/>
      <c r="C961" s="107"/>
      <c r="D961" s="102"/>
      <c r="E961" s="107"/>
      <c r="F961" s="108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10"/>
      <c r="V961" s="110"/>
    </row>
    <row r="962" ht="12.75" customHeight="1">
      <c r="A962" s="107"/>
      <c r="B962" s="107"/>
      <c r="C962" s="107"/>
      <c r="D962" s="102"/>
      <c r="E962" s="107"/>
      <c r="F962" s="108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10"/>
      <c r="V962" s="110"/>
    </row>
    <row r="963" ht="12.75" customHeight="1">
      <c r="A963" s="107"/>
      <c r="B963" s="107"/>
      <c r="C963" s="107"/>
      <c r="D963" s="102"/>
      <c r="E963" s="107"/>
      <c r="F963" s="108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10"/>
      <c r="V963" s="110"/>
    </row>
    <row r="964" ht="12.75" customHeight="1">
      <c r="A964" s="107"/>
      <c r="B964" s="107"/>
      <c r="C964" s="107"/>
      <c r="D964" s="102"/>
      <c r="E964" s="107"/>
      <c r="F964" s="108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10"/>
      <c r="V964" s="110"/>
    </row>
    <row r="965" ht="12.75" customHeight="1">
      <c r="A965" s="107"/>
      <c r="B965" s="107"/>
      <c r="C965" s="107"/>
      <c r="D965" s="102"/>
      <c r="E965" s="107"/>
      <c r="F965" s="108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10"/>
      <c r="V965" s="110"/>
    </row>
    <row r="966" ht="12.75" customHeight="1">
      <c r="A966" s="107"/>
      <c r="B966" s="107"/>
      <c r="C966" s="107"/>
      <c r="D966" s="102"/>
      <c r="E966" s="107"/>
      <c r="F966" s="108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10"/>
      <c r="V966" s="110"/>
    </row>
    <row r="967" ht="12.75" customHeight="1">
      <c r="A967" s="107"/>
      <c r="B967" s="107"/>
      <c r="C967" s="107"/>
      <c r="D967" s="102"/>
      <c r="E967" s="107"/>
      <c r="F967" s="108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10"/>
      <c r="V967" s="110"/>
    </row>
    <row r="968" ht="12.75" customHeight="1">
      <c r="A968" s="107"/>
      <c r="B968" s="107"/>
      <c r="C968" s="107"/>
      <c r="D968" s="102"/>
      <c r="E968" s="107"/>
      <c r="F968" s="108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10"/>
      <c r="V968" s="110"/>
    </row>
    <row r="969" ht="12.75" customHeight="1">
      <c r="A969" s="107"/>
      <c r="B969" s="107"/>
      <c r="C969" s="107"/>
      <c r="D969" s="102"/>
      <c r="E969" s="107"/>
      <c r="F969" s="108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10"/>
      <c r="V969" s="110"/>
    </row>
    <row r="970" ht="12.75" customHeight="1">
      <c r="A970" s="107"/>
      <c r="B970" s="107"/>
      <c r="C970" s="107"/>
      <c r="D970" s="102"/>
      <c r="E970" s="107"/>
      <c r="F970" s="108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10"/>
      <c r="V970" s="110"/>
    </row>
    <row r="971" ht="12.75" customHeight="1">
      <c r="A971" s="107"/>
      <c r="B971" s="107"/>
      <c r="C971" s="107"/>
      <c r="D971" s="102"/>
      <c r="E971" s="107"/>
      <c r="F971" s="108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10"/>
      <c r="V971" s="110"/>
    </row>
    <row r="972" ht="12.75" customHeight="1">
      <c r="A972" s="107"/>
      <c r="B972" s="107"/>
      <c r="C972" s="107"/>
      <c r="D972" s="102"/>
      <c r="E972" s="107"/>
      <c r="F972" s="108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10"/>
      <c r="V972" s="110"/>
    </row>
    <row r="973" ht="12.75" customHeight="1">
      <c r="A973" s="107"/>
      <c r="B973" s="107"/>
      <c r="C973" s="107"/>
      <c r="D973" s="102"/>
      <c r="E973" s="107"/>
      <c r="F973" s="108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10"/>
      <c r="V973" s="110"/>
    </row>
    <row r="974" ht="12.75" customHeight="1">
      <c r="A974" s="107"/>
      <c r="B974" s="107"/>
      <c r="C974" s="107"/>
      <c r="D974" s="102"/>
      <c r="E974" s="107"/>
      <c r="F974" s="108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10"/>
      <c r="V974" s="110"/>
    </row>
    <row r="975" ht="12.75" customHeight="1">
      <c r="A975" s="107"/>
      <c r="B975" s="107"/>
      <c r="C975" s="107"/>
      <c r="D975" s="102"/>
      <c r="E975" s="107"/>
      <c r="F975" s="108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10"/>
      <c r="V975" s="110"/>
    </row>
    <row r="976" ht="12.75" customHeight="1">
      <c r="A976" s="107"/>
      <c r="B976" s="107"/>
      <c r="C976" s="107"/>
      <c r="D976" s="102"/>
      <c r="E976" s="107"/>
      <c r="F976" s="108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10"/>
      <c r="V976" s="110"/>
    </row>
    <row r="977" ht="12.75" customHeight="1">
      <c r="A977" s="107"/>
      <c r="B977" s="107"/>
      <c r="C977" s="107"/>
      <c r="D977" s="102"/>
      <c r="E977" s="107"/>
      <c r="F977" s="108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10"/>
      <c r="V977" s="110"/>
    </row>
    <row r="978" ht="12.75" customHeight="1">
      <c r="A978" s="107"/>
      <c r="B978" s="107"/>
      <c r="C978" s="107"/>
      <c r="D978" s="102"/>
      <c r="E978" s="107"/>
      <c r="F978" s="108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10"/>
      <c r="V978" s="110"/>
    </row>
    <row r="979" ht="12.75" customHeight="1">
      <c r="A979" s="107"/>
      <c r="B979" s="107"/>
      <c r="C979" s="107"/>
      <c r="D979" s="102"/>
      <c r="E979" s="107"/>
      <c r="F979" s="108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10"/>
      <c r="V979" s="110"/>
    </row>
    <row r="980" ht="12.75" customHeight="1">
      <c r="A980" s="107"/>
      <c r="B980" s="107"/>
      <c r="C980" s="107"/>
      <c r="D980" s="102"/>
      <c r="E980" s="107"/>
      <c r="F980" s="108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10"/>
      <c r="V980" s="110"/>
    </row>
    <row r="981" ht="12.75" customHeight="1">
      <c r="A981" s="107"/>
      <c r="B981" s="107"/>
      <c r="C981" s="107"/>
      <c r="D981" s="102"/>
      <c r="E981" s="107"/>
      <c r="F981" s="108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10"/>
      <c r="V981" s="110"/>
    </row>
    <row r="982" ht="12.75" customHeight="1">
      <c r="A982" s="107"/>
      <c r="B982" s="107"/>
      <c r="C982" s="107"/>
      <c r="D982" s="102"/>
      <c r="E982" s="107"/>
      <c r="F982" s="108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10"/>
      <c r="V982" s="110"/>
    </row>
    <row r="983" ht="12.75" customHeight="1">
      <c r="A983" s="107"/>
      <c r="B983" s="107"/>
      <c r="C983" s="107"/>
      <c r="D983" s="102"/>
      <c r="E983" s="107"/>
      <c r="F983" s="108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10"/>
      <c r="V983" s="110"/>
    </row>
    <row r="984" ht="12.75" customHeight="1">
      <c r="A984" s="107"/>
      <c r="B984" s="107"/>
      <c r="C984" s="107"/>
      <c r="D984" s="102"/>
      <c r="E984" s="107"/>
      <c r="F984" s="108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10"/>
      <c r="V984" s="110"/>
    </row>
    <row r="985" ht="12.75" customHeight="1">
      <c r="A985" s="107"/>
      <c r="B985" s="107"/>
      <c r="C985" s="107"/>
      <c r="D985" s="102"/>
      <c r="E985" s="107"/>
      <c r="F985" s="108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10"/>
      <c r="V985" s="110"/>
    </row>
    <row r="986" ht="12.75" customHeight="1">
      <c r="A986" s="107"/>
      <c r="B986" s="107"/>
      <c r="C986" s="107"/>
      <c r="D986" s="102"/>
      <c r="E986" s="107"/>
      <c r="F986" s="108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10"/>
      <c r="V986" s="110"/>
    </row>
    <row r="987" ht="12.75" customHeight="1">
      <c r="A987" s="107"/>
      <c r="B987" s="107"/>
      <c r="C987" s="107"/>
      <c r="D987" s="102"/>
      <c r="E987" s="107"/>
      <c r="F987" s="108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10"/>
      <c r="V987" s="110"/>
    </row>
    <row r="988" ht="12.75" customHeight="1">
      <c r="A988" s="107"/>
      <c r="B988" s="107"/>
      <c r="C988" s="107"/>
      <c r="D988" s="102"/>
      <c r="E988" s="107"/>
      <c r="F988" s="108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10"/>
      <c r="V988" s="110"/>
    </row>
    <row r="989" ht="12.75" customHeight="1">
      <c r="A989" s="107"/>
      <c r="B989" s="107"/>
      <c r="C989" s="107"/>
      <c r="D989" s="102"/>
      <c r="E989" s="107"/>
      <c r="F989" s="108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10"/>
      <c r="V989" s="110"/>
    </row>
    <row r="990" ht="12.75" customHeight="1">
      <c r="A990" s="107"/>
      <c r="B990" s="107"/>
      <c r="C990" s="107"/>
      <c r="D990" s="102"/>
      <c r="E990" s="107"/>
      <c r="F990" s="108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10"/>
      <c r="V990" s="110"/>
    </row>
    <row r="991" ht="12.75" customHeight="1">
      <c r="A991" s="107"/>
      <c r="B991" s="107"/>
      <c r="C991" s="107"/>
      <c r="D991" s="102"/>
      <c r="E991" s="107"/>
      <c r="F991" s="108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10"/>
      <c r="V991" s="110"/>
    </row>
    <row r="992" ht="12.75" customHeight="1">
      <c r="A992" s="107"/>
      <c r="B992" s="107"/>
      <c r="C992" s="107"/>
      <c r="D992" s="102"/>
      <c r="E992" s="107"/>
      <c r="F992" s="108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10"/>
      <c r="V992" s="110"/>
    </row>
    <row r="993" ht="12.75" customHeight="1">
      <c r="A993" s="107"/>
      <c r="B993" s="107"/>
      <c r="C993" s="107"/>
      <c r="D993" s="102"/>
      <c r="E993" s="107"/>
      <c r="F993" s="108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10"/>
      <c r="V993" s="110"/>
    </row>
    <row r="994" ht="12.75" customHeight="1">
      <c r="A994" s="107"/>
      <c r="B994" s="107"/>
      <c r="C994" s="107"/>
      <c r="D994" s="102"/>
      <c r="E994" s="107"/>
      <c r="F994" s="108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10"/>
      <c r="V994" s="110"/>
    </row>
    <row r="995" ht="12.75" customHeight="1">
      <c r="A995" s="107"/>
      <c r="B995" s="107"/>
      <c r="C995" s="107"/>
      <c r="D995" s="102"/>
      <c r="E995" s="107"/>
      <c r="F995" s="108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10"/>
      <c r="V995" s="110"/>
    </row>
    <row r="996" ht="12.75" customHeight="1">
      <c r="A996" s="107"/>
      <c r="B996" s="107"/>
      <c r="C996" s="107"/>
      <c r="D996" s="102"/>
      <c r="E996" s="107"/>
      <c r="F996" s="108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10"/>
      <c r="V996" s="110"/>
    </row>
    <row r="997" ht="12.75" customHeight="1">
      <c r="A997" s="107"/>
      <c r="B997" s="107"/>
      <c r="C997" s="107"/>
      <c r="D997" s="102"/>
      <c r="E997" s="107"/>
      <c r="F997" s="108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10"/>
      <c r="V997" s="110"/>
    </row>
    <row r="998" ht="12.75" customHeight="1">
      <c r="A998" s="107"/>
      <c r="B998" s="107"/>
      <c r="C998" s="107"/>
      <c r="D998" s="102"/>
      <c r="E998" s="107"/>
      <c r="F998" s="108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10"/>
      <c r="V998" s="110"/>
    </row>
    <row r="999" ht="12.75" customHeight="1">
      <c r="A999" s="107"/>
      <c r="B999" s="107"/>
      <c r="C999" s="107"/>
      <c r="D999" s="102"/>
      <c r="E999" s="107"/>
      <c r="F999" s="108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10"/>
      <c r="V999" s="110"/>
    </row>
    <row r="1000" ht="12.75" customHeight="1">
      <c r="A1000" s="107"/>
      <c r="B1000" s="107"/>
      <c r="C1000" s="107"/>
      <c r="D1000" s="102"/>
      <c r="E1000" s="107"/>
      <c r="F1000" s="108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10"/>
      <c r="V1000" s="110"/>
    </row>
    <row r="1001" ht="12.75" customHeight="1">
      <c r="A1001" s="107"/>
      <c r="B1001" s="107"/>
      <c r="C1001" s="107"/>
      <c r="D1001" s="102"/>
      <c r="E1001" s="107"/>
      <c r="F1001" s="108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10"/>
      <c r="V1001" s="110"/>
    </row>
    <row r="1002" ht="12.75" customHeight="1">
      <c r="A1002" s="107"/>
      <c r="B1002" s="107"/>
      <c r="C1002" s="107"/>
      <c r="D1002" s="102"/>
      <c r="E1002" s="107"/>
      <c r="F1002" s="108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10"/>
      <c r="V1002" s="110"/>
    </row>
    <row r="1003" ht="12.75" customHeight="1">
      <c r="A1003" s="107"/>
      <c r="B1003" s="107"/>
      <c r="C1003" s="107"/>
      <c r="D1003" s="102"/>
      <c r="E1003" s="107"/>
      <c r="F1003" s="108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10"/>
      <c r="V1003" s="110"/>
    </row>
    <row r="1004" ht="12.75" customHeight="1">
      <c r="A1004" s="107"/>
      <c r="B1004" s="107"/>
      <c r="C1004" s="107"/>
      <c r="D1004" s="102"/>
      <c r="E1004" s="107"/>
      <c r="F1004" s="108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10"/>
      <c r="V1004" s="110"/>
    </row>
    <row r="1005" ht="12.75" customHeight="1">
      <c r="A1005" s="107"/>
      <c r="B1005" s="107"/>
      <c r="C1005" s="107"/>
      <c r="D1005" s="102"/>
      <c r="E1005" s="107"/>
      <c r="F1005" s="108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10"/>
      <c r="V1005" s="110"/>
    </row>
    <row r="1006" ht="12.75" customHeight="1">
      <c r="A1006" s="107"/>
      <c r="B1006" s="107"/>
      <c r="C1006" s="107"/>
      <c r="D1006" s="102"/>
      <c r="E1006" s="107"/>
      <c r="F1006" s="108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10"/>
      <c r="V1006" s="110"/>
    </row>
    <row r="1007" ht="12.75" customHeight="1">
      <c r="A1007" s="107"/>
      <c r="B1007" s="107"/>
      <c r="C1007" s="107"/>
      <c r="D1007" s="102"/>
      <c r="E1007" s="107"/>
      <c r="F1007" s="108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10"/>
      <c r="V1007" s="110"/>
    </row>
    <row r="1008" ht="12.75" customHeight="1">
      <c r="A1008" s="107"/>
      <c r="B1008" s="107"/>
      <c r="C1008" s="107"/>
      <c r="D1008" s="102"/>
      <c r="E1008" s="107"/>
      <c r="F1008" s="108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10"/>
      <c r="V1008" s="110"/>
    </row>
    <row r="1009" ht="12.75" customHeight="1">
      <c r="A1009" s="107"/>
      <c r="B1009" s="107"/>
      <c r="C1009" s="107"/>
      <c r="D1009" s="102"/>
      <c r="E1009" s="107"/>
      <c r="F1009" s="108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10"/>
      <c r="V1009" s="110"/>
    </row>
    <row r="1010" ht="12.75" customHeight="1">
      <c r="A1010" s="107"/>
      <c r="B1010" s="107"/>
      <c r="C1010" s="107"/>
      <c r="D1010" s="102"/>
      <c r="E1010" s="107"/>
      <c r="F1010" s="108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10"/>
      <c r="V1010" s="110"/>
    </row>
    <row r="1011" ht="12.75" customHeight="1">
      <c r="A1011" s="107"/>
      <c r="B1011" s="107"/>
      <c r="C1011" s="107"/>
      <c r="D1011" s="102"/>
      <c r="E1011" s="107"/>
      <c r="F1011" s="108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10"/>
      <c r="V1011" s="110"/>
    </row>
    <row r="1012" ht="12.75" customHeight="1">
      <c r="A1012" s="107"/>
      <c r="B1012" s="107"/>
      <c r="C1012" s="107"/>
      <c r="D1012" s="102"/>
      <c r="E1012" s="107"/>
      <c r="F1012" s="108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10"/>
      <c r="V1012" s="110"/>
    </row>
    <row r="1013" ht="12.75" customHeight="1">
      <c r="A1013" s="107"/>
      <c r="B1013" s="107"/>
      <c r="C1013" s="107"/>
      <c r="D1013" s="102"/>
      <c r="E1013" s="107"/>
      <c r="F1013" s="108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10"/>
      <c r="V1013" s="110"/>
    </row>
    <row r="1014" ht="12.75" customHeight="1">
      <c r="A1014" s="107"/>
      <c r="B1014" s="107"/>
      <c r="C1014" s="107"/>
      <c r="D1014" s="102"/>
      <c r="E1014" s="107"/>
      <c r="F1014" s="108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10"/>
      <c r="V1014" s="110"/>
    </row>
    <row r="1015" ht="12.75" customHeight="1">
      <c r="A1015" s="107"/>
      <c r="B1015" s="107"/>
      <c r="C1015" s="107"/>
      <c r="D1015" s="102"/>
      <c r="E1015" s="107"/>
      <c r="F1015" s="108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10"/>
      <c r="V1015" s="110"/>
    </row>
    <row r="1016" ht="12.75" customHeight="1">
      <c r="A1016" s="107"/>
      <c r="B1016" s="107"/>
      <c r="C1016" s="107"/>
      <c r="D1016" s="102"/>
      <c r="E1016" s="107"/>
      <c r="F1016" s="108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10"/>
      <c r="V1016" s="110"/>
    </row>
    <row r="1017" ht="12.75" customHeight="1">
      <c r="A1017" s="107"/>
      <c r="B1017" s="107"/>
      <c r="C1017" s="107"/>
      <c r="D1017" s="102"/>
      <c r="E1017" s="107"/>
      <c r="F1017" s="108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10"/>
      <c r="V1017" s="110"/>
    </row>
    <row r="1018" ht="12.75" customHeight="1">
      <c r="A1018" s="107"/>
      <c r="B1018" s="107"/>
      <c r="C1018" s="107"/>
      <c r="D1018" s="102"/>
      <c r="E1018" s="107"/>
      <c r="F1018" s="108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10"/>
      <c r="V1018" s="110"/>
    </row>
    <row r="1019" ht="12.75" customHeight="1">
      <c r="A1019" s="107"/>
      <c r="B1019" s="107"/>
      <c r="C1019" s="107"/>
      <c r="D1019" s="102"/>
      <c r="E1019" s="107"/>
      <c r="F1019" s="108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10"/>
      <c r="V1019" s="110"/>
    </row>
    <row r="1020" ht="12.75" customHeight="1">
      <c r="A1020" s="107"/>
      <c r="B1020" s="107"/>
      <c r="C1020" s="107"/>
      <c r="D1020" s="102"/>
      <c r="E1020" s="107"/>
      <c r="F1020" s="108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10"/>
      <c r="V1020" s="110"/>
    </row>
    <row r="1021" ht="12.75" customHeight="1">
      <c r="A1021" s="107"/>
      <c r="B1021" s="107"/>
      <c r="C1021" s="107"/>
      <c r="D1021" s="102"/>
      <c r="E1021" s="107"/>
      <c r="F1021" s="108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10"/>
      <c r="V1021" s="110"/>
    </row>
    <row r="1022" ht="12.75" customHeight="1">
      <c r="A1022" s="107"/>
      <c r="B1022" s="107"/>
      <c r="C1022" s="107"/>
      <c r="D1022" s="102"/>
      <c r="E1022" s="107"/>
      <c r="F1022" s="108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10"/>
      <c r="V1022" s="110"/>
    </row>
    <row r="1023" ht="12.75" customHeight="1">
      <c r="A1023" s="107"/>
      <c r="B1023" s="107"/>
      <c r="C1023" s="107"/>
      <c r="D1023" s="102"/>
      <c r="E1023" s="107"/>
      <c r="F1023" s="108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10"/>
      <c r="V1023" s="110"/>
    </row>
    <row r="1024" ht="12.75" customHeight="1">
      <c r="A1024" s="107"/>
      <c r="B1024" s="107"/>
      <c r="C1024" s="107"/>
      <c r="D1024" s="102"/>
      <c r="E1024" s="107"/>
      <c r="F1024" s="108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10"/>
      <c r="V1024" s="110"/>
    </row>
    <row r="1025" ht="12.75" customHeight="1">
      <c r="A1025" s="107"/>
      <c r="B1025" s="107"/>
      <c r="C1025" s="107"/>
      <c r="D1025" s="102"/>
      <c r="E1025" s="107"/>
      <c r="F1025" s="108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10"/>
      <c r="V1025" s="110"/>
    </row>
    <row r="1026" ht="12.75" customHeight="1">
      <c r="A1026" s="107"/>
      <c r="B1026" s="107"/>
      <c r="C1026" s="107"/>
      <c r="D1026" s="102"/>
      <c r="E1026" s="107"/>
      <c r="F1026" s="108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10"/>
      <c r="V1026" s="110"/>
    </row>
    <row r="1027" ht="12.75" customHeight="1">
      <c r="A1027" s="107"/>
      <c r="B1027" s="107"/>
      <c r="C1027" s="107"/>
      <c r="D1027" s="102"/>
      <c r="E1027" s="107"/>
      <c r="F1027" s="108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10"/>
      <c r="V1027" s="110"/>
    </row>
    <row r="1028" ht="12.75" customHeight="1">
      <c r="A1028" s="107"/>
      <c r="B1028" s="107"/>
      <c r="C1028" s="107"/>
      <c r="D1028" s="102"/>
      <c r="E1028" s="107"/>
      <c r="F1028" s="108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10"/>
      <c r="V1028" s="110"/>
    </row>
    <row r="1029" ht="12.75" customHeight="1">
      <c r="A1029" s="107"/>
      <c r="B1029" s="107"/>
      <c r="C1029" s="107"/>
      <c r="D1029" s="102"/>
      <c r="E1029" s="107"/>
      <c r="F1029" s="108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10"/>
      <c r="V1029" s="110"/>
    </row>
    <row r="1030" ht="12.75" customHeight="1">
      <c r="A1030" s="107"/>
      <c r="B1030" s="107"/>
      <c r="C1030" s="107"/>
      <c r="D1030" s="102"/>
      <c r="E1030" s="107"/>
      <c r="F1030" s="108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10"/>
      <c r="V1030" s="110"/>
    </row>
    <row r="1031" ht="12.75" customHeight="1">
      <c r="A1031" s="107"/>
      <c r="B1031" s="107"/>
      <c r="C1031" s="107"/>
      <c r="D1031" s="102"/>
      <c r="E1031" s="107"/>
      <c r="F1031" s="108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10"/>
      <c r="V1031" s="110"/>
    </row>
    <row r="1032" ht="12.75" customHeight="1">
      <c r="A1032" s="107"/>
      <c r="B1032" s="107"/>
      <c r="C1032" s="107"/>
      <c r="D1032" s="102"/>
      <c r="E1032" s="107"/>
      <c r="F1032" s="108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10"/>
      <c r="V1032" s="110"/>
    </row>
    <row r="1033" ht="12.75" customHeight="1">
      <c r="A1033" s="107"/>
      <c r="B1033" s="107"/>
      <c r="C1033" s="107"/>
      <c r="D1033" s="102"/>
      <c r="E1033" s="107"/>
      <c r="F1033" s="108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10"/>
      <c r="V1033" s="110"/>
    </row>
    <row r="1034" ht="12.75" customHeight="1">
      <c r="A1034" s="107"/>
      <c r="B1034" s="107"/>
      <c r="C1034" s="107"/>
      <c r="D1034" s="102"/>
      <c r="E1034" s="107"/>
      <c r="F1034" s="108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10"/>
      <c r="V1034" s="110"/>
    </row>
    <row r="1035" ht="12.75" customHeight="1">
      <c r="A1035" s="107"/>
      <c r="B1035" s="107"/>
      <c r="C1035" s="107"/>
      <c r="D1035" s="102"/>
      <c r="E1035" s="107"/>
      <c r="F1035" s="108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10"/>
      <c r="V1035" s="110"/>
    </row>
    <row r="1036" ht="12.75" customHeight="1">
      <c r="A1036" s="107"/>
      <c r="B1036" s="107"/>
      <c r="C1036" s="107"/>
      <c r="D1036" s="102"/>
      <c r="E1036" s="107"/>
      <c r="F1036" s="108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10"/>
      <c r="V1036" s="110"/>
    </row>
    <row r="1037" ht="12.75" customHeight="1">
      <c r="A1037" s="107"/>
      <c r="B1037" s="107"/>
      <c r="C1037" s="107"/>
      <c r="D1037" s="102"/>
      <c r="E1037" s="107"/>
      <c r="F1037" s="108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10"/>
      <c r="V1037" s="110"/>
    </row>
    <row r="1038" ht="12.75" customHeight="1">
      <c r="A1038" s="107"/>
      <c r="B1038" s="107"/>
      <c r="C1038" s="107"/>
      <c r="D1038" s="102"/>
      <c r="E1038" s="107"/>
      <c r="F1038" s="108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10"/>
      <c r="V1038" s="110"/>
    </row>
    <row r="1039" ht="12.75" customHeight="1">
      <c r="A1039" s="107"/>
      <c r="B1039" s="107"/>
      <c r="C1039" s="107"/>
      <c r="D1039" s="102"/>
      <c r="E1039" s="107"/>
      <c r="F1039" s="108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10"/>
      <c r="V1039" s="110"/>
    </row>
    <row r="1040" ht="12.75" customHeight="1">
      <c r="A1040" s="107"/>
      <c r="B1040" s="107"/>
      <c r="C1040" s="107"/>
      <c r="D1040" s="102"/>
      <c r="E1040" s="107"/>
      <c r="F1040" s="108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10"/>
      <c r="V1040" s="110"/>
    </row>
    <row r="1041" ht="12.75" customHeight="1">
      <c r="A1041" s="107"/>
      <c r="B1041" s="107"/>
      <c r="C1041" s="107"/>
      <c r="D1041" s="102"/>
      <c r="E1041" s="107"/>
      <c r="F1041" s="108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10"/>
      <c r="V1041" s="110"/>
    </row>
    <row r="1042" ht="12.75" customHeight="1">
      <c r="A1042" s="107"/>
      <c r="B1042" s="107"/>
      <c r="C1042" s="107"/>
      <c r="D1042" s="102"/>
      <c r="E1042" s="107"/>
      <c r="F1042" s="108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10"/>
      <c r="V1042" s="110"/>
    </row>
    <row r="1043" ht="12.75" customHeight="1">
      <c r="A1043" s="107"/>
      <c r="B1043" s="107"/>
      <c r="C1043" s="107"/>
      <c r="D1043" s="102"/>
      <c r="E1043" s="107"/>
      <c r="F1043" s="108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10"/>
      <c r="V1043" s="110"/>
    </row>
    <row r="1044" ht="12.75" customHeight="1">
      <c r="A1044" s="107"/>
      <c r="B1044" s="107"/>
      <c r="C1044" s="107"/>
      <c r="D1044" s="102"/>
      <c r="E1044" s="107"/>
      <c r="F1044" s="108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10"/>
      <c r="V1044" s="110"/>
    </row>
    <row r="1045" ht="12.75" customHeight="1">
      <c r="A1045" s="107"/>
      <c r="B1045" s="107"/>
      <c r="C1045" s="107"/>
      <c r="D1045" s="102"/>
      <c r="E1045" s="107"/>
      <c r="F1045" s="108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10"/>
      <c r="V1045" s="110"/>
    </row>
    <row r="1046" ht="12.75" customHeight="1">
      <c r="A1046" s="107"/>
      <c r="B1046" s="107"/>
      <c r="C1046" s="107"/>
      <c r="D1046" s="102"/>
      <c r="E1046" s="107"/>
      <c r="F1046" s="108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10"/>
      <c r="V1046" s="110"/>
    </row>
    <row r="1047" ht="12.75" customHeight="1">
      <c r="A1047" s="107"/>
      <c r="B1047" s="107"/>
      <c r="C1047" s="107"/>
      <c r="D1047" s="102"/>
      <c r="E1047" s="107"/>
      <c r="F1047" s="108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10"/>
      <c r="V1047" s="110"/>
    </row>
    <row r="1048" ht="12.75" customHeight="1">
      <c r="A1048" s="107"/>
      <c r="B1048" s="107"/>
      <c r="C1048" s="107"/>
      <c r="D1048" s="102"/>
      <c r="E1048" s="107"/>
      <c r="F1048" s="108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10"/>
      <c r="V1048" s="110"/>
    </row>
    <row r="1049" ht="12.75" customHeight="1">
      <c r="A1049" s="107"/>
      <c r="B1049" s="107"/>
      <c r="C1049" s="107"/>
      <c r="D1049" s="102"/>
      <c r="E1049" s="107"/>
      <c r="F1049" s="108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10"/>
      <c r="V1049" s="110"/>
    </row>
    <row r="1050" ht="12.75" customHeight="1">
      <c r="A1050" s="107"/>
      <c r="B1050" s="107"/>
      <c r="C1050" s="107"/>
      <c r="D1050" s="102"/>
      <c r="E1050" s="107"/>
      <c r="F1050" s="108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10"/>
      <c r="V1050" s="110"/>
    </row>
    <row r="1051" ht="12.75" customHeight="1">
      <c r="A1051" s="107"/>
      <c r="B1051" s="107"/>
      <c r="C1051" s="107"/>
      <c r="D1051" s="102"/>
      <c r="E1051" s="107"/>
      <c r="F1051" s="108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10"/>
      <c r="V1051" s="110"/>
    </row>
    <row r="1052" ht="12.75" customHeight="1">
      <c r="A1052" s="107"/>
      <c r="B1052" s="107"/>
      <c r="C1052" s="107"/>
      <c r="D1052" s="102"/>
      <c r="E1052" s="107"/>
      <c r="F1052" s="108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10"/>
      <c r="V1052" s="110"/>
    </row>
    <row r="1053" ht="12.75" customHeight="1">
      <c r="A1053" s="107"/>
      <c r="B1053" s="107"/>
      <c r="C1053" s="107"/>
      <c r="D1053" s="102"/>
      <c r="E1053" s="107"/>
      <c r="F1053" s="108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10"/>
      <c r="V1053" s="110"/>
    </row>
    <row r="1054" ht="12.75" customHeight="1">
      <c r="A1054" s="107"/>
      <c r="B1054" s="107"/>
      <c r="C1054" s="107"/>
      <c r="D1054" s="102"/>
      <c r="E1054" s="107"/>
      <c r="F1054" s="108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10"/>
      <c r="V1054" s="110"/>
    </row>
    <row r="1055" ht="12.75" customHeight="1">
      <c r="A1055" s="107"/>
      <c r="B1055" s="107"/>
      <c r="C1055" s="107"/>
      <c r="D1055" s="102"/>
      <c r="E1055" s="107"/>
      <c r="F1055" s="108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10"/>
      <c r="V1055" s="110"/>
    </row>
    <row r="1056" ht="12.75" customHeight="1">
      <c r="A1056" s="107"/>
      <c r="B1056" s="107"/>
      <c r="C1056" s="107"/>
      <c r="D1056" s="102"/>
      <c r="E1056" s="107"/>
      <c r="F1056" s="108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10"/>
      <c r="V1056" s="110"/>
    </row>
    <row r="1057" ht="12.75" customHeight="1">
      <c r="A1057" s="107"/>
      <c r="B1057" s="107"/>
      <c r="C1057" s="107"/>
      <c r="D1057" s="102"/>
      <c r="E1057" s="107"/>
      <c r="F1057" s="108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10"/>
      <c r="V1057" s="110"/>
    </row>
    <row r="1058" ht="12.75" customHeight="1">
      <c r="A1058" s="107"/>
      <c r="B1058" s="107"/>
      <c r="C1058" s="107"/>
      <c r="D1058" s="102"/>
      <c r="E1058" s="107"/>
      <c r="F1058" s="108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10"/>
      <c r="V1058" s="110"/>
    </row>
    <row r="1059" ht="12.75" customHeight="1">
      <c r="A1059" s="107"/>
      <c r="B1059" s="107"/>
      <c r="C1059" s="107"/>
      <c r="D1059" s="102"/>
      <c r="E1059" s="107"/>
      <c r="F1059" s="108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10"/>
      <c r="V1059" s="110"/>
    </row>
    <row r="1060" ht="12.75" customHeight="1">
      <c r="A1060" s="107"/>
      <c r="B1060" s="107"/>
      <c r="C1060" s="107"/>
      <c r="D1060" s="102"/>
      <c r="E1060" s="107"/>
      <c r="F1060" s="108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10"/>
      <c r="V1060" s="110"/>
    </row>
    <row r="1061" ht="12.75" customHeight="1">
      <c r="A1061" s="107"/>
      <c r="B1061" s="107"/>
      <c r="C1061" s="107"/>
      <c r="D1061" s="102"/>
      <c r="E1061" s="107"/>
      <c r="F1061" s="108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10"/>
      <c r="V1061" s="110"/>
    </row>
    <row r="1062" ht="12.75" customHeight="1">
      <c r="A1062" s="107"/>
      <c r="B1062" s="107"/>
      <c r="C1062" s="107"/>
      <c r="D1062" s="102"/>
      <c r="E1062" s="107"/>
      <c r="F1062" s="108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10"/>
      <c r="V1062" s="110"/>
    </row>
    <row r="1063" ht="12.75" customHeight="1">
      <c r="A1063" s="107"/>
      <c r="B1063" s="107"/>
      <c r="C1063" s="107"/>
      <c r="D1063" s="102"/>
      <c r="E1063" s="107"/>
      <c r="F1063" s="108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10"/>
      <c r="V1063" s="110"/>
    </row>
    <row r="1064" ht="12.75" customHeight="1">
      <c r="A1064" s="107"/>
      <c r="B1064" s="107"/>
      <c r="C1064" s="107"/>
      <c r="D1064" s="102"/>
      <c r="E1064" s="107"/>
      <c r="F1064" s="108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10"/>
      <c r="V1064" s="110"/>
    </row>
    <row r="1065" ht="12.75" customHeight="1">
      <c r="A1065" s="107"/>
      <c r="B1065" s="107"/>
      <c r="C1065" s="107"/>
      <c r="D1065" s="102"/>
      <c r="E1065" s="107"/>
      <c r="F1065" s="108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10"/>
      <c r="V1065" s="110"/>
    </row>
    <row r="1066" ht="12.75" customHeight="1">
      <c r="A1066" s="107"/>
      <c r="B1066" s="107"/>
      <c r="C1066" s="107"/>
      <c r="D1066" s="102"/>
      <c r="E1066" s="107"/>
      <c r="F1066" s="108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10"/>
      <c r="V1066" s="110"/>
    </row>
    <row r="1067" ht="12.75" customHeight="1">
      <c r="A1067" s="107"/>
      <c r="B1067" s="107"/>
      <c r="C1067" s="107"/>
      <c r="D1067" s="102"/>
      <c r="E1067" s="107"/>
      <c r="F1067" s="108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10"/>
      <c r="V1067" s="110"/>
    </row>
    <row r="1068" ht="12.75" customHeight="1">
      <c r="A1068" s="107"/>
      <c r="B1068" s="107"/>
      <c r="C1068" s="107"/>
      <c r="D1068" s="102"/>
      <c r="E1068" s="107"/>
      <c r="F1068" s="108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10"/>
      <c r="V1068" s="110"/>
    </row>
    <row r="1069" ht="12.75" customHeight="1">
      <c r="A1069" s="107"/>
      <c r="B1069" s="107"/>
      <c r="C1069" s="107"/>
      <c r="D1069" s="102"/>
      <c r="E1069" s="107"/>
      <c r="F1069" s="108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10"/>
      <c r="V1069" s="110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/>
      <c r="F31" s="76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88"/>
      <c r="E32" s="71"/>
      <c r="F32" s="76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77" t="s">
        <v>26</v>
      </c>
      <c r="B33" s="78" t="s">
        <v>27</v>
      </c>
      <c r="C33" s="89" t="s">
        <v>60</v>
      </c>
      <c r="D33" s="80" t="s">
        <v>46</v>
      </c>
      <c r="E33" s="78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90" t="s">
        <v>60</v>
      </c>
      <c r="D34" s="84"/>
      <c r="E34" s="82"/>
      <c r="F34" s="90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60</v>
      </c>
      <c r="D35" s="84"/>
      <c r="E35" s="82"/>
      <c r="F35" s="90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1" t="s">
        <v>28</v>
      </c>
      <c r="B37" s="91"/>
      <c r="C37" s="91"/>
      <c r="D37" s="92" t="s">
        <v>46</v>
      </c>
      <c r="E37" s="91" t="s">
        <v>47</v>
      </c>
      <c r="F37" s="91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3" si="4">IFERROR(I37/H37,0)</f>
        <v>0</v>
      </c>
      <c r="V37" s="66">
        <f t="shared" ref="V37:V53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3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4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5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5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5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5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6"/>
      <c r="E47" s="82" t="s">
        <v>47</v>
      </c>
      <c r="F47" s="90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6"/>
      <c r="E48" s="82" t="s">
        <v>47</v>
      </c>
      <c r="F48" s="90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6"/>
      <c r="E49" s="82" t="s">
        <v>73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6"/>
      <c r="E51" s="82"/>
      <c r="F51" s="90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6"/>
      <c r="E52" s="82" t="s">
        <v>47</v>
      </c>
      <c r="F52" s="90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6"/>
      <c r="E53" s="82" t="s">
        <v>47</v>
      </c>
      <c r="F53" s="90" t="s">
        <v>79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97"/>
      <c r="B54" s="97"/>
      <c r="C54" s="97"/>
      <c r="D54" s="1"/>
      <c r="E54" s="97"/>
      <c r="F54" s="9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00"/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101"/>
      <c r="B560" s="101"/>
      <c r="C560" s="101"/>
      <c r="D560" s="102"/>
      <c r="E560" s="101"/>
      <c r="F560" s="103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5"/>
      <c r="V560" s="105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7"/>
      <c r="B1070" s="107"/>
      <c r="C1070" s="107"/>
      <c r="D1070" s="102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2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2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2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2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2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2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2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2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2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2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2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2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2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2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2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2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2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2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2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2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2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2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2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2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2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2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2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2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2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2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2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2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2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2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2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2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2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2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2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2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2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2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2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2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2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2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2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2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2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2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2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2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2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2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2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2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2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2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2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66" t="s">
        <v>81</v>
      </c>
      <c r="B1" s="166" t="s">
        <v>82</v>
      </c>
      <c r="C1" s="166" t="s">
        <v>30</v>
      </c>
      <c r="D1" s="166" t="s">
        <v>83</v>
      </c>
      <c r="E1" s="166" t="s">
        <v>0</v>
      </c>
      <c r="F1" s="166" t="s">
        <v>84</v>
      </c>
      <c r="G1" s="166" t="s">
        <v>85</v>
      </c>
      <c r="H1" s="166" t="s">
        <v>86</v>
      </c>
      <c r="I1" s="166" t="s">
        <v>87</v>
      </c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>
      <c r="A2" s="168" t="s">
        <v>88</v>
      </c>
      <c r="B2" s="168" t="s">
        <v>89</v>
      </c>
      <c r="C2" s="168" t="s">
        <v>90</v>
      </c>
      <c r="D2" s="169">
        <v>46177.0</v>
      </c>
      <c r="E2" s="168">
        <v>1739.88</v>
      </c>
      <c r="F2" s="168" t="s">
        <v>91</v>
      </c>
      <c r="G2" s="168" t="s">
        <v>92</v>
      </c>
      <c r="H2" s="168" t="s">
        <v>93</v>
      </c>
      <c r="I2" s="168" t="s">
        <v>94</v>
      </c>
    </row>
    <row r="3">
      <c r="A3" s="168" t="s">
        <v>95</v>
      </c>
      <c r="B3" s="168" t="s">
        <v>96</v>
      </c>
      <c r="C3" s="168" t="s">
        <v>90</v>
      </c>
      <c r="D3" s="169">
        <v>46177.0</v>
      </c>
      <c r="E3" s="168">
        <v>1224.0</v>
      </c>
      <c r="F3" s="168" t="s">
        <v>91</v>
      </c>
      <c r="G3" s="168" t="s">
        <v>92</v>
      </c>
      <c r="H3" s="168" t="s">
        <v>97</v>
      </c>
      <c r="I3" s="168" t="s">
        <v>94</v>
      </c>
    </row>
  </sheetData>
  <drawing r:id="rId1"/>
</worksheet>
</file>