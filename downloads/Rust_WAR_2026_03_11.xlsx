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<sst xmlns="http://schemas.openxmlformats.org/spreadsheetml/2006/main" count="3207" uniqueCount="108">
  <si>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</si>
  <si>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</si>
  <si>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</si>
  <si>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</si>
  <si>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</si>
  <si>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</si>
  <si>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</si>
  <si>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</si>
  <si>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</si>
  <si>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</si>
  <si>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</si>
  <si>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</si>
  <si>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</si>
  <si>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</si>
  <si>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</si>
  <si>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</si>
  <si>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</si>
  <si>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</si>
  <si>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</si>
  <si>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</si>
  <si>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</si>
  <si>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</si>
  <si>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</si>
  <si>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</si>
  <si>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</si>
  <si>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</si>
  <si>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</si>
  <si>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</si>
  <si>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</si>
  <si>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</si>
  <si>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</si>
  <si>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</si>
  <si>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</si>
  <si>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</si>
  <si>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</si>
  <si>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</si>
  <si>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</si>
  <si>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</si>
  <si>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</si>
  <si>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</si>
  <si>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</si>
  <si>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</si>
  <si>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</si>
  <si>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</si>
  <si>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</si>
  <si>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</si>
  <si>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</si>
  <si>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</si>
  <si>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</si>
  <si>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</si>
  <si>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</si>
  <si>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Andrea Mulder</t>
  </si>
  <si>
    <t>Bridgett McDaniels Russell</t>
  </si>
  <si>
    <t>Jasmine Marquez</t>
  </si>
  <si>
    <t>Ashley Varner-Warren</t>
  </si>
  <si>
    <t>Kristen Walton</t>
  </si>
  <si>
    <t>Sara Subo</t>
  </si>
  <si>
    <t>Thomas Kirk</t>
  </si>
  <si>
    <t>Isabela Maneiro</t>
  </si>
  <si>
    <t>Ryan Cummings</t>
  </si>
  <si>
    <t>Charlie Hudson</t>
  </si>
  <si>
    <t>Bayle Kizer</t>
  </si>
  <si>
    <t>Janice Elgedawy</t>
  </si>
  <si>
    <t>Garland Simrel</t>
  </si>
  <si>
    <t xml:space="preserve">Sherita Thompson </t>
  </si>
  <si>
    <t xml:space="preserve">Kay Finch </t>
  </si>
  <si>
    <t>Courtney Morse</t>
  </si>
  <si>
    <t>Shayla Williamson</t>
  </si>
  <si>
    <t>Jared Kelly</t>
  </si>
  <si>
    <t>Martin Austin</t>
  </si>
  <si>
    <t>Maria Farley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</si>
  <si>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</si>
  <si>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</si>
  <si>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</si>
  <si>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</si>
  <si>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</si>
  <si>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</si>
  <si>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</si>
  <si>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</si>
  <si>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</si>
  <si>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Bryson Brewer</t>
  </si>
  <si>
    <t>Olivia Ruble</t>
  </si>
  <si>
    <t>Jaedeen Perez</t>
  </si>
  <si>
    <t>Anya White</t>
  </si>
  <si>
    <t>Deandre Barber</t>
  </si>
  <si>
    <t>Juan Miller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</si>
  <si>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</si>
  <si>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</si>
  <si>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</si>
  <si>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</si>
  <si>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</si>
  <si>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</si>
  <si>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</si>
  <si>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TERRY IVIE</t>
  </si>
  <si>
    <t>YASEEN ABDUHRAHHMAN</t>
  </si>
  <si>
    <t>FIELDS</t>
  </si>
  <si>
    <t>N/A</t>
  </si>
  <si>
    <t>NO</t>
  </si>
  <si>
    <t>CANCEL PER CLIENT TEXT.</t>
  </si>
  <si>
    <t>FL</t>
  </si>
  <si>
    <t>SAMUEL AND COURTNEY HAYNES</t>
  </si>
  <si>
    <t>KELSEY FOLCARELLI</t>
  </si>
  <si>
    <t>CANCEL PER MGA</t>
  </si>
  <si>
    <t>SHEILA KING</t>
  </si>
  <si>
    <t>YES</t>
  </si>
  <si>
    <t>CANCEL PER AGENT NOTE</t>
  </si>
  <si>
    <t>EDWARD STOCKELL</t>
  </si>
  <si>
    <t>DEVIN GOULD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</si>
</sst>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4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5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shrinkToFit="0" vertical="bottom" wrapText="1"/>
    </xf>
    <xf borderId="15" fillId="0" fontId="10" numFmtId="0" xfId="0" applyAlignment="1" applyBorder="1" applyFont="1">
      <alignment vertical="bottom"/>
    </xf>
    <xf borderId="15" fillId="0" fontId="11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0" fillId="2" fontId="12" numFmtId="0" xfId="0" applyAlignment="1" applyFont="1">
      <alignment horizontal="center" readingOrder="0" vertical="center"/>
    </xf>
    <xf borderId="0" fillId="2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5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3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11611</v>
      </c>
      <c r="D2" s="10"/>
      <c r="E2" s="9">
        <f t="shared" ref="E2:R2" si="1">SUM(E5,E14,E17)</f>
        <v>9744</v>
      </c>
      <c r="F2" s="9">
        <f t="shared" si="1"/>
        <v>53</v>
      </c>
      <c r="G2" s="9">
        <f t="shared" si="1"/>
        <v>26</v>
      </c>
      <c r="H2" s="9">
        <f t="shared" si="1"/>
        <v>5</v>
      </c>
      <c r="I2" s="9">
        <f t="shared" si="1"/>
        <v>0</v>
      </c>
      <c r="J2" s="9">
        <f t="shared" si="1"/>
        <v>0</v>
      </c>
      <c r="K2" s="9">
        <f t="shared" si="1"/>
        <v>15</v>
      </c>
      <c r="L2" s="9">
        <f t="shared" si="1"/>
        <v>2</v>
      </c>
      <c r="M2" s="9">
        <f t="shared" si="1"/>
        <v>77</v>
      </c>
      <c r="N2" s="9">
        <f t="shared" si="1"/>
        <v>6</v>
      </c>
      <c r="O2" s="9">
        <f t="shared" si="1"/>
        <v>2</v>
      </c>
      <c r="P2" s="9">
        <f t="shared" si="1"/>
        <v>9</v>
      </c>
      <c r="Q2" s="9">
        <f t="shared" si="1"/>
        <v>2</v>
      </c>
      <c r="R2" s="9">
        <f t="shared" si="1"/>
        <v>10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2322.2</v>
      </c>
      <c r="F4" s="23">
        <f>IFERROR((G2+R2)/F2,0)</f>
        <v>0.679245283</v>
      </c>
      <c r="G4" s="23">
        <f>IFERROR(H2/G2,0)</f>
        <v>0.1923076923</v>
      </c>
      <c r="H4" s="22">
        <f>(C2/C4)</f>
        <v>270.0232558</v>
      </c>
      <c r="I4" s="24"/>
      <c r="J4" s="23">
        <f>IFERROR(J2/I2,0)</f>
        <v>0</v>
      </c>
      <c r="K4" s="24"/>
      <c r="L4" s="23">
        <f>IFERROR(L2/K2,0)</f>
        <v>0.1333333333</v>
      </c>
      <c r="M4" s="25">
        <f>IFERROR(M2/G2,0)</f>
        <v>2.961538462</v>
      </c>
      <c r="N4" s="24"/>
      <c r="O4" s="23">
        <f>IFERROR(O2/N2,0)</f>
        <v>0.3333333333</v>
      </c>
      <c r="P4" s="26"/>
      <c r="Q4" s="23">
        <f>IFERROR(Q2/P2,0)</f>
        <v>0.2222222222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1200</v>
      </c>
      <c r="D5" s="31"/>
      <c r="E5" s="32">
        <f>SUMIFS(T:T,A:A,B5,D:D,"Y")</f>
        <v>0</v>
      </c>
      <c r="F5" s="33">
        <f>SUMIF(A:A,B5,G:G)</f>
        <v>23</v>
      </c>
      <c r="G5" s="33">
        <f>SUMIF(A:A,B5,H:H)</f>
        <v>12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6</v>
      </c>
      <c r="L5" s="33">
        <f>SUMIF(A:A,B5,S:S)</f>
        <v>1</v>
      </c>
      <c r="M5" s="33">
        <f>SUMIF(A:A,B5,M:M)</f>
        <v>45</v>
      </c>
      <c r="N5" s="33">
        <f>SUMIF(A:A,B5,N:N)</f>
        <v>0</v>
      </c>
      <c r="O5" s="33">
        <f>SUMIF(A:A,B5,O:O)</f>
        <v>0</v>
      </c>
      <c r="P5" s="33">
        <f>SUMIF(A:A,B5,J:J)</f>
        <v>3</v>
      </c>
      <c r="Q5" s="33">
        <f>SUMIF(A:A,B5,K:K)</f>
        <v>0</v>
      </c>
      <c r="R5" s="34">
        <f>SUMIF(A:A,B5,L:L)</f>
        <v>4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1200</v>
      </c>
      <c r="F7" s="41">
        <f>IFERROR((G5+R5)/F5,0)</f>
        <v>0.6956521739</v>
      </c>
      <c r="G7" s="41">
        <f>IFERROR(H5/G5,0)</f>
        <v>0.08333333333</v>
      </c>
      <c r="H7" s="40">
        <f>(C5/C7)</f>
        <v>63.15789474</v>
      </c>
      <c r="I7" s="42"/>
      <c r="J7" s="41">
        <f>IFERROR(J5/I5,0)</f>
        <v>0</v>
      </c>
      <c r="K7" s="42"/>
      <c r="L7" s="41">
        <f>IFERROR(L5/K5,0)</f>
        <v>0.1666666667</v>
      </c>
      <c r="M7" s="43">
        <f>IFERROR(M5/SUM(R5+G5,0),"")</f>
        <v>2.8125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SUMIF(B39:B1064,B8,G39:G1064)</f>
        <v>0</v>
      </c>
      <c r="G8" s="46">
        <f>SUMIF(B39:B1064,B8,H39:H1064)</f>
        <v>0</v>
      </c>
      <c r="H8" s="46">
        <f>SUMIF(B39:B1064,B8,I39:I1064)</f>
        <v>0</v>
      </c>
      <c r="I8" s="46">
        <f>SUMIF(B39:B1064,B8,P39:P1064)</f>
        <v>0</v>
      </c>
      <c r="J8" s="46">
        <f>SUMIF(B39:B1064,B8,Q39:Q1064)</f>
        <v>0</v>
      </c>
      <c r="K8" s="46">
        <f>SUMIF(B39:B1064,B8,R39:R1064)</f>
        <v>0</v>
      </c>
      <c r="L8" s="46">
        <f>SUMIF(B39:B1064,B8,S39:S1064)</f>
        <v>0</v>
      </c>
      <c r="M8" s="46">
        <f>SUMIF(B39:B1064,B8,M39:M1064)</f>
        <v>0</v>
      </c>
      <c r="N8" s="46">
        <f>SUMIF(B39:B1064,B8,N39:N1064)</f>
        <v>0</v>
      </c>
      <c r="O8" s="46">
        <f>SUMIF(B39:B1064,B8,O39:O1064)</f>
        <v>0</v>
      </c>
      <c r="P8" s="46">
        <f>SUMIF(B39:B1064,B8,J39:J1064)</f>
        <v>0</v>
      </c>
      <c r="Q8" s="46">
        <f>SUMIF(B39:B1064,B8,K39:K1064)</f>
        <v>0</v>
      </c>
      <c r="R8" s="50">
        <f>SUMIF(B39:B1064,B8,L39:L1064)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COUNTIFS(B28:B1064,B8)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1200</v>
      </c>
      <c r="D11" s="47"/>
      <c r="E11" s="48">
        <f>SUMIFS(T:T,B:B,B11,D:D,"Y")</f>
        <v>0</v>
      </c>
      <c r="F11" s="49">
        <f t="shared" ref="F11:R11" si="2">SUMIF(B28:B1064,B11,G28:G1064)</f>
        <v>18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4</v>
      </c>
      <c r="M11" s="49">
        <f t="shared" si="2"/>
        <v>2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COUNTIFS(B27:B1064,B11)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109.0909091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905</v>
      </c>
      <c r="D14" s="31"/>
      <c r="E14" s="53">
        <f>SUMIFS(T:T,A:A,B14,D:D,"Y")</f>
        <v>905</v>
      </c>
      <c r="F14" s="9">
        <f>SUMIF(A:A,B14,G:G)</f>
        <v>8</v>
      </c>
      <c r="G14" s="33">
        <f>SUMIF(A:A,B14,H:H)</f>
        <v>7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4</v>
      </c>
      <c r="L14" s="33">
        <f>SUMIF(A:A,B14,S:S)</f>
        <v>0</v>
      </c>
      <c r="M14" s="33">
        <f>SUMIF(A:A,B14,M:M)</f>
        <v>9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905</v>
      </c>
      <c r="F16" s="23">
        <f>IFERROR((G14+R14)/F14,0)</f>
        <v>1</v>
      </c>
      <c r="G16" s="23">
        <f>IFERROR(H14/G14,0)</f>
        <v>0.1428571429</v>
      </c>
      <c r="H16" s="22">
        <f>(C14/C16)</f>
        <v>226.25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1.125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9506</v>
      </c>
      <c r="D17" s="31"/>
      <c r="E17" s="53">
        <f>SUMIFS(T:T,A:A,B17,D:D,"Y")</f>
        <v>8839</v>
      </c>
      <c r="F17" s="9">
        <f>SUMIF(A:A,B17,G:G)</f>
        <v>22</v>
      </c>
      <c r="G17" s="33">
        <f>SUMIF(A:A,B17,H:H)</f>
        <v>7</v>
      </c>
      <c r="H17" s="33">
        <f>SUMIF(A:A,B17,I:I)</f>
        <v>3</v>
      </c>
      <c r="I17" s="33">
        <f>SUMIF(A:A,B17,P:P)</f>
        <v>0</v>
      </c>
      <c r="J17" s="33">
        <f>SUMIF(A:A,B17,Q:Q)</f>
        <v>0</v>
      </c>
      <c r="K17" s="33">
        <f>SUMIF(A:A,B17,R:R)</f>
        <v>5</v>
      </c>
      <c r="L17" s="33">
        <f>SUMIF(A:A,B17,S:S)</f>
        <v>1</v>
      </c>
      <c r="M17" s="33">
        <f>SUMIF(A:A,B17,M:M)</f>
        <v>23</v>
      </c>
      <c r="N17" s="33">
        <f>SUMIF(A:A,B17,N:N)</f>
        <v>6</v>
      </c>
      <c r="O17" s="33">
        <f>SUMIF(A:A,B17,O:O)</f>
        <v>2</v>
      </c>
      <c r="P17" s="33">
        <f>SUMIF(A:A,B17,J:J)</f>
        <v>5</v>
      </c>
      <c r="Q17" s="33">
        <f>SUMIF(A:A,B17,K:K)</f>
        <v>2</v>
      </c>
      <c r="R17" s="34">
        <f>SUMIF(A:A,B17,L:L)</f>
        <v>5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3168.666667</v>
      </c>
      <c r="F19" s="41">
        <f>IFERROR((G17+R17)/F17,0)</f>
        <v>0.5454545455</v>
      </c>
      <c r="G19" s="41">
        <f>IFERROR(H17/G17,0)</f>
        <v>0.4285714286</v>
      </c>
      <c r="H19" s="40">
        <f>(C17/C19)</f>
        <v>475.3</v>
      </c>
      <c r="I19" s="42"/>
      <c r="J19" s="41">
        <f>IFERROR(J17/I17,0)</f>
        <v>0</v>
      </c>
      <c r="K19" s="42"/>
      <c r="L19" s="41">
        <f>IFERROR(L17/K17,0)</f>
        <v>0.2</v>
      </c>
      <c r="M19" s="54">
        <f>IFERROR(M17/SUM(G17+R17,0),"")</f>
        <v>1.916666667</v>
      </c>
      <c r="N19" s="42"/>
      <c r="O19" s="41">
        <f>IFERROR(O17/N17,0)</f>
        <v>0.3333333333</v>
      </c>
      <c r="P19" s="43"/>
      <c r="Q19" s="41">
        <f>IFERROR(Q17/P17,0)</f>
        <v>0.4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3806</v>
      </c>
      <c r="D20" s="55"/>
      <c r="E20" s="48">
        <f>SUMIFS(T:T,B:B,B20,D:D,"Y")</f>
        <v>3139</v>
      </c>
      <c r="F20" s="49">
        <f>SUMIF(B47:B1064,B20,G47:G1064)</f>
        <v>22</v>
      </c>
      <c r="G20" s="46">
        <f>SUMIF(B47:B1064,B20,H47:H1064)</f>
        <v>7</v>
      </c>
      <c r="H20" s="46">
        <f>SUMIF(B47:B1064,B20,I47:I1064)</f>
        <v>3</v>
      </c>
      <c r="I20" s="46">
        <f>SUMIF(B47:B1064,B20,P47:P1064)</f>
        <v>0</v>
      </c>
      <c r="J20" s="46">
        <f>SUMIF(B47:B1064,B20,Q47:Q1064)</f>
        <v>0</v>
      </c>
      <c r="K20" s="46">
        <f>SUMIF(B47:B1064,B20,R47:R1064)</f>
        <v>5</v>
      </c>
      <c r="L20" s="46">
        <f>SUMIF(B47:B1064,B20,S47:S1064)</f>
        <v>1</v>
      </c>
      <c r="M20" s="46">
        <f>SUMIF(B47:B1064,B20,M47:M1064)</f>
        <v>23</v>
      </c>
      <c r="N20" s="46">
        <f>SUMIF(B47:B1064,B20,N47:N1064)</f>
        <v>6</v>
      </c>
      <c r="O20" s="46">
        <f>SUMIF(B47:B1064,B20,O47:O1064)</f>
        <v>2</v>
      </c>
      <c r="P20" s="46">
        <f>SUMIF(B47:B1064,B20,J47:J1064)</f>
        <v>5</v>
      </c>
      <c r="Q20" s="46">
        <f>SUMIF(B47:B1064,B20,K47:K1064)</f>
        <v>2</v>
      </c>
      <c r="R20" s="50">
        <f>SUMIF(B47:B1064,B20,L47:L1064)</f>
        <v>5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COUNTIFS(B28:B1064,B20)</f>
        <v>10</v>
      </c>
      <c r="D22" s="39"/>
      <c r="E22" s="40">
        <f>IFERROR(C20/H20,0)</f>
        <v>1268.666667</v>
      </c>
      <c r="F22" s="41">
        <f>IFERROR((G20+R20)/F20,0)</f>
        <v>0.5454545455</v>
      </c>
      <c r="G22" s="41">
        <f>IFERROR(H20/G20,0)</f>
        <v>0.4285714286</v>
      </c>
      <c r="H22" s="40">
        <f>(C20/C22)</f>
        <v>380.6</v>
      </c>
      <c r="I22" s="42"/>
      <c r="J22" s="41">
        <f>IFERROR(J20/I20,0)</f>
        <v>0</v>
      </c>
      <c r="K22" s="42"/>
      <c r="L22" s="41">
        <f>IFERROR(L20/K20,0)</f>
        <v>0.2</v>
      </c>
      <c r="M22" s="43">
        <f>IFERROR(M20/SUM(G20+R20,0),"")</f>
        <v>1.916666667</v>
      </c>
      <c r="N22" s="42"/>
      <c r="O22" s="41">
        <f>IFERROR(O20/N20,0)</f>
        <v>0.3333333333</v>
      </c>
      <c r="P22" s="43"/>
      <c r="Q22" s="41">
        <f>IFERROR(Q20/P20,0)</f>
        <v>0.4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SUMIF(B50:B1064,B23,G50:G1064)</f>
        <v>0</v>
      </c>
      <c r="G23" s="46">
        <f>SUMIF(B50:B1064,B23,H50:H1064)</f>
        <v>0</v>
      </c>
      <c r="H23" s="46">
        <f>SUMIF(B50:B1064,B23,I50:I1064)</f>
        <v>0</v>
      </c>
      <c r="I23" s="46">
        <f>SUMIF(B50:B1064,B23,P50:P1064)</f>
        <v>0</v>
      </c>
      <c r="J23" s="46">
        <f>SUMIF(B50:B1064,B23,Q50:Q1064)</f>
        <v>0</v>
      </c>
      <c r="K23" s="46">
        <f>SUMIF(B50:B1064,B23,R50:R1064)</f>
        <v>0</v>
      </c>
      <c r="L23" s="46">
        <f>SUMIF(B50:B1064,B23,S50:S1064)</f>
        <v>0</v>
      </c>
      <c r="M23" s="46">
        <f>SUMIF(B50:B1064,B23,M50:M1064)</f>
        <v>0</v>
      </c>
      <c r="N23" s="46">
        <f>SUMIF(B50:B1064,B23,N50:N1064)</f>
        <v>0</v>
      </c>
      <c r="O23" s="46">
        <f>SUMIF(B50:B1064,B23,O50:O1064)</f>
        <v>0</v>
      </c>
      <c r="P23" s="46">
        <f>SUMIF(B50:B1064,B23,J50:J1064)</f>
        <v>0</v>
      </c>
      <c r="Q23" s="46">
        <f>SUMIF(B50:B1064,B23,K50:K1064)</f>
        <v>0</v>
      </c>
      <c r="R23" s="50">
        <f>SUMIF(B50:B1064,B23,L50:L1064)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COUNTIFS(B33:B1064,B23)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0</v>
      </c>
      <c r="H29" s="70">
        <f>('Thurs (2)'!H29+Thurs!H29+'Tues '!H29+Wed!H29+Fri!H29+'Mon '!H29+'Wed (2)'!H29+Sun!H29+Sat!H29)</f>
        <v>0</v>
      </c>
      <c r="I29" s="70">
        <f>('Thurs (2)'!I29+Thurs!I29+'Tues '!I29+Wed!I29+Fri!I29+'Mon '!I29+'Wed (2)'!I29+Sun!I29+Sat!I29)</f>
        <v>0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0</v>
      </c>
      <c r="N29" s="70">
        <f>('Thurs (2)'!N29+Thurs!N29+'Tues '!N29+Wed!N29+Fri!N29+'Mon '!N29+'Wed (2)'!N29+Sun!N29+Sat!N29)</f>
        <v>0</v>
      </c>
      <c r="O29" s="70">
        <f>('Thurs (2)'!O29+Thurs!O29+'Tues '!O29+Wed!O29+Fri!O29+'Mon '!O29+'Wed (2)'!O29+Sun!O29+Sat!O29)</f>
        <v>0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0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>
        <f>('Thurs (2)'!G30+Thurs!G30+'Tues '!G30+Wed!G30+Fri!G30+'Mon '!G30+'Wed (2)'!G30+Sun!G30+Sat!G30)</f>
        <v>5</v>
      </c>
      <c r="H30" s="70">
        <f>('Thurs (2)'!H30+Thurs!H30+'Tues '!H30+Wed!H30+Fri!H30+'Mon '!H30+'Wed (2)'!H30+Sun!H30+Sat!H30)</f>
        <v>4</v>
      </c>
      <c r="I30" s="70">
        <f>('Thurs (2)'!I30+Thurs!I30+'Tues '!I30+Wed!I30+Fri!I30+'Mon '!I30+'Wed (2)'!I30+Sun!I30+Sat!I30)</f>
        <v>0</v>
      </c>
      <c r="J30" s="70">
        <f>('Thurs (2)'!J30+Thurs!J30+'Tues '!J30+Wed!J30+Fri!J30+'Mon '!J30+'Wed (2)'!J30+Sun!J30+Sat!J30)</f>
        <v>3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3</v>
      </c>
      <c r="M30" s="70">
        <f>('Thurs (2)'!M30+Thurs!M30+'Tues '!M30+Wed!M30+Fri!M30+'Mon '!M30+'Wed (2)'!M30+Sun!M30+Sat!M30)</f>
        <v>0</v>
      </c>
      <c r="N30" s="70">
        <f>('Thurs (2)'!N30+Thurs!N30+'Tues '!N30+Wed!N30+Fri!N30+'Mon '!N30+'Wed (2)'!N30+Sun!N30+Sat!N30)</f>
        <v>0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2</v>
      </c>
      <c r="S30" s="70">
        <f>('Thurs (2)'!S30+Thurs!S30+'Tues '!S30+Wed!S30+Fri!S30+'Mon '!S30+'Wed (2)'!S30+Sun!S30+Sat!S30)</f>
        <v>0</v>
      </c>
      <c r="T30" s="70">
        <f>('Thurs (2)'!T30+Thurs!T30+'Tues '!T30+Wed!T30+Fri!T30+'Mon '!T30+'Wed (2)'!T30+Sun!T30+Sat!T30)</f>
        <v>0</v>
      </c>
      <c r="U30" s="71">
        <f t="shared" si="3"/>
        <v>0</v>
      </c>
      <c r="V30" s="71">
        <f t="shared" si="4"/>
        <v>1.4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>
        <f>('Thurs (2)'!G31+Thurs!G31+'Tues '!G31+Wed!G31+Fri!G31+'Mon '!G31+'Wed (2)'!G31+Sun!G31+Sat!G31)</f>
        <v>0</v>
      </c>
      <c r="H31" s="70">
        <f>('Thurs (2)'!H31+Thurs!H31+'Tues '!H31+Wed!H31+Fri!H31+'Mon '!H31+'Wed (2)'!H31+Sun!H31+Sat!H31)</f>
        <v>0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0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0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0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>
        <f>('Thurs (2)'!G33+Thurs!G33+'Tues '!G33+Wed!G33+Fri!G33+'Mon '!G33+'Wed (2)'!G33+Sun!G33+Sat!G33)</f>
        <v>5</v>
      </c>
      <c r="H33" s="70">
        <f>('Thurs (2)'!H33+Thurs!H33+'Tues '!H33+Wed!H33+Fri!H33+'Mon '!H33+'Wed (2)'!H33+Sun!H33+Sat!H33)</f>
        <v>1</v>
      </c>
      <c r="I33" s="70">
        <f>('Thurs (2)'!I33+Thurs!I33+'Tues '!I33+Wed!I33+Fri!I33+'Mon '!I33+'Wed (2)'!I33+Sun!I33+Sat!I33)</f>
        <v>0</v>
      </c>
      <c r="J33" s="70">
        <f>('Thurs (2)'!J33+Thurs!J33+'Tues '!J33+Wed!J33+Fri!J33+'Mon '!J33+'Wed (2)'!J33+Sun!J33+Sat!J33)</f>
        <v>0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0</v>
      </c>
      <c r="M33" s="70">
        <f>('Thurs (2)'!M33+Thurs!M33+'Tues '!M33+Wed!M33+Fri!M33+'Mon '!M33+'Wed (2)'!M33+Sun!M33+Sat!M33)</f>
        <v>7</v>
      </c>
      <c r="N33" s="70">
        <f>('Thurs (2)'!N33+Thurs!N33+'Tues '!N33+Wed!N33+Fri!N33+'Mon '!N33+'Wed (2)'!N33+Sun!N33+Sat!N33)</f>
        <v>0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1</v>
      </c>
      <c r="S33" s="70">
        <f>('Thurs (2)'!S33+Thurs!S33+'Tues '!S33+Wed!S33+Fri!S33+'Mon '!S33+'Wed (2)'!S33+Sun!S33+Sat!S33)</f>
        <v>0</v>
      </c>
      <c r="T33" s="70">
        <f>('Thurs (2)'!T33+Thurs!T33+'Tues '!T33+Wed!T33+Fri!T33+'Mon '!T33+'Wed (2)'!T33+Sun!T33+Sat!T33)</f>
        <v>0</v>
      </c>
      <c r="U33" s="71">
        <f t="shared" si="3"/>
        <v>0</v>
      </c>
      <c r="V33" s="71">
        <f t="shared" si="4"/>
        <v>0.2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>
        <f>('Thurs (2)'!G34+Thurs!G34+'Tues '!G34+Wed!G34+Fri!G34+'Mon '!G34+'Wed (2)'!G34+Sun!G34+Sat!G34)</f>
        <v>2</v>
      </c>
      <c r="H34" s="70">
        <f>('Thurs (2)'!H34+Thurs!H34+'Tues '!H34+Wed!H34+Fri!H34+'Mon '!H34+'Wed (2)'!H34+Sun!H34+Sat!H34)</f>
        <v>2</v>
      </c>
      <c r="I34" s="70">
        <f>('Thurs (2)'!I34+Thurs!I34+'Tues '!I34+Wed!I34+Fri!I34+'Mon '!I34+'Wed (2)'!I34+Sun!I34+Sat!I34)</f>
        <v>1</v>
      </c>
      <c r="J34" s="70">
        <f>('Thurs (2)'!J34+Thurs!J34+'Tues '!J34+Wed!J34+Fri!J34+'Mon '!J34+'Wed (2)'!J34+Sun!J34+Sat!J34)</f>
        <v>0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0</v>
      </c>
      <c r="M34" s="70">
        <f>('Thurs (2)'!M34+Thurs!M34+'Tues '!M34+Wed!M34+Fri!M34+'Mon '!M34+'Wed (2)'!M34+Sun!M34+Sat!M34)</f>
        <v>9</v>
      </c>
      <c r="N34" s="70">
        <f>('Thurs (2)'!N34+Thurs!N34+'Tues '!N34+Wed!N34+Fri!N34+'Mon '!N34+'Wed (2)'!N34+Sun!N34+Sat!N34)</f>
        <v>0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1</v>
      </c>
      <c r="S34" s="70">
        <f>('Thurs (2)'!S34+Thurs!S34+'Tues '!S34+Wed!S34+Fri!S34+'Mon '!S34+'Wed (2)'!S34+Sun!S34+Sat!S34)</f>
        <v>1</v>
      </c>
      <c r="T34" s="70">
        <f>('Thurs (2)'!T34+Thurs!T34+'Tues '!T34+Wed!T34+Fri!T34+'Mon '!T34+'Wed (2)'!T34+Sun!T34+Sat!T34)</f>
        <v>1200</v>
      </c>
      <c r="U34" s="71">
        <f t="shared" si="3"/>
        <v>0.5</v>
      </c>
      <c r="V34" s="71">
        <f t="shared" si="4"/>
        <v>1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>
        <f>('Thurs (2)'!G35+Thurs!G35+'Tues '!G35+Wed!G35+Fri!G35+'Mon '!G35+'Wed (2)'!G35+Sun!G35+Sat!G35)</f>
        <v>7</v>
      </c>
      <c r="H35" s="70">
        <f>('Thurs (2)'!H35+Thurs!H35+'Tues '!H35+Wed!H35+Fri!H35+'Mon '!H35+'Wed (2)'!H35+Sun!H35+Sat!H35)</f>
        <v>3</v>
      </c>
      <c r="I35" s="70">
        <f>('Thurs (2)'!I35+Thurs!I35+'Tues '!I35+Wed!I35+Fri!I35+'Mon '!I35+'Wed (2)'!I35+Sun!I35+Sat!I35)</f>
        <v>0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1</v>
      </c>
      <c r="M35" s="70">
        <f>('Thurs (2)'!M35+Thurs!M35+'Tues '!M35+Wed!M35+Fri!M35+'Mon '!M35+'Wed (2)'!M35+Sun!M35+Sat!M35)</f>
        <v>12</v>
      </c>
      <c r="N35" s="70">
        <f>('Thurs (2)'!N35+Thurs!N35+'Tues '!N35+Wed!N35+Fri!N35+'Mon '!N35+'Wed (2)'!N35+Sun!N35+Sat!N35)</f>
        <v>0</v>
      </c>
      <c r="O35" s="70">
        <f>('Thurs (2)'!O35+Thurs!O35+'Tues '!O35+Wed!O35+Fri!O35+'Mon '!O35+'Wed (2)'!O35+Sun!O35+Sat!O35)</f>
        <v>0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0</v>
      </c>
      <c r="U35" s="71">
        <f t="shared" si="3"/>
        <v>0</v>
      </c>
      <c r="V35" s="71">
        <f t="shared" si="4"/>
        <v>0.5714285714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>
        <f>('Thurs (2)'!G36+Thurs!G36+'Tues '!G36+Wed!G36+Fri!G36+'Mon '!G36+'Wed (2)'!G36+Sun!G36+Sat!G36)</f>
        <v>0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>
        <f>('Thurs (2)'!G37+Thurs!G37+'Tues '!G37+Wed!G37+Fri!G37+'Mon '!G37+'Wed (2)'!G37+Sun!G37+Sat!G37)</f>
        <v>0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>
        <f>('Thurs (2)'!G38+Thurs!G38+'Tues '!G38+Wed!G38+Fri!G38+'Mon '!G38+'Wed (2)'!G38+Sun!G38+Sat!G38)</f>
        <v>4</v>
      </c>
      <c r="H38" s="70">
        <f>('Thurs (2)'!H38+Thurs!H38+'Tues '!H38+Wed!H38+Fri!H38+'Mon '!H38+'Wed (2)'!H38+Sun!H38+Sat!H38)</f>
        <v>2</v>
      </c>
      <c r="I38" s="70">
        <f>('Thurs (2)'!I38+Thurs!I38+'Tues '!I38+Wed!I38+Fri!I38+'Mon '!I38+'Wed (2)'!I38+Sun!I38+Sat!I38)</f>
        <v>0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17</v>
      </c>
      <c r="N38" s="70">
        <f>('Thurs (2)'!N38+Thurs!N38+'Tues '!N38+Wed!N38+Fri!N38+'Mon '!N38+'Wed (2)'!N38+Sun!N38+Sat!N38)</f>
        <v>0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2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0</v>
      </c>
      <c r="U38" s="71">
        <f t="shared" si="3"/>
        <v>0</v>
      </c>
      <c r="V38" s="71">
        <f t="shared" si="4"/>
        <v>0.5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>
        <f>('Thurs (2)'!G39+Thurs!G39+'Tues '!G39+Wed!G39+Fri!G39+'Mon '!G39+'Wed (2)'!G39+Sun!G39+Sat!G39)</f>
        <v>0</v>
      </c>
      <c r="H39" s="70">
        <f>('Thurs (2)'!H39+Thurs!H39+'Tues '!H39+Wed!H39+Fri!H39+'Mon '!H39+'Wed (2)'!H39+Sun!H39+Sat!H39)</f>
        <v>0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0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0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0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>
        <f>('Thurs (2)'!G41+Thurs!G41+'Tues '!G41+Wed!G41+Fri!G41+'Mon '!G41+'Wed (2)'!G41+Sun!G41+Sat!G41)</f>
        <v>0</v>
      </c>
      <c r="H41" s="70">
        <f>('Thurs (2)'!H41+Thurs!H41+'Tues '!H41+Wed!H41+Fri!H41+'Mon '!H41+'Wed (2)'!H41+Sun!H41+Sat!H41)</f>
        <v>0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0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0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>
        <f>('Thurs (2)'!G42+Thurs!G42+'Tues '!G42+Wed!G42+Fri!G42+'Mon '!G42+'Wed (2)'!G42+Sun!G42+Sat!G42)</f>
        <v>0</v>
      </c>
      <c r="H42" s="70">
        <f>('Thurs (2)'!H42+Thurs!H42+'Tues '!H42+Wed!H42+Fri!H42+'Mon '!H42+'Wed (2)'!H42+Sun!H42+Sat!H42)</f>
        <v>0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0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>
        <f>('Thurs (2)'!G48+Thurs!G48+'Tues '!G48+Wed!G48+Fri!G48+'Mon '!G48+'Wed (2)'!G48+Sun!G48+Sat!G48)</f>
        <v>0</v>
      </c>
      <c r="H48" s="70">
        <f>('Thurs (2)'!H48+Thurs!H48+'Tues '!H48+Wed!H48+Fri!H48+'Mon '!H48+'Wed (2)'!H48+Sun!H48+Sat!H48)</f>
        <v>0</v>
      </c>
      <c r="I48" s="70">
        <f>('Thurs (2)'!I48+Thurs!I48+'Tues '!I48+Wed!I48+Fri!I48+'Mon '!I48+'Wed (2)'!I48+Sun!I48+Sat!I48)</f>
        <v>0</v>
      </c>
      <c r="J48" s="70">
        <f>('Thurs (2)'!J48+Thurs!J48+'Tues '!J48+Wed!J48+Fri!J48+'Mon '!J48+'Wed (2)'!J48+Sun!J48+Sat!J48)</f>
        <v>0</v>
      </c>
      <c r="K48" s="70">
        <f>('Thurs (2)'!K48+Thurs!K48+'Tues '!K48+Wed!K48+Fri!K48+'Mon '!K48+'Wed (2)'!K48+Sun!K48+Sat!K48)</f>
        <v>0</v>
      </c>
      <c r="L48" s="70">
        <f>('Thurs (2)'!L48+Thurs!L48+'Tues '!L48+Wed!L48+Fri!L48+'Mon '!L48+'Wed (2)'!L48+Sun!L48+Sat!L48)</f>
        <v>0</v>
      </c>
      <c r="M48" s="70">
        <f>('Thurs (2)'!M48+Thurs!M48+'Tues '!M48+Wed!M48+Fri!M48+'Mon '!M48+'Wed (2)'!M48+Sun!M48+Sat!M48)</f>
        <v>0</v>
      </c>
      <c r="N48" s="70">
        <f>('Thurs (2)'!N48+Thurs!N48+'Tues '!N48+Wed!N48+Fri!N48+'Mon '!N48+'Wed (2)'!N48+Sun!N48+Sat!N48)</f>
        <v>0</v>
      </c>
      <c r="O48" s="70">
        <f>('Thurs (2)'!O48+Thurs!O48+'Tues '!O48+Wed!O48+Fri!O48+'Mon '!O48+'Wed (2)'!O48+Sun!O48+Sat!O48)</f>
        <v>0</v>
      </c>
      <c r="P48" s="70">
        <f>('Thurs (2)'!P48+Thurs!P48+'Tues '!P48+Wed!P48+Fri!P48+'Mon '!P48+'Wed (2)'!P48+Sun!P48+Sat!P48)</f>
        <v>0</v>
      </c>
      <c r="Q48" s="70">
        <f>('Thurs (2)'!Q48+Thurs!Q48+'Tues '!Q48+Wed!Q48+Fri!Q48+'Mon '!Q48+'Wed (2)'!Q48+Sun!Q48+Sat!Q48)</f>
        <v>0</v>
      </c>
      <c r="R48" s="70">
        <f>('Thurs (2)'!R48+Thurs!R48+'Tues '!R48+Wed!R48+Fri!R48+'Mon '!R48+'Wed (2)'!R48+Sun!R48+Sat!R48)</f>
        <v>0</v>
      </c>
      <c r="S48" s="70">
        <f>('Thurs (2)'!S48+Thurs!S48+'Tues '!S48+Wed!S48+Fri!S48+'Mon '!S48+'Wed (2)'!S48+Sun!S48+Sat!S48)</f>
        <v>0</v>
      </c>
      <c r="T48" s="70">
        <f>('Thurs (2)'!T48+Thurs!T48+'Tues '!T48+Wed!T48+Fri!T48+'Mon '!T48+'Wed (2)'!T48+Sun!T48+Sat!T48)</f>
        <v>0</v>
      </c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>
      <c r="A49" s="73" t="s">
        <v>29</v>
      </c>
      <c r="B49" s="77"/>
      <c r="C49" s="75"/>
      <c r="D49" s="75"/>
      <c r="E49" s="75"/>
      <c r="F49" s="77" t="s">
        <v>66</v>
      </c>
      <c r="G49" s="70">
        <f>('Thurs (2)'!G49+Thurs!G49+'Tues '!G49+Wed!G49+Fri!G49+'Mon '!G49+'Wed (2)'!G49+Sun!G49+Sat!G49)</f>
        <v>0</v>
      </c>
      <c r="H49" s="70">
        <f>('Thurs (2)'!H49+Thurs!H49+'Tues '!H49+Wed!H49+Fri!H49+'Mon '!H49+'Wed (2)'!H49+Sun!H49+Sat!H49)</f>
        <v>0</v>
      </c>
      <c r="I49" s="70">
        <f>('Thurs (2)'!I49+Thurs!I49+'Tues '!I49+Wed!I49+Fri!I49+'Mon '!I49+'Wed (2)'!I49+Sun!I49+Sat!I49)</f>
        <v>0</v>
      </c>
      <c r="J49" s="70">
        <f>('Thurs (2)'!J49+Thurs!J49+'Tues '!J49+Wed!J49+Fri!J49+'Mon '!J49+'Wed (2)'!J49+Sun!J49+Sat!J49)</f>
        <v>0</v>
      </c>
      <c r="K49" s="70">
        <f>('Thurs (2)'!K49+Thurs!K49+'Tues '!K49+Wed!K49+Fri!K49+'Mon '!K49+'Wed (2)'!K49+Sun!K49+Sat!K49)</f>
        <v>0</v>
      </c>
      <c r="L49" s="70">
        <f>('Thurs (2)'!L49+Thurs!L49+'Tues '!L49+Wed!L49+Fri!L49+'Mon '!L49+'Wed (2)'!L49+Sun!L49+Sat!L49)</f>
        <v>0</v>
      </c>
      <c r="M49" s="70">
        <f>('Thurs (2)'!M49+Thurs!M49+'Tues '!M49+Wed!M49+Fri!M49+'Mon '!M49+'Wed (2)'!M49+Sun!M49+Sat!M49)</f>
        <v>0</v>
      </c>
      <c r="N49" s="70">
        <f>('Thurs (2)'!N49+Thurs!N49+'Tues '!N49+Wed!N49+Fri!N49+'Mon '!N49+'Wed (2)'!N49+Sun!N49+Sat!N49)</f>
        <v>0</v>
      </c>
      <c r="O49" s="70">
        <f>('Thurs (2)'!O49+Thurs!O49+'Tues '!O49+Wed!O49+Fri!O49+'Mon '!O49+'Wed (2)'!O49+Sun!O49+Sat!O49)</f>
        <v>0</v>
      </c>
      <c r="P49" s="70">
        <f>('Thurs (2)'!P49+Thurs!P49+'Tues '!P49+Wed!P49+Fri!P49+'Mon '!P49+'Wed (2)'!P49+Sun!P49+Sat!P49)</f>
        <v>0</v>
      </c>
      <c r="Q49" s="70">
        <f>('Thurs (2)'!Q49+Thurs!Q49+'Tues '!Q49+Wed!Q49+Fri!Q49+'Mon '!Q49+'Wed (2)'!Q49+Sun!Q49+Sat!Q49)</f>
        <v>0</v>
      </c>
      <c r="R49" s="70">
        <f>('Thurs (2)'!R49+Thurs!R49+'Tues '!R49+Wed!R49+Fri!R49+'Mon '!R49+'Wed (2)'!R49+Sun!R49+Sat!R49)</f>
        <v>0</v>
      </c>
      <c r="S49" s="70">
        <f>('Thurs (2)'!S49+Thurs!S49+'Tues '!S49+Wed!S49+Fri!S49+'Mon '!S49+'Wed (2)'!S49+Sun!S49+Sat!S49)</f>
        <v>0</v>
      </c>
      <c r="T49" s="70">
        <f>('Thurs (2)'!T49+Thurs!T49+'Tues '!T49+Wed!T49+Fri!T49+'Mon '!T49+'Wed (2)'!T49+Sun!T49+Sat!T49)</f>
        <v>0</v>
      </c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70">
        <f>('Thurs (2)'!G50+Thurs!G50+'Tues '!G50+Wed!G50+Fri!G50+'Mon '!G50+'Wed (2)'!G50+Sun!G50+Sat!G50)</f>
        <v>8</v>
      </c>
      <c r="H50" s="70">
        <f>('Thurs (2)'!H50+Thurs!H50+'Tues '!H50+Wed!H50+Fri!H50+'Mon '!H50+'Wed (2)'!H50+Sun!H50+Sat!H50)</f>
        <v>7</v>
      </c>
      <c r="I50" s="70">
        <f>('Thurs (2)'!I50+Thurs!I50+'Tues '!I50+Wed!I50+Fri!I50+'Mon '!I50+'Wed (2)'!I50+Sun!I50+Sat!I50)</f>
        <v>1</v>
      </c>
      <c r="J50" s="70">
        <f>('Thurs (2)'!J50+Thurs!J50+'Tues '!J50+Wed!J50+Fri!J50+'Mon '!J50+'Wed (2)'!J50+Sun!J50+Sat!J50)</f>
        <v>1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1</v>
      </c>
      <c r="M50" s="70">
        <f>('Thurs (2)'!M50+Thurs!M50+'Tues '!M50+Wed!M50+Fri!M50+'Mon '!M50+'Wed (2)'!M50+Sun!M50+Sat!M50)</f>
        <v>9</v>
      </c>
      <c r="N50" s="70">
        <f>('Thurs (2)'!N50+Thurs!N50+'Tues '!N50+Wed!N50+Fri!N50+'Mon '!N50+'Wed (2)'!N50+Sun!N50+Sat!N50)</f>
        <v>0</v>
      </c>
      <c r="O50" s="70">
        <f>('Thurs (2)'!O50+Thurs!O50+'Tues '!O50+Wed!O50+Fri!O50+'Mon '!O50+'Wed (2)'!O50+Sun!O50+Sat!O50)</f>
        <v>0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4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905</v>
      </c>
      <c r="U50" s="71">
        <f t="shared" si="5"/>
        <v>0.1428571429</v>
      </c>
      <c r="V50" s="71">
        <f t="shared" si="6"/>
        <v>1</v>
      </c>
      <c r="W50" s="72"/>
    </row>
    <row r="5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>
        <f>('Thurs (2)'!G51+Thurs!G51+'Tues '!G51+Wed!G51+Fri!G51+'Mon '!G51+'Wed (2)'!G51+Sun!G51+Sat!G51)</f>
        <v>0</v>
      </c>
      <c r="H51" s="70">
        <f>('Thurs (2)'!H51+Thurs!H51+'Tues '!H51+Wed!H51+Fri!H51+'Mon '!H51+'Wed (2)'!H51+Sun!H51+Sat!H51)</f>
        <v>0</v>
      </c>
      <c r="I51" s="70">
        <f>('Thurs (2)'!I51+Thurs!I51+'Tues '!I51+Wed!I51+Fri!I51+'Mon '!I51+'Wed (2)'!I51+Sun!I51+Sat!I51)</f>
        <v>0</v>
      </c>
      <c r="J51" s="70">
        <f>('Thurs (2)'!J51+Thurs!J51+'Tues '!J51+Wed!J51+Fri!J51+'Mon '!J51+'Wed (2)'!J51+Sun!J51+Sat!J51)</f>
        <v>0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0</v>
      </c>
      <c r="M51" s="70">
        <f>('Thurs (2)'!M51+Thurs!M51+'Tues '!M51+Wed!M51+Fri!M51+'Mon '!M51+'Wed (2)'!M51+Sun!M51+Sat!M51)</f>
        <v>0</v>
      </c>
      <c r="N51" s="70">
        <f>('Thurs (2)'!N51+Thurs!N51+'Tues '!N51+Wed!N51+Fri!N51+'Mon '!N51+'Wed (2)'!N51+Sun!N51+Sat!N51)</f>
        <v>0</v>
      </c>
      <c r="O51" s="70">
        <f>('Thurs (2)'!O51+Thurs!O51+'Tues '!O51+Wed!O51+Fri!O51+'Mon '!O51+'Wed (2)'!O51+Sun!O51+Sat!O51)</f>
        <v>0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0</v>
      </c>
      <c r="S51" s="70">
        <f>('Thurs (2)'!S51+Thurs!S51+'Tues '!S51+Wed!S51+Fri!S51+'Mon '!S51+'Wed (2)'!S51+Sun!S51+Sat!S51)</f>
        <v>0</v>
      </c>
      <c r="T51" s="70">
        <f>('Thurs (2)'!T51+Thurs!T51+'Tues '!T51+Wed!T51+Fri!T51+'Mon '!T51+'Wed (2)'!T51+Sun!T51+Sat!T51)</f>
        <v>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>
        <f>('Thurs (2)'!G53+Thurs!G53+'Tues '!G53+Wed!G53+Fri!G53+'Mon '!G53+'Wed (2)'!G53+Sun!G53+Sat!G53)</f>
        <v>0</v>
      </c>
      <c r="H53" s="70">
        <f>('Thurs (2)'!H53+Thurs!H53+'Tues '!H53+Wed!H53+Fri!H53+'Mon '!H53+'Wed (2)'!H53+Sun!H53+Sat!H53)</f>
        <v>0</v>
      </c>
      <c r="I53" s="70">
        <f>('Thurs (2)'!I53+Thurs!I53+'Tues '!I53+Wed!I53+Fri!I53+'Mon '!I53+'Wed (2)'!I53+Sun!I53+Sat!I53)</f>
        <v>0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0</v>
      </c>
      <c r="M53" s="70">
        <f>('Thurs (2)'!M53+Thurs!M53+'Tues '!M53+Wed!M53+Fri!M53+'Mon '!M53+'Wed (2)'!M53+Sun!M53+Sat!M53)</f>
        <v>0</v>
      </c>
      <c r="N53" s="70">
        <f>('Thurs (2)'!N53+Thurs!N53+'Tues '!N53+Wed!N53+Fri!N53+'Mon '!N53+'Wed (2)'!N53+Sun!N53+Sat!N53)</f>
        <v>0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0</v>
      </c>
      <c r="Q53" s="70">
        <f>('Thurs (2)'!Q53+Thurs!Q53+'Tues '!Q53+Wed!Q53+Fri!Q53+'Mon '!Q53+'Wed (2)'!Q53+Sun!Q53+Sat!Q53)</f>
        <v>0</v>
      </c>
      <c r="R53" s="70">
        <f>('Thurs (2)'!R53+Thurs!R53+'Tues '!R53+Wed!R53+Fri!R53+'Mon '!R53+'Wed (2)'!R53+Sun!R53+Sat!R53)</f>
        <v>0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5700</v>
      </c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>
        <f>('Thurs (2)'!G54+Thurs!G54+'Tues '!G54+Wed!G54+Fri!G54+'Mon '!G54+'Wed (2)'!G54+Sun!G54+Sat!G54)</f>
        <v>0</v>
      </c>
      <c r="H54" s="70">
        <f>('Thurs (2)'!H54+Thurs!H54+'Tues '!H54+Wed!H54+Fri!H54+'Mon '!H54+'Wed (2)'!H54+Sun!H54+Sat!H54)</f>
        <v>0</v>
      </c>
      <c r="I54" s="70">
        <f>('Thurs (2)'!I54+Thurs!I54+'Tues '!I54+Wed!I54+Fri!I54+'Mon '!I54+'Wed (2)'!I54+Sun!I54+Sat!I54)</f>
        <v>0</v>
      </c>
      <c r="J54" s="70">
        <f>('Thurs (2)'!J54+Thurs!J54+'Tues '!J54+Wed!J54+Fri!J54+'Mon '!J54+'Wed (2)'!J54+Sun!J54+Sat!J54)</f>
        <v>0</v>
      </c>
      <c r="K54" s="70">
        <f>('Thurs (2)'!K54+Thurs!K54+'Tues '!K54+Wed!K54+Fri!K54+'Mon '!K54+'Wed (2)'!K54+Sun!K54+Sat!K54)</f>
        <v>0</v>
      </c>
      <c r="L54" s="70">
        <f>('Thurs (2)'!L54+Thurs!L54+'Tues '!L54+Wed!L54+Fri!L54+'Mon '!L54+'Wed (2)'!L54+Sun!L54+Sat!L54)</f>
        <v>0</v>
      </c>
      <c r="M54" s="70">
        <f>('Thurs (2)'!M54+Thurs!M54+'Tues '!M54+Wed!M54+Fri!M54+'Mon '!M54+'Wed (2)'!M54+Sun!M54+Sat!M54)</f>
        <v>0</v>
      </c>
      <c r="N54" s="70">
        <f>('Thurs (2)'!N54+Thurs!N54+'Tues '!N54+Wed!N54+Fri!N54+'Mon '!N54+'Wed (2)'!N54+Sun!N54+Sat!N54)</f>
        <v>0</v>
      </c>
      <c r="O54" s="70">
        <f>('Thurs (2)'!O54+Thurs!O54+'Tues '!O54+Wed!O54+Fri!O54+'Mon '!O54+'Wed (2)'!O54+Sun!O54+Sat!O54)</f>
        <v>0</v>
      </c>
      <c r="P54" s="70">
        <f>('Thurs (2)'!P54+Thurs!P54+'Tues '!P54+Wed!P54+Fri!P54+'Mon '!P54+'Wed (2)'!P54+Sun!P54+Sat!P54)</f>
        <v>0</v>
      </c>
      <c r="Q54" s="70">
        <f>('Thurs (2)'!Q54+Thurs!Q54+'Tues '!Q54+Wed!Q54+Fri!Q54+'Mon '!Q54+'Wed (2)'!Q54+Sun!Q54+Sat!Q54)</f>
        <v>0</v>
      </c>
      <c r="R54" s="70">
        <f>('Thurs (2)'!R54+Thurs!R54+'Tues '!R54+Wed!R54+Fri!R54+'Mon '!R54+'Wed (2)'!R54+Sun!R54+Sat!R54)</f>
        <v>0</v>
      </c>
      <c r="S54" s="70">
        <f>('Thurs (2)'!S54+Thurs!S54+'Tues '!S54+Wed!S54+Fri!S54+'Mon '!S54+'Wed (2)'!S54+Sun!S54+Sat!S54)</f>
        <v>0</v>
      </c>
      <c r="T54" s="70">
        <f>('Thurs (2)'!T54+Thurs!T54+'Tues '!T54+Wed!T54+Fri!T54+'Mon '!T54+'Wed (2)'!T54+Sun!T54+Sat!T54)</f>
        <v>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>
        <f>('Thurs (2)'!G55+Thurs!G55+'Tues '!G55+Wed!G55+Fri!G55+'Mon '!G55+'Wed (2)'!G55+Sun!G55+Sat!G55)</f>
        <v>0</v>
      </c>
      <c r="H55" s="70">
        <f>('Thurs (2)'!H55+Thurs!H55+'Tues '!H55+Wed!H55+Fri!H55+'Mon '!H55+'Wed (2)'!H55+Sun!H55+Sat!H55)</f>
        <v>0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0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0</v>
      </c>
      <c r="M55" s="70">
        <f>('Thurs (2)'!M55+Thurs!M55+'Tues '!M55+Wed!M55+Fri!M55+'Mon '!M55+'Wed (2)'!M55+Sun!M55+Sat!M55)</f>
        <v>0</v>
      </c>
      <c r="N55" s="70">
        <f>('Thurs (2)'!N55+Thurs!N55+'Tues '!N55+Wed!N55+Fri!N55+'Mon '!N55+'Wed (2)'!N55+Sun!N55+Sat!N55)</f>
        <v>0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0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>
        <f>('Thurs (2)'!G56+Thurs!G56+'Tues '!G56+Wed!G56+Fri!G56+'Mon '!G56+'Wed (2)'!G56+Sun!G56+Sat!G56)</f>
        <v>0</v>
      </c>
      <c r="H56" s="70">
        <f>('Thurs (2)'!H56+Thurs!H56+'Tues '!H56+Wed!H56+Fri!H56+'Mon '!H56+'Wed (2)'!H56+Sun!H56+Sat!H56)</f>
        <v>0</v>
      </c>
      <c r="I56" s="70">
        <f>('Thurs (2)'!I56+Thurs!I56+'Tues '!I56+Wed!I56+Fri!I56+'Mon '!I56+'Wed (2)'!I56+Sun!I56+Sat!I56)</f>
        <v>0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0</v>
      </c>
      <c r="N56" s="70">
        <f>('Thurs (2)'!N56+Thurs!N56+'Tues '!N56+Wed!N56+Fri!N56+'Mon '!N56+'Wed (2)'!N56+Sun!N56+Sat!N56)</f>
        <v>0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70">
        <f>('Thurs (2)'!G57+Thurs!G57+'Tues '!G57+Wed!G57+Fri!G57+'Mon '!G57+'Wed (2)'!G57+Sun!G57+Sat!G57)</f>
        <v>16</v>
      </c>
      <c r="H57" s="70">
        <f>('Thurs (2)'!H57+Thurs!H57+'Tues '!H57+Wed!H57+Fri!H57+'Mon '!H57+'Wed (2)'!H57+Sun!H57+Sat!H57)</f>
        <v>4</v>
      </c>
      <c r="I57" s="70">
        <f>('Thurs (2)'!I57+Thurs!I57+'Tues '!I57+Wed!I57+Fri!I57+'Mon '!I57+'Wed (2)'!I57+Sun!I57+Sat!I57)</f>
        <v>2</v>
      </c>
      <c r="J57" s="70">
        <f>('Thurs (2)'!J57+Thurs!J57+'Tues '!J57+Wed!J57+Fri!J57+'Mon '!J57+'Wed (2)'!J57+Sun!J57+Sat!J57)</f>
        <v>5</v>
      </c>
      <c r="K57" s="70">
        <f>('Thurs (2)'!K57+Thurs!K57+'Tues '!K57+Wed!K57+Fri!K57+'Mon '!K57+'Wed (2)'!K57+Sun!K57+Sat!K57)</f>
        <v>2</v>
      </c>
      <c r="L57" s="70">
        <f>('Thurs (2)'!L57+Thurs!L57+'Tues '!L57+Wed!L57+Fri!L57+'Mon '!L57+'Wed (2)'!L57+Sun!L57+Sat!L57)</f>
        <v>4</v>
      </c>
      <c r="M57" s="70">
        <f>('Thurs (2)'!M57+Thurs!M57+'Tues '!M57+Wed!M57+Fri!M57+'Mon '!M57+'Wed (2)'!M57+Sun!M57+Sat!M57)</f>
        <v>7</v>
      </c>
      <c r="N57" s="70">
        <f>('Thurs (2)'!N57+Thurs!N57+'Tues '!N57+Wed!N57+Fri!N57+'Mon '!N57+'Wed (2)'!N57+Sun!N57+Sat!N57)</f>
        <v>3</v>
      </c>
      <c r="O57" s="70">
        <f>('Thurs (2)'!O57+Thurs!O57+'Tues '!O57+Wed!O57+Fri!O57+'Mon '!O57+'Wed (2)'!O57+Sun!O57+Sat!O57)</f>
        <v>1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5</v>
      </c>
      <c r="S57" s="70">
        <f>('Thurs (2)'!S57+Thurs!S57+'Tues '!S57+Wed!S57+Fri!S57+'Mon '!S57+'Wed (2)'!S57+Sun!S57+Sat!S57)</f>
        <v>1</v>
      </c>
      <c r="T57" s="70">
        <f>('Thurs (2)'!T57+Thurs!T57+'Tues '!T57+Wed!T57+Fri!T57+'Mon '!T57+'Wed (2)'!T57+Sun!T57+Sat!T57)</f>
        <v>3139</v>
      </c>
      <c r="U57" s="71">
        <f t="shared" si="7"/>
        <v>0.5</v>
      </c>
      <c r="V57" s="71">
        <f t="shared" si="8"/>
        <v>0.5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70">
        <f>('Thurs (2)'!G58+Thurs!G58+'Tues '!G58+Wed!G58+Fri!G58+'Mon '!G58+'Wed (2)'!G58+Sun!G58+Sat!G58)</f>
        <v>0</v>
      </c>
      <c r="H58" s="70">
        <f>('Thurs (2)'!H58+Thurs!H58+'Tues '!H58+Wed!H58+Fri!H58+'Mon '!H58+'Wed (2)'!H58+Sun!H58+Sat!H58)</f>
        <v>0</v>
      </c>
      <c r="I58" s="70">
        <f>('Thurs (2)'!I58+Thurs!I58+'Tues '!I58+Wed!I58+Fri!I58+'Mon '!I58+'Wed (2)'!I58+Sun!I58+Sat!I58)</f>
        <v>0</v>
      </c>
      <c r="J58" s="70">
        <f>('Thurs (2)'!J58+Thurs!J58+'Tues '!J58+Wed!J58+Fri!J58+'Mon '!J58+'Wed (2)'!J58+Sun!J58+Sat!J58)</f>
        <v>0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0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0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70">
        <f>('Thurs (2)'!G60+Thurs!G60+'Tues '!G60+Wed!G60+Fri!G60+'Mon '!G60+'Wed (2)'!G60+Sun!G60+Sat!G60)</f>
        <v>0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0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0</v>
      </c>
      <c r="M60" s="70">
        <f>('Thurs (2)'!M60+Thurs!M60+'Tues '!M60+Wed!M60+Fri!M60+'Mon '!M60+'Wed (2)'!M60+Sun!M60+Sat!M60)</f>
        <v>0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70">
        <f>('Thurs (2)'!G61+Thurs!G61+'Tues '!G61+Wed!G61+Fri!G61+'Mon '!G61+'Wed (2)'!G61+Sun!G61+Sat!G61)</f>
        <v>0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70">
        <f>('Thurs (2)'!G62+Thurs!G62+'Tues '!G62+Wed!G62+Fri!G62+'Mon '!G62+'Wed (2)'!G62+Sun!G62+Sat!G62)</f>
        <v>1</v>
      </c>
      <c r="H62" s="70">
        <f>('Thurs (2)'!H62+Thurs!H62+'Tues '!H62+Wed!H62+Fri!H62+'Mon '!H62+'Wed (2)'!H62+Sun!H62+Sat!H62)</f>
        <v>1</v>
      </c>
      <c r="I62" s="70">
        <f>('Thurs (2)'!I62+Thurs!I62+'Tues '!I62+Wed!I62+Fri!I62+'Mon '!I62+'Wed (2)'!I62+Sun!I62+Sat!I62)</f>
        <v>0</v>
      </c>
      <c r="J62" s="70">
        <f>('Thurs (2)'!J62+Thurs!J62+'Tues '!J62+Wed!J62+Fri!J62+'Mon '!J62+'Wed (2)'!J62+Sun!J62+Sat!J62)</f>
        <v>0</v>
      </c>
      <c r="K62" s="70">
        <f>('Thurs (2)'!K62+Thurs!K62+'Tues '!K62+Wed!K62+Fri!K62+'Mon '!K62+'Wed (2)'!K62+Sun!K62+Sat!K62)</f>
        <v>0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0</v>
      </c>
      <c r="N62" s="70">
        <f>('Thurs (2)'!N62+Thurs!N62+'Tues '!N62+Wed!N62+Fri!N62+'Mon '!N62+'Wed (2)'!N62+Sun!N62+Sat!N62)</f>
        <v>0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0</v>
      </c>
      <c r="S62" s="70">
        <f>('Thurs (2)'!S62+Thurs!S62+'Tues '!S62+Wed!S62+Fri!S62+'Mon '!S62+'Wed (2)'!S62+Sun!S62+Sat!S62)</f>
        <v>0</v>
      </c>
      <c r="T62" s="70">
        <f>('Thurs (2)'!T62+Thurs!T62+'Tues '!T62+Wed!T62+Fri!T62+'Mon '!T62+'Wed (2)'!T62+Sun!T62+Sat!T62)</f>
        <v>0</v>
      </c>
      <c r="U62" s="71">
        <f t="shared" si="7"/>
        <v>0</v>
      </c>
      <c r="V62" s="71">
        <f t="shared" si="8"/>
        <v>1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70">
        <f>('Thurs (2)'!G63+Thurs!G63+'Tues '!G63+Wed!G63+Fri!G63+'Mon '!G63+'Wed (2)'!G63+Sun!G63+Sat!G63)</f>
        <v>3</v>
      </c>
      <c r="H63" s="70">
        <f>('Thurs (2)'!H63+Thurs!H63+'Tues '!H63+Wed!H63+Fri!H63+'Mon '!H63+'Wed (2)'!H63+Sun!H63+Sat!H63)</f>
        <v>1</v>
      </c>
      <c r="I63" s="70">
        <f>('Thurs (2)'!I63+Thurs!I63+'Tues '!I63+Wed!I63+Fri!I63+'Mon '!I63+'Wed (2)'!I63+Sun!I63+Sat!I63)</f>
        <v>1</v>
      </c>
      <c r="J63" s="70">
        <f>('Thurs (2)'!J63+Thurs!J63+'Tues '!J63+Wed!J63+Fri!J63+'Mon '!J63+'Wed (2)'!J63+Sun!J63+Sat!J63)</f>
        <v>0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4</v>
      </c>
      <c r="N63" s="70">
        <f>('Thurs (2)'!N63+Thurs!N63+'Tues '!N63+Wed!N63+Fri!N63+'Mon '!N63+'Wed (2)'!N63+Sun!N63+Sat!N63)</f>
        <v>1</v>
      </c>
      <c r="O63" s="70">
        <f>('Thurs (2)'!O63+Thurs!O63+'Tues '!O63+Wed!O63+Fri!O63+'Mon '!O63+'Wed (2)'!O63+Sun!O63+Sat!O63)</f>
        <v>1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667</v>
      </c>
      <c r="U63" s="71">
        <f t="shared" si="7"/>
        <v>1</v>
      </c>
      <c r="V63" s="71">
        <f t="shared" si="8"/>
        <v>0.3333333333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70">
        <f>('Thurs (2)'!G64+Thurs!G64+'Tues '!G64+Wed!G64+Fri!G64+'Mon '!G64+'Wed (2)'!G64+Sun!G64+Sat!G64)</f>
        <v>1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1</v>
      </c>
      <c r="M64" s="70">
        <f>('Thurs (2)'!M64+Thurs!M64+'Tues '!M64+Wed!M64+Fri!M64+'Mon '!M64+'Wed (2)'!M64+Sun!M64+Sat!M64)</f>
        <v>4</v>
      </c>
      <c r="N64" s="70">
        <f>('Thurs (2)'!N64+Thurs!N64+'Tues '!N64+Wed!N64+Fri!N64+'Mon '!N64+'Wed (2)'!N64+Sun!N64+Sat!N64)</f>
        <v>1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1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70">
        <f>('Thurs (2)'!G65+Thurs!G65+'Tues '!G65+Wed!G65+Fri!G65+'Mon '!G65+'Wed (2)'!G65+Sun!G65+Sat!G65)</f>
        <v>1</v>
      </c>
      <c r="H65" s="70">
        <f>('Thurs (2)'!H65+Thurs!H65+'Tues '!H65+Wed!H65+Fri!H65+'Mon '!H65+'Wed (2)'!H65+Sun!H65+Sat!H65)</f>
        <v>1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8</v>
      </c>
      <c r="N65" s="70">
        <f>('Thurs (2)'!N65+Thurs!N65+'Tues '!N65+Wed!N65+Fri!N65+'Mon '!N65+'Wed (2)'!N65+Sun!N65+Sat!N65)</f>
        <v>1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1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>
        <f>('Thurs (2)'!G66+Thurs!G66+'Tues '!G66+Wed!G66+Fri!G66+'Mon '!G66+'Wed (2)'!G66+Sun!G66+Sat!G66)</f>
        <v>0</v>
      </c>
      <c r="H66" s="70">
        <f>('Thurs (2)'!H66+Thurs!H66+'Tues '!H66+Wed!H66+Fri!H66+'Mon '!H66+'Wed (2)'!H66+Sun!H66+Sat!H66)</f>
        <v>0</v>
      </c>
      <c r="I66" s="70">
        <f>('Thurs (2)'!I66+Thurs!I66+'Tues '!I66+Wed!I66+Fri!I66+'Mon '!I66+'Wed (2)'!I66+Sun!I66+Sat!I66)</f>
        <v>0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0</v>
      </c>
      <c r="N66" s="70">
        <f>('Thurs (2)'!N66+Thurs!N66+'Tues '!N66+Wed!N66+Fri!N66+'Mon '!N66+'Wed (2)'!N66+Sun!N66+Sat!N66)</f>
        <v>0</v>
      </c>
      <c r="O66" s="70">
        <f>('Thurs (2)'!O66+Thurs!O66+'Tues '!O66+Wed!O66+Fri!O66+'Mon '!O66+'Wed (2)'!O66+Sun!O66+Sat!O66)</f>
        <v>0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70">
        <f>('Thurs (2)'!G71+Thurs!G71+'Tues '!G71+Wed!G71+Fri!G71+'Mon '!G71+'Wed (2)'!G71+Sun!G71+Sat!G71)</f>
        <v>0</v>
      </c>
      <c r="H71" s="70">
        <f>('Thurs (2)'!H71+Thurs!H71+'Tues '!H71+Wed!H71+Fri!H71+'Mon '!H71+'Wed (2)'!H71+Sun!H71+Sat!H71)</f>
        <v>0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0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0</v>
      </c>
      <c r="N71" s="70">
        <f>('Thurs (2)'!N71+Thurs!N71+'Tues '!N71+Wed!N71+Fri!N71+'Mon '!N71+'Wed (2)'!N71+Sun!N71+Sat!N71)</f>
        <v>0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0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8995</v>
      </c>
      <c r="D2" s="10"/>
      <c r="E2" s="9">
        <f t="shared" ref="E2:R2" si="1">SUM(E5,E14,E17)</f>
        <v>7795</v>
      </c>
      <c r="F2" s="9">
        <f t="shared" si="1"/>
        <v>14</v>
      </c>
      <c r="G2" s="9">
        <f t="shared" si="1"/>
        <v>7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2</v>
      </c>
      <c r="M2" s="9">
        <f t="shared" si="1"/>
        <v>29</v>
      </c>
      <c r="N2" s="9">
        <f t="shared" si="1"/>
        <v>2</v>
      </c>
      <c r="O2" s="9">
        <f t="shared" si="1"/>
        <v>0</v>
      </c>
      <c r="P2" s="9">
        <f t="shared" si="1"/>
        <v>3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4497.5</v>
      </c>
      <c r="F4" s="23">
        <f>IFERROR((G2+R2)/F2,0)</f>
        <v>0.5714285714</v>
      </c>
      <c r="G4" s="23">
        <f>IFERROR(H2/G2,0)</f>
        <v>0.2857142857</v>
      </c>
      <c r="H4" s="22">
        <f>(C2/C4)</f>
        <v>209.1860465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4.142857143</v>
      </c>
      <c r="N4" s="24"/>
      <c r="O4" s="23">
        <f>IFERROR(O2/N2,0)</f>
        <v>0</v>
      </c>
      <c r="P4" s="26"/>
      <c r="Q4" s="23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1200</v>
      </c>
      <c r="D5" s="31"/>
      <c r="E5" s="32">
        <f>SUMIFS(T:T,A:A,B5,D:D,"Y")</f>
        <v>0</v>
      </c>
      <c r="F5" s="33">
        <f>SUMIF(A:A,B5,G:G)</f>
        <v>7</v>
      </c>
      <c r="G5" s="33">
        <f>SUMIF(A:A,B5,H:H)</f>
        <v>4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1</v>
      </c>
      <c r="M5" s="33">
        <f>SUMIF(A:A,B5,M:M)</f>
        <v>25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1200</v>
      </c>
      <c r="F7" s="41">
        <f>IFERROR((G5+R5)/F5,0)</f>
        <v>0.5714285714</v>
      </c>
      <c r="G7" s="41">
        <f>IFERROR(H5/G5,0)</f>
        <v>0.25</v>
      </c>
      <c r="H7" s="40">
        <f>(C5/C7)</f>
        <v>63.15789474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6.25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1200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0.1428571429</v>
      </c>
      <c r="G13" s="23">
        <f>IFERROR(H11/G11,0)</f>
        <v>0</v>
      </c>
      <c r="H13" s="22">
        <f>(C11/C13)</f>
        <v>109.0909091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0.5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7795</v>
      </c>
      <c r="D17" s="31"/>
      <c r="E17" s="53">
        <f>SUMIFS(T:T,A:A,B17,D:D,"Y")</f>
        <v>7795</v>
      </c>
      <c r="F17" s="9">
        <f>SUMIF(A:A,B17,G:G)</f>
        <v>5</v>
      </c>
      <c r="G17" s="33">
        <f>SUMIF(A:A,B17,H:H)</f>
        <v>2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1</v>
      </c>
      <c r="M17" s="33">
        <f>SUMIF(A:A,B17,M:M)</f>
        <v>4</v>
      </c>
      <c r="N17" s="33">
        <f>SUMIF(A:A,B17,N:N)</f>
        <v>2</v>
      </c>
      <c r="O17" s="33">
        <f>SUMIF(A:A,B17,O:O)</f>
        <v>0</v>
      </c>
      <c r="P17" s="33">
        <f>SUMIF(A:A,B17,J:J)</f>
        <v>2</v>
      </c>
      <c r="Q17" s="33">
        <f>SUMIF(A:A,B17,K:K)</f>
        <v>1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7795</v>
      </c>
      <c r="F19" s="41">
        <f>IFERROR((G17+R17)/F17,0)</f>
        <v>0.6</v>
      </c>
      <c r="G19" s="41">
        <f>IFERROR(H17/G17,0)</f>
        <v>0.5</v>
      </c>
      <c r="H19" s="40">
        <f>(C17/C19)</f>
        <v>389.75</v>
      </c>
      <c r="I19" s="42"/>
      <c r="J19" s="41">
        <f>IFERROR(J17/I17,0)</f>
        <v>0</v>
      </c>
      <c r="K19" s="42"/>
      <c r="L19" s="41">
        <f>IFERROR(L17/K17,0)</f>
        <v>1</v>
      </c>
      <c r="M19" s="54">
        <f>IFERROR(M17/SUM(G17+R17,0),"")</f>
        <v>1.333333333</v>
      </c>
      <c r="N19" s="42"/>
      <c r="O19" s="41">
        <f>IFERROR(O17/N17,0)</f>
        <v>0</v>
      </c>
      <c r="P19" s="43"/>
      <c r="Q19" s="41">
        <f>IFERROR(Q17/P17,0)</f>
        <v>0.5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2095</v>
      </c>
      <c r="D20" s="55"/>
      <c r="E20" s="48">
        <f>SUMIFS(T:T,B:B,B20,D:D,"Y")</f>
        <v>2095</v>
      </c>
      <c r="F20" s="49">
        <f>SUMIF(B47:B1137,B20,G47:G1137)</f>
        <v>5</v>
      </c>
      <c r="G20" s="46">
        <f>SUMIF(B47:B1137,B20,H47:H1137)</f>
        <v>2</v>
      </c>
      <c r="H20" s="46">
        <f>SUMIF(B47:B1137,B20,I47:I1137)</f>
        <v>1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1</v>
      </c>
      <c r="L20" s="46">
        <f>SUMIF(B47:B1137,B20,S47:S1137)</f>
        <v>1</v>
      </c>
      <c r="M20" s="46">
        <f>SUMIF(B47:B1137,B20,M47:M1137)</f>
        <v>4</v>
      </c>
      <c r="N20" s="46">
        <f>SUMIF(B47:B1137,B20,N47:N1137)</f>
        <v>2</v>
      </c>
      <c r="O20" s="46">
        <f>SUMIF(B47:B1137,B20,O47:O1137)</f>
        <v>0</v>
      </c>
      <c r="P20" s="46">
        <f>SUMIF(B47:B1137,B20,J47:J1137)</f>
        <v>2</v>
      </c>
      <c r="Q20" s="46">
        <f>SUMIF(B47:B1137,B20,K47:K1137)</f>
        <v>1</v>
      </c>
      <c r="R20" s="50">
        <f>SUMIF(B47:B1137,B20,L47:L1137)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2095</v>
      </c>
      <c r="F22" s="41">
        <f>IFERROR((G20+R20)/F20,0)</f>
        <v>0.6</v>
      </c>
      <c r="G22" s="41">
        <f>IFERROR(H20/G20,0)</f>
        <v>0.5</v>
      </c>
      <c r="H22" s="40">
        <f>(C20/C22)</f>
        <v>209.5</v>
      </c>
      <c r="I22" s="42"/>
      <c r="J22" s="41">
        <f>IFERROR(J20/I20,0)</f>
        <v>0</v>
      </c>
      <c r="K22" s="42"/>
      <c r="L22" s="41">
        <f>IFERROR(L20/K20,0)</f>
        <v>1</v>
      </c>
      <c r="M22" s="43">
        <f>IFERROR(M20/SUM(G20+R20,0),"")</f>
        <v>1.333333333</v>
      </c>
      <c r="N22" s="42"/>
      <c r="O22" s="41">
        <f>IFERROR(O20/N20,0)</f>
        <v>0</v>
      </c>
      <c r="P22" s="43"/>
      <c r="Q22" s="41">
        <f>IFERROR(Q20/P20,0)</f>
        <v>0.5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2">
        <v>0.0</v>
      </c>
      <c r="H28" s="122">
        <v>0.0</v>
      </c>
      <c r="I28" s="122">
        <v>0.0</v>
      </c>
      <c r="J28" s="122">
        <v>0.0</v>
      </c>
      <c r="K28" s="122">
        <v>0.0</v>
      </c>
      <c r="L28" s="122">
        <v>0.0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3.0</v>
      </c>
      <c r="H33" s="122">
        <v>1.0</v>
      </c>
      <c r="I33" s="122">
        <v>0.0</v>
      </c>
      <c r="J33" s="122">
        <v>0.0</v>
      </c>
      <c r="K33" s="122">
        <v>0.0</v>
      </c>
      <c r="L33" s="122">
        <v>0.0</v>
      </c>
      <c r="M33" s="122">
        <v>7.0</v>
      </c>
      <c r="N33" s="122">
        <v>0.0</v>
      </c>
      <c r="O33" s="122">
        <v>0.0</v>
      </c>
      <c r="P33" s="122">
        <v>0.0</v>
      </c>
      <c r="Q33" s="122">
        <v>0.0</v>
      </c>
      <c r="R33" s="122">
        <v>1.0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0.3333333333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2.0</v>
      </c>
      <c r="H34" s="122">
        <v>2.0</v>
      </c>
      <c r="I34" s="122">
        <v>1.0</v>
      </c>
      <c r="J34" s="122">
        <v>0.0</v>
      </c>
      <c r="K34" s="122">
        <v>0.0</v>
      </c>
      <c r="L34" s="122">
        <v>0.0</v>
      </c>
      <c r="M34" s="122">
        <v>9.0</v>
      </c>
      <c r="N34" s="122">
        <v>0.0</v>
      </c>
      <c r="O34" s="122">
        <v>0.0</v>
      </c>
      <c r="P34" s="122">
        <v>0.0</v>
      </c>
      <c r="Q34" s="122">
        <v>0.0</v>
      </c>
      <c r="R34" s="122">
        <v>1.0</v>
      </c>
      <c r="S34" s="122">
        <v>1.0</v>
      </c>
      <c r="T34" s="122">
        <v>1200.0</v>
      </c>
      <c r="U34" s="71">
        <f t="shared" si="3"/>
        <v>0.5</v>
      </c>
      <c r="V34" s="71">
        <f t="shared" si="4"/>
        <v>1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2">
        <v>0.0</v>
      </c>
      <c r="H36" s="122">
        <v>0.0</v>
      </c>
      <c r="I36" s="122">
        <v>0.0</v>
      </c>
      <c r="J36" s="122">
        <v>0.0</v>
      </c>
      <c r="K36" s="122">
        <v>0.0</v>
      </c>
      <c r="L36" s="122">
        <v>0.0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2.0</v>
      </c>
      <c r="H38" s="122">
        <v>1.0</v>
      </c>
      <c r="I38" s="122">
        <v>0.0</v>
      </c>
      <c r="J38" s="122">
        <v>0.0</v>
      </c>
      <c r="K38" s="122">
        <v>0.0</v>
      </c>
      <c r="L38" s="122">
        <v>0.0</v>
      </c>
      <c r="M38" s="122">
        <v>9.0</v>
      </c>
      <c r="N38" s="122">
        <v>0.0</v>
      </c>
      <c r="O38" s="122">
        <v>0.0</v>
      </c>
      <c r="P38" s="122">
        <v>0.0</v>
      </c>
      <c r="Q38" s="122">
        <v>0.0</v>
      </c>
      <c r="R38" s="122">
        <v>1.0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0.5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2">
        <v>2.0</v>
      </c>
      <c r="H50" s="122">
        <v>1.0</v>
      </c>
      <c r="I50" s="122">
        <v>0.0</v>
      </c>
      <c r="J50" s="122">
        <v>1.0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si="5"/>
        <v>0</v>
      </c>
      <c r="V50" s="71">
        <f t="shared" si="6"/>
        <v>0.5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5700.0</v>
      </c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122">
        <v>5.0</v>
      </c>
      <c r="H57" s="122">
        <v>2.0</v>
      </c>
      <c r="I57" s="122">
        <v>1.0</v>
      </c>
      <c r="J57" s="122">
        <v>2.0</v>
      </c>
      <c r="K57" s="122">
        <v>1.0</v>
      </c>
      <c r="L57" s="122">
        <v>1.0</v>
      </c>
      <c r="M57" s="122">
        <v>4.0</v>
      </c>
      <c r="N57" s="122">
        <v>2.0</v>
      </c>
      <c r="O57" s="122">
        <v>0.0</v>
      </c>
      <c r="P57" s="122">
        <v>0.0</v>
      </c>
      <c r="Q57" s="122">
        <v>0.0</v>
      </c>
      <c r="R57" s="122">
        <v>1.0</v>
      </c>
      <c r="S57" s="122">
        <v>1.0</v>
      </c>
      <c r="T57" s="122">
        <v>2095.0</v>
      </c>
      <c r="U57" s="71">
        <f t="shared" si="7"/>
        <v>0.5</v>
      </c>
      <c r="V57" s="71">
        <f t="shared" si="8"/>
        <v>0.6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905</v>
      </c>
      <c r="D2" s="10"/>
      <c r="E2" s="9">
        <f t="shared" ref="E2:R2" si="1">SUM(E5,E14,E17)</f>
        <v>905</v>
      </c>
      <c r="F2" s="9">
        <f t="shared" si="1"/>
        <v>11</v>
      </c>
      <c r="G2" s="9">
        <f t="shared" si="1"/>
        <v>6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19</v>
      </c>
      <c r="N2" s="9">
        <f t="shared" si="1"/>
        <v>1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905</v>
      </c>
      <c r="F4" s="23">
        <f>IFERROR((G2+R2)/F2,0)</f>
        <v>0.6363636364</v>
      </c>
      <c r="G4" s="23">
        <f>IFERROR(H2/G2,0)</f>
        <v>0.1666666667</v>
      </c>
      <c r="H4" s="22">
        <f>(C2/C4)</f>
        <v>21.04651163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3.166666667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7</v>
      </c>
      <c r="G5" s="33">
        <f>SUMIF(A:A,B5,H:H)</f>
        <v>3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12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0.4285714286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4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905</v>
      </c>
      <c r="D14" s="31"/>
      <c r="E14" s="53">
        <f>SUMIFS(T:T,A:A,B14,D:D,"Y")</f>
        <v>905</v>
      </c>
      <c r="F14" s="9">
        <f>SUMIF(A:A,B14,G:G)</f>
        <v>3</v>
      </c>
      <c r="G14" s="33">
        <f>SUMIF(A:A,B14,H:H)</f>
        <v>3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3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905</v>
      </c>
      <c r="F16" s="23">
        <f>IFERROR((G14+R14)/F14,0)</f>
        <v>1</v>
      </c>
      <c r="G16" s="23">
        <f>IFERROR(H14/G14,0)</f>
        <v>0.3333333333</v>
      </c>
      <c r="H16" s="22">
        <f>(C14/C16)</f>
        <v>226.25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4</v>
      </c>
      <c r="N17" s="33">
        <f>SUMIF(A:A,B17,N:N)</f>
        <v>1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1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4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1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4</v>
      </c>
      <c r="N20" s="46">
        <f>SUMIF(B47:B1137,B20,N47:N1137)</f>
        <v>1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1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4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2">
        <v>0.0</v>
      </c>
      <c r="H28" s="122">
        <v>0.0</v>
      </c>
      <c r="I28" s="122">
        <v>0.0</v>
      </c>
      <c r="J28" s="122">
        <v>0.0</v>
      </c>
      <c r="K28" s="122">
        <v>0.0</v>
      </c>
      <c r="L28" s="122">
        <v>0.0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2.0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3.0</v>
      </c>
      <c r="H35" s="122">
        <v>2.0</v>
      </c>
      <c r="I35" s="122">
        <v>0.0</v>
      </c>
      <c r="J35" s="122">
        <v>0.0</v>
      </c>
      <c r="K35" s="122">
        <v>0.0</v>
      </c>
      <c r="L35" s="122">
        <v>0.0</v>
      </c>
      <c r="M35" s="122">
        <v>4.0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0.6666666667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2">
        <v>0.0</v>
      </c>
      <c r="H36" s="122">
        <v>0.0</v>
      </c>
      <c r="I36" s="122">
        <v>0.0</v>
      </c>
      <c r="J36" s="122">
        <v>0.0</v>
      </c>
      <c r="K36" s="122">
        <v>0.0</v>
      </c>
      <c r="L36" s="122">
        <v>0.0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2.0</v>
      </c>
      <c r="H38" s="122">
        <v>1.0</v>
      </c>
      <c r="I38" s="122">
        <v>0.0</v>
      </c>
      <c r="J38" s="122">
        <v>0.0</v>
      </c>
      <c r="K38" s="122">
        <v>0.0</v>
      </c>
      <c r="L38" s="122">
        <v>0.0</v>
      </c>
      <c r="M38" s="122">
        <v>8.0</v>
      </c>
      <c r="N38" s="122">
        <v>0.0</v>
      </c>
      <c r="O38" s="122">
        <v>0.0</v>
      </c>
      <c r="P38" s="122">
        <v>0.0</v>
      </c>
      <c r="Q38" s="122">
        <v>0.0</v>
      </c>
      <c r="R38" s="122">
        <v>1.0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0.5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2">
        <v>3.0</v>
      </c>
      <c r="H50" s="122">
        <v>3.0</v>
      </c>
      <c r="I50" s="122">
        <v>1.0</v>
      </c>
      <c r="J50" s="122">
        <v>0.0</v>
      </c>
      <c r="K50" s="122">
        <v>0.0</v>
      </c>
      <c r="L50" s="122">
        <v>0.0</v>
      </c>
      <c r="M50" s="122">
        <v>3.0</v>
      </c>
      <c r="N50" s="122">
        <v>0.0</v>
      </c>
      <c r="O50" s="122">
        <v>0.0</v>
      </c>
      <c r="P50" s="122">
        <v>0.0</v>
      </c>
      <c r="Q50" s="122">
        <v>0.0</v>
      </c>
      <c r="R50" s="122">
        <v>1.0</v>
      </c>
      <c r="S50" s="122">
        <v>0.0</v>
      </c>
      <c r="T50" s="122">
        <v>905.0</v>
      </c>
      <c r="U50" s="71">
        <f t="shared" si="5"/>
        <v>0.3333333333</v>
      </c>
      <c r="V50" s="71">
        <f t="shared" si="6"/>
        <v>1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122">
        <v>1.0</v>
      </c>
      <c r="H64" s="122">
        <v>0.0</v>
      </c>
      <c r="I64" s="122">
        <v>0.0</v>
      </c>
      <c r="J64" s="122">
        <v>0.0</v>
      </c>
      <c r="K64" s="122">
        <v>0.0</v>
      </c>
      <c r="L64" s="122">
        <v>1.0</v>
      </c>
      <c r="M64" s="122">
        <v>4.0</v>
      </c>
      <c r="N64" s="122">
        <v>1.0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1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7</v>
      </c>
      <c r="G2" s="9">
        <f t="shared" si="1"/>
        <v>3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19</v>
      </c>
      <c r="N2" s="9">
        <f t="shared" si="1"/>
        <v>1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0.5714285714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6.333333333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4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8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0.5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3</v>
      </c>
      <c r="G17" s="33">
        <f>SUMIF(A:A,B17,H:H)</f>
        <v>2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0</v>
      </c>
      <c r="M17" s="33">
        <f>SUMIF(A:A,B17,M:M)</f>
        <v>11</v>
      </c>
      <c r="N17" s="33">
        <f>SUMIF(A:A,B17,N:N)</f>
        <v>1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0.6666666667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5.5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3</v>
      </c>
      <c r="G20" s="46">
        <f>SUMIF(B47:B1137,B20,H47:H1137)</f>
        <v>2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1</v>
      </c>
      <c r="L20" s="46">
        <f>SUMIF(B47:B1137,B20,S47:S1137)</f>
        <v>0</v>
      </c>
      <c r="M20" s="46">
        <f>SUMIF(B47:B1137,B20,M47:M1137)</f>
        <v>11</v>
      </c>
      <c r="N20" s="46">
        <f>SUMIF(B47:B1137,B20,N47:N1137)</f>
        <v>1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0.6666666667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5.5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2">
        <v>0.0</v>
      </c>
      <c r="H28" s="122">
        <v>0.0</v>
      </c>
      <c r="I28" s="122">
        <v>0.0</v>
      </c>
      <c r="J28" s="122">
        <v>0.0</v>
      </c>
      <c r="K28" s="122">
        <v>0.0</v>
      </c>
      <c r="L28" s="122">
        <v>0.0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4.0</v>
      </c>
      <c r="H35" s="122">
        <v>1.0</v>
      </c>
      <c r="I35" s="122">
        <v>0.0</v>
      </c>
      <c r="J35" s="122">
        <v>0.0</v>
      </c>
      <c r="K35" s="122">
        <v>0.0</v>
      </c>
      <c r="L35" s="122">
        <v>1.0</v>
      </c>
      <c r="M35" s="122">
        <v>8.0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0.5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2">
        <v>0.0</v>
      </c>
      <c r="H36" s="122">
        <v>0.0</v>
      </c>
      <c r="I36" s="122">
        <v>0.0</v>
      </c>
      <c r="J36" s="122">
        <v>0.0</v>
      </c>
      <c r="K36" s="122">
        <v>0.0</v>
      </c>
      <c r="L36" s="122">
        <v>0.0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2">
        <v>0.0</v>
      </c>
      <c r="H51" s="122">
        <v>0.0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122">
        <v>0.0</v>
      </c>
      <c r="S51" s="70"/>
      <c r="T51" s="122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122">
        <v>2.0</v>
      </c>
      <c r="H57" s="122">
        <v>1.0</v>
      </c>
      <c r="I57" s="122">
        <v>0.0</v>
      </c>
      <c r="J57" s="122">
        <v>0.0</v>
      </c>
      <c r="K57" s="122">
        <v>0.0</v>
      </c>
      <c r="L57" s="122">
        <v>0.0</v>
      </c>
      <c r="M57" s="122">
        <v>3.0</v>
      </c>
      <c r="N57" s="122">
        <v>0.0</v>
      </c>
      <c r="O57" s="122">
        <v>0.0</v>
      </c>
      <c r="P57" s="122">
        <v>0.0</v>
      </c>
      <c r="Q57" s="122">
        <v>0.0</v>
      </c>
      <c r="R57" s="122">
        <v>1.0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0.5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122">
        <v>1.0</v>
      </c>
      <c r="H65" s="122">
        <v>1.0</v>
      </c>
      <c r="I65" s="122">
        <v>0.0</v>
      </c>
      <c r="J65" s="122">
        <v>0.0</v>
      </c>
      <c r="K65" s="122">
        <v>0.0</v>
      </c>
      <c r="L65" s="122">
        <v>0.0</v>
      </c>
      <c r="M65" s="122">
        <v>8.0</v>
      </c>
      <c r="N65" s="122">
        <v>1.0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1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1044</v>
      </c>
      <c r="D2" s="10"/>
      <c r="E2" s="9">
        <f t="shared" ref="E2:R2" si="1">SUM(E5,E14,E17)</f>
        <v>1044</v>
      </c>
      <c r="F2" s="9">
        <f t="shared" si="1"/>
        <v>2</v>
      </c>
      <c r="G2" s="9">
        <f t="shared" si="1"/>
        <v>1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1</v>
      </c>
      <c r="O2" s="9">
        <f t="shared" si="1"/>
        <v>1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1044</v>
      </c>
      <c r="F4" s="23">
        <f>IFERROR((G2+R2)/F2,0)</f>
        <v>0.5</v>
      </c>
      <c r="G4" s="23">
        <f>IFERROR(H2/G2,0)</f>
        <v>1</v>
      </c>
      <c r="H4" s="22">
        <f>(C2/C4)</f>
        <v>24.27906977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1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1044</v>
      </c>
      <c r="D17" s="31"/>
      <c r="E17" s="53">
        <f>SUMIFS(T:T,A:A,B17,D:D,"Y")</f>
        <v>1044</v>
      </c>
      <c r="F17" s="9">
        <f>SUMIF(A:A,B17,G:G)</f>
        <v>2</v>
      </c>
      <c r="G17" s="33">
        <f>SUMIF(A:A,B17,H:H)</f>
        <v>1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1</v>
      </c>
      <c r="O17" s="33">
        <f>SUMIF(A:A,B17,O:O)</f>
        <v>1</v>
      </c>
      <c r="P17" s="33">
        <f>SUMIF(A:A,B17,J:J)</f>
        <v>1</v>
      </c>
      <c r="Q17" s="33">
        <f>SUMIF(A:A,B17,K:K)</f>
        <v>1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1044</v>
      </c>
      <c r="F19" s="41">
        <f>IFERROR((G17+R17)/F17,0)</f>
        <v>0.5</v>
      </c>
      <c r="G19" s="41">
        <f>IFERROR(H17/G17,0)</f>
        <v>1</v>
      </c>
      <c r="H19" s="40">
        <f>(C17/C19)</f>
        <v>52.2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0</v>
      </c>
      <c r="N19" s="42"/>
      <c r="O19" s="41">
        <f>IFERROR(O17/N17,0)</f>
        <v>1</v>
      </c>
      <c r="P19" s="43"/>
      <c r="Q19" s="41">
        <f>IFERROR(Q17/P17,0)</f>
        <v>1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1044</v>
      </c>
      <c r="D20" s="55"/>
      <c r="E20" s="48">
        <f>SUMIFS(T:T,B:B,B20,D:D,"Y")</f>
        <v>1044</v>
      </c>
      <c r="F20" s="49">
        <f>SUMIF(B47:B1137,B20,G47:G1137)</f>
        <v>2</v>
      </c>
      <c r="G20" s="46">
        <f>SUMIF(B47:B1137,B20,H47:H1137)</f>
        <v>1</v>
      </c>
      <c r="H20" s="46">
        <f>SUMIF(B47:B1137,B20,I47:I1137)</f>
        <v>1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1</v>
      </c>
      <c r="O20" s="46">
        <f>SUMIF(B47:B1137,B20,O47:O1137)</f>
        <v>1</v>
      </c>
      <c r="P20" s="46">
        <f>SUMIF(B47:B1137,B20,J47:J1137)</f>
        <v>1</v>
      </c>
      <c r="Q20" s="46">
        <f>SUMIF(B47:B1137,B20,K47:K1137)</f>
        <v>1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1044</v>
      </c>
      <c r="F22" s="41">
        <f>IFERROR((G20+R20)/F20,0)</f>
        <v>0.5</v>
      </c>
      <c r="G22" s="41">
        <f>IFERROR(H20/G20,0)</f>
        <v>1</v>
      </c>
      <c r="H22" s="40">
        <f>(C20/C22)</f>
        <v>104.4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0</v>
      </c>
      <c r="N22" s="42"/>
      <c r="O22" s="41">
        <f>IFERROR(O20/N20,0)</f>
        <v>1</v>
      </c>
      <c r="P22" s="43"/>
      <c r="Q22" s="41">
        <f>IFERROR(Q20/P20,0)</f>
        <v>1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2">
        <v>0.0</v>
      </c>
      <c r="H28" s="122">
        <v>0.0</v>
      </c>
      <c r="I28" s="122">
        <v>0.0</v>
      </c>
      <c r="J28" s="122">
        <v>0.0</v>
      </c>
      <c r="K28" s="122">
        <v>0.0</v>
      </c>
      <c r="L28" s="122">
        <v>0.0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2">
        <v>0.0</v>
      </c>
      <c r="H36" s="122">
        <v>0.0</v>
      </c>
      <c r="I36" s="122">
        <v>0.0</v>
      </c>
      <c r="J36" s="122">
        <v>0.0</v>
      </c>
      <c r="K36" s="122">
        <v>0.0</v>
      </c>
      <c r="L36" s="122">
        <v>0.0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2">
        <v>0.0</v>
      </c>
      <c r="H51" s="122">
        <v>0.0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122">
        <v>0.0</v>
      </c>
      <c r="S51" s="70"/>
      <c r="T51" s="122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122">
        <v>2.0</v>
      </c>
      <c r="H57" s="122">
        <v>1.0</v>
      </c>
      <c r="I57" s="122">
        <v>1.0</v>
      </c>
      <c r="J57" s="122">
        <v>1.0</v>
      </c>
      <c r="K57" s="122">
        <v>1.0</v>
      </c>
      <c r="L57" s="122">
        <v>0.0</v>
      </c>
      <c r="M57" s="122">
        <v>0.0</v>
      </c>
      <c r="N57" s="122">
        <v>1.0</v>
      </c>
      <c r="O57" s="122">
        <v>1.0</v>
      </c>
      <c r="P57" s="122">
        <v>0.0</v>
      </c>
      <c r="Q57" s="122">
        <v>0.0</v>
      </c>
      <c r="R57" s="122">
        <v>0.0</v>
      </c>
      <c r="S57" s="122">
        <v>0.0</v>
      </c>
      <c r="T57" s="122">
        <v>1044.0</v>
      </c>
      <c r="U57" s="71">
        <f t="shared" si="7"/>
        <v>1</v>
      </c>
      <c r="V57" s="71">
        <f t="shared" si="8"/>
        <v>0.5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2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2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2">
        <v>0.0</v>
      </c>
      <c r="H28" s="122">
        <v>0.0</v>
      </c>
      <c r="I28" s="122">
        <v>0.0</v>
      </c>
      <c r="J28" s="122">
        <v>0.0</v>
      </c>
      <c r="K28" s="122">
        <v>0.0</v>
      </c>
      <c r="L28" s="122">
        <v>0.0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2">
        <v>0.0</v>
      </c>
      <c r="H36" s="122">
        <v>0.0</v>
      </c>
      <c r="I36" s="122">
        <v>0.0</v>
      </c>
      <c r="J36" s="122">
        <v>0.0</v>
      </c>
      <c r="K36" s="122">
        <v>0.0</v>
      </c>
      <c r="L36" s="122">
        <v>0.0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2">
        <v>0.0</v>
      </c>
      <c r="H51" s="122">
        <v>0.0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70"/>
      <c r="P51" s="70"/>
      <c r="Q51" s="122">
        <v>0.0</v>
      </c>
      <c r="R51" s="122">
        <v>0.0</v>
      </c>
      <c r="S51" s="122">
        <v>0.0</v>
      </c>
      <c r="T51" s="122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122">
        <v>2.0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3</v>
      </c>
      <c r="G2" s="9">
        <f t="shared" si="1"/>
        <v>3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0</v>
      </c>
      <c r="M2" s="9">
        <f t="shared" si="1"/>
        <v>1</v>
      </c>
      <c r="N2" s="9">
        <f t="shared" si="1"/>
        <v>0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1.666666667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0.3333333333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1.5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2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2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0.5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2">
        <v>0.0</v>
      </c>
      <c r="H28" s="122">
        <v>0.0</v>
      </c>
      <c r="I28" s="122">
        <v>0.0</v>
      </c>
      <c r="J28" s="122">
        <v>0.0</v>
      </c>
      <c r="K28" s="122">
        <v>0.0</v>
      </c>
      <c r="L28" s="122">
        <v>0.0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2.0</v>
      </c>
      <c r="H30" s="122">
        <v>2.0</v>
      </c>
      <c r="I30" s="122">
        <v>0.0</v>
      </c>
      <c r="J30" s="122">
        <v>1.0</v>
      </c>
      <c r="K30" s="122">
        <v>0.0</v>
      </c>
      <c r="L30" s="122">
        <v>1.0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2.0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1.5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2">
        <v>0.0</v>
      </c>
      <c r="H36" s="122">
        <v>0.0</v>
      </c>
      <c r="I36" s="122">
        <v>0.0</v>
      </c>
      <c r="J36" s="122">
        <v>0.0</v>
      </c>
      <c r="K36" s="122">
        <v>0.0</v>
      </c>
      <c r="L36" s="122">
        <v>0.0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2">
        <v>1.0</v>
      </c>
      <c r="H50" s="122">
        <v>1.0</v>
      </c>
      <c r="I50" s="122">
        <v>0.0</v>
      </c>
      <c r="J50" s="122">
        <v>0.0</v>
      </c>
      <c r="K50" s="122">
        <v>0.0</v>
      </c>
      <c r="L50" s="122">
        <v>1.0</v>
      </c>
      <c r="M50" s="122">
        <v>1.0</v>
      </c>
      <c r="N50" s="122">
        <v>0.0</v>
      </c>
      <c r="O50" s="122">
        <v>0.0</v>
      </c>
      <c r="P50" s="122">
        <v>0.0</v>
      </c>
      <c r="Q50" s="122">
        <v>0.0</v>
      </c>
      <c r="R50" s="122">
        <v>1.0</v>
      </c>
      <c r="S50" s="122">
        <v>0.0</v>
      </c>
      <c r="T50" s="122">
        <v>0.0</v>
      </c>
      <c r="U50" s="71">
        <f t="shared" si="5"/>
        <v>0</v>
      </c>
      <c r="V50" s="71">
        <f t="shared" si="6"/>
        <v>2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2">
        <v>0.0</v>
      </c>
      <c r="H51" s="122">
        <v>0.0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70"/>
      <c r="S51" s="122">
        <v>0.0</v>
      </c>
      <c r="T51" s="122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667</v>
      </c>
      <c r="D2" s="10"/>
      <c r="E2" s="9">
        <f t="shared" ref="E2:R2" si="1">SUM(E5,E14,E17)</f>
        <v>0</v>
      </c>
      <c r="F2" s="9">
        <f t="shared" si="1"/>
        <v>11</v>
      </c>
      <c r="G2" s="9">
        <f t="shared" si="1"/>
        <v>4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5</v>
      </c>
      <c r="L2" s="9">
        <f t="shared" si="1"/>
        <v>0</v>
      </c>
      <c r="M2" s="9">
        <f t="shared" si="1"/>
        <v>9</v>
      </c>
      <c r="N2" s="9">
        <f t="shared" si="1"/>
        <v>1</v>
      </c>
      <c r="O2" s="9">
        <f t="shared" si="1"/>
        <v>1</v>
      </c>
      <c r="P2" s="9">
        <f t="shared" si="1"/>
        <v>2</v>
      </c>
      <c r="Q2" s="9">
        <f t="shared" si="1"/>
        <v>0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667</v>
      </c>
      <c r="F4" s="23">
        <f>IFERROR((G2+R2)/F2,0)</f>
        <v>0.6363636364</v>
      </c>
      <c r="G4" s="23">
        <f>IFERROR(H2/G2,0)</f>
        <v>0.25</v>
      </c>
      <c r="H4" s="22">
        <f>(C2/C4)</f>
        <v>15.51162791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2.25</v>
      </c>
      <c r="N4" s="24"/>
      <c r="O4" s="23">
        <f>IFERROR(O2/N2,0)</f>
        <v>1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3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2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2</v>
      </c>
      <c r="L14" s="33">
        <f>SUMIF(A:A,B14,S:S)</f>
        <v>0</v>
      </c>
      <c r="M14" s="33">
        <f>SUMIF(A:A,B14,M:M)</f>
        <v>5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2.5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667</v>
      </c>
      <c r="D17" s="31"/>
      <c r="E17" s="53">
        <f>SUMIFS(T:T,A:A,B17,D:D,"Y")</f>
        <v>0</v>
      </c>
      <c r="F17" s="9">
        <f>SUMIF(A:A,B17,G:G)</f>
        <v>9</v>
      </c>
      <c r="G17" s="33">
        <f>SUMIF(A:A,B17,H:H)</f>
        <v>2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0</v>
      </c>
      <c r="M17" s="33">
        <f>SUMIF(A:A,B17,M:M)</f>
        <v>4</v>
      </c>
      <c r="N17" s="33">
        <f>SUMIF(A:A,B17,N:N)</f>
        <v>1</v>
      </c>
      <c r="O17" s="33">
        <f>SUMIF(A:A,B17,O:O)</f>
        <v>1</v>
      </c>
      <c r="P17" s="33">
        <f>SUMIF(A:A,B17,J:J)</f>
        <v>2</v>
      </c>
      <c r="Q17" s="33">
        <f>SUMIF(A:A,B17,K:K)</f>
        <v>0</v>
      </c>
      <c r="R17" s="34">
        <f>SUMIF(A:A,B17,L:L)</f>
        <v>3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667</v>
      </c>
      <c r="F19" s="41">
        <f>IFERROR((G17+R17)/F17,0)</f>
        <v>0.5555555556</v>
      </c>
      <c r="G19" s="41">
        <f>IFERROR(H17/G17,0)</f>
        <v>0.5</v>
      </c>
      <c r="H19" s="40">
        <f>(C17/C19)</f>
        <v>33.35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0.8</v>
      </c>
      <c r="N19" s="42"/>
      <c r="O19" s="41">
        <f>IFERROR(O17/N17,0)</f>
        <v>1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667</v>
      </c>
      <c r="D20" s="55"/>
      <c r="E20" s="48">
        <f>SUMIFS(T:T,B:B,B20,D:D,"Y")</f>
        <v>0</v>
      </c>
      <c r="F20" s="49">
        <f>SUMIF(B47:B1137,B20,G47:G1137)</f>
        <v>9</v>
      </c>
      <c r="G20" s="46">
        <f>SUMIF(B47:B1137,B20,H47:H1137)</f>
        <v>2</v>
      </c>
      <c r="H20" s="46">
        <f>SUMIF(B47:B1137,B20,I47:I1137)</f>
        <v>1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3</v>
      </c>
      <c r="L20" s="46">
        <f>SUMIF(B47:B1137,B20,S47:S1137)</f>
        <v>0</v>
      </c>
      <c r="M20" s="46">
        <f>SUMIF(B47:B1137,B20,M47:M1137)</f>
        <v>4</v>
      </c>
      <c r="N20" s="46">
        <f>SUMIF(B47:B1137,B20,N47:N1137)</f>
        <v>1</v>
      </c>
      <c r="O20" s="46">
        <f>SUMIF(B47:B1137,B20,O47:O1137)</f>
        <v>1</v>
      </c>
      <c r="P20" s="46">
        <f>SUMIF(B47:B1137,B20,J47:J1137)</f>
        <v>2</v>
      </c>
      <c r="Q20" s="46">
        <f>SUMIF(B47:B1137,B20,K47:K1137)</f>
        <v>0</v>
      </c>
      <c r="R20" s="50">
        <f>SUMIF(B47:B1137,B20,L47:L1137)</f>
        <v>3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667</v>
      </c>
      <c r="F22" s="41">
        <f>IFERROR((G20+R20)/F20,0)</f>
        <v>0.5555555556</v>
      </c>
      <c r="G22" s="41">
        <f>IFERROR(H20/G20,0)</f>
        <v>0.5</v>
      </c>
      <c r="H22" s="40">
        <f>(C20/C22)</f>
        <v>66.7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0.8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2">
        <v>0.0</v>
      </c>
      <c r="H28" s="122">
        <v>0.0</v>
      </c>
      <c r="I28" s="122">
        <v>0.0</v>
      </c>
      <c r="J28" s="122">
        <v>0.0</v>
      </c>
      <c r="K28" s="122">
        <v>0.0</v>
      </c>
      <c r="L28" s="122">
        <v>0.0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2">
        <v>0.0</v>
      </c>
      <c r="H36" s="122">
        <v>0.0</v>
      </c>
      <c r="I36" s="122">
        <v>0.0</v>
      </c>
      <c r="J36" s="122">
        <v>0.0</v>
      </c>
      <c r="K36" s="122">
        <v>0.0</v>
      </c>
      <c r="L36" s="122">
        <v>0.0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2">
        <v>2.0</v>
      </c>
      <c r="H50" s="122">
        <v>2.0</v>
      </c>
      <c r="I50" s="122">
        <v>0.0</v>
      </c>
      <c r="J50" s="122">
        <v>0.0</v>
      </c>
      <c r="K50" s="122">
        <v>0.0</v>
      </c>
      <c r="L50" s="122">
        <v>0.0</v>
      </c>
      <c r="M50" s="122">
        <v>5.0</v>
      </c>
      <c r="N50" s="122">
        <v>0.0</v>
      </c>
      <c r="O50" s="122">
        <v>0.0</v>
      </c>
      <c r="P50" s="122">
        <v>0.0</v>
      </c>
      <c r="Q50" s="122">
        <v>0.0</v>
      </c>
      <c r="R50" s="122">
        <v>2.0</v>
      </c>
      <c r="S50" s="122">
        <v>0.0</v>
      </c>
      <c r="T50" s="122">
        <v>0.0</v>
      </c>
      <c r="U50" s="71">
        <f t="shared" si="5"/>
        <v>0</v>
      </c>
      <c r="V50" s="71">
        <f t="shared" si="6"/>
        <v>1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122">
        <v>5.0</v>
      </c>
      <c r="H57" s="122">
        <v>0.0</v>
      </c>
      <c r="I57" s="122">
        <v>0.0</v>
      </c>
      <c r="J57" s="122">
        <v>2.0</v>
      </c>
      <c r="K57" s="122">
        <v>0.0</v>
      </c>
      <c r="L57" s="122">
        <v>3.0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3.0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0.6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122">
        <v>1.0</v>
      </c>
      <c r="H62" s="122">
        <v>1.0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1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122">
        <v>3.0</v>
      </c>
      <c r="H63" s="122">
        <v>1.0</v>
      </c>
      <c r="I63" s="122">
        <v>1.0</v>
      </c>
      <c r="J63" s="122">
        <v>0.0</v>
      </c>
      <c r="K63" s="122">
        <v>0.0</v>
      </c>
      <c r="L63" s="122">
        <v>0.0</v>
      </c>
      <c r="M63" s="122">
        <v>4.0</v>
      </c>
      <c r="N63" s="122">
        <v>1.0</v>
      </c>
      <c r="O63" s="122">
        <v>1.0</v>
      </c>
      <c r="P63" s="122">
        <v>0.0</v>
      </c>
      <c r="Q63" s="122">
        <v>0.0</v>
      </c>
      <c r="R63" s="122">
        <v>0.0</v>
      </c>
      <c r="S63" s="122">
        <v>0.0</v>
      </c>
      <c r="T63" s="122">
        <v>667.0</v>
      </c>
      <c r="U63" s="71">
        <f t="shared" si="7"/>
        <v>1</v>
      </c>
      <c r="V63" s="71">
        <f t="shared" si="8"/>
        <v>0.3333333333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3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2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1.333333333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3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2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1.333333333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3.0</v>
      </c>
      <c r="H30" s="122">
        <v>2.0</v>
      </c>
      <c r="I30" s="122">
        <v>0.0</v>
      </c>
      <c r="J30" s="122">
        <v>2.0</v>
      </c>
      <c r="K30" s="122">
        <v>0.0</v>
      </c>
      <c r="L30" s="122">
        <v>2.0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1.333333333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2" si="7">IFERROR(I53/H53,0)</f>
        <v>0</v>
      </c>
      <c r="V53" s="71">
        <f t="shared" ref="V53:V72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5" t="s">
        <v>30</v>
      </c>
      <c r="B57" s="105" t="s">
        <v>31</v>
      </c>
      <c r="C57" s="106"/>
      <c r="D57" s="107" t="s">
        <v>49</v>
      </c>
      <c r="E57" s="95"/>
      <c r="F57" s="105" t="s">
        <v>31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3" t="s">
        <v>31</v>
      </c>
      <c r="C58" s="103"/>
      <c r="D58" s="108"/>
      <c r="E58" s="69"/>
      <c r="F58" s="109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59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102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0" t="s">
        <v>30</v>
      </c>
      <c r="B61" s="110" t="s">
        <v>31</v>
      </c>
      <c r="C61" s="110" t="s">
        <v>75</v>
      </c>
      <c r="D61" s="99" t="s">
        <v>49</v>
      </c>
      <c r="E61" s="84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75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75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75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75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05" t="s">
        <v>30</v>
      </c>
      <c r="B67" s="105" t="s">
        <v>32</v>
      </c>
      <c r="C67" s="105"/>
      <c r="D67" s="107" t="s">
        <v>49</v>
      </c>
      <c r="E67" s="81"/>
      <c r="F67" s="105" t="s">
        <v>32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3" t="s">
        <v>30</v>
      </c>
      <c r="B68" s="103" t="s">
        <v>32</v>
      </c>
      <c r="C68" s="103"/>
      <c r="D68" s="58"/>
      <c r="E68" s="75"/>
      <c r="F68" s="102" t="s">
        <v>81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4" t="s">
        <v>82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0" t="s">
        <v>30</v>
      </c>
      <c r="B71" s="110" t="s">
        <v>32</v>
      </c>
      <c r="C71" s="110" t="s">
        <v>84</v>
      </c>
      <c r="D71" s="99" t="s">
        <v>49</v>
      </c>
      <c r="E71" s="84"/>
      <c r="F71" s="110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1" t="s">
        <v>30</v>
      </c>
      <c r="B72" s="111" t="s">
        <v>32</v>
      </c>
      <c r="C72" s="111" t="s">
        <v>84</v>
      </c>
      <c r="D72" s="112"/>
      <c r="E72" s="84"/>
      <c r="F72" s="111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5"/>
      <c r="B73" s="115"/>
      <c r="C73" s="115"/>
      <c r="D73" s="1"/>
      <c r="E73" s="115"/>
      <c r="F73" s="11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7"/>
      <c r="V73" s="117"/>
      <c r="W73" s="117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8"/>
      <c r="B592" s="118"/>
      <c r="C592" s="118"/>
      <c r="D592" s="119"/>
      <c r="E592" s="118"/>
      <c r="F592" s="120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72"/>
      <c r="V592" s="72"/>
      <c r="W592" s="72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27" t="s">
        <v>86</v>
      </c>
      <c r="B1" s="127" t="s">
        <v>87</v>
      </c>
      <c r="C1" s="127" t="s">
        <v>33</v>
      </c>
      <c r="D1" s="127" t="s">
        <v>88</v>
      </c>
      <c r="E1" s="127" t="s">
        <v>0</v>
      </c>
      <c r="F1" s="127" t="s">
        <v>89</v>
      </c>
      <c r="G1" s="127" t="s">
        <v>90</v>
      </c>
      <c r="H1" s="127" t="s">
        <v>91</v>
      </c>
      <c r="I1" s="127" t="s">
        <v>92</v>
      </c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</row>
    <row r="2">
      <c r="A2" s="129" t="s">
        <v>93</v>
      </c>
      <c r="B2" s="129" t="s">
        <v>94</v>
      </c>
      <c r="C2" s="129" t="s">
        <v>95</v>
      </c>
      <c r="D2" s="130">
        <v>46092.0</v>
      </c>
      <c r="E2" s="129">
        <v>2126.04</v>
      </c>
      <c r="F2" s="129" t="s">
        <v>96</v>
      </c>
      <c r="G2" s="129" t="s">
        <v>97</v>
      </c>
      <c r="H2" s="129" t="s">
        <v>98</v>
      </c>
      <c r="I2" s="129" t="s">
        <v>99</v>
      </c>
    </row>
    <row r="3">
      <c r="A3" s="129" t="s">
        <v>100</v>
      </c>
      <c r="B3" s="129" t="s">
        <v>101</v>
      </c>
      <c r="C3" s="129" t="s">
        <v>95</v>
      </c>
      <c r="D3" s="130">
        <v>46093.0</v>
      </c>
      <c r="E3" s="129">
        <v>1925.4</v>
      </c>
      <c r="F3" s="129" t="s">
        <v>96</v>
      </c>
      <c r="G3" s="129" t="s">
        <v>97</v>
      </c>
      <c r="H3" s="129" t="s">
        <v>102</v>
      </c>
      <c r="I3" s="129" t="s">
        <v>99</v>
      </c>
    </row>
    <row r="4">
      <c r="A4" s="129" t="s">
        <v>103</v>
      </c>
      <c r="B4" s="129" t="s">
        <v>94</v>
      </c>
      <c r="C4" s="129" t="s">
        <v>95</v>
      </c>
      <c r="D4" s="130">
        <v>46097.0</v>
      </c>
      <c r="E4" s="129">
        <v>943.56</v>
      </c>
      <c r="F4" s="129" t="s">
        <v>96</v>
      </c>
      <c r="G4" s="129" t="s">
        <v>104</v>
      </c>
      <c r="H4" s="129" t="s">
        <v>105</v>
      </c>
      <c r="I4" s="129" t="s">
        <v>99</v>
      </c>
    </row>
    <row r="5">
      <c r="A5" s="129" t="s">
        <v>106</v>
      </c>
      <c r="B5" s="129" t="s">
        <v>107</v>
      </c>
      <c r="C5" s="129" t="s">
        <v>95</v>
      </c>
      <c r="D5" s="130">
        <v>46092.0</v>
      </c>
      <c r="E5" s="129">
        <v>2095.44</v>
      </c>
      <c r="F5" s="129" t="s">
        <v>96</v>
      </c>
      <c r="G5" s="129" t="s">
        <v>97</v>
      </c>
      <c r="H5" s="129" t="s">
        <v>105</v>
      </c>
      <c r="I5" s="129" t="s">
        <v>99</v>
      </c>
    </row>
  </sheetData>
  <drawing r:id="rId1"/>
</worksheet>
</file>