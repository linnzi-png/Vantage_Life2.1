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<sst xmlns="http://schemas.openxmlformats.org/spreadsheetml/2006/main" count="2627" uniqueCount="126">
  <si>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</si>
  <si>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</si>
  <si>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</si>
  <si>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</si>
  <si>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</si>
  <si>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</si>
  <si>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</si>
  <si>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</si>
  <si>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</si>
  <si>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</si>
  <si>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</si>
  <si>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</si>
  <si>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</si>
  <si>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</si>
  <si>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</si>
  <si>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Montzer Alwatan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</si>
  <si>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</si>
  <si>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</si>
  <si>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</si>
  <si>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</si>
  <si>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</si>
  <si>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</si>
  <si>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</si>
  <si>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</si>
  <si>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</si>
  <si>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</si>
  <si>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Montzer Alwatan</t>
  </si>
  <si>
    <t>Serage Jamil</t>
  </si>
  <si>
    <t>Ali Saad</t>
  </si>
  <si>
    <t>Hasan Nasser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</si>
  <si>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</si>
  <si>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</si>
  <si>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</si>
  <si>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</si>
  <si>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</si>
  <si>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</si>
  <si>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</si>
  <si>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</si>
  <si>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</si>
  <si>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</si>
  <si>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</si>
  <si>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</si>
  <si>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</si>
  <si>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</si>
  <si>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</si>
  <si>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</si>
  <si>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</si>
  <si>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</si>
  <si>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Afnan Alfatlaway</t>
  </si>
  <si>
    <t>Afnan Alfatlawy</t>
  </si>
  <si>
    <t>Ashton Marshall</t>
  </si>
  <si>
    <t>Muntather Alsheeblawy</t>
  </si>
  <si>
    <t>Yousif Alsaad</t>
  </si>
  <si>
    <t>Mohamad-Ali Alwatan</t>
  </si>
  <si>
    <t>Ronald Hishaw</t>
  </si>
  <si>
    <t>Ali Alwatan</t>
  </si>
  <si>
    <t>Mahdy Alwatan</t>
  </si>
  <si>
    <t>Sabrina Leu</t>
  </si>
  <si>
    <t>Tolu Alualu</t>
  </si>
  <si>
    <t>Sunshine Faimalo</t>
  </si>
  <si>
    <t>Ali Hammoud</t>
  </si>
  <si>
    <t>Mehdi Elkhatib</t>
  </si>
  <si>
    <t>Ali Chanine</t>
  </si>
  <si>
    <t>Hassane Zahr</t>
  </si>
  <si>
    <t>Ali Nasser</t>
  </si>
  <si>
    <t>Mohammad Saad</t>
  </si>
  <si>
    <t>Hussein Habhab</t>
  </si>
  <si>
    <t>Ali Khanafer</t>
  </si>
  <si>
    <t>Faye Saad</t>
  </si>
  <si>
    <t>Ayah Hammoud</t>
  </si>
  <si>
    <t>Ali Merhi</t>
  </si>
  <si>
    <t>Ali Kawtharani</t>
  </si>
  <si>
    <t>MD</t>
  </si>
  <si>
    <t>David Schultz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</si>
  <si>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</si>
  <si>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</si>
  <si>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</si>
  <si>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</si>
  <si>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</si>
  <si>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</si>
  <si>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</si>
  <si>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GABRIEL ELY</t>
  </si>
  <si>
    <t>RONALD HISHAW</t>
  </si>
  <si>
    <t>ALWATAN</t>
  </si>
  <si>
    <t>N/A</t>
  </si>
  <si>
    <t>NO</t>
  </si>
  <si>
    <t>CANCEL PER CLIENT PER AGENT NOTE.</t>
  </si>
  <si>
    <t>FL</t>
  </si>
  <si>
    <t>VERTILLEY JAMES</t>
  </si>
  <si>
    <t>HAJIR SABEEH</t>
  </si>
  <si>
    <t>YES</t>
  </si>
  <si>
    <t>CANCEL , REWRITE PER MANAGER NOTE.</t>
  </si>
  <si>
    <t>GLEN WARNER</t>
  </si>
  <si>
    <t>BAILEY, NORMAN</t>
  </si>
  <si>
    <t>ALI HAMMOUD</t>
  </si>
  <si>
    <t>SAAD</t>
  </si>
  <si>
    <t>CANCEL PER MEMBER REQUEST</t>
  </si>
  <si>
    <t xml:space="preserve">LS </t>
  </si>
  <si>
    <t>BENJAMIN MONIECHAN</t>
  </si>
  <si>
    <t>MUNTATHER ALSHEEBLAWY</t>
  </si>
  <si>
    <t>CLIENT DECIDED AGAINST COVERAGE AT THIS TIME.</t>
  </si>
  <si>
    <t>HARRY CLEMMONS</t>
  </si>
  <si>
    <t>FAYE SAAD</t>
  </si>
  <si>
    <t>VINCENT ORTIZ</t>
  </si>
  <si>
    <t>MAX ELKHATIB</t>
  </si>
  <si>
    <t>CANCEL PER AGENT REQUEST.</t>
  </si>
  <si>
    <t>CATHERINE KANUHA</t>
  </si>
  <si>
    <t>HASSANE ZAHR</t>
  </si>
  <si>
    <t>NOT COMFORTABLE WITH PRICE- RUDE CLIENT.</t>
  </si>
  <si>
    <t>RUSTY AND SHAWNA EAGLE</t>
  </si>
  <si>
    <t xml:space="preserve">TRIAL  </t>
  </si>
  <si>
    <t>TRIAL PER AGENT NOTE.</t>
  </si>
  <si>
    <t>MARVIS STEWART</t>
  </si>
  <si>
    <t>ALI NASSER</t>
  </si>
  <si>
    <t xml:space="preserve">DECIDED SHE DOES NOT NEED THIS- HAS ENOUGH INSURANCE </t>
  </si>
  <si>
    <t>CHELSI MCELRATH</t>
  </si>
  <si>
    <t>AFNAN ALFATLWY</t>
  </si>
  <si>
    <t>BECAUSE HER GRANDMA'S WAS DECLINED- SHE DOES NOT WANT. ONLY DID THIS BECAUSE OF HER GRANDMA.</t>
  </si>
  <si>
    <t>DANNY GREGORY</t>
  </si>
  <si>
    <t>MOHAMMAD SAAD</t>
  </si>
  <si>
    <t>CANCEL PER LISA NOTE &amp; MANAGER.</t>
  </si>
  <si>
    <t>CHARMAINE AHYEE</t>
  </si>
  <si>
    <t>FALETOLU KITIONA</t>
  </si>
  <si>
    <t>REWRITING PER MANAGER.</t>
  </si>
  <si>
    <t>ASENATI LEAPAI</t>
  </si>
  <si>
    <t>REWRITE PER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</si>
</sst>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6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1.0"/>
      <color rgb="FF000000"/>
      <name val="Calibri"/>
    </font>
    <font>
      <b/>
      <color rgb="FF000000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3" fillId="3" fontId="4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1" fillId="3" fontId="4" numFmtId="0" xfId="0" applyAlignment="1" applyBorder="1" applyFont="1">
      <alignment readingOrder="0" shrinkToFit="0" vertical="bottom" wrapText="1"/>
    </xf>
    <xf borderId="3" fillId="3" fontId="4" numFmtId="0" xfId="0" applyAlignment="1" applyBorder="1" applyFont="1">
      <alignment readingOrder="0" vertical="bottom"/>
    </xf>
    <xf borderId="3" fillId="3" fontId="4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shrinkToFit="0" vertical="bottom" wrapText="1"/>
    </xf>
    <xf borderId="3" fillId="0" fontId="10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vertical="center"/>
    </xf>
    <xf borderId="3" fillId="0" fontId="10" numFmtId="0" xfId="0" applyAlignment="1" applyBorder="1" applyFont="1">
      <alignment readingOrder="0" shrinkToFit="0" vertical="center" wrapText="1"/>
    </xf>
    <xf borderId="1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11" numFmtId="0" xfId="0" applyAlignment="1" applyBorder="1" applyFont="1">
      <alignment readingOrder="0" vertical="center"/>
    </xf>
    <xf borderId="1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shrinkToFit="0" vertical="bottom" wrapText="1"/>
    </xf>
    <xf borderId="1" fillId="4" fontId="10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vertical="center"/>
    </xf>
    <xf borderId="1" fillId="0" fontId="9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readingOrder="0" vertical="center"/>
    </xf>
    <xf borderId="4" fillId="0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center" wrapText="1"/>
    </xf>
    <xf borderId="3" fillId="4" fontId="10" numFmtId="0" xfId="0" applyAlignment="1" applyBorder="1" applyFont="1">
      <alignment readingOrder="0" shrinkToFit="0" vertical="center" wrapText="1"/>
    </xf>
    <xf borderId="3" fillId="0" fontId="12" numFmtId="0" xfId="0" applyAlignment="1" applyBorder="1" applyFont="1">
      <alignment readingOrder="0" shrinkToFit="0" vertical="center" wrapText="1"/>
    </xf>
    <xf borderId="3" fillId="0" fontId="13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vertical="center"/>
    </xf>
    <xf borderId="3" fillId="4" fontId="10" numFmtId="0" xfId="0" applyAlignment="1" applyBorder="1" applyFont="1">
      <alignment readingOrder="0" vertical="bottom"/>
    </xf>
    <xf borderId="4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0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0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3" fillId="6" fontId="2" numFmtId="9" xfId="0" applyAlignment="1" applyBorder="1" applyFont="1" applyNumberFormat="1">
      <alignment horizontal="right" readingOrder="0" vertical="center"/>
    </xf>
    <xf borderId="0" fillId="7" fontId="1" numFmtId="0" xfId="0" applyAlignment="1" applyFont="1">
      <alignment vertical="bottom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0" fillId="6" fontId="1" numFmtId="9" xfId="0" applyAlignment="1" applyFont="1" applyNumberFormat="1">
      <alignment vertical="center"/>
    </xf>
    <xf borderId="0" fillId="2" fontId="14" numFmtId="0" xfId="0" applyAlignment="1" applyFont="1">
      <alignment horizontal="center" readingOrder="0" vertical="center"/>
    </xf>
    <xf borderId="0" fillId="2" fontId="15" numFmtId="0" xfId="0" applyAlignment="1" applyFont="1">
      <alignment vertical="center"/>
    </xf>
    <xf borderId="0" fillId="0" fontId="15" numFmtId="0" xfId="0" applyAlignment="1" applyFont="1">
      <alignment horizontal="left" readingOrder="0" vertical="center"/>
    </xf>
    <xf borderId="0" fillId="0" fontId="15" numFmtId="165" xfId="0" applyAlignment="1" applyFont="1" applyNumberFormat="1">
      <alignment horizontal="left" readingOrder="0" vertical="center"/>
    </xf>
    <xf borderId="0" fillId="0" fontId="15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128968</v>
      </c>
      <c r="D2" s="9"/>
      <c r="E2" s="8">
        <f t="shared" ref="E2:R2" si="1">SUM(E5,E11)</f>
        <v>31763</v>
      </c>
      <c r="F2" s="8">
        <f t="shared" si="1"/>
        <v>240</v>
      </c>
      <c r="G2" s="10">
        <f t="shared" si="1"/>
        <v>126</v>
      </c>
      <c r="H2" s="10">
        <f t="shared" si="1"/>
        <v>75</v>
      </c>
      <c r="I2" s="10">
        <f t="shared" si="1"/>
        <v>1</v>
      </c>
      <c r="J2" s="10">
        <f t="shared" si="1"/>
        <v>6</v>
      </c>
      <c r="K2" s="10">
        <f t="shared" si="1"/>
        <v>63</v>
      </c>
      <c r="L2" s="10">
        <f t="shared" si="1"/>
        <v>48</v>
      </c>
      <c r="M2" s="10">
        <f t="shared" si="1"/>
        <v>410</v>
      </c>
      <c r="N2" s="10">
        <f t="shared" si="1"/>
        <v>51</v>
      </c>
      <c r="O2" s="10">
        <f t="shared" si="1"/>
        <v>23</v>
      </c>
      <c r="P2" s="10">
        <f t="shared" si="1"/>
        <v>62</v>
      </c>
      <c r="Q2" s="10">
        <f t="shared" si="1"/>
        <v>39</v>
      </c>
      <c r="R2" s="10">
        <f t="shared" si="1"/>
        <v>24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28</v>
      </c>
      <c r="D4" s="14"/>
      <c r="E4" s="19">
        <f>IFERROR(C2/H2,0)</f>
        <v>1719.573333</v>
      </c>
      <c r="F4" s="20">
        <f>IFERROR((G2+R2)/F2,0)</f>
        <v>0.625</v>
      </c>
      <c r="G4" s="20">
        <f>IFERROR(H2/G2,0)</f>
        <v>0.5952380952</v>
      </c>
      <c r="H4" s="19">
        <f>(C2/C4)</f>
        <v>4606</v>
      </c>
      <c r="I4" s="21"/>
      <c r="J4" s="20">
        <f>IFERROR(J2/I2,0)</f>
        <v>6</v>
      </c>
      <c r="K4" s="21"/>
      <c r="L4" s="20">
        <f>IFERROR(L2/K2,0)</f>
        <v>0.7619047619</v>
      </c>
      <c r="M4" s="22">
        <f>IFERROR(M2/G2,0)</f>
        <v>3.253968254</v>
      </c>
      <c r="N4" s="21"/>
      <c r="O4" s="20">
        <f>IFERROR(O2/N2,0)</f>
        <v>0.4509803922</v>
      </c>
      <c r="P4" s="22"/>
      <c r="Q4" s="20">
        <f>IFERROR(Q2/P2,0)</f>
        <v>0.6290322581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46427</v>
      </c>
      <c r="D5" s="26"/>
      <c r="E5" s="27">
        <f>SUMIFS(T:T,A:A,B5,D:D,"Y")</f>
        <v>17712</v>
      </c>
      <c r="F5" s="8">
        <f>SUMIF(A:A,B5,G:G)</f>
        <v>93</v>
      </c>
      <c r="G5" s="10">
        <f>SUMIF(A:A,B5,H:H)</f>
        <v>57</v>
      </c>
      <c r="H5" s="10">
        <f>SUMIF(A:A,B5,I:I)</f>
        <v>32</v>
      </c>
      <c r="I5" s="10">
        <f>SUMIF(A:A,B5,P:P)</f>
        <v>1</v>
      </c>
      <c r="J5" s="10">
        <f>SUMIF(A:A,B5,Q:Q)</f>
        <v>6</v>
      </c>
      <c r="K5" s="10">
        <f>SUMIF(A:A,B5,R:R)</f>
        <v>15</v>
      </c>
      <c r="L5" s="10">
        <f>SUMIF(A:A,B5,S:S)</f>
        <v>10</v>
      </c>
      <c r="M5" s="10">
        <f>SUMIF(A:A,B5,M:M)</f>
        <v>302</v>
      </c>
      <c r="N5" s="10">
        <f>SUMIF(A:A,B5,N:N)</f>
        <v>38</v>
      </c>
      <c r="O5" s="10">
        <f>SUMIF(A:A,B5,O:O)</f>
        <v>15</v>
      </c>
      <c r="P5" s="10">
        <f>SUMIF(A:A,B5,J:J)</f>
        <v>19</v>
      </c>
      <c r="Q5" s="10">
        <f>SUMIF(A:A,B5,K:K)</f>
        <v>9</v>
      </c>
      <c r="R5" s="10">
        <f>SUMIF(A:A,B5,L:L)</f>
        <v>10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1450.84375</v>
      </c>
      <c r="F7" s="20">
        <f>IFERROR((G5+R5)/F5,0)</f>
        <v>0.7204301075</v>
      </c>
      <c r="G7" s="20">
        <f>IFERROR(H5/G5,0)</f>
        <v>0.5614035088</v>
      </c>
      <c r="H7" s="19">
        <f>(C5/C7)</f>
        <v>3571.307692</v>
      </c>
      <c r="I7" s="21"/>
      <c r="J7" s="20">
        <f>IFERROR(J5/I5,0)</f>
        <v>6</v>
      </c>
      <c r="K7" s="21"/>
      <c r="L7" s="20">
        <f>IFERROR(L5/K5,0)</f>
        <v>0.6666666667</v>
      </c>
      <c r="M7" s="22">
        <f>IFERROR(M5/SUM(R5+G5,0),"")</f>
        <v>4.507462687</v>
      </c>
      <c r="N7" s="21"/>
      <c r="O7" s="20">
        <f>IFERROR(O5/N5,0)</f>
        <v>0.3947368421</v>
      </c>
      <c r="P7" s="22"/>
      <c r="Q7" s="20">
        <f>IFERROR(Q5/P5,0)</f>
        <v>0.4736842105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46427</v>
      </c>
      <c r="D8" s="36"/>
      <c r="E8" s="37">
        <f>SUMIFS(T:T,B:B,B8,D:D,"Y")</f>
        <v>17712</v>
      </c>
      <c r="F8" s="38">
        <f>SUMIF(B19:B1027,B8,G19:G1027)</f>
        <v>93</v>
      </c>
      <c r="G8" s="39">
        <f>SUMIF(B19:B1027,B8,H19:H1027)</f>
        <v>57</v>
      </c>
      <c r="H8" s="38">
        <f>SUMIF(B19:B1027,B8,I19:I1027)</f>
        <v>32</v>
      </c>
      <c r="I8" s="39">
        <f>SUMIF(B19:B1027,B8,P19:P1027)</f>
        <v>1</v>
      </c>
      <c r="J8" s="39">
        <f>SUMIF(B19:B1027,B8,Q19:Q1027)</f>
        <v>6</v>
      </c>
      <c r="K8" s="39">
        <f>SUMIF(B19:B1027,B8,R19:R1027)</f>
        <v>15</v>
      </c>
      <c r="L8" s="39">
        <f>SUMIF(B19:B1027,B8,S19:S1027)</f>
        <v>10</v>
      </c>
      <c r="M8" s="39">
        <f>SUMIF(B19:B1027,B8,M19:M1027)</f>
        <v>302</v>
      </c>
      <c r="N8" s="39">
        <f>SUMIF(B19:B1027,B8,N19:N1027)</f>
        <v>38</v>
      </c>
      <c r="O8" s="38">
        <f>SUMIF(B19:B1027,B8,O19:O1027)</f>
        <v>15</v>
      </c>
      <c r="P8" s="39">
        <f>SUMIF(B19:B1027,B8,J19:J1027)</f>
        <v>19</v>
      </c>
      <c r="Q8" s="39">
        <f>SUMIF(B19:B1027,B8,K19:K1027)</f>
        <v>9</v>
      </c>
      <c r="R8" s="38">
        <f>SUMIF(B19:B1027,B8,L19:L1027)</f>
        <v>10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COUNTIFS(B19:B1027,B8)</f>
        <v>12</v>
      </c>
      <c r="D10" s="42"/>
      <c r="E10" s="50">
        <f>IFERROR(C8/H8,0)</f>
        <v>1450.84375</v>
      </c>
      <c r="F10" s="51">
        <f>IFERROR((G8+R8)/F8,0)</f>
        <v>0.7204301075</v>
      </c>
      <c r="G10" s="51">
        <f>IFERROR(H8/G8,0)</f>
        <v>0.5614035088</v>
      </c>
      <c r="H10" s="50">
        <f>(C8/C10)</f>
        <v>3868.916667</v>
      </c>
      <c r="I10" s="46"/>
      <c r="J10" s="51">
        <f>IFERROR(J8/I8,0)</f>
        <v>6</v>
      </c>
      <c r="K10" s="46"/>
      <c r="L10" s="51">
        <f>IFERROR(L8/K8,0)</f>
        <v>0.6666666667</v>
      </c>
      <c r="M10" s="52">
        <f>IFERROR(M8/SUM(G8+R8,0),"")</f>
        <v>4.507462687</v>
      </c>
      <c r="N10" s="46"/>
      <c r="O10" s="51">
        <f>IFERROR(O8/N8,0)</f>
        <v>0.3947368421</v>
      </c>
      <c r="P10" s="53"/>
      <c r="Q10" s="51">
        <f>IFERROR(Q8/P8,0)</f>
        <v>0.4736842105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82541</v>
      </c>
      <c r="D11" s="26"/>
      <c r="E11" s="27">
        <f>SUMIFS(T:T,A:A,B11,D:D,"Y")</f>
        <v>14051</v>
      </c>
      <c r="F11" s="8">
        <f>SUMIF(A:A,B11,G:G)</f>
        <v>147</v>
      </c>
      <c r="G11" s="10">
        <f>SUMIF(A:A,B11,H:H)</f>
        <v>69</v>
      </c>
      <c r="H11" s="10">
        <f>SUMIF(A:A,B11,I:I)</f>
        <v>43</v>
      </c>
      <c r="I11" s="10">
        <f>SUMIF(A:A,B11,P:P)</f>
        <v>0</v>
      </c>
      <c r="J11" s="10">
        <f>SUMIF(A:A,B11,Q:Q)</f>
        <v>0</v>
      </c>
      <c r="K11" s="10">
        <f>SUMIF(A:A,B11,R:R)</f>
        <v>48</v>
      </c>
      <c r="L11" s="10">
        <f>SUMIF(A:A,B11,S:S)</f>
        <v>38</v>
      </c>
      <c r="M11" s="10">
        <f>SUMIF(A:A,B11,M:M)</f>
        <v>108</v>
      </c>
      <c r="N11" s="10">
        <f>SUMIF(A:A,B11,N:N)</f>
        <v>13</v>
      </c>
      <c r="O11" s="10">
        <f>SUMIF(A:A,B11,O:O)</f>
        <v>8</v>
      </c>
      <c r="P11" s="10">
        <f>SUMIF(A:A,B11,J:J)</f>
        <v>43</v>
      </c>
      <c r="Q11" s="10">
        <f>SUMIF(A:A,B11,K:K)</f>
        <v>30</v>
      </c>
      <c r="R11" s="10">
        <f>SUMIF(A:A,B11,L:L)</f>
        <v>14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15</v>
      </c>
      <c r="D13" s="30"/>
      <c r="E13" s="19">
        <f>IFERROR(C11/H11,0)</f>
        <v>1919.55814</v>
      </c>
      <c r="F13" s="20">
        <f>IFERROR((G11+R11)/F11,0)</f>
        <v>0.5646258503</v>
      </c>
      <c r="G13" s="20">
        <f>IFERROR(H11/G11,0)</f>
        <v>0.6231884058</v>
      </c>
      <c r="H13" s="19">
        <f>(C11/C13)</f>
        <v>5502.733333</v>
      </c>
      <c r="I13" s="21"/>
      <c r="J13" s="20">
        <f>IFERROR(J11/I11,0)</f>
        <v>0</v>
      </c>
      <c r="K13" s="21"/>
      <c r="L13" s="20">
        <f>IFERROR(L11/K11,0)</f>
        <v>0.7916666667</v>
      </c>
      <c r="M13" s="22">
        <f>IFERROR(M11/SUM(R11+G11,0),"")</f>
        <v>1.301204819</v>
      </c>
      <c r="N13" s="21"/>
      <c r="O13" s="20">
        <f>IFERROR(O11/N11,0)</f>
        <v>0.6153846154</v>
      </c>
      <c r="P13" s="22"/>
      <c r="Q13" s="20">
        <f>IFERROR(Q11/P11,0)</f>
        <v>0.6976744186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82541</v>
      </c>
      <c r="D14" s="36"/>
      <c r="E14" s="37">
        <f>SUMIFS(T:T,B:B,B14,D:D,"Y")</f>
        <v>14051</v>
      </c>
      <c r="F14" s="38">
        <f>SUMIF(B19:B1027,B14,G19:G1027)</f>
        <v>147</v>
      </c>
      <c r="G14" s="39">
        <f>SUMIF(B19:B1027,B14,H19:H1027)</f>
        <v>69</v>
      </c>
      <c r="H14" s="38">
        <f>SUMIF(B19:B1027,B14,I19:I1027)</f>
        <v>43</v>
      </c>
      <c r="I14" s="39">
        <f>SUMIF(B19:B1027,B14,P19:P1027)</f>
        <v>0</v>
      </c>
      <c r="J14" s="39">
        <f>SUMIF(B19:B1027,B14,Q19:Q1027)</f>
        <v>0</v>
      </c>
      <c r="K14" s="39">
        <f>SUMIF(B19:B1027,B14,R19:R1027)</f>
        <v>48</v>
      </c>
      <c r="L14" s="39">
        <f>SUMIF(B19:B1027,B14,S19:S1027)</f>
        <v>38</v>
      </c>
      <c r="M14" s="39">
        <f>SUMIF(B19:B1027,B14,M19:M1027)</f>
        <v>108</v>
      </c>
      <c r="N14" s="39">
        <f>SUMIF(B19:B1027,B14,N19:N1027)</f>
        <v>13</v>
      </c>
      <c r="O14" s="38">
        <f>SUMIF(B19:B1027,B14,O19:O1027)</f>
        <v>8</v>
      </c>
      <c r="P14" s="39">
        <f>SUMIF(B19:B1027,B14,J19:J1027)</f>
        <v>43</v>
      </c>
      <c r="Q14" s="39">
        <f>SUMIF(B19:B1027,B14,K19:K1027)</f>
        <v>30</v>
      </c>
      <c r="R14" s="38">
        <f>SUMIF(B19:B1027,B14,L19:L1027)</f>
        <v>14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COUNTIFS(B19:B1027,B14)</f>
        <v>14</v>
      </c>
      <c r="D16" s="42"/>
      <c r="E16" s="50">
        <f>IFERROR(C14/H14,0)</f>
        <v>1919.55814</v>
      </c>
      <c r="F16" s="51">
        <f>IFERROR((G14+R14)/F14,0)</f>
        <v>0.5646258503</v>
      </c>
      <c r="G16" s="51">
        <f>IFERROR(H14/G14,0)</f>
        <v>0.6231884058</v>
      </c>
      <c r="H16" s="50">
        <f>(C14/C16)</f>
        <v>5895.785714</v>
      </c>
      <c r="I16" s="46"/>
      <c r="J16" s="51">
        <f>IFERROR(J14/I14,0)</f>
        <v>0</v>
      </c>
      <c r="K16" s="46"/>
      <c r="L16" s="51">
        <f>IFERROR(L14/K14,0)</f>
        <v>0.7916666667</v>
      </c>
      <c r="M16" s="52">
        <f>IFERROR(M14/SUM(G14+R14,0),"")</f>
        <v>1.301204819</v>
      </c>
      <c r="N16" s="46"/>
      <c r="O16" s="51">
        <f>IFERROR(O14/N14,0)</f>
        <v>0.6153846154</v>
      </c>
      <c r="P16" s="53"/>
      <c r="Q16" s="51">
        <f>IFERROR(Q14/P14,0)</f>
        <v>0.6976744186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>
        <f>('Thurs (2)'!G20+Thurs!G20+'Tues '!G20+Wed!G20+Fri!G20+'Mon '!G20+'Wed (2)'!G20+Sun!G20+Sat!G20)</f>
        <v>0</v>
      </c>
      <c r="H20" s="65">
        <f>('Thurs (2)'!H20+Thurs!H20+'Tues '!H20+Wed!H20+Fri!H20+'Mon '!H20+'Wed (2)'!H20+Sun!H20+Sat!H20)</f>
        <v>0</v>
      </c>
      <c r="I20" s="65">
        <f>('Thurs (2)'!I20+Thurs!I20+'Tues '!I20+Wed!I20+Fri!I20+'Mon '!I20+'Wed (2)'!I20+Sun!I20+Sat!I20)</f>
        <v>0</v>
      </c>
      <c r="J20" s="65">
        <f>('Thurs (2)'!J20+Thurs!J20+'Tues '!J20+Wed!J20+Fri!J20+'Mon '!J20+'Wed (2)'!J20+Sun!J20+Sat!J20)</f>
        <v>0</v>
      </c>
      <c r="K20" s="65">
        <f>('Thurs (2)'!K20+Thurs!K20+'Tues '!K20+Wed!K20+Fri!K20+'Mon '!K20+'Wed (2)'!K20+Sun!K20+Sat!K20)</f>
        <v>0</v>
      </c>
      <c r="L20" s="65">
        <f>('Thurs (2)'!L20+Thurs!L20+'Tues '!L20+Wed!L20+Fri!L20+'Mon '!L20+'Wed (2)'!L20+Sun!L20+Sat!L20)</f>
        <v>0</v>
      </c>
      <c r="M20" s="65">
        <f>('Thurs (2)'!M20+Thurs!M20+'Tues '!M20+Wed!M20+Fri!M20+'Mon '!M20+'Wed (2)'!M20+Sun!M20+Sat!M20)</f>
        <v>0</v>
      </c>
      <c r="N20" s="65">
        <f>('Thurs (2)'!N20+Thurs!N20+'Tues '!N20+Wed!N20+Fri!N20+'Mon '!N20+'Wed (2)'!N20+Sun!N20+Sat!N20)</f>
        <v>0</v>
      </c>
      <c r="O20" s="65">
        <f>('Thurs (2)'!O20+Thurs!O20+'Tues '!O20+Wed!O20+Fri!O20+'Mon '!O20+'Wed (2)'!O20+Sun!O20+Sat!O20)</f>
        <v>0</v>
      </c>
      <c r="P20" s="65">
        <f>('Thurs (2)'!P20+Thurs!P20+'Tues '!P20+Wed!P20+Fri!P20+'Mon '!P20+'Wed (2)'!P20+Sun!P20+Sat!P20)</f>
        <v>0</v>
      </c>
      <c r="Q20" s="65">
        <f>('Thurs (2)'!Q20+Thurs!Q20+'Tues '!Q20+Wed!Q20+Fri!Q20+'Mon '!Q20+'Wed (2)'!Q20+Sun!Q20+Sat!Q20)</f>
        <v>0</v>
      </c>
      <c r="R20" s="65">
        <f>('Thurs (2)'!R20+Thurs!R20+'Tues '!R20+Wed!R20+Fri!R20+'Mon '!R20+'Wed (2)'!R20+Sun!R20+Sat!R20)</f>
        <v>0</v>
      </c>
      <c r="S20" s="65">
        <f>('Thurs (2)'!S20+Thurs!S20+'Tues '!S20+Wed!S20+Fri!S20+'Mon '!S20+'Wed (2)'!S20+Sun!S20+Sat!S20)</f>
        <v>0</v>
      </c>
      <c r="T20" s="65">
        <f>('Thurs (2)'!T20+Thurs!T20+'Tues '!T20+Wed!T20+Fri!T20+'Mon '!T20+'Wed (2)'!T20+Sun!T20+Sat!T20)</f>
        <v>0</v>
      </c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>
        <f>('Thurs (2)'!G21+Thurs!G21+'Tues '!G21+Wed!G21+Fri!G21+'Mon '!G21+'Wed (2)'!G21+Sun!G21+Sat!G21)</f>
        <v>2</v>
      </c>
      <c r="H21" s="65">
        <f>('Thurs (2)'!H21+Thurs!H21+'Tues '!H21+Wed!H21+Fri!H21+'Mon '!H21+'Wed (2)'!H21+Sun!H21+Sat!H21)</f>
        <v>0</v>
      </c>
      <c r="I21" s="65">
        <f>('Thurs (2)'!I21+Thurs!I21+'Tues '!I21+Wed!I21+Fri!I21+'Mon '!I21+'Wed (2)'!I21+Sun!I21+Sat!I21)</f>
        <v>0</v>
      </c>
      <c r="J21" s="65">
        <f>('Thurs (2)'!J21+Thurs!J21+'Tues '!J21+Wed!J21+Fri!J21+'Mon '!J21+'Wed (2)'!J21+Sun!J21+Sat!J21)</f>
        <v>0</v>
      </c>
      <c r="K21" s="65">
        <f>('Thurs (2)'!K21+Thurs!K21+'Tues '!K21+Wed!K21+Fri!K21+'Mon '!K21+'Wed (2)'!K21+Sun!K21+Sat!K21)</f>
        <v>0</v>
      </c>
      <c r="L21" s="65">
        <f>('Thurs (2)'!L21+Thurs!L21+'Tues '!L21+Wed!L21+Fri!L21+'Mon '!L21+'Wed (2)'!L21+Sun!L21+Sat!L21)</f>
        <v>0</v>
      </c>
      <c r="M21" s="65">
        <f>('Thurs (2)'!M21+Thurs!M21+'Tues '!M21+Wed!M21+Fri!M21+'Mon '!M21+'Wed (2)'!M21+Sun!M21+Sat!M21)</f>
        <v>0</v>
      </c>
      <c r="N21" s="65">
        <f>('Thurs (2)'!N21+Thurs!N21+'Tues '!N21+Wed!N21+Fri!N21+'Mon '!N21+'Wed (2)'!N21+Sun!N21+Sat!N21)</f>
        <v>0</v>
      </c>
      <c r="O21" s="65">
        <f>('Thurs (2)'!O21+Thurs!O21+'Tues '!O21+Wed!O21+Fri!O21+'Mon '!O21+'Wed (2)'!O21+Sun!O21+Sat!O21)</f>
        <v>0</v>
      </c>
      <c r="P21" s="65">
        <f>('Thurs (2)'!P21+Thurs!P21+'Tues '!P21+Wed!P21+Fri!P21+'Mon '!P21+'Wed (2)'!P21+Sun!P21+Sat!P21)</f>
        <v>0</v>
      </c>
      <c r="Q21" s="65">
        <f>('Thurs (2)'!Q21+Thurs!Q21+'Tues '!Q21+Wed!Q21+Fri!Q21+'Mon '!Q21+'Wed (2)'!Q21+Sun!Q21+Sat!Q21)</f>
        <v>0</v>
      </c>
      <c r="R21" s="65">
        <f>('Thurs (2)'!R21+Thurs!R21+'Tues '!R21+Wed!R21+Fri!R21+'Mon '!R21+'Wed (2)'!R21+Sun!R21+Sat!R21)</f>
        <v>0</v>
      </c>
      <c r="S21" s="65">
        <f>('Thurs (2)'!S21+Thurs!S21+'Tues '!S21+Wed!S21+Fri!S21+'Mon '!S21+'Wed (2)'!S21+Sun!S21+Sat!S21)</f>
        <v>0</v>
      </c>
      <c r="T21" s="65">
        <f>('Thurs (2)'!T21+Thurs!T21+'Tues '!T21+Wed!T21+Fri!T21+'Mon '!T21+'Wed (2)'!T21+Sun!T21+Sat!T21)</f>
        <v>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f>('Thurs (2)'!G22+Thurs!G22+'Tues '!G22+Wed!G22+Fri!G22+'Mon '!G22+'Wed (2)'!G22+Sun!G22+Sat!G22)</f>
        <v>16</v>
      </c>
      <c r="H22" s="65">
        <f>('Thurs (2)'!H22+Thurs!H22+'Tues '!H22+Wed!H22+Fri!H22+'Mon '!H22+'Wed (2)'!H22+Sun!H22+Sat!H22)</f>
        <v>3</v>
      </c>
      <c r="I22" s="65">
        <f>('Thurs (2)'!I22+Thurs!I22+'Tues '!I22+Wed!I22+Fri!I22+'Mon '!I22+'Wed (2)'!I22+Sun!I22+Sat!I22)</f>
        <v>2</v>
      </c>
      <c r="J22" s="65">
        <f>('Thurs (2)'!J22+Thurs!J22+'Tues '!J22+Wed!J22+Fri!J22+'Mon '!J22+'Wed (2)'!J22+Sun!J22+Sat!J22)</f>
        <v>2</v>
      </c>
      <c r="K22" s="65">
        <f>('Thurs (2)'!K22+Thurs!K22+'Tues '!K22+Wed!K22+Fri!K22+'Mon '!K22+'Wed (2)'!K22+Sun!K22+Sat!K22)</f>
        <v>2</v>
      </c>
      <c r="L22" s="65">
        <f>('Thurs (2)'!L22+Thurs!L22+'Tues '!L22+Wed!L22+Fri!L22+'Mon '!L22+'Wed (2)'!L22+Sun!L22+Sat!L22)</f>
        <v>1</v>
      </c>
      <c r="M22" s="65">
        <f>('Thurs (2)'!M22+Thurs!M22+'Tues '!M22+Wed!M22+Fri!M22+'Mon '!M22+'Wed (2)'!M22+Sun!M22+Sat!M22)</f>
        <v>17</v>
      </c>
      <c r="N22" s="65">
        <f>('Thurs (2)'!N22+Thurs!N22+'Tues '!N22+Wed!N22+Fri!N22+'Mon '!N22+'Wed (2)'!N22+Sun!N22+Sat!N22)</f>
        <v>2</v>
      </c>
      <c r="O22" s="65">
        <f>('Thurs (2)'!O22+Thurs!O22+'Tues '!O22+Wed!O22+Fri!O22+'Mon '!O22+'Wed (2)'!O22+Sun!O22+Sat!O22)</f>
        <v>2</v>
      </c>
      <c r="P22" s="65">
        <f>('Thurs (2)'!P22+Thurs!P22+'Tues '!P22+Wed!P22+Fri!P22+'Mon '!P22+'Wed (2)'!P22+Sun!P22+Sat!P22)</f>
        <v>0</v>
      </c>
      <c r="Q22" s="65">
        <f>('Thurs (2)'!Q22+Thurs!Q22+'Tues '!Q22+Wed!Q22+Fri!Q22+'Mon '!Q22+'Wed (2)'!Q22+Sun!Q22+Sat!Q22)</f>
        <v>0</v>
      </c>
      <c r="R22" s="65">
        <f>('Thurs (2)'!R22+Thurs!R22+'Tues '!R22+Wed!R22+Fri!R22+'Mon '!R22+'Wed (2)'!R22+Sun!R22+Sat!R22)</f>
        <v>1</v>
      </c>
      <c r="S22" s="65">
        <f>('Thurs (2)'!S22+Thurs!S22+'Tues '!S22+Wed!S22+Fri!S22+'Mon '!S22+'Wed (2)'!S22+Sun!S22+Sat!S22)</f>
        <v>0</v>
      </c>
      <c r="T22" s="65">
        <f>('Thurs (2)'!T22+Thurs!T22+'Tues '!T22+Wed!T22+Fri!T22+'Mon '!T22+'Wed (2)'!T22+Sun!T22+Sat!T22)</f>
        <v>3067</v>
      </c>
      <c r="U22" s="66">
        <f t="shared" si="2"/>
        <v>0.6666666667</v>
      </c>
      <c r="V22" s="66">
        <f t="shared" si="3"/>
        <v>0.25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f>('Thurs (2)'!G23+Thurs!G23+'Tues '!G23+Wed!G23+Fri!G23+'Mon '!G23+'Wed (2)'!G23+Sun!G23+Sat!G23)</f>
        <v>2</v>
      </c>
      <c r="H23" s="65">
        <f>('Thurs (2)'!H23+Thurs!H23+'Tues '!H23+Wed!H23+Fri!H23+'Mon '!H23+'Wed (2)'!H23+Sun!H23+Sat!H23)</f>
        <v>1</v>
      </c>
      <c r="I23" s="65">
        <f>('Thurs (2)'!I23+Thurs!I23+'Tues '!I23+Wed!I23+Fri!I23+'Mon '!I23+'Wed (2)'!I23+Sun!I23+Sat!I23)</f>
        <v>0</v>
      </c>
      <c r="J23" s="65">
        <f>('Thurs (2)'!J23+Thurs!J23+'Tues '!J23+Wed!J23+Fri!J23+'Mon '!J23+'Wed (2)'!J23+Sun!J23+Sat!J23)</f>
        <v>0</v>
      </c>
      <c r="K23" s="65">
        <f>('Thurs (2)'!K23+Thurs!K23+'Tues '!K23+Wed!K23+Fri!K23+'Mon '!K23+'Wed (2)'!K23+Sun!K23+Sat!K23)</f>
        <v>0</v>
      </c>
      <c r="L23" s="65">
        <f>('Thurs (2)'!L23+Thurs!L23+'Tues '!L23+Wed!L23+Fri!L23+'Mon '!L23+'Wed (2)'!L23+Sun!L23+Sat!L23)</f>
        <v>0</v>
      </c>
      <c r="M23" s="65">
        <f>('Thurs (2)'!M23+Thurs!M23+'Tues '!M23+Wed!M23+Fri!M23+'Mon '!M23+'Wed (2)'!M23+Sun!M23+Sat!M23)</f>
        <v>0</v>
      </c>
      <c r="N23" s="65">
        <f>('Thurs (2)'!N23+Thurs!N23+'Tues '!N23+Wed!N23+Fri!N23+'Mon '!N23+'Wed (2)'!N23+Sun!N23+Sat!N23)</f>
        <v>1</v>
      </c>
      <c r="O23" s="65">
        <f>('Thurs (2)'!O23+Thurs!O23+'Tues '!O23+Wed!O23+Fri!O23+'Mon '!O23+'Wed (2)'!O23+Sun!O23+Sat!O23)</f>
        <v>0</v>
      </c>
      <c r="P23" s="65">
        <f>('Thurs (2)'!P23+Thurs!P23+'Tues '!P23+Wed!P23+Fri!P23+'Mon '!P23+'Wed (2)'!P23+Sun!P23+Sat!P23)</f>
        <v>0</v>
      </c>
      <c r="Q23" s="65">
        <f>('Thurs (2)'!Q23+Thurs!Q23+'Tues '!Q23+Wed!Q23+Fri!Q23+'Mon '!Q23+'Wed (2)'!Q23+Sun!Q23+Sat!Q23)</f>
        <v>0</v>
      </c>
      <c r="R23" s="65">
        <f>('Thurs (2)'!R23+Thurs!R23+'Tues '!R23+Wed!R23+Fri!R23+'Mon '!R23+'Wed (2)'!R23+Sun!R23+Sat!R23)</f>
        <v>0</v>
      </c>
      <c r="S23" s="65">
        <f>('Thurs (2)'!S23+Thurs!S23+'Tues '!S23+Wed!S23+Fri!S23+'Mon '!S23+'Wed (2)'!S23+Sun!S23+Sat!S23)</f>
        <v>0</v>
      </c>
      <c r="T23" s="65">
        <f>('Thurs (2)'!T23+Thurs!T23+'Tues '!T23+Wed!T23+Fri!T23+'Mon '!T23+'Wed (2)'!T23+Sun!T23+Sat!T23)</f>
        <v>0</v>
      </c>
      <c r="U23" s="66">
        <f t="shared" si="2"/>
        <v>0</v>
      </c>
      <c r="V23" s="66">
        <f t="shared" si="3"/>
        <v>0.5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>
        <f>('Thurs (2)'!G24+Thurs!G24+'Tues '!G24+Wed!G24+Fri!G24+'Mon '!G24+'Wed (2)'!G24+Sun!G24+Sat!G24)</f>
        <v>9</v>
      </c>
      <c r="H24" s="65">
        <f>('Thurs (2)'!H24+Thurs!H24+'Tues '!H24+Wed!H24+Fri!H24+'Mon '!H24+'Wed (2)'!H24+Sun!H24+Sat!H24)</f>
        <v>7</v>
      </c>
      <c r="I24" s="65">
        <f>('Thurs (2)'!I24+Thurs!I24+'Tues '!I24+Wed!I24+Fri!I24+'Mon '!I24+'Wed (2)'!I24+Sun!I24+Sat!I24)</f>
        <v>3</v>
      </c>
      <c r="J24" s="65">
        <f>('Thurs (2)'!J24+Thurs!J24+'Tues '!J24+Wed!J24+Fri!J24+'Mon '!J24+'Wed (2)'!J24+Sun!J24+Sat!J24)</f>
        <v>0</v>
      </c>
      <c r="K24" s="65">
        <f>('Thurs (2)'!K24+Thurs!K24+'Tues '!K24+Wed!K24+Fri!K24+'Mon '!K24+'Wed (2)'!K24+Sun!K24+Sat!K24)</f>
        <v>0</v>
      </c>
      <c r="L24" s="65">
        <f>('Thurs (2)'!L24+Thurs!L24+'Tues '!L24+Wed!L24+Fri!L24+'Mon '!L24+'Wed (2)'!L24+Sun!L24+Sat!L24)</f>
        <v>3</v>
      </c>
      <c r="M24" s="65">
        <f>('Thurs (2)'!M24+Thurs!M24+'Tues '!M24+Wed!M24+Fri!M24+'Mon '!M24+'Wed (2)'!M24+Sun!M24+Sat!M24)</f>
        <v>24</v>
      </c>
      <c r="N24" s="65">
        <f>('Thurs (2)'!N24+Thurs!N24+'Tues '!N24+Wed!N24+Fri!N24+'Mon '!N24+'Wed (2)'!N24+Sun!N24+Sat!N24)</f>
        <v>1</v>
      </c>
      <c r="O24" s="65">
        <f>('Thurs (2)'!O24+Thurs!O24+'Tues '!O24+Wed!O24+Fri!O24+'Mon '!O24+'Wed (2)'!O24+Sun!O24+Sat!O24)</f>
        <v>0</v>
      </c>
      <c r="P24" s="65">
        <f>('Thurs (2)'!P24+Thurs!P24+'Tues '!P24+Wed!P24+Fri!P24+'Mon '!P24+'Wed (2)'!P24+Sun!P24+Sat!P24)</f>
        <v>0</v>
      </c>
      <c r="Q24" s="65">
        <f>('Thurs (2)'!Q24+Thurs!Q24+'Tues '!Q24+Wed!Q24+Fri!Q24+'Mon '!Q24+'Wed (2)'!Q24+Sun!Q24+Sat!Q24)</f>
        <v>0</v>
      </c>
      <c r="R24" s="65">
        <f>('Thurs (2)'!R24+Thurs!R24+'Tues '!R24+Wed!R24+Fri!R24+'Mon '!R24+'Wed (2)'!R24+Sun!R24+Sat!R24)</f>
        <v>6</v>
      </c>
      <c r="S24" s="65">
        <f>('Thurs (2)'!S24+Thurs!S24+'Tues '!S24+Wed!S24+Fri!S24+'Mon '!S24+'Wed (2)'!S24+Sun!S24+Sat!S24)</f>
        <v>3</v>
      </c>
      <c r="T24" s="65">
        <f>('Thurs (2)'!T24+Thurs!T24+'Tues '!T24+Wed!T24+Fri!T24+'Mon '!T24+'Wed (2)'!T24+Sun!T24+Sat!T24)</f>
        <v>5842</v>
      </c>
      <c r="U24" s="66">
        <f t="shared" si="2"/>
        <v>0.4285714286</v>
      </c>
      <c r="V24" s="66">
        <f t="shared" si="3"/>
        <v>1.111111111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>
        <f>('Thurs (2)'!G25+Thurs!G25+'Tues '!G25+Wed!G25+Fri!G25+'Mon '!G25+'Wed (2)'!G25+Sun!G25+Sat!G25)</f>
        <v>4</v>
      </c>
      <c r="H25" s="65">
        <f>('Thurs (2)'!H25+Thurs!H25+'Tues '!H25+Wed!H25+Fri!H25+'Mon '!H25+'Wed (2)'!H25+Sun!H25+Sat!H25)</f>
        <v>2</v>
      </c>
      <c r="I25" s="65">
        <f>('Thurs (2)'!I25+Thurs!I25+'Tues '!I25+Wed!I25+Fri!I25+'Mon '!I25+'Wed (2)'!I25+Sun!I25+Sat!I25)</f>
        <v>1</v>
      </c>
      <c r="J25" s="65">
        <f>('Thurs (2)'!J25+Thurs!J25+'Tues '!J25+Wed!J25+Fri!J25+'Mon '!J25+'Wed (2)'!J25+Sun!J25+Sat!J25)</f>
        <v>2</v>
      </c>
      <c r="K25" s="65">
        <f>('Thurs (2)'!K25+Thurs!K25+'Tues '!K25+Wed!K25+Fri!K25+'Mon '!K25+'Wed (2)'!K25+Sun!K25+Sat!K25)</f>
        <v>1</v>
      </c>
      <c r="L25" s="65">
        <f>('Thurs (2)'!L25+Thurs!L25+'Tues '!L25+Wed!L25+Fri!L25+'Mon '!L25+'Wed (2)'!L25+Sun!L25+Sat!L25)</f>
        <v>0</v>
      </c>
      <c r="M25" s="65">
        <f>('Thurs (2)'!M25+Thurs!M25+'Tues '!M25+Wed!M25+Fri!M25+'Mon '!M25+'Wed (2)'!M25+Sun!M25+Sat!M25)</f>
        <v>12</v>
      </c>
      <c r="N25" s="65">
        <f>('Thurs (2)'!N25+Thurs!N25+'Tues '!N25+Wed!N25+Fri!N25+'Mon '!N25+'Wed (2)'!N25+Sun!N25+Sat!N25)</f>
        <v>0</v>
      </c>
      <c r="O25" s="65">
        <f>('Thurs (2)'!O25+Thurs!O25+'Tues '!O25+Wed!O25+Fri!O25+'Mon '!O25+'Wed (2)'!O25+Sun!O25+Sat!O25)</f>
        <v>0</v>
      </c>
      <c r="P25" s="65">
        <f>('Thurs (2)'!P25+Thurs!P25+'Tues '!P25+Wed!P25+Fri!P25+'Mon '!P25+'Wed (2)'!P25+Sun!P25+Sat!P25)</f>
        <v>0</v>
      </c>
      <c r="Q25" s="65">
        <f>('Thurs (2)'!Q25+Thurs!Q25+'Tues '!Q25+Wed!Q25+Fri!Q25+'Mon '!Q25+'Wed (2)'!Q25+Sun!Q25+Sat!Q25)</f>
        <v>0</v>
      </c>
      <c r="R25" s="65">
        <f>('Thurs (2)'!R25+Thurs!R25+'Tues '!R25+Wed!R25+Fri!R25+'Mon '!R25+'Wed (2)'!R25+Sun!R25+Sat!R25)</f>
        <v>1</v>
      </c>
      <c r="S25" s="65">
        <f>('Thurs (2)'!S25+Thurs!S25+'Tues '!S25+Wed!S25+Fri!S25+'Mon '!S25+'Wed (2)'!S25+Sun!S25+Sat!S25)</f>
        <v>1</v>
      </c>
      <c r="T25" s="65">
        <f>('Thurs (2)'!T25+Thurs!T25+'Tues '!T25+Wed!T25+Fri!T25+'Mon '!T25+'Wed (2)'!T25+Sun!T25+Sat!T25)</f>
        <v>1404</v>
      </c>
      <c r="U25" s="66">
        <f t="shared" si="2"/>
        <v>0.5</v>
      </c>
      <c r="V25" s="66">
        <f t="shared" si="3"/>
        <v>0.5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65">
        <f>('Thurs (2)'!G26+Thurs!G26+'Tues '!G26+Wed!G26+Fri!G26+'Mon '!G26+'Wed (2)'!G26+Sun!G26+Sat!G26)</f>
        <v>4</v>
      </c>
      <c r="H26" s="65">
        <f>('Thurs (2)'!H26+Thurs!H26+'Tues '!H26+Wed!H26+Fri!H26+'Mon '!H26+'Wed (2)'!H26+Sun!H26+Sat!H26)</f>
        <v>6</v>
      </c>
      <c r="I26" s="65">
        <f>('Thurs (2)'!I26+Thurs!I26+'Tues '!I26+Wed!I26+Fri!I26+'Mon '!I26+'Wed (2)'!I26+Sun!I26+Sat!I26)</f>
        <v>2</v>
      </c>
      <c r="J26" s="65">
        <f>('Thurs (2)'!J26+Thurs!J26+'Tues '!J26+Wed!J26+Fri!J26+'Mon '!J26+'Wed (2)'!J26+Sun!J26+Sat!J26)</f>
        <v>4</v>
      </c>
      <c r="K26" s="65">
        <f>('Thurs (2)'!K26+Thurs!K26+'Tues '!K26+Wed!K26+Fri!K26+'Mon '!K26+'Wed (2)'!K26+Sun!K26+Sat!K26)</f>
        <v>3</v>
      </c>
      <c r="L26" s="65">
        <f>('Thurs (2)'!L26+Thurs!L26+'Tues '!L26+Wed!L26+Fri!L26+'Mon '!L26+'Wed (2)'!L26+Sun!L26+Sat!L26)</f>
        <v>1</v>
      </c>
      <c r="M26" s="65">
        <f>('Thurs (2)'!M26+Thurs!M26+'Tues '!M26+Wed!M26+Fri!M26+'Mon '!M26+'Wed (2)'!M26+Sun!M26+Sat!M26)</f>
        <v>24</v>
      </c>
      <c r="N26" s="65">
        <f>('Thurs (2)'!N26+Thurs!N26+'Tues '!N26+Wed!N26+Fri!N26+'Mon '!N26+'Wed (2)'!N26+Sun!N26+Sat!N26)</f>
        <v>2</v>
      </c>
      <c r="O26" s="65">
        <f>('Thurs (2)'!O26+Thurs!O26+'Tues '!O26+Wed!O26+Fri!O26+'Mon '!O26+'Wed (2)'!O26+Sun!O26+Sat!O26)</f>
        <v>1</v>
      </c>
      <c r="P26" s="65">
        <f>('Thurs (2)'!P26+Thurs!P26+'Tues '!P26+Wed!P26+Fri!P26+'Mon '!P26+'Wed (2)'!P26+Sun!P26+Sat!P26)</f>
        <v>1</v>
      </c>
      <c r="Q26" s="65">
        <f>('Thurs (2)'!Q26+Thurs!Q26+'Tues '!Q26+Wed!Q26+Fri!Q26+'Mon '!Q26+'Wed (2)'!Q26+Sun!Q26+Sat!Q26)</f>
        <v>1</v>
      </c>
      <c r="R26" s="65">
        <f>('Thurs (2)'!R26+Thurs!R26+'Tues '!R26+Wed!R26+Fri!R26+'Mon '!R26+'Wed (2)'!R26+Sun!R26+Sat!R26)</f>
        <v>2</v>
      </c>
      <c r="S26" s="65">
        <f>('Thurs (2)'!S26+Thurs!S26+'Tues '!S26+Wed!S26+Fri!S26+'Mon '!S26+'Wed (2)'!S26+Sun!S26+Sat!S26)</f>
        <v>2</v>
      </c>
      <c r="T26" s="65">
        <f>('Thurs (2)'!T26+Thurs!T26+'Tues '!T26+Wed!T26+Fri!T26+'Mon '!T26+'Wed (2)'!T26+Sun!T26+Sat!T26)</f>
        <v>3283</v>
      </c>
      <c r="U26" s="66">
        <f t="shared" si="2"/>
        <v>0.3333333333</v>
      </c>
      <c r="V26" s="66">
        <f t="shared" si="3"/>
        <v>1.75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65">
        <f>('Thurs (2)'!G27+Thurs!G27+'Tues '!G27+Wed!G27+Fri!G27+'Mon '!G27+'Wed (2)'!G27+Sun!G27+Sat!G27)</f>
        <v>5</v>
      </c>
      <c r="H27" s="65">
        <f>('Thurs (2)'!H27+Thurs!H27+'Tues '!H27+Wed!H27+Fri!H27+'Mon '!H27+'Wed (2)'!H27+Sun!H27+Sat!H27)</f>
        <v>13</v>
      </c>
      <c r="I27" s="65">
        <f>('Thurs (2)'!I27+Thurs!I27+'Tues '!I27+Wed!I27+Fri!I27+'Mon '!I27+'Wed (2)'!I27+Sun!I27+Sat!I27)</f>
        <v>8</v>
      </c>
      <c r="J27" s="65">
        <f>('Thurs (2)'!J27+Thurs!J27+'Tues '!J27+Wed!J27+Fri!J27+'Mon '!J27+'Wed (2)'!J27+Sun!J27+Sat!J27)</f>
        <v>5</v>
      </c>
      <c r="K27" s="65">
        <f>('Thurs (2)'!K27+Thurs!K27+'Tues '!K27+Wed!K27+Fri!K27+'Mon '!K27+'Wed (2)'!K27+Sun!K27+Sat!K27)</f>
        <v>3</v>
      </c>
      <c r="L27" s="65">
        <f>('Thurs (2)'!L27+Thurs!L27+'Tues '!L27+Wed!L27+Fri!L27+'Mon '!L27+'Wed (2)'!L27+Sun!L27+Sat!L27)</f>
        <v>0</v>
      </c>
      <c r="M27" s="65">
        <f>('Thurs (2)'!M27+Thurs!M27+'Tues '!M27+Wed!M27+Fri!M27+'Mon '!M27+'Wed (2)'!M27+Sun!M27+Sat!M27)</f>
        <v>48</v>
      </c>
      <c r="N27" s="65">
        <f>('Thurs (2)'!N27+Thurs!N27+'Tues '!N27+Wed!N27+Fri!N27+'Mon '!N27+'Wed (2)'!N27+Sun!N27+Sat!N27)</f>
        <v>23</v>
      </c>
      <c r="O27" s="65">
        <f>('Thurs (2)'!O27+Thurs!O27+'Tues '!O27+Wed!O27+Fri!O27+'Mon '!O27+'Wed (2)'!O27+Sun!O27+Sat!O27)</f>
        <v>5</v>
      </c>
      <c r="P27" s="65">
        <f>('Thurs (2)'!P27+Thurs!P27+'Tues '!P27+Wed!P27+Fri!P27+'Mon '!P27+'Wed (2)'!P27+Sun!P27+Sat!P27)</f>
        <v>0</v>
      </c>
      <c r="Q27" s="65">
        <f>('Thurs (2)'!Q27+Thurs!Q27+'Tues '!Q27+Wed!Q27+Fri!Q27+'Mon '!Q27+'Wed (2)'!Q27+Sun!Q27+Sat!Q27)</f>
        <v>0</v>
      </c>
      <c r="R27" s="65">
        <f>('Thurs (2)'!R27+Thurs!R27+'Tues '!R27+Wed!R27+Fri!R27+'Mon '!R27+'Wed (2)'!R27+Sun!R27+Sat!R27)</f>
        <v>1</v>
      </c>
      <c r="S27" s="65">
        <f>('Thurs (2)'!S27+Thurs!S27+'Tues '!S27+Wed!S27+Fri!S27+'Mon '!S27+'Wed (2)'!S27+Sun!S27+Sat!S27)</f>
        <v>2</v>
      </c>
      <c r="T27" s="65">
        <f>('Thurs (2)'!T27+Thurs!T27+'Tues '!T27+Wed!T27+Fri!T27+'Mon '!T27+'Wed (2)'!T27+Sun!T27+Sat!T27)</f>
        <v>4965</v>
      </c>
      <c r="U27" s="66">
        <f t="shared" si="2"/>
        <v>0.6153846154</v>
      </c>
      <c r="V27" s="66">
        <f t="shared" si="3"/>
        <v>2.6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65">
        <f>('Thurs (2)'!G28+Thurs!G28+'Tues '!G28+Wed!G28+Fri!G28+'Mon '!G28+'Wed (2)'!G28+Sun!G28+Sat!G28)</f>
        <v>15</v>
      </c>
      <c r="H28" s="65">
        <f>('Thurs (2)'!H28+Thurs!H28+'Tues '!H28+Wed!H28+Fri!H28+'Mon '!H28+'Wed (2)'!H28+Sun!H28+Sat!H28)</f>
        <v>9</v>
      </c>
      <c r="I28" s="65">
        <f>('Thurs (2)'!I28+Thurs!I28+'Tues '!I28+Wed!I28+Fri!I28+'Mon '!I28+'Wed (2)'!I28+Sun!I28+Sat!I28)</f>
        <v>6</v>
      </c>
      <c r="J28" s="65">
        <f>('Thurs (2)'!J28+Thurs!J28+'Tues '!J28+Wed!J28+Fri!J28+'Mon '!J28+'Wed (2)'!J28+Sun!J28+Sat!J28)</f>
        <v>0</v>
      </c>
      <c r="K28" s="65">
        <f>('Thurs (2)'!K28+Thurs!K28+'Tues '!K28+Wed!K28+Fri!K28+'Mon '!K28+'Wed (2)'!K28+Sun!K28+Sat!K28)</f>
        <v>0</v>
      </c>
      <c r="L28" s="65">
        <f>('Thurs (2)'!L28+Thurs!L28+'Tues '!L28+Wed!L28+Fri!L28+'Mon '!L28+'Wed (2)'!L28+Sun!L28+Sat!L28)</f>
        <v>0</v>
      </c>
      <c r="M28" s="65">
        <f>('Thurs (2)'!M28+Thurs!M28+'Tues '!M28+Wed!M28+Fri!M28+'Mon '!M28+'Wed (2)'!M28+Sun!M28+Sat!M28)</f>
        <v>13</v>
      </c>
      <c r="N28" s="65">
        <f>('Thurs (2)'!N28+Thurs!N28+'Tues '!N28+Wed!N28+Fri!N28+'Mon '!N28+'Wed (2)'!N28+Sun!N28+Sat!N28)</f>
        <v>4</v>
      </c>
      <c r="O28" s="65">
        <f>('Thurs (2)'!O28+Thurs!O28+'Tues '!O28+Wed!O28+Fri!O28+'Mon '!O28+'Wed (2)'!O28+Sun!O28+Sat!O28)</f>
        <v>3</v>
      </c>
      <c r="P28" s="65">
        <f>('Thurs (2)'!P28+Thurs!P28+'Tues '!P28+Wed!P28+Fri!P28+'Mon '!P28+'Wed (2)'!P28+Sun!P28+Sat!P28)</f>
        <v>0</v>
      </c>
      <c r="Q28" s="65">
        <f>('Thurs (2)'!Q28+Thurs!Q28+'Tues '!Q28+Wed!Q28+Fri!Q28+'Mon '!Q28+'Wed (2)'!Q28+Sun!Q28+Sat!Q28)</f>
        <v>5</v>
      </c>
      <c r="R28" s="65">
        <f>('Thurs (2)'!R28+Thurs!R28+'Tues '!R28+Wed!R28+Fri!R28+'Mon '!R28+'Wed (2)'!R28+Sun!R28+Sat!R28)</f>
        <v>3</v>
      </c>
      <c r="S28" s="65">
        <f>('Thurs (2)'!S28+Thurs!S28+'Tues '!S28+Wed!S28+Fri!S28+'Mon '!S28+'Wed (2)'!S28+Sun!S28+Sat!S28)</f>
        <v>2</v>
      </c>
      <c r="T28" s="65">
        <f>('Thurs (2)'!T28+Thurs!T28+'Tues '!T28+Wed!T28+Fri!T28+'Mon '!T28+'Wed (2)'!T28+Sun!T28+Sat!T28)</f>
        <v>9499</v>
      </c>
      <c r="U28" s="66">
        <f t="shared" si="2"/>
        <v>0.6666666667</v>
      </c>
      <c r="V28" s="66">
        <f t="shared" si="3"/>
        <v>0.6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 t="s">
        <v>47</v>
      </c>
      <c r="F29" s="76" t="s">
        <v>56</v>
      </c>
      <c r="G29" s="65">
        <f>('Thurs (2)'!G29+Thurs!G29+'Tues '!G29+Wed!G29+Fri!G29+'Mon '!G29+'Wed (2)'!G29+Sun!G29+Sat!G29)</f>
        <v>4</v>
      </c>
      <c r="H29" s="65">
        <f>('Thurs (2)'!H29+Thurs!H29+'Tues '!H29+Wed!H29+Fri!H29+'Mon '!H29+'Wed (2)'!H29+Sun!H29+Sat!H29)</f>
        <v>3</v>
      </c>
      <c r="I29" s="65">
        <f>('Thurs (2)'!I29+Thurs!I29+'Tues '!I29+Wed!I29+Fri!I29+'Mon '!I29+'Wed (2)'!I29+Sun!I29+Sat!I29)</f>
        <v>0</v>
      </c>
      <c r="J29" s="65">
        <f>('Thurs (2)'!J29+Thurs!J29+'Tues '!J29+Wed!J29+Fri!J29+'Mon '!J29+'Wed (2)'!J29+Sun!J29+Sat!J29)</f>
        <v>3</v>
      </c>
      <c r="K29" s="65">
        <f>('Thurs (2)'!K29+Thurs!K29+'Tues '!K29+Wed!K29+Fri!K29+'Mon '!K29+'Wed (2)'!K29+Sun!K29+Sat!K29)</f>
        <v>0</v>
      </c>
      <c r="L29" s="65">
        <f>('Thurs (2)'!L29+Thurs!L29+'Tues '!L29+Wed!L29+Fri!L29+'Mon '!L29+'Wed (2)'!L29+Sun!L29+Sat!L29)</f>
        <v>3</v>
      </c>
      <c r="M29" s="65">
        <f>('Thurs (2)'!M29+Thurs!M29+'Tues '!M29+Wed!M29+Fri!M29+'Mon '!M29+'Wed (2)'!M29+Sun!M29+Sat!M29)</f>
        <v>13</v>
      </c>
      <c r="N29" s="65">
        <f>('Thurs (2)'!N29+Thurs!N29+'Tues '!N29+Wed!N29+Fri!N29+'Mon '!N29+'Wed (2)'!N29+Sun!N29+Sat!N29)</f>
        <v>0</v>
      </c>
      <c r="O29" s="65">
        <f>('Thurs (2)'!O29+Thurs!O29+'Tues '!O29+Wed!O29+Fri!O29+'Mon '!O29+'Wed (2)'!O29+Sun!O29+Sat!O29)</f>
        <v>0</v>
      </c>
      <c r="P29" s="65">
        <f>('Thurs (2)'!P29+Thurs!P29+'Tues '!P29+Wed!P29+Fri!P29+'Mon '!P29+'Wed (2)'!P29+Sun!P29+Sat!P29)</f>
        <v>0</v>
      </c>
      <c r="Q29" s="65">
        <f>('Thurs (2)'!Q29+Thurs!Q29+'Tues '!Q29+Wed!Q29+Fri!Q29+'Mon '!Q29+'Wed (2)'!Q29+Sun!Q29+Sat!Q29)</f>
        <v>0</v>
      </c>
      <c r="R29" s="65">
        <f>('Thurs (2)'!R29+Thurs!R29+'Tues '!R29+Wed!R29+Fri!R29+'Mon '!R29+'Wed (2)'!R29+Sun!R29+Sat!R29)</f>
        <v>1</v>
      </c>
      <c r="S29" s="65">
        <f>('Thurs (2)'!S29+Thurs!S29+'Tues '!S29+Wed!S29+Fri!S29+'Mon '!S29+'Wed (2)'!S29+Sun!S29+Sat!S29)</f>
        <v>0</v>
      </c>
      <c r="T29" s="65">
        <f>('Thurs (2)'!T29+Thurs!T29+'Tues '!T29+Wed!T29+Fri!T29+'Mon '!T29+'Wed (2)'!T29+Sun!T29+Sat!T29)</f>
        <v>0</v>
      </c>
      <c r="U29" s="66">
        <f t="shared" si="2"/>
        <v>0</v>
      </c>
      <c r="V29" s="66">
        <f t="shared" si="3"/>
        <v>1.5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65">
        <f>('Thurs (2)'!G30+Thurs!G30+'Tues '!G30+Wed!G30+Fri!G30+'Mon '!G30+'Wed (2)'!G30+Sun!G30+Sat!G30)</f>
        <v>6</v>
      </c>
      <c r="H30" s="65">
        <f>('Thurs (2)'!H30+Thurs!H30+'Tues '!H30+Wed!H30+Fri!H30+'Mon '!H30+'Wed (2)'!H30+Sun!H30+Sat!H30)</f>
        <v>4</v>
      </c>
      <c r="I30" s="65">
        <f>('Thurs (2)'!I30+Thurs!I30+'Tues '!I30+Wed!I30+Fri!I30+'Mon '!I30+'Wed (2)'!I30+Sun!I30+Sat!I30)</f>
        <v>3</v>
      </c>
      <c r="J30" s="65">
        <f>('Thurs (2)'!J30+Thurs!J30+'Tues '!J30+Wed!J30+Fri!J30+'Mon '!J30+'Wed (2)'!J30+Sun!J30+Sat!J30)</f>
        <v>0</v>
      </c>
      <c r="K30" s="65">
        <f>('Thurs (2)'!K30+Thurs!K30+'Tues '!K30+Wed!K30+Fri!K30+'Mon '!K30+'Wed (2)'!K30+Sun!K30+Sat!K30)</f>
        <v>0</v>
      </c>
      <c r="L30" s="65">
        <f>('Thurs (2)'!L30+Thurs!L30+'Tues '!L30+Wed!L30+Fri!L30+'Mon '!L30+'Wed (2)'!L30+Sun!L30+Sat!L30)</f>
        <v>0</v>
      </c>
      <c r="M30" s="65">
        <f>('Thurs (2)'!M30+Thurs!M30+'Tues '!M30+Wed!M30+Fri!M30+'Mon '!M30+'Wed (2)'!M30+Sun!M30+Sat!M30)</f>
        <v>54</v>
      </c>
      <c r="N30" s="65">
        <f>('Thurs (2)'!N30+Thurs!N30+'Tues '!N30+Wed!N30+Fri!N30+'Mon '!N30+'Wed (2)'!N30+Sun!N30+Sat!N30)</f>
        <v>0</v>
      </c>
      <c r="O30" s="65">
        <f>('Thurs (2)'!O30+Thurs!O30+'Tues '!O30+Wed!O30+Fri!O30+'Mon '!O30+'Wed (2)'!O30+Sun!O30+Sat!O30)</f>
        <v>0</v>
      </c>
      <c r="P30" s="65">
        <f>('Thurs (2)'!P30+Thurs!P30+'Tues '!P30+Wed!P30+Fri!P30+'Mon '!P30+'Wed (2)'!P30+Sun!P30+Sat!P30)</f>
        <v>0</v>
      </c>
      <c r="Q30" s="65">
        <f>('Thurs (2)'!Q30+Thurs!Q30+'Tues '!Q30+Wed!Q30+Fri!Q30+'Mon '!Q30+'Wed (2)'!Q30+Sun!Q30+Sat!Q30)</f>
        <v>0</v>
      </c>
      <c r="R30" s="65">
        <f>('Thurs (2)'!R30+Thurs!R30+'Tues '!R30+Wed!R30+Fri!R30+'Mon '!R30+'Wed (2)'!R30+Sun!R30+Sat!R30)</f>
        <v>0</v>
      </c>
      <c r="S30" s="65">
        <f>('Thurs (2)'!S30+Thurs!S30+'Tues '!S30+Wed!S30+Fri!S30+'Mon '!S30+'Wed (2)'!S30+Sun!S30+Sat!S30)</f>
        <v>0</v>
      </c>
      <c r="T30" s="65">
        <f>('Thurs (2)'!T30+Thurs!T30+'Tues '!T30+Wed!T30+Fri!T30+'Mon '!T30+'Wed (2)'!T30+Sun!T30+Sat!T30)</f>
        <v>5520</v>
      </c>
      <c r="U30" s="66">
        <f t="shared" si="2"/>
        <v>0.75</v>
      </c>
      <c r="V30" s="66">
        <f t="shared" si="3"/>
        <v>0.6666666667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65">
        <f>('Thurs (2)'!G31+Thurs!G31+'Tues '!G31+Wed!G31+Fri!G31+'Mon '!G31+'Wed (2)'!G31+Sun!G31+Sat!G31)</f>
        <v>9</v>
      </c>
      <c r="H31" s="65">
        <f>('Thurs (2)'!H31+Thurs!H31+'Tues '!H31+Wed!H31+Fri!H31+'Mon '!H31+'Wed (2)'!H31+Sun!H31+Sat!H31)</f>
        <v>4</v>
      </c>
      <c r="I31" s="65">
        <f>('Thurs (2)'!I31+Thurs!I31+'Tues '!I31+Wed!I31+Fri!I31+'Mon '!I31+'Wed (2)'!I31+Sun!I31+Sat!I31)</f>
        <v>3</v>
      </c>
      <c r="J31" s="65">
        <f>('Thurs (2)'!J31+Thurs!J31+'Tues '!J31+Wed!J31+Fri!J31+'Mon '!J31+'Wed (2)'!J31+Sun!J31+Sat!J31)</f>
        <v>1</v>
      </c>
      <c r="K31" s="65">
        <f>('Thurs (2)'!K31+Thurs!K31+'Tues '!K31+Wed!K31+Fri!K31+'Mon '!K31+'Wed (2)'!K31+Sun!K31+Sat!K31)</f>
        <v>0</v>
      </c>
      <c r="L31" s="65">
        <f>('Thurs (2)'!L31+Thurs!L31+'Tues '!L31+Wed!L31+Fri!L31+'Mon '!L31+'Wed (2)'!L31+Sun!L31+Sat!L31)</f>
        <v>1</v>
      </c>
      <c r="M31" s="65">
        <f>('Thurs (2)'!M31+Thurs!M31+'Tues '!M31+Wed!M31+Fri!M31+'Mon '!M31+'Wed (2)'!M31+Sun!M31+Sat!M31)</f>
        <v>29</v>
      </c>
      <c r="N31" s="65">
        <f>('Thurs (2)'!N31+Thurs!N31+'Tues '!N31+Wed!N31+Fri!N31+'Mon '!N31+'Wed (2)'!N31+Sun!N31+Sat!N31)</f>
        <v>0</v>
      </c>
      <c r="O31" s="65">
        <f>('Thurs (2)'!O31+Thurs!O31+'Tues '!O31+Wed!O31+Fri!O31+'Mon '!O31+'Wed (2)'!O31+Sun!O31+Sat!O31)</f>
        <v>0</v>
      </c>
      <c r="P31" s="65">
        <f>('Thurs (2)'!P31+Thurs!P31+'Tues '!P31+Wed!P31+Fri!P31+'Mon '!P31+'Wed (2)'!P31+Sun!P31+Sat!P31)</f>
        <v>0</v>
      </c>
      <c r="Q31" s="65">
        <f>('Thurs (2)'!Q31+Thurs!Q31+'Tues '!Q31+Wed!Q31+Fri!Q31+'Mon '!Q31+'Wed (2)'!Q31+Sun!Q31+Sat!Q31)</f>
        <v>0</v>
      </c>
      <c r="R31" s="65">
        <f>('Thurs (2)'!R31+Thurs!R31+'Tues '!R31+Wed!R31+Fri!R31+'Mon '!R31+'Wed (2)'!R31+Sun!R31+Sat!R31)</f>
        <v>0</v>
      </c>
      <c r="S31" s="65">
        <f>('Thurs (2)'!S31+Thurs!S31+'Tues '!S31+Wed!S31+Fri!S31+'Mon '!S31+'Wed (2)'!S31+Sun!S31+Sat!S31)</f>
        <v>0</v>
      </c>
      <c r="T31" s="65">
        <f>('Thurs (2)'!T31+Thurs!T31+'Tues '!T31+Wed!T31+Fri!T31+'Mon '!T31+'Wed (2)'!T31+Sun!T31+Sat!T31)</f>
        <v>5523</v>
      </c>
      <c r="U31" s="66">
        <f t="shared" si="2"/>
        <v>0.75</v>
      </c>
      <c r="V31" s="66">
        <f t="shared" si="3"/>
        <v>0.5555555556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65">
        <f>('Thurs (2)'!G32+Thurs!G32+'Tues '!G32+Wed!G32+Fri!G32+'Mon '!G32+'Wed (2)'!G32+Sun!G32+Sat!G32)</f>
        <v>17</v>
      </c>
      <c r="H32" s="65">
        <f>('Thurs (2)'!H32+Thurs!H32+'Tues '!H32+Wed!H32+Fri!H32+'Mon '!H32+'Wed (2)'!H32+Sun!H32+Sat!H32)</f>
        <v>5</v>
      </c>
      <c r="I32" s="65">
        <f>('Thurs (2)'!I32+Thurs!I32+'Tues '!I32+Wed!I32+Fri!I32+'Mon '!I32+'Wed (2)'!I32+Sun!I32+Sat!I32)</f>
        <v>4</v>
      </c>
      <c r="J32" s="65">
        <f>('Thurs (2)'!J32+Thurs!J32+'Tues '!J32+Wed!J32+Fri!J32+'Mon '!J32+'Wed (2)'!J32+Sun!J32+Sat!J32)</f>
        <v>2</v>
      </c>
      <c r="K32" s="65">
        <f>('Thurs (2)'!K32+Thurs!K32+'Tues '!K32+Wed!K32+Fri!K32+'Mon '!K32+'Wed (2)'!K32+Sun!K32+Sat!K32)</f>
        <v>0</v>
      </c>
      <c r="L32" s="65">
        <f>('Thurs (2)'!L32+Thurs!L32+'Tues '!L32+Wed!L32+Fri!L32+'Mon '!L32+'Wed (2)'!L32+Sun!L32+Sat!L32)</f>
        <v>1</v>
      </c>
      <c r="M32" s="65">
        <f>('Thurs (2)'!M32+Thurs!M32+'Tues '!M32+Wed!M32+Fri!M32+'Mon '!M32+'Wed (2)'!M32+Sun!M32+Sat!M32)</f>
        <v>68</v>
      </c>
      <c r="N32" s="65">
        <f>('Thurs (2)'!N32+Thurs!N32+'Tues '!N32+Wed!N32+Fri!N32+'Mon '!N32+'Wed (2)'!N32+Sun!N32+Sat!N32)</f>
        <v>5</v>
      </c>
      <c r="O32" s="65">
        <f>('Thurs (2)'!O32+Thurs!O32+'Tues '!O32+Wed!O32+Fri!O32+'Mon '!O32+'Wed (2)'!O32+Sun!O32+Sat!O32)</f>
        <v>4</v>
      </c>
      <c r="P32" s="65">
        <f>('Thurs (2)'!P32+Thurs!P32+'Tues '!P32+Wed!P32+Fri!P32+'Mon '!P32+'Wed (2)'!P32+Sun!P32+Sat!P32)</f>
        <v>0</v>
      </c>
      <c r="Q32" s="65">
        <f>('Thurs (2)'!Q32+Thurs!Q32+'Tues '!Q32+Wed!Q32+Fri!Q32+'Mon '!Q32+'Wed (2)'!Q32+Sun!Q32+Sat!Q32)</f>
        <v>0</v>
      </c>
      <c r="R32" s="65">
        <f>('Thurs (2)'!R32+Thurs!R32+'Tues '!R32+Wed!R32+Fri!R32+'Mon '!R32+'Wed (2)'!R32+Sun!R32+Sat!R32)</f>
        <v>0</v>
      </c>
      <c r="S32" s="65">
        <f>('Thurs (2)'!S32+Thurs!S32+'Tues '!S32+Wed!S32+Fri!S32+'Mon '!S32+'Wed (2)'!S32+Sun!S32+Sat!S32)</f>
        <v>0</v>
      </c>
      <c r="T32" s="65">
        <f>('Thurs (2)'!T32+Thurs!T32+'Tues '!T32+Wed!T32+Fri!T32+'Mon '!T32+'Wed (2)'!T32+Sun!T32+Sat!T32)</f>
        <v>7324</v>
      </c>
      <c r="U32" s="66">
        <f t="shared" si="2"/>
        <v>0.8</v>
      </c>
      <c r="V32" s="66">
        <f t="shared" si="3"/>
        <v>0.3529411765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>
        <f>('Thurs (2)'!G34+Thurs!G34+'Tues '!G34+Wed!G34+Fri!G34+'Mon '!G34+'Wed (2)'!G34+Sun!G34+Sat!G34)</f>
        <v>0</v>
      </c>
      <c r="H34" s="65">
        <f>('Thurs (2)'!H34+Thurs!H34+'Tues '!H34+Wed!H34+Fri!H34+'Mon '!H34+'Wed (2)'!H34+Sun!H34+Sat!H34)</f>
        <v>0</v>
      </c>
      <c r="I34" s="65">
        <f>('Thurs (2)'!I34+Thurs!I34+'Tues '!I34+Wed!I34+Fri!I34+'Mon '!I34+'Wed (2)'!I34+Sun!I34+Sat!I34)</f>
        <v>0</v>
      </c>
      <c r="J34" s="65">
        <f>('Thurs (2)'!J34+Thurs!J34+'Tues '!J34+Wed!J34+Fri!J34+'Mon '!J34+'Wed (2)'!J34+Sun!J34+Sat!J34)</f>
        <v>0</v>
      </c>
      <c r="K34" s="65">
        <f>('Thurs (2)'!K34+Thurs!K34+'Tues '!K34+Wed!K34+Fri!K34+'Mon '!K34+'Wed (2)'!K34+Sun!K34+Sat!K34)</f>
        <v>0</v>
      </c>
      <c r="L34" s="65">
        <f>('Thurs (2)'!L34+Thurs!L34+'Tues '!L34+Wed!L34+Fri!L34+'Mon '!L34+'Wed (2)'!L34+Sun!L34+Sat!L34)</f>
        <v>0</v>
      </c>
      <c r="M34" s="65">
        <f>('Thurs (2)'!M34+Thurs!M34+'Tues '!M34+Wed!M34+Fri!M34+'Mon '!M34+'Wed (2)'!M34+Sun!M34+Sat!M34)</f>
        <v>0</v>
      </c>
      <c r="N34" s="65">
        <f>('Thurs (2)'!N34+Thurs!N34+'Tues '!N34+Wed!N34+Fri!N34+'Mon '!N34+'Wed (2)'!N34+Sun!N34+Sat!N34)</f>
        <v>0</v>
      </c>
      <c r="O34" s="65">
        <f>('Thurs (2)'!O34+Thurs!O34+'Tues '!O34+Wed!O34+Fri!O34+'Mon '!O34+'Wed (2)'!O34+Sun!O34+Sat!O34)</f>
        <v>0</v>
      </c>
      <c r="P34" s="65">
        <f>('Thurs (2)'!P34+Thurs!P34+'Tues '!P34+Wed!P34+Fri!P34+'Mon '!P34+'Wed (2)'!P34+Sun!P34+Sat!P34)</f>
        <v>0</v>
      </c>
      <c r="Q34" s="65">
        <f>('Thurs (2)'!Q34+Thurs!Q34+'Tues '!Q34+Wed!Q34+Fri!Q34+'Mon '!Q34+'Wed (2)'!Q34+Sun!Q34+Sat!Q34)</f>
        <v>0</v>
      </c>
      <c r="R34" s="65">
        <f>('Thurs (2)'!R34+Thurs!R34+'Tues '!R34+Wed!R34+Fri!R34+'Mon '!R34+'Wed (2)'!R34+Sun!R34+Sat!R34)</f>
        <v>0</v>
      </c>
      <c r="S34" s="65">
        <f>('Thurs (2)'!S34+Thurs!S34+'Tues '!S34+Wed!S34+Fri!S34+'Mon '!S34+'Wed (2)'!S34+Sun!S34+Sat!S34)</f>
        <v>0</v>
      </c>
      <c r="T34" s="65">
        <f>('Thurs (2)'!T34+Thurs!T34+'Tues '!T34+Wed!T34+Fri!T34+'Mon '!T34+'Wed (2)'!T34+Sun!T34+Sat!T34)</f>
        <v>0</v>
      </c>
      <c r="U34" s="66">
        <f t="shared" ref="U34:U48" si="4">IFERROR(I34/H34,0)</f>
        <v>0</v>
      </c>
      <c r="V34" s="66">
        <f t="shared" ref="V34:V48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65">
        <f>('Thurs (2)'!G35+Thurs!G35+'Tues '!G35+Wed!G35+Fri!G35+'Mon '!G35+'Wed (2)'!G35+Sun!G35+Sat!G35)</f>
        <v>4</v>
      </c>
      <c r="H35" s="65">
        <f>('Thurs (2)'!H35+Thurs!H35+'Tues '!H35+Wed!H35+Fri!H35+'Mon '!H35+'Wed (2)'!H35+Sun!H35+Sat!H35)</f>
        <v>4</v>
      </c>
      <c r="I35" s="65">
        <f>('Thurs (2)'!I35+Thurs!I35+'Tues '!I35+Wed!I35+Fri!I35+'Mon '!I35+'Wed (2)'!I35+Sun!I35+Sat!I35)</f>
        <v>3</v>
      </c>
      <c r="J35" s="65">
        <f>('Thurs (2)'!J35+Thurs!J35+'Tues '!J35+Wed!J35+Fri!J35+'Mon '!J35+'Wed (2)'!J35+Sun!J35+Sat!J35)</f>
        <v>3</v>
      </c>
      <c r="K35" s="65">
        <f>('Thurs (2)'!K35+Thurs!K35+'Tues '!K35+Wed!K35+Fri!K35+'Mon '!K35+'Wed (2)'!K35+Sun!K35+Sat!K35)</f>
        <v>3</v>
      </c>
      <c r="L35" s="65">
        <f>('Thurs (2)'!L35+Thurs!L35+'Tues '!L35+Wed!L35+Fri!L35+'Mon '!L35+'Wed (2)'!L35+Sun!L35+Sat!L35)</f>
        <v>0</v>
      </c>
      <c r="M35" s="65">
        <f>('Thurs (2)'!M35+Thurs!M35+'Tues '!M35+Wed!M35+Fri!M35+'Mon '!M35+'Wed (2)'!M35+Sun!M35+Sat!M35)</f>
        <v>7</v>
      </c>
      <c r="N35" s="65">
        <f>('Thurs (2)'!N35+Thurs!N35+'Tues '!N35+Wed!N35+Fri!N35+'Mon '!N35+'Wed (2)'!N35+Sun!N35+Sat!N35)</f>
        <v>1</v>
      </c>
      <c r="O35" s="65">
        <f>('Thurs (2)'!O35+Thurs!O35+'Tues '!O35+Wed!O35+Fri!O35+'Mon '!O35+'Wed (2)'!O35+Sun!O35+Sat!O35)</f>
        <v>1</v>
      </c>
      <c r="P35" s="65">
        <f>('Thurs (2)'!P35+Thurs!P35+'Tues '!P35+Wed!P35+Fri!P35+'Mon '!P35+'Wed (2)'!P35+Sun!P35+Sat!P35)</f>
        <v>0</v>
      </c>
      <c r="Q35" s="65">
        <f>('Thurs (2)'!Q35+Thurs!Q35+'Tues '!Q35+Wed!Q35+Fri!Q35+'Mon '!Q35+'Wed (2)'!Q35+Sun!Q35+Sat!Q35)</f>
        <v>0</v>
      </c>
      <c r="R35" s="65">
        <f>('Thurs (2)'!R35+Thurs!R35+'Tues '!R35+Wed!R35+Fri!R35+'Mon '!R35+'Wed (2)'!R35+Sun!R35+Sat!R35)</f>
        <v>3</v>
      </c>
      <c r="S35" s="65">
        <f>('Thurs (2)'!S35+Thurs!S35+'Tues '!S35+Wed!S35+Fri!S35+'Mon '!S35+'Wed (2)'!S35+Sun!S35+Sat!S35)</f>
        <v>2</v>
      </c>
      <c r="T35" s="65">
        <f>('Thurs (2)'!T35+Thurs!T35+'Tues '!T35+Wed!T35+Fri!T35+'Mon '!T35+'Wed (2)'!T35+Sun!T35+Sat!T35)</f>
        <v>5407</v>
      </c>
      <c r="U35" s="66">
        <f t="shared" si="4"/>
        <v>0.75</v>
      </c>
      <c r="V35" s="66">
        <f t="shared" si="5"/>
        <v>1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65">
        <f>('Thurs (2)'!G36+Thurs!G36+'Tues '!G36+Wed!G36+Fri!G36+'Mon '!G36+'Wed (2)'!G36+Sun!G36+Sat!G36)</f>
        <v>4</v>
      </c>
      <c r="H36" s="65">
        <f>('Thurs (2)'!H36+Thurs!H36+'Tues '!H36+Wed!H36+Fri!H36+'Mon '!H36+'Wed (2)'!H36+Sun!H36+Sat!H36)</f>
        <v>4</v>
      </c>
      <c r="I36" s="65">
        <f>('Thurs (2)'!I36+Thurs!I36+'Tues '!I36+Wed!I36+Fri!I36+'Mon '!I36+'Wed (2)'!I36+Sun!I36+Sat!I36)</f>
        <v>3</v>
      </c>
      <c r="J36" s="65">
        <f>('Thurs (2)'!J36+Thurs!J36+'Tues '!J36+Wed!J36+Fri!J36+'Mon '!J36+'Wed (2)'!J36+Sun!J36+Sat!J36)</f>
        <v>3</v>
      </c>
      <c r="K36" s="65">
        <f>('Thurs (2)'!K36+Thurs!K36+'Tues '!K36+Wed!K36+Fri!K36+'Mon '!K36+'Wed (2)'!K36+Sun!K36+Sat!K36)</f>
        <v>3</v>
      </c>
      <c r="L36" s="65">
        <f>('Thurs (2)'!L36+Thurs!L36+'Tues '!L36+Wed!L36+Fri!L36+'Mon '!L36+'Wed (2)'!L36+Sun!L36+Sat!L36)</f>
        <v>1</v>
      </c>
      <c r="M36" s="65">
        <f>('Thurs (2)'!M36+Thurs!M36+'Tues '!M36+Wed!M36+Fri!M36+'Mon '!M36+'Wed (2)'!M36+Sun!M36+Sat!M36)</f>
        <v>10</v>
      </c>
      <c r="N36" s="65">
        <f>('Thurs (2)'!N36+Thurs!N36+'Tues '!N36+Wed!N36+Fri!N36+'Mon '!N36+'Wed (2)'!N36+Sun!N36+Sat!N36)</f>
        <v>0</v>
      </c>
      <c r="O36" s="65">
        <f>('Thurs (2)'!O36+Thurs!O36+'Tues '!O36+Wed!O36+Fri!O36+'Mon '!O36+'Wed (2)'!O36+Sun!O36+Sat!O36)</f>
        <v>0</v>
      </c>
      <c r="P36" s="65">
        <f>('Thurs (2)'!P36+Thurs!P36+'Tues '!P36+Wed!P36+Fri!P36+'Mon '!P36+'Wed (2)'!P36+Sun!P36+Sat!P36)</f>
        <v>0</v>
      </c>
      <c r="Q36" s="65">
        <f>('Thurs (2)'!Q36+Thurs!Q36+'Tues '!Q36+Wed!Q36+Fri!Q36+'Mon '!Q36+'Wed (2)'!Q36+Sun!Q36+Sat!Q36)</f>
        <v>0</v>
      </c>
      <c r="R36" s="65">
        <f>('Thurs (2)'!R36+Thurs!R36+'Tues '!R36+Wed!R36+Fri!R36+'Mon '!R36+'Wed (2)'!R36+Sun!R36+Sat!R36)</f>
        <v>3</v>
      </c>
      <c r="S36" s="65">
        <f>('Thurs (2)'!S36+Thurs!S36+'Tues '!S36+Wed!S36+Fri!S36+'Mon '!S36+'Wed (2)'!S36+Sun!S36+Sat!S36)</f>
        <v>3</v>
      </c>
      <c r="T36" s="65">
        <f>('Thurs (2)'!T36+Thurs!T36+'Tues '!T36+Wed!T36+Fri!T36+'Mon '!T36+'Wed (2)'!T36+Sun!T36+Sat!T36)</f>
        <v>8644</v>
      </c>
      <c r="U36" s="66">
        <f t="shared" si="4"/>
        <v>0.75</v>
      </c>
      <c r="V36" s="66">
        <f t="shared" si="5"/>
        <v>1.25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65">
        <f>('Thurs (2)'!G37+Thurs!G37+'Tues '!G37+Wed!G37+Fri!G37+'Mon '!G37+'Wed (2)'!G37+Sun!G37+Sat!G37)</f>
        <v>20</v>
      </c>
      <c r="H37" s="65">
        <f>('Thurs (2)'!H37+Thurs!H37+'Tues '!H37+Wed!H37+Fri!H37+'Mon '!H37+'Wed (2)'!H37+Sun!H37+Sat!H37)</f>
        <v>7</v>
      </c>
      <c r="I37" s="65">
        <f>('Thurs (2)'!I37+Thurs!I37+'Tues '!I37+Wed!I37+Fri!I37+'Mon '!I37+'Wed (2)'!I37+Sun!I37+Sat!I37)</f>
        <v>5</v>
      </c>
      <c r="J37" s="65">
        <f>('Thurs (2)'!J37+Thurs!J37+'Tues '!J37+Wed!J37+Fri!J37+'Mon '!J37+'Wed (2)'!J37+Sun!J37+Sat!J37)</f>
        <v>2</v>
      </c>
      <c r="K37" s="65">
        <f>('Thurs (2)'!K37+Thurs!K37+'Tues '!K37+Wed!K37+Fri!K37+'Mon '!K37+'Wed (2)'!K37+Sun!K37+Sat!K37)</f>
        <v>2</v>
      </c>
      <c r="L37" s="65">
        <f>('Thurs (2)'!L37+Thurs!L37+'Tues '!L37+Wed!L37+Fri!L37+'Mon '!L37+'Wed (2)'!L37+Sun!L37+Sat!L37)</f>
        <v>1</v>
      </c>
      <c r="M37" s="65">
        <f>('Thurs (2)'!M37+Thurs!M37+'Tues '!M37+Wed!M37+Fri!M37+'Mon '!M37+'Wed (2)'!M37+Sun!M37+Sat!M37)</f>
        <v>3</v>
      </c>
      <c r="N37" s="65">
        <f>('Thurs (2)'!N37+Thurs!N37+'Tues '!N37+Wed!N37+Fri!N37+'Mon '!N37+'Wed (2)'!N37+Sun!N37+Sat!N37)</f>
        <v>0</v>
      </c>
      <c r="O37" s="65">
        <f>('Thurs (2)'!O37+Thurs!O37+'Tues '!O37+Wed!O37+Fri!O37+'Mon '!O37+'Wed (2)'!O37+Sun!O37+Sat!O37)</f>
        <v>0</v>
      </c>
      <c r="P37" s="65">
        <f>('Thurs (2)'!P37+Thurs!P37+'Tues '!P37+Wed!P37+Fri!P37+'Mon '!P37+'Wed (2)'!P37+Sun!P37+Sat!P37)</f>
        <v>0</v>
      </c>
      <c r="Q37" s="65">
        <f>('Thurs (2)'!Q37+Thurs!Q37+'Tues '!Q37+Wed!Q37+Fri!Q37+'Mon '!Q37+'Wed (2)'!Q37+Sun!Q37+Sat!Q37)</f>
        <v>0</v>
      </c>
      <c r="R37" s="65">
        <f>('Thurs (2)'!R37+Thurs!R37+'Tues '!R37+Wed!R37+Fri!R37+'Mon '!R37+'Wed (2)'!R37+Sun!R37+Sat!R37)</f>
        <v>5</v>
      </c>
      <c r="S37" s="65">
        <f>('Thurs (2)'!S37+Thurs!S37+'Tues '!S37+Wed!S37+Fri!S37+'Mon '!S37+'Wed (2)'!S37+Sun!S37+Sat!S37)</f>
        <v>5</v>
      </c>
      <c r="T37" s="65">
        <f>('Thurs (2)'!T37+Thurs!T37+'Tues '!T37+Wed!T37+Fri!T37+'Mon '!T37+'Wed (2)'!T37+Sun!T37+Sat!T37)</f>
        <v>7860</v>
      </c>
      <c r="U37" s="66">
        <f t="shared" si="4"/>
        <v>0.7142857143</v>
      </c>
      <c r="V37" s="66">
        <f t="shared" si="5"/>
        <v>0.4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65">
        <f>('Thurs (2)'!G38+Thurs!G38+'Tues '!G38+Wed!G38+Fri!G38+'Mon '!G38+'Wed (2)'!G38+Sun!G38+Sat!G38)</f>
        <v>1</v>
      </c>
      <c r="H38" s="65">
        <f>('Thurs (2)'!H38+Thurs!H38+'Tues '!H38+Wed!H38+Fri!H38+'Mon '!H38+'Wed (2)'!H38+Sun!H38+Sat!H38)</f>
        <v>0</v>
      </c>
      <c r="I38" s="65">
        <f>('Thurs (2)'!I38+Thurs!I38+'Tues '!I38+Wed!I38+Fri!I38+'Mon '!I38+'Wed (2)'!I38+Sun!I38+Sat!I38)</f>
        <v>0</v>
      </c>
      <c r="J38" s="65">
        <f>('Thurs (2)'!J38+Thurs!J38+'Tues '!J38+Wed!J38+Fri!J38+'Mon '!J38+'Wed (2)'!J38+Sun!J38+Sat!J38)</f>
        <v>0</v>
      </c>
      <c r="K38" s="65">
        <f>('Thurs (2)'!K38+Thurs!K38+'Tues '!K38+Wed!K38+Fri!K38+'Mon '!K38+'Wed (2)'!K38+Sun!K38+Sat!K38)</f>
        <v>0</v>
      </c>
      <c r="L38" s="65">
        <f>('Thurs (2)'!L38+Thurs!L38+'Tues '!L38+Wed!L38+Fri!L38+'Mon '!L38+'Wed (2)'!L38+Sun!L38+Sat!L38)</f>
        <v>0</v>
      </c>
      <c r="M38" s="65">
        <f>('Thurs (2)'!M38+Thurs!M38+'Tues '!M38+Wed!M38+Fri!M38+'Mon '!M38+'Wed (2)'!M38+Sun!M38+Sat!M38)</f>
        <v>0</v>
      </c>
      <c r="N38" s="65">
        <f>('Thurs (2)'!N38+Thurs!N38+'Tues '!N38+Wed!N38+Fri!N38+'Mon '!N38+'Wed (2)'!N38+Sun!N38+Sat!N38)</f>
        <v>0</v>
      </c>
      <c r="O38" s="65">
        <f>('Thurs (2)'!O38+Thurs!O38+'Tues '!O38+Wed!O38+Fri!O38+'Mon '!O38+'Wed (2)'!O38+Sun!O38+Sat!O38)</f>
        <v>0</v>
      </c>
      <c r="P38" s="65">
        <f>('Thurs (2)'!P38+Thurs!P38+'Tues '!P38+Wed!P38+Fri!P38+'Mon '!P38+'Wed (2)'!P38+Sun!P38+Sat!P38)</f>
        <v>0</v>
      </c>
      <c r="Q38" s="65">
        <f>('Thurs (2)'!Q38+Thurs!Q38+'Tues '!Q38+Wed!Q38+Fri!Q38+'Mon '!Q38+'Wed (2)'!Q38+Sun!Q38+Sat!Q38)</f>
        <v>0</v>
      </c>
      <c r="R38" s="65">
        <f>('Thurs (2)'!R38+Thurs!R38+'Tues '!R38+Wed!R38+Fri!R38+'Mon '!R38+'Wed (2)'!R38+Sun!R38+Sat!R38)</f>
        <v>0</v>
      </c>
      <c r="S38" s="65">
        <f>('Thurs (2)'!S38+Thurs!S38+'Tues '!S38+Wed!S38+Fri!S38+'Mon '!S38+'Wed (2)'!S38+Sun!S38+Sat!S38)</f>
        <v>0</v>
      </c>
      <c r="T38" s="65">
        <f>('Thurs (2)'!T38+Thurs!T38+'Tues '!T38+Wed!T38+Fri!T38+'Mon '!T38+'Wed (2)'!T38+Sun!T38+Sat!T38)</f>
        <v>0</v>
      </c>
      <c r="U38" s="66">
        <f t="shared" si="4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65">
        <f>('Thurs (2)'!G39+Thurs!G39+'Tues '!G39+Wed!G39+Fri!G39+'Mon '!G39+'Wed (2)'!G39+Sun!G39+Sat!G39)</f>
        <v>41</v>
      </c>
      <c r="H39" s="65">
        <f>('Thurs (2)'!H39+Thurs!H39+'Tues '!H39+Wed!H39+Fri!H39+'Mon '!H39+'Wed (2)'!H39+Sun!H39+Sat!H39)</f>
        <v>18</v>
      </c>
      <c r="I39" s="65">
        <f>('Thurs (2)'!I39+Thurs!I39+'Tues '!I39+Wed!I39+Fri!I39+'Mon '!I39+'Wed (2)'!I39+Sun!I39+Sat!I39)</f>
        <v>11</v>
      </c>
      <c r="J39" s="65">
        <f>('Thurs (2)'!J39+Thurs!J39+'Tues '!J39+Wed!J39+Fri!J39+'Mon '!J39+'Wed (2)'!J39+Sun!J39+Sat!J39)</f>
        <v>17</v>
      </c>
      <c r="K39" s="65">
        <f>('Thurs (2)'!K39+Thurs!K39+'Tues '!K39+Wed!K39+Fri!K39+'Mon '!K39+'Wed (2)'!K39+Sun!K39+Sat!K39)</f>
        <v>11</v>
      </c>
      <c r="L39" s="65">
        <f>('Thurs (2)'!L39+Thurs!L39+'Tues '!L39+Wed!L39+Fri!L39+'Mon '!L39+'Wed (2)'!L39+Sun!L39+Sat!L39)</f>
        <v>1</v>
      </c>
      <c r="M39" s="65">
        <f>('Thurs (2)'!M39+Thurs!M39+'Tues '!M39+Wed!M39+Fri!M39+'Mon '!M39+'Wed (2)'!M39+Sun!M39+Sat!M39)</f>
        <v>39</v>
      </c>
      <c r="N39" s="65">
        <f>('Thurs (2)'!N39+Thurs!N39+'Tues '!N39+Wed!N39+Fri!N39+'Mon '!N39+'Wed (2)'!N39+Sun!N39+Sat!N39)</f>
        <v>4</v>
      </c>
      <c r="O39" s="65">
        <f>('Thurs (2)'!O39+Thurs!O39+'Tues '!O39+Wed!O39+Fri!O39+'Mon '!O39+'Wed (2)'!O39+Sun!O39+Sat!O39)</f>
        <v>3</v>
      </c>
      <c r="P39" s="65">
        <f>('Thurs (2)'!P39+Thurs!P39+'Tues '!P39+Wed!P39+Fri!P39+'Mon '!P39+'Wed (2)'!P39+Sun!P39+Sat!P39)</f>
        <v>0</v>
      </c>
      <c r="Q39" s="65">
        <f>('Thurs (2)'!Q39+Thurs!Q39+'Tues '!Q39+Wed!Q39+Fri!Q39+'Mon '!Q39+'Wed (2)'!Q39+Sun!Q39+Sat!Q39)</f>
        <v>0</v>
      </c>
      <c r="R39" s="65">
        <f>('Thurs (2)'!R39+Thurs!R39+'Tues '!R39+Wed!R39+Fri!R39+'Mon '!R39+'Wed (2)'!R39+Sun!R39+Sat!R39)</f>
        <v>14</v>
      </c>
      <c r="S39" s="65">
        <f>('Thurs (2)'!S39+Thurs!S39+'Tues '!S39+Wed!S39+Fri!S39+'Mon '!S39+'Wed (2)'!S39+Sun!S39+Sat!S39)</f>
        <v>11</v>
      </c>
      <c r="T39" s="65">
        <f>('Thurs (2)'!T39+Thurs!T39+'Tues '!T39+Wed!T39+Fri!T39+'Mon '!T39+'Wed (2)'!T39+Sun!T39+Sat!T39)</f>
        <v>18886</v>
      </c>
      <c r="U39" s="66">
        <f t="shared" si="4"/>
        <v>0.6111111111</v>
      </c>
      <c r="V39" s="66">
        <f t="shared" si="5"/>
        <v>0.4634146341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65">
        <f>('Thurs (2)'!G40+Thurs!G40+'Tues '!G40+Wed!G40+Fri!G40+'Mon '!G40+'Wed (2)'!G40+Sun!G40+Sat!G40)</f>
        <v>13</v>
      </c>
      <c r="H40" s="65">
        <f>('Thurs (2)'!H40+Thurs!H40+'Tues '!H40+Wed!H40+Fri!H40+'Mon '!H40+'Wed (2)'!H40+Sun!H40+Sat!H40)</f>
        <v>6</v>
      </c>
      <c r="I40" s="65">
        <f>('Thurs (2)'!I40+Thurs!I40+'Tues '!I40+Wed!I40+Fri!I40+'Mon '!I40+'Wed (2)'!I40+Sun!I40+Sat!I40)</f>
        <v>5</v>
      </c>
      <c r="J40" s="65">
        <f>('Thurs (2)'!J40+Thurs!J40+'Tues '!J40+Wed!J40+Fri!J40+'Mon '!J40+'Wed (2)'!J40+Sun!J40+Sat!J40)</f>
        <v>5</v>
      </c>
      <c r="K40" s="65">
        <f>('Thurs (2)'!K40+Thurs!K40+'Tues '!K40+Wed!K40+Fri!K40+'Mon '!K40+'Wed (2)'!K40+Sun!K40+Sat!K40)</f>
        <v>5</v>
      </c>
      <c r="L40" s="65">
        <f>('Thurs (2)'!L40+Thurs!L40+'Tues '!L40+Wed!L40+Fri!L40+'Mon '!L40+'Wed (2)'!L40+Sun!L40+Sat!L40)</f>
        <v>0</v>
      </c>
      <c r="M40" s="65">
        <f>('Thurs (2)'!M40+Thurs!M40+'Tues '!M40+Wed!M40+Fri!M40+'Mon '!M40+'Wed (2)'!M40+Sun!M40+Sat!M40)</f>
        <v>5</v>
      </c>
      <c r="N40" s="65">
        <f>('Thurs (2)'!N40+Thurs!N40+'Tues '!N40+Wed!N40+Fri!N40+'Mon '!N40+'Wed (2)'!N40+Sun!N40+Sat!N40)</f>
        <v>0</v>
      </c>
      <c r="O40" s="65">
        <f>('Thurs (2)'!O40+Thurs!O40+'Tues '!O40+Wed!O40+Fri!O40+'Mon '!O40+'Wed (2)'!O40+Sun!O40+Sat!O40)</f>
        <v>0</v>
      </c>
      <c r="P40" s="65">
        <f>('Thurs (2)'!P40+Thurs!P40+'Tues '!P40+Wed!P40+Fri!P40+'Mon '!P40+'Wed (2)'!P40+Sun!P40+Sat!P40)</f>
        <v>0</v>
      </c>
      <c r="Q40" s="65">
        <f>('Thurs (2)'!Q40+Thurs!Q40+'Tues '!Q40+Wed!Q40+Fri!Q40+'Mon '!Q40+'Wed (2)'!Q40+Sun!Q40+Sat!Q40)</f>
        <v>0</v>
      </c>
      <c r="R40" s="65">
        <f>('Thurs (2)'!R40+Thurs!R40+'Tues '!R40+Wed!R40+Fri!R40+'Mon '!R40+'Wed (2)'!R40+Sun!R40+Sat!R40)</f>
        <v>6</v>
      </c>
      <c r="S40" s="65">
        <f>('Thurs (2)'!S40+Thurs!S40+'Tues '!S40+Wed!S40+Fri!S40+'Mon '!S40+'Wed (2)'!S40+Sun!S40+Sat!S40)</f>
        <v>5</v>
      </c>
      <c r="T40" s="65">
        <f>('Thurs (2)'!T40+Thurs!T40+'Tues '!T40+Wed!T40+Fri!T40+'Mon '!T40+'Wed (2)'!T40+Sun!T40+Sat!T40)</f>
        <v>7766</v>
      </c>
      <c r="U40" s="66">
        <f t="shared" si="4"/>
        <v>0.8333333333</v>
      </c>
      <c r="V40" s="66">
        <f t="shared" si="5"/>
        <v>0.4615384615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65">
        <f>('Thurs (2)'!G41+Thurs!G41+'Tues '!G41+Wed!G41+Fri!G41+'Mon '!G41+'Wed (2)'!G41+Sun!G41+Sat!G41)</f>
        <v>19</v>
      </c>
      <c r="H41" s="65">
        <f>('Thurs (2)'!H41+Thurs!H41+'Tues '!H41+Wed!H41+Fri!H41+'Mon '!H41+'Wed (2)'!H41+Sun!H41+Sat!H41)</f>
        <v>11</v>
      </c>
      <c r="I41" s="65">
        <f>('Thurs (2)'!I41+Thurs!I41+'Tues '!I41+Wed!I41+Fri!I41+'Mon '!I41+'Wed (2)'!I41+Sun!I41+Sat!I41)</f>
        <v>6</v>
      </c>
      <c r="J41" s="65">
        <f>('Thurs (2)'!J41+Thurs!J41+'Tues '!J41+Wed!J41+Fri!J41+'Mon '!J41+'Wed (2)'!J41+Sun!J41+Sat!J41)</f>
        <v>8</v>
      </c>
      <c r="K41" s="65">
        <f>('Thurs (2)'!K41+Thurs!K41+'Tues '!K41+Wed!K41+Fri!K41+'Mon '!K41+'Wed (2)'!K41+Sun!K41+Sat!K41)</f>
        <v>3</v>
      </c>
      <c r="L41" s="65">
        <f>('Thurs (2)'!L41+Thurs!L41+'Tues '!L41+Wed!L41+Fri!L41+'Mon '!L41+'Wed (2)'!L41+Sun!L41+Sat!L41)</f>
        <v>0</v>
      </c>
      <c r="M41" s="65">
        <f>('Thurs (2)'!M41+Thurs!M41+'Tues '!M41+Wed!M41+Fri!M41+'Mon '!M41+'Wed (2)'!M41+Sun!M41+Sat!M41)</f>
        <v>5</v>
      </c>
      <c r="N41" s="65">
        <f>('Thurs (2)'!N41+Thurs!N41+'Tues '!N41+Wed!N41+Fri!N41+'Mon '!N41+'Wed (2)'!N41+Sun!N41+Sat!N41)</f>
        <v>3</v>
      </c>
      <c r="O41" s="65">
        <f>('Thurs (2)'!O41+Thurs!O41+'Tues '!O41+Wed!O41+Fri!O41+'Mon '!O41+'Wed (2)'!O41+Sun!O41+Sat!O41)</f>
        <v>2</v>
      </c>
      <c r="P41" s="65">
        <f>('Thurs (2)'!P41+Thurs!P41+'Tues '!P41+Wed!P41+Fri!P41+'Mon '!P41+'Wed (2)'!P41+Sun!P41+Sat!P41)</f>
        <v>0</v>
      </c>
      <c r="Q41" s="65">
        <f>('Thurs (2)'!Q41+Thurs!Q41+'Tues '!Q41+Wed!Q41+Fri!Q41+'Mon '!Q41+'Wed (2)'!Q41+Sun!Q41+Sat!Q41)</f>
        <v>0</v>
      </c>
      <c r="R41" s="65">
        <f>('Thurs (2)'!R41+Thurs!R41+'Tues '!R41+Wed!R41+Fri!R41+'Mon '!R41+'Wed (2)'!R41+Sun!R41+Sat!R41)</f>
        <v>7</v>
      </c>
      <c r="S41" s="65">
        <f>('Thurs (2)'!S41+Thurs!S41+'Tues '!S41+Wed!S41+Fri!S41+'Mon '!S41+'Wed (2)'!S41+Sun!S41+Sat!S41)</f>
        <v>4</v>
      </c>
      <c r="T41" s="65">
        <f>('Thurs (2)'!T41+Thurs!T41+'Tues '!T41+Wed!T41+Fri!T41+'Mon '!T41+'Wed (2)'!T41+Sun!T41+Sat!T41)</f>
        <v>10704</v>
      </c>
      <c r="U41" s="66">
        <f t="shared" si="4"/>
        <v>0.5454545455</v>
      </c>
      <c r="V41" s="66">
        <f t="shared" si="5"/>
        <v>0.5789473684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65">
        <f>('Thurs (2)'!G42+Thurs!G42+'Tues '!G42+Wed!G42+Fri!G42+'Mon '!G42+'Wed (2)'!G42+Sun!G42+Sat!G42)</f>
        <v>1</v>
      </c>
      <c r="H42" s="65">
        <f>('Thurs (2)'!H42+Thurs!H42+'Tues '!H42+Wed!H42+Fri!H42+'Mon '!H42+'Wed (2)'!H42+Sun!H42+Sat!H42)</f>
        <v>1</v>
      </c>
      <c r="I42" s="65">
        <f>('Thurs (2)'!I42+Thurs!I42+'Tues '!I42+Wed!I42+Fri!I42+'Mon '!I42+'Wed (2)'!I42+Sun!I42+Sat!I42)</f>
        <v>1</v>
      </c>
      <c r="J42" s="65">
        <f>('Thurs (2)'!J42+Thurs!J42+'Tues '!J42+Wed!J42+Fri!J42+'Mon '!J42+'Wed (2)'!J42+Sun!J42+Sat!J42)</f>
        <v>1</v>
      </c>
      <c r="K42" s="65">
        <f>('Thurs (2)'!K42+Thurs!K42+'Tues '!K42+Wed!K42+Fri!K42+'Mon '!K42+'Wed (2)'!K42+Sun!K42+Sat!K42)</f>
        <v>1</v>
      </c>
      <c r="L42" s="65">
        <f>('Thurs (2)'!L42+Thurs!L42+'Tues '!L42+Wed!L42+Fri!L42+'Mon '!L42+'Wed (2)'!L42+Sun!L42+Sat!L42)</f>
        <v>0</v>
      </c>
      <c r="M42" s="65">
        <f>('Thurs (2)'!M42+Thurs!M42+'Tues '!M42+Wed!M42+Fri!M42+'Mon '!M42+'Wed (2)'!M42+Sun!M42+Sat!M42)</f>
        <v>3</v>
      </c>
      <c r="N42" s="65">
        <f>('Thurs (2)'!N42+Thurs!N42+'Tues '!N42+Wed!N42+Fri!N42+'Mon '!N42+'Wed (2)'!N42+Sun!N42+Sat!N42)</f>
        <v>0</v>
      </c>
      <c r="O42" s="65">
        <f>('Thurs (2)'!O42+Thurs!O42+'Tues '!O42+Wed!O42+Fri!O42+'Mon '!O42+'Wed (2)'!O42+Sun!O42+Sat!O42)</f>
        <v>0</v>
      </c>
      <c r="P42" s="65">
        <f>('Thurs (2)'!P42+Thurs!P42+'Tues '!P42+Wed!P42+Fri!P42+'Mon '!P42+'Wed (2)'!P42+Sun!P42+Sat!P42)</f>
        <v>0</v>
      </c>
      <c r="Q42" s="65">
        <f>('Thurs (2)'!Q42+Thurs!Q42+'Tues '!Q42+Wed!Q42+Fri!Q42+'Mon '!Q42+'Wed (2)'!Q42+Sun!Q42+Sat!Q42)</f>
        <v>0</v>
      </c>
      <c r="R42" s="65">
        <f>('Thurs (2)'!R42+Thurs!R42+'Tues '!R42+Wed!R42+Fri!R42+'Mon '!R42+'Wed (2)'!R42+Sun!R42+Sat!R42)</f>
        <v>1</v>
      </c>
      <c r="S42" s="65">
        <f>('Thurs (2)'!S42+Thurs!S42+'Tues '!S42+Wed!S42+Fri!S42+'Mon '!S42+'Wed (2)'!S42+Sun!S42+Sat!S42)</f>
        <v>1</v>
      </c>
      <c r="T42" s="65">
        <f>('Thurs (2)'!T42+Thurs!T42+'Tues '!T42+Wed!T42+Fri!T42+'Mon '!T42+'Wed (2)'!T42+Sun!T42+Sat!T42)</f>
        <v>2200</v>
      </c>
      <c r="U42" s="66">
        <f t="shared" si="4"/>
        <v>1</v>
      </c>
      <c r="V42" s="66">
        <f t="shared" si="5"/>
        <v>1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65">
        <f>('Thurs (2)'!G43+Thurs!G43+'Tues '!G43+Wed!G43+Fri!G43+'Mon '!G43+'Wed (2)'!G43+Sun!G43+Sat!G43)</f>
        <v>8</v>
      </c>
      <c r="H43" s="65">
        <f>('Thurs (2)'!H43+Thurs!H43+'Tues '!H43+Wed!H43+Fri!H43+'Mon '!H43+'Wed (2)'!H43+Sun!H43+Sat!H43)</f>
        <v>5</v>
      </c>
      <c r="I43" s="65">
        <f>('Thurs (2)'!I43+Thurs!I43+'Tues '!I43+Wed!I43+Fri!I43+'Mon '!I43+'Wed (2)'!I43+Sun!I43+Sat!I43)</f>
        <v>1</v>
      </c>
      <c r="J43" s="65">
        <f>('Thurs (2)'!J43+Thurs!J43+'Tues '!J43+Wed!J43+Fri!J43+'Mon '!J43+'Wed (2)'!J43+Sun!J43+Sat!J43)</f>
        <v>0</v>
      </c>
      <c r="K43" s="65">
        <f>('Thurs (2)'!K43+Thurs!K43+'Tues '!K43+Wed!K43+Fri!K43+'Mon '!K43+'Wed (2)'!K43+Sun!K43+Sat!K43)</f>
        <v>0</v>
      </c>
      <c r="L43" s="65">
        <f>('Thurs (2)'!L43+Thurs!L43+'Tues '!L43+Wed!L43+Fri!L43+'Mon '!L43+'Wed (2)'!L43+Sun!L43+Sat!L43)</f>
        <v>2</v>
      </c>
      <c r="M43" s="65">
        <f>('Thurs (2)'!M43+Thurs!M43+'Tues '!M43+Wed!M43+Fri!M43+'Mon '!M43+'Wed (2)'!M43+Sun!M43+Sat!M43)</f>
        <v>12</v>
      </c>
      <c r="N43" s="65">
        <f>('Thurs (2)'!N43+Thurs!N43+'Tues '!N43+Wed!N43+Fri!N43+'Mon '!N43+'Wed (2)'!N43+Sun!N43+Sat!N43)</f>
        <v>0</v>
      </c>
      <c r="O43" s="65">
        <f>('Thurs (2)'!O43+Thurs!O43+'Tues '!O43+Wed!O43+Fri!O43+'Mon '!O43+'Wed (2)'!O43+Sun!O43+Sat!O43)</f>
        <v>0</v>
      </c>
      <c r="P43" s="65">
        <f>('Thurs (2)'!P43+Thurs!P43+'Tues '!P43+Wed!P43+Fri!P43+'Mon '!P43+'Wed (2)'!P43+Sun!P43+Sat!P43)</f>
        <v>0</v>
      </c>
      <c r="Q43" s="65">
        <f>('Thurs (2)'!Q43+Thurs!Q43+'Tues '!Q43+Wed!Q43+Fri!Q43+'Mon '!Q43+'Wed (2)'!Q43+Sun!Q43+Sat!Q43)</f>
        <v>0</v>
      </c>
      <c r="R43" s="65">
        <f>('Thurs (2)'!R43+Thurs!R43+'Tues '!R43+Wed!R43+Fri!R43+'Mon '!R43+'Wed (2)'!R43+Sun!R43+Sat!R43)</f>
        <v>3</v>
      </c>
      <c r="S43" s="65">
        <f>('Thurs (2)'!S43+Thurs!S43+'Tues '!S43+Wed!S43+Fri!S43+'Mon '!S43+'Wed (2)'!S43+Sun!S43+Sat!S43)</f>
        <v>1</v>
      </c>
      <c r="T43" s="65">
        <f>('Thurs (2)'!T43+Thurs!T43+'Tues '!T43+Wed!T43+Fri!T43+'Mon '!T43+'Wed (2)'!T43+Sun!T43+Sat!T43)</f>
        <v>2424</v>
      </c>
      <c r="U43" s="66">
        <f t="shared" si="4"/>
        <v>0.2</v>
      </c>
      <c r="V43" s="66">
        <f t="shared" si="5"/>
        <v>0.875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65">
        <f>('Thurs (2)'!G44+Thurs!G44+'Tues '!G44+Wed!G44+Fri!G44+'Mon '!G44+'Wed (2)'!G44+Sun!G44+Sat!G44)</f>
        <v>26</v>
      </c>
      <c r="H44" s="65">
        <f>('Thurs (2)'!H44+Thurs!H44+'Tues '!H44+Wed!H44+Fri!H44+'Mon '!H44+'Wed (2)'!H44+Sun!H44+Sat!H44)</f>
        <v>8</v>
      </c>
      <c r="I44" s="65">
        <f>('Thurs (2)'!I44+Thurs!I44+'Tues '!I44+Wed!I44+Fri!I44+'Mon '!I44+'Wed (2)'!I44+Sun!I44+Sat!I44)</f>
        <v>7</v>
      </c>
      <c r="J44" s="65">
        <f>('Thurs (2)'!J44+Thurs!J44+'Tues '!J44+Wed!J44+Fri!J44+'Mon '!J44+'Wed (2)'!J44+Sun!J44+Sat!J44)</f>
        <v>2</v>
      </c>
      <c r="K44" s="65">
        <f>('Thurs (2)'!K44+Thurs!K44+'Tues '!K44+Wed!K44+Fri!K44+'Mon '!K44+'Wed (2)'!K44+Sun!K44+Sat!K44)</f>
        <v>2</v>
      </c>
      <c r="L44" s="65">
        <f>('Thurs (2)'!L44+Thurs!L44+'Tues '!L44+Wed!L44+Fri!L44+'Mon '!L44+'Wed (2)'!L44+Sun!L44+Sat!L44)</f>
        <v>9</v>
      </c>
      <c r="M44" s="65">
        <f>('Thurs (2)'!M44+Thurs!M44+'Tues '!M44+Wed!M44+Fri!M44+'Mon '!M44+'Wed (2)'!M44+Sun!M44+Sat!M44)</f>
        <v>16</v>
      </c>
      <c r="N44" s="65">
        <f>('Thurs (2)'!N44+Thurs!N44+'Tues '!N44+Wed!N44+Fri!N44+'Mon '!N44+'Wed (2)'!N44+Sun!N44+Sat!N44)</f>
        <v>2</v>
      </c>
      <c r="O44" s="65">
        <f>('Thurs (2)'!O44+Thurs!O44+'Tues '!O44+Wed!O44+Fri!O44+'Mon '!O44+'Wed (2)'!O44+Sun!O44+Sat!O44)</f>
        <v>1</v>
      </c>
      <c r="P44" s="65">
        <f>('Thurs (2)'!P44+Thurs!P44+'Tues '!P44+Wed!P44+Fri!P44+'Mon '!P44+'Wed (2)'!P44+Sun!P44+Sat!P44)</f>
        <v>0</v>
      </c>
      <c r="Q44" s="65">
        <f>('Thurs (2)'!Q44+Thurs!Q44+'Tues '!Q44+Wed!Q44+Fri!Q44+'Mon '!Q44+'Wed (2)'!Q44+Sun!Q44+Sat!Q44)</f>
        <v>0</v>
      </c>
      <c r="R44" s="65">
        <f>('Thurs (2)'!R44+Thurs!R44+'Tues '!R44+Wed!R44+Fri!R44+'Mon '!R44+'Wed (2)'!R44+Sun!R44+Sat!R44)</f>
        <v>6</v>
      </c>
      <c r="S44" s="65">
        <f>('Thurs (2)'!S44+Thurs!S44+'Tues '!S44+Wed!S44+Fri!S44+'Mon '!S44+'Wed (2)'!S44+Sun!S44+Sat!S44)</f>
        <v>6</v>
      </c>
      <c r="T44" s="65">
        <f>('Thurs (2)'!T44+Thurs!T44+'Tues '!T44+Wed!T44+Fri!T44+'Mon '!T44+'Wed (2)'!T44+Sun!T44+Sat!T44)</f>
        <v>17670</v>
      </c>
      <c r="U44" s="66">
        <f t="shared" si="4"/>
        <v>0.875</v>
      </c>
      <c r="V44" s="66">
        <f t="shared" si="5"/>
        <v>0.6538461538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65">
        <f>('Thurs (2)'!G45+Thurs!G45+'Tues '!G45+Wed!G45+Fri!G45+'Mon '!G45+'Wed (2)'!G45+Sun!G45+Sat!G45)</f>
        <v>0</v>
      </c>
      <c r="H45" s="65">
        <f>('Thurs (2)'!H45+Thurs!H45+'Tues '!H45+Wed!H45+Fri!H45+'Mon '!H45+'Wed (2)'!H45+Sun!H45+Sat!H45)</f>
        <v>0</v>
      </c>
      <c r="I45" s="65">
        <f>('Thurs (2)'!I45+Thurs!I45+'Tues '!I45+Wed!I45+Fri!I45+'Mon '!I45+'Wed (2)'!I45+Sun!I45+Sat!I45)</f>
        <v>0</v>
      </c>
      <c r="J45" s="65">
        <f>('Thurs (2)'!J45+Thurs!J45+'Tues '!J45+Wed!J45+Fri!J45+'Mon '!J45+'Wed (2)'!J45+Sun!J45+Sat!J45)</f>
        <v>0</v>
      </c>
      <c r="K45" s="65">
        <f>('Thurs (2)'!K45+Thurs!K45+'Tues '!K45+Wed!K45+Fri!K45+'Mon '!K45+'Wed (2)'!K45+Sun!K45+Sat!K45)</f>
        <v>0</v>
      </c>
      <c r="L45" s="65">
        <f>('Thurs (2)'!L45+Thurs!L45+'Tues '!L45+Wed!L45+Fri!L45+'Mon '!L45+'Wed (2)'!L45+Sun!L45+Sat!L45)</f>
        <v>0</v>
      </c>
      <c r="M45" s="65">
        <f>('Thurs (2)'!M45+Thurs!M45+'Tues '!M45+Wed!M45+Fri!M45+'Mon '!M45+'Wed (2)'!M45+Sun!M45+Sat!M45)</f>
        <v>0</v>
      </c>
      <c r="N45" s="65">
        <f>('Thurs (2)'!N45+Thurs!N45+'Tues '!N45+Wed!N45+Fri!N45+'Mon '!N45+'Wed (2)'!N45+Sun!N45+Sat!N45)</f>
        <v>0</v>
      </c>
      <c r="O45" s="65">
        <f>('Thurs (2)'!O45+Thurs!O45+'Tues '!O45+Wed!O45+Fri!O45+'Mon '!O45+'Wed (2)'!O45+Sun!O45+Sat!O45)</f>
        <v>0</v>
      </c>
      <c r="P45" s="65">
        <f>('Thurs (2)'!P45+Thurs!P45+'Tues '!P45+Wed!P45+Fri!P45+'Mon '!P45+'Wed (2)'!P45+Sun!P45+Sat!P45)</f>
        <v>0</v>
      </c>
      <c r="Q45" s="65">
        <f>('Thurs (2)'!Q45+Thurs!Q45+'Tues '!Q45+Wed!Q45+Fri!Q45+'Mon '!Q45+'Wed (2)'!Q45+Sun!Q45+Sat!Q45)</f>
        <v>0</v>
      </c>
      <c r="R45" s="65">
        <f>('Thurs (2)'!R45+Thurs!R45+'Tues '!R45+Wed!R45+Fri!R45+'Mon '!R45+'Wed (2)'!R45+Sun!R45+Sat!R45)</f>
        <v>0</v>
      </c>
      <c r="S45" s="65">
        <f>('Thurs (2)'!S45+Thurs!S45+'Tues '!S45+Wed!S45+Fri!S45+'Mon '!S45+'Wed (2)'!S45+Sun!S45+Sat!S45)</f>
        <v>0</v>
      </c>
      <c r="T45" s="65">
        <f>('Thurs (2)'!T45+Thurs!T45+'Tues '!T45+Wed!T45+Fri!T45+'Mon '!T45+'Wed (2)'!T45+Sun!T45+Sat!T45)</f>
        <v>0</v>
      </c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65">
        <f>('Thurs (2)'!G46+Thurs!G46+'Tues '!G46+Wed!G46+Fri!G46+'Mon '!G46+'Wed (2)'!G46+Sun!G46+Sat!G46)</f>
        <v>9</v>
      </c>
      <c r="H46" s="65">
        <f>('Thurs (2)'!H46+Thurs!H46+'Tues '!H46+Wed!H46+Fri!H46+'Mon '!H46+'Wed (2)'!H46+Sun!H46+Sat!H46)</f>
        <v>5</v>
      </c>
      <c r="I46" s="65">
        <f>('Thurs (2)'!I46+Thurs!I46+'Tues '!I46+Wed!I46+Fri!I46+'Mon '!I46+'Wed (2)'!I46+Sun!I46+Sat!I46)</f>
        <v>1</v>
      </c>
      <c r="J46" s="65">
        <f>('Thurs (2)'!J46+Thurs!J46+'Tues '!J46+Wed!J46+Fri!J46+'Mon '!J46+'Wed (2)'!J46+Sun!J46+Sat!J46)</f>
        <v>2</v>
      </c>
      <c r="K46" s="65">
        <f>('Thurs (2)'!K46+Thurs!K46+'Tues '!K46+Wed!K46+Fri!K46+'Mon '!K46+'Wed (2)'!K46+Sun!K46+Sat!K46)</f>
        <v>0</v>
      </c>
      <c r="L46" s="65">
        <f>('Thurs (2)'!L46+Thurs!L46+'Tues '!L46+Wed!L46+Fri!L46+'Mon '!L46+'Wed (2)'!L46+Sun!L46+Sat!L46)</f>
        <v>0</v>
      </c>
      <c r="M46" s="65">
        <f>('Thurs (2)'!M46+Thurs!M46+'Tues '!M46+Wed!M46+Fri!M46+'Mon '!M46+'Wed (2)'!M46+Sun!M46+Sat!M46)</f>
        <v>8</v>
      </c>
      <c r="N46" s="65">
        <f>('Thurs (2)'!N46+Thurs!N46+'Tues '!N46+Wed!N46+Fri!N46+'Mon '!N46+'Wed (2)'!N46+Sun!N46+Sat!N46)</f>
        <v>3</v>
      </c>
      <c r="O46" s="65">
        <f>('Thurs (2)'!O46+Thurs!O46+'Tues '!O46+Wed!O46+Fri!O46+'Mon '!O46+'Wed (2)'!O46+Sun!O46+Sat!O46)</f>
        <v>1</v>
      </c>
      <c r="P46" s="65">
        <f>('Thurs (2)'!P46+Thurs!P46+'Tues '!P46+Wed!P46+Fri!P46+'Mon '!P46+'Wed (2)'!P46+Sun!P46+Sat!P46)</f>
        <v>0</v>
      </c>
      <c r="Q46" s="65">
        <f>('Thurs (2)'!Q46+Thurs!Q46+'Tues '!Q46+Wed!Q46+Fri!Q46+'Mon '!Q46+'Wed (2)'!Q46+Sun!Q46+Sat!Q46)</f>
        <v>0</v>
      </c>
      <c r="R46" s="65">
        <f>('Thurs (2)'!R46+Thurs!R46+'Tues '!R46+Wed!R46+Fri!R46+'Mon '!R46+'Wed (2)'!R46+Sun!R46+Sat!R46)</f>
        <v>0</v>
      </c>
      <c r="S46" s="65">
        <f>('Thurs (2)'!S46+Thurs!S46+'Tues '!S46+Wed!S46+Fri!S46+'Mon '!S46+'Wed (2)'!S46+Sun!S46+Sat!S46)</f>
        <v>0</v>
      </c>
      <c r="T46" s="65">
        <f>('Thurs (2)'!T46+Thurs!T46+'Tues '!T46+Wed!T46+Fri!T46+'Mon '!T46+'Wed (2)'!T46+Sun!T46+Sat!T46)</f>
        <v>980</v>
      </c>
      <c r="U46" s="66">
        <f t="shared" si="4"/>
        <v>0.2</v>
      </c>
      <c r="V46" s="66">
        <f t="shared" si="5"/>
        <v>0.5555555556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65">
        <f>('Thurs (2)'!G47+Thurs!G47+'Tues '!G47+Wed!G47+Fri!G47+'Mon '!G47+'Wed (2)'!G47+Sun!G47+Sat!G47)</f>
        <v>0</v>
      </c>
      <c r="H47" s="65">
        <f>('Thurs (2)'!H47+Thurs!H47+'Tues '!H47+Wed!H47+Fri!H47+'Mon '!H47+'Wed (2)'!H47+Sun!H47+Sat!H47)</f>
        <v>0</v>
      </c>
      <c r="I47" s="65">
        <f>('Thurs (2)'!I47+Thurs!I47+'Tues '!I47+Wed!I47+Fri!I47+'Mon '!I47+'Wed (2)'!I47+Sun!I47+Sat!I47)</f>
        <v>0</v>
      </c>
      <c r="J47" s="65">
        <f>('Thurs (2)'!J47+Thurs!J47+'Tues '!J47+Wed!J47+Fri!J47+'Mon '!J47+'Wed (2)'!J47+Sun!J47+Sat!J47)</f>
        <v>0</v>
      </c>
      <c r="K47" s="65">
        <f>('Thurs (2)'!K47+Thurs!K47+'Tues '!K47+Wed!K47+Fri!K47+'Mon '!K47+'Wed (2)'!K47+Sun!K47+Sat!K47)</f>
        <v>0</v>
      </c>
      <c r="L47" s="65">
        <f>('Thurs (2)'!L47+Thurs!L47+'Tues '!L47+Wed!L47+Fri!L47+'Mon '!L47+'Wed (2)'!L47+Sun!L47+Sat!L47)</f>
        <v>0</v>
      </c>
      <c r="M47" s="65">
        <f>('Thurs (2)'!M47+Thurs!M47+'Tues '!M47+Wed!M47+Fri!M47+'Mon '!M47+'Wed (2)'!M47+Sun!M47+Sat!M47)</f>
        <v>0</v>
      </c>
      <c r="N47" s="65">
        <f>('Thurs (2)'!N47+Thurs!N47+'Tues '!N47+Wed!N47+Fri!N47+'Mon '!N47+'Wed (2)'!N47+Sun!N47+Sat!N47)</f>
        <v>0</v>
      </c>
      <c r="O47" s="65">
        <f>('Thurs (2)'!O47+Thurs!O47+'Tues '!O47+Wed!O47+Fri!O47+'Mon '!O47+'Wed (2)'!O47+Sun!O47+Sat!O47)</f>
        <v>0</v>
      </c>
      <c r="P47" s="65">
        <f>('Thurs (2)'!P47+Thurs!P47+'Tues '!P47+Wed!P47+Fri!P47+'Mon '!P47+'Wed (2)'!P47+Sun!P47+Sat!P47)</f>
        <v>0</v>
      </c>
      <c r="Q47" s="65">
        <f>('Thurs (2)'!Q47+Thurs!Q47+'Tues '!Q47+Wed!Q47+Fri!Q47+'Mon '!Q47+'Wed (2)'!Q47+Sun!Q47+Sat!Q47)</f>
        <v>0</v>
      </c>
      <c r="R47" s="65">
        <f>('Thurs (2)'!R47+Thurs!R47+'Tues '!R47+Wed!R47+Fri!R47+'Mon '!R47+'Wed (2)'!R47+Sun!R47+Sat!R47)</f>
        <v>0</v>
      </c>
      <c r="S47" s="65">
        <f>('Thurs (2)'!S47+Thurs!S47+'Tues '!S47+Wed!S47+Fri!S47+'Mon '!S47+'Wed (2)'!S47+Sun!S47+Sat!S47)</f>
        <v>0</v>
      </c>
      <c r="T47" s="65">
        <f>('Thurs (2)'!T47+Thurs!T47+'Tues '!T47+Wed!T47+Fri!T47+'Mon '!T47+'Wed (2)'!T47+Sun!T47+Sat!T47)</f>
        <v>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65">
        <f>('Thurs (2)'!G48+Thurs!G48+'Tues '!G48+Wed!G48+Fri!G48+'Mon '!G48+'Wed (2)'!G48+Sun!G48+Sat!G48)</f>
        <v>1</v>
      </c>
      <c r="H48" s="65">
        <f>('Thurs (2)'!H48+Thurs!H48+'Tues '!H48+Wed!H48+Fri!H48+'Mon '!H48+'Wed (2)'!H48+Sun!H48+Sat!H48)</f>
        <v>0</v>
      </c>
      <c r="I48" s="65">
        <f>('Thurs (2)'!I48+Thurs!I48+'Tues '!I48+Wed!I48+Fri!I48+'Mon '!I48+'Wed (2)'!I48+Sun!I48+Sat!I48)</f>
        <v>0</v>
      </c>
      <c r="J48" s="65">
        <f>('Thurs (2)'!J48+Thurs!J48+'Tues '!J48+Wed!J48+Fri!J48+'Mon '!J48+'Wed (2)'!J48+Sun!J48+Sat!J48)</f>
        <v>0</v>
      </c>
      <c r="K48" s="65">
        <f>('Thurs (2)'!K48+Thurs!K48+'Tues '!K48+Wed!K48+Fri!K48+'Mon '!K48+'Wed (2)'!K48+Sun!K48+Sat!K48)</f>
        <v>0</v>
      </c>
      <c r="L48" s="65">
        <f>('Thurs (2)'!L48+Thurs!L48+'Tues '!L48+Wed!L48+Fri!L48+'Mon '!L48+'Wed (2)'!L48+Sun!L48+Sat!L48)</f>
        <v>0</v>
      </c>
      <c r="M48" s="65">
        <f>('Thurs (2)'!M48+Thurs!M48+'Tues '!M48+Wed!M48+Fri!M48+'Mon '!M48+'Wed (2)'!M48+Sun!M48+Sat!M48)</f>
        <v>0</v>
      </c>
      <c r="N48" s="65">
        <f>('Thurs (2)'!N48+Thurs!N48+'Tues '!N48+Wed!N48+Fri!N48+'Mon '!N48+'Wed (2)'!N48+Sun!N48+Sat!N48)</f>
        <v>0</v>
      </c>
      <c r="O48" s="65">
        <f>('Thurs (2)'!O48+Thurs!O48+'Tues '!O48+Wed!O48+Fri!O48+'Mon '!O48+'Wed (2)'!O48+Sun!O48+Sat!O48)</f>
        <v>0</v>
      </c>
      <c r="P48" s="65">
        <f>('Thurs (2)'!P48+Thurs!P48+'Tues '!P48+Wed!P48+Fri!P48+'Mon '!P48+'Wed (2)'!P48+Sun!P48+Sat!P48)</f>
        <v>0</v>
      </c>
      <c r="Q48" s="65">
        <f>('Thurs (2)'!Q48+Thurs!Q48+'Tues '!Q48+Wed!Q48+Fri!Q48+'Mon '!Q48+'Wed (2)'!Q48+Sun!Q48+Sat!Q48)</f>
        <v>0</v>
      </c>
      <c r="R48" s="65">
        <f>('Thurs (2)'!R48+Thurs!R48+'Tues '!R48+Wed!R48+Fri!R48+'Mon '!R48+'Wed (2)'!R48+Sun!R48+Sat!R48)</f>
        <v>0</v>
      </c>
      <c r="S48" s="65">
        <f>('Thurs (2)'!S48+Thurs!S48+'Tues '!S48+Wed!S48+Fri!S48+'Mon '!S48+'Wed (2)'!S48+Sun!S48+Sat!S48)</f>
        <v>0</v>
      </c>
      <c r="T48" s="65">
        <f>('Thurs (2)'!T48+Thurs!T48+'Tues '!T48+Wed!T48+Fri!T48+'Mon '!T48+'Wed (2)'!T48+Sun!T48+Sat!T48)</f>
        <v>0</v>
      </c>
      <c r="U48" s="66">
        <f t="shared" si="4"/>
        <v>0</v>
      </c>
      <c r="V48" s="66">
        <f t="shared" si="5"/>
        <v>0</v>
      </c>
    </row>
    <row r="49" ht="12.75" customHeight="1">
      <c r="A49" s="96"/>
      <c r="B49" s="96"/>
      <c r="C49" s="96"/>
      <c r="D49" s="1"/>
      <c r="E49" s="96"/>
      <c r="F49" s="97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9"/>
      <c r="V49" s="99"/>
    </row>
    <row r="50" ht="12.75" customHeight="1">
      <c r="A50" s="96"/>
      <c r="B50" s="96"/>
      <c r="C50" s="96"/>
      <c r="D50" s="1"/>
      <c r="E50" s="96"/>
      <c r="F50" s="97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9"/>
      <c r="V50" s="99"/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100"/>
      <c r="B555" s="100"/>
      <c r="C555" s="100"/>
      <c r="D555" s="101"/>
      <c r="E555" s="100"/>
      <c r="F555" s="102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4"/>
      <c r="V555" s="104"/>
    </row>
    <row r="556" ht="12.75" customHeight="1">
      <c r="A556" s="100"/>
      <c r="B556" s="100"/>
      <c r="C556" s="100"/>
      <c r="D556" s="101"/>
      <c r="E556" s="100"/>
      <c r="F556" s="102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4"/>
      <c r="V556" s="104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14658</v>
      </c>
      <c r="D2" s="9"/>
      <c r="E2" s="8">
        <f t="shared" ref="E2:R2" si="1">SUM(E5,E11)</f>
        <v>4761</v>
      </c>
      <c r="F2" s="8">
        <f t="shared" si="1"/>
        <v>35</v>
      </c>
      <c r="G2" s="10">
        <f t="shared" si="1"/>
        <v>14</v>
      </c>
      <c r="H2" s="10">
        <f t="shared" si="1"/>
        <v>8</v>
      </c>
      <c r="I2" s="10">
        <f t="shared" si="1"/>
        <v>0</v>
      </c>
      <c r="J2" s="10">
        <f t="shared" si="1"/>
        <v>0</v>
      </c>
      <c r="K2" s="10">
        <f t="shared" si="1"/>
        <v>3</v>
      </c>
      <c r="L2" s="10">
        <f t="shared" si="1"/>
        <v>3</v>
      </c>
      <c r="M2" s="10">
        <f t="shared" si="1"/>
        <v>62</v>
      </c>
      <c r="N2" s="10">
        <f t="shared" si="1"/>
        <v>9</v>
      </c>
      <c r="O2" s="10">
        <f t="shared" si="1"/>
        <v>4</v>
      </c>
      <c r="P2" s="10">
        <f t="shared" si="1"/>
        <v>6</v>
      </c>
      <c r="Q2" s="10">
        <f t="shared" si="1"/>
        <v>4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28</v>
      </c>
      <c r="D4" s="14"/>
      <c r="E4" s="19">
        <f>IFERROR(C2/H2,0)</f>
        <v>1832.25</v>
      </c>
      <c r="F4" s="20">
        <f>IFERROR((G2+R2)/F2,0)</f>
        <v>0.4</v>
      </c>
      <c r="G4" s="20">
        <f>IFERROR(H2/G2,0)</f>
        <v>0.5714285714</v>
      </c>
      <c r="H4" s="19">
        <f>(C2/C4)</f>
        <v>523.5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4.428571429</v>
      </c>
      <c r="N4" s="21"/>
      <c r="O4" s="20">
        <f>IFERROR(O2/N2,0)</f>
        <v>0.4444444444</v>
      </c>
      <c r="P4" s="22"/>
      <c r="Q4" s="20">
        <f>IFERROR(Q2/P2,0)</f>
        <v>0.6666666667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9986</v>
      </c>
      <c r="D5" s="26"/>
      <c r="E5" s="27">
        <f>SUMIFS(T:T,A:A,B5,D:D,"Y")</f>
        <v>4761</v>
      </c>
      <c r="F5" s="8">
        <f>SUMIF(A:A,B5,G:G)</f>
        <v>22</v>
      </c>
      <c r="G5" s="10">
        <f>SUMIF(A:A,B5,H:H)</f>
        <v>11</v>
      </c>
      <c r="H5" s="10">
        <f>SUMIF(A:A,B5,I:I)</f>
        <v>5</v>
      </c>
      <c r="I5" s="10">
        <f>SUMIF(A:A,B5,P:P)</f>
        <v>0</v>
      </c>
      <c r="J5" s="10">
        <f>SUMIF(A:A,B5,Q:Q)</f>
        <v>0</v>
      </c>
      <c r="K5" s="10">
        <f>SUMIF(A:A,B5,R:R)</f>
        <v>2</v>
      </c>
      <c r="L5" s="10">
        <f>SUMIF(A:A,B5,S:S)</f>
        <v>2</v>
      </c>
      <c r="M5" s="10">
        <f>SUMIF(A:A,B5,M:M)</f>
        <v>57</v>
      </c>
      <c r="N5" s="10">
        <f>SUMIF(A:A,B5,N:N)</f>
        <v>7</v>
      </c>
      <c r="O5" s="10">
        <f>SUMIF(A:A,B5,O:O)</f>
        <v>2</v>
      </c>
      <c r="P5" s="10">
        <f>SUMIF(A:A,B5,J:J)</f>
        <v>4</v>
      </c>
      <c r="Q5" s="10">
        <f>SUMIF(A:A,B5,K:K)</f>
        <v>2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1997.2</v>
      </c>
      <c r="F7" s="20">
        <f>IFERROR((G5+R5)/F5,0)</f>
        <v>0.5</v>
      </c>
      <c r="G7" s="20">
        <f>IFERROR(H5/G5,0)</f>
        <v>0.4545454545</v>
      </c>
      <c r="H7" s="19">
        <f>(C5/C7)</f>
        <v>768.1538462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5.181818182</v>
      </c>
      <c r="N7" s="21"/>
      <c r="O7" s="20">
        <f>IFERROR(O5/N5,0)</f>
        <v>0.2857142857</v>
      </c>
      <c r="P7" s="22"/>
      <c r="Q7" s="20">
        <f>IFERROR(Q5/P5,0)</f>
        <v>0.5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9986</v>
      </c>
      <c r="D8" s="36"/>
      <c r="E8" s="37">
        <f>SUMIFS(T:T,B:B,B8,D:D,"Y")</f>
        <v>4761</v>
      </c>
      <c r="F8" s="38">
        <f>SUMIF(B19:B1129,B8,G19:G1129)</f>
        <v>22</v>
      </c>
      <c r="G8" s="39">
        <f>SUMIF(B19:B1129,B8,H19:H1129)</f>
        <v>11</v>
      </c>
      <c r="H8" s="38">
        <f>SUMIF(B19:B1129,B8,I19:I1129)</f>
        <v>5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2</v>
      </c>
      <c r="L8" s="39">
        <f>SUMIF(B19:B1129,B8,S19:S1129)</f>
        <v>2</v>
      </c>
      <c r="M8" s="39">
        <f>SUMIF(B19:B1129,B8,M19:M1129)</f>
        <v>57</v>
      </c>
      <c r="N8" s="39">
        <f>SUMIF(B19:B1129,B8,N19:N1129)</f>
        <v>7</v>
      </c>
      <c r="O8" s="38">
        <f>SUMIF(B19:B1129,B8,O19:O1129)</f>
        <v>2</v>
      </c>
      <c r="P8" s="39">
        <f>SUMIF(B19:B1129,B8,J19:J1129)</f>
        <v>4</v>
      </c>
      <c r="Q8" s="39">
        <f>SUMIF(B19:B1129,B8,K19:K1129)</f>
        <v>2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1997.2</v>
      </c>
      <c r="F10" s="51">
        <f>IFERROR((G8+R8)/F8,0)</f>
        <v>0.5</v>
      </c>
      <c r="G10" s="51">
        <f>IFERROR(H8/G8,0)</f>
        <v>0.4545454545</v>
      </c>
      <c r="H10" s="50">
        <f>(C8/C10)</f>
        <v>832.1666667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5.181818182</v>
      </c>
      <c r="N10" s="46"/>
      <c r="O10" s="51">
        <f>IFERROR(O8/N8,0)</f>
        <v>0.2857142857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4672</v>
      </c>
      <c r="D11" s="26"/>
      <c r="E11" s="27">
        <f>SUMIFS(T:T,A:A,B11,D:D,"Y")</f>
        <v>0</v>
      </c>
      <c r="F11" s="8">
        <f>SUMIF(A:A,B11,G:G)</f>
        <v>13</v>
      </c>
      <c r="G11" s="10">
        <f>SUMIF(A:A,B11,H:H)</f>
        <v>3</v>
      </c>
      <c r="H11" s="10">
        <f>SUMIF(A:A,B11,I:I)</f>
        <v>3</v>
      </c>
      <c r="I11" s="10">
        <f>SUMIF(A:A,B11,P:P)</f>
        <v>0</v>
      </c>
      <c r="J11" s="10">
        <f>SUMIF(A:A,B11,Q:Q)</f>
        <v>0</v>
      </c>
      <c r="K11" s="10">
        <f>SUMIF(A:A,B11,R:R)</f>
        <v>1</v>
      </c>
      <c r="L11" s="10">
        <f>SUMIF(A:A,B11,S:S)</f>
        <v>1</v>
      </c>
      <c r="M11" s="10">
        <f>SUMIF(A:A,B11,M:M)</f>
        <v>5</v>
      </c>
      <c r="N11" s="10">
        <f>SUMIF(A:A,B11,N:N)</f>
        <v>2</v>
      </c>
      <c r="O11" s="10">
        <f>SUMIF(A:A,B11,O:O)</f>
        <v>2</v>
      </c>
      <c r="P11" s="10">
        <f>SUMIF(A:A,B11,J:J)</f>
        <v>2</v>
      </c>
      <c r="Q11" s="10">
        <f>SUMIF(A:A,B11,K:K)</f>
        <v>2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15</v>
      </c>
      <c r="D13" s="30"/>
      <c r="E13" s="19">
        <f>IFERROR(C11/H11,0)</f>
        <v>1557.333333</v>
      </c>
      <c r="F13" s="20">
        <f>IFERROR((G11+R11)/F11,0)</f>
        <v>0.2307692308</v>
      </c>
      <c r="G13" s="20">
        <f>IFERROR(H11/G11,0)</f>
        <v>1</v>
      </c>
      <c r="H13" s="19">
        <f>(C11/C13)</f>
        <v>311.4666667</v>
      </c>
      <c r="I13" s="21"/>
      <c r="J13" s="20">
        <f>IFERROR(J11/I11,0)</f>
        <v>0</v>
      </c>
      <c r="K13" s="21"/>
      <c r="L13" s="20">
        <f>IFERROR(L11/K11,0)</f>
        <v>1</v>
      </c>
      <c r="M13" s="22">
        <f>IFERROR(M11/SUM(R11+G11,0),"")</f>
        <v>1.666666667</v>
      </c>
      <c r="N13" s="21"/>
      <c r="O13" s="20">
        <f>IFERROR(O11/N11,0)</f>
        <v>1</v>
      </c>
      <c r="P13" s="22"/>
      <c r="Q13" s="20">
        <f>IFERROR(Q11/P11,0)</f>
        <v>1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4672</v>
      </c>
      <c r="D14" s="36"/>
      <c r="E14" s="37">
        <f>SUMIFS(T:T,B:B,B14,D:D,"Y")</f>
        <v>0</v>
      </c>
      <c r="F14" s="38">
        <f>SUMIF(B19:B1129,B14,G19:G1129)</f>
        <v>13</v>
      </c>
      <c r="G14" s="39">
        <f>SUMIF(B19:B1129,B14,H19:H1129)</f>
        <v>3</v>
      </c>
      <c r="H14" s="38">
        <f>SUMIF(B19:B1129,B14,I19:I1129)</f>
        <v>3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1</v>
      </c>
      <c r="L14" s="39">
        <f>SUMIF(B19:B1129,B14,S19:S1129)</f>
        <v>1</v>
      </c>
      <c r="M14" s="39">
        <f>SUMIF(B19:B1129,B14,M19:M1129)</f>
        <v>5</v>
      </c>
      <c r="N14" s="39">
        <f>SUMIF(B19:B1129,B14,N19:N1129)</f>
        <v>2</v>
      </c>
      <c r="O14" s="38">
        <f>SUMIF(B19:B1129,B14,O19:O1129)</f>
        <v>2</v>
      </c>
      <c r="P14" s="39">
        <f>SUMIF(B19:B1129,B14,J19:J1129)</f>
        <v>2</v>
      </c>
      <c r="Q14" s="39">
        <f>SUMIF(B19:B1129,B14,K19:K1129)</f>
        <v>2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14</v>
      </c>
      <c r="D16" s="42"/>
      <c r="E16" s="50">
        <f>IFERROR(C14/H14,0)</f>
        <v>1557.333333</v>
      </c>
      <c r="F16" s="51">
        <f>IFERROR((G14+R14)/F14,0)</f>
        <v>0.2307692308</v>
      </c>
      <c r="G16" s="51">
        <f>IFERROR(H14/G14,0)</f>
        <v>1</v>
      </c>
      <c r="H16" s="50">
        <f>(C14/C16)</f>
        <v>333.7142857</v>
      </c>
      <c r="I16" s="46"/>
      <c r="J16" s="51">
        <f>IFERROR(J14/I14,0)</f>
        <v>0</v>
      </c>
      <c r="K16" s="46"/>
      <c r="L16" s="51">
        <f>IFERROR(L14/K14,0)</f>
        <v>1</v>
      </c>
      <c r="M16" s="52">
        <f>IFERROR(M14/SUM(G14+R14,0),"")</f>
        <v>1.666666667</v>
      </c>
      <c r="N16" s="46"/>
      <c r="O16" s="51">
        <f>IFERROR(O14/N14,0)</f>
        <v>1</v>
      </c>
      <c r="P16" s="53"/>
      <c r="Q16" s="51">
        <f>IFERROR(Q14/P14,0)</f>
        <v>1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5.0</v>
      </c>
      <c r="H22" s="105">
        <v>1.0</v>
      </c>
      <c r="I22" s="105">
        <v>1.0</v>
      </c>
      <c r="J22" s="105">
        <v>1.0</v>
      </c>
      <c r="K22" s="105">
        <v>1.0</v>
      </c>
      <c r="L22" s="105">
        <v>0.0</v>
      </c>
      <c r="M22" s="105">
        <v>8.0</v>
      </c>
      <c r="N22" s="105">
        <v>1.0</v>
      </c>
      <c r="O22" s="105">
        <v>1.0</v>
      </c>
      <c r="P22" s="105">
        <v>0.0</v>
      </c>
      <c r="Q22" s="105">
        <v>0.0</v>
      </c>
      <c r="R22" s="105">
        <v>0.0</v>
      </c>
      <c r="S22" s="105">
        <v>0.0</v>
      </c>
      <c r="T22" s="105">
        <v>1806.0</v>
      </c>
      <c r="U22" s="66">
        <f t="shared" si="2"/>
        <v>1</v>
      </c>
      <c r="V22" s="66">
        <f t="shared" si="3"/>
        <v>0.2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1.0</v>
      </c>
      <c r="H23" s="105">
        <v>1.0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1.0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1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2.0</v>
      </c>
      <c r="H24" s="105">
        <v>2.0</v>
      </c>
      <c r="I24" s="105">
        <v>1.0</v>
      </c>
      <c r="J24" s="105">
        <v>0.0</v>
      </c>
      <c r="K24" s="105">
        <v>0.0</v>
      </c>
      <c r="L24" s="105">
        <v>0.0</v>
      </c>
      <c r="M24" s="105">
        <v>2.0</v>
      </c>
      <c r="N24" s="105">
        <v>1.0</v>
      </c>
      <c r="O24" s="105">
        <v>0.0</v>
      </c>
      <c r="P24" s="105">
        <v>0.0</v>
      </c>
      <c r="Q24" s="105">
        <v>0.0</v>
      </c>
      <c r="R24" s="105">
        <v>1.0</v>
      </c>
      <c r="S24" s="105">
        <v>1.0</v>
      </c>
      <c r="T24" s="105">
        <v>2955.0</v>
      </c>
      <c r="U24" s="66">
        <f t="shared" si="2"/>
        <v>0.5</v>
      </c>
      <c r="V24" s="66">
        <f t="shared" si="3"/>
        <v>1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2.0</v>
      </c>
      <c r="H25" s="105">
        <v>1.0</v>
      </c>
      <c r="I25" s="105">
        <v>0.0</v>
      </c>
      <c r="J25" s="105">
        <v>1.0</v>
      </c>
      <c r="K25" s="105">
        <v>0.0</v>
      </c>
      <c r="L25" s="105">
        <v>0.0</v>
      </c>
      <c r="M25" s="105">
        <v>9.0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0.5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2.0</v>
      </c>
      <c r="H26" s="105">
        <v>1.0</v>
      </c>
      <c r="I26" s="105">
        <v>0.0</v>
      </c>
      <c r="J26" s="105">
        <v>1.0</v>
      </c>
      <c r="K26" s="105">
        <v>1.0</v>
      </c>
      <c r="L26" s="105">
        <v>0.0</v>
      </c>
      <c r="M26" s="105">
        <v>6.0</v>
      </c>
      <c r="N26" s="105">
        <v>1.0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66">
        <f t="shared" si="2"/>
        <v>0</v>
      </c>
      <c r="V26" s="66">
        <f t="shared" si="3"/>
        <v>0.5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0.0</v>
      </c>
      <c r="H27" s="105">
        <v>2.0</v>
      </c>
      <c r="I27" s="105">
        <v>0.0</v>
      </c>
      <c r="J27" s="105">
        <v>1.0</v>
      </c>
      <c r="K27" s="105">
        <v>0.0</v>
      </c>
      <c r="L27" s="105">
        <v>0.0</v>
      </c>
      <c r="M27" s="105">
        <v>10.0</v>
      </c>
      <c r="N27" s="105">
        <v>2.0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2.0</v>
      </c>
      <c r="H28" s="105">
        <v>1.0</v>
      </c>
      <c r="I28" s="105">
        <v>1.0</v>
      </c>
      <c r="J28" s="105">
        <v>0.0</v>
      </c>
      <c r="K28" s="105">
        <v>0.0</v>
      </c>
      <c r="L28" s="105">
        <v>0.0</v>
      </c>
      <c r="M28" s="105">
        <v>1.0</v>
      </c>
      <c r="N28" s="105">
        <v>0.0</v>
      </c>
      <c r="O28" s="105">
        <v>0.0</v>
      </c>
      <c r="P28" s="105">
        <v>0.0</v>
      </c>
      <c r="Q28" s="105">
        <v>0.0</v>
      </c>
      <c r="R28" s="105">
        <v>1.0</v>
      </c>
      <c r="S28" s="105">
        <v>1.0</v>
      </c>
      <c r="T28" s="105">
        <v>1608.0</v>
      </c>
      <c r="U28" s="66">
        <f t="shared" si="2"/>
        <v>1</v>
      </c>
      <c r="V28" s="66">
        <f t="shared" si="3"/>
        <v>0.5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 t="s">
        <v>47</v>
      </c>
      <c r="F29" s="76" t="s">
        <v>56</v>
      </c>
      <c r="G29" s="105">
        <v>1.0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2"/>
        <v>0</v>
      </c>
      <c r="V29" s="66">
        <f t="shared" si="3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105">
        <v>2.0</v>
      </c>
      <c r="H31" s="105">
        <v>1.0</v>
      </c>
      <c r="I31" s="105">
        <v>1.0</v>
      </c>
      <c r="J31" s="105">
        <v>0.0</v>
      </c>
      <c r="K31" s="105">
        <v>0.0</v>
      </c>
      <c r="L31" s="105">
        <v>0.0</v>
      </c>
      <c r="M31" s="105">
        <v>10.0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1680.0</v>
      </c>
      <c r="U31" s="66">
        <f t="shared" si="2"/>
        <v>1</v>
      </c>
      <c r="V31" s="66">
        <f t="shared" si="3"/>
        <v>0.5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105">
        <v>5.0</v>
      </c>
      <c r="H32" s="105">
        <v>1.0</v>
      </c>
      <c r="I32" s="105">
        <v>1.0</v>
      </c>
      <c r="J32" s="105">
        <v>0.0</v>
      </c>
      <c r="K32" s="105">
        <v>0.0</v>
      </c>
      <c r="L32" s="105">
        <v>0.0</v>
      </c>
      <c r="M32" s="105">
        <v>11.0</v>
      </c>
      <c r="N32" s="105">
        <v>1.0</v>
      </c>
      <c r="O32" s="105">
        <v>1.0</v>
      </c>
      <c r="P32" s="105">
        <v>0.0</v>
      </c>
      <c r="Q32" s="105">
        <v>0.0</v>
      </c>
      <c r="R32" s="105">
        <v>0.0</v>
      </c>
      <c r="S32" s="105">
        <v>0.0</v>
      </c>
      <c r="T32" s="105">
        <v>1937.0</v>
      </c>
      <c r="U32" s="66">
        <f t="shared" si="2"/>
        <v>1</v>
      </c>
      <c r="V32" s="66">
        <f t="shared" si="3"/>
        <v>0.2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36" si="4">IFERROR(I34/H34,0)</f>
        <v>0</v>
      </c>
      <c r="V34" s="66">
        <f t="shared" ref="V34:V48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>
        <v>0.0</v>
      </c>
      <c r="H35" s="105">
        <v>0.0</v>
      </c>
      <c r="I35" s="105">
        <v>0.0</v>
      </c>
      <c r="J35" s="105">
        <v>0.0</v>
      </c>
      <c r="K35" s="105">
        <v>0.0</v>
      </c>
      <c r="L35" s="105">
        <v>0.0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66">
        <f t="shared" si="4"/>
        <v>0</v>
      </c>
      <c r="V35" s="66">
        <f t="shared" si="5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66">
        <f t="shared" si="4"/>
        <v>0</v>
      </c>
      <c r="V36" s="66">
        <f t="shared" si="5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5.0</v>
      </c>
      <c r="H37" s="105">
        <v>0.0</v>
      </c>
      <c r="I37" s="105">
        <v>0.0</v>
      </c>
      <c r="J37" s="105">
        <v>0.0</v>
      </c>
      <c r="K37" s="105">
        <v>0.0</v>
      </c>
      <c r="L37" s="105">
        <v>0.0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0.0</v>
      </c>
      <c r="S37" s="105">
        <v>0.0</v>
      </c>
      <c r="T37" s="105">
        <v>0.0</v>
      </c>
      <c r="U37" s="106">
        <v>0.0</v>
      </c>
      <c r="V37" s="66">
        <f t="shared" si="5"/>
        <v>0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ref="U38:U48" si="6">IFERROR(I38/H38,0)</f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0.0</v>
      </c>
      <c r="H39" s="105">
        <v>0.0</v>
      </c>
      <c r="I39" s="105">
        <v>0.0</v>
      </c>
      <c r="J39" s="105">
        <v>0.0</v>
      </c>
      <c r="K39" s="105">
        <v>0.0</v>
      </c>
      <c r="L39" s="105">
        <v>0.0</v>
      </c>
      <c r="M39" s="105">
        <v>0.0</v>
      </c>
      <c r="N39" s="105">
        <v>0.0</v>
      </c>
      <c r="O39" s="105">
        <v>0.0</v>
      </c>
      <c r="P39" s="105">
        <v>0.0</v>
      </c>
      <c r="Q39" s="105">
        <v>0.0</v>
      </c>
      <c r="R39" s="105">
        <v>0.0</v>
      </c>
      <c r="S39" s="105">
        <v>0.0</v>
      </c>
      <c r="T39" s="105">
        <v>0.0</v>
      </c>
      <c r="U39" s="66">
        <f t="shared" si="6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0.0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66">
        <f t="shared" si="6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4.0</v>
      </c>
      <c r="H41" s="105">
        <v>1.0</v>
      </c>
      <c r="I41" s="105">
        <v>1.0</v>
      </c>
      <c r="J41" s="105">
        <v>0.0</v>
      </c>
      <c r="K41" s="105">
        <v>0.0</v>
      </c>
      <c r="L41" s="105">
        <v>0.0</v>
      </c>
      <c r="M41" s="105">
        <v>0.0</v>
      </c>
      <c r="N41" s="105">
        <v>1.0</v>
      </c>
      <c r="O41" s="105">
        <v>1.0</v>
      </c>
      <c r="P41" s="105">
        <v>0.0</v>
      </c>
      <c r="Q41" s="105">
        <v>0.0</v>
      </c>
      <c r="R41" s="105">
        <v>0.0</v>
      </c>
      <c r="S41" s="105">
        <v>0.0</v>
      </c>
      <c r="T41" s="105">
        <v>972.0</v>
      </c>
      <c r="U41" s="66">
        <f t="shared" si="6"/>
        <v>1</v>
      </c>
      <c r="V41" s="66">
        <f t="shared" si="5"/>
        <v>0.25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6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2.0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6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2.0</v>
      </c>
      <c r="H44" s="105">
        <v>2.0</v>
      </c>
      <c r="I44" s="105">
        <v>2.0</v>
      </c>
      <c r="J44" s="105">
        <v>2.0</v>
      </c>
      <c r="K44" s="105">
        <v>2.0</v>
      </c>
      <c r="L44" s="105">
        <v>0.0</v>
      </c>
      <c r="M44" s="105">
        <v>5.0</v>
      </c>
      <c r="N44" s="105">
        <v>1.0</v>
      </c>
      <c r="O44" s="105">
        <v>1.0</v>
      </c>
      <c r="P44" s="105">
        <v>0.0</v>
      </c>
      <c r="Q44" s="105">
        <v>0.0</v>
      </c>
      <c r="R44" s="105">
        <v>1.0</v>
      </c>
      <c r="S44" s="105">
        <v>1.0</v>
      </c>
      <c r="T44" s="105">
        <v>3700.0</v>
      </c>
      <c r="U44" s="66">
        <f t="shared" si="6"/>
        <v>1</v>
      </c>
      <c r="V44" s="66">
        <f t="shared" si="5"/>
        <v>1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6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6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6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6"/>
        <v>0</v>
      </c>
      <c r="V48" s="66">
        <f t="shared" si="5"/>
        <v>0</v>
      </c>
    </row>
    <row r="49" ht="12.75" customHeight="1">
      <c r="A49" s="96"/>
      <c r="B49" s="96"/>
      <c r="C49" s="96"/>
      <c r="D49" s="1"/>
      <c r="E49" s="96"/>
      <c r="F49" s="97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9"/>
      <c r="V49" s="99"/>
    </row>
    <row r="50" ht="12.75" customHeight="1">
      <c r="A50" s="96"/>
      <c r="B50" s="96"/>
      <c r="C50" s="96"/>
      <c r="D50" s="1"/>
      <c r="E50" s="96"/>
      <c r="F50" s="97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9"/>
      <c r="V50" s="99"/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100"/>
      <c r="B555" s="100"/>
      <c r="C555" s="100"/>
      <c r="D555" s="101"/>
      <c r="E555" s="100"/>
      <c r="F555" s="102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4"/>
      <c r="V555" s="104"/>
    </row>
    <row r="556" ht="12.75" customHeight="1">
      <c r="A556" s="100"/>
      <c r="B556" s="100"/>
      <c r="C556" s="100"/>
      <c r="D556" s="101"/>
      <c r="E556" s="100"/>
      <c r="F556" s="102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4"/>
      <c r="V556" s="104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27641</v>
      </c>
      <c r="D2" s="9"/>
      <c r="E2" s="8">
        <f t="shared" ref="E2:R2" si="1">SUM(E5,E11)</f>
        <v>1668</v>
      </c>
      <c r="F2" s="8">
        <f t="shared" si="1"/>
        <v>54</v>
      </c>
      <c r="G2" s="10">
        <f t="shared" si="1"/>
        <v>26</v>
      </c>
      <c r="H2" s="10">
        <f t="shared" si="1"/>
        <v>16</v>
      </c>
      <c r="I2" s="10">
        <f t="shared" si="1"/>
        <v>0</v>
      </c>
      <c r="J2" s="10">
        <f t="shared" si="1"/>
        <v>2</v>
      </c>
      <c r="K2" s="10">
        <f t="shared" si="1"/>
        <v>14</v>
      </c>
      <c r="L2" s="10">
        <f t="shared" si="1"/>
        <v>13</v>
      </c>
      <c r="M2" s="10">
        <f t="shared" si="1"/>
        <v>73</v>
      </c>
      <c r="N2" s="10">
        <f t="shared" si="1"/>
        <v>4</v>
      </c>
      <c r="O2" s="10">
        <f t="shared" si="1"/>
        <v>4</v>
      </c>
      <c r="P2" s="10">
        <f t="shared" si="1"/>
        <v>12</v>
      </c>
      <c r="Q2" s="10">
        <f t="shared" si="1"/>
        <v>6</v>
      </c>
      <c r="R2" s="10">
        <f t="shared" si="1"/>
        <v>6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28</v>
      </c>
      <c r="D4" s="14"/>
      <c r="E4" s="19">
        <f>IFERROR(C2/H2,0)</f>
        <v>1727.5625</v>
      </c>
      <c r="F4" s="20">
        <f>IFERROR((G2+R2)/F2,0)</f>
        <v>0.5925925926</v>
      </c>
      <c r="G4" s="20">
        <f>IFERROR(H2/G2,0)</f>
        <v>0.6153846154</v>
      </c>
      <c r="H4" s="19">
        <f>(C2/C4)</f>
        <v>987.1785714</v>
      </c>
      <c r="I4" s="21"/>
      <c r="J4" s="20">
        <f>IFERROR(J2/I2,0)</f>
        <v>0</v>
      </c>
      <c r="K4" s="21"/>
      <c r="L4" s="20">
        <f>IFERROR(L2/K2,0)</f>
        <v>0.9285714286</v>
      </c>
      <c r="M4" s="22">
        <f>IFERROR(M2/G2,0)</f>
        <v>2.807692308</v>
      </c>
      <c r="N4" s="21"/>
      <c r="O4" s="20">
        <f>IFERROR(O2/N2,0)</f>
        <v>1</v>
      </c>
      <c r="P4" s="22"/>
      <c r="Q4" s="20">
        <f>IFERROR(Q2/P2,0)</f>
        <v>0.5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9962</v>
      </c>
      <c r="D5" s="26"/>
      <c r="E5" s="27">
        <f>SUMIFS(T:T,A:A,B5,D:D,"Y")</f>
        <v>1668</v>
      </c>
      <c r="F5" s="8">
        <f>SUMIF(A:A,B5,G:G)</f>
        <v>13</v>
      </c>
      <c r="G5" s="10">
        <f>SUMIF(A:A,B5,H:H)</f>
        <v>11</v>
      </c>
      <c r="H5" s="10">
        <f>SUMIF(A:A,B5,I:I)</f>
        <v>6</v>
      </c>
      <c r="I5" s="10">
        <f>SUMIF(A:A,B5,P:P)</f>
        <v>0</v>
      </c>
      <c r="J5" s="10">
        <f>SUMIF(A:A,B5,Q:Q)</f>
        <v>2</v>
      </c>
      <c r="K5" s="10">
        <f>SUMIF(A:A,B5,R:R)</f>
        <v>3</v>
      </c>
      <c r="L5" s="10">
        <f>SUMIF(A:A,B5,S:S)</f>
        <v>3</v>
      </c>
      <c r="M5" s="10">
        <f>SUMIF(A:A,B5,M:M)</f>
        <v>50</v>
      </c>
      <c r="N5" s="10">
        <f>SUMIF(A:A,B5,N:N)</f>
        <v>2</v>
      </c>
      <c r="O5" s="10">
        <f>SUMIF(A:A,B5,O:O)</f>
        <v>2</v>
      </c>
      <c r="P5" s="10">
        <f>SUMIF(A:A,B5,J:J)</f>
        <v>4</v>
      </c>
      <c r="Q5" s="10">
        <f>SUMIF(A:A,B5,K:K)</f>
        <v>1</v>
      </c>
      <c r="R5" s="10">
        <f>SUMIF(A:A,B5,L:L)</f>
        <v>2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1660.333333</v>
      </c>
      <c r="F7" s="20">
        <f>IFERROR((G5+R5)/F5,0)</f>
        <v>1</v>
      </c>
      <c r="G7" s="20">
        <f>IFERROR(H5/G5,0)</f>
        <v>0.5454545455</v>
      </c>
      <c r="H7" s="19">
        <f>(C5/C7)</f>
        <v>766.3076923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3.846153846</v>
      </c>
      <c r="N7" s="21"/>
      <c r="O7" s="20">
        <f>IFERROR(O5/N5,0)</f>
        <v>1</v>
      </c>
      <c r="P7" s="22"/>
      <c r="Q7" s="20">
        <f>IFERROR(Q5/P5,0)</f>
        <v>0.25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9962</v>
      </c>
      <c r="D8" s="36"/>
      <c r="E8" s="37">
        <f>SUMIFS(T:T,B:B,B8,D:D,"Y")</f>
        <v>1668</v>
      </c>
      <c r="F8" s="38">
        <f>SUMIF(B19:B1129,B8,G19:G1129)</f>
        <v>13</v>
      </c>
      <c r="G8" s="39">
        <f>SUMIF(B19:B1129,B8,H19:H1129)</f>
        <v>11</v>
      </c>
      <c r="H8" s="38">
        <f>SUMIF(B19:B1129,B8,I19:I1129)</f>
        <v>6</v>
      </c>
      <c r="I8" s="39">
        <f>SUMIF(B19:B1129,B8,P19:P1129)</f>
        <v>0</v>
      </c>
      <c r="J8" s="39">
        <f>SUMIF(B19:B1129,B8,Q19:Q1129)</f>
        <v>2</v>
      </c>
      <c r="K8" s="39">
        <f>SUMIF(B19:B1129,B8,R19:R1129)</f>
        <v>3</v>
      </c>
      <c r="L8" s="39">
        <f>SUMIF(B19:B1129,B8,S19:S1129)</f>
        <v>3</v>
      </c>
      <c r="M8" s="39">
        <f>SUMIF(B19:B1129,B8,M19:M1129)</f>
        <v>50</v>
      </c>
      <c r="N8" s="39">
        <f>SUMIF(B19:B1129,B8,N19:N1129)</f>
        <v>2</v>
      </c>
      <c r="O8" s="38">
        <f>SUMIF(B19:B1129,B8,O19:O1129)</f>
        <v>2</v>
      </c>
      <c r="P8" s="39">
        <f>SUMIF(B19:B1129,B8,J19:J1129)</f>
        <v>4</v>
      </c>
      <c r="Q8" s="39">
        <f>SUMIF(B19:B1129,B8,K19:K1129)</f>
        <v>1</v>
      </c>
      <c r="R8" s="38">
        <f>SUMIF(B19:B1129,B8,L19:L1129)</f>
        <v>2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1660.333333</v>
      </c>
      <c r="F10" s="51">
        <f>IFERROR((G8+R8)/F8,0)</f>
        <v>1</v>
      </c>
      <c r="G10" s="51">
        <f>IFERROR(H8/G8,0)</f>
        <v>0.5454545455</v>
      </c>
      <c r="H10" s="50">
        <f>(C8/C10)</f>
        <v>830.1666667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3.846153846</v>
      </c>
      <c r="N10" s="46"/>
      <c r="O10" s="51">
        <f>IFERROR(O8/N8,0)</f>
        <v>1</v>
      </c>
      <c r="P10" s="53"/>
      <c r="Q10" s="51">
        <f>IFERROR(Q8/P8,0)</f>
        <v>0.25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17679</v>
      </c>
      <c r="D11" s="26"/>
      <c r="E11" s="27">
        <f>SUMIFS(T:T,A:A,B11,D:D,"Y")</f>
        <v>0</v>
      </c>
      <c r="F11" s="8">
        <f>SUMIF(A:A,B11,G:G)</f>
        <v>41</v>
      </c>
      <c r="G11" s="10">
        <f>SUMIF(A:A,B11,H:H)</f>
        <v>15</v>
      </c>
      <c r="H11" s="10">
        <f>SUMIF(A:A,B11,I:I)</f>
        <v>10</v>
      </c>
      <c r="I11" s="10">
        <f>SUMIF(A:A,B11,P:P)</f>
        <v>0</v>
      </c>
      <c r="J11" s="10">
        <f>SUMIF(A:A,B11,Q:Q)</f>
        <v>0</v>
      </c>
      <c r="K11" s="10">
        <f>SUMIF(A:A,B11,R:R)</f>
        <v>11</v>
      </c>
      <c r="L11" s="10">
        <f>SUMIF(A:A,B11,S:S)</f>
        <v>10</v>
      </c>
      <c r="M11" s="10">
        <f>SUMIF(A:A,B11,M:M)</f>
        <v>23</v>
      </c>
      <c r="N11" s="10">
        <f>SUMIF(A:A,B11,N:N)</f>
        <v>2</v>
      </c>
      <c r="O11" s="10">
        <f>SUMIF(A:A,B11,O:O)</f>
        <v>2</v>
      </c>
      <c r="P11" s="10">
        <f>SUMIF(A:A,B11,J:J)</f>
        <v>8</v>
      </c>
      <c r="Q11" s="10">
        <f>SUMIF(A:A,B11,K:K)</f>
        <v>5</v>
      </c>
      <c r="R11" s="10">
        <f>SUMIF(A:A,B11,L:L)</f>
        <v>4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15</v>
      </c>
      <c r="D13" s="30"/>
      <c r="E13" s="19">
        <f>IFERROR(C11/H11,0)</f>
        <v>1767.9</v>
      </c>
      <c r="F13" s="20">
        <f>IFERROR((G11+R11)/F11,0)</f>
        <v>0.4634146341</v>
      </c>
      <c r="G13" s="20">
        <f>IFERROR(H11/G11,0)</f>
        <v>0.6666666667</v>
      </c>
      <c r="H13" s="19">
        <f>(C11/C13)</f>
        <v>1178.6</v>
      </c>
      <c r="I13" s="21"/>
      <c r="J13" s="20">
        <f>IFERROR(J11/I11,0)</f>
        <v>0</v>
      </c>
      <c r="K13" s="21"/>
      <c r="L13" s="20">
        <f>IFERROR(L11/K11,0)</f>
        <v>0.9090909091</v>
      </c>
      <c r="M13" s="22">
        <f>IFERROR(M11/SUM(R11+G11,0),"")</f>
        <v>1.210526316</v>
      </c>
      <c r="N13" s="21"/>
      <c r="O13" s="20">
        <f>IFERROR(O11/N11,0)</f>
        <v>1</v>
      </c>
      <c r="P13" s="22"/>
      <c r="Q13" s="20">
        <f>IFERROR(Q11/P11,0)</f>
        <v>0.625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17679</v>
      </c>
      <c r="D14" s="36"/>
      <c r="E14" s="37">
        <f>SUMIFS(T:T,B:B,B14,D:D,"Y")</f>
        <v>0</v>
      </c>
      <c r="F14" s="38">
        <f>SUMIF(B19:B1129,B14,G19:G1129)</f>
        <v>41</v>
      </c>
      <c r="G14" s="39">
        <f>SUMIF(B19:B1129,B14,H19:H1129)</f>
        <v>15</v>
      </c>
      <c r="H14" s="38">
        <f>SUMIF(B19:B1129,B14,I19:I1129)</f>
        <v>10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11</v>
      </c>
      <c r="L14" s="39">
        <f>SUMIF(B19:B1129,B14,S19:S1129)</f>
        <v>10</v>
      </c>
      <c r="M14" s="39">
        <f>SUMIF(B19:B1129,B14,M19:M1129)</f>
        <v>23</v>
      </c>
      <c r="N14" s="39">
        <f>SUMIF(B19:B1129,B14,N19:N1129)</f>
        <v>2</v>
      </c>
      <c r="O14" s="38">
        <f>SUMIF(B19:B1129,B14,O19:O1129)</f>
        <v>2</v>
      </c>
      <c r="P14" s="39">
        <f>SUMIF(B19:B1129,B14,J19:J1129)</f>
        <v>8</v>
      </c>
      <c r="Q14" s="39">
        <f>SUMIF(B19:B1129,B14,K19:K1129)</f>
        <v>5</v>
      </c>
      <c r="R14" s="38">
        <f>SUMIF(B19:B1129,B14,L19:L1129)</f>
        <v>4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14</v>
      </c>
      <c r="D16" s="42"/>
      <c r="E16" s="50">
        <f>IFERROR(C14/H14,0)</f>
        <v>1767.9</v>
      </c>
      <c r="F16" s="51">
        <f>IFERROR((G14+R14)/F14,0)</f>
        <v>0.4634146341</v>
      </c>
      <c r="G16" s="51">
        <f>IFERROR(H14/G14,0)</f>
        <v>0.6666666667</v>
      </c>
      <c r="H16" s="50">
        <f>(C14/C16)</f>
        <v>1262.785714</v>
      </c>
      <c r="I16" s="46"/>
      <c r="J16" s="51">
        <f>IFERROR(J14/I14,0)</f>
        <v>0</v>
      </c>
      <c r="K16" s="46"/>
      <c r="L16" s="51">
        <f>IFERROR(L14/K14,0)</f>
        <v>0.9090909091</v>
      </c>
      <c r="M16" s="52">
        <f>IFERROR(M14/SUM(G14+R14,0),"")</f>
        <v>1.210526316</v>
      </c>
      <c r="N16" s="46"/>
      <c r="O16" s="51">
        <f>IFERROR(O14/N14,0)</f>
        <v>1</v>
      </c>
      <c r="P16" s="53"/>
      <c r="Q16" s="51">
        <f>IFERROR(Q14/P14,0)</f>
        <v>0.625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1.0</v>
      </c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0.0</v>
      </c>
      <c r="H24" s="105">
        <v>0.0</v>
      </c>
      <c r="I24" s="105">
        <v>0.0</v>
      </c>
      <c r="J24" s="105">
        <v>0.0</v>
      </c>
      <c r="K24" s="105">
        <v>0.0</v>
      </c>
      <c r="L24" s="105">
        <v>0.0</v>
      </c>
      <c r="M24" s="105">
        <v>0.0</v>
      </c>
      <c r="N24" s="105">
        <v>0.0</v>
      </c>
      <c r="O24" s="105">
        <v>0.0</v>
      </c>
      <c r="P24" s="105">
        <v>0.0</v>
      </c>
      <c r="Q24" s="105">
        <v>0.0</v>
      </c>
      <c r="R24" s="105">
        <v>0.0</v>
      </c>
      <c r="S24" s="105">
        <v>0.0</v>
      </c>
      <c r="T24" s="105">
        <v>0.0</v>
      </c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2.0</v>
      </c>
      <c r="H26" s="105">
        <v>2.0</v>
      </c>
      <c r="I26" s="105">
        <v>1.0</v>
      </c>
      <c r="J26" s="105">
        <v>1.0</v>
      </c>
      <c r="K26" s="105">
        <v>1.0</v>
      </c>
      <c r="L26" s="105">
        <v>0.0</v>
      </c>
      <c r="M26" s="105">
        <v>8.0</v>
      </c>
      <c r="N26" s="105">
        <v>1.0</v>
      </c>
      <c r="O26" s="105">
        <v>1.0</v>
      </c>
      <c r="P26" s="105">
        <v>0.0</v>
      </c>
      <c r="Q26" s="105">
        <v>0.0</v>
      </c>
      <c r="R26" s="105">
        <v>1.0</v>
      </c>
      <c r="S26" s="105">
        <v>1.0</v>
      </c>
      <c r="T26" s="105">
        <v>1668.0</v>
      </c>
      <c r="U26" s="66">
        <f t="shared" si="2"/>
        <v>0.5</v>
      </c>
      <c r="V26" s="66">
        <f t="shared" si="3"/>
        <v>1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3.0</v>
      </c>
      <c r="H27" s="105">
        <v>2.0</v>
      </c>
      <c r="I27" s="105">
        <v>1.0</v>
      </c>
      <c r="J27" s="105">
        <v>0.0</v>
      </c>
      <c r="K27" s="105">
        <v>0.0</v>
      </c>
      <c r="L27" s="105">
        <v>0.0</v>
      </c>
      <c r="M27" s="105">
        <v>10.0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1.0</v>
      </c>
      <c r="S27" s="105">
        <v>1.0</v>
      </c>
      <c r="T27" s="105">
        <v>648.0</v>
      </c>
      <c r="U27" s="66">
        <f t="shared" si="2"/>
        <v>0.5</v>
      </c>
      <c r="V27" s="66">
        <f t="shared" si="3"/>
        <v>0.6666666667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4.0</v>
      </c>
      <c r="H28" s="105">
        <v>2.0</v>
      </c>
      <c r="I28" s="105">
        <v>1.0</v>
      </c>
      <c r="J28" s="105">
        <v>0.0</v>
      </c>
      <c r="K28" s="105">
        <v>0.0</v>
      </c>
      <c r="L28" s="105">
        <v>0.0</v>
      </c>
      <c r="M28" s="105">
        <v>3.0</v>
      </c>
      <c r="N28" s="105">
        <v>0.0</v>
      </c>
      <c r="O28" s="105">
        <v>0.0</v>
      </c>
      <c r="P28" s="105">
        <v>0.0</v>
      </c>
      <c r="Q28" s="105">
        <v>2.0</v>
      </c>
      <c r="R28" s="105">
        <v>1.0</v>
      </c>
      <c r="S28" s="105">
        <v>1.0</v>
      </c>
      <c r="T28" s="105">
        <v>1716.0</v>
      </c>
      <c r="U28" s="66">
        <f t="shared" si="2"/>
        <v>0.5</v>
      </c>
      <c r="V28" s="66">
        <f t="shared" si="3"/>
        <v>0.5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 t="s">
        <v>47</v>
      </c>
      <c r="F29" s="76" t="s">
        <v>56</v>
      </c>
      <c r="G29" s="105">
        <v>0.0</v>
      </c>
      <c r="H29" s="105">
        <v>2.0</v>
      </c>
      <c r="I29" s="105">
        <v>0.0</v>
      </c>
      <c r="J29" s="105">
        <v>2.0</v>
      </c>
      <c r="K29" s="105">
        <v>0.0</v>
      </c>
      <c r="L29" s="105">
        <v>2.0</v>
      </c>
      <c r="M29" s="105">
        <v>3.0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2"/>
        <v>0</v>
      </c>
      <c r="V29" s="66">
        <f t="shared" si="3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105">
        <v>1.0</v>
      </c>
      <c r="H31" s="105">
        <v>2.0</v>
      </c>
      <c r="I31" s="105">
        <v>2.0</v>
      </c>
      <c r="J31" s="105">
        <v>1.0</v>
      </c>
      <c r="K31" s="105">
        <v>0.0</v>
      </c>
      <c r="L31" s="105">
        <v>0.0</v>
      </c>
      <c r="M31" s="105">
        <v>15.0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3843.0</v>
      </c>
      <c r="U31" s="66">
        <f t="shared" si="2"/>
        <v>1</v>
      </c>
      <c r="V31" s="66">
        <f t="shared" si="3"/>
        <v>2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105">
        <v>2.0</v>
      </c>
      <c r="H32" s="105">
        <v>1.0</v>
      </c>
      <c r="I32" s="105">
        <v>1.0</v>
      </c>
      <c r="J32" s="105">
        <v>0.0</v>
      </c>
      <c r="K32" s="105">
        <v>0.0</v>
      </c>
      <c r="L32" s="105">
        <v>0.0</v>
      </c>
      <c r="M32" s="105">
        <v>11.0</v>
      </c>
      <c r="N32" s="105">
        <v>1.0</v>
      </c>
      <c r="O32" s="105">
        <v>1.0</v>
      </c>
      <c r="P32" s="105">
        <v>0.0</v>
      </c>
      <c r="Q32" s="105">
        <v>0.0</v>
      </c>
      <c r="R32" s="105">
        <v>0.0</v>
      </c>
      <c r="S32" s="105">
        <v>0.0</v>
      </c>
      <c r="T32" s="105">
        <v>2087.0</v>
      </c>
      <c r="U32" s="66">
        <f t="shared" si="2"/>
        <v>1</v>
      </c>
      <c r="V32" s="66">
        <f t="shared" si="3"/>
        <v>0.5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48" si="4">IFERROR(I34/H34,0)</f>
        <v>0</v>
      </c>
      <c r="V34" s="66">
        <f t="shared" ref="V34:V48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>
        <v>0.0</v>
      </c>
      <c r="H35" s="105">
        <v>0.0</v>
      </c>
      <c r="I35" s="105">
        <v>0.0</v>
      </c>
      <c r="J35" s="105">
        <v>0.0</v>
      </c>
      <c r="K35" s="105">
        <v>0.0</v>
      </c>
      <c r="L35" s="105">
        <v>0.0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66">
        <f t="shared" si="4"/>
        <v>0</v>
      </c>
      <c r="V35" s="66">
        <f t="shared" si="5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66">
        <f t="shared" si="4"/>
        <v>0</v>
      </c>
      <c r="V36" s="66">
        <f t="shared" si="5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5.0</v>
      </c>
      <c r="H37" s="105">
        <v>3.0</v>
      </c>
      <c r="I37" s="105">
        <v>2.0</v>
      </c>
      <c r="J37" s="105">
        <v>0.0</v>
      </c>
      <c r="K37" s="105">
        <v>0.0</v>
      </c>
      <c r="L37" s="105">
        <v>1.0</v>
      </c>
      <c r="M37" s="105">
        <v>3.0</v>
      </c>
      <c r="N37" s="105">
        <v>0.0</v>
      </c>
      <c r="O37" s="105">
        <v>0.0</v>
      </c>
      <c r="P37" s="105">
        <v>0.0</v>
      </c>
      <c r="Q37" s="105">
        <v>0.0</v>
      </c>
      <c r="R37" s="105">
        <v>2.0</v>
      </c>
      <c r="S37" s="105">
        <v>2.0</v>
      </c>
      <c r="T37" s="105">
        <v>3372.0</v>
      </c>
      <c r="U37" s="66">
        <f t="shared" si="4"/>
        <v>0.6666666667</v>
      </c>
      <c r="V37" s="66">
        <f t="shared" si="5"/>
        <v>0.8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1.0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si="4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14.0</v>
      </c>
      <c r="H39" s="105">
        <v>5.0</v>
      </c>
      <c r="I39" s="105">
        <v>3.0</v>
      </c>
      <c r="J39" s="105">
        <v>5.0</v>
      </c>
      <c r="K39" s="105">
        <v>3.0</v>
      </c>
      <c r="L39" s="105">
        <v>0.0</v>
      </c>
      <c r="M39" s="105">
        <v>10.0</v>
      </c>
      <c r="N39" s="105">
        <v>1.0</v>
      </c>
      <c r="O39" s="105">
        <v>1.0</v>
      </c>
      <c r="P39" s="105">
        <v>0.0</v>
      </c>
      <c r="Q39" s="105">
        <v>0.0</v>
      </c>
      <c r="R39" s="105">
        <v>4.0</v>
      </c>
      <c r="S39" s="105">
        <v>4.0</v>
      </c>
      <c r="T39" s="105">
        <v>4464.0</v>
      </c>
      <c r="U39" s="66">
        <f t="shared" si="4"/>
        <v>0.6</v>
      </c>
      <c r="V39" s="66">
        <f t="shared" si="5"/>
        <v>0.3571428571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3.0</v>
      </c>
      <c r="H40" s="105">
        <v>1.0</v>
      </c>
      <c r="I40" s="105">
        <v>1.0</v>
      </c>
      <c r="J40" s="105">
        <v>1.0</v>
      </c>
      <c r="K40" s="105">
        <v>1.0</v>
      </c>
      <c r="L40" s="105">
        <v>0.0</v>
      </c>
      <c r="M40" s="105">
        <v>1.0</v>
      </c>
      <c r="N40" s="105">
        <v>0.0</v>
      </c>
      <c r="O40" s="105">
        <v>0.0</v>
      </c>
      <c r="P40" s="105">
        <v>0.0</v>
      </c>
      <c r="Q40" s="105">
        <v>0.0</v>
      </c>
      <c r="R40" s="105">
        <v>1.0</v>
      </c>
      <c r="S40" s="105">
        <v>1.0</v>
      </c>
      <c r="T40" s="105">
        <v>2049.0</v>
      </c>
      <c r="U40" s="66">
        <f t="shared" si="4"/>
        <v>1</v>
      </c>
      <c r="V40" s="66">
        <f t="shared" si="5"/>
        <v>0.3333333333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4.0</v>
      </c>
      <c r="H41" s="105">
        <v>2.0</v>
      </c>
      <c r="I41" s="105">
        <v>1.0</v>
      </c>
      <c r="J41" s="105">
        <v>2.0</v>
      </c>
      <c r="K41" s="105">
        <v>1.0</v>
      </c>
      <c r="L41" s="105">
        <v>0.0</v>
      </c>
      <c r="M41" s="105">
        <v>5.0</v>
      </c>
      <c r="N41" s="105">
        <v>1.0</v>
      </c>
      <c r="O41" s="105">
        <v>1.0</v>
      </c>
      <c r="P41" s="105">
        <v>0.0</v>
      </c>
      <c r="Q41" s="105">
        <v>0.0</v>
      </c>
      <c r="R41" s="105">
        <v>1.0</v>
      </c>
      <c r="S41" s="105">
        <v>0.0</v>
      </c>
      <c r="T41" s="105">
        <v>1574.0</v>
      </c>
      <c r="U41" s="66">
        <f t="shared" si="4"/>
        <v>0.5</v>
      </c>
      <c r="V41" s="66">
        <f t="shared" si="5"/>
        <v>0.5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10.0</v>
      </c>
      <c r="H44" s="105">
        <v>3.0</v>
      </c>
      <c r="I44" s="105">
        <v>3.0</v>
      </c>
      <c r="J44" s="105">
        <v>0.0</v>
      </c>
      <c r="K44" s="105">
        <v>0.0</v>
      </c>
      <c r="L44" s="105">
        <v>3.0</v>
      </c>
      <c r="M44" s="105">
        <v>4.0</v>
      </c>
      <c r="N44" s="105">
        <v>0.0</v>
      </c>
      <c r="O44" s="105">
        <v>0.0</v>
      </c>
      <c r="P44" s="105">
        <v>0.0</v>
      </c>
      <c r="Q44" s="105">
        <v>0.0</v>
      </c>
      <c r="R44" s="105">
        <v>3.0</v>
      </c>
      <c r="S44" s="105">
        <v>3.0</v>
      </c>
      <c r="T44" s="105">
        <v>6220.0</v>
      </c>
      <c r="U44" s="66">
        <f t="shared" si="4"/>
        <v>1</v>
      </c>
      <c r="V44" s="66">
        <f t="shared" si="5"/>
        <v>0.6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3.0</v>
      </c>
      <c r="H46" s="105">
        <v>1.0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4"/>
        <v>0</v>
      </c>
      <c r="V46" s="66">
        <f t="shared" si="5"/>
        <v>0.3333333333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105">
        <v>1.0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4"/>
        <v>0</v>
      </c>
      <c r="V48" s="66">
        <f t="shared" si="5"/>
        <v>0</v>
      </c>
    </row>
    <row r="49" ht="12.75" customHeight="1">
      <c r="A49" s="96"/>
      <c r="B49" s="96"/>
      <c r="C49" s="96"/>
      <c r="D49" s="1"/>
      <c r="E49" s="96"/>
      <c r="F49" s="97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9"/>
      <c r="V49" s="99"/>
    </row>
    <row r="50" ht="12.75" customHeight="1">
      <c r="A50" s="96"/>
      <c r="B50" s="96"/>
      <c r="C50" s="96"/>
      <c r="D50" s="1"/>
      <c r="E50" s="96"/>
      <c r="F50" s="97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9"/>
      <c r="V50" s="99"/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100"/>
      <c r="B555" s="100"/>
      <c r="C555" s="100"/>
      <c r="D555" s="101"/>
      <c r="E555" s="100"/>
      <c r="F555" s="102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4"/>
      <c r="V555" s="104"/>
    </row>
    <row r="556" ht="12.75" customHeight="1">
      <c r="A556" s="100"/>
      <c r="B556" s="100"/>
      <c r="C556" s="100"/>
      <c r="D556" s="101"/>
      <c r="E556" s="100"/>
      <c r="F556" s="102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4"/>
      <c r="V556" s="104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22857</v>
      </c>
      <c r="D2" s="9"/>
      <c r="E2" s="8">
        <f t="shared" ref="E2:R2" si="1">SUM(E5,E11)</f>
        <v>2832</v>
      </c>
      <c r="F2" s="8">
        <f t="shared" si="1"/>
        <v>46</v>
      </c>
      <c r="G2" s="10">
        <f t="shared" si="1"/>
        <v>19</v>
      </c>
      <c r="H2" s="10">
        <f t="shared" si="1"/>
        <v>10</v>
      </c>
      <c r="I2" s="10">
        <f t="shared" si="1"/>
        <v>0</v>
      </c>
      <c r="J2" s="10">
        <f t="shared" si="1"/>
        <v>0</v>
      </c>
      <c r="K2" s="10">
        <f t="shared" si="1"/>
        <v>8</v>
      </c>
      <c r="L2" s="10">
        <f t="shared" si="1"/>
        <v>7</v>
      </c>
      <c r="M2" s="10">
        <f t="shared" si="1"/>
        <v>78</v>
      </c>
      <c r="N2" s="10">
        <f t="shared" si="1"/>
        <v>6</v>
      </c>
      <c r="O2" s="10">
        <f t="shared" si="1"/>
        <v>2</v>
      </c>
      <c r="P2" s="10">
        <f t="shared" si="1"/>
        <v>9</v>
      </c>
      <c r="Q2" s="10">
        <f t="shared" si="1"/>
        <v>5</v>
      </c>
      <c r="R2" s="10">
        <f t="shared" si="1"/>
        <v>2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28</v>
      </c>
      <c r="D4" s="14"/>
      <c r="E4" s="19">
        <f>IFERROR(C2/H2,0)</f>
        <v>2285.7</v>
      </c>
      <c r="F4" s="20">
        <f>IFERROR((G2+R2)/F2,0)</f>
        <v>0.4565217391</v>
      </c>
      <c r="G4" s="20">
        <f>IFERROR(H2/G2,0)</f>
        <v>0.5263157895</v>
      </c>
      <c r="H4" s="19">
        <f>(C2/C4)</f>
        <v>816.3214286</v>
      </c>
      <c r="I4" s="21"/>
      <c r="J4" s="20">
        <f>IFERROR(J2/I2,0)</f>
        <v>0</v>
      </c>
      <c r="K4" s="21"/>
      <c r="L4" s="20">
        <f>IFERROR(L2/K2,0)</f>
        <v>0.875</v>
      </c>
      <c r="M4" s="22">
        <f>IFERROR(M2/G2,0)</f>
        <v>4.105263158</v>
      </c>
      <c r="N4" s="21"/>
      <c r="O4" s="20">
        <f>IFERROR(O2/N2,0)</f>
        <v>0.3333333333</v>
      </c>
      <c r="P4" s="22"/>
      <c r="Q4" s="20">
        <f>IFERROR(Q2/P2,0)</f>
        <v>0.5555555556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6564</v>
      </c>
      <c r="D5" s="26"/>
      <c r="E5" s="27">
        <f>SUMIFS(T:T,A:A,B5,D:D,"Y")</f>
        <v>2832</v>
      </c>
      <c r="F5" s="8">
        <f>SUMIF(A:A,B5,G:G)</f>
        <v>21</v>
      </c>
      <c r="G5" s="10">
        <f>SUMIF(A:A,B5,H:H)</f>
        <v>9</v>
      </c>
      <c r="H5" s="10">
        <f>SUMIF(A:A,B5,I:I)</f>
        <v>4</v>
      </c>
      <c r="I5" s="10">
        <f>SUMIF(A:A,B5,P:P)</f>
        <v>0</v>
      </c>
      <c r="J5" s="10">
        <f>SUMIF(A:A,B5,Q:Q)</f>
        <v>0</v>
      </c>
      <c r="K5" s="10">
        <f>SUMIF(A:A,B5,R:R)</f>
        <v>2</v>
      </c>
      <c r="L5" s="10">
        <f>SUMIF(A:A,B5,S:S)</f>
        <v>2</v>
      </c>
      <c r="M5" s="10">
        <f>SUMIF(A:A,B5,M:M)</f>
        <v>49</v>
      </c>
      <c r="N5" s="10">
        <f>SUMIF(A:A,B5,N:N)</f>
        <v>4</v>
      </c>
      <c r="O5" s="10">
        <f>SUMIF(A:A,B5,O:O)</f>
        <v>1</v>
      </c>
      <c r="P5" s="10">
        <f>SUMIF(A:A,B5,J:J)</f>
        <v>3</v>
      </c>
      <c r="Q5" s="10">
        <f>SUMIF(A:A,B5,K:K)</f>
        <v>1</v>
      </c>
      <c r="R5" s="10">
        <f>SUMIF(A:A,B5,L:L)</f>
        <v>2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1641</v>
      </c>
      <c r="F7" s="20">
        <f>IFERROR((G5+R5)/F5,0)</f>
        <v>0.5238095238</v>
      </c>
      <c r="G7" s="20">
        <f>IFERROR(H5/G5,0)</f>
        <v>0.4444444444</v>
      </c>
      <c r="H7" s="19">
        <f>(C5/C7)</f>
        <v>504.9230769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4.454545455</v>
      </c>
      <c r="N7" s="21"/>
      <c r="O7" s="20">
        <f>IFERROR(O5/N5,0)</f>
        <v>0.25</v>
      </c>
      <c r="P7" s="22"/>
      <c r="Q7" s="20">
        <f>IFERROR(Q5/P5,0)</f>
        <v>0.3333333333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6564</v>
      </c>
      <c r="D8" s="36"/>
      <c r="E8" s="37">
        <f>SUMIFS(T:T,B:B,B8,D:D,"Y")</f>
        <v>2832</v>
      </c>
      <c r="F8" s="38">
        <f>SUMIF(B19:B1129,B8,G19:G1129)</f>
        <v>21</v>
      </c>
      <c r="G8" s="39">
        <f>SUMIF(B19:B1129,B8,H19:H1129)</f>
        <v>9</v>
      </c>
      <c r="H8" s="38">
        <f>SUMIF(B19:B1129,B8,I19:I1129)</f>
        <v>4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2</v>
      </c>
      <c r="L8" s="39">
        <f>SUMIF(B19:B1129,B8,S19:S1129)</f>
        <v>2</v>
      </c>
      <c r="M8" s="39">
        <f>SUMIF(B19:B1129,B8,M19:M1129)</f>
        <v>49</v>
      </c>
      <c r="N8" s="39">
        <f>SUMIF(B19:B1129,B8,N19:N1129)</f>
        <v>4</v>
      </c>
      <c r="O8" s="38">
        <f>SUMIF(B19:B1129,B8,O19:O1129)</f>
        <v>1</v>
      </c>
      <c r="P8" s="39">
        <f>SUMIF(B19:B1129,B8,J19:J1129)</f>
        <v>3</v>
      </c>
      <c r="Q8" s="39">
        <f>SUMIF(B19:B1129,B8,K19:K1129)</f>
        <v>1</v>
      </c>
      <c r="R8" s="38">
        <f>SUMIF(B19:B1129,B8,L19:L1129)</f>
        <v>2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1641</v>
      </c>
      <c r="F10" s="51">
        <f>IFERROR((G8+R8)/F8,0)</f>
        <v>0.5238095238</v>
      </c>
      <c r="G10" s="51">
        <f>IFERROR(H8/G8,0)</f>
        <v>0.4444444444</v>
      </c>
      <c r="H10" s="50">
        <f>(C8/C10)</f>
        <v>547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4.454545455</v>
      </c>
      <c r="N10" s="46"/>
      <c r="O10" s="51">
        <f>IFERROR(O8/N8,0)</f>
        <v>0.25</v>
      </c>
      <c r="P10" s="53"/>
      <c r="Q10" s="51">
        <f>IFERROR(Q8/P8,0)</f>
        <v>0.3333333333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16293</v>
      </c>
      <c r="D11" s="26"/>
      <c r="E11" s="27">
        <f>SUMIFS(T:T,A:A,B11,D:D,"Y")</f>
        <v>0</v>
      </c>
      <c r="F11" s="8">
        <f>SUMIF(A:A,B11,G:G)</f>
        <v>25</v>
      </c>
      <c r="G11" s="10">
        <f>SUMIF(A:A,B11,H:H)</f>
        <v>10</v>
      </c>
      <c r="H11" s="10">
        <f>SUMIF(A:A,B11,I:I)</f>
        <v>6</v>
      </c>
      <c r="I11" s="10">
        <f>SUMIF(A:A,B11,P:P)</f>
        <v>0</v>
      </c>
      <c r="J11" s="10">
        <f>SUMIF(A:A,B11,Q:Q)</f>
        <v>0</v>
      </c>
      <c r="K11" s="10">
        <f>SUMIF(A:A,B11,R:R)</f>
        <v>6</v>
      </c>
      <c r="L11" s="10">
        <f>SUMIF(A:A,B11,S:S)</f>
        <v>5</v>
      </c>
      <c r="M11" s="10">
        <f>SUMIF(A:A,B11,M:M)</f>
        <v>29</v>
      </c>
      <c r="N11" s="10">
        <f>SUMIF(A:A,B11,N:N)</f>
        <v>2</v>
      </c>
      <c r="O11" s="10">
        <f>SUMIF(A:A,B11,O:O)</f>
        <v>1</v>
      </c>
      <c r="P11" s="10">
        <f>SUMIF(A:A,B11,J:J)</f>
        <v>6</v>
      </c>
      <c r="Q11" s="10">
        <f>SUMIF(A:A,B11,K:K)</f>
        <v>4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15</v>
      </c>
      <c r="D13" s="30"/>
      <c r="E13" s="19">
        <f>IFERROR(C11/H11,0)</f>
        <v>2715.5</v>
      </c>
      <c r="F13" s="20">
        <f>IFERROR((G11+R11)/F11,0)</f>
        <v>0.4</v>
      </c>
      <c r="G13" s="20">
        <f>IFERROR(H11/G11,0)</f>
        <v>0.6</v>
      </c>
      <c r="H13" s="19">
        <f>(C11/C13)</f>
        <v>1086.2</v>
      </c>
      <c r="I13" s="21"/>
      <c r="J13" s="20">
        <f>IFERROR(J11/I11,0)</f>
        <v>0</v>
      </c>
      <c r="K13" s="21"/>
      <c r="L13" s="20">
        <f>IFERROR(L11/K11,0)</f>
        <v>0.8333333333</v>
      </c>
      <c r="M13" s="22">
        <f>IFERROR(M11/SUM(R11+G11,0),"")</f>
        <v>2.9</v>
      </c>
      <c r="N13" s="21"/>
      <c r="O13" s="20">
        <f>IFERROR(O11/N11,0)</f>
        <v>0.5</v>
      </c>
      <c r="P13" s="22"/>
      <c r="Q13" s="20">
        <f>IFERROR(Q11/P11,0)</f>
        <v>0.6666666667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16293</v>
      </c>
      <c r="D14" s="36"/>
      <c r="E14" s="37">
        <f>SUMIFS(T:T,B:B,B14,D:D,"Y")</f>
        <v>0</v>
      </c>
      <c r="F14" s="38">
        <f>SUMIF(B19:B1129,B14,G19:G1129)</f>
        <v>25</v>
      </c>
      <c r="G14" s="39">
        <f>SUMIF(B19:B1129,B14,H19:H1129)</f>
        <v>10</v>
      </c>
      <c r="H14" s="38">
        <f>SUMIF(B19:B1129,B14,I19:I1129)</f>
        <v>6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6</v>
      </c>
      <c r="L14" s="39">
        <f>SUMIF(B19:B1129,B14,S19:S1129)</f>
        <v>5</v>
      </c>
      <c r="M14" s="39">
        <f>SUMIF(B19:B1129,B14,M19:M1129)</f>
        <v>29</v>
      </c>
      <c r="N14" s="39">
        <f>SUMIF(B19:B1129,B14,N19:N1129)</f>
        <v>2</v>
      </c>
      <c r="O14" s="38">
        <f>SUMIF(B19:B1129,B14,O19:O1129)</f>
        <v>1</v>
      </c>
      <c r="P14" s="39">
        <f>SUMIF(B19:B1129,B14,J19:J1129)</f>
        <v>6</v>
      </c>
      <c r="Q14" s="39">
        <f>SUMIF(B19:B1129,B14,K19:K1129)</f>
        <v>4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14</v>
      </c>
      <c r="D16" s="42"/>
      <c r="E16" s="50">
        <f>IFERROR(C14/H14,0)</f>
        <v>2715.5</v>
      </c>
      <c r="F16" s="51">
        <f>IFERROR((G14+R14)/F14,0)</f>
        <v>0.4</v>
      </c>
      <c r="G16" s="51">
        <f>IFERROR(H14/G14,0)</f>
        <v>0.6</v>
      </c>
      <c r="H16" s="50">
        <f>(C14/C16)</f>
        <v>1163.785714</v>
      </c>
      <c r="I16" s="46"/>
      <c r="J16" s="51">
        <f>IFERROR(J14/I14,0)</f>
        <v>0</v>
      </c>
      <c r="K16" s="46"/>
      <c r="L16" s="51">
        <f>IFERROR(L14/K14,0)</f>
        <v>0.8333333333</v>
      </c>
      <c r="M16" s="52">
        <f>IFERROR(M14/SUM(G14+R14,0),"")</f>
        <v>2.9</v>
      </c>
      <c r="N16" s="46"/>
      <c r="O16" s="51">
        <f>IFERROR(O14/N14,0)</f>
        <v>0.5</v>
      </c>
      <c r="P16" s="53"/>
      <c r="Q16" s="51">
        <f>IFERROR(Q14/P14,0)</f>
        <v>0.6666666667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7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4.0</v>
      </c>
      <c r="H22" s="65">
        <v>0.0</v>
      </c>
      <c r="I22" s="65">
        <v>0.0</v>
      </c>
      <c r="J22" s="65">
        <v>0.0</v>
      </c>
      <c r="K22" s="65">
        <v>0.0</v>
      </c>
      <c r="L22" s="65">
        <v>0.0</v>
      </c>
      <c r="M22" s="65">
        <v>0.0</v>
      </c>
      <c r="N22" s="65">
        <v>0.0</v>
      </c>
      <c r="O22" s="65">
        <v>0.0</v>
      </c>
      <c r="P22" s="65">
        <v>0.0</v>
      </c>
      <c r="Q22" s="65">
        <v>0.0</v>
      </c>
      <c r="R22" s="65">
        <v>0.0</v>
      </c>
      <c r="S22" s="65">
        <v>0.0</v>
      </c>
      <c r="T22" s="6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v>0.0</v>
      </c>
      <c r="H23" s="65">
        <v>0.0</v>
      </c>
      <c r="I23" s="65">
        <v>0.0</v>
      </c>
      <c r="J23" s="65">
        <v>0.0</v>
      </c>
      <c r="K23" s="65">
        <v>0.0</v>
      </c>
      <c r="L23" s="65">
        <v>0.0</v>
      </c>
      <c r="M23" s="65">
        <v>0.0</v>
      </c>
      <c r="N23" s="65">
        <v>0.0</v>
      </c>
      <c r="O23" s="65">
        <v>0.0</v>
      </c>
      <c r="P23" s="65">
        <v>0.0</v>
      </c>
      <c r="Q23" s="65">
        <v>0.0</v>
      </c>
      <c r="R23" s="65">
        <v>0.0</v>
      </c>
      <c r="S23" s="65">
        <v>0.0</v>
      </c>
      <c r="T23" s="6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3.0</v>
      </c>
      <c r="H24" s="105">
        <v>1.0</v>
      </c>
      <c r="I24" s="105">
        <v>1.0</v>
      </c>
      <c r="J24" s="105">
        <v>0.0</v>
      </c>
      <c r="K24" s="105">
        <v>0.0</v>
      </c>
      <c r="L24" s="105">
        <v>0.0</v>
      </c>
      <c r="M24" s="105">
        <v>5.0</v>
      </c>
      <c r="N24" s="105">
        <v>0.0</v>
      </c>
      <c r="O24" s="105">
        <v>0.0</v>
      </c>
      <c r="P24" s="105">
        <v>0.0</v>
      </c>
      <c r="Q24" s="105">
        <v>0.0</v>
      </c>
      <c r="R24" s="105">
        <v>1.0</v>
      </c>
      <c r="S24" s="105">
        <v>1.0</v>
      </c>
      <c r="T24" s="105">
        <v>1368.0</v>
      </c>
      <c r="U24" s="66">
        <f t="shared" si="2"/>
        <v>1</v>
      </c>
      <c r="V24" s="66">
        <f t="shared" si="3"/>
        <v>0.3333333333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2.0</v>
      </c>
      <c r="H25" s="105">
        <v>1.0</v>
      </c>
      <c r="I25" s="105">
        <v>1.0</v>
      </c>
      <c r="J25" s="105">
        <v>1.0</v>
      </c>
      <c r="K25" s="105">
        <v>1.0</v>
      </c>
      <c r="L25" s="105">
        <v>0.0</v>
      </c>
      <c r="M25" s="105">
        <v>3.0</v>
      </c>
      <c r="N25" s="105">
        <v>0.0</v>
      </c>
      <c r="O25" s="105">
        <v>0.0</v>
      </c>
      <c r="P25" s="105">
        <v>0.0</v>
      </c>
      <c r="Q25" s="105">
        <v>0.0</v>
      </c>
      <c r="R25" s="105">
        <v>1.0</v>
      </c>
      <c r="S25" s="105">
        <v>1.0</v>
      </c>
      <c r="T25" s="105">
        <v>1404.0</v>
      </c>
      <c r="U25" s="66">
        <f t="shared" si="2"/>
        <v>1</v>
      </c>
      <c r="V25" s="66">
        <f t="shared" si="3"/>
        <v>0.5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66">
        <f t="shared" si="2"/>
        <v>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0.0</v>
      </c>
      <c r="H27" s="105">
        <v>3.0</v>
      </c>
      <c r="I27" s="105">
        <v>1.0</v>
      </c>
      <c r="J27" s="105">
        <v>1.0</v>
      </c>
      <c r="K27" s="105">
        <v>0.0</v>
      </c>
      <c r="L27" s="105">
        <v>0.0</v>
      </c>
      <c r="M27" s="105">
        <v>13.0</v>
      </c>
      <c r="N27" s="105">
        <v>3.0</v>
      </c>
      <c r="O27" s="105">
        <v>1.0</v>
      </c>
      <c r="P27" s="105">
        <v>0.0</v>
      </c>
      <c r="Q27" s="105">
        <v>0.0</v>
      </c>
      <c r="R27" s="105">
        <v>0.0</v>
      </c>
      <c r="S27" s="105">
        <v>0.0</v>
      </c>
      <c r="T27" s="105">
        <v>2328.0</v>
      </c>
      <c r="U27" s="66">
        <f t="shared" si="2"/>
        <v>0.3333333333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0.0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106">
        <v>0.0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 t="s">
        <v>47</v>
      </c>
      <c r="F29" s="76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ref="U29:U32" si="4">IFERROR(I29/H29,0)</f>
        <v>0</v>
      </c>
      <c r="V29" s="66">
        <f t="shared" si="3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105">
        <v>3.0</v>
      </c>
      <c r="H30" s="105">
        <v>2.0</v>
      </c>
      <c r="I30" s="105">
        <v>1.0</v>
      </c>
      <c r="J30" s="105">
        <v>0.0</v>
      </c>
      <c r="K30" s="105">
        <v>0.0</v>
      </c>
      <c r="L30" s="105">
        <v>0.0</v>
      </c>
      <c r="M30" s="105">
        <v>2.0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1464.0</v>
      </c>
      <c r="U30" s="66">
        <f t="shared" si="4"/>
        <v>0.5</v>
      </c>
      <c r="V30" s="66">
        <f t="shared" si="3"/>
        <v>0.6666666667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105">
        <v>6.0</v>
      </c>
      <c r="H31" s="105">
        <v>1.0</v>
      </c>
      <c r="I31" s="105">
        <v>0.0</v>
      </c>
      <c r="J31" s="105">
        <v>0.0</v>
      </c>
      <c r="K31" s="105">
        <v>0.0</v>
      </c>
      <c r="L31" s="105">
        <v>1.0</v>
      </c>
      <c r="M31" s="105">
        <v>4.0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4"/>
        <v>0</v>
      </c>
      <c r="V31" s="66">
        <f t="shared" si="3"/>
        <v>0.3333333333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105">
        <v>3.0</v>
      </c>
      <c r="H32" s="105">
        <v>1.0</v>
      </c>
      <c r="I32" s="105">
        <v>0.0</v>
      </c>
      <c r="J32" s="105">
        <v>1.0</v>
      </c>
      <c r="K32" s="105">
        <v>0.0</v>
      </c>
      <c r="L32" s="105">
        <v>1.0</v>
      </c>
      <c r="M32" s="105">
        <v>22.0</v>
      </c>
      <c r="N32" s="105">
        <v>1.0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4"/>
        <v>0</v>
      </c>
      <c r="V32" s="66">
        <f t="shared" si="3"/>
        <v>0.6666666667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48" si="5">IFERROR(I34/H34,0)</f>
        <v>0</v>
      </c>
      <c r="V34" s="66">
        <f t="shared" ref="V34:V36" si="6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>
        <v>0.0</v>
      </c>
      <c r="H35" s="105">
        <v>0.0</v>
      </c>
      <c r="I35" s="105">
        <v>0.0</v>
      </c>
      <c r="J35" s="105">
        <v>0.0</v>
      </c>
      <c r="K35" s="105">
        <v>0.0</v>
      </c>
      <c r="L35" s="105">
        <v>0.0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66">
        <f t="shared" si="5"/>
        <v>0</v>
      </c>
      <c r="V35" s="66">
        <f t="shared" si="6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66">
        <f t="shared" si="5"/>
        <v>0</v>
      </c>
      <c r="V36" s="66">
        <f t="shared" si="6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4.0</v>
      </c>
      <c r="H37" s="105">
        <v>0.0</v>
      </c>
      <c r="I37" s="105">
        <v>0.0</v>
      </c>
      <c r="J37" s="105">
        <v>0.0</v>
      </c>
      <c r="K37" s="105">
        <v>0.0</v>
      </c>
      <c r="L37" s="105">
        <v>0.0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0.0</v>
      </c>
      <c r="S37" s="105">
        <v>0.0</v>
      </c>
      <c r="T37" s="105">
        <v>0.0</v>
      </c>
      <c r="U37" s="66">
        <f t="shared" si="5"/>
        <v>0</v>
      </c>
      <c r="V37" s="106">
        <v>0.0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si="5"/>
        <v>0</v>
      </c>
      <c r="V38" s="66">
        <f t="shared" ref="V38:V48" si="7">IFERROR(SUM(H38+L38)/G38,0)</f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13.0</v>
      </c>
      <c r="H39" s="105">
        <v>6.0</v>
      </c>
      <c r="I39" s="105">
        <v>4.0</v>
      </c>
      <c r="J39" s="105">
        <v>6.0</v>
      </c>
      <c r="K39" s="105">
        <v>4.0</v>
      </c>
      <c r="L39" s="105">
        <v>0.0</v>
      </c>
      <c r="M39" s="105">
        <v>14.0</v>
      </c>
      <c r="N39" s="105">
        <v>2.0</v>
      </c>
      <c r="O39" s="105">
        <v>1.0</v>
      </c>
      <c r="P39" s="105">
        <v>0.0</v>
      </c>
      <c r="Q39" s="105">
        <v>0.0</v>
      </c>
      <c r="R39" s="105">
        <v>4.0</v>
      </c>
      <c r="S39" s="105">
        <v>3.0</v>
      </c>
      <c r="T39" s="105">
        <v>8543.0</v>
      </c>
      <c r="U39" s="66">
        <f t="shared" si="5"/>
        <v>0.6666666667</v>
      </c>
      <c r="V39" s="66">
        <f t="shared" si="7"/>
        <v>0.4615384615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0.0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66">
        <f t="shared" si="5"/>
        <v>0</v>
      </c>
      <c r="V40" s="66">
        <f t="shared" si="7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0.0</v>
      </c>
      <c r="H41" s="105">
        <v>0.0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0.0</v>
      </c>
      <c r="U41" s="66">
        <f t="shared" si="5"/>
        <v>0</v>
      </c>
      <c r="V41" s="66">
        <f t="shared" si="7"/>
        <v>0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5"/>
        <v>0</v>
      </c>
      <c r="V42" s="66">
        <f t="shared" si="7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2.0</v>
      </c>
      <c r="H43" s="105">
        <v>2.0</v>
      </c>
      <c r="I43" s="105">
        <v>0.0</v>
      </c>
      <c r="J43" s="105">
        <v>0.0</v>
      </c>
      <c r="K43" s="105">
        <v>0.0</v>
      </c>
      <c r="L43" s="105">
        <v>0.0</v>
      </c>
      <c r="M43" s="105">
        <v>10.0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5"/>
        <v>0</v>
      </c>
      <c r="V43" s="66">
        <f t="shared" si="7"/>
        <v>1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6.0</v>
      </c>
      <c r="H44" s="105">
        <v>2.0</v>
      </c>
      <c r="I44" s="105">
        <v>2.0</v>
      </c>
      <c r="J44" s="105">
        <v>0.0</v>
      </c>
      <c r="K44" s="105">
        <v>0.0</v>
      </c>
      <c r="L44" s="105">
        <v>0.0</v>
      </c>
      <c r="M44" s="105">
        <v>5.0</v>
      </c>
      <c r="N44" s="105">
        <v>0.0</v>
      </c>
      <c r="O44" s="105">
        <v>0.0</v>
      </c>
      <c r="P44" s="105">
        <v>0.0</v>
      </c>
      <c r="Q44" s="105">
        <v>0.0</v>
      </c>
      <c r="R44" s="105">
        <v>2.0</v>
      </c>
      <c r="S44" s="105">
        <v>2.0</v>
      </c>
      <c r="T44" s="105">
        <v>7750.0</v>
      </c>
      <c r="U44" s="66">
        <f t="shared" si="5"/>
        <v>1</v>
      </c>
      <c r="V44" s="66">
        <f t="shared" si="7"/>
        <v>0.3333333333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5"/>
        <v>0</v>
      </c>
      <c r="V45" s="66">
        <f t="shared" si="7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5"/>
        <v>0</v>
      </c>
      <c r="V46" s="66">
        <f t="shared" si="7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5"/>
        <v>0</v>
      </c>
      <c r="V47" s="66">
        <f t="shared" si="7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5"/>
        <v>0</v>
      </c>
      <c r="V48" s="66">
        <f t="shared" si="7"/>
        <v>0</v>
      </c>
    </row>
    <row r="49" ht="12.75" customHeight="1">
      <c r="A49" s="96"/>
      <c r="B49" s="96"/>
      <c r="C49" s="96"/>
      <c r="D49" s="1"/>
      <c r="E49" s="96"/>
      <c r="F49" s="97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9"/>
      <c r="V49" s="99"/>
    </row>
    <row r="50" ht="12.75" customHeight="1">
      <c r="A50" s="96"/>
      <c r="B50" s="96"/>
      <c r="C50" s="96"/>
      <c r="D50" s="1"/>
      <c r="E50" s="96"/>
      <c r="F50" s="97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9"/>
      <c r="V50" s="99"/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100"/>
      <c r="B555" s="100"/>
      <c r="C555" s="100"/>
      <c r="D555" s="101"/>
      <c r="E555" s="100"/>
      <c r="F555" s="102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4"/>
      <c r="V555" s="104"/>
    </row>
    <row r="556" ht="12.75" customHeight="1">
      <c r="A556" s="100"/>
      <c r="B556" s="100"/>
      <c r="C556" s="100"/>
      <c r="D556" s="101"/>
      <c r="E556" s="100"/>
      <c r="F556" s="102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4"/>
      <c r="V556" s="104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19969</v>
      </c>
      <c r="D2" s="9"/>
      <c r="E2" s="8">
        <f t="shared" ref="E2:R2" si="1">SUM(E5,E11)</f>
        <v>8555</v>
      </c>
      <c r="F2" s="8">
        <f t="shared" si="1"/>
        <v>21</v>
      </c>
      <c r="G2" s="10">
        <f t="shared" si="1"/>
        <v>15</v>
      </c>
      <c r="H2" s="10">
        <f t="shared" si="1"/>
        <v>12</v>
      </c>
      <c r="I2" s="10">
        <f t="shared" si="1"/>
        <v>0</v>
      </c>
      <c r="J2" s="10">
        <f t="shared" si="1"/>
        <v>0</v>
      </c>
      <c r="K2" s="10">
        <f t="shared" si="1"/>
        <v>11</v>
      </c>
      <c r="L2" s="10">
        <f t="shared" si="1"/>
        <v>11</v>
      </c>
      <c r="M2" s="10">
        <f t="shared" si="1"/>
        <v>38</v>
      </c>
      <c r="N2" s="10">
        <f t="shared" si="1"/>
        <v>3</v>
      </c>
      <c r="O2" s="10">
        <f t="shared" si="1"/>
        <v>2</v>
      </c>
      <c r="P2" s="10">
        <f t="shared" si="1"/>
        <v>12</v>
      </c>
      <c r="Q2" s="10">
        <f t="shared" si="1"/>
        <v>10</v>
      </c>
      <c r="R2" s="10">
        <f t="shared" si="1"/>
        <v>3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28</v>
      </c>
      <c r="D4" s="14"/>
      <c r="E4" s="19">
        <f>IFERROR(C2/H2,0)</f>
        <v>1664.083333</v>
      </c>
      <c r="F4" s="20">
        <f>IFERROR((G2+R2)/F2,0)</f>
        <v>0.8571428571</v>
      </c>
      <c r="G4" s="20">
        <f>IFERROR(H2/G2,0)</f>
        <v>0.8</v>
      </c>
      <c r="H4" s="19">
        <f>(C2/C4)</f>
        <v>713.1785714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2.533333333</v>
      </c>
      <c r="N4" s="21"/>
      <c r="O4" s="20">
        <f>IFERROR(O2/N2,0)</f>
        <v>0.6666666667</v>
      </c>
      <c r="P4" s="22"/>
      <c r="Q4" s="20">
        <f>IFERROR(Q2/P2,0)</f>
        <v>0.8333333333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3911</v>
      </c>
      <c r="D5" s="26"/>
      <c r="E5" s="27">
        <f>SUMIFS(T:T,A:A,B5,D:D,"Y")</f>
        <v>3134</v>
      </c>
      <c r="F5" s="8">
        <f>SUMIF(A:A,B5,G:G)</f>
        <v>5</v>
      </c>
      <c r="G5" s="10">
        <f>SUMIF(A:A,B5,H:H)</f>
        <v>3</v>
      </c>
      <c r="H5" s="10">
        <f>SUMIF(A:A,B5,I:I)</f>
        <v>3</v>
      </c>
      <c r="I5" s="10">
        <f>SUMIF(A:A,B5,P:P)</f>
        <v>0</v>
      </c>
      <c r="J5" s="10">
        <f>SUMIF(A:A,B5,Q:Q)</f>
        <v>0</v>
      </c>
      <c r="K5" s="10">
        <f>SUMIF(A:A,B5,R:R)</f>
        <v>2</v>
      </c>
      <c r="L5" s="10">
        <f>SUMIF(A:A,B5,S:S)</f>
        <v>2</v>
      </c>
      <c r="M5" s="10">
        <f>SUMIF(A:A,B5,M:M)</f>
        <v>14</v>
      </c>
      <c r="N5" s="10">
        <f>SUMIF(A:A,B5,N:N)</f>
        <v>1</v>
      </c>
      <c r="O5" s="10">
        <f>SUMIF(A:A,B5,O:O)</f>
        <v>1</v>
      </c>
      <c r="P5" s="10">
        <f>SUMIF(A:A,B5,J:J)</f>
        <v>2</v>
      </c>
      <c r="Q5" s="10">
        <f>SUMIF(A:A,B5,K:K)</f>
        <v>2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1303.666667</v>
      </c>
      <c r="F7" s="20">
        <f>IFERROR((G5+R5)/F5,0)</f>
        <v>0.6</v>
      </c>
      <c r="G7" s="20">
        <f>IFERROR(H5/G5,0)</f>
        <v>1</v>
      </c>
      <c r="H7" s="19">
        <f>(C5/C7)</f>
        <v>300.8461538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4.666666667</v>
      </c>
      <c r="N7" s="21"/>
      <c r="O7" s="20">
        <f>IFERROR(O5/N5,0)</f>
        <v>1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3911</v>
      </c>
      <c r="D8" s="36"/>
      <c r="E8" s="37">
        <f>SUMIFS(T:T,B:B,B8,D:D,"Y")</f>
        <v>3134</v>
      </c>
      <c r="F8" s="38">
        <f>SUMIF(B19:B1129,B8,G19:G1129)</f>
        <v>5</v>
      </c>
      <c r="G8" s="39">
        <f>SUMIF(B19:B1129,B8,H19:H1129)</f>
        <v>3</v>
      </c>
      <c r="H8" s="38">
        <f>SUMIF(B19:B1129,B8,I19:I1129)</f>
        <v>3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2</v>
      </c>
      <c r="L8" s="39">
        <f>SUMIF(B19:B1129,B8,S19:S1129)</f>
        <v>2</v>
      </c>
      <c r="M8" s="39">
        <f>SUMIF(B19:B1129,B8,M19:M1129)</f>
        <v>14</v>
      </c>
      <c r="N8" s="39">
        <f>SUMIF(B19:B1129,B8,N19:N1129)</f>
        <v>1</v>
      </c>
      <c r="O8" s="38">
        <f>SUMIF(B19:B1129,B8,O19:O1129)</f>
        <v>1</v>
      </c>
      <c r="P8" s="39">
        <f>SUMIF(B19:B1129,B8,J19:J1129)</f>
        <v>2</v>
      </c>
      <c r="Q8" s="39">
        <f>SUMIF(B19:B1129,B8,K19:K1129)</f>
        <v>2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1303.666667</v>
      </c>
      <c r="F10" s="51">
        <f>IFERROR((G8+R8)/F8,0)</f>
        <v>0.6</v>
      </c>
      <c r="G10" s="51">
        <f>IFERROR(H8/G8,0)</f>
        <v>1</v>
      </c>
      <c r="H10" s="50">
        <f>(C8/C10)</f>
        <v>325.9166667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4.666666667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16058</v>
      </c>
      <c r="D11" s="26"/>
      <c r="E11" s="27">
        <f>SUMIFS(T:T,A:A,B11,D:D,"Y")</f>
        <v>5421</v>
      </c>
      <c r="F11" s="8">
        <f>SUMIF(A:A,B11,G:G)</f>
        <v>16</v>
      </c>
      <c r="G11" s="10">
        <f>SUMIF(A:A,B11,H:H)</f>
        <v>12</v>
      </c>
      <c r="H11" s="10">
        <f>SUMIF(A:A,B11,I:I)</f>
        <v>9</v>
      </c>
      <c r="I11" s="10">
        <f>SUMIF(A:A,B11,P:P)</f>
        <v>0</v>
      </c>
      <c r="J11" s="10">
        <f>SUMIF(A:A,B11,Q:Q)</f>
        <v>0</v>
      </c>
      <c r="K11" s="10">
        <f>SUMIF(A:A,B11,R:R)</f>
        <v>9</v>
      </c>
      <c r="L11" s="10">
        <f>SUMIF(A:A,B11,S:S)</f>
        <v>9</v>
      </c>
      <c r="M11" s="10">
        <f>SUMIF(A:A,B11,M:M)</f>
        <v>24</v>
      </c>
      <c r="N11" s="10">
        <f>SUMIF(A:A,B11,N:N)</f>
        <v>2</v>
      </c>
      <c r="O11" s="10">
        <f>SUMIF(A:A,B11,O:O)</f>
        <v>1</v>
      </c>
      <c r="P11" s="10">
        <f>SUMIF(A:A,B11,J:J)</f>
        <v>10</v>
      </c>
      <c r="Q11" s="10">
        <f>SUMIF(A:A,B11,K:K)</f>
        <v>8</v>
      </c>
      <c r="R11" s="10">
        <f>SUMIF(A:A,B11,L:L)</f>
        <v>3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15</v>
      </c>
      <c r="D13" s="30"/>
      <c r="E13" s="19">
        <f>IFERROR(C11/H11,0)</f>
        <v>1784.222222</v>
      </c>
      <c r="F13" s="20">
        <f>IFERROR((G11+R11)/F11,0)</f>
        <v>0.9375</v>
      </c>
      <c r="G13" s="20">
        <f>IFERROR(H11/G11,0)</f>
        <v>0.75</v>
      </c>
      <c r="H13" s="19">
        <f>(C11/C13)</f>
        <v>1070.533333</v>
      </c>
      <c r="I13" s="21"/>
      <c r="J13" s="20">
        <f>IFERROR(J11/I11,0)</f>
        <v>0</v>
      </c>
      <c r="K13" s="21"/>
      <c r="L13" s="20">
        <f>IFERROR(L11/K11,0)</f>
        <v>1</v>
      </c>
      <c r="M13" s="22">
        <f>IFERROR(M11/SUM(R11+G11,0),"")</f>
        <v>1.6</v>
      </c>
      <c r="N13" s="21"/>
      <c r="O13" s="20">
        <f>IFERROR(O11/N11,0)</f>
        <v>0.5</v>
      </c>
      <c r="P13" s="22"/>
      <c r="Q13" s="20">
        <f>IFERROR(Q11/P11,0)</f>
        <v>0.8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16058</v>
      </c>
      <c r="D14" s="36"/>
      <c r="E14" s="37">
        <f>SUMIFS(T:T,B:B,B14,D:D,"Y")</f>
        <v>5421</v>
      </c>
      <c r="F14" s="38">
        <f>SUMIF(B19:B1129,B14,G19:G1129)</f>
        <v>16</v>
      </c>
      <c r="G14" s="39">
        <f>SUMIF(B19:B1129,B14,H19:H1129)</f>
        <v>12</v>
      </c>
      <c r="H14" s="38">
        <f>SUMIF(B19:B1129,B14,I19:I1129)</f>
        <v>9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9</v>
      </c>
      <c r="L14" s="39">
        <f>SUMIF(B19:B1129,B14,S19:S1129)</f>
        <v>9</v>
      </c>
      <c r="M14" s="39">
        <f>SUMIF(B19:B1129,B14,M19:M1129)</f>
        <v>24</v>
      </c>
      <c r="N14" s="39">
        <f>SUMIF(B19:B1129,B14,N19:N1129)</f>
        <v>2</v>
      </c>
      <c r="O14" s="38">
        <f>SUMIF(B19:B1129,B14,O19:O1129)</f>
        <v>1</v>
      </c>
      <c r="P14" s="39">
        <f>SUMIF(B19:B1129,B14,J19:J1129)</f>
        <v>10</v>
      </c>
      <c r="Q14" s="39">
        <f>SUMIF(B19:B1129,B14,K19:K1129)</f>
        <v>8</v>
      </c>
      <c r="R14" s="38">
        <f>SUMIF(B19:B1129,B14,L19:L1129)</f>
        <v>3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14</v>
      </c>
      <c r="D16" s="42"/>
      <c r="E16" s="50">
        <f>IFERROR(C14/H14,0)</f>
        <v>1784.222222</v>
      </c>
      <c r="F16" s="51">
        <f>IFERROR((G14+R14)/F14,0)</f>
        <v>0.9375</v>
      </c>
      <c r="G16" s="51">
        <f>IFERROR(H14/G14,0)</f>
        <v>0.75</v>
      </c>
      <c r="H16" s="50">
        <f>(C14/C16)</f>
        <v>1147</v>
      </c>
      <c r="I16" s="46"/>
      <c r="J16" s="51">
        <f>IFERROR(J14/I14,0)</f>
        <v>0</v>
      </c>
      <c r="K16" s="46"/>
      <c r="L16" s="51">
        <f>IFERROR(L14/K14,0)</f>
        <v>1</v>
      </c>
      <c r="M16" s="52">
        <f>IFERROR(M14/SUM(G14+R14,0),"")</f>
        <v>1.6</v>
      </c>
      <c r="N16" s="46"/>
      <c r="O16" s="51">
        <f>IFERROR(O14/N14,0)</f>
        <v>0.5</v>
      </c>
      <c r="P16" s="53"/>
      <c r="Q16" s="51">
        <f>IFERROR(Q14/P14,0)</f>
        <v>0.8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8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v>0.0</v>
      </c>
      <c r="H22" s="65">
        <v>0.0</v>
      </c>
      <c r="I22" s="65">
        <v>0.0</v>
      </c>
      <c r="J22" s="65">
        <v>0.0</v>
      </c>
      <c r="K22" s="65">
        <v>0.0</v>
      </c>
      <c r="L22" s="65">
        <v>0.0</v>
      </c>
      <c r="M22" s="65">
        <v>0.0</v>
      </c>
      <c r="N22" s="65">
        <v>0.0</v>
      </c>
      <c r="O22" s="65">
        <v>0.0</v>
      </c>
      <c r="P22" s="65">
        <v>0.0</v>
      </c>
      <c r="Q22" s="65">
        <v>0.0</v>
      </c>
      <c r="R22" s="65">
        <v>0.0</v>
      </c>
      <c r="S22" s="65">
        <v>0.0</v>
      </c>
      <c r="T22" s="6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2.0</v>
      </c>
      <c r="H24" s="105">
        <v>1.0</v>
      </c>
      <c r="I24" s="105">
        <v>1.0</v>
      </c>
      <c r="J24" s="105">
        <v>0.0</v>
      </c>
      <c r="K24" s="105">
        <v>0.0</v>
      </c>
      <c r="L24" s="105">
        <v>0.0</v>
      </c>
      <c r="M24" s="105">
        <v>5.0</v>
      </c>
      <c r="N24" s="105">
        <v>0.0</v>
      </c>
      <c r="O24" s="105">
        <v>0.0</v>
      </c>
      <c r="P24" s="105">
        <v>0.0</v>
      </c>
      <c r="Q24" s="105">
        <v>0.0</v>
      </c>
      <c r="R24" s="105">
        <v>1.0</v>
      </c>
      <c r="S24" s="105">
        <v>1.0</v>
      </c>
      <c r="T24" s="105">
        <v>1519.0</v>
      </c>
      <c r="U24" s="66">
        <f t="shared" si="2"/>
        <v>1</v>
      </c>
      <c r="V24" s="66">
        <f t="shared" si="3"/>
        <v>0.5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0.0</v>
      </c>
      <c r="H26" s="105">
        <v>1.0</v>
      </c>
      <c r="I26" s="105">
        <v>1.0</v>
      </c>
      <c r="J26" s="105">
        <v>1.0</v>
      </c>
      <c r="K26" s="105">
        <v>1.0</v>
      </c>
      <c r="L26" s="105">
        <v>0.0</v>
      </c>
      <c r="M26" s="105">
        <v>5.0</v>
      </c>
      <c r="N26" s="105">
        <v>0.0</v>
      </c>
      <c r="O26" s="105">
        <v>0.0</v>
      </c>
      <c r="P26" s="105">
        <v>0.0</v>
      </c>
      <c r="Q26" s="105">
        <v>0.0</v>
      </c>
      <c r="R26" s="105">
        <v>1.0</v>
      </c>
      <c r="S26" s="105">
        <v>1.0</v>
      </c>
      <c r="T26" s="105">
        <v>1615.0</v>
      </c>
      <c r="U26" s="66">
        <f t="shared" si="2"/>
        <v>1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0.0</v>
      </c>
      <c r="H27" s="105">
        <v>1.0</v>
      </c>
      <c r="I27" s="105">
        <v>1.0</v>
      </c>
      <c r="J27" s="105">
        <v>1.0</v>
      </c>
      <c r="K27" s="105">
        <v>1.0</v>
      </c>
      <c r="L27" s="105">
        <v>0.0</v>
      </c>
      <c r="M27" s="105">
        <v>4.0</v>
      </c>
      <c r="N27" s="105">
        <v>1.0</v>
      </c>
      <c r="O27" s="105">
        <v>1.0</v>
      </c>
      <c r="P27" s="105">
        <v>0.0</v>
      </c>
      <c r="Q27" s="105">
        <v>0.0</v>
      </c>
      <c r="R27" s="105">
        <v>0.0</v>
      </c>
      <c r="S27" s="105">
        <v>0.0</v>
      </c>
      <c r="T27" s="105">
        <v>777.0</v>
      </c>
      <c r="U27" s="66">
        <f t="shared" si="2"/>
        <v>1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0.0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 t="s">
        <v>47</v>
      </c>
      <c r="F29" s="76" t="s">
        <v>56</v>
      </c>
      <c r="G29" s="105">
        <v>3.0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106">
        <v>0.0</v>
      </c>
      <c r="V29" s="66">
        <f t="shared" si="3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ref="U30:U32" si="4">IFERROR(I30/H30,0)</f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4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105">
        <v>0.0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0.0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4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48" si="5">IFERROR(I34/H34,0)</f>
        <v>0</v>
      </c>
      <c r="V34" s="66">
        <f t="shared" ref="V34:V48" si="6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>
        <v>0.0</v>
      </c>
      <c r="H35" s="105">
        <v>0.0</v>
      </c>
      <c r="I35" s="105">
        <v>0.0</v>
      </c>
      <c r="J35" s="105">
        <v>0.0</v>
      </c>
      <c r="K35" s="105">
        <v>0.0</v>
      </c>
      <c r="L35" s="105">
        <v>0.0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66">
        <f t="shared" si="5"/>
        <v>0</v>
      </c>
      <c r="V35" s="66">
        <f t="shared" si="6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2.0</v>
      </c>
      <c r="H36" s="105">
        <v>2.0</v>
      </c>
      <c r="I36" s="105">
        <v>2.0</v>
      </c>
      <c r="J36" s="105">
        <v>2.0</v>
      </c>
      <c r="K36" s="105">
        <v>2.0</v>
      </c>
      <c r="L36" s="105">
        <v>0.0</v>
      </c>
      <c r="M36" s="105">
        <v>5.0</v>
      </c>
      <c r="N36" s="105">
        <v>0.0</v>
      </c>
      <c r="O36" s="105">
        <v>0.0</v>
      </c>
      <c r="P36" s="105">
        <v>0.0</v>
      </c>
      <c r="Q36" s="105">
        <v>0.0</v>
      </c>
      <c r="R36" s="105">
        <v>2.0</v>
      </c>
      <c r="S36" s="105">
        <v>2.0</v>
      </c>
      <c r="T36" s="105">
        <v>5421.0</v>
      </c>
      <c r="U36" s="66">
        <f t="shared" si="5"/>
        <v>1</v>
      </c>
      <c r="V36" s="66">
        <f t="shared" si="6"/>
        <v>1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1.0</v>
      </c>
      <c r="H37" s="105">
        <v>1.0</v>
      </c>
      <c r="I37" s="105">
        <v>1.0</v>
      </c>
      <c r="J37" s="105">
        <v>1.0</v>
      </c>
      <c r="K37" s="105">
        <v>1.0</v>
      </c>
      <c r="L37" s="105">
        <v>0.0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1.0</v>
      </c>
      <c r="S37" s="105">
        <v>1.0</v>
      </c>
      <c r="T37" s="105">
        <v>1920.0</v>
      </c>
      <c r="U37" s="66">
        <f t="shared" si="5"/>
        <v>1</v>
      </c>
      <c r="V37" s="66">
        <f t="shared" si="6"/>
        <v>1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si="5"/>
        <v>0</v>
      </c>
      <c r="V38" s="66">
        <f t="shared" si="6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8.0</v>
      </c>
      <c r="H39" s="105">
        <v>4.0</v>
      </c>
      <c r="I39" s="105">
        <v>3.0</v>
      </c>
      <c r="J39" s="105">
        <v>3.0</v>
      </c>
      <c r="K39" s="105">
        <v>3.0</v>
      </c>
      <c r="L39" s="105">
        <v>1.0</v>
      </c>
      <c r="M39" s="105">
        <v>13.0</v>
      </c>
      <c r="N39" s="105">
        <v>1.0</v>
      </c>
      <c r="O39" s="105">
        <v>1.0</v>
      </c>
      <c r="P39" s="105">
        <v>0.0</v>
      </c>
      <c r="Q39" s="105">
        <v>0.0</v>
      </c>
      <c r="R39" s="105">
        <v>3.0</v>
      </c>
      <c r="S39" s="105">
        <v>3.0</v>
      </c>
      <c r="T39" s="105">
        <v>3495.0</v>
      </c>
      <c r="U39" s="66">
        <f t="shared" si="5"/>
        <v>0.75</v>
      </c>
      <c r="V39" s="66">
        <f t="shared" si="6"/>
        <v>0.625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0.0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66">
        <f t="shared" si="5"/>
        <v>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2.0</v>
      </c>
      <c r="H41" s="105">
        <v>2.0</v>
      </c>
      <c r="I41" s="105">
        <v>1.0</v>
      </c>
      <c r="J41" s="105">
        <v>2.0</v>
      </c>
      <c r="K41" s="105">
        <v>1.0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1.0</v>
      </c>
      <c r="S41" s="105">
        <v>1.0</v>
      </c>
      <c r="T41" s="105">
        <v>598.0</v>
      </c>
      <c r="U41" s="66">
        <f t="shared" si="5"/>
        <v>0.5</v>
      </c>
      <c r="V41" s="66">
        <f t="shared" si="6"/>
        <v>1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1.0</v>
      </c>
      <c r="H42" s="105">
        <v>1.0</v>
      </c>
      <c r="I42" s="105">
        <v>1.0</v>
      </c>
      <c r="J42" s="105">
        <v>1.0</v>
      </c>
      <c r="K42" s="105">
        <v>1.0</v>
      </c>
      <c r="L42" s="105">
        <v>0.0</v>
      </c>
      <c r="M42" s="105">
        <v>3.0</v>
      </c>
      <c r="N42" s="105">
        <v>0.0</v>
      </c>
      <c r="O42" s="105">
        <v>0.0</v>
      </c>
      <c r="P42" s="105">
        <v>0.0</v>
      </c>
      <c r="Q42" s="105">
        <v>0.0</v>
      </c>
      <c r="R42" s="105">
        <v>1.0</v>
      </c>
      <c r="S42" s="105">
        <v>1.0</v>
      </c>
      <c r="T42" s="105">
        <v>2200.0</v>
      </c>
      <c r="U42" s="66">
        <f t="shared" si="5"/>
        <v>1</v>
      </c>
      <c r="V42" s="66">
        <f t="shared" si="6"/>
        <v>1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1.0</v>
      </c>
      <c r="H43" s="105">
        <v>1.0</v>
      </c>
      <c r="I43" s="105">
        <v>1.0</v>
      </c>
      <c r="J43" s="105">
        <v>0.0</v>
      </c>
      <c r="K43" s="105">
        <v>0.0</v>
      </c>
      <c r="L43" s="105">
        <v>2.0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1.0</v>
      </c>
      <c r="S43" s="105">
        <v>1.0</v>
      </c>
      <c r="T43" s="105">
        <v>2424.0</v>
      </c>
      <c r="U43" s="66">
        <f t="shared" si="5"/>
        <v>1</v>
      </c>
      <c r="V43" s="66">
        <f t="shared" si="6"/>
        <v>3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5"/>
        <v>0</v>
      </c>
      <c r="V44" s="66">
        <f t="shared" si="6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1.0</v>
      </c>
      <c r="H46" s="105">
        <v>1.0</v>
      </c>
      <c r="I46" s="105">
        <v>0.0</v>
      </c>
      <c r="J46" s="105">
        <v>1.0</v>
      </c>
      <c r="K46" s="105">
        <v>0.0</v>
      </c>
      <c r="L46" s="105">
        <v>0.0</v>
      </c>
      <c r="M46" s="105">
        <v>3.0</v>
      </c>
      <c r="N46" s="105">
        <v>1.0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5"/>
        <v>0</v>
      </c>
      <c r="V46" s="66">
        <f t="shared" si="6"/>
        <v>1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5"/>
        <v>0</v>
      </c>
      <c r="V48" s="66">
        <f t="shared" si="6"/>
        <v>0</v>
      </c>
    </row>
    <row r="49" ht="12.75" customHeight="1">
      <c r="A49" s="96"/>
      <c r="B49" s="96"/>
      <c r="C49" s="96"/>
      <c r="D49" s="1"/>
      <c r="E49" s="96"/>
      <c r="F49" s="97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9"/>
      <c r="V49" s="99"/>
    </row>
    <row r="50" ht="12.75" customHeight="1">
      <c r="A50" s="96"/>
      <c r="B50" s="96"/>
      <c r="C50" s="96"/>
      <c r="D50" s="1"/>
      <c r="E50" s="96"/>
      <c r="F50" s="97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9"/>
      <c r="V50" s="99"/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100"/>
      <c r="B555" s="100"/>
      <c r="C555" s="100"/>
      <c r="D555" s="101"/>
      <c r="E555" s="100"/>
      <c r="F555" s="102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4"/>
      <c r="V555" s="104"/>
    </row>
    <row r="556" ht="12.75" customHeight="1">
      <c r="A556" s="100"/>
      <c r="B556" s="100"/>
      <c r="C556" s="100"/>
      <c r="D556" s="101"/>
      <c r="E556" s="100"/>
      <c r="F556" s="102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4"/>
      <c r="V556" s="104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6758</v>
      </c>
      <c r="D2" s="9"/>
      <c r="E2" s="8">
        <f t="shared" ref="E2:R2" si="1">SUM(E5,E11)</f>
        <v>0</v>
      </c>
      <c r="F2" s="8">
        <f t="shared" si="1"/>
        <v>5</v>
      </c>
      <c r="G2" s="10">
        <f t="shared" si="1"/>
        <v>5</v>
      </c>
      <c r="H2" s="10">
        <f t="shared" si="1"/>
        <v>4</v>
      </c>
      <c r="I2" s="10">
        <f t="shared" si="1"/>
        <v>0</v>
      </c>
      <c r="J2" s="10">
        <f t="shared" si="1"/>
        <v>0</v>
      </c>
      <c r="K2" s="10">
        <f t="shared" si="1"/>
        <v>5</v>
      </c>
      <c r="L2" s="10">
        <f t="shared" si="1"/>
        <v>4</v>
      </c>
      <c r="M2" s="10">
        <f t="shared" si="1"/>
        <v>8</v>
      </c>
      <c r="N2" s="10">
        <f t="shared" si="1"/>
        <v>0</v>
      </c>
      <c r="O2" s="10">
        <f t="shared" si="1"/>
        <v>0</v>
      </c>
      <c r="P2" s="10">
        <f t="shared" si="1"/>
        <v>4</v>
      </c>
      <c r="Q2" s="10">
        <f t="shared" si="1"/>
        <v>4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28</v>
      </c>
      <c r="D4" s="14"/>
      <c r="E4" s="19">
        <f>IFERROR(C2/H2,0)</f>
        <v>1689.5</v>
      </c>
      <c r="F4" s="20">
        <f>IFERROR((G2+R2)/F2,0)</f>
        <v>1.2</v>
      </c>
      <c r="G4" s="20">
        <f>IFERROR(H2/G2,0)</f>
        <v>0.8</v>
      </c>
      <c r="H4" s="19">
        <f>(C2/C4)</f>
        <v>241.3571429</v>
      </c>
      <c r="I4" s="21"/>
      <c r="J4" s="20">
        <f>IFERROR(J2/I2,0)</f>
        <v>0</v>
      </c>
      <c r="K4" s="21"/>
      <c r="L4" s="20">
        <f>IFERROR(L2/K2,0)</f>
        <v>0.8</v>
      </c>
      <c r="M4" s="22">
        <f>IFERROR(M2/G2,0)</f>
        <v>1.6</v>
      </c>
      <c r="N4" s="21"/>
      <c r="O4" s="20">
        <f>IFERROR(O2/N2,0)</f>
        <v>0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1</v>
      </c>
      <c r="G5" s="10">
        <f>SUMIF(A:A,B5,H:H)</f>
        <v>1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0</v>
      </c>
      <c r="M5" s="10">
        <f>SUMIF(A:A,B5,M:M)</f>
        <v>6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0</v>
      </c>
      <c r="F7" s="20">
        <f>IFERROR((G5+R5)/F5,0)</f>
        <v>2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3</v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1</v>
      </c>
      <c r="G8" s="39">
        <f>SUMIF(B19:B1129,B8,H19:H1129)</f>
        <v>1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1</v>
      </c>
      <c r="L8" s="39">
        <f>SUMIF(B19:B1129,B8,S19:S1129)</f>
        <v>0</v>
      </c>
      <c r="M8" s="39">
        <f>SUMIF(B19:B1129,B8,M19:M1129)</f>
        <v>6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0</v>
      </c>
      <c r="F10" s="51">
        <f>IFERROR((G8+R8)/F8,0)</f>
        <v>2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3</v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6758</v>
      </c>
      <c r="D11" s="26"/>
      <c r="E11" s="27">
        <f>SUMIFS(T:T,A:A,B11,D:D,"Y")</f>
        <v>0</v>
      </c>
      <c r="F11" s="8">
        <f>SUMIF(A:A,B11,G:G)</f>
        <v>4</v>
      </c>
      <c r="G11" s="10">
        <f>SUMIF(A:A,B11,H:H)</f>
        <v>4</v>
      </c>
      <c r="H11" s="10">
        <f>SUMIF(A:A,B11,I:I)</f>
        <v>4</v>
      </c>
      <c r="I11" s="10">
        <f>SUMIF(A:A,B11,P:P)</f>
        <v>0</v>
      </c>
      <c r="J11" s="10">
        <f>SUMIF(A:A,B11,Q:Q)</f>
        <v>0</v>
      </c>
      <c r="K11" s="10">
        <f>SUMIF(A:A,B11,R:R)</f>
        <v>4</v>
      </c>
      <c r="L11" s="10">
        <f>SUMIF(A:A,B11,S:S)</f>
        <v>4</v>
      </c>
      <c r="M11" s="10">
        <f>SUMIF(A:A,B11,M:M)</f>
        <v>2</v>
      </c>
      <c r="N11" s="10">
        <f>SUMIF(A:A,B11,N:N)</f>
        <v>0</v>
      </c>
      <c r="O11" s="10">
        <f>SUMIF(A:A,B11,O:O)</f>
        <v>0</v>
      </c>
      <c r="P11" s="10">
        <f>SUMIF(A:A,B11,J:J)</f>
        <v>4</v>
      </c>
      <c r="Q11" s="10">
        <f>SUMIF(A:A,B11,K:K)</f>
        <v>4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15</v>
      </c>
      <c r="D13" s="30"/>
      <c r="E13" s="19">
        <f>IFERROR(C11/H11,0)</f>
        <v>1689.5</v>
      </c>
      <c r="F13" s="20">
        <f>IFERROR((G11+R11)/F11,0)</f>
        <v>1</v>
      </c>
      <c r="G13" s="20">
        <f>IFERROR(H11/G11,0)</f>
        <v>1</v>
      </c>
      <c r="H13" s="19">
        <f>(C11/C13)</f>
        <v>450.5333333</v>
      </c>
      <c r="I13" s="21"/>
      <c r="J13" s="20">
        <f>IFERROR(J11/I11,0)</f>
        <v>0</v>
      </c>
      <c r="K13" s="21"/>
      <c r="L13" s="20">
        <f>IFERROR(L11/K11,0)</f>
        <v>1</v>
      </c>
      <c r="M13" s="22">
        <f>IFERROR(M11/SUM(R11+G11,0),"")</f>
        <v>0.5</v>
      </c>
      <c r="N13" s="21"/>
      <c r="O13" s="20">
        <f>IFERROR(O11/N11,0)</f>
        <v>0</v>
      </c>
      <c r="P13" s="22"/>
      <c r="Q13" s="20">
        <f>IFERROR(Q11/P11,0)</f>
        <v>1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6758</v>
      </c>
      <c r="D14" s="36"/>
      <c r="E14" s="37">
        <f>SUMIFS(T:T,B:B,B14,D:D,"Y")</f>
        <v>0</v>
      </c>
      <c r="F14" s="38">
        <f>SUMIF(B19:B1129,B14,G19:G1129)</f>
        <v>4</v>
      </c>
      <c r="G14" s="39">
        <f>SUMIF(B19:B1129,B14,H19:H1129)</f>
        <v>4</v>
      </c>
      <c r="H14" s="38">
        <f>SUMIF(B19:B1129,B14,I19:I1129)</f>
        <v>4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4</v>
      </c>
      <c r="L14" s="39">
        <f>SUMIF(B19:B1129,B14,S19:S1129)</f>
        <v>4</v>
      </c>
      <c r="M14" s="39">
        <f>SUMIF(B19:B1129,B14,M19:M1129)</f>
        <v>2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4</v>
      </c>
      <c r="Q14" s="39">
        <f>SUMIF(B19:B1129,B14,K19:K1129)</f>
        <v>4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14</v>
      </c>
      <c r="D16" s="42"/>
      <c r="E16" s="50">
        <f>IFERROR(C14/H14,0)</f>
        <v>1689.5</v>
      </c>
      <c r="F16" s="51">
        <f>IFERROR((G14+R14)/F14,0)</f>
        <v>1</v>
      </c>
      <c r="G16" s="51">
        <f>IFERROR(H14/G14,0)</f>
        <v>1</v>
      </c>
      <c r="H16" s="50">
        <f>(C14/C16)</f>
        <v>482.7142857</v>
      </c>
      <c r="I16" s="46"/>
      <c r="J16" s="51">
        <f>IFERROR(J14/I14,0)</f>
        <v>0</v>
      </c>
      <c r="K16" s="46"/>
      <c r="L16" s="51">
        <f>IFERROR(L14/K14,0)</f>
        <v>1</v>
      </c>
      <c r="M16" s="52">
        <f>IFERROR(M14/SUM(G14+R14,0),"")</f>
        <v>0.5</v>
      </c>
      <c r="N16" s="46"/>
      <c r="O16" s="51">
        <f>IFERROR(O14/N14,0)</f>
        <v>0</v>
      </c>
      <c r="P16" s="53"/>
      <c r="Q16" s="51">
        <f>IFERROR(Q14/P14,0)</f>
        <v>1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4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1.0</v>
      </c>
      <c r="H22" s="105">
        <v>1.0</v>
      </c>
      <c r="I22" s="105">
        <v>0.0</v>
      </c>
      <c r="J22" s="105">
        <v>0.0</v>
      </c>
      <c r="K22" s="105">
        <v>0.0</v>
      </c>
      <c r="L22" s="105">
        <v>1.0</v>
      </c>
      <c r="M22" s="105">
        <v>6.0</v>
      </c>
      <c r="N22" s="105">
        <v>0.0</v>
      </c>
      <c r="O22" s="105">
        <v>0.0</v>
      </c>
      <c r="P22" s="105">
        <v>0.0</v>
      </c>
      <c r="Q22" s="105">
        <v>0.0</v>
      </c>
      <c r="R22" s="105">
        <v>1.0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2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v>0.0</v>
      </c>
      <c r="H23" s="65">
        <v>0.0</v>
      </c>
      <c r="I23" s="65">
        <v>0.0</v>
      </c>
      <c r="J23" s="65">
        <v>0.0</v>
      </c>
      <c r="K23" s="65">
        <v>0.0</v>
      </c>
      <c r="L23" s="65">
        <v>0.0</v>
      </c>
      <c r="M23" s="65">
        <v>0.0</v>
      </c>
      <c r="N23" s="65">
        <v>0.0</v>
      </c>
      <c r="O23" s="65">
        <v>0.0</v>
      </c>
      <c r="P23" s="65">
        <v>0.0</v>
      </c>
      <c r="Q23" s="65">
        <v>0.0</v>
      </c>
      <c r="R23" s="65">
        <v>0.0</v>
      </c>
      <c r="S23" s="65">
        <v>0.0</v>
      </c>
      <c r="T23" s="6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0.0</v>
      </c>
      <c r="H24" s="105">
        <v>0.0</v>
      </c>
      <c r="I24" s="105">
        <v>0.0</v>
      </c>
      <c r="J24" s="105">
        <v>0.0</v>
      </c>
      <c r="K24" s="105">
        <v>0.0</v>
      </c>
      <c r="L24" s="105">
        <v>0.0</v>
      </c>
      <c r="M24" s="105">
        <v>0.0</v>
      </c>
      <c r="N24" s="105">
        <v>0.0</v>
      </c>
      <c r="O24" s="105">
        <v>0.0</v>
      </c>
      <c r="P24" s="105">
        <v>0.0</v>
      </c>
      <c r="Q24" s="105">
        <v>0.0</v>
      </c>
      <c r="R24" s="105">
        <v>0.0</v>
      </c>
      <c r="S24" s="105">
        <v>0.0</v>
      </c>
      <c r="T24" s="105">
        <v>0.0</v>
      </c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106">
        <v>0.0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106">
        <v>0.0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ref="U27:U29" si="4">IFERROR(I27/H27,0)</f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0.0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66">
        <f t="shared" si="4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 t="s">
        <v>47</v>
      </c>
      <c r="F29" s="76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4"/>
        <v>0</v>
      </c>
      <c r="V29" s="66">
        <f t="shared" si="3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106">
        <v>0.0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ref="U31:U32" si="5">IFERROR(I31/H31,0)</f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105">
        <v>0.0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0.0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5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36" si="6">IFERROR(I34/H34,0)</f>
        <v>0</v>
      </c>
      <c r="V34" s="66">
        <f t="shared" ref="V34:V48" si="7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>
        <v>0.0</v>
      </c>
      <c r="H35" s="105">
        <v>0.0</v>
      </c>
      <c r="I35" s="105">
        <v>0.0</v>
      </c>
      <c r="J35" s="105">
        <v>0.0</v>
      </c>
      <c r="K35" s="105">
        <v>0.0</v>
      </c>
      <c r="L35" s="105">
        <v>0.0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66">
        <f t="shared" si="6"/>
        <v>0</v>
      </c>
      <c r="V35" s="66">
        <f t="shared" si="7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66">
        <f t="shared" si="6"/>
        <v>0</v>
      </c>
      <c r="V36" s="66">
        <f t="shared" si="7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0.0</v>
      </c>
      <c r="H37" s="105">
        <v>0.0</v>
      </c>
      <c r="I37" s="105">
        <v>0.0</v>
      </c>
      <c r="J37" s="105">
        <v>0.0</v>
      </c>
      <c r="K37" s="105">
        <v>0.0</v>
      </c>
      <c r="L37" s="105">
        <v>0.0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0.0</v>
      </c>
      <c r="S37" s="105">
        <v>0.0</v>
      </c>
      <c r="T37" s="105">
        <v>0.0</v>
      </c>
      <c r="U37" s="106">
        <v>0.0</v>
      </c>
      <c r="V37" s="66">
        <f t="shared" si="7"/>
        <v>0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ref="U38:U48" si="8">IFERROR(I38/H38,0)</f>
        <v>0</v>
      </c>
      <c r="V38" s="66">
        <f t="shared" si="7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0.0</v>
      </c>
      <c r="H39" s="105">
        <v>0.0</v>
      </c>
      <c r="I39" s="105">
        <v>0.0</v>
      </c>
      <c r="J39" s="105">
        <v>0.0</v>
      </c>
      <c r="K39" s="105">
        <v>0.0</v>
      </c>
      <c r="L39" s="105">
        <v>0.0</v>
      </c>
      <c r="M39" s="105">
        <v>0.0</v>
      </c>
      <c r="N39" s="105">
        <v>0.0</v>
      </c>
      <c r="O39" s="105">
        <v>0.0</v>
      </c>
      <c r="P39" s="105">
        <v>0.0</v>
      </c>
      <c r="Q39" s="105">
        <v>0.0</v>
      </c>
      <c r="R39" s="105">
        <v>0.0</v>
      </c>
      <c r="S39" s="105">
        <v>0.0</v>
      </c>
      <c r="T39" s="105">
        <v>0.0</v>
      </c>
      <c r="U39" s="66">
        <f t="shared" si="8"/>
        <v>0</v>
      </c>
      <c r="V39" s="66">
        <f t="shared" si="7"/>
        <v>0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3.0</v>
      </c>
      <c r="H40" s="105">
        <v>3.0</v>
      </c>
      <c r="I40" s="105">
        <v>3.0</v>
      </c>
      <c r="J40" s="105">
        <v>3.0</v>
      </c>
      <c r="K40" s="105">
        <v>3.0</v>
      </c>
      <c r="L40" s="105">
        <v>0.0</v>
      </c>
      <c r="M40" s="105">
        <v>2.0</v>
      </c>
      <c r="N40" s="105">
        <v>0.0</v>
      </c>
      <c r="O40" s="105">
        <v>0.0</v>
      </c>
      <c r="P40" s="105">
        <v>0.0</v>
      </c>
      <c r="Q40" s="105">
        <v>0.0</v>
      </c>
      <c r="R40" s="105">
        <v>3.0</v>
      </c>
      <c r="S40" s="105">
        <v>3.0</v>
      </c>
      <c r="T40" s="105">
        <v>4330.0</v>
      </c>
      <c r="U40" s="66">
        <f t="shared" si="8"/>
        <v>1</v>
      </c>
      <c r="V40" s="66">
        <f t="shared" si="7"/>
        <v>1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1.0</v>
      </c>
      <c r="H41" s="105">
        <v>1.0</v>
      </c>
      <c r="I41" s="105">
        <v>1.0</v>
      </c>
      <c r="J41" s="105">
        <v>1.0</v>
      </c>
      <c r="K41" s="105">
        <v>1.0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1.0</v>
      </c>
      <c r="S41" s="105">
        <v>1.0</v>
      </c>
      <c r="T41" s="105">
        <v>2428.0</v>
      </c>
      <c r="U41" s="66">
        <f t="shared" si="8"/>
        <v>1</v>
      </c>
      <c r="V41" s="66">
        <f t="shared" si="7"/>
        <v>1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8"/>
        <v>0</v>
      </c>
      <c r="V42" s="66">
        <f t="shared" si="7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8"/>
        <v>0</v>
      </c>
      <c r="V43" s="66">
        <f t="shared" si="7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8"/>
        <v>0</v>
      </c>
      <c r="V44" s="66">
        <f t="shared" si="7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8"/>
        <v>0</v>
      </c>
      <c r="V45" s="66">
        <f t="shared" si="7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8"/>
        <v>0</v>
      </c>
      <c r="V46" s="66">
        <f t="shared" si="7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8"/>
        <v>0</v>
      </c>
      <c r="V47" s="66">
        <f t="shared" si="7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8"/>
        <v>0</v>
      </c>
      <c r="V48" s="66">
        <f t="shared" si="7"/>
        <v>0</v>
      </c>
    </row>
    <row r="49" ht="12.75" customHeight="1">
      <c r="A49" s="96"/>
      <c r="B49" s="96"/>
      <c r="C49" s="96"/>
      <c r="D49" s="1"/>
      <c r="E49" s="96"/>
      <c r="F49" s="97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9"/>
      <c r="V49" s="99"/>
    </row>
    <row r="50" ht="12.75" customHeight="1">
      <c r="A50" s="96"/>
      <c r="B50" s="96"/>
      <c r="C50" s="96"/>
      <c r="D50" s="1"/>
      <c r="E50" s="96"/>
      <c r="F50" s="97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9"/>
      <c r="V50" s="99"/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100"/>
      <c r="B555" s="100"/>
      <c r="C555" s="100"/>
      <c r="D555" s="101"/>
      <c r="E555" s="100"/>
      <c r="F555" s="102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4"/>
      <c r="V555" s="104"/>
    </row>
    <row r="556" ht="12.75" customHeight="1">
      <c r="A556" s="100"/>
      <c r="B556" s="100"/>
      <c r="C556" s="100"/>
      <c r="D556" s="101"/>
      <c r="E556" s="100"/>
      <c r="F556" s="102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4"/>
      <c r="V556" s="104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21151</v>
      </c>
      <c r="D2" s="9"/>
      <c r="E2" s="8">
        <f t="shared" ref="E2:R2" si="1">SUM(E5,E11)</f>
        <v>9891</v>
      </c>
      <c r="F2" s="8">
        <f t="shared" si="1"/>
        <v>44</v>
      </c>
      <c r="G2" s="10">
        <f t="shared" si="1"/>
        <v>32</v>
      </c>
      <c r="H2" s="10">
        <f t="shared" si="1"/>
        <v>14</v>
      </c>
      <c r="I2" s="10">
        <f t="shared" si="1"/>
        <v>1</v>
      </c>
      <c r="J2" s="10">
        <f t="shared" si="1"/>
        <v>1</v>
      </c>
      <c r="K2" s="10">
        <f t="shared" si="1"/>
        <v>15</v>
      </c>
      <c r="L2" s="10">
        <f t="shared" si="1"/>
        <v>6</v>
      </c>
      <c r="M2" s="10">
        <f t="shared" si="1"/>
        <v>66</v>
      </c>
      <c r="N2" s="10">
        <f t="shared" si="1"/>
        <v>23</v>
      </c>
      <c r="O2" s="10">
        <f t="shared" si="1"/>
        <v>8</v>
      </c>
      <c r="P2" s="10">
        <f t="shared" si="1"/>
        <v>14</v>
      </c>
      <c r="Q2" s="10">
        <f t="shared" si="1"/>
        <v>7</v>
      </c>
      <c r="R2" s="10">
        <f t="shared" si="1"/>
        <v>8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28</v>
      </c>
      <c r="D4" s="14"/>
      <c r="E4" s="19">
        <f>IFERROR(C2/H2,0)</f>
        <v>1510.785714</v>
      </c>
      <c r="F4" s="20">
        <f>IFERROR((G2+R2)/F2,0)</f>
        <v>0.9090909091</v>
      </c>
      <c r="G4" s="20">
        <f>IFERROR(H2/G2,0)</f>
        <v>0.4375</v>
      </c>
      <c r="H4" s="19">
        <f>(C2/C4)</f>
        <v>755.3928571</v>
      </c>
      <c r="I4" s="21"/>
      <c r="J4" s="20">
        <f>IFERROR(J2/I2,0)</f>
        <v>1</v>
      </c>
      <c r="K4" s="21"/>
      <c r="L4" s="20">
        <f>IFERROR(L2/K2,0)</f>
        <v>0.4</v>
      </c>
      <c r="M4" s="22">
        <f>IFERROR(M2/G2,0)</f>
        <v>2.0625</v>
      </c>
      <c r="N4" s="21"/>
      <c r="O4" s="20">
        <f>IFERROR(O2/N2,0)</f>
        <v>0.347826087</v>
      </c>
      <c r="P4" s="22"/>
      <c r="Q4" s="20">
        <f>IFERROR(Q2/P2,0)</f>
        <v>0.5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7236</v>
      </c>
      <c r="D5" s="26"/>
      <c r="E5" s="27">
        <f>SUMIFS(T:T,A:A,B5,D:D,"Y")</f>
        <v>1261</v>
      </c>
      <c r="F5" s="8">
        <f>SUMIF(A:A,B5,G:G)</f>
        <v>15</v>
      </c>
      <c r="G5" s="10">
        <f>SUMIF(A:A,B5,H:H)</f>
        <v>14</v>
      </c>
      <c r="H5" s="10">
        <f>SUMIF(A:A,B5,I:I)</f>
        <v>8</v>
      </c>
      <c r="I5" s="10">
        <f>SUMIF(A:A,B5,P:P)</f>
        <v>1</v>
      </c>
      <c r="J5" s="10">
        <f>SUMIF(A:A,B5,Q:Q)</f>
        <v>1</v>
      </c>
      <c r="K5" s="10">
        <f>SUMIF(A:A,B5,R:R)</f>
        <v>3</v>
      </c>
      <c r="L5" s="10">
        <f>SUMIF(A:A,B5,S:S)</f>
        <v>1</v>
      </c>
      <c r="M5" s="10">
        <f>SUMIF(A:A,B5,M:M)</f>
        <v>49</v>
      </c>
      <c r="N5" s="10">
        <f>SUMIF(A:A,B5,N:N)</f>
        <v>20</v>
      </c>
      <c r="O5" s="10">
        <f>SUMIF(A:A,B5,O:O)</f>
        <v>7</v>
      </c>
      <c r="P5" s="10">
        <f>SUMIF(A:A,B5,J:J)</f>
        <v>4</v>
      </c>
      <c r="Q5" s="10">
        <f>SUMIF(A:A,B5,K:K)</f>
        <v>2</v>
      </c>
      <c r="R5" s="10">
        <f>SUMIF(A:A,B5,L:L)</f>
        <v>4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904.5</v>
      </c>
      <c r="F7" s="20">
        <f>IFERROR((G5+R5)/F5,0)</f>
        <v>1.2</v>
      </c>
      <c r="G7" s="20">
        <f>IFERROR(H5/G5,0)</f>
        <v>0.5714285714</v>
      </c>
      <c r="H7" s="19">
        <f>(C5/C7)</f>
        <v>556.6153846</v>
      </c>
      <c r="I7" s="21"/>
      <c r="J7" s="20">
        <f>IFERROR(J5/I5,0)</f>
        <v>1</v>
      </c>
      <c r="K7" s="21"/>
      <c r="L7" s="20">
        <f>IFERROR(L5/K5,0)</f>
        <v>0.3333333333</v>
      </c>
      <c r="M7" s="22">
        <f>IFERROR(M5/SUM(R5+G5,0),"")</f>
        <v>2.722222222</v>
      </c>
      <c r="N7" s="21"/>
      <c r="O7" s="20">
        <f>IFERROR(O5/N5,0)</f>
        <v>0.35</v>
      </c>
      <c r="P7" s="22"/>
      <c r="Q7" s="20">
        <f>IFERROR(Q5/P5,0)</f>
        <v>0.5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7236</v>
      </c>
      <c r="D8" s="36"/>
      <c r="E8" s="37">
        <f>SUMIFS(T:T,B:B,B8,D:D,"Y")</f>
        <v>1261</v>
      </c>
      <c r="F8" s="38">
        <f>SUMIF(B19:B1129,B8,G19:G1129)</f>
        <v>15</v>
      </c>
      <c r="G8" s="39">
        <f>SUMIF(B19:B1129,B8,H19:H1129)</f>
        <v>14</v>
      </c>
      <c r="H8" s="38">
        <f>SUMIF(B19:B1129,B8,I19:I1129)</f>
        <v>8</v>
      </c>
      <c r="I8" s="39">
        <f>SUMIF(B19:B1129,B8,P19:P1129)</f>
        <v>1</v>
      </c>
      <c r="J8" s="39">
        <f>SUMIF(B19:B1129,B8,Q19:Q1129)</f>
        <v>1</v>
      </c>
      <c r="K8" s="39">
        <f>SUMIF(B19:B1129,B8,R19:R1129)</f>
        <v>3</v>
      </c>
      <c r="L8" s="39">
        <f>SUMIF(B19:B1129,B8,S19:S1129)</f>
        <v>1</v>
      </c>
      <c r="M8" s="39">
        <f>SUMIF(B19:B1129,B8,M19:M1129)</f>
        <v>49</v>
      </c>
      <c r="N8" s="39">
        <f>SUMIF(B19:B1129,B8,N19:N1129)</f>
        <v>20</v>
      </c>
      <c r="O8" s="38">
        <f>SUMIF(B19:B1129,B8,O19:O1129)</f>
        <v>7</v>
      </c>
      <c r="P8" s="39">
        <f>SUMIF(B19:B1129,B8,J19:J1129)</f>
        <v>4</v>
      </c>
      <c r="Q8" s="39">
        <f>SUMIF(B19:B1129,B8,K19:K1129)</f>
        <v>2</v>
      </c>
      <c r="R8" s="38">
        <f>SUMIF(B19:B1129,B8,L19:L1129)</f>
        <v>4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904.5</v>
      </c>
      <c r="F10" s="51">
        <f>IFERROR((G8+R8)/F8,0)</f>
        <v>1.2</v>
      </c>
      <c r="G10" s="51">
        <f>IFERROR(H8/G8,0)</f>
        <v>0.5714285714</v>
      </c>
      <c r="H10" s="50">
        <f>(C8/C10)</f>
        <v>603</v>
      </c>
      <c r="I10" s="46"/>
      <c r="J10" s="51">
        <f>IFERROR(J8/I8,0)</f>
        <v>1</v>
      </c>
      <c r="K10" s="46"/>
      <c r="L10" s="51">
        <f>IFERROR(L8/K8,0)</f>
        <v>0.3333333333</v>
      </c>
      <c r="M10" s="52">
        <f>IFERROR(M8/SUM(G8+R8,0),"")</f>
        <v>2.722222222</v>
      </c>
      <c r="N10" s="46"/>
      <c r="O10" s="51">
        <f>IFERROR(O8/N8,0)</f>
        <v>0.35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13915</v>
      </c>
      <c r="D11" s="26"/>
      <c r="E11" s="27">
        <f>SUMIFS(T:T,A:A,B11,D:D,"Y")</f>
        <v>8630</v>
      </c>
      <c r="F11" s="8">
        <f>SUMIF(A:A,B11,G:G)</f>
        <v>29</v>
      </c>
      <c r="G11" s="10">
        <f>SUMIF(A:A,B11,H:H)</f>
        <v>18</v>
      </c>
      <c r="H11" s="10">
        <f>SUMIF(A:A,B11,I:I)</f>
        <v>6</v>
      </c>
      <c r="I11" s="10">
        <f>SUMIF(A:A,B11,P:P)</f>
        <v>0</v>
      </c>
      <c r="J11" s="10">
        <f>SUMIF(A:A,B11,Q:Q)</f>
        <v>0</v>
      </c>
      <c r="K11" s="10">
        <f>SUMIF(A:A,B11,R:R)</f>
        <v>12</v>
      </c>
      <c r="L11" s="10">
        <f>SUMIF(A:A,B11,S:S)</f>
        <v>5</v>
      </c>
      <c r="M11" s="10">
        <f>SUMIF(A:A,B11,M:M)</f>
        <v>17</v>
      </c>
      <c r="N11" s="10">
        <f>SUMIF(A:A,B11,N:N)</f>
        <v>3</v>
      </c>
      <c r="O11" s="10">
        <f>SUMIF(A:A,B11,O:O)</f>
        <v>1</v>
      </c>
      <c r="P11" s="10">
        <f>SUMIF(A:A,B11,J:J)</f>
        <v>10</v>
      </c>
      <c r="Q11" s="10">
        <f>SUMIF(A:A,B11,K:K)</f>
        <v>5</v>
      </c>
      <c r="R11" s="10">
        <f>SUMIF(A:A,B11,L:L)</f>
        <v>4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15</v>
      </c>
      <c r="D13" s="30"/>
      <c r="E13" s="19">
        <f>IFERROR(C11/H11,0)</f>
        <v>2319.166667</v>
      </c>
      <c r="F13" s="20">
        <f>IFERROR((G11+R11)/F11,0)</f>
        <v>0.7586206897</v>
      </c>
      <c r="G13" s="20">
        <f>IFERROR(H11/G11,0)</f>
        <v>0.3333333333</v>
      </c>
      <c r="H13" s="19">
        <f>(C11/C13)</f>
        <v>927.6666667</v>
      </c>
      <c r="I13" s="21"/>
      <c r="J13" s="20">
        <f>IFERROR(J11/I11,0)</f>
        <v>0</v>
      </c>
      <c r="K13" s="21"/>
      <c r="L13" s="20">
        <f>IFERROR(L11/K11,0)</f>
        <v>0.4166666667</v>
      </c>
      <c r="M13" s="22">
        <f>IFERROR(M11/SUM(R11+G11,0),"")</f>
        <v>0.7727272727</v>
      </c>
      <c r="N13" s="21"/>
      <c r="O13" s="20">
        <f>IFERROR(O11/N11,0)</f>
        <v>0.3333333333</v>
      </c>
      <c r="P13" s="22"/>
      <c r="Q13" s="20">
        <f>IFERROR(Q11/P11,0)</f>
        <v>0.5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13915</v>
      </c>
      <c r="D14" s="36"/>
      <c r="E14" s="37">
        <f>SUMIFS(T:T,B:B,B14,D:D,"Y")</f>
        <v>8630</v>
      </c>
      <c r="F14" s="38">
        <f>SUMIF(B19:B1129,B14,G19:G1129)</f>
        <v>29</v>
      </c>
      <c r="G14" s="39">
        <f>SUMIF(B19:B1129,B14,H19:H1129)</f>
        <v>18</v>
      </c>
      <c r="H14" s="38">
        <f>SUMIF(B19:B1129,B14,I19:I1129)</f>
        <v>6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12</v>
      </c>
      <c r="L14" s="39">
        <f>SUMIF(B19:B1129,B14,S19:S1129)</f>
        <v>5</v>
      </c>
      <c r="M14" s="39">
        <f>SUMIF(B19:B1129,B14,M19:M1129)</f>
        <v>17</v>
      </c>
      <c r="N14" s="39">
        <f>SUMIF(B19:B1129,B14,N19:N1129)</f>
        <v>3</v>
      </c>
      <c r="O14" s="38">
        <f>SUMIF(B19:B1129,B14,O19:O1129)</f>
        <v>1</v>
      </c>
      <c r="P14" s="39">
        <f>SUMIF(B19:B1129,B14,J19:J1129)</f>
        <v>10</v>
      </c>
      <c r="Q14" s="39">
        <f>SUMIF(B19:B1129,B14,K19:K1129)</f>
        <v>5</v>
      </c>
      <c r="R14" s="38">
        <f>SUMIF(B19:B1129,B14,L19:L1129)</f>
        <v>4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14</v>
      </c>
      <c r="D16" s="42"/>
      <c r="E16" s="50">
        <f>IFERROR(C14/H14,0)</f>
        <v>2319.166667</v>
      </c>
      <c r="F16" s="51">
        <f>IFERROR((G14+R14)/F14,0)</f>
        <v>0.7586206897</v>
      </c>
      <c r="G16" s="51">
        <f>IFERROR(H14/G14,0)</f>
        <v>0.3333333333</v>
      </c>
      <c r="H16" s="50">
        <f>(C14/C16)</f>
        <v>993.9285714</v>
      </c>
      <c r="I16" s="46"/>
      <c r="J16" s="51">
        <f>IFERROR(J14/I14,0)</f>
        <v>0</v>
      </c>
      <c r="K16" s="46"/>
      <c r="L16" s="51">
        <f>IFERROR(L14/K14,0)</f>
        <v>0.4166666667</v>
      </c>
      <c r="M16" s="52">
        <f>IFERROR(M14/SUM(G14+R14,0),"")</f>
        <v>0.7727272727</v>
      </c>
      <c r="N16" s="46"/>
      <c r="O16" s="51">
        <f>IFERROR(O14/N14,0)</f>
        <v>0.3333333333</v>
      </c>
      <c r="P16" s="53"/>
      <c r="Q16" s="51">
        <f>IFERROR(Q14/P14,0)</f>
        <v>0.5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6.0</v>
      </c>
      <c r="H22" s="105">
        <v>1.0</v>
      </c>
      <c r="I22" s="105">
        <v>1.0</v>
      </c>
      <c r="J22" s="105">
        <v>1.0</v>
      </c>
      <c r="K22" s="105">
        <v>1.0</v>
      </c>
      <c r="L22" s="105">
        <v>0.0</v>
      </c>
      <c r="M22" s="105">
        <v>3.0</v>
      </c>
      <c r="N22" s="105">
        <v>1.0</v>
      </c>
      <c r="O22" s="105">
        <v>1.0</v>
      </c>
      <c r="P22" s="105">
        <v>0.0</v>
      </c>
      <c r="Q22" s="105">
        <v>0.0</v>
      </c>
      <c r="R22" s="105">
        <v>0.0</v>
      </c>
      <c r="S22" s="105">
        <v>0.0</v>
      </c>
      <c r="T22" s="105">
        <v>1261.0</v>
      </c>
      <c r="U22" s="66">
        <f t="shared" si="2"/>
        <v>1</v>
      </c>
      <c r="V22" s="66">
        <f t="shared" si="3"/>
        <v>0.1666666667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v>0.0</v>
      </c>
      <c r="H23" s="65">
        <v>0.0</v>
      </c>
      <c r="I23" s="65">
        <v>0.0</v>
      </c>
      <c r="J23" s="65">
        <v>0.0</v>
      </c>
      <c r="K23" s="65">
        <v>0.0</v>
      </c>
      <c r="L23" s="65">
        <v>0.0</v>
      </c>
      <c r="M23" s="65">
        <v>0.0</v>
      </c>
      <c r="N23" s="65">
        <v>0.0</v>
      </c>
      <c r="O23" s="65">
        <v>0.0</v>
      </c>
      <c r="P23" s="65">
        <v>0.0</v>
      </c>
      <c r="Q23" s="65">
        <v>0.0</v>
      </c>
      <c r="R23" s="65">
        <v>0.0</v>
      </c>
      <c r="S23" s="65">
        <v>0.0</v>
      </c>
      <c r="T23" s="6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1.0</v>
      </c>
      <c r="H24" s="105">
        <v>2.0</v>
      </c>
      <c r="I24" s="105">
        <v>0.0</v>
      </c>
      <c r="J24" s="105">
        <v>0.0</v>
      </c>
      <c r="K24" s="105">
        <v>0.0</v>
      </c>
      <c r="L24" s="105">
        <v>2.0</v>
      </c>
      <c r="M24" s="105">
        <v>7.0</v>
      </c>
      <c r="N24" s="105">
        <v>0.0</v>
      </c>
      <c r="O24" s="105">
        <v>0.0</v>
      </c>
      <c r="P24" s="105">
        <v>0.0</v>
      </c>
      <c r="Q24" s="105">
        <v>0.0</v>
      </c>
      <c r="R24" s="105">
        <v>2.0</v>
      </c>
      <c r="S24" s="105">
        <v>0.0</v>
      </c>
      <c r="T24" s="105">
        <v>0.0</v>
      </c>
      <c r="U24" s="66">
        <f t="shared" si="2"/>
        <v>0</v>
      </c>
      <c r="V24" s="66">
        <f t="shared" si="3"/>
        <v>4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0.0</v>
      </c>
      <c r="H26" s="105">
        <v>2.0</v>
      </c>
      <c r="I26" s="105">
        <v>0.0</v>
      </c>
      <c r="J26" s="105">
        <v>1.0</v>
      </c>
      <c r="K26" s="105">
        <v>0.0</v>
      </c>
      <c r="L26" s="105">
        <v>1.0</v>
      </c>
      <c r="M26" s="105">
        <v>5.0</v>
      </c>
      <c r="N26" s="105">
        <v>0.0</v>
      </c>
      <c r="O26" s="105">
        <v>0.0</v>
      </c>
      <c r="P26" s="105">
        <v>1.0</v>
      </c>
      <c r="Q26" s="105">
        <v>1.0</v>
      </c>
      <c r="R26" s="105">
        <v>0.0</v>
      </c>
      <c r="S26" s="105">
        <v>0.0</v>
      </c>
      <c r="T26" s="105">
        <v>0.0</v>
      </c>
      <c r="U26" s="66">
        <f t="shared" si="2"/>
        <v>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0.0</v>
      </c>
      <c r="H27" s="105">
        <v>3.0</v>
      </c>
      <c r="I27" s="105">
        <v>3.0</v>
      </c>
      <c r="J27" s="105">
        <v>1.0</v>
      </c>
      <c r="K27" s="105">
        <v>1.0</v>
      </c>
      <c r="L27" s="105">
        <v>0.0</v>
      </c>
      <c r="M27" s="105">
        <v>1.0</v>
      </c>
      <c r="N27" s="105">
        <v>15.0</v>
      </c>
      <c r="O27" s="105">
        <v>2.0</v>
      </c>
      <c r="P27" s="105">
        <v>0.0</v>
      </c>
      <c r="Q27" s="105">
        <v>0.0</v>
      </c>
      <c r="R27" s="105">
        <v>0.0</v>
      </c>
      <c r="S27" s="105">
        <v>1.0</v>
      </c>
      <c r="T27" s="105">
        <v>0.0</v>
      </c>
      <c r="U27" s="66">
        <f t="shared" si="2"/>
        <v>1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4.0</v>
      </c>
      <c r="H28" s="105">
        <v>3.0</v>
      </c>
      <c r="I28" s="105">
        <v>2.0</v>
      </c>
      <c r="J28" s="105">
        <v>0.0</v>
      </c>
      <c r="K28" s="105">
        <v>0.0</v>
      </c>
      <c r="L28" s="105">
        <v>0.0</v>
      </c>
      <c r="M28" s="105">
        <v>3.0</v>
      </c>
      <c r="N28" s="105">
        <v>2.0</v>
      </c>
      <c r="O28" s="105">
        <v>2.0</v>
      </c>
      <c r="P28" s="105">
        <v>0.0</v>
      </c>
      <c r="Q28" s="105">
        <v>0.0</v>
      </c>
      <c r="R28" s="105">
        <v>0.0</v>
      </c>
      <c r="S28" s="105">
        <v>0.0</v>
      </c>
      <c r="T28" s="105">
        <v>2675.0</v>
      </c>
      <c r="U28" s="66">
        <f t="shared" si="2"/>
        <v>0.6666666667</v>
      </c>
      <c r="V28" s="66">
        <f t="shared" si="3"/>
        <v>0.75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 t="s">
        <v>47</v>
      </c>
      <c r="F29" s="76" t="s">
        <v>56</v>
      </c>
      <c r="G29" s="105">
        <v>0.0</v>
      </c>
      <c r="H29" s="105">
        <v>1.0</v>
      </c>
      <c r="I29" s="105">
        <v>0.0</v>
      </c>
      <c r="J29" s="105">
        <v>1.0</v>
      </c>
      <c r="K29" s="105">
        <v>0.0</v>
      </c>
      <c r="L29" s="105">
        <v>1.0</v>
      </c>
      <c r="M29" s="105">
        <v>10.0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1.0</v>
      </c>
      <c r="S29" s="105">
        <v>0.0</v>
      </c>
      <c r="T29" s="105">
        <v>0.0</v>
      </c>
      <c r="U29" s="66">
        <f t="shared" si="2"/>
        <v>0</v>
      </c>
      <c r="V29" s="66">
        <f t="shared" si="3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105">
        <v>4.0</v>
      </c>
      <c r="H32" s="105">
        <v>2.0</v>
      </c>
      <c r="I32" s="105">
        <v>2.0</v>
      </c>
      <c r="J32" s="105">
        <v>0.0</v>
      </c>
      <c r="K32" s="105">
        <v>0.0</v>
      </c>
      <c r="L32" s="105">
        <v>0.0</v>
      </c>
      <c r="M32" s="105">
        <v>20.0</v>
      </c>
      <c r="N32" s="105">
        <v>2.0</v>
      </c>
      <c r="O32" s="105">
        <v>2.0</v>
      </c>
      <c r="P32" s="105">
        <v>0.0</v>
      </c>
      <c r="Q32" s="105">
        <v>0.0</v>
      </c>
      <c r="R32" s="105">
        <v>0.0</v>
      </c>
      <c r="S32" s="105">
        <v>0.0</v>
      </c>
      <c r="T32" s="105">
        <v>3300.0</v>
      </c>
      <c r="U32" s="66">
        <f t="shared" si="2"/>
        <v>1</v>
      </c>
      <c r="V32" s="66">
        <f t="shared" si="3"/>
        <v>0.5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48" si="4">IFERROR(I34/H34,0)</f>
        <v>0</v>
      </c>
      <c r="V34" s="66">
        <f t="shared" ref="V34:V48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>
        <v>4.0</v>
      </c>
      <c r="H35" s="105">
        <v>4.0</v>
      </c>
      <c r="I35" s="105">
        <v>3.0</v>
      </c>
      <c r="J35" s="105">
        <v>3.0</v>
      </c>
      <c r="K35" s="105">
        <v>3.0</v>
      </c>
      <c r="L35" s="105">
        <v>0.0</v>
      </c>
      <c r="M35" s="105">
        <v>7.0</v>
      </c>
      <c r="N35" s="105">
        <v>1.0</v>
      </c>
      <c r="O35" s="105">
        <v>1.0</v>
      </c>
      <c r="P35" s="105">
        <v>0.0</v>
      </c>
      <c r="Q35" s="105">
        <v>0.0</v>
      </c>
      <c r="R35" s="105">
        <v>3.0</v>
      </c>
      <c r="S35" s="105">
        <v>2.0</v>
      </c>
      <c r="T35" s="105">
        <v>5407.0</v>
      </c>
      <c r="U35" s="66">
        <f t="shared" si="4"/>
        <v>0.75</v>
      </c>
      <c r="V35" s="66">
        <f t="shared" si="5"/>
        <v>1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2.0</v>
      </c>
      <c r="H36" s="105">
        <v>2.0</v>
      </c>
      <c r="I36" s="105">
        <v>1.0</v>
      </c>
      <c r="J36" s="105">
        <v>1.0</v>
      </c>
      <c r="K36" s="105">
        <v>1.0</v>
      </c>
      <c r="L36" s="105">
        <v>1.0</v>
      </c>
      <c r="M36" s="105">
        <v>5.0</v>
      </c>
      <c r="N36" s="105">
        <v>0.0</v>
      </c>
      <c r="O36" s="105">
        <v>0.0</v>
      </c>
      <c r="P36" s="105">
        <v>0.0</v>
      </c>
      <c r="Q36" s="105">
        <v>0.0</v>
      </c>
      <c r="R36" s="105">
        <v>1.0</v>
      </c>
      <c r="S36" s="105">
        <v>1.0</v>
      </c>
      <c r="T36" s="105">
        <v>3223.0</v>
      </c>
      <c r="U36" s="66">
        <f t="shared" si="4"/>
        <v>0.5</v>
      </c>
      <c r="V36" s="66">
        <f t="shared" si="5"/>
        <v>1.5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1.0</v>
      </c>
      <c r="H37" s="105">
        <v>1.0</v>
      </c>
      <c r="I37" s="105">
        <v>0.0</v>
      </c>
      <c r="J37" s="105">
        <v>0.0</v>
      </c>
      <c r="K37" s="105">
        <v>0.0</v>
      </c>
      <c r="L37" s="105">
        <v>0.0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0.0</v>
      </c>
      <c r="S37" s="105">
        <v>0.0</v>
      </c>
      <c r="T37" s="105">
        <v>0.0</v>
      </c>
      <c r="U37" s="66">
        <f t="shared" si="4"/>
        <v>0</v>
      </c>
      <c r="V37" s="66">
        <f t="shared" si="5"/>
        <v>1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si="4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2.0</v>
      </c>
      <c r="H39" s="105">
        <v>2.0</v>
      </c>
      <c r="I39" s="105">
        <v>1.0</v>
      </c>
      <c r="J39" s="105">
        <v>2.0</v>
      </c>
      <c r="K39" s="105">
        <v>1.0</v>
      </c>
      <c r="L39" s="105">
        <v>0.0</v>
      </c>
      <c r="M39" s="105">
        <v>0.0</v>
      </c>
      <c r="N39" s="105">
        <v>0.0</v>
      </c>
      <c r="O39" s="105">
        <v>0.0</v>
      </c>
      <c r="P39" s="105">
        <v>0.0</v>
      </c>
      <c r="Q39" s="105">
        <v>0.0</v>
      </c>
      <c r="R39" s="105">
        <v>2.0</v>
      </c>
      <c r="S39" s="105">
        <v>1.0</v>
      </c>
      <c r="T39" s="105">
        <v>2384.0</v>
      </c>
      <c r="U39" s="66">
        <f t="shared" si="4"/>
        <v>0.5</v>
      </c>
      <c r="V39" s="66">
        <f t="shared" si="5"/>
        <v>1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6.0</v>
      </c>
      <c r="H40" s="105">
        <v>1.0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1.0</v>
      </c>
      <c r="S40" s="105">
        <v>0.0</v>
      </c>
      <c r="T40" s="105">
        <v>0.0</v>
      </c>
      <c r="U40" s="66">
        <f t="shared" si="4"/>
        <v>0</v>
      </c>
      <c r="V40" s="66">
        <f t="shared" si="5"/>
        <v>0.1666666667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5.0</v>
      </c>
      <c r="H41" s="105">
        <v>4.0</v>
      </c>
      <c r="I41" s="105">
        <v>1.0</v>
      </c>
      <c r="J41" s="105">
        <v>3.0</v>
      </c>
      <c r="K41" s="105">
        <v>0.0</v>
      </c>
      <c r="L41" s="105">
        <v>0.0</v>
      </c>
      <c r="M41" s="105">
        <v>0.0</v>
      </c>
      <c r="N41" s="105">
        <v>1.0</v>
      </c>
      <c r="O41" s="105">
        <v>0.0</v>
      </c>
      <c r="P41" s="105">
        <v>0.0</v>
      </c>
      <c r="Q41" s="105">
        <v>0.0</v>
      </c>
      <c r="R41" s="105">
        <v>3.0</v>
      </c>
      <c r="S41" s="105">
        <v>1.0</v>
      </c>
      <c r="T41" s="105">
        <v>2901.0</v>
      </c>
      <c r="U41" s="66">
        <f t="shared" si="4"/>
        <v>0.25</v>
      </c>
      <c r="V41" s="66">
        <f t="shared" si="5"/>
        <v>0.8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2.0</v>
      </c>
      <c r="H43" s="105">
        <v>2.0</v>
      </c>
      <c r="I43" s="105">
        <v>0.0</v>
      </c>
      <c r="J43" s="105">
        <v>0.0</v>
      </c>
      <c r="K43" s="105">
        <v>0.0</v>
      </c>
      <c r="L43" s="105">
        <v>0.0</v>
      </c>
      <c r="M43" s="105">
        <v>2.0</v>
      </c>
      <c r="N43" s="105">
        <v>0.0</v>
      </c>
      <c r="O43" s="105">
        <v>0.0</v>
      </c>
      <c r="P43" s="105">
        <v>0.0</v>
      </c>
      <c r="Q43" s="105">
        <v>0.0</v>
      </c>
      <c r="R43" s="105">
        <v>2.0</v>
      </c>
      <c r="S43" s="105">
        <v>0.0</v>
      </c>
      <c r="T43" s="105">
        <v>0.0</v>
      </c>
      <c r="U43" s="66">
        <f t="shared" si="4"/>
        <v>0</v>
      </c>
      <c r="V43" s="66">
        <f t="shared" si="5"/>
        <v>1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4.0</v>
      </c>
      <c r="H44" s="105">
        <v>0.0</v>
      </c>
      <c r="I44" s="105">
        <v>0.0</v>
      </c>
      <c r="J44" s="105">
        <v>0.0</v>
      </c>
      <c r="K44" s="105">
        <v>0.0</v>
      </c>
      <c r="L44" s="105">
        <v>3.0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4"/>
        <v>0</v>
      </c>
      <c r="V44" s="66">
        <f t="shared" si="5"/>
        <v>0.75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3.0</v>
      </c>
      <c r="H46" s="105">
        <v>2.0</v>
      </c>
      <c r="I46" s="105">
        <v>0.0</v>
      </c>
      <c r="J46" s="105">
        <v>1.0</v>
      </c>
      <c r="K46" s="105">
        <v>0.0</v>
      </c>
      <c r="L46" s="105">
        <v>0.0</v>
      </c>
      <c r="M46" s="105">
        <v>3.0</v>
      </c>
      <c r="N46" s="105">
        <v>1.0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4"/>
        <v>0</v>
      </c>
      <c r="V46" s="66">
        <f t="shared" si="5"/>
        <v>0.6666666667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96"/>
      <c r="B49" s="96"/>
      <c r="C49" s="96"/>
      <c r="D49" s="1"/>
      <c r="E49" s="96"/>
      <c r="F49" s="97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9"/>
      <c r="V49" s="99"/>
    </row>
    <row r="50" ht="12.75" customHeight="1">
      <c r="A50" s="96"/>
      <c r="B50" s="96"/>
      <c r="C50" s="96"/>
      <c r="D50" s="1"/>
      <c r="E50" s="96"/>
      <c r="F50" s="97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9"/>
      <c r="V50" s="99"/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100"/>
      <c r="B555" s="100"/>
      <c r="C555" s="100"/>
      <c r="D555" s="101"/>
      <c r="E555" s="100"/>
      <c r="F555" s="102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4"/>
      <c r="V555" s="104"/>
    </row>
    <row r="556" ht="12.75" customHeight="1">
      <c r="A556" s="100"/>
      <c r="B556" s="100"/>
      <c r="C556" s="100"/>
      <c r="D556" s="101"/>
      <c r="E556" s="100"/>
      <c r="F556" s="102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4"/>
      <c r="V556" s="104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15934</v>
      </c>
      <c r="D2" s="9"/>
      <c r="E2" s="8">
        <f t="shared" ref="E2:R2" si="1">SUM(E5,E11)</f>
        <v>4056</v>
      </c>
      <c r="F2" s="8">
        <f t="shared" si="1"/>
        <v>35</v>
      </c>
      <c r="G2" s="10">
        <f t="shared" si="1"/>
        <v>15</v>
      </c>
      <c r="H2" s="10">
        <f t="shared" si="1"/>
        <v>11</v>
      </c>
      <c r="I2" s="10">
        <f t="shared" si="1"/>
        <v>0</v>
      </c>
      <c r="J2" s="10">
        <f t="shared" si="1"/>
        <v>3</v>
      </c>
      <c r="K2" s="10">
        <f t="shared" si="1"/>
        <v>7</v>
      </c>
      <c r="L2" s="10">
        <f t="shared" si="1"/>
        <v>4</v>
      </c>
      <c r="M2" s="10">
        <f t="shared" si="1"/>
        <v>85</v>
      </c>
      <c r="N2" s="10">
        <f t="shared" si="1"/>
        <v>6</v>
      </c>
      <c r="O2" s="10">
        <f t="shared" si="1"/>
        <v>3</v>
      </c>
      <c r="P2" s="10">
        <f t="shared" si="1"/>
        <v>5</v>
      </c>
      <c r="Q2" s="10">
        <f t="shared" si="1"/>
        <v>3</v>
      </c>
      <c r="R2" s="10">
        <f t="shared" si="1"/>
        <v>4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28</v>
      </c>
      <c r="D4" s="14"/>
      <c r="E4" s="19">
        <f>IFERROR(C2/H2,0)</f>
        <v>1448.545455</v>
      </c>
      <c r="F4" s="20">
        <f>IFERROR((G2+R2)/F2,0)</f>
        <v>0.5428571429</v>
      </c>
      <c r="G4" s="20">
        <f>IFERROR(H2/G2,0)</f>
        <v>0.7333333333</v>
      </c>
      <c r="H4" s="19">
        <f>(C2/C4)</f>
        <v>569.0714286</v>
      </c>
      <c r="I4" s="21"/>
      <c r="J4" s="20">
        <f>IFERROR(J2/I2,0)</f>
        <v>0</v>
      </c>
      <c r="K4" s="21"/>
      <c r="L4" s="20">
        <f>IFERROR(L2/K2,0)</f>
        <v>0.5714285714</v>
      </c>
      <c r="M4" s="22">
        <f>IFERROR(M2/G2,0)</f>
        <v>5.666666667</v>
      </c>
      <c r="N4" s="21"/>
      <c r="O4" s="20">
        <f>IFERROR(O2/N2,0)</f>
        <v>0.5</v>
      </c>
      <c r="P4" s="22"/>
      <c r="Q4" s="20">
        <f>IFERROR(Q2/P2,0)</f>
        <v>0.6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8768</v>
      </c>
      <c r="D5" s="26"/>
      <c r="E5" s="27">
        <f>SUMIFS(T:T,A:A,B5,D:D,"Y")</f>
        <v>4056</v>
      </c>
      <c r="F5" s="8">
        <f>SUMIF(A:A,B5,G:G)</f>
        <v>16</v>
      </c>
      <c r="G5" s="10">
        <f>SUMIF(A:A,B5,H:H)</f>
        <v>8</v>
      </c>
      <c r="H5" s="10">
        <f>SUMIF(A:A,B5,I:I)</f>
        <v>6</v>
      </c>
      <c r="I5" s="10">
        <f>SUMIF(A:A,B5,P:P)</f>
        <v>0</v>
      </c>
      <c r="J5" s="10">
        <f>SUMIF(A:A,B5,Q:Q)</f>
        <v>3</v>
      </c>
      <c r="K5" s="10">
        <f>SUMIF(A:A,B5,R:R)</f>
        <v>2</v>
      </c>
      <c r="L5" s="10">
        <f>SUMIF(A:A,B5,S:S)</f>
        <v>0</v>
      </c>
      <c r="M5" s="10">
        <f>SUMIF(A:A,B5,M:M)</f>
        <v>77</v>
      </c>
      <c r="N5" s="10">
        <f>SUMIF(A:A,B5,N:N)</f>
        <v>4</v>
      </c>
      <c r="O5" s="10">
        <f>SUMIF(A:A,B5,O:O)</f>
        <v>2</v>
      </c>
      <c r="P5" s="10">
        <f>SUMIF(A:A,B5,J:J)</f>
        <v>2</v>
      </c>
      <c r="Q5" s="10">
        <f>SUMIF(A:A,B5,K:K)</f>
        <v>1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1461.333333</v>
      </c>
      <c r="F7" s="20">
        <f>IFERROR((G5+R5)/F5,0)</f>
        <v>0.5625</v>
      </c>
      <c r="G7" s="20">
        <f>IFERROR(H5/G5,0)</f>
        <v>0.75</v>
      </c>
      <c r="H7" s="19">
        <f>(C5/C7)</f>
        <v>674.4615385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8.555555556</v>
      </c>
      <c r="N7" s="21"/>
      <c r="O7" s="20">
        <f>IFERROR(O5/N5,0)</f>
        <v>0.5</v>
      </c>
      <c r="P7" s="22"/>
      <c r="Q7" s="20">
        <f>IFERROR(Q5/P5,0)</f>
        <v>0.5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8768</v>
      </c>
      <c r="D8" s="36"/>
      <c r="E8" s="37">
        <f>SUMIFS(T:T,B:B,B8,D:D,"Y")</f>
        <v>4056</v>
      </c>
      <c r="F8" s="38">
        <f>SUMIF(B19:B1129,B8,G19:G1129)</f>
        <v>16</v>
      </c>
      <c r="G8" s="39">
        <f>SUMIF(B19:B1129,B8,H19:H1129)</f>
        <v>8</v>
      </c>
      <c r="H8" s="38">
        <f>SUMIF(B19:B1129,B8,I19:I1129)</f>
        <v>6</v>
      </c>
      <c r="I8" s="39">
        <f>SUMIF(B19:B1129,B8,P19:P1129)</f>
        <v>0</v>
      </c>
      <c r="J8" s="39">
        <f>SUMIF(B19:B1129,B8,Q19:Q1129)</f>
        <v>3</v>
      </c>
      <c r="K8" s="39">
        <f>SUMIF(B19:B1129,B8,R19:R1129)</f>
        <v>2</v>
      </c>
      <c r="L8" s="39">
        <f>SUMIF(B19:B1129,B8,S19:S1129)</f>
        <v>0</v>
      </c>
      <c r="M8" s="39">
        <f>SUMIF(B19:B1129,B8,M19:M1129)</f>
        <v>77</v>
      </c>
      <c r="N8" s="39">
        <f>SUMIF(B19:B1129,B8,N19:N1129)</f>
        <v>4</v>
      </c>
      <c r="O8" s="38">
        <f>SUMIF(B19:B1129,B8,O19:O1129)</f>
        <v>2</v>
      </c>
      <c r="P8" s="39">
        <f>SUMIF(B19:B1129,B8,J19:J1129)</f>
        <v>2</v>
      </c>
      <c r="Q8" s="39">
        <f>SUMIF(B19:B1129,B8,K19:K1129)</f>
        <v>1</v>
      </c>
      <c r="R8" s="38">
        <f>SUMIF(B19:B1129,B8,L19:L1129)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1461.333333</v>
      </c>
      <c r="F10" s="51">
        <f>IFERROR((G8+R8)/F8,0)</f>
        <v>0.5625</v>
      </c>
      <c r="G10" s="51">
        <f>IFERROR(H8/G8,0)</f>
        <v>0.75</v>
      </c>
      <c r="H10" s="50">
        <f>(C8/C10)</f>
        <v>730.6666667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8.555555556</v>
      </c>
      <c r="N10" s="46"/>
      <c r="O10" s="51">
        <f>IFERROR(O8/N8,0)</f>
        <v>0.5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7166</v>
      </c>
      <c r="D11" s="26"/>
      <c r="E11" s="27">
        <f>SUMIFS(T:T,A:A,B11,D:D,"Y")</f>
        <v>0</v>
      </c>
      <c r="F11" s="8">
        <f>SUMIF(A:A,B11,G:G)</f>
        <v>19</v>
      </c>
      <c r="G11" s="10">
        <f>SUMIF(A:A,B11,H:H)</f>
        <v>7</v>
      </c>
      <c r="H11" s="10">
        <f>SUMIF(A:A,B11,I:I)</f>
        <v>5</v>
      </c>
      <c r="I11" s="10">
        <f>SUMIF(A:A,B11,P:P)</f>
        <v>0</v>
      </c>
      <c r="J11" s="10">
        <f>SUMIF(A:A,B11,Q:Q)</f>
        <v>0</v>
      </c>
      <c r="K11" s="10">
        <f>SUMIF(A:A,B11,R:R)</f>
        <v>5</v>
      </c>
      <c r="L11" s="10">
        <f>SUMIF(A:A,B11,S:S)</f>
        <v>4</v>
      </c>
      <c r="M11" s="10">
        <f>SUMIF(A:A,B11,M:M)</f>
        <v>8</v>
      </c>
      <c r="N11" s="10">
        <f>SUMIF(A:A,B11,N:N)</f>
        <v>2</v>
      </c>
      <c r="O11" s="10">
        <f>SUMIF(A:A,B11,O:O)</f>
        <v>1</v>
      </c>
      <c r="P11" s="10">
        <f>SUMIF(A:A,B11,J:J)</f>
        <v>3</v>
      </c>
      <c r="Q11" s="10">
        <f>SUMIF(A:A,B11,K:K)</f>
        <v>2</v>
      </c>
      <c r="R11" s="10">
        <f>SUMIF(A:A,B11,L:L)</f>
        <v>3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15</v>
      </c>
      <c r="D13" s="30"/>
      <c r="E13" s="19">
        <f>IFERROR(C11/H11,0)</f>
        <v>1433.2</v>
      </c>
      <c r="F13" s="20">
        <f>IFERROR((G11+R11)/F11,0)</f>
        <v>0.5263157895</v>
      </c>
      <c r="G13" s="20">
        <f>IFERROR(H11/G11,0)</f>
        <v>0.7142857143</v>
      </c>
      <c r="H13" s="19">
        <f>(C11/C13)</f>
        <v>477.7333333</v>
      </c>
      <c r="I13" s="21"/>
      <c r="J13" s="20">
        <f>IFERROR(J11/I11,0)</f>
        <v>0</v>
      </c>
      <c r="K13" s="21"/>
      <c r="L13" s="20">
        <f>IFERROR(L11/K11,0)</f>
        <v>0.8</v>
      </c>
      <c r="M13" s="22">
        <f>IFERROR(M11/SUM(R11+G11,0),"")</f>
        <v>0.8</v>
      </c>
      <c r="N13" s="21"/>
      <c r="O13" s="20">
        <f>IFERROR(O11/N11,0)</f>
        <v>0.5</v>
      </c>
      <c r="P13" s="22"/>
      <c r="Q13" s="20">
        <f>IFERROR(Q11/P11,0)</f>
        <v>0.6666666667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7166</v>
      </c>
      <c r="D14" s="36"/>
      <c r="E14" s="37">
        <f>SUMIFS(T:T,B:B,B14,D:D,"Y")</f>
        <v>0</v>
      </c>
      <c r="F14" s="38">
        <f>SUMIF(B19:B1129,B14,G19:G1129)</f>
        <v>19</v>
      </c>
      <c r="G14" s="39">
        <f>SUMIF(B19:B1129,B14,H19:H1129)</f>
        <v>7</v>
      </c>
      <c r="H14" s="38">
        <f>SUMIF(B19:B1129,B14,I19:I1129)</f>
        <v>5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5</v>
      </c>
      <c r="L14" s="39">
        <f>SUMIF(B19:B1129,B14,S19:S1129)</f>
        <v>4</v>
      </c>
      <c r="M14" s="39">
        <f>SUMIF(B19:B1129,B14,M19:M1129)</f>
        <v>8</v>
      </c>
      <c r="N14" s="39">
        <f>SUMIF(B19:B1129,B14,N19:N1129)</f>
        <v>2</v>
      </c>
      <c r="O14" s="38">
        <f>SUMIF(B19:B1129,B14,O19:O1129)</f>
        <v>1</v>
      </c>
      <c r="P14" s="39">
        <f>SUMIF(B19:B1129,B14,J19:J1129)</f>
        <v>3</v>
      </c>
      <c r="Q14" s="39">
        <f>SUMIF(B19:B1129,B14,K19:K1129)</f>
        <v>2</v>
      </c>
      <c r="R14" s="38">
        <f>SUMIF(B19:B1129,B14,L19:L1129)</f>
        <v>3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14</v>
      </c>
      <c r="D16" s="42"/>
      <c r="E16" s="50">
        <f>IFERROR(C14/H14,0)</f>
        <v>1433.2</v>
      </c>
      <c r="F16" s="51">
        <f>IFERROR((G14+R14)/F14,0)</f>
        <v>0.5263157895</v>
      </c>
      <c r="G16" s="51">
        <f>IFERROR(H14/G14,0)</f>
        <v>0.7142857143</v>
      </c>
      <c r="H16" s="50">
        <f>(C14/C16)</f>
        <v>511.8571429</v>
      </c>
      <c r="I16" s="46"/>
      <c r="J16" s="51">
        <f>IFERROR(J14/I14,0)</f>
        <v>0</v>
      </c>
      <c r="K16" s="46"/>
      <c r="L16" s="51">
        <f>IFERROR(L14/K14,0)</f>
        <v>0.8</v>
      </c>
      <c r="M16" s="52">
        <f>IFERROR(M14/SUM(G14+R14,0),"")</f>
        <v>0.8</v>
      </c>
      <c r="N16" s="46"/>
      <c r="O16" s="51">
        <f>IFERROR(O14/N14,0)</f>
        <v>0.5</v>
      </c>
      <c r="P16" s="53"/>
      <c r="Q16" s="51">
        <f>IFERROR(Q14/P14,0)</f>
        <v>0.6666666667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5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2.0</v>
      </c>
      <c r="H21" s="105">
        <v>0.0</v>
      </c>
      <c r="I21" s="105">
        <v>0.0</v>
      </c>
      <c r="J21" s="105">
        <v>0.0</v>
      </c>
      <c r="K21" s="105">
        <v>0.0</v>
      </c>
      <c r="L21" s="105">
        <v>0.0</v>
      </c>
      <c r="M21" s="105">
        <v>0.0</v>
      </c>
      <c r="N21" s="105">
        <v>0.0</v>
      </c>
      <c r="O21" s="105">
        <v>0.0</v>
      </c>
      <c r="P21" s="105">
        <v>0.0</v>
      </c>
      <c r="Q21" s="105">
        <v>0.0</v>
      </c>
      <c r="R21" s="105">
        <v>0.0</v>
      </c>
      <c r="S21" s="105">
        <v>0.0</v>
      </c>
      <c r="T21" s="105">
        <v>0.0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0.0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1.0</v>
      </c>
      <c r="H24" s="105">
        <v>1.0</v>
      </c>
      <c r="I24" s="105">
        <v>0.0</v>
      </c>
      <c r="J24" s="105">
        <v>0.0</v>
      </c>
      <c r="K24" s="105">
        <v>0.0</v>
      </c>
      <c r="L24" s="105">
        <v>1.0</v>
      </c>
      <c r="M24" s="105">
        <v>5.0</v>
      </c>
      <c r="N24" s="105">
        <v>0.0</v>
      </c>
      <c r="O24" s="105">
        <v>0.0</v>
      </c>
      <c r="P24" s="105">
        <v>0.0</v>
      </c>
      <c r="Q24" s="105">
        <v>0.0</v>
      </c>
      <c r="R24" s="105">
        <v>1.0</v>
      </c>
      <c r="S24" s="105">
        <v>0.0</v>
      </c>
      <c r="T24" s="105">
        <v>0.0</v>
      </c>
      <c r="U24" s="66">
        <f t="shared" si="2"/>
        <v>0</v>
      </c>
      <c r="V24" s="66">
        <f t="shared" si="3"/>
        <v>2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106">
        <v>0.0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2.0</v>
      </c>
      <c r="H27" s="105">
        <v>2.0</v>
      </c>
      <c r="I27" s="105">
        <v>2.0</v>
      </c>
      <c r="J27" s="105">
        <v>1.0</v>
      </c>
      <c r="K27" s="105">
        <v>1.0</v>
      </c>
      <c r="L27" s="105">
        <v>0.0</v>
      </c>
      <c r="M27" s="105">
        <v>10.0</v>
      </c>
      <c r="N27" s="105">
        <v>2.0</v>
      </c>
      <c r="O27" s="105">
        <v>1.0</v>
      </c>
      <c r="P27" s="105">
        <v>0.0</v>
      </c>
      <c r="Q27" s="105">
        <v>0.0</v>
      </c>
      <c r="R27" s="105">
        <v>0.0</v>
      </c>
      <c r="S27" s="105">
        <v>0.0</v>
      </c>
      <c r="T27" s="105">
        <v>1212.0</v>
      </c>
      <c r="U27" s="66">
        <f t="shared" ref="U27:U32" si="4">IFERROR(I27/H27,0)</f>
        <v>1</v>
      </c>
      <c r="V27" s="66">
        <f t="shared" si="3"/>
        <v>1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5.0</v>
      </c>
      <c r="H28" s="105">
        <v>3.0</v>
      </c>
      <c r="I28" s="105">
        <v>2.0</v>
      </c>
      <c r="J28" s="105">
        <v>0.0</v>
      </c>
      <c r="K28" s="105">
        <v>0.0</v>
      </c>
      <c r="L28" s="105">
        <v>0.0</v>
      </c>
      <c r="M28" s="105">
        <v>6.0</v>
      </c>
      <c r="N28" s="105">
        <v>2.0</v>
      </c>
      <c r="O28" s="105">
        <v>1.0</v>
      </c>
      <c r="P28" s="105">
        <v>0.0</v>
      </c>
      <c r="Q28" s="105">
        <v>3.0</v>
      </c>
      <c r="R28" s="105">
        <v>1.0</v>
      </c>
      <c r="S28" s="105">
        <v>0.0</v>
      </c>
      <c r="T28" s="105">
        <v>3500.0</v>
      </c>
      <c r="U28" s="66">
        <f t="shared" si="4"/>
        <v>0.6666666667</v>
      </c>
      <c r="V28" s="66">
        <f t="shared" si="3"/>
        <v>0.6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 t="s">
        <v>47</v>
      </c>
      <c r="F29" s="76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4"/>
        <v>0</v>
      </c>
      <c r="V29" s="66">
        <f t="shared" si="3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105">
        <v>3.0</v>
      </c>
      <c r="H30" s="105">
        <v>2.0</v>
      </c>
      <c r="I30" s="105">
        <v>2.0</v>
      </c>
      <c r="J30" s="105">
        <v>0.0</v>
      </c>
      <c r="K30" s="105">
        <v>0.0</v>
      </c>
      <c r="L30" s="105">
        <v>0.0</v>
      </c>
      <c r="M30" s="105">
        <v>52.0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4056.0</v>
      </c>
      <c r="U30" s="66">
        <f t="shared" si="4"/>
        <v>1</v>
      </c>
      <c r="V30" s="66">
        <f t="shared" si="3"/>
        <v>0.6666666667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4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105">
        <v>3.0</v>
      </c>
      <c r="H32" s="105">
        <v>0.0</v>
      </c>
      <c r="I32" s="105">
        <v>0.0</v>
      </c>
      <c r="J32" s="105">
        <v>1.0</v>
      </c>
      <c r="K32" s="105">
        <v>0.0</v>
      </c>
      <c r="L32" s="105">
        <v>0.0</v>
      </c>
      <c r="M32" s="105">
        <v>4.0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4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48" si="5">IFERROR(I34/H34,0)</f>
        <v>0</v>
      </c>
      <c r="V34" s="66">
        <f t="shared" ref="V34:V48" si="6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>
        <v>0.0</v>
      </c>
      <c r="H35" s="105">
        <v>0.0</v>
      </c>
      <c r="I35" s="105">
        <v>0.0</v>
      </c>
      <c r="J35" s="105">
        <v>0.0</v>
      </c>
      <c r="K35" s="105">
        <v>0.0</v>
      </c>
      <c r="L35" s="105">
        <v>0.0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66">
        <f t="shared" si="5"/>
        <v>0</v>
      </c>
      <c r="V35" s="66">
        <f t="shared" si="6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66">
        <f t="shared" si="5"/>
        <v>0</v>
      </c>
      <c r="V36" s="66">
        <f t="shared" si="6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4.0</v>
      </c>
      <c r="H37" s="105">
        <v>2.0</v>
      </c>
      <c r="I37" s="105">
        <v>2.0</v>
      </c>
      <c r="J37" s="105">
        <v>1.0</v>
      </c>
      <c r="K37" s="105">
        <v>1.0</v>
      </c>
      <c r="L37" s="105">
        <v>0.0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2.0</v>
      </c>
      <c r="S37" s="105">
        <v>2.0</v>
      </c>
      <c r="T37" s="105">
        <v>2568.0</v>
      </c>
      <c r="U37" s="66">
        <f t="shared" si="5"/>
        <v>1</v>
      </c>
      <c r="V37" s="66">
        <f t="shared" si="6"/>
        <v>0.5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si="5"/>
        <v>0</v>
      </c>
      <c r="V38" s="66">
        <f t="shared" si="6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4.0</v>
      </c>
      <c r="H39" s="105">
        <v>1.0</v>
      </c>
      <c r="I39" s="105">
        <v>0.0</v>
      </c>
      <c r="J39" s="105">
        <v>1.0</v>
      </c>
      <c r="K39" s="105">
        <v>0.0</v>
      </c>
      <c r="L39" s="105">
        <v>0.0</v>
      </c>
      <c r="M39" s="105">
        <v>2.0</v>
      </c>
      <c r="N39" s="105">
        <v>0.0</v>
      </c>
      <c r="O39" s="105">
        <v>0.0</v>
      </c>
      <c r="P39" s="105">
        <v>0.0</v>
      </c>
      <c r="Q39" s="105">
        <v>0.0</v>
      </c>
      <c r="R39" s="105">
        <v>1.0</v>
      </c>
      <c r="S39" s="105">
        <v>0.0</v>
      </c>
      <c r="T39" s="105">
        <v>0.0</v>
      </c>
      <c r="U39" s="66">
        <f t="shared" si="5"/>
        <v>0</v>
      </c>
      <c r="V39" s="66">
        <f t="shared" si="6"/>
        <v>0.25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1.0</v>
      </c>
      <c r="H40" s="105">
        <v>1.0</v>
      </c>
      <c r="I40" s="105">
        <v>1.0</v>
      </c>
      <c r="J40" s="105">
        <v>1.0</v>
      </c>
      <c r="K40" s="105">
        <v>1.0</v>
      </c>
      <c r="L40" s="105">
        <v>0.0</v>
      </c>
      <c r="M40" s="105">
        <v>2.0</v>
      </c>
      <c r="N40" s="105">
        <v>0.0</v>
      </c>
      <c r="O40" s="105">
        <v>0.0</v>
      </c>
      <c r="P40" s="105">
        <v>0.0</v>
      </c>
      <c r="Q40" s="105">
        <v>0.0</v>
      </c>
      <c r="R40" s="105">
        <v>1.0</v>
      </c>
      <c r="S40" s="105">
        <v>1.0</v>
      </c>
      <c r="T40" s="105">
        <v>1387.0</v>
      </c>
      <c r="U40" s="66">
        <f t="shared" si="5"/>
        <v>1</v>
      </c>
      <c r="V40" s="66">
        <f t="shared" si="6"/>
        <v>1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3.0</v>
      </c>
      <c r="H41" s="105">
        <v>1.0</v>
      </c>
      <c r="I41" s="105">
        <v>1.0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1.0</v>
      </c>
      <c r="S41" s="105">
        <v>1.0</v>
      </c>
      <c r="T41" s="105">
        <v>2231.0</v>
      </c>
      <c r="U41" s="66">
        <f t="shared" si="5"/>
        <v>1</v>
      </c>
      <c r="V41" s="66">
        <f t="shared" si="6"/>
        <v>0.3333333333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1.0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5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4.0</v>
      </c>
      <c r="H44" s="105">
        <v>1.0</v>
      </c>
      <c r="I44" s="105">
        <v>0.0</v>
      </c>
      <c r="J44" s="105">
        <v>0.0</v>
      </c>
      <c r="K44" s="105">
        <v>0.0</v>
      </c>
      <c r="L44" s="105">
        <v>3.0</v>
      </c>
      <c r="M44" s="105">
        <v>2.0</v>
      </c>
      <c r="N44" s="105">
        <v>1.0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5"/>
        <v>0</v>
      </c>
      <c r="V44" s="66">
        <f t="shared" si="6"/>
        <v>1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2.0</v>
      </c>
      <c r="H46" s="105">
        <v>1.0</v>
      </c>
      <c r="I46" s="105">
        <v>1.0</v>
      </c>
      <c r="J46" s="105">
        <v>0.0</v>
      </c>
      <c r="K46" s="105">
        <v>0.0</v>
      </c>
      <c r="L46" s="105">
        <v>0.0</v>
      </c>
      <c r="M46" s="105">
        <v>2.0</v>
      </c>
      <c r="N46" s="105">
        <v>1.0</v>
      </c>
      <c r="O46" s="105">
        <v>1.0</v>
      </c>
      <c r="P46" s="105">
        <v>0.0</v>
      </c>
      <c r="Q46" s="105">
        <v>0.0</v>
      </c>
      <c r="R46" s="105">
        <v>0.0</v>
      </c>
      <c r="S46" s="105">
        <v>0.0</v>
      </c>
      <c r="T46" s="105">
        <v>980.0</v>
      </c>
      <c r="U46" s="66">
        <f t="shared" si="5"/>
        <v>1</v>
      </c>
      <c r="V46" s="66">
        <f t="shared" si="6"/>
        <v>0.5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5"/>
        <v>0</v>
      </c>
      <c r="V48" s="66">
        <f t="shared" si="6"/>
        <v>0</v>
      </c>
    </row>
    <row r="49" ht="12.75" customHeight="1">
      <c r="A49" s="96"/>
      <c r="B49" s="96"/>
      <c r="C49" s="96"/>
      <c r="D49" s="1"/>
      <c r="E49" s="96"/>
      <c r="F49" s="97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9"/>
      <c r="V49" s="99"/>
    </row>
    <row r="50" ht="12.75" customHeight="1">
      <c r="A50" s="96"/>
      <c r="B50" s="96"/>
      <c r="C50" s="96"/>
      <c r="D50" s="1"/>
      <c r="E50" s="96"/>
      <c r="F50" s="97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9"/>
      <c r="V50" s="99"/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100"/>
      <c r="B555" s="100"/>
      <c r="C555" s="100"/>
      <c r="D555" s="101"/>
      <c r="E555" s="100"/>
      <c r="F555" s="102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4"/>
      <c r="V555" s="104"/>
    </row>
    <row r="556" ht="12.75" customHeight="1">
      <c r="A556" s="100"/>
      <c r="B556" s="100"/>
      <c r="C556" s="100"/>
      <c r="D556" s="101"/>
      <c r="E556" s="100"/>
      <c r="F556" s="102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4"/>
      <c r="V556" s="104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28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15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14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66">
        <f t="shared" si="2"/>
        <v>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 t="s">
        <v>47</v>
      </c>
      <c r="F29" s="76" t="s">
        <v>56</v>
      </c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66">
        <f t="shared" si="2"/>
        <v>0</v>
      </c>
      <c r="V29" s="66">
        <f t="shared" si="3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66">
        <f t="shared" si="2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48" si="4">IFERROR(I34/H34,0)</f>
        <v>0</v>
      </c>
      <c r="V34" s="66">
        <f t="shared" ref="V34:V48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66">
        <f t="shared" si="4"/>
        <v>0</v>
      </c>
      <c r="V35" s="66">
        <f t="shared" si="5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66">
        <f t="shared" si="4"/>
        <v>0</v>
      </c>
      <c r="V36" s="66">
        <f t="shared" si="5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66">
        <f t="shared" si="4"/>
        <v>0</v>
      </c>
      <c r="V37" s="66">
        <f t="shared" si="5"/>
        <v>0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66">
        <f t="shared" si="4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96"/>
      <c r="B49" s="96"/>
      <c r="C49" s="96"/>
      <c r="D49" s="1"/>
      <c r="E49" s="96"/>
      <c r="F49" s="97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9"/>
      <c r="V49" s="99"/>
    </row>
    <row r="50" ht="12.75" customHeight="1">
      <c r="A50" s="96"/>
      <c r="B50" s="96"/>
      <c r="C50" s="96"/>
      <c r="D50" s="1"/>
      <c r="E50" s="96"/>
      <c r="F50" s="97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9"/>
      <c r="V50" s="99"/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100"/>
      <c r="B555" s="100"/>
      <c r="C555" s="100"/>
      <c r="D555" s="101"/>
      <c r="E555" s="100"/>
      <c r="F555" s="102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4"/>
      <c r="V555" s="104"/>
    </row>
    <row r="556" ht="12.75" customHeight="1">
      <c r="A556" s="100"/>
      <c r="B556" s="100"/>
      <c r="C556" s="100"/>
      <c r="D556" s="101"/>
      <c r="E556" s="100"/>
      <c r="F556" s="102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4"/>
      <c r="V556" s="104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28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15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14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66">
        <f t="shared" si="2"/>
        <v>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 t="s">
        <v>47</v>
      </c>
      <c r="F29" s="76" t="s">
        <v>56</v>
      </c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66">
        <f t="shared" si="2"/>
        <v>0</v>
      </c>
      <c r="V29" s="66">
        <f t="shared" si="3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66">
        <f t="shared" si="2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48" si="4">IFERROR(I34/H34,0)</f>
        <v>0</v>
      </c>
      <c r="V34" s="66">
        <f t="shared" ref="V34:V48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66">
        <f t="shared" si="4"/>
        <v>0</v>
      </c>
      <c r="V35" s="66">
        <f t="shared" si="5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66">
        <f t="shared" si="4"/>
        <v>0</v>
      </c>
      <c r="V36" s="66">
        <f t="shared" si="5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66">
        <f t="shared" si="4"/>
        <v>0</v>
      </c>
      <c r="V37" s="66">
        <f t="shared" si="5"/>
        <v>0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66">
        <f t="shared" si="4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96"/>
      <c r="B49" s="96"/>
      <c r="C49" s="96"/>
      <c r="D49" s="1"/>
      <c r="E49" s="96"/>
      <c r="F49" s="97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9"/>
      <c r="V49" s="99"/>
    </row>
    <row r="50" ht="12.75" customHeight="1">
      <c r="A50" s="96"/>
      <c r="B50" s="96"/>
      <c r="C50" s="96"/>
      <c r="D50" s="1"/>
      <c r="E50" s="96"/>
      <c r="F50" s="97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9"/>
      <c r="V50" s="99"/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100"/>
      <c r="B555" s="100"/>
      <c r="C555" s="100"/>
      <c r="D555" s="101"/>
      <c r="E555" s="100"/>
      <c r="F555" s="102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4"/>
      <c r="V555" s="104"/>
    </row>
    <row r="556" ht="12.75" customHeight="1">
      <c r="A556" s="100"/>
      <c r="B556" s="100"/>
      <c r="C556" s="100"/>
      <c r="D556" s="101"/>
      <c r="E556" s="100"/>
      <c r="F556" s="102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4"/>
      <c r="V556" s="104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11" t="s">
        <v>74</v>
      </c>
      <c r="B1" s="111" t="s">
        <v>75</v>
      </c>
      <c r="C1" s="111" t="s">
        <v>30</v>
      </c>
      <c r="D1" s="111" t="s">
        <v>76</v>
      </c>
      <c r="E1" s="111" t="s">
        <v>0</v>
      </c>
      <c r="F1" s="111" t="s">
        <v>77</v>
      </c>
      <c r="G1" s="111" t="s">
        <v>78</v>
      </c>
      <c r="H1" s="111" t="s">
        <v>79</v>
      </c>
      <c r="I1" s="111" t="s">
        <v>80</v>
      </c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</row>
    <row r="2">
      <c r="A2" s="113" t="s">
        <v>81</v>
      </c>
      <c r="B2" s="113" t="s">
        <v>82</v>
      </c>
      <c r="C2" s="113" t="s">
        <v>83</v>
      </c>
      <c r="D2" s="114">
        <v>46072.0</v>
      </c>
      <c r="E2" s="113">
        <v>2183.04</v>
      </c>
      <c r="F2" s="113" t="s">
        <v>84</v>
      </c>
      <c r="G2" s="113" t="s">
        <v>85</v>
      </c>
      <c r="H2" s="113" t="s">
        <v>86</v>
      </c>
      <c r="I2" s="113" t="s">
        <v>87</v>
      </c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</row>
    <row r="3">
      <c r="A3" s="113" t="s">
        <v>88</v>
      </c>
      <c r="B3" s="113" t="s">
        <v>89</v>
      </c>
      <c r="C3" s="113" t="s">
        <v>83</v>
      </c>
      <c r="D3" s="114">
        <v>46072.0</v>
      </c>
      <c r="E3" s="113">
        <v>1665.0</v>
      </c>
      <c r="F3" s="113" t="s">
        <v>84</v>
      </c>
      <c r="G3" s="113" t="s">
        <v>90</v>
      </c>
      <c r="H3" s="113" t="s">
        <v>91</v>
      </c>
      <c r="I3" s="113" t="s">
        <v>87</v>
      </c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</row>
    <row r="4">
      <c r="A4" s="113" t="s">
        <v>92</v>
      </c>
      <c r="B4" s="113" t="s">
        <v>89</v>
      </c>
      <c r="C4" s="113" t="s">
        <v>83</v>
      </c>
      <c r="D4" s="114">
        <v>46072.0</v>
      </c>
      <c r="E4" s="113">
        <v>1520.04</v>
      </c>
      <c r="F4" s="113" t="s">
        <v>84</v>
      </c>
      <c r="G4" s="113" t="s">
        <v>90</v>
      </c>
      <c r="H4" s="113" t="s">
        <v>91</v>
      </c>
      <c r="I4" s="113" t="s">
        <v>87</v>
      </c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</row>
    <row r="5">
      <c r="A5" s="113" t="s">
        <v>93</v>
      </c>
      <c r="B5" s="113" t="s">
        <v>94</v>
      </c>
      <c r="C5" s="113" t="s">
        <v>95</v>
      </c>
      <c r="D5" s="114">
        <v>46071.0</v>
      </c>
      <c r="E5" s="113">
        <v>2443.44</v>
      </c>
      <c r="F5" s="113" t="s">
        <v>84</v>
      </c>
      <c r="G5" s="113" t="s">
        <v>85</v>
      </c>
      <c r="H5" s="113" t="s">
        <v>96</v>
      </c>
      <c r="I5" s="113" t="s">
        <v>97</v>
      </c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</row>
    <row r="6">
      <c r="A6" s="113" t="s">
        <v>98</v>
      </c>
      <c r="B6" s="113" t="s">
        <v>99</v>
      </c>
      <c r="C6" s="113" t="s">
        <v>83</v>
      </c>
      <c r="D6" s="114">
        <v>46071.0</v>
      </c>
      <c r="E6" s="113">
        <v>1787.76</v>
      </c>
      <c r="F6" s="113" t="s">
        <v>84</v>
      </c>
      <c r="G6" s="113" t="s">
        <v>85</v>
      </c>
      <c r="H6" s="113" t="s">
        <v>100</v>
      </c>
      <c r="I6" s="113" t="s">
        <v>87</v>
      </c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</row>
    <row r="7">
      <c r="A7" s="113" t="s">
        <v>101</v>
      </c>
      <c r="B7" s="113" t="s">
        <v>102</v>
      </c>
      <c r="C7" s="113" t="s">
        <v>95</v>
      </c>
      <c r="D7" s="114">
        <v>46075.0</v>
      </c>
      <c r="E7" s="113">
        <v>2011.32</v>
      </c>
      <c r="F7" s="113" t="s">
        <v>84</v>
      </c>
      <c r="G7" s="113" t="s">
        <v>85</v>
      </c>
      <c r="H7" s="113" t="s">
        <v>100</v>
      </c>
      <c r="I7" s="113" t="s">
        <v>97</v>
      </c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</row>
    <row r="8">
      <c r="A8" s="113" t="s">
        <v>103</v>
      </c>
      <c r="B8" s="113" t="s">
        <v>104</v>
      </c>
      <c r="C8" s="113" t="s">
        <v>95</v>
      </c>
      <c r="D8" s="114">
        <v>46072.0</v>
      </c>
      <c r="E8" s="113">
        <v>2357.4</v>
      </c>
      <c r="F8" s="113" t="s">
        <v>84</v>
      </c>
      <c r="G8" s="113" t="s">
        <v>85</v>
      </c>
      <c r="H8" s="113" t="s">
        <v>105</v>
      </c>
      <c r="I8" s="113" t="s">
        <v>87</v>
      </c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</row>
    <row r="9">
      <c r="A9" s="113" t="s">
        <v>106</v>
      </c>
      <c r="B9" s="113" t="s">
        <v>107</v>
      </c>
      <c r="C9" s="113" t="s">
        <v>95</v>
      </c>
      <c r="D9" s="114">
        <v>46074.0</v>
      </c>
      <c r="E9" s="113">
        <v>1907.88</v>
      </c>
      <c r="F9" s="113" t="s">
        <v>84</v>
      </c>
      <c r="G9" s="113" t="s">
        <v>85</v>
      </c>
      <c r="H9" s="113" t="s">
        <v>108</v>
      </c>
      <c r="I9" s="113" t="s">
        <v>87</v>
      </c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</row>
    <row r="10">
      <c r="A10" s="113" t="s">
        <v>109</v>
      </c>
      <c r="B10" s="113" t="s">
        <v>82</v>
      </c>
      <c r="C10" s="113" t="s">
        <v>83</v>
      </c>
      <c r="D10" s="114">
        <v>46077.0</v>
      </c>
      <c r="E10" s="113">
        <v>1752.24</v>
      </c>
      <c r="F10" s="113" t="s">
        <v>110</v>
      </c>
      <c r="G10" s="113" t="s">
        <v>85</v>
      </c>
      <c r="H10" s="113" t="s">
        <v>111</v>
      </c>
      <c r="I10" s="113" t="s">
        <v>87</v>
      </c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</row>
    <row r="11">
      <c r="A11" s="113" t="s">
        <v>112</v>
      </c>
      <c r="B11" s="113" t="s">
        <v>113</v>
      </c>
      <c r="C11" s="113" t="s">
        <v>95</v>
      </c>
      <c r="D11" s="114">
        <v>46072.0</v>
      </c>
      <c r="E11" s="113">
        <v>2049.12</v>
      </c>
      <c r="F11" s="113" t="s">
        <v>84</v>
      </c>
      <c r="G11" s="113" t="s">
        <v>85</v>
      </c>
      <c r="H11" s="113" t="s">
        <v>114</v>
      </c>
      <c r="I11" s="113" t="s">
        <v>87</v>
      </c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</row>
    <row r="12">
      <c r="A12" s="113" t="s">
        <v>115</v>
      </c>
      <c r="B12" s="113" t="s">
        <v>116</v>
      </c>
      <c r="C12" s="113" t="s">
        <v>83</v>
      </c>
      <c r="D12" s="114">
        <v>46071.0</v>
      </c>
      <c r="E12" s="113">
        <v>1716.72</v>
      </c>
      <c r="F12" s="113" t="s">
        <v>84</v>
      </c>
      <c r="G12" s="113" t="s">
        <v>85</v>
      </c>
      <c r="H12" s="113" t="s">
        <v>117</v>
      </c>
      <c r="I12" s="113" t="s">
        <v>87</v>
      </c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</row>
    <row r="13">
      <c r="A13" s="113" t="s">
        <v>118</v>
      </c>
      <c r="B13" s="113" t="s">
        <v>119</v>
      </c>
      <c r="C13" s="113" t="s">
        <v>95</v>
      </c>
      <c r="D13" s="114">
        <v>46074.0</v>
      </c>
      <c r="E13" s="113">
        <v>1069.68</v>
      </c>
      <c r="F13" s="113" t="s">
        <v>84</v>
      </c>
      <c r="G13" s="113" t="s">
        <v>85</v>
      </c>
      <c r="H13" s="113" t="s">
        <v>120</v>
      </c>
      <c r="I13" s="113" t="s">
        <v>87</v>
      </c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</row>
    <row r="14">
      <c r="A14" s="113" t="s">
        <v>121</v>
      </c>
      <c r="B14" s="113" t="s">
        <v>122</v>
      </c>
      <c r="C14" s="113" t="s">
        <v>83</v>
      </c>
      <c r="D14" s="114">
        <v>46076.0</v>
      </c>
      <c r="E14" s="113">
        <v>2039.88</v>
      </c>
      <c r="F14" s="113" t="s">
        <v>84</v>
      </c>
      <c r="G14" s="113" t="s">
        <v>90</v>
      </c>
      <c r="H14" s="113" t="s">
        <v>123</v>
      </c>
      <c r="I14" s="113" t="s">
        <v>87</v>
      </c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</row>
    <row r="15">
      <c r="A15" s="116" t="s">
        <v>124</v>
      </c>
      <c r="B15" s="116" t="s">
        <v>122</v>
      </c>
      <c r="C15" s="116" t="s">
        <v>83</v>
      </c>
      <c r="D15" s="117">
        <v>46076.0</v>
      </c>
      <c r="E15" s="118">
        <v>1566.6</v>
      </c>
      <c r="F15" s="118" t="s">
        <v>84</v>
      </c>
      <c r="G15" s="118" t="s">
        <v>90</v>
      </c>
      <c r="H15" s="118" t="s">
        <v>125</v>
      </c>
      <c r="I15" s="118" t="s">
        <v>87</v>
      </c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</row>
    <row r="16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</row>
    <row r="17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</row>
    <row r="18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</row>
    <row r="19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</row>
    <row r="20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</row>
    <row r="21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</row>
    <row r="22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</row>
    <row r="23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</row>
    <row r="24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</row>
    <row r="25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</row>
    <row r="27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</row>
    <row r="28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</row>
    <row r="29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</row>
    <row r="30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</row>
    <row r="31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</row>
    <row r="32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</row>
    <row r="33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</row>
    <row r="34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</row>
    <row r="35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</row>
  </sheetData>
  <drawing r:id="rId1"/>
</worksheet>
</file>