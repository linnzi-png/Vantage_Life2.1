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<sst xmlns="http://schemas.openxmlformats.org/spreadsheetml/2006/main" count="5450" uniqueCount="150">
  <si>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</si>
  <si>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</si>
  <si>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</si>
  <si>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</si>
  <si>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</si>
  <si>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</si>
  <si>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</si>
  <si>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</si>
  <si>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</si>
  <si>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</si>
  <si>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</si>
  <si>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</si>
  <si>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</si>
  <si>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</si>
  <si>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</si>
  <si>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</si>
  <si>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</si>
  <si>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</si>
  <si>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</si>
  <si>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</si>
  <si>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</si>
  <si>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</si>
  <si>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</si>
  <si>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</si>
  <si>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</si>
  <si>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</si>
  <si>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</si>
  <si>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</si>
  <si>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Melissa Elam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</si>
  <si>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</si>
  <si>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</si>
  <si>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</si>
  <si>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</si>
  <si>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</si>
  <si>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</si>
  <si>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</si>
  <si>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</si>
  <si>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</si>
  <si>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</si>
  <si>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</si>
  <si>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</si>
  <si>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</si>
  <si>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</si>
  <si>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</si>
  <si>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</si>
  <si>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</si>
  <si>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</si>
  <si>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</si>
  <si>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</si>
  <si>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</si>
  <si>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</si>
  <si>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</si>
  <si>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</si>
  <si>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</si>
  <si>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</si>
  <si>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</si>
  <si>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</si>
  <si>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</si>
  <si>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</si>
  <si>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</si>
  <si>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</si>
  <si>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</si>
  <si>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</si>
  <si>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</si>
  <si>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</si>
  <si>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MS</t>
  </si>
  <si>
    <t>Ronald Montoya</t>
  </si>
  <si>
    <t>Frances Gonzalez</t>
  </si>
  <si>
    <t>Karina Picado</t>
  </si>
  <si>
    <t>Danielle Loux</t>
  </si>
  <si>
    <t>MO</t>
  </si>
  <si>
    <t>Lacie Herring</t>
  </si>
  <si>
    <t>Tiera Williams</t>
  </si>
  <si>
    <t>Romona Armstead</t>
  </si>
  <si>
    <t>TN</t>
  </si>
  <si>
    <t>Preston Opperman</t>
  </si>
  <si>
    <t>Bilal Abdullah</t>
  </si>
  <si>
    <t>Kain White-Conley</t>
  </si>
  <si>
    <t>NH</t>
  </si>
  <si>
    <t>Cheri DiPiero</t>
  </si>
  <si>
    <t>Regina Gumma</t>
  </si>
  <si>
    <t>Andre Alire</t>
  </si>
  <si>
    <t>Kelvin Claney</t>
  </si>
  <si>
    <t>Patty Kilburn</t>
  </si>
  <si>
    <t>Jacob Bandyk</t>
  </si>
  <si>
    <t>Angelo Perez</t>
  </si>
  <si>
    <t>Megan Cannon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</si>
  <si>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</si>
  <si>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</si>
  <si>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</si>
  <si>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</si>
  <si>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</si>
  <si>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</si>
  <si>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</si>
  <si>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</si>
  <si>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</si>
  <si>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</si>
  <si>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</si>
  <si>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</si>
  <si>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</si>
  <si>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</si>
  <si>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</si>
  <si>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</si>
  <si>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</si>
  <si>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</si>
  <si>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</si>
  <si>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</si>
  <si>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Emmy Phipps</t>
  </si>
  <si>
    <t>Sasha Blake</t>
  </si>
  <si>
    <t>Annie Ransom</t>
  </si>
  <si>
    <t>OR</t>
  </si>
  <si>
    <t>Caroline Sanazaro</t>
  </si>
  <si>
    <t>O'Neil Mbakwe</t>
  </si>
  <si>
    <t>Hillary Tucker</t>
  </si>
  <si>
    <t>Alexa Legg</t>
  </si>
  <si>
    <t>Berlin Iwai</t>
  </si>
  <si>
    <t>Crystal Mekdarasack</t>
  </si>
  <si>
    <t>Brad Word</t>
  </si>
  <si>
    <t>Ivander Ambriz</t>
  </si>
  <si>
    <t>Michael Boyd</t>
  </si>
  <si>
    <t>Paige Weatherhead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</si>
  <si>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</si>
  <si>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</si>
  <si>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</si>
  <si>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</si>
  <si>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</si>
  <si>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</si>
  <si>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</si>
  <si>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</si>
  <si>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</si>
  <si>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</si>
  <si>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</si>
  <si>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</si>
  <si>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</si>
  <si>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</si>
  <si>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</si>
  <si>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</si>
  <si>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</si>
  <si>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KAMAU THORNTON</t>
  </si>
  <si>
    <t>PRESTON OPPERMAN</t>
  </si>
  <si>
    <t>GOJCAJ</t>
  </si>
  <si>
    <t>N/A</t>
  </si>
  <si>
    <t>YES</t>
  </si>
  <si>
    <t>CANNOT DRAFT UNTIL NEXT MONTH</t>
  </si>
  <si>
    <t>HERSEY BURTON</t>
  </si>
  <si>
    <t>DANIEL ZAVALA</t>
  </si>
  <si>
    <t>ONEIL MBAKWE</t>
  </si>
  <si>
    <t>TYLER</t>
  </si>
  <si>
    <t>NO</t>
  </si>
  <si>
    <t>CANCEL PER AGENT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</si>
</sst>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5" fillId="0" fontId="7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6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7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6" fillId="5" fontId="2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20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16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6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1" fillId="4" fontId="11" numFmtId="0" xfId="0" applyAlignment="1" applyBorder="1" applyFont="1">
      <alignment readingOrder="0" shrinkToFit="0" vertical="bottom" wrapText="1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16" fillId="0" fontId="11" numFmtId="0" xfId="0" applyAlignment="1" applyBorder="1" applyFont="1">
      <alignment readingOrder="0" shrinkToFit="0" vertical="bottom" wrapText="1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2" numFmtId="0" xfId="0" applyAlignment="1" applyBorder="1" applyFont="1">
      <alignment shrinkToFit="0" vertical="bottom" wrapText="1"/>
    </xf>
    <xf borderId="21" fillId="3" fontId="14" numFmtId="0" xfId="0" applyAlignment="1" applyBorder="1" applyFont="1">
      <alignment shrinkToFit="0" vertical="bottom" wrapText="1"/>
    </xf>
    <xf borderId="20" fillId="3" fontId="15" numFmtId="0" xfId="0" applyAlignment="1" applyBorder="1" applyFont="1">
      <alignment vertical="bottom"/>
    </xf>
    <xf borderId="16" fillId="0" fontId="12" numFmtId="0" xfId="0" applyAlignment="1" applyBorder="1" applyFont="1">
      <alignment readingOrder="0" shrinkToFit="0" vertical="bottom" wrapText="1"/>
    </xf>
    <xf borderId="16" fillId="0" fontId="11" numFmtId="0" xfId="0" applyAlignment="1" applyBorder="1" applyFont="1">
      <alignment shrinkToFit="0" vertical="bottom" wrapText="1"/>
    </xf>
    <xf borderId="20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vertical="bottom"/>
    </xf>
    <xf borderId="20" fillId="0" fontId="16" numFmtId="0" xfId="0" applyAlignment="1" applyBorder="1" applyFont="1">
      <alignment shrinkToFit="0" vertical="bottom" wrapText="1"/>
    </xf>
    <xf borderId="20" fillId="4" fontId="17" numFmtId="0" xfId="0" applyAlignment="1" applyBorder="1" applyFont="1">
      <alignment readingOrder="0" vertical="bottom"/>
    </xf>
    <xf borderId="16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0" fillId="4" fontId="1" numFmtId="0" xfId="0" applyAlignment="1" applyBorder="1" applyFont="1">
      <alignment vertical="bottom"/>
    </xf>
    <xf borderId="20" fillId="5" fontId="17" numFmtId="0" xfId="0" applyAlignment="1" applyBorder="1" applyFont="1">
      <alignment readingOrder="0" vertical="bottom"/>
    </xf>
    <xf borderId="20" fillId="5" fontId="1" numFmtId="0" xfId="0" applyAlignment="1" applyBorder="1" applyFont="1">
      <alignment vertical="bottom"/>
    </xf>
    <xf borderId="21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4" fontId="1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vertical="center"/>
    </xf>
    <xf borderId="20" fillId="4" fontId="11" numFmtId="0" xfId="0" applyAlignment="1" applyBorder="1" applyFont="1">
      <alignment readingOrder="0" shrinkToFit="0" vertical="center" wrapText="1"/>
    </xf>
    <xf borderId="20" fillId="0" fontId="17" numFmtId="0" xfId="0" applyAlignment="1" applyBorder="1" applyFont="1">
      <alignment readingOrder="0" vertical="bottom"/>
    </xf>
    <xf borderId="20" fillId="0" fontId="1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5" fontId="19" numFmtId="0" xfId="0" applyAlignment="1" applyBorder="1" applyFont="1">
      <alignment vertical="bottom"/>
    </xf>
    <xf borderId="20" fillId="5" fontId="20" numFmtId="0" xfId="0" applyAlignment="1" applyBorder="1" applyFont="1">
      <alignment readingOrder="0" vertical="bottom"/>
    </xf>
    <xf borderId="20" fillId="0" fontId="20" numFmtId="0" xfId="0" applyAlignment="1" applyBorder="1" applyFont="1">
      <alignment readingOrder="0" vertical="bottom"/>
    </xf>
    <xf borderId="20" fillId="0" fontId="19" numFmtId="0" xfId="0" applyAlignment="1" applyBorder="1" applyFont="1">
      <alignment vertical="bottom"/>
    </xf>
    <xf borderId="20" fillId="4" fontId="18" numFmtId="0" xfId="0" applyAlignment="1" applyBorder="1" applyFont="1">
      <alignment readingOrder="0" vertical="bottom"/>
    </xf>
    <xf borderId="20" fillId="4" fontId="21" numFmtId="0" xfId="0" applyAlignment="1" applyBorder="1" applyFont="1">
      <alignment vertical="bottom"/>
    </xf>
    <xf borderId="20" fillId="4" fontId="21" numFmtId="0" xfId="0" applyAlignment="1" applyBorder="1" applyFont="1">
      <alignment readingOrder="0" vertical="bottom"/>
    </xf>
    <xf borderId="20" fillId="4" fontId="20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6" fillId="6" fontId="9" numFmtId="9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54324.84</v>
      </c>
      <c r="D2" s="10"/>
      <c r="E2" s="11">
        <f t="shared" ref="E2:R2" si="1">SUM(E5,E20,E23,E26,E29,E32)</f>
        <v>36018.84</v>
      </c>
      <c r="F2" s="11">
        <f t="shared" si="1"/>
        <v>88</v>
      </c>
      <c r="G2" s="11">
        <f t="shared" si="1"/>
        <v>54</v>
      </c>
      <c r="H2" s="11">
        <f t="shared" si="1"/>
        <v>27</v>
      </c>
      <c r="I2" s="11">
        <f t="shared" si="1"/>
        <v>10</v>
      </c>
      <c r="J2" s="11">
        <f t="shared" si="1"/>
        <v>8</v>
      </c>
      <c r="K2" s="11">
        <f t="shared" si="1"/>
        <v>16</v>
      </c>
      <c r="L2" s="11">
        <f t="shared" si="1"/>
        <v>6</v>
      </c>
      <c r="M2" s="11">
        <f t="shared" si="1"/>
        <v>188</v>
      </c>
      <c r="N2" s="11">
        <f t="shared" si="1"/>
        <v>28</v>
      </c>
      <c r="O2" s="11">
        <f t="shared" si="1"/>
        <v>13</v>
      </c>
      <c r="P2" s="11">
        <f t="shared" si="1"/>
        <v>29</v>
      </c>
      <c r="Q2" s="11">
        <f t="shared" si="1"/>
        <v>15</v>
      </c>
      <c r="R2" s="11">
        <f t="shared" si="1"/>
        <v>8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2012.031111</v>
      </c>
      <c r="F4" s="24">
        <f>IFERROR((G2+R2)/F2,0)</f>
        <v>0.7045454545</v>
      </c>
      <c r="G4" s="24">
        <f>IFERROR(H2/G2,0)</f>
        <v>0.5</v>
      </c>
      <c r="H4" s="23">
        <f>(C2/C4)</f>
        <v>765.1385915</v>
      </c>
      <c r="I4" s="25"/>
      <c r="J4" s="24">
        <f>IFERROR(J2/I2,0)</f>
        <v>0.8</v>
      </c>
      <c r="K4" s="25"/>
      <c r="L4" s="24">
        <f>IFERROR(L2/K2,0)</f>
        <v>0.375</v>
      </c>
      <c r="M4" s="26">
        <f>IFERROR(M2/G2,0)</f>
        <v>3.481481481</v>
      </c>
      <c r="N4" s="25"/>
      <c r="O4" s="24">
        <f>IFERROR(O2/N2,0)</f>
        <v>0.4642857143</v>
      </c>
      <c r="P4" s="26"/>
      <c r="Q4" s="24">
        <f>IFERROR(Q2/P2,0)</f>
        <v>0.5172413793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37672.84</v>
      </c>
      <c r="D5" s="31"/>
      <c r="E5" s="32">
        <f>SUMIFS(T:T,A:A,B5,D:D,"Y")</f>
        <v>28224.84</v>
      </c>
      <c r="F5" s="11">
        <f>SUMIF(A:A,B5,G:G)</f>
        <v>71</v>
      </c>
      <c r="G5" s="11">
        <f>SUMIF(A:A,B5,H:H)</f>
        <v>37</v>
      </c>
      <c r="H5" s="11">
        <f>SUMIF(A:A,B5,I:I)</f>
        <v>20</v>
      </c>
      <c r="I5" s="11">
        <f>SUMIF(A:A,B5,P:P)</f>
        <v>10</v>
      </c>
      <c r="J5" s="11">
        <f>SUMIF(A:A,B5,Q:Q)</f>
        <v>8</v>
      </c>
      <c r="K5" s="11">
        <f>SUMIF(A:A,B5,R:R)</f>
        <v>10</v>
      </c>
      <c r="L5" s="11">
        <f>SUMIF(A:A,B5,S:S)</f>
        <v>5</v>
      </c>
      <c r="M5" s="11">
        <f>SUMIF(A:A,B5,M:M)</f>
        <v>107</v>
      </c>
      <c r="N5" s="11">
        <f>SUMIF(A:A,B5,N:N)</f>
        <v>12</v>
      </c>
      <c r="O5" s="11">
        <f>SUMIF(A:A,B5,O:O)</f>
        <v>7</v>
      </c>
      <c r="P5" s="11">
        <f>SUMIF(A:A,B5,J:J)</f>
        <v>15</v>
      </c>
      <c r="Q5" s="11">
        <f>SUMIF(A:A,B5,K:K)</f>
        <v>8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1883.642</v>
      </c>
      <c r="F7" s="41">
        <f>IFERROR((G5+R5)/F5,0)</f>
        <v>0.5774647887</v>
      </c>
      <c r="G7" s="41">
        <f>IFERROR(H5/G5,0)</f>
        <v>0.5405405405</v>
      </c>
      <c r="H7" s="40">
        <f>(C5/C7)</f>
        <v>1255.761333</v>
      </c>
      <c r="I7" s="42"/>
      <c r="J7" s="41">
        <f>IFERROR(J5/I5,0)</f>
        <v>0.8</v>
      </c>
      <c r="K7" s="42"/>
      <c r="L7" s="41">
        <f>IFERROR(L5/K5,0)</f>
        <v>0.5</v>
      </c>
      <c r="M7" s="43">
        <f>IFERROR(M5/SUM(R5+G5,0),"")</f>
        <v>2.609756098</v>
      </c>
      <c r="N7" s="42"/>
      <c r="O7" s="41">
        <f>IFERROR(O5/N5,0)</f>
        <v>0.5833333333</v>
      </c>
      <c r="P7" s="43"/>
      <c r="Q7" s="41">
        <f>IFERROR(Q5/P5,0)</f>
        <v>0.5333333333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11495</v>
      </c>
      <c r="D8" s="48"/>
      <c r="E8" s="49">
        <f>SUMIFS(T:T,B:B,B8,D:D,"Y")</f>
        <v>9827</v>
      </c>
      <c r="F8" s="50">
        <f>SUMIF(B38:B1092,B8,G38:G1092)</f>
        <v>23</v>
      </c>
      <c r="G8" s="51">
        <f>SUMIF(B38:B1092,B8,H38:H1092)</f>
        <v>12</v>
      </c>
      <c r="H8" s="51">
        <f>SUMIF(B38:B1092,B8,I38:I1092)</f>
        <v>3</v>
      </c>
      <c r="I8" s="51">
        <f>SUMIF(B38:B1092,B8,P38:P1092)</f>
        <v>0</v>
      </c>
      <c r="J8" s="51">
        <f>SUMIF(B38:B1092,B8,Q38:Q1092)</f>
        <v>0</v>
      </c>
      <c r="K8" s="51">
        <f>SUMIF(B38:B1092,B8,R38:R1092)</f>
        <v>5</v>
      </c>
      <c r="L8" s="51">
        <f>SUMIF(B38:B1092,B8,S38:S1092)</f>
        <v>2</v>
      </c>
      <c r="M8" s="51">
        <f>SUMIF(B38:B1092,B8,M38:M1092)</f>
        <v>47</v>
      </c>
      <c r="N8" s="51">
        <f>SUMIF(B38:B1092,B8,N38:N1092)</f>
        <v>1</v>
      </c>
      <c r="O8" s="51">
        <f>SUMIF(B38:B1092,B8,O38:O1092)</f>
        <v>1</v>
      </c>
      <c r="P8" s="51">
        <f>SUMIF(B38:B1092,B8,J38:J1092)</f>
        <v>3</v>
      </c>
      <c r="Q8" s="51">
        <f>SUMIF(B38:B1092,B8,K38:K1092)</f>
        <v>0</v>
      </c>
      <c r="R8" s="52">
        <f>SUMIF(B38:B1092,B8,L38:L1092)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COUNTIFS(B38:B1092,B8)</f>
        <v>8</v>
      </c>
      <c r="D10" s="58"/>
      <c r="E10" s="23">
        <f>IFERROR(C8/H8,0)</f>
        <v>3831.666667</v>
      </c>
      <c r="F10" s="24">
        <f>IFERROR((G8+R8)/F8,0)</f>
        <v>0.5652173913</v>
      </c>
      <c r="G10" s="24">
        <f>IFERROR(H8/G8,0)</f>
        <v>0.25</v>
      </c>
      <c r="H10" s="23">
        <f>(C8/C10)</f>
        <v>1436.875</v>
      </c>
      <c r="I10" s="25"/>
      <c r="J10" s="24">
        <f>IFERROR(J8/I8,0)</f>
        <v>0</v>
      </c>
      <c r="K10" s="25"/>
      <c r="L10" s="24">
        <f>IFERROR(L8/K8,0)</f>
        <v>0.4</v>
      </c>
      <c r="M10" s="26">
        <f>IFERROR(M8/SUM(R8+G8,0),"")</f>
        <v>3.615384615</v>
      </c>
      <c r="N10" s="25"/>
      <c r="O10" s="24">
        <f>IFERROR(O8/N8,0)</f>
        <v>1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8566</v>
      </c>
      <c r="D11" s="48"/>
      <c r="E11" s="49">
        <f>SUMIFS(T:T,B:B,B11,D:D,"Y")</f>
        <v>2928</v>
      </c>
      <c r="F11" s="50">
        <f>SUMIF(B38:B1092,B11,G38:G1092)</f>
        <v>14</v>
      </c>
      <c r="G11" s="51">
        <f>SUMIF(B38:B1092,B11,H38:H1092)</f>
        <v>6</v>
      </c>
      <c r="H11" s="51">
        <f>SUMIF(B38:B1092,B11,I38:I1092)</f>
        <v>5</v>
      </c>
      <c r="I11" s="51">
        <f>SUMIF(B38:B1092,B11,P38:P1092)</f>
        <v>0</v>
      </c>
      <c r="J11" s="51">
        <f>SUMIF(B38:B1092,B11,Q38:Q1092)</f>
        <v>0</v>
      </c>
      <c r="K11" s="51">
        <f>SUMIF(B38:B1092,B11,R38:R1092)</f>
        <v>4</v>
      </c>
      <c r="L11" s="51">
        <f>SUMIF(B38:B1092,B11,S38:S1092)</f>
        <v>3</v>
      </c>
      <c r="M11" s="51">
        <f>SUMIF(B38:B1092,B11,M38:M1092)</f>
        <v>22</v>
      </c>
      <c r="N11" s="51">
        <f>SUMIF(B38:B1092,B11,N38:N1092)</f>
        <v>2</v>
      </c>
      <c r="O11" s="51">
        <f>SUMIF(B38:B1092,B11,O38:O1092)</f>
        <v>2</v>
      </c>
      <c r="P11" s="51">
        <f>SUMIF(B38:B1092,B11,J38:J1092)</f>
        <v>4</v>
      </c>
      <c r="Q11" s="51">
        <f>SUMIF(B38:B1092,B11,K38:K1092)</f>
        <v>4</v>
      </c>
      <c r="R11" s="52">
        <f>SUMIF(B38:B1092,B11,L38:L1092)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COUNTIFS(B38:B1092,B11)</f>
        <v>8</v>
      </c>
      <c r="D13" s="58"/>
      <c r="E13" s="23">
        <f>IFERROR(C11/H11,0)</f>
        <v>1713.2</v>
      </c>
      <c r="F13" s="24">
        <f>IFERROR((G11+R11)/F11,0)</f>
        <v>0.4285714286</v>
      </c>
      <c r="G13" s="24">
        <f>IFERROR(H11/G11,0)</f>
        <v>0.8333333333</v>
      </c>
      <c r="H13" s="23">
        <f>(C11/C13)</f>
        <v>1070.75</v>
      </c>
      <c r="I13" s="25"/>
      <c r="J13" s="24">
        <f>IFERROR(J11/I11,0)</f>
        <v>0</v>
      </c>
      <c r="K13" s="25"/>
      <c r="L13" s="24">
        <f>IFERROR(L11/K11,0)</f>
        <v>0.75</v>
      </c>
      <c r="M13" s="26">
        <f>IFERROR(M11/SUM(R11+G11,0),"")</f>
        <v>3.666666667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15655</v>
      </c>
      <c r="D14" s="48"/>
      <c r="E14" s="49">
        <f>SUMIFS(T:T,B:B,B14,D:D,"Y")</f>
        <v>13513</v>
      </c>
      <c r="F14" s="50">
        <f>SUMIF(B39:B1092,B14,G39:G1092)</f>
        <v>33</v>
      </c>
      <c r="G14" s="51">
        <f>SUMIF(B39:B1092,B14,H39:H1092)</f>
        <v>18</v>
      </c>
      <c r="H14" s="51">
        <f>SUMIF(B39:B1092,B14,I39:I1092)</f>
        <v>11</v>
      </c>
      <c r="I14" s="51">
        <f>SUMIF(B39:B1092,B14,P39:P1092)</f>
        <v>10</v>
      </c>
      <c r="J14" s="51">
        <f>SUMIF(B39:B1092,B14,Q39:Q1092)</f>
        <v>8</v>
      </c>
      <c r="K14" s="51">
        <f>SUMIF(B39:B1092,B14,R39:R1092)</f>
        <v>1</v>
      </c>
      <c r="L14" s="51">
        <f>SUMIF(B39:B1092,B14,S39:S1092)</f>
        <v>0</v>
      </c>
      <c r="M14" s="51">
        <f>SUMIF(B39:B1092,B14,M39:M1092)</f>
        <v>28</v>
      </c>
      <c r="N14" s="51">
        <f>SUMIF(B39:B1092,B14,N39:N1092)</f>
        <v>8</v>
      </c>
      <c r="O14" s="51">
        <f>SUMIF(B39:B1092,B14,O39:O1092)</f>
        <v>3</v>
      </c>
      <c r="P14" s="51">
        <f>SUMIF(B39:B1092,B14,J39:J1092)</f>
        <v>8</v>
      </c>
      <c r="Q14" s="51">
        <f>SUMIF(B39:B1092,B14,K39:K1092)</f>
        <v>4</v>
      </c>
      <c r="R14" s="52">
        <f>SUMIF(B39:B1092,B14,L39:L1092)</f>
        <v>3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COUNTIFS(B39:B1092,B14)</f>
        <v>4</v>
      </c>
      <c r="D16" s="58"/>
      <c r="E16" s="23">
        <f>IFERROR(C14/H14,0)</f>
        <v>1423.181818</v>
      </c>
      <c r="F16" s="24">
        <f>IFERROR((G14+R14)/F14,0)</f>
        <v>0.6363636364</v>
      </c>
      <c r="G16" s="24">
        <f>IFERROR(H14/G14,0)</f>
        <v>0.6111111111</v>
      </c>
      <c r="H16" s="23">
        <f>(C14/C16)</f>
        <v>3913.75</v>
      </c>
      <c r="I16" s="25"/>
      <c r="J16" s="24">
        <f>IFERROR(J14/I14,0)</f>
        <v>0.8</v>
      </c>
      <c r="K16" s="25"/>
      <c r="L16" s="24">
        <f>IFERROR(L14/K14,0)</f>
        <v>0</v>
      </c>
      <c r="M16" s="26">
        <f>IFERROR(M14/SUM(R14+G14,0),"")</f>
        <v>1.333333333</v>
      </c>
      <c r="N16" s="25"/>
      <c r="O16" s="24">
        <f>IFERROR(O14/N14,0)</f>
        <v>0.375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1956.84</v>
      </c>
      <c r="D17" s="62"/>
      <c r="E17" s="49">
        <f>SUMIFS(T:T,B:B,B17,D:D,"Y")</f>
        <v>1956.84</v>
      </c>
      <c r="F17" s="50">
        <f>SUMIF(B37:B1092,B17,G37:G1092)</f>
        <v>1</v>
      </c>
      <c r="G17" s="51">
        <f>SUMIF(B37:B1092,B17,H37:H1092)</f>
        <v>1</v>
      </c>
      <c r="H17" s="51">
        <f>SUMIF(B37:B1092,B17,I37:I1092)</f>
        <v>1</v>
      </c>
      <c r="I17" s="51">
        <f>SUMIF(B37:B1092,B17,P37:P1092)</f>
        <v>0</v>
      </c>
      <c r="J17" s="51">
        <f>SUMIF(B37:B1092,B17,Q37:Q1092)</f>
        <v>0</v>
      </c>
      <c r="K17" s="51">
        <f>SUMIF(B37:B1092,B17,R37:R1092)</f>
        <v>0</v>
      </c>
      <c r="L17" s="51">
        <f>SUMIF(B37:B1092,B17,S37:S1092)</f>
        <v>0</v>
      </c>
      <c r="M17" s="51">
        <f>SUMIF(B37:B1092,B17,M37:M1092)</f>
        <v>10</v>
      </c>
      <c r="N17" s="51">
        <f>SUMIF(B37:B1092,B17,N37:N1092)</f>
        <v>1</v>
      </c>
      <c r="O17" s="51">
        <f>SUMIF(B37:B1092,B17,O37:O1092)</f>
        <v>1</v>
      </c>
      <c r="P17" s="51">
        <f>SUMIF(B37:B1092,B17,J37:J1092)</f>
        <v>0</v>
      </c>
      <c r="Q17" s="51">
        <f>SUMIF(B37:B1092,B17,K37:K1092)</f>
        <v>0</v>
      </c>
      <c r="R17" s="52">
        <f>SUMIF(B37:B1092,B17,L37:L1092)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COUNTIFS(B37:B1092,B17)</f>
        <v>9</v>
      </c>
      <c r="D19" s="58"/>
      <c r="E19" s="23">
        <f>IFERROR(C17/H17,0)</f>
        <v>1956.84</v>
      </c>
      <c r="F19" s="24">
        <f>IFERROR((G17+R17)/F17,0)</f>
        <v>1</v>
      </c>
      <c r="G19" s="24">
        <f>IFERROR(H17/G17,0)</f>
        <v>1</v>
      </c>
      <c r="H19" s="23">
        <f>(C17/C19)</f>
        <v>217.4266667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10</v>
      </c>
      <c r="N19" s="25"/>
      <c r="O19" s="24">
        <f>IFERROR(O17/N17,0)</f>
        <v>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3977</v>
      </c>
      <c r="D20" s="31"/>
      <c r="E20" s="64">
        <f>SUMIFS(T:T,A:A,B20,D:D,"Y")</f>
        <v>3432</v>
      </c>
      <c r="F20" s="9">
        <f>SUMIF(A:A,B20,G:G)</f>
        <v>9</v>
      </c>
      <c r="G20" s="11">
        <f>SUMIF(A:A,B20,H:H)</f>
        <v>7</v>
      </c>
      <c r="H20" s="11">
        <f>SUMIF(A:A,B20,I:I)</f>
        <v>3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40</v>
      </c>
      <c r="N20" s="11">
        <f>SUMIF(A:A,B20,N:N)</f>
        <v>8</v>
      </c>
      <c r="O20" s="11">
        <f>SUMIF(A:A,B20,O:O)</f>
        <v>3</v>
      </c>
      <c r="P20" s="11">
        <f>SUMIF(A:A,B20,J:J)</f>
        <v>7</v>
      </c>
      <c r="Q20" s="11">
        <f>SUMIF(A:A,B20,K:K)</f>
        <v>3</v>
      </c>
      <c r="R20" s="33">
        <f>SUMIF(A:A,B20,L:L)</f>
        <v>2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1325.666667</v>
      </c>
      <c r="F22" s="24">
        <f>IFERROR((G20+R20)/F20,0)</f>
        <v>1</v>
      </c>
      <c r="G22" s="24">
        <f>IFERROR(H20/G20,0)</f>
        <v>0.4285714286</v>
      </c>
      <c r="H22" s="23">
        <f>(C20/C22)</f>
        <v>662.8333333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4.444444444</v>
      </c>
      <c r="N22" s="25"/>
      <c r="O22" s="24">
        <f>IFERROR(O20/N20,0)</f>
        <v>0.375</v>
      </c>
      <c r="P22" s="26"/>
      <c r="Q22" s="24">
        <f>IFERROR(Q20/P20,0)</f>
        <v>0.4285714286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10698</v>
      </c>
      <c r="D23" s="31"/>
      <c r="E23" s="64">
        <f>SUMIFS(T:T,A:A,B23,D:D,"Y")</f>
        <v>2385</v>
      </c>
      <c r="F23" s="9">
        <f>SUMIF(A:A,B23,G:G)</f>
        <v>3</v>
      </c>
      <c r="G23" s="11">
        <f>SUMIF(A:A,B23,H:H)</f>
        <v>3</v>
      </c>
      <c r="H23" s="11">
        <f>SUMIF(A:A,B23,I:I)</f>
        <v>3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5</v>
      </c>
      <c r="N23" s="11">
        <f>SUMIF(A:A,B23,N:N)</f>
        <v>2</v>
      </c>
      <c r="O23" s="11">
        <f>SUMIF(A:A,B23,O:O)</f>
        <v>2</v>
      </c>
      <c r="P23" s="11">
        <f>SUMIF(A:A,B23,J:J)</f>
        <v>3</v>
      </c>
      <c r="Q23" s="11">
        <f>SUMIF(A:A,B23,K:K)</f>
        <v>3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3566</v>
      </c>
      <c r="F25" s="24">
        <f>IFERROR((G23+R23)/F23,0)</f>
        <v>1</v>
      </c>
      <c r="G25" s="24">
        <f>IFERROR(H23/G23,0)</f>
        <v>1</v>
      </c>
      <c r="H25" s="23">
        <f>(C23/C25)</f>
        <v>1188.666667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1.666666667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1977</v>
      </c>
      <c r="D26" s="31"/>
      <c r="E26" s="64">
        <f>SUMIFS(T:T,A:A,B26,D:D,"Y")</f>
        <v>1977</v>
      </c>
      <c r="F26" s="9">
        <f>SUMIF(A:A,B26,G:G)</f>
        <v>5</v>
      </c>
      <c r="G26" s="11">
        <f>SUMIF(A:A,B26,H:H)</f>
        <v>7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4</v>
      </c>
      <c r="L26" s="11">
        <f>SUMIF(A:A,B26,S:S)</f>
        <v>0</v>
      </c>
      <c r="M26" s="11">
        <f>SUMIF(A:A,B26,M:M)</f>
        <v>36</v>
      </c>
      <c r="N26" s="11">
        <f>SUMIF(A:A,B26,N:N)</f>
        <v>6</v>
      </c>
      <c r="O26" s="11">
        <f>SUMIF(A:A,B26,O:O)</f>
        <v>1</v>
      </c>
      <c r="P26" s="11">
        <f>SUMIF(A:A,B26,J:J)</f>
        <v>4</v>
      </c>
      <c r="Q26" s="11">
        <f>SUMIF(A:A,B26,K:K)</f>
        <v>1</v>
      </c>
      <c r="R26" s="33">
        <f>SUMIF(A:A,B26,L:L)</f>
        <v>2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1977</v>
      </c>
      <c r="F28" s="24">
        <f>IFERROR((G26+R26)/F26,0)</f>
        <v>1.8</v>
      </c>
      <c r="G28" s="24">
        <f>IFERROR(H26/G26,0)</f>
        <v>0.1428571429</v>
      </c>
      <c r="H28" s="23">
        <f>(C26/C28)</f>
        <v>282.4285714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4</v>
      </c>
      <c r="N28" s="25"/>
      <c r="O28" s="24">
        <f>IFERROR(O26/N26,0)</f>
        <v>0.1666666667</v>
      </c>
      <c r="P28" s="26"/>
      <c r="Q28" s="24">
        <f>IFERROR(Q26/P26,0)</f>
        <v>0.25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6283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>
        <f>('Thurs (2)'!G39+Thurs!G39+'Tues '!G39+Wed!G39+Fri!G39+'Mon '!G39+'Wed (2)'!G39+Sun!G39+Sat!G39)</f>
        <v>0</v>
      </c>
      <c r="H39" s="103">
        <f>('Thurs (2)'!H39+Thurs!H39+'Tues '!H39+Wed!H39+Fri!H39+'Mon '!H39+'Wed (2)'!H39+Sun!H39+Sat!H39)</f>
        <v>0</v>
      </c>
      <c r="I39" s="103">
        <f>('Thurs (2)'!I39+Thurs!I39+'Tues '!I39+Wed!I39+Fri!I39+'Mon '!I39+'Wed (2)'!I39+Sun!I39+Sat!I39)</f>
        <v>0</v>
      </c>
      <c r="J39" s="103">
        <f>('Thurs (2)'!J39+Thurs!J39+'Tues '!J39+Wed!J39+Fri!J39+'Mon '!J39+'Wed (2)'!J39+Sun!J39+Sat!J39)</f>
        <v>0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0</v>
      </c>
      <c r="N39" s="103">
        <f>('Thurs (2)'!N39+Thurs!N39+'Tues '!N39+Wed!N39+Fri!N39+'Mon '!N39+'Wed (2)'!N39+Sun!N39+Sat!N39)</f>
        <v>0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0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>
        <f>('Thurs (2)'!G40+Thurs!G40+'Tues '!G40+Wed!G40+Fri!G40+'Mon '!G40+'Wed (2)'!G40+Sun!G40+Sat!G40)</f>
        <v>5</v>
      </c>
      <c r="H40" s="103">
        <f>('Thurs (2)'!H40+Thurs!H40+'Tues '!H40+Wed!H40+Fri!H40+'Mon '!H40+'Wed (2)'!H40+Sun!H40+Sat!H40)</f>
        <v>3</v>
      </c>
      <c r="I40" s="103">
        <f>('Thurs (2)'!I40+Thurs!I40+'Tues '!I40+Wed!I40+Fri!I40+'Mon '!I40+'Wed (2)'!I40+Sun!I40+Sat!I40)</f>
        <v>2</v>
      </c>
      <c r="J40" s="103">
        <f>('Thurs (2)'!J40+Thurs!J40+'Tues '!J40+Wed!J40+Fri!J40+'Mon '!J40+'Wed (2)'!J40+Sun!J40+Sat!J40)</f>
        <v>1</v>
      </c>
      <c r="K40" s="103">
        <f>('Thurs (2)'!K40+Thurs!K40+'Tues '!K40+Wed!K40+Fri!K40+'Mon '!K40+'Wed (2)'!K40+Sun!K40+Sat!K40)</f>
        <v>0</v>
      </c>
      <c r="L40" s="103">
        <f>('Thurs (2)'!L40+Thurs!L40+'Tues '!L40+Wed!L40+Fri!L40+'Mon '!L40+'Wed (2)'!L40+Sun!L40+Sat!L40)</f>
        <v>1</v>
      </c>
      <c r="M40" s="103">
        <f>('Thurs (2)'!M40+Thurs!M40+'Tues '!M40+Wed!M40+Fri!M40+'Mon '!M40+'Wed (2)'!M40+Sun!M40+Sat!M40)</f>
        <v>13</v>
      </c>
      <c r="N40" s="103">
        <f>('Thurs (2)'!N40+Thurs!N40+'Tues '!N40+Wed!N40+Fri!N40+'Mon '!N40+'Wed (2)'!N40+Sun!N40+Sat!N40)</f>
        <v>0</v>
      </c>
      <c r="O40" s="103">
        <f>('Thurs (2)'!O40+Thurs!O40+'Tues '!O40+Wed!O40+Fri!O40+'Mon '!O40+'Wed (2)'!O40+Sun!O40+Sat!O40)</f>
        <v>0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3</v>
      </c>
      <c r="S40" s="103">
        <f>('Thurs (2)'!S40+Thurs!S40+'Tues '!S40+Wed!S40+Fri!S40+'Mon '!S40+'Wed (2)'!S40+Sun!S40+Sat!S40)</f>
        <v>2</v>
      </c>
      <c r="T40" s="103">
        <f>('Thurs (2)'!T40+Thurs!T40+'Tues '!T40+Wed!T40+Fri!T40+'Mon '!T40+'Wed (2)'!T40+Sun!T40+Sat!T40)</f>
        <v>3544</v>
      </c>
      <c r="U40" s="104">
        <f t="shared" si="2"/>
        <v>0.6666666667</v>
      </c>
      <c r="V40" s="104">
        <f t="shared" si="3"/>
        <v>0.8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>
        <f>('Thurs (2)'!G41+Thurs!G41+'Tues '!G41+Wed!G41+Fri!G41+'Mon '!G41+'Wed (2)'!G41+Sun!G41+Sat!G41)</f>
        <v>8</v>
      </c>
      <c r="H41" s="103">
        <f>('Thurs (2)'!H41+Thurs!H41+'Tues '!H41+Wed!H41+Fri!H41+'Mon '!H41+'Wed (2)'!H41+Sun!H41+Sat!H41)</f>
        <v>5</v>
      </c>
      <c r="I41" s="103">
        <f>('Thurs (2)'!I41+Thurs!I41+'Tues '!I41+Wed!I41+Fri!I41+'Mon '!I41+'Wed (2)'!I41+Sun!I41+Sat!I41)</f>
        <v>1</v>
      </c>
      <c r="J41" s="103">
        <f>('Thurs (2)'!J41+Thurs!J41+'Tues '!J41+Wed!J41+Fri!J41+'Mon '!J41+'Wed (2)'!J41+Sun!J41+Sat!J41)</f>
        <v>2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0</v>
      </c>
      <c r="M41" s="103">
        <f>('Thurs (2)'!M41+Thurs!M41+'Tues '!M41+Wed!M41+Fri!M41+'Mon '!M41+'Wed (2)'!M41+Sun!M41+Sat!M41)</f>
        <v>24</v>
      </c>
      <c r="N41" s="103">
        <f>('Thurs (2)'!N41+Thurs!N41+'Tues '!N41+Wed!N41+Fri!N41+'Mon '!N41+'Wed (2)'!N41+Sun!N41+Sat!N41)</f>
        <v>0</v>
      </c>
      <c r="O41" s="103">
        <f>('Thurs (2)'!O41+Thurs!O41+'Tues '!O41+Wed!O41+Fri!O41+'Mon '!O41+'Wed (2)'!O41+Sun!O41+Sat!O41)</f>
        <v>1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1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1668</v>
      </c>
      <c r="U41" s="104">
        <f t="shared" si="2"/>
        <v>0.2</v>
      </c>
      <c r="V41" s="104">
        <f t="shared" si="3"/>
        <v>0.625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>
        <f>('Thurs (2)'!G42+Thurs!G42+'Tues '!G42+Wed!G42+Fri!G42+'Mon '!G42+'Wed (2)'!G42+Sun!G42+Sat!G42)</f>
        <v>0</v>
      </c>
      <c r="H42" s="103">
        <f>('Thurs (2)'!H42+Thurs!H42+'Tues '!H42+Wed!H42+Fri!H42+'Mon '!H42+'Wed (2)'!H42+Sun!H42+Sat!H42)</f>
        <v>0</v>
      </c>
      <c r="I42" s="103">
        <f>('Thurs (2)'!I42+Thurs!I42+'Tues '!I42+Wed!I42+Fri!I42+'Mon '!I42+'Wed (2)'!I42+Sun!I42+Sat!I42)</f>
        <v>0</v>
      </c>
      <c r="J42" s="103">
        <f>('Thurs (2)'!J42+Thurs!J42+'Tues '!J42+Wed!J42+Fri!J42+'Mon '!J42+'Wed (2)'!J42+Sun!J42+Sat!J42)</f>
        <v>0</v>
      </c>
      <c r="K42" s="103">
        <f>('Thurs (2)'!K42+Thurs!K42+'Tues '!K42+Wed!K42+Fri!K42+'Mon '!K42+'Wed (2)'!K42+Sun!K42+Sat!K42)</f>
        <v>0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0</v>
      </c>
      <c r="N42" s="103">
        <f>('Thurs (2)'!N42+Thurs!N42+'Tues '!N42+Wed!N42+Fri!N42+'Mon '!N42+'Wed (2)'!N42+Sun!N42+Sat!N42)</f>
        <v>0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0</v>
      </c>
      <c r="S42" s="103">
        <f>('Thurs (2)'!S42+Thurs!S42+'Tues '!S42+Wed!S42+Fri!S42+'Mon '!S42+'Wed (2)'!S42+Sun!S42+Sat!S42)</f>
        <v>0</v>
      </c>
      <c r="T42" s="103">
        <f>('Thurs (2)'!T42+Thurs!T42+'Tues '!T42+Wed!T42+Fri!T42+'Mon '!T42+'Wed (2)'!T42+Sun!T42+Sat!T42)</f>
        <v>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>
        <f>('Thurs (2)'!G43+Thurs!G43+'Tues '!G43+Wed!G43+Fri!G43+'Mon '!G43+'Wed (2)'!G43+Sun!G43+Sat!G43)</f>
        <v>6</v>
      </c>
      <c r="H43" s="103">
        <f>('Thurs (2)'!H43+Thurs!H43+'Tues '!H43+Wed!H43+Fri!H43+'Mon '!H43+'Wed (2)'!H43+Sun!H43+Sat!H43)</f>
        <v>2</v>
      </c>
      <c r="I43" s="103">
        <f>('Thurs (2)'!I43+Thurs!I43+'Tues '!I43+Wed!I43+Fri!I43+'Mon '!I43+'Wed (2)'!I43+Sun!I43+Sat!I43)</f>
        <v>0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0</v>
      </c>
      <c r="U43" s="104">
        <f t="shared" si="2"/>
        <v>0</v>
      </c>
      <c r="V43" s="104">
        <f t="shared" si="3"/>
        <v>0.3333333333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>
        <f>('Thurs (2)'!G44+Thurs!G44+'Tues '!G44+Wed!G44+Fri!G44+'Mon '!G44+'Wed (2)'!G44+Sun!G44+Sat!G44)</f>
        <v>0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>
        <f>('Thurs (2)'!G45+Thurs!G45+'Tues '!G45+Wed!G45+Fri!G45+'Mon '!G45+'Wed (2)'!G45+Sun!G45+Sat!G45)</f>
        <v>4</v>
      </c>
      <c r="H45" s="103">
        <f>('Thurs (2)'!H45+Thurs!H45+'Tues '!H45+Wed!H45+Fri!H45+'Mon '!H45+'Wed (2)'!H45+Sun!H45+Sat!H45)</f>
        <v>2</v>
      </c>
      <c r="I45" s="103">
        <f>('Thurs (2)'!I45+Thurs!I45+'Tues '!I45+Wed!I45+Fri!I45+'Mon '!I45+'Wed (2)'!I45+Sun!I45+Sat!I45)</f>
        <v>0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10</v>
      </c>
      <c r="N45" s="103">
        <f>('Thurs (2)'!N45+Thurs!N45+'Tues '!N45+Wed!N45+Fri!N45+'Mon '!N45+'Wed (2)'!N45+Sun!N45+Sat!N45)</f>
        <v>1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1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0</v>
      </c>
      <c r="U45" s="104">
        <f t="shared" si="2"/>
        <v>0</v>
      </c>
      <c r="V45" s="104">
        <f t="shared" si="3"/>
        <v>0.5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03">
        <f>('Thurs (2)'!G46+Thurs!G46+'Tues '!G46+Wed!G46+Fri!G46+'Mon '!G46+'Wed (2)'!G46+Sun!G46+Sat!G46)</f>
        <v>4</v>
      </c>
      <c r="H46" s="103">
        <f>('Thurs (2)'!H46+Thurs!H46+'Tues '!H46+Wed!H46+Fri!H46+'Mon '!H46+'Wed (2)'!H46+Sun!H46+Sat!H46)</f>
        <v>2</v>
      </c>
      <c r="I46" s="103">
        <f>('Thurs (2)'!I46+Thurs!I46+'Tues '!I46+Wed!I46+Fri!I46+'Mon '!I46+'Wed (2)'!I46+Sun!I46+Sat!I46)</f>
        <v>2</v>
      </c>
      <c r="J46" s="103">
        <f>('Thurs (2)'!J46+Thurs!J46+'Tues '!J46+Wed!J46+Fri!J46+'Mon '!J46+'Wed (2)'!J46+Sun!J46+Sat!J46)</f>
        <v>2</v>
      </c>
      <c r="K46" s="103">
        <f>('Thurs (2)'!K46+Thurs!K46+'Tues '!K46+Wed!K46+Fri!K46+'Mon '!K46+'Wed (2)'!K46+Sun!K46+Sat!K46)</f>
        <v>2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9</v>
      </c>
      <c r="N46" s="103">
        <f>('Thurs (2)'!N46+Thurs!N46+'Tues '!N46+Wed!N46+Fri!N46+'Mon '!N46+'Wed (2)'!N46+Sun!N46+Sat!N46)</f>
        <v>1</v>
      </c>
      <c r="O46" s="103">
        <f>('Thurs (2)'!O46+Thurs!O46+'Tues '!O46+Wed!O46+Fri!O46+'Mon '!O46+'Wed (2)'!O46+Sun!O46+Sat!O46)</f>
        <v>1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1</v>
      </c>
      <c r="S46" s="103">
        <f>('Thurs (2)'!S46+Thurs!S46+'Tues '!S46+Wed!S46+Fri!S46+'Mon '!S46+'Wed (2)'!S46+Sun!S46+Sat!S46)</f>
        <v>1</v>
      </c>
      <c r="T46" s="103">
        <f>('Thurs (2)'!T46+Thurs!T46+'Tues '!T46+Wed!T46+Fri!T46+'Mon '!T46+'Wed (2)'!T46+Sun!T46+Sat!T46)</f>
        <v>1659</v>
      </c>
      <c r="U46" s="104">
        <f t="shared" si="2"/>
        <v>1</v>
      </c>
      <c r="V46" s="104">
        <f t="shared" si="3"/>
        <v>0.5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03">
        <f>('Thurs (2)'!G47+Thurs!G47+'Tues '!G47+Wed!G47+Fri!G47+'Mon '!G47+'Wed (2)'!G47+Sun!G47+Sat!G47)</f>
        <v>2</v>
      </c>
      <c r="H47" s="103">
        <f>('Thurs (2)'!H47+Thurs!H47+'Tues '!H47+Wed!H47+Fri!H47+'Mon '!H47+'Wed (2)'!H47+Sun!H47+Sat!H47)</f>
        <v>1</v>
      </c>
      <c r="I47" s="103">
        <f>('Thurs (2)'!I47+Thurs!I47+'Tues '!I47+Wed!I47+Fri!I47+'Mon '!I47+'Wed (2)'!I47+Sun!I47+Sat!I47)</f>
        <v>1</v>
      </c>
      <c r="J47" s="103">
        <f>('Thurs (2)'!J47+Thurs!J47+'Tues '!J47+Wed!J47+Fri!J47+'Mon '!J47+'Wed (2)'!J47+Sun!J47+Sat!J47)</f>
        <v>0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3</v>
      </c>
      <c r="N47" s="103">
        <f>('Thurs (2)'!N47+Thurs!N47+'Tues '!N47+Wed!N47+Fri!N47+'Mon '!N47+'Wed (2)'!N47+Sun!N47+Sat!N47)</f>
        <v>1</v>
      </c>
      <c r="O47" s="103">
        <f>('Thurs (2)'!O47+Thurs!O47+'Tues '!O47+Wed!O47+Fri!O47+'Mon '!O47+'Wed (2)'!O47+Sun!O47+Sat!O47)</f>
        <v>1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2216</v>
      </c>
      <c r="U47" s="104">
        <f t="shared" si="2"/>
        <v>1</v>
      </c>
      <c r="V47" s="104">
        <f t="shared" si="3"/>
        <v>0.5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03">
        <f>('Thurs (2)'!G48+Thurs!G48+'Tues '!G48+Wed!G48+Fri!G48+'Mon '!G48+'Wed (2)'!G48+Sun!G48+Sat!G48)</f>
        <v>1</v>
      </c>
      <c r="H48" s="103">
        <f>('Thurs (2)'!H48+Thurs!H48+'Tues '!H48+Wed!H48+Fri!H48+'Mon '!H48+'Wed (2)'!H48+Sun!H48+Sat!H48)</f>
        <v>1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6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1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1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03">
        <f>('Thurs (2)'!G49+Thurs!G49+'Tues '!G49+Wed!G49+Fri!G49+'Mon '!G49+'Wed (2)'!G49+Sun!G49+Sat!G49)</f>
        <v>2</v>
      </c>
      <c r="H49" s="103">
        <f>('Thurs (2)'!H49+Thurs!H49+'Tues '!H49+Wed!H49+Fri!H49+'Mon '!H49+'Wed (2)'!H49+Sun!H49+Sat!H49)</f>
        <v>2</v>
      </c>
      <c r="I49" s="103">
        <f>('Thurs (2)'!I49+Thurs!I49+'Tues '!I49+Wed!I49+Fri!I49+'Mon '!I49+'Wed (2)'!I49+Sun!I49+Sat!I49)</f>
        <v>2</v>
      </c>
      <c r="J49" s="103">
        <f>('Thurs (2)'!J49+Thurs!J49+'Tues '!J49+Wed!J49+Fri!J49+'Mon '!J49+'Wed (2)'!J49+Sun!J49+Sat!J49)</f>
        <v>2</v>
      </c>
      <c r="K49" s="103">
        <f>('Thurs (2)'!K49+Thurs!K49+'Tues '!K49+Wed!K49+Fri!K49+'Mon '!K49+'Wed (2)'!K49+Sun!K49+Sat!K49)</f>
        <v>2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4</v>
      </c>
      <c r="N49" s="103">
        <f>('Thurs (2)'!N49+Thurs!N49+'Tues '!N49+Wed!N49+Fri!N49+'Mon '!N49+'Wed (2)'!N49+Sun!N49+Sat!N49)</f>
        <v>0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2</v>
      </c>
      <c r="S49" s="103">
        <f>('Thurs (2)'!S49+Thurs!S49+'Tues '!S49+Wed!S49+Fri!S49+'Mon '!S49+'Wed (2)'!S49+Sun!S49+Sat!S49)</f>
        <v>2</v>
      </c>
      <c r="T49" s="103">
        <f>('Thurs (2)'!T49+Thurs!T49+'Tues '!T49+Wed!T49+Fri!T49+'Mon '!T49+'Wed (2)'!T49+Sun!T49+Sat!T49)</f>
        <v>3422</v>
      </c>
      <c r="U49" s="104">
        <f t="shared" si="2"/>
        <v>1</v>
      </c>
      <c r="V49" s="104">
        <f t="shared" si="3"/>
        <v>1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03">
        <f>('Thurs (2)'!G50+Thurs!G50+'Tues '!G50+Wed!G50+Fri!G50+'Mon '!G50+'Wed (2)'!G50+Sun!G50+Sat!G50)</f>
        <v>5</v>
      </c>
      <c r="H50" s="103">
        <f>('Thurs (2)'!H50+Thurs!H50+'Tues '!H50+Wed!H50+Fri!H50+'Mon '!H50+'Wed (2)'!H50+Sun!H50+Sat!H50)</f>
        <v>0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0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0</v>
      </c>
      <c r="N50" s="103">
        <f>('Thurs (2)'!N50+Thurs!N50+'Tues '!N50+Wed!N50+Fri!N50+'Mon '!N50+'Wed (2)'!N50+Sun!N50+Sat!N50)</f>
        <v>0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0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1269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03">
        <f>('Thurs (2)'!G54+Thurs!G54+'Tues '!G54+Wed!G54+Fri!G54+'Mon '!G54+'Wed (2)'!G54+Sun!G54+Sat!G54)</f>
        <v>27</v>
      </c>
      <c r="H54" s="103">
        <f>('Thurs (2)'!H54+Thurs!H54+'Tues '!H54+Wed!H54+Fri!H54+'Mon '!H54+'Wed (2)'!H54+Sun!H54+Sat!H54)</f>
        <v>14</v>
      </c>
      <c r="I54" s="103">
        <f>('Thurs (2)'!I54+Thurs!I54+'Tues '!I54+Wed!I54+Fri!I54+'Mon '!I54+'Wed (2)'!I54+Sun!I54+Sat!I54)</f>
        <v>10</v>
      </c>
      <c r="J54" s="103">
        <f>('Thurs (2)'!J54+Thurs!J54+'Tues '!J54+Wed!J54+Fri!J54+'Mon '!J54+'Wed (2)'!J54+Sun!J54+Sat!J54)</f>
        <v>3</v>
      </c>
      <c r="K54" s="103">
        <f>('Thurs (2)'!K54+Thurs!K54+'Tues '!K54+Wed!K54+Fri!K54+'Mon '!K54+'Wed (2)'!K54+Sun!K54+Sat!K54)</f>
        <v>2</v>
      </c>
      <c r="L54" s="103">
        <f>('Thurs (2)'!L54+Thurs!L54+'Tues '!L54+Wed!L54+Fri!L54+'Mon '!L54+'Wed (2)'!L54+Sun!L54+Sat!L54)</f>
        <v>1</v>
      </c>
      <c r="M54" s="103">
        <f>('Thurs (2)'!M54+Thurs!M54+'Tues '!M54+Wed!M54+Fri!M54+'Mon '!M54+'Wed (2)'!M54+Sun!M54+Sat!M54)</f>
        <v>19</v>
      </c>
      <c r="N54" s="103">
        <f>('Thurs (2)'!N54+Thurs!N54+'Tues '!N54+Wed!N54+Fri!N54+'Mon '!N54+'Wed (2)'!N54+Sun!N54+Sat!N54)</f>
        <v>4</v>
      </c>
      <c r="O54" s="103">
        <f>('Thurs (2)'!O54+Thurs!O54+'Tues '!O54+Wed!O54+Fri!O54+'Mon '!O54+'Wed (2)'!O54+Sun!O54+Sat!O54)</f>
        <v>2</v>
      </c>
      <c r="P54" s="103">
        <f>('Thurs (2)'!P54+Thurs!P54+'Tues '!P54+Wed!P54+Fri!P54+'Mon '!P54+'Wed (2)'!P54+Sun!P54+Sat!P54)</f>
        <v>10</v>
      </c>
      <c r="Q54" s="103">
        <f>('Thurs (2)'!Q54+Thurs!Q54+'Tues '!Q54+Wed!Q54+Fri!Q54+'Mon '!Q54+'Wed (2)'!Q54+Sun!Q54+Sat!Q54)</f>
        <v>8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13513</v>
      </c>
      <c r="U54" s="104">
        <f t="shared" si="2"/>
        <v>0.7142857143</v>
      </c>
      <c r="V54" s="104">
        <f t="shared" si="3"/>
        <v>0.5555555556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>
        <f>('Thurs (2)'!G56+Thurs!G56+'Tues '!G56+Wed!G56+Fri!G56+'Mon '!G56+'Wed (2)'!G56+Sun!G56+Sat!G56)</f>
        <v>6</v>
      </c>
      <c r="H56" s="103">
        <f>('Thurs (2)'!H56+Thurs!H56+'Tues '!H56+Wed!H56+Fri!H56+'Mon '!H56+'Wed (2)'!H56+Sun!H56+Sat!H56)</f>
        <v>4</v>
      </c>
      <c r="I56" s="103">
        <f>('Thurs (2)'!I56+Thurs!I56+'Tues '!I56+Wed!I56+Fri!I56+'Mon '!I56+'Wed (2)'!I56+Sun!I56+Sat!I56)</f>
        <v>1</v>
      </c>
      <c r="J56" s="103">
        <f>('Thurs (2)'!J56+Thurs!J56+'Tues '!J56+Wed!J56+Fri!J56+'Mon '!J56+'Wed (2)'!J56+Sun!J56+Sat!J56)</f>
        <v>5</v>
      </c>
      <c r="K56" s="103">
        <f>('Thurs (2)'!K56+Thurs!K56+'Tues '!K56+Wed!K56+Fri!K56+'Mon '!K56+'Wed (2)'!K56+Sun!K56+Sat!K56)</f>
        <v>2</v>
      </c>
      <c r="L56" s="103">
        <f>('Thurs (2)'!L56+Thurs!L56+'Tues '!L56+Wed!L56+Fri!L56+'Mon '!L56+'Wed (2)'!L56+Sun!L56+Sat!L56)</f>
        <v>2</v>
      </c>
      <c r="M56" s="103">
        <f>('Thurs (2)'!M56+Thurs!M56+'Tues '!M56+Wed!M56+Fri!M56+'Mon '!M56+'Wed (2)'!M56+Sun!M56+Sat!M56)</f>
        <v>9</v>
      </c>
      <c r="N56" s="103">
        <f>('Thurs (2)'!N56+Thurs!N56+'Tues '!N56+Wed!N56+Fri!N56+'Mon '!N56+'Wed (2)'!N56+Sun!N56+Sat!N56)</f>
        <v>4</v>
      </c>
      <c r="O56" s="103">
        <f>('Thurs (2)'!O56+Thurs!O56+'Tues '!O56+Wed!O56+Fri!O56+'Mon '!O56+'Wed (2)'!O56+Sun!O56+Sat!O56)</f>
        <v>1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1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2142</v>
      </c>
      <c r="U56" s="104">
        <f t="shared" si="2"/>
        <v>0.25</v>
      </c>
      <c r="V56" s="104">
        <f t="shared" si="3"/>
        <v>1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>
        <f>('Thurs (2)'!G58+Thurs!G58+'Tues '!G58+Wed!G58+Fri!G58+'Mon '!G58+'Wed (2)'!G58+Sun!G58+Sat!G58)</f>
        <v>0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>
        <f>('Thurs (2)'!G59+Thurs!G59+'Tues '!G59+Wed!G59+Fri!G59+'Mon '!G59+'Wed (2)'!G59+Sun!G59+Sat!G59)</f>
        <v>0</v>
      </c>
      <c r="H59" s="103">
        <f>('Thurs (2)'!H59+Thurs!H59+'Tues '!H59+Wed!H59+Fri!H59+'Mon '!H59+'Wed (2)'!H59+Sun!H59+Sat!H59)</f>
        <v>0</v>
      </c>
      <c r="I59" s="103">
        <f>('Thurs (2)'!I59+Thurs!I59+'Tues '!I59+Wed!I59+Fri!I59+'Mon '!I59+'Wed (2)'!I59+Sun!I59+Sat!I59)</f>
        <v>0</v>
      </c>
      <c r="J59" s="103">
        <f>('Thurs (2)'!J59+Thurs!J59+'Tues '!J59+Wed!J59+Fri!J59+'Mon '!J59+'Wed (2)'!J59+Sun!J59+Sat!J59)</f>
        <v>0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0</v>
      </c>
      <c r="N59" s="103">
        <f>('Thurs (2)'!N59+Thurs!N59+'Tues '!N59+Wed!N59+Fri!N59+'Mon '!N59+'Wed (2)'!N59+Sun!N59+Sat!N59)</f>
        <v>0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>
        <f>('Thurs (2)'!G60+Thurs!G60+'Tues '!G60+Wed!G60+Fri!G60+'Mon '!G60+'Wed (2)'!G60+Sun!G60+Sat!G60)</f>
        <v>0</v>
      </c>
      <c r="H60" s="103">
        <f>('Thurs (2)'!H60+Thurs!H60+'Tues '!H60+Wed!H60+Fri!H60+'Mon '!H60+'Wed (2)'!H60+Sun!H60+Sat!H60)</f>
        <v>0</v>
      </c>
      <c r="I60" s="103">
        <f>('Thurs (2)'!I60+Thurs!I60+'Tues '!I60+Wed!I60+Fri!I60+'Mon '!I60+'Wed (2)'!I60+Sun!I60+Sat!I60)</f>
        <v>0</v>
      </c>
      <c r="J60" s="103">
        <f>('Thurs (2)'!J60+Thurs!J60+'Tues '!J60+Wed!J60+Fri!J60+'Mon '!J60+'Wed (2)'!J60+Sun!J60+Sat!J60)</f>
        <v>0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0</v>
      </c>
      <c r="N60" s="103">
        <f>('Thurs (2)'!N60+Thurs!N60+'Tues '!N60+Wed!N60+Fri!N60+'Mon '!N60+'Wed (2)'!N60+Sun!N60+Sat!N60)</f>
        <v>0</v>
      </c>
      <c r="O60" s="103">
        <f>('Thurs (2)'!O60+Thurs!O60+'Tues '!O60+Wed!O60+Fri!O60+'Mon '!O60+'Wed (2)'!O60+Sun!O60+Sat!O60)</f>
        <v>0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0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>
        <f>('Thurs (2)'!G61+Thurs!G61+'Tues '!G61+Wed!G61+Fri!G61+'Mon '!G61+'Wed (2)'!G61+Sun!G61+Sat!G61)</f>
        <v>0</v>
      </c>
      <c r="H61" s="103">
        <f>('Thurs (2)'!H61+Thurs!H61+'Tues '!H61+Wed!H61+Fri!H61+'Mon '!H61+'Wed (2)'!H61+Sun!H61+Sat!H61)</f>
        <v>0</v>
      </c>
      <c r="I61" s="103">
        <f>('Thurs (2)'!I61+Thurs!I61+'Tues '!I61+Wed!I61+Fri!I61+'Mon '!I61+'Wed (2)'!I61+Sun!I61+Sat!I61)</f>
        <v>0</v>
      </c>
      <c r="J61" s="103">
        <f>('Thurs (2)'!J61+Thurs!J61+'Tues '!J61+Wed!J61+Fri!J61+'Mon '!J61+'Wed (2)'!J61+Sun!J61+Sat!J61)</f>
        <v>0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0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0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0</v>
      </c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>
        <f>('Thurs (2)'!G62+Thurs!G62+'Tues '!G62+Wed!G62+Fri!G62+'Mon '!G62+'Wed (2)'!G62+Sun!G62+Sat!G62)</f>
        <v>0</v>
      </c>
      <c r="H62" s="103">
        <f>('Thurs (2)'!H62+Thurs!H62+'Tues '!H62+Wed!H62+Fri!H62+'Mon '!H62+'Wed (2)'!H62+Sun!H62+Sat!H62)</f>
        <v>0</v>
      </c>
      <c r="I62" s="103">
        <f>('Thurs (2)'!I62+Thurs!I62+'Tues '!I62+Wed!I62+Fri!I62+'Mon '!I62+'Wed (2)'!I62+Sun!I62+Sat!I62)</f>
        <v>0</v>
      </c>
      <c r="J62" s="103">
        <f>('Thurs (2)'!J62+Thurs!J62+'Tues '!J62+Wed!J62+Fri!J62+'Mon '!J62+'Wed (2)'!J62+Sun!J62+Sat!J62)</f>
        <v>0</v>
      </c>
      <c r="K62" s="103">
        <f>('Thurs (2)'!K62+Thurs!K62+'Tues '!K62+Wed!K62+Fri!K62+'Mon '!K62+'Wed (2)'!K62+Sun!K62+Sat!K62)</f>
        <v>0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0</v>
      </c>
      <c r="N62" s="103">
        <f>('Thurs (2)'!N62+Thurs!N62+'Tues '!N62+Wed!N62+Fri!N62+'Mon '!N62+'Wed (2)'!N62+Sun!N62+Sat!N62)</f>
        <v>0</v>
      </c>
      <c r="O62" s="103">
        <f>('Thurs (2)'!O62+Thurs!O62+'Tues '!O62+Wed!O62+Fri!O62+'Mon '!O62+'Wed (2)'!O62+Sun!O62+Sat!O62)</f>
        <v>0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0</v>
      </c>
      <c r="S62" s="103">
        <f>('Thurs (2)'!S62+Thurs!S62+'Tues '!S62+Wed!S62+Fri!S62+'Mon '!S62+'Wed (2)'!S62+Sun!S62+Sat!S62)</f>
        <v>0</v>
      </c>
      <c r="T62" s="103">
        <f>('Thurs (2)'!T62+Thurs!T62+'Tues '!T62+Wed!T62+Fri!T62+'Mon '!T62+'Wed (2)'!T62+Sun!T62+Sat!T62)</f>
        <v>0</v>
      </c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>
        <f>('Thurs (2)'!G63+Thurs!G63+'Tues '!G63+Wed!G63+Fri!G63+'Mon '!G63+'Wed (2)'!G63+Sun!G63+Sat!G63)</f>
        <v>0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>
        <f>('Thurs (2)'!G64+Thurs!G64+'Tues '!G64+Wed!G64+Fri!G64+'Mon '!G64+'Wed (2)'!G64+Sun!G64+Sat!G64)</f>
        <v>1</v>
      </c>
      <c r="H64" s="103">
        <f>('Thurs (2)'!H64+Thurs!H64+'Tues '!H64+Wed!H64+Fri!H64+'Mon '!H64+'Wed (2)'!H64+Sun!H64+Sat!H64)</f>
        <v>1</v>
      </c>
      <c r="I64" s="103">
        <f>('Thurs (2)'!I64+Thurs!I64+'Tues '!I64+Wed!I64+Fri!I64+'Mon '!I64+'Wed (2)'!I64+Sun!I64+Sat!I64)</f>
        <v>1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10</v>
      </c>
      <c r="N64" s="103">
        <f>('Thurs (2)'!N64+Thurs!N64+'Tues '!N64+Wed!N64+Fri!N64+'Mon '!N64+'Wed (2)'!N64+Sun!N64+Sat!N64)</f>
        <v>1</v>
      </c>
      <c r="O64" s="103">
        <f>('Thurs (2)'!O64+Thurs!O64+'Tues '!O64+Wed!O64+Fri!O64+'Mon '!O64+'Wed (2)'!O64+Sun!O64+Sat!O64)</f>
        <v>1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1956.84</v>
      </c>
      <c r="U64" s="104">
        <f t="shared" si="2"/>
        <v>1</v>
      </c>
      <c r="V64" s="104">
        <f t="shared" si="3"/>
        <v>1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>
        <f>('Thurs (2)'!G65+Thurs!G65+'Tues '!G65+Wed!G65+Fri!G65+'Mon '!G65+'Wed (2)'!G65+Sun!G65+Sat!G65)</f>
        <v>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>
        <f>('Thurs (2)'!G68+Thurs!G68+'Tues '!G68+Wed!G68+Fri!G68+'Mon '!G68+'Wed (2)'!G68+Sun!G68+Sat!G68)</f>
        <v>0</v>
      </c>
      <c r="H68" s="103">
        <f>('Thurs (2)'!H68+Thurs!H68+'Tues '!H68+Wed!H68+Fri!H68+'Mon '!H68+'Wed (2)'!H68+Sun!H68+Sat!H68)</f>
        <v>0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0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0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03">
        <f>('Thurs (2)'!G69+Thurs!G69+'Tues '!G69+Wed!G69+Fri!G69+'Mon '!G69+'Wed (2)'!G69+Sun!G69+Sat!G69)</f>
        <v>5</v>
      </c>
      <c r="H69" s="103">
        <f>('Thurs (2)'!H69+Thurs!H69+'Tues '!H69+Wed!H69+Fri!H69+'Mon '!H69+'Wed (2)'!H69+Sun!H69+Sat!H69)</f>
        <v>2</v>
      </c>
      <c r="I69" s="103">
        <f>('Thurs (2)'!I69+Thurs!I69+'Tues '!I69+Wed!I69+Fri!I69+'Mon '!I69+'Wed (2)'!I69+Sun!I69+Sat!I69)</f>
        <v>1</v>
      </c>
      <c r="J69" s="103">
        <f>('Thurs (2)'!J69+Thurs!J69+'Tues '!J69+Wed!J69+Fri!J69+'Mon '!J69+'Wed (2)'!J69+Sun!J69+Sat!J69)</f>
        <v>2</v>
      </c>
      <c r="K69" s="103">
        <f>('Thurs (2)'!K69+Thurs!K69+'Tues '!K69+Wed!K69+Fri!K69+'Mon '!K69+'Wed (2)'!K69+Sun!K69+Sat!K69)</f>
        <v>1</v>
      </c>
      <c r="L69" s="103">
        <f>('Thurs (2)'!L69+Thurs!L69+'Tues '!L69+Wed!L69+Fri!L69+'Mon '!L69+'Wed (2)'!L69+Sun!L69+Sat!L69)</f>
        <v>1</v>
      </c>
      <c r="M69" s="103">
        <f>('Thurs (2)'!M69+Thurs!M69+'Tues '!M69+Wed!M69+Fri!M69+'Mon '!M69+'Wed (2)'!M69+Sun!M69+Sat!M69)</f>
        <v>15</v>
      </c>
      <c r="N69" s="103">
        <f>('Thurs (2)'!N69+Thurs!N69+'Tues '!N69+Wed!N69+Fri!N69+'Mon '!N69+'Wed (2)'!N69+Sun!N69+Sat!N69)</f>
        <v>4</v>
      </c>
      <c r="O69" s="103">
        <f>('Thurs (2)'!O69+Thurs!O69+'Tues '!O69+Wed!O69+Fri!O69+'Mon '!O69+'Wed (2)'!O69+Sun!O69+Sat!O69)</f>
        <v>1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612</v>
      </c>
      <c r="U69" s="144">
        <f t="shared" si="4"/>
        <v>0.5</v>
      </c>
      <c r="V69" s="144">
        <f t="shared" si="5"/>
        <v>0.6</v>
      </c>
      <c r="W69" s="145"/>
    </row>
    <row r="70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03">
        <f>('Thurs (2)'!G71+Thurs!G71+'Tues '!G71+Wed!G71+Fri!G71+'Mon '!G71+'Wed (2)'!G71+Sun!G71+Sat!G71)</f>
        <v>3</v>
      </c>
      <c r="H71" s="103">
        <f>('Thurs (2)'!H71+Thurs!H71+'Tues '!H71+Wed!H71+Fri!H71+'Mon '!H71+'Wed (2)'!H71+Sun!H71+Sat!H71)</f>
        <v>3</v>
      </c>
      <c r="I71" s="103">
        <f>('Thurs (2)'!I71+Thurs!I71+'Tues '!I71+Wed!I71+Fri!I71+'Mon '!I71+'Wed (2)'!I71+Sun!I71+Sat!I71)</f>
        <v>1</v>
      </c>
      <c r="J71" s="103">
        <f>('Thurs (2)'!J71+Thurs!J71+'Tues '!J71+Wed!J71+Fri!J71+'Mon '!J71+'Wed (2)'!J71+Sun!J71+Sat!J71)</f>
        <v>3</v>
      </c>
      <c r="K71" s="103">
        <f>('Thurs (2)'!K71+Thurs!K71+'Tues '!K71+Wed!K71+Fri!K71+'Mon '!K71+'Wed (2)'!K71+Sun!K71+Sat!K71)</f>
        <v>1</v>
      </c>
      <c r="L71" s="103">
        <f>('Thurs (2)'!L71+Thurs!L71+'Tues '!L71+Wed!L71+Fri!L71+'Mon '!L71+'Wed (2)'!L71+Sun!L71+Sat!L71)</f>
        <v>1</v>
      </c>
      <c r="M71" s="103">
        <f>('Thurs (2)'!M71+Thurs!M71+'Tues '!M71+Wed!M71+Fri!M71+'Mon '!M71+'Wed (2)'!M71+Sun!M71+Sat!M71)</f>
        <v>17</v>
      </c>
      <c r="N71" s="103">
        <f>('Thurs (2)'!N71+Thurs!N71+'Tues '!N71+Wed!N71+Fri!N71+'Mon '!N71+'Wed (2)'!N71+Sun!N71+Sat!N71)</f>
        <v>2</v>
      </c>
      <c r="O71" s="103">
        <f>('Thurs (2)'!O71+Thurs!O71+'Tues '!O71+Wed!O71+Fri!O71+'Mon '!O71+'Wed (2)'!O71+Sun!O71+Sat!O71)</f>
        <v>1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1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2820</v>
      </c>
      <c r="U71" s="144">
        <f t="shared" si="4"/>
        <v>0.3333333333</v>
      </c>
      <c r="V71" s="144">
        <f t="shared" si="5"/>
        <v>1.333333333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03">
        <f>('Thurs (2)'!G73+Thurs!G73+'Tues '!G73+Wed!G73+Fri!G73+'Mon '!G73+'Wed (2)'!G73+Sun!G73+Sat!G73)</f>
        <v>1</v>
      </c>
      <c r="H73" s="103">
        <f>('Thurs (2)'!H73+Thurs!H73+'Tues '!H73+Wed!H73+Fri!H73+'Mon '!H73+'Wed (2)'!H73+Sun!H73+Sat!H73)</f>
        <v>2</v>
      </c>
      <c r="I73" s="103">
        <f>('Thurs (2)'!I73+Thurs!I73+'Tues '!I73+Wed!I73+Fri!I73+'Mon '!I73+'Wed (2)'!I73+Sun!I73+Sat!I73)</f>
        <v>1</v>
      </c>
      <c r="J73" s="103">
        <f>('Thurs (2)'!J73+Thurs!J73+'Tues '!J73+Wed!J73+Fri!J73+'Mon '!J73+'Wed (2)'!J73+Sun!J73+Sat!J73)</f>
        <v>2</v>
      </c>
      <c r="K73" s="103">
        <f>('Thurs (2)'!K73+Thurs!K73+'Tues '!K73+Wed!K73+Fri!K73+'Mon '!K73+'Wed (2)'!K73+Sun!K73+Sat!K73)</f>
        <v>1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8</v>
      </c>
      <c r="N73" s="103">
        <f>('Thurs (2)'!N73+Thurs!N73+'Tues '!N73+Wed!N73+Fri!N73+'Mon '!N73+'Wed (2)'!N73+Sun!N73+Sat!N73)</f>
        <v>2</v>
      </c>
      <c r="O73" s="103">
        <f>('Thurs (2)'!O73+Thurs!O73+'Tues '!O73+Wed!O73+Fri!O73+'Mon '!O73+'Wed (2)'!O73+Sun!O73+Sat!O73)</f>
        <v>1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545</v>
      </c>
      <c r="U73" s="144">
        <f t="shared" si="4"/>
        <v>0.5</v>
      </c>
      <c r="V73" s="144">
        <f t="shared" si="5"/>
        <v>2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>
        <f>('Thurs (2)'!G75+Thurs!G75+'Tues '!G75+Wed!G75+Fri!G75+'Mon '!G75+'Wed (2)'!G75+Sun!G75+Sat!G75)</f>
        <v>1</v>
      </c>
      <c r="H75" s="103">
        <f>('Thurs (2)'!H75+Thurs!H75+'Tues '!H75+Wed!H75+Fri!H75+'Mon '!H75+'Wed (2)'!H75+Sun!H75+Sat!H75)</f>
        <v>1</v>
      </c>
      <c r="I75" s="103">
        <f>('Thurs (2)'!I75+Thurs!I75+'Tues '!I75+Wed!I75+Fri!I75+'Mon '!I75+'Wed (2)'!I75+Sun!I75+Sat!I75)</f>
        <v>1</v>
      </c>
      <c r="J75" s="103">
        <f>('Thurs (2)'!J75+Thurs!J75+'Tues '!J75+Wed!J75+Fri!J75+'Mon '!J75+'Wed (2)'!J75+Sun!J75+Sat!J75)</f>
        <v>1</v>
      </c>
      <c r="K75" s="103">
        <f>('Thurs (2)'!K75+Thurs!K75+'Tues '!K75+Wed!K75+Fri!K75+'Mon '!K75+'Wed (2)'!K75+Sun!K75+Sat!K75)</f>
        <v>1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3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1</v>
      </c>
      <c r="S75" s="103">
        <f>('Thurs (2)'!S75+Thurs!S75+'Tues '!S75+Wed!S75+Fri!S75+'Mon '!S75+'Wed (2)'!S75+Sun!S75+Sat!S75)</f>
        <v>1</v>
      </c>
      <c r="T75" s="103">
        <f>('Thurs (2)'!T75+Thurs!T75+'Tues '!T75+Wed!T75+Fri!T75+'Mon '!T75+'Wed (2)'!T75+Sun!T75+Sat!T75)</f>
        <v>2385</v>
      </c>
      <c r="U75" s="104">
        <f t="shared" ref="U75:U83" si="6">IFERROR(I75/H75,0)</f>
        <v>1</v>
      </c>
      <c r="V75" s="104">
        <f t="shared" ref="V75:V83" si="7">IFERROR(SUM(H75+L75)/G75,0)</f>
        <v>1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>
        <f>('Thurs (2)'!G79+Thurs!G79+'Tues '!G79+Wed!G79+Fri!G79+'Mon '!G79+'Wed (2)'!G79+Sun!G79+Sat!G79)</f>
        <v>0</v>
      </c>
      <c r="H79" s="103">
        <f>('Thurs (2)'!H79+Thurs!H79+'Tues '!H79+Wed!H79+Fri!H79+'Mon '!H79+'Wed (2)'!H79+Sun!H79+Sat!H79)</f>
        <v>0</v>
      </c>
      <c r="I79" s="103">
        <f>('Thurs (2)'!I79+Thurs!I79+'Tues '!I79+Wed!I79+Fri!I79+'Mon '!I79+'Wed (2)'!I79+Sun!I79+Sat!I79)</f>
        <v>0</v>
      </c>
      <c r="J79" s="103">
        <f>('Thurs (2)'!J79+Thurs!J79+'Tues '!J79+Wed!J79+Fri!J79+'Mon '!J79+'Wed (2)'!J79+Sun!J79+Sat!J79)</f>
        <v>0</v>
      </c>
      <c r="K79" s="103">
        <f>('Thurs (2)'!K79+Thurs!K79+'Tues '!K79+Wed!K79+Fri!K79+'Mon '!K79+'Wed (2)'!K79+Sun!K79+Sat!K79)</f>
        <v>0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0</v>
      </c>
      <c r="O79" s="103">
        <f>('Thurs (2)'!O79+Thurs!O79+'Tues '!O79+Wed!O79+Fri!O79+'Mon '!O79+'Wed (2)'!O79+Sun!O79+Sat!O79)</f>
        <v>0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0</v>
      </c>
      <c r="S79" s="103">
        <f>('Thurs (2)'!S79+Thurs!S79+'Tues '!S79+Wed!S79+Fri!S79+'Mon '!S79+'Wed (2)'!S79+Sun!S79+Sat!S79)</f>
        <v>0</v>
      </c>
      <c r="T79" s="103">
        <f>('Thurs (2)'!T79+Thurs!T79+'Tues '!T79+Wed!T79+Fri!T79+'Mon '!T79+'Wed (2)'!T79+Sun!T79+Sat!T79)</f>
        <v>0</v>
      </c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>
        <f>('Thurs (2)'!G80+Thurs!G80+'Tues '!G80+Wed!G80+Fri!G80+'Mon '!G80+'Wed (2)'!G80+Sun!G80+Sat!G80)</f>
        <v>0</v>
      </c>
      <c r="H80" s="103">
        <f>('Thurs (2)'!H80+Thurs!H80+'Tues '!H80+Wed!H80+Fri!H80+'Mon '!H80+'Wed (2)'!H80+Sun!H80+Sat!H80)</f>
        <v>0</v>
      </c>
      <c r="I80" s="103">
        <f>('Thurs (2)'!I80+Thurs!I80+'Tues '!I80+Wed!I80+Fri!I80+'Mon '!I80+'Wed (2)'!I80+Sun!I80+Sat!I80)</f>
        <v>0</v>
      </c>
      <c r="J80" s="103">
        <f>('Thurs (2)'!J80+Thurs!J80+'Tues '!J80+Wed!J80+Fri!J80+'Mon '!J80+'Wed (2)'!J80+Sun!J80+Sat!J80)</f>
        <v>0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0</v>
      </c>
      <c r="N80" s="103">
        <f>('Thurs (2)'!N80+Thurs!N80+'Tues '!N80+Wed!N80+Fri!N80+'Mon '!N80+'Wed (2)'!N80+Sun!N80+Sat!N80)</f>
        <v>0</v>
      </c>
      <c r="O80" s="103">
        <f>('Thurs (2)'!O80+Thurs!O80+'Tues '!O80+Wed!O80+Fri!O80+'Mon '!O80+'Wed (2)'!O80+Sun!O80+Sat!O80)</f>
        <v>0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0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0</v>
      </c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>
        <f>('Thurs (2)'!G82+Thurs!G82+'Tues '!G82+Wed!G82+Fri!G82+'Mon '!G82+'Wed (2)'!G82+Sun!G82+Sat!G82)</f>
        <v>1</v>
      </c>
      <c r="H82" s="103">
        <f>('Thurs (2)'!H82+Thurs!H82+'Tues '!H82+Wed!H82+Fri!H82+'Mon '!H82+'Wed (2)'!H82+Sun!H82+Sat!H82)</f>
        <v>1</v>
      </c>
      <c r="I82" s="103">
        <f>('Thurs (2)'!I82+Thurs!I82+'Tues '!I82+Wed!I82+Fri!I82+'Mon '!I82+'Wed (2)'!I82+Sun!I82+Sat!I82)</f>
        <v>1</v>
      </c>
      <c r="J82" s="103">
        <f>('Thurs (2)'!J82+Thurs!J82+'Tues '!J82+Wed!J82+Fri!J82+'Mon '!J82+'Wed (2)'!J82+Sun!J82+Sat!J82)</f>
        <v>1</v>
      </c>
      <c r="K82" s="103">
        <f>('Thurs (2)'!K82+Thurs!K82+'Tues '!K82+Wed!K82+Fri!K82+'Mon '!K82+'Wed (2)'!K82+Sun!K82+Sat!K82)</f>
        <v>1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2</v>
      </c>
      <c r="N82" s="103">
        <f>('Thurs (2)'!N82+Thurs!N82+'Tues '!N82+Wed!N82+Fri!N82+'Mon '!N82+'Wed (2)'!N82+Sun!N82+Sat!N82)</f>
        <v>1</v>
      </c>
      <c r="O82" s="103">
        <f>('Thurs (2)'!O82+Thurs!O82+'Tues '!O82+Wed!O82+Fri!O82+'Mon '!O82+'Wed (2)'!O82+Sun!O82+Sat!O82)</f>
        <v>1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3290</v>
      </c>
      <c r="U82" s="104">
        <f t="shared" si="6"/>
        <v>1</v>
      </c>
      <c r="V82" s="104">
        <f t="shared" si="7"/>
        <v>1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>
        <f>('Thurs (2)'!G83+Thurs!G83+'Tues '!G83+Wed!G83+Fri!G83+'Mon '!G83+'Wed (2)'!G83+Sun!G83+Sat!G83)</f>
        <v>1</v>
      </c>
      <c r="H83" s="103">
        <f>('Thurs (2)'!H83+Thurs!H83+'Tues '!H83+Wed!H83+Fri!H83+'Mon '!H83+'Wed (2)'!H83+Sun!H83+Sat!H83)</f>
        <v>1</v>
      </c>
      <c r="I83" s="103">
        <f>('Thurs (2)'!I83+Thurs!I83+'Tues '!I83+Wed!I83+Fri!I83+'Mon '!I83+'Wed (2)'!I83+Sun!I83+Sat!I83)</f>
        <v>1</v>
      </c>
      <c r="J83" s="103">
        <f>('Thurs (2)'!J83+Thurs!J83+'Tues '!J83+Wed!J83+Fri!J83+'Mon '!J83+'Wed (2)'!J83+Sun!J83+Sat!J83)</f>
        <v>1</v>
      </c>
      <c r="K83" s="103">
        <f>('Thurs (2)'!K83+Thurs!K83+'Tues '!K83+Wed!K83+Fri!K83+'Mon '!K83+'Wed (2)'!K83+Sun!K83+Sat!K83)</f>
        <v>1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1</v>
      </c>
      <c r="O83" s="103">
        <f>('Thurs (2)'!O83+Thurs!O83+'Tues '!O83+Wed!O83+Fri!O83+'Mon '!O83+'Wed (2)'!O83+Sun!O83+Sat!O83)</f>
        <v>1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5023</v>
      </c>
      <c r="U83" s="104">
        <f t="shared" si="6"/>
        <v>1</v>
      </c>
      <c r="V83" s="104">
        <f t="shared" si="7"/>
        <v>1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03">
        <f>('Thurs (2)'!G87+Thurs!G87+'Tues '!G87+Wed!G87+Fri!G87+'Mon '!G87+'Wed (2)'!G87+Sun!G87+Sat!G87)</f>
        <v>1</v>
      </c>
      <c r="H87" s="103">
        <f>('Thurs (2)'!H87+Thurs!H87+'Tues '!H87+Wed!H87+Fri!H87+'Mon '!H87+'Wed (2)'!H87+Sun!H87+Sat!H87)</f>
        <v>5</v>
      </c>
      <c r="I87" s="103">
        <f>('Thurs (2)'!I87+Thurs!I87+'Tues '!I87+Wed!I87+Fri!I87+'Mon '!I87+'Wed (2)'!I87+Sun!I87+Sat!I87)</f>
        <v>1</v>
      </c>
      <c r="J87" s="103">
        <f>('Thurs (2)'!J87+Thurs!J87+'Tues '!J87+Wed!J87+Fri!J87+'Mon '!J87+'Wed (2)'!J87+Sun!J87+Sat!J87)</f>
        <v>3</v>
      </c>
      <c r="K87" s="103">
        <f>('Thurs (2)'!K87+Thurs!K87+'Tues '!K87+Wed!K87+Fri!K87+'Mon '!K87+'Wed (2)'!K87+Sun!K87+Sat!K87)</f>
        <v>1</v>
      </c>
      <c r="L87" s="103">
        <f>('Thurs (2)'!L87+Thurs!L87+'Tues '!L87+Wed!L87+Fri!L87+'Mon '!L87+'Wed (2)'!L87+Sun!L87+Sat!L87)</f>
        <v>2</v>
      </c>
      <c r="M87" s="103">
        <f>('Thurs (2)'!M87+Thurs!M87+'Tues '!M87+Wed!M87+Fri!M87+'Mon '!M87+'Wed (2)'!M87+Sun!M87+Sat!M87)</f>
        <v>34</v>
      </c>
      <c r="N87" s="103">
        <f>('Thurs (2)'!N87+Thurs!N87+'Tues '!N87+Wed!N87+Fri!N87+'Mon '!N87+'Wed (2)'!N87+Sun!N87+Sat!N87)</f>
        <v>4</v>
      </c>
      <c r="O87" s="103">
        <f>('Thurs (2)'!O87+Thurs!O87+'Tues '!O87+Wed!O87+Fri!O87+'Mon '!O87+'Wed (2)'!O87+Sun!O87+Sat!O87)</f>
        <v>1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4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1977</v>
      </c>
      <c r="U87" s="104">
        <f t="shared" si="8"/>
        <v>0.2</v>
      </c>
      <c r="V87" s="104">
        <f t="shared" si="9"/>
        <v>7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03">
        <f>('Thurs (2)'!G89+Thurs!G89+'Tues '!G89+Wed!G89+Fri!G89+'Mon '!G89+'Wed (2)'!G89+Sun!G89+Sat!G89)</f>
        <v>4</v>
      </c>
      <c r="H89" s="103">
        <f>('Thurs (2)'!H89+Thurs!H89+'Tues '!H89+Wed!H89+Fri!H89+'Mon '!H89+'Wed (2)'!H89+Sun!H89+Sat!H89)</f>
        <v>2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1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2</v>
      </c>
      <c r="N89" s="103">
        <f>('Thurs (2)'!N89+Thurs!N89+'Tues '!N89+Wed!N89+Fri!N89+'Mon '!N89+'Wed (2)'!N89+Sun!N89+Sat!N89)</f>
        <v>2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8"/>
        <v>0</v>
      </c>
      <c r="V89" s="104">
        <f t="shared" si="9"/>
        <v>0.5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>
        <f>('Thurs (2)'!G102+Thurs!G102+'Tues '!G102+Wed!G102+Fri!G102+'Mon '!G102+'Wed (2)'!G102+Sun!G102+Sat!G102)</f>
        <v>0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>
        <f>('Thurs (2)'!G106+Thurs!G106+'Tues '!G106+Wed!G106+Fri!G106+'Mon '!G106+'Wed (2)'!G106+Sun!G106+Sat!G106)</f>
        <v>0</v>
      </c>
      <c r="H106" s="103">
        <f>('Thurs (2)'!H106+Thurs!H106+'Tues '!H106+Wed!H106+Fri!H106+'Mon '!H106+'Wed (2)'!H106+Sun!H106+Sat!H106)</f>
        <v>0</v>
      </c>
      <c r="I106" s="103">
        <f>('Thurs (2)'!I106+Thurs!I106+'Tues '!I106+Wed!I106+Fri!I106+'Mon '!I106+'Wed (2)'!I106+Sun!I106+Sat!I106)</f>
        <v>0</v>
      </c>
      <c r="J106" s="103">
        <f>('Thurs (2)'!J106+Thurs!J106+'Tues '!J106+Wed!J106+Fri!J106+'Mon '!J106+'Wed (2)'!J106+Sun!J106+Sat!J106)</f>
        <v>0</v>
      </c>
      <c r="K106" s="103">
        <f>('Thurs (2)'!K106+Thurs!K106+'Tues '!K106+Wed!K106+Fri!K106+'Mon '!K106+'Wed (2)'!K106+Sun!K106+Sat!K106)</f>
        <v>0</v>
      </c>
      <c r="L106" s="103">
        <f>('Thurs (2)'!L106+Thurs!L106+'Tues '!L106+Wed!L106+Fri!L106+'Mon '!L106+'Wed (2)'!L106+Sun!L106+Sat!L106)</f>
        <v>0</v>
      </c>
      <c r="M106" s="103">
        <f>('Thurs (2)'!M106+Thurs!M106+'Tues '!M106+Wed!M106+Fri!M106+'Mon '!M106+'Wed (2)'!M106+Sun!M106+Sat!M106)</f>
        <v>0</v>
      </c>
      <c r="N106" s="103">
        <f>('Thurs (2)'!N106+Thurs!N106+'Tues '!N106+Wed!N106+Fri!N106+'Mon '!N106+'Wed (2)'!N106+Sun!N106+Sat!N106)</f>
        <v>0</v>
      </c>
      <c r="O106" s="103">
        <f>('Thurs (2)'!O106+Thurs!O106+'Tues '!O106+Wed!O106+Fri!O106+'Mon '!O106+'Wed (2)'!O106+Sun!O106+Sat!O106)</f>
        <v>0</v>
      </c>
      <c r="P106" s="103">
        <f>('Thurs (2)'!P106+Thurs!P106+'Tues '!P106+Wed!P106+Fri!P106+'Mon '!P106+'Wed (2)'!P106+Sun!P106+Sat!P106)</f>
        <v>0</v>
      </c>
      <c r="Q106" s="103">
        <f>('Thurs (2)'!Q106+Thurs!Q106+'Tues '!Q106+Wed!Q106+Fri!Q106+'Mon '!Q106+'Wed (2)'!Q106+Sun!Q106+Sat!Q106)</f>
        <v>0</v>
      </c>
      <c r="R106" s="103">
        <f>('Thurs (2)'!R106+Thurs!R106+'Tues '!R106+Wed!R106+Fri!R106+'Mon '!R106+'Wed (2)'!R106+Sun!R106+Sat!R106)</f>
        <v>0</v>
      </c>
      <c r="S106" s="103">
        <f>('Thurs (2)'!S106+Thurs!S106+'Tues '!S106+Wed!S106+Fri!S106+'Mon '!S106+'Wed (2)'!S106+Sun!S106+Sat!S106)</f>
        <v>0</v>
      </c>
      <c r="T106" s="103">
        <f>('Thurs (2)'!T106+Thurs!T106+'Tues '!T106+Wed!T106+Fri!T106+'Mon '!T106+'Wed (2)'!T106+Sun!T106+Sat!T106)</f>
        <v>0</v>
      </c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>
        <f>('Thurs (2)'!G107+Thurs!G107+'Tues '!G107+Wed!G107+Fri!G107+'Mon '!G107+'Wed (2)'!G107+Sun!G107+Sat!G107)</f>
        <v>0</v>
      </c>
      <c r="H107" s="103">
        <f>('Thurs (2)'!H107+Thurs!H107+'Tues '!H107+Wed!H107+Fri!H107+'Mon '!H107+'Wed (2)'!H107+Sun!H107+Sat!H107)</f>
        <v>0</v>
      </c>
      <c r="I107" s="103">
        <f>('Thurs (2)'!I107+Thurs!I107+'Tues '!I107+Wed!I107+Fri!I107+'Mon '!I107+'Wed (2)'!I107+Sun!I107+Sat!I107)</f>
        <v>0</v>
      </c>
      <c r="J107" s="103">
        <f>('Thurs (2)'!J107+Thurs!J107+'Tues '!J107+Wed!J107+Fri!J107+'Mon '!J107+'Wed (2)'!J107+Sun!J107+Sat!J107)</f>
        <v>0</v>
      </c>
      <c r="K107" s="103">
        <f>('Thurs (2)'!K107+Thurs!K107+'Tues '!K107+Wed!K107+Fri!K107+'Mon '!K107+'Wed (2)'!K107+Sun!K107+Sat!K107)</f>
        <v>0</v>
      </c>
      <c r="L107" s="103">
        <f>('Thurs (2)'!L107+Thurs!L107+'Tues '!L107+Wed!L107+Fri!L107+'Mon '!L107+'Wed (2)'!L107+Sun!L107+Sat!L107)</f>
        <v>0</v>
      </c>
      <c r="M107" s="103">
        <f>('Thurs (2)'!M107+Thurs!M107+'Tues '!M107+Wed!M107+Fri!M107+'Mon '!M107+'Wed (2)'!M107+Sun!M107+Sat!M107)</f>
        <v>0</v>
      </c>
      <c r="N107" s="103">
        <f>('Thurs (2)'!N107+Thurs!N107+'Tues '!N107+Wed!N107+Fri!N107+'Mon '!N107+'Wed (2)'!N107+Sun!N107+Sat!N107)</f>
        <v>0</v>
      </c>
      <c r="O107" s="103">
        <f>('Thurs (2)'!O107+Thurs!O107+'Tues '!O107+Wed!O107+Fri!O107+'Mon '!O107+'Wed (2)'!O107+Sun!O107+Sat!O107)</f>
        <v>0</v>
      </c>
      <c r="P107" s="103">
        <f>('Thurs (2)'!P107+Thurs!P107+'Tues '!P107+Wed!P107+Fri!P107+'Mon '!P107+'Wed (2)'!P107+Sun!P107+Sat!P107)</f>
        <v>0</v>
      </c>
      <c r="Q107" s="103">
        <f>('Thurs (2)'!Q107+Thurs!Q107+'Tues '!Q107+Wed!Q107+Fri!Q107+'Mon '!Q107+'Wed (2)'!Q107+Sun!Q107+Sat!Q107)</f>
        <v>0</v>
      </c>
      <c r="R107" s="103">
        <f>('Thurs (2)'!R107+Thurs!R107+'Tues '!R107+Wed!R107+Fri!R107+'Mon '!R107+'Wed (2)'!R107+Sun!R107+Sat!R107)</f>
        <v>0</v>
      </c>
      <c r="S107" s="103">
        <f>('Thurs (2)'!S107+Thurs!S107+'Tues '!S107+Wed!S107+Fri!S107+'Mon '!S107+'Wed (2)'!S107+Sun!S107+Sat!S107)</f>
        <v>0</v>
      </c>
      <c r="T107" s="103">
        <f>('Thurs (2)'!T107+Thurs!T107+'Tues '!T107+Wed!T107+Fri!T107+'Mon '!T107+'Wed (2)'!T107+Sun!T107+Sat!T107)</f>
        <v>0</v>
      </c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>
        <f>('Thurs (2)'!G108+Thurs!G108+'Tues '!G108+Wed!G108+Fri!G108+'Mon '!G108+'Wed (2)'!G108+Sun!G108+Sat!G108)</f>
        <v>0</v>
      </c>
      <c r="H108" s="103">
        <f>('Thurs (2)'!H108+Thurs!H108+'Tues '!H108+Wed!H108+Fri!H108+'Mon '!H108+'Wed (2)'!H108+Sun!H108+Sat!H108)</f>
        <v>0</v>
      </c>
      <c r="I108" s="103">
        <f>('Thurs (2)'!I108+Thurs!I108+'Tues '!I108+Wed!I108+Fri!I108+'Mon '!I108+'Wed (2)'!I108+Sun!I108+Sat!I108)</f>
        <v>0</v>
      </c>
      <c r="J108" s="103">
        <f>('Thurs (2)'!J108+Thurs!J108+'Tues '!J108+Wed!J108+Fri!J108+'Mon '!J108+'Wed (2)'!J108+Sun!J108+Sat!J108)</f>
        <v>0</v>
      </c>
      <c r="K108" s="103">
        <f>('Thurs (2)'!K108+Thurs!K108+'Tues '!K108+Wed!K108+Fri!K108+'Mon '!K108+'Wed (2)'!K108+Sun!K108+Sat!K108)</f>
        <v>0</v>
      </c>
      <c r="L108" s="103">
        <f>('Thurs (2)'!L108+Thurs!L108+'Tues '!L108+Wed!L108+Fri!L108+'Mon '!L108+'Wed (2)'!L108+Sun!L108+Sat!L108)</f>
        <v>0</v>
      </c>
      <c r="M108" s="103">
        <f>('Thurs (2)'!M108+Thurs!M108+'Tues '!M108+Wed!M108+Fri!M108+'Mon '!M108+'Wed (2)'!M108+Sun!M108+Sat!M108)</f>
        <v>0</v>
      </c>
      <c r="N108" s="103">
        <f>('Thurs (2)'!N108+Thurs!N108+'Tues '!N108+Wed!N108+Fri!N108+'Mon '!N108+'Wed (2)'!N108+Sun!N108+Sat!N108)</f>
        <v>0</v>
      </c>
      <c r="O108" s="103">
        <f>('Thurs (2)'!O108+Thurs!O108+'Tues '!O108+Wed!O108+Fri!O108+'Mon '!O108+'Wed (2)'!O108+Sun!O108+Sat!O108)</f>
        <v>0</v>
      </c>
      <c r="P108" s="103">
        <f>('Thurs (2)'!P108+Thurs!P108+'Tues '!P108+Wed!P108+Fri!P108+'Mon '!P108+'Wed (2)'!P108+Sun!P108+Sat!P108)</f>
        <v>0</v>
      </c>
      <c r="Q108" s="103">
        <f>('Thurs (2)'!Q108+Thurs!Q108+'Tues '!Q108+Wed!Q108+Fri!Q108+'Mon '!Q108+'Wed (2)'!Q108+Sun!Q108+Sat!Q108)</f>
        <v>0</v>
      </c>
      <c r="R108" s="103">
        <f>('Thurs (2)'!R108+Thurs!R108+'Tues '!R108+Wed!R108+Fri!R108+'Mon '!R108+'Wed (2)'!R108+Sun!R108+Sat!R108)</f>
        <v>0</v>
      </c>
      <c r="S108" s="103">
        <f>('Thurs (2)'!S108+Thurs!S108+'Tues '!S108+Wed!S108+Fri!S108+'Mon '!S108+'Wed (2)'!S108+Sun!S108+Sat!S108)</f>
        <v>0</v>
      </c>
      <c r="T108" s="103">
        <f>('Thurs (2)'!T108+Thurs!T108+'Tues '!T108+Wed!T108+Fri!T108+'Mon '!T108+'Wed (2)'!T108+Sun!T108+Sat!T108)</f>
        <v>0</v>
      </c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>
        <f>('Thurs (2)'!G109+Thurs!G109+'Tues '!G109+Wed!G109+Fri!G109+'Mon '!G109+'Wed (2)'!G109+Sun!G109+Sat!G109)</f>
        <v>0</v>
      </c>
      <c r="H109" s="103">
        <f>('Thurs (2)'!H109+Thurs!H109+'Tues '!H109+Wed!H109+Fri!H109+'Mon '!H109+'Wed (2)'!H109+Sun!H109+Sat!H109)</f>
        <v>0</v>
      </c>
      <c r="I109" s="103">
        <f>('Thurs (2)'!I109+Thurs!I109+'Tues '!I109+Wed!I109+Fri!I109+'Mon '!I109+'Wed (2)'!I109+Sun!I109+Sat!I109)</f>
        <v>0</v>
      </c>
      <c r="J109" s="103">
        <f>('Thurs (2)'!J109+Thurs!J109+'Tues '!J109+Wed!J109+Fri!J109+'Mon '!J109+'Wed (2)'!J109+Sun!J109+Sat!J109)</f>
        <v>0</v>
      </c>
      <c r="K109" s="103">
        <f>('Thurs (2)'!K109+Thurs!K109+'Tues '!K109+Wed!K109+Fri!K109+'Mon '!K109+'Wed (2)'!K109+Sun!K109+Sat!K109)</f>
        <v>0</v>
      </c>
      <c r="L109" s="103">
        <f>('Thurs (2)'!L109+Thurs!L109+'Tues '!L109+Wed!L109+Fri!L109+'Mon '!L109+'Wed (2)'!L109+Sun!L109+Sat!L109)</f>
        <v>0</v>
      </c>
      <c r="M109" s="103">
        <f>('Thurs (2)'!M109+Thurs!M109+'Tues '!M109+Wed!M109+Fri!M109+'Mon '!M109+'Wed (2)'!M109+Sun!M109+Sat!M109)</f>
        <v>0</v>
      </c>
      <c r="N109" s="103">
        <f>('Thurs (2)'!N109+Thurs!N109+'Tues '!N109+Wed!N109+Fri!N109+'Mon '!N109+'Wed (2)'!N109+Sun!N109+Sat!N109)</f>
        <v>0</v>
      </c>
      <c r="O109" s="103">
        <f>('Thurs (2)'!O109+Thurs!O109+'Tues '!O109+Wed!O109+Fri!O109+'Mon '!O109+'Wed (2)'!O109+Sun!O109+Sat!O109)</f>
        <v>0</v>
      </c>
      <c r="P109" s="103">
        <f>('Thurs (2)'!P109+Thurs!P109+'Tues '!P109+Wed!P109+Fri!P109+'Mon '!P109+'Wed (2)'!P109+Sun!P109+Sat!P109)</f>
        <v>0</v>
      </c>
      <c r="Q109" s="103">
        <f>('Thurs (2)'!Q109+Thurs!Q109+'Tues '!Q109+Wed!Q109+Fri!Q109+'Mon '!Q109+'Wed (2)'!Q109+Sun!Q109+Sat!Q109)</f>
        <v>0</v>
      </c>
      <c r="R109" s="103">
        <f>('Thurs (2)'!R109+Thurs!R109+'Tues '!R109+Wed!R109+Fri!R109+'Mon '!R109+'Wed (2)'!R109+Sun!R109+Sat!R109)</f>
        <v>0</v>
      </c>
      <c r="S109" s="103">
        <f>('Thurs (2)'!S109+Thurs!S109+'Tues '!S109+Wed!S109+Fri!S109+'Mon '!S109+'Wed (2)'!S109+Sun!S109+Sat!S109)</f>
        <v>0</v>
      </c>
      <c r="T109" s="103">
        <f>('Thurs (2)'!T109+Thurs!T109+'Tues '!T109+Wed!T109+Fri!T109+'Mon '!T109+'Wed (2)'!T109+Sun!T109+Sat!T109)</f>
        <v>0</v>
      </c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>
        <f>('Thurs (2)'!G111+Thurs!G111+'Tues '!G111+Wed!G111+Fri!G111+'Mon '!G111+'Wed (2)'!G111+Sun!G111+Sat!G111)</f>
        <v>0</v>
      </c>
      <c r="H111" s="103">
        <f>('Thurs (2)'!H111+Thurs!H111+'Tues '!H111+Wed!H111+Fri!H111+'Mon '!H111+'Wed (2)'!H111+Sun!H111+Sat!H111)</f>
        <v>0</v>
      </c>
      <c r="I111" s="103">
        <f>('Thurs (2)'!I111+Thurs!I111+'Tues '!I111+Wed!I111+Fri!I111+'Mon '!I111+'Wed (2)'!I111+Sun!I111+Sat!I111)</f>
        <v>0</v>
      </c>
      <c r="J111" s="103">
        <f>('Thurs (2)'!J111+Thurs!J111+'Tues '!J111+Wed!J111+Fri!J111+'Mon '!J111+'Wed (2)'!J111+Sun!J111+Sat!J111)</f>
        <v>0</v>
      </c>
      <c r="K111" s="103">
        <f>('Thurs (2)'!K111+Thurs!K111+'Tues '!K111+Wed!K111+Fri!K111+'Mon '!K111+'Wed (2)'!K111+Sun!K111+Sat!K111)</f>
        <v>0</v>
      </c>
      <c r="L111" s="103">
        <f>('Thurs (2)'!L111+Thurs!L111+'Tues '!L111+Wed!L111+Fri!L111+'Mon '!L111+'Wed (2)'!L111+Sun!L111+Sat!L111)</f>
        <v>0</v>
      </c>
      <c r="M111" s="103">
        <f>('Thurs (2)'!M111+Thurs!M111+'Tues '!M111+Wed!M111+Fri!M111+'Mon '!M111+'Wed (2)'!M111+Sun!M111+Sat!M111)</f>
        <v>0</v>
      </c>
      <c r="N111" s="103">
        <f>('Thurs (2)'!N111+Thurs!N111+'Tues '!N111+Wed!N111+Fri!N111+'Mon '!N111+'Wed (2)'!N111+Sun!N111+Sat!N111)</f>
        <v>0</v>
      </c>
      <c r="O111" s="103">
        <f>('Thurs (2)'!O111+Thurs!O111+'Tues '!O111+Wed!O111+Fri!O111+'Mon '!O111+'Wed (2)'!O111+Sun!O111+Sat!O111)</f>
        <v>0</v>
      </c>
      <c r="P111" s="103">
        <f>('Thurs (2)'!P111+Thurs!P111+'Tues '!P111+Wed!P111+Fri!P111+'Mon '!P111+'Wed (2)'!P111+Sun!P111+Sat!P111)</f>
        <v>0</v>
      </c>
      <c r="Q111" s="103">
        <f>('Thurs (2)'!Q111+Thurs!Q111+'Tues '!Q111+Wed!Q111+Fri!Q111+'Mon '!Q111+'Wed (2)'!Q111+Sun!Q111+Sat!Q111)</f>
        <v>0</v>
      </c>
      <c r="R111" s="103">
        <f>('Thurs (2)'!R111+Thurs!R111+'Tues '!R111+Wed!R111+Fri!R111+'Mon '!R111+'Wed (2)'!R111+Sun!R111+Sat!R111)</f>
        <v>0</v>
      </c>
      <c r="S111" s="103">
        <f>('Thurs (2)'!S111+Thurs!S111+'Tues '!S111+Wed!S111+Fri!S111+'Mon '!S111+'Wed (2)'!S111+Sun!S111+Sat!S111)</f>
        <v>0</v>
      </c>
      <c r="T111" s="103">
        <f>('Thurs (2)'!T111+Thurs!T111+'Tues '!T111+Wed!T111+Fri!T111+'Mon '!T111+'Wed (2)'!T111+Sun!T111+Sat!T111)</f>
        <v>0</v>
      </c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>
        <f>('Thurs (2)'!G112+Thurs!G112+'Tues '!G112+Wed!G112+Fri!G112+'Mon '!G112+'Wed (2)'!G112+Sun!G112+Sat!G112)</f>
        <v>0</v>
      </c>
      <c r="H112" s="103">
        <f>('Thurs (2)'!H112+Thurs!H112+'Tues '!H112+Wed!H112+Fri!H112+'Mon '!H112+'Wed (2)'!H112+Sun!H112+Sat!H112)</f>
        <v>0</v>
      </c>
      <c r="I112" s="103">
        <f>('Thurs (2)'!I112+Thurs!I112+'Tues '!I112+Wed!I112+Fri!I112+'Mon '!I112+'Wed (2)'!I112+Sun!I112+Sat!I112)</f>
        <v>0</v>
      </c>
      <c r="J112" s="103">
        <f>('Thurs (2)'!J112+Thurs!J112+'Tues '!J112+Wed!J112+Fri!J112+'Mon '!J112+'Wed (2)'!J112+Sun!J112+Sat!J112)</f>
        <v>0</v>
      </c>
      <c r="K112" s="103">
        <f>('Thurs (2)'!K112+Thurs!K112+'Tues '!K112+Wed!K112+Fri!K112+'Mon '!K112+'Wed (2)'!K112+Sun!K112+Sat!K112)</f>
        <v>0</v>
      </c>
      <c r="L112" s="103">
        <f>('Thurs (2)'!L112+Thurs!L112+'Tues '!L112+Wed!L112+Fri!L112+'Mon '!L112+'Wed (2)'!L112+Sun!L112+Sat!L112)</f>
        <v>0</v>
      </c>
      <c r="M112" s="103">
        <f>('Thurs (2)'!M112+Thurs!M112+'Tues '!M112+Wed!M112+Fri!M112+'Mon '!M112+'Wed (2)'!M112+Sun!M112+Sat!M112)</f>
        <v>0</v>
      </c>
      <c r="N112" s="103">
        <f>('Thurs (2)'!N112+Thurs!N112+'Tues '!N112+Wed!N112+Fri!N112+'Mon '!N112+'Wed (2)'!N112+Sun!N112+Sat!N112)</f>
        <v>0</v>
      </c>
      <c r="O112" s="103">
        <f>('Thurs (2)'!O112+Thurs!O112+'Tues '!O112+Wed!O112+Fri!O112+'Mon '!O112+'Wed (2)'!O112+Sun!O112+Sat!O112)</f>
        <v>0</v>
      </c>
      <c r="P112" s="103">
        <f>('Thurs (2)'!P112+Thurs!P112+'Tues '!P112+Wed!P112+Fri!P112+'Mon '!P112+'Wed (2)'!P112+Sun!P112+Sat!P112)</f>
        <v>0</v>
      </c>
      <c r="Q112" s="103">
        <f>('Thurs (2)'!Q112+Thurs!Q112+'Tues '!Q112+Wed!Q112+Fri!Q112+'Mon '!Q112+'Wed (2)'!Q112+Sun!Q112+Sat!Q112)</f>
        <v>0</v>
      </c>
      <c r="R112" s="103">
        <f>('Thurs (2)'!R112+Thurs!R112+'Tues '!R112+Wed!R112+Fri!R112+'Mon '!R112+'Wed (2)'!R112+Sun!R112+Sat!R112)</f>
        <v>0</v>
      </c>
      <c r="S112" s="103">
        <f>('Thurs (2)'!S112+Thurs!S112+'Tues '!S112+Wed!S112+Fri!S112+'Mon '!S112+'Wed (2)'!S112+Sun!S112+Sat!S112)</f>
        <v>0</v>
      </c>
      <c r="T112" s="103">
        <f>('Thurs (2)'!T112+Thurs!T112+'Tues '!T112+Wed!T112+Fri!T112+'Mon '!T112+'Wed (2)'!T112+Sun!T112+Sat!T112)</f>
        <v>0</v>
      </c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8600.84</v>
      </c>
      <c r="D2" s="10"/>
      <c r="E2" s="11">
        <f t="shared" ref="E2:R2" si="1">SUM(E5,E20,E23,E26,E29,E32)</f>
        <v>5913.84</v>
      </c>
      <c r="F2" s="11">
        <f t="shared" si="1"/>
        <v>19</v>
      </c>
      <c r="G2" s="11">
        <f t="shared" si="1"/>
        <v>11</v>
      </c>
      <c r="H2" s="11">
        <f t="shared" si="1"/>
        <v>6</v>
      </c>
      <c r="I2" s="11">
        <f t="shared" si="1"/>
        <v>3</v>
      </c>
      <c r="J2" s="11">
        <f t="shared" si="1"/>
        <v>2</v>
      </c>
      <c r="K2" s="11">
        <f t="shared" si="1"/>
        <v>2</v>
      </c>
      <c r="L2" s="11">
        <f t="shared" si="1"/>
        <v>0</v>
      </c>
      <c r="M2" s="11">
        <f t="shared" si="1"/>
        <v>45</v>
      </c>
      <c r="N2" s="11">
        <f t="shared" si="1"/>
        <v>7</v>
      </c>
      <c r="O2" s="11">
        <f t="shared" si="1"/>
        <v>4</v>
      </c>
      <c r="P2" s="11">
        <f t="shared" si="1"/>
        <v>7</v>
      </c>
      <c r="Q2" s="11">
        <f t="shared" si="1"/>
        <v>4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1433.473333</v>
      </c>
      <c r="F4" s="24">
        <f>IFERROR((G2+R2)/F2,0)</f>
        <v>0.7368421053</v>
      </c>
      <c r="G4" s="24">
        <f>IFERROR(H2/G2,0)</f>
        <v>0.5454545455</v>
      </c>
      <c r="H4" s="23">
        <f>(C2/C4)</f>
        <v>121.1385915</v>
      </c>
      <c r="I4" s="25"/>
      <c r="J4" s="24">
        <f>IFERROR(J2/I2,0)</f>
        <v>0.6666666667</v>
      </c>
      <c r="K4" s="25"/>
      <c r="L4" s="24">
        <f>IFERROR(L2/K2,0)</f>
        <v>0</v>
      </c>
      <c r="M4" s="26">
        <f>IFERROR(M2/G2,0)</f>
        <v>4.090909091</v>
      </c>
      <c r="N4" s="25"/>
      <c r="O4" s="24">
        <f>IFERROR(O2/N2,0)</f>
        <v>0.5714285714</v>
      </c>
      <c r="P4" s="26"/>
      <c r="Q4" s="24">
        <f>IFERROR(Q2/P2,0)</f>
        <v>0.5714285714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8055.84</v>
      </c>
      <c r="D5" s="31"/>
      <c r="E5" s="32">
        <f>SUMIFS(T:T,A:A,B5,D:D,"Y")</f>
        <v>5913.84</v>
      </c>
      <c r="F5" s="11">
        <f>SUMIF(A:A,B5,G:G)</f>
        <v>16</v>
      </c>
      <c r="G5" s="11">
        <f>SUMIF(A:A,B5,H:H)</f>
        <v>8</v>
      </c>
      <c r="H5" s="11">
        <f>SUMIF(A:A,B5,I:I)</f>
        <v>5</v>
      </c>
      <c r="I5" s="11">
        <f>SUMIF(A:A,B5,P:P)</f>
        <v>3</v>
      </c>
      <c r="J5" s="11">
        <f>SUMIF(A:A,B5,Q:Q)</f>
        <v>2</v>
      </c>
      <c r="K5" s="11">
        <f>SUMIF(A:A,B5,R:R)</f>
        <v>1</v>
      </c>
      <c r="L5" s="11">
        <f>SUMIF(A:A,B5,S:S)</f>
        <v>0</v>
      </c>
      <c r="M5" s="11">
        <f>SUMIF(A:A,B5,M:M)</f>
        <v>22</v>
      </c>
      <c r="N5" s="11">
        <f>SUMIF(A:A,B5,N:N)</f>
        <v>5</v>
      </c>
      <c r="O5" s="11">
        <f>SUMIF(A:A,B5,O:O)</f>
        <v>3</v>
      </c>
      <c r="P5" s="11">
        <f>SUMIF(A:A,B5,J:J)</f>
        <v>5</v>
      </c>
      <c r="Q5" s="11">
        <f>SUMIF(A:A,B5,K:K)</f>
        <v>3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1611.168</v>
      </c>
      <c r="F7" s="41">
        <f>IFERROR((G5+R5)/F5,0)</f>
        <v>0.6875</v>
      </c>
      <c r="G7" s="41">
        <f>IFERROR(H5/G5,0)</f>
        <v>0.625</v>
      </c>
      <c r="H7" s="40">
        <f>(C5/C7)</f>
        <v>268.528</v>
      </c>
      <c r="I7" s="42"/>
      <c r="J7" s="41">
        <f>IFERROR(J5/I5,0)</f>
        <v>0.6666666667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0.6</v>
      </c>
      <c r="P7" s="43"/>
      <c r="Q7" s="41">
        <f>IFERROR(Q5/P5,0)</f>
        <v>0.6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3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6099</v>
      </c>
      <c r="D14" s="48"/>
      <c r="E14" s="49">
        <f>SUMIFS(T:T,B:B,B14,D:D,"Y")</f>
        <v>3957</v>
      </c>
      <c r="F14" s="50">
        <f>SUMIF(B39:B1137,B14,G39:G1137)</f>
        <v>12</v>
      </c>
      <c r="G14" s="51">
        <f>SUMIF(B39:B1137,B14,H39:H1137)</f>
        <v>7</v>
      </c>
      <c r="H14" s="51">
        <f>SUMIF(B39:B1137,B14,I39:I1137)</f>
        <v>4</v>
      </c>
      <c r="I14" s="51">
        <f>SUMIF(B39:B1137,B14,P39:P1137)</f>
        <v>3</v>
      </c>
      <c r="J14" s="51">
        <f>SUMIF(B39:B1137,B14,Q39:Q1137)</f>
        <v>2</v>
      </c>
      <c r="K14" s="51">
        <f>SUMIF(B39:B1137,B14,R39:R1137)</f>
        <v>1</v>
      </c>
      <c r="L14" s="51">
        <f>SUMIF(B39:B1137,B14,S39:S1137)</f>
        <v>0</v>
      </c>
      <c r="M14" s="51">
        <f>SUMIF(B39:B1137,B14,M39:M1137)</f>
        <v>12</v>
      </c>
      <c r="N14" s="51">
        <f>SUMIF(B39:B1137,B14,N39:N1137)</f>
        <v>4</v>
      </c>
      <c r="O14" s="51">
        <f>SUMIF(B39:B1137,B14,O39:O1137)</f>
        <v>2</v>
      </c>
      <c r="P14" s="51">
        <f>SUMIF(B39:B1137,B14,J39:J1137)</f>
        <v>5</v>
      </c>
      <c r="Q14" s="51">
        <f>SUMIF(B39:B1137,B14,K39:K1137)</f>
        <v>3</v>
      </c>
      <c r="R14" s="52">
        <f>SUMIF(B39:B1137,B14,L39:L1137)</f>
        <v>3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1524.75</v>
      </c>
      <c r="F16" s="24">
        <f>IFERROR((G14+R14)/F14,0)</f>
        <v>0.8333333333</v>
      </c>
      <c r="G16" s="24">
        <f>IFERROR(H14/G14,0)</f>
        <v>0.5714285714</v>
      </c>
      <c r="H16" s="23">
        <f>(C14/C16)</f>
        <v>1524.75</v>
      </c>
      <c r="I16" s="25"/>
      <c r="J16" s="24">
        <f>IFERROR(J14/I14,0)</f>
        <v>0.6666666667</v>
      </c>
      <c r="K16" s="25"/>
      <c r="L16" s="24">
        <f>IFERROR(L14/K14,0)</f>
        <v>0</v>
      </c>
      <c r="M16" s="26">
        <f>IFERROR(M14/SUM(R14+G14,0),"")</f>
        <v>1.2</v>
      </c>
      <c r="N16" s="25"/>
      <c r="O16" s="24">
        <f>IFERROR(O14/N14,0)</f>
        <v>0.5</v>
      </c>
      <c r="P16" s="26"/>
      <c r="Q16" s="24">
        <f>IFERROR(Q14/P14,0)</f>
        <v>0.6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1956.84</v>
      </c>
      <c r="D17" s="62"/>
      <c r="E17" s="49">
        <f>SUMIFS(T:T,B:B,B17,D:D,"Y")</f>
        <v>1956.84</v>
      </c>
      <c r="F17" s="50">
        <f>SUMIF(B37:B1137,B17,G37:G1137)</f>
        <v>1</v>
      </c>
      <c r="G17" s="51">
        <f>SUMIF(B37:B1137,B17,H37:H1137)</f>
        <v>1</v>
      </c>
      <c r="H17" s="51">
        <f>SUMIF(B37:B1137,B17,I37:I1137)</f>
        <v>1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10</v>
      </c>
      <c r="N17" s="51">
        <f>SUMIF(B37:B1137,B17,N37:N1137)</f>
        <v>1</v>
      </c>
      <c r="O17" s="51">
        <f>SUMIF(B37:B1137,B17,O37:O1137)</f>
        <v>1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1956.84</v>
      </c>
      <c r="F19" s="24">
        <f>IFERROR((G17+R17)/F17,0)</f>
        <v>1</v>
      </c>
      <c r="G19" s="24">
        <f>IFERROR(H17/G17,0)</f>
        <v>1</v>
      </c>
      <c r="H19" s="23">
        <f>(C17/C19)</f>
        <v>217.4266667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10</v>
      </c>
      <c r="N19" s="25"/>
      <c r="O19" s="24">
        <f>IFERROR(O17/N17,0)</f>
        <v>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545</v>
      </c>
      <c r="D20" s="31"/>
      <c r="E20" s="64">
        <f>SUMIFS(T:T,A:A,B20,D:D,"Y")</f>
        <v>0</v>
      </c>
      <c r="F20" s="9">
        <f>SUMIF(A:A,B20,G:G)</f>
        <v>2</v>
      </c>
      <c r="G20" s="11">
        <f>SUMIF(A:A,B20,H:H)</f>
        <v>1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13</v>
      </c>
      <c r="N20" s="11">
        <f>SUMIF(A:A,B20,N:N)</f>
        <v>1</v>
      </c>
      <c r="O20" s="11">
        <f>SUMIF(A:A,B20,O:O)</f>
        <v>1</v>
      </c>
      <c r="P20" s="11">
        <f>SUMIF(A:A,B20,J:J)</f>
        <v>1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545</v>
      </c>
      <c r="F22" s="24">
        <f>IFERROR((G20+R20)/F20,0)</f>
        <v>0.5</v>
      </c>
      <c r="G22" s="24">
        <f>IFERROR(H20/G20,0)</f>
        <v>1</v>
      </c>
      <c r="H22" s="23">
        <f>(C20/C22)</f>
        <v>90.83333333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13</v>
      </c>
      <c r="N22" s="25"/>
      <c r="O22" s="24">
        <f>IFERROR(O20/N20,0)</f>
        <v>1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10</v>
      </c>
      <c r="N26" s="11">
        <f>SUMIF(A:A,B26,N:N)</f>
        <v>1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2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0.0</v>
      </c>
      <c r="H46" s="181">
        <v>0.0</v>
      </c>
      <c r="I46" s="181">
        <v>0.0</v>
      </c>
      <c r="J46" s="181">
        <v>0.0</v>
      </c>
      <c r="K46" s="181">
        <v>0.0</v>
      </c>
      <c r="L46" s="181">
        <v>0.0</v>
      </c>
      <c r="M46" s="181">
        <v>0.0</v>
      </c>
      <c r="N46" s="181">
        <v>0.0</v>
      </c>
      <c r="O46" s="181">
        <v>0.0</v>
      </c>
      <c r="P46" s="181">
        <v>0.0</v>
      </c>
      <c r="Q46" s="181">
        <v>0.0</v>
      </c>
      <c r="R46" s="181">
        <v>0.0</v>
      </c>
      <c r="S46" s="181">
        <v>0.0</v>
      </c>
      <c r="T46" s="181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0.0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3.0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7.0</v>
      </c>
      <c r="H54" s="181">
        <v>4.0</v>
      </c>
      <c r="I54" s="181">
        <v>3.0</v>
      </c>
      <c r="J54" s="181">
        <v>1.0</v>
      </c>
      <c r="K54" s="181">
        <v>1.0</v>
      </c>
      <c r="L54" s="181">
        <v>1.0</v>
      </c>
      <c r="M54" s="181">
        <v>5.0</v>
      </c>
      <c r="N54" s="181">
        <v>1.0</v>
      </c>
      <c r="O54" s="181">
        <v>1.0</v>
      </c>
      <c r="P54" s="181">
        <v>3.0</v>
      </c>
      <c r="Q54" s="181">
        <v>2.0</v>
      </c>
      <c r="R54" s="181">
        <v>0.0</v>
      </c>
      <c r="S54" s="181">
        <v>0.0</v>
      </c>
      <c r="T54" s="181">
        <v>3957.0</v>
      </c>
      <c r="U54" s="104">
        <f t="shared" si="2"/>
        <v>0.75</v>
      </c>
      <c r="V54" s="104">
        <f t="shared" si="3"/>
        <v>0.7142857143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81">
        <v>5.0</v>
      </c>
      <c r="H56" s="181">
        <v>3.0</v>
      </c>
      <c r="I56" s="181">
        <v>1.0</v>
      </c>
      <c r="J56" s="181">
        <v>4.0</v>
      </c>
      <c r="K56" s="181">
        <v>2.0</v>
      </c>
      <c r="L56" s="181">
        <v>2.0</v>
      </c>
      <c r="M56" s="181">
        <v>7.0</v>
      </c>
      <c r="N56" s="181">
        <v>3.0</v>
      </c>
      <c r="O56" s="181">
        <v>1.0</v>
      </c>
      <c r="P56" s="181">
        <v>0.0</v>
      </c>
      <c r="Q56" s="181">
        <v>0.0</v>
      </c>
      <c r="R56" s="181">
        <v>1.0</v>
      </c>
      <c r="S56" s="181">
        <v>0.0</v>
      </c>
      <c r="T56" s="181">
        <v>2142.0</v>
      </c>
      <c r="U56" s="104">
        <f t="shared" si="2"/>
        <v>0.3333333333</v>
      </c>
      <c r="V56" s="104">
        <f t="shared" si="3"/>
        <v>1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81">
        <v>1.0</v>
      </c>
      <c r="H64" s="181">
        <v>1.0</v>
      </c>
      <c r="I64" s="181">
        <v>1.0</v>
      </c>
      <c r="J64" s="181">
        <v>0.0</v>
      </c>
      <c r="K64" s="181">
        <v>0.0</v>
      </c>
      <c r="L64" s="181">
        <v>0.0</v>
      </c>
      <c r="M64" s="181">
        <v>10.0</v>
      </c>
      <c r="N64" s="181">
        <v>1.0</v>
      </c>
      <c r="O64" s="181">
        <v>1.0</v>
      </c>
      <c r="P64" s="181">
        <v>0.0</v>
      </c>
      <c r="Q64" s="181">
        <v>0.0</v>
      </c>
      <c r="R64" s="181">
        <v>0.0</v>
      </c>
      <c r="S64" s="181">
        <v>0.0</v>
      </c>
      <c r="T64" s="181">
        <v>1956.84</v>
      </c>
      <c r="U64" s="104">
        <f t="shared" si="2"/>
        <v>1</v>
      </c>
      <c r="V64" s="104">
        <f t="shared" si="3"/>
        <v>1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1.0</v>
      </c>
      <c r="H69" s="181">
        <v>0.0</v>
      </c>
      <c r="I69" s="181">
        <v>0.0</v>
      </c>
      <c r="J69" s="181">
        <v>0.0</v>
      </c>
      <c r="K69" s="181">
        <v>0.0</v>
      </c>
      <c r="L69" s="181">
        <v>0.0</v>
      </c>
      <c r="M69" s="181">
        <v>7.0</v>
      </c>
      <c r="N69" s="181">
        <v>0.0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81">
        <v>0.0</v>
      </c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81">
        <v>0.0</v>
      </c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81">
        <v>1.0</v>
      </c>
      <c r="H73" s="181">
        <v>1.0</v>
      </c>
      <c r="I73" s="181">
        <v>1.0</v>
      </c>
      <c r="J73" s="181">
        <v>1.0</v>
      </c>
      <c r="K73" s="181">
        <v>1.0</v>
      </c>
      <c r="L73" s="181">
        <v>0.0</v>
      </c>
      <c r="M73" s="181">
        <v>6.0</v>
      </c>
      <c r="N73" s="181">
        <v>1.0</v>
      </c>
      <c r="O73" s="181">
        <v>1.0</v>
      </c>
      <c r="P73" s="181">
        <v>0.0</v>
      </c>
      <c r="Q73" s="181">
        <v>0.0</v>
      </c>
      <c r="R73" s="181">
        <v>0.0</v>
      </c>
      <c r="S73" s="181">
        <v>0.0</v>
      </c>
      <c r="T73" s="181">
        <v>545.0</v>
      </c>
      <c r="U73" s="144">
        <f t="shared" si="4"/>
        <v>1</v>
      </c>
      <c r="V73" s="144">
        <f t="shared" si="5"/>
        <v>1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1.0</v>
      </c>
      <c r="I87" s="181">
        <v>0.0</v>
      </c>
      <c r="J87" s="181">
        <v>0.0</v>
      </c>
      <c r="K87" s="181">
        <v>0.0</v>
      </c>
      <c r="L87" s="181">
        <v>0.0</v>
      </c>
      <c r="M87" s="181">
        <v>9.0</v>
      </c>
      <c r="N87" s="181">
        <v>0.0</v>
      </c>
      <c r="O87" s="181">
        <v>0.0</v>
      </c>
      <c r="P87" s="181">
        <v>0.0</v>
      </c>
      <c r="Q87" s="181">
        <v>0.0</v>
      </c>
      <c r="R87" s="181">
        <v>1.0</v>
      </c>
      <c r="S87" s="181">
        <v>0.0</v>
      </c>
      <c r="T87" s="181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1.0</v>
      </c>
      <c r="H89" s="181">
        <v>1.0</v>
      </c>
      <c r="I89" s="181">
        <v>0.0</v>
      </c>
      <c r="J89" s="181">
        <v>1.0</v>
      </c>
      <c r="K89" s="181">
        <v>0.0</v>
      </c>
      <c r="L89" s="181">
        <v>0.0</v>
      </c>
      <c r="M89" s="181">
        <v>1.0</v>
      </c>
      <c r="N89" s="181">
        <v>1.0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8"/>
        <v>0</v>
      </c>
      <c r="V89" s="104">
        <f t="shared" si="9"/>
        <v>1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4106</v>
      </c>
      <c r="D2" s="10"/>
      <c r="E2" s="11">
        <f t="shared" ref="E2:R2" si="1">SUM(E5,E20,E23,E26,E29,E32)</f>
        <v>4106</v>
      </c>
      <c r="F2" s="11">
        <f t="shared" si="1"/>
        <v>11</v>
      </c>
      <c r="G2" s="11">
        <f t="shared" si="1"/>
        <v>5</v>
      </c>
      <c r="H2" s="11">
        <f t="shared" si="1"/>
        <v>3</v>
      </c>
      <c r="I2" s="11">
        <f t="shared" si="1"/>
        <v>2</v>
      </c>
      <c r="J2" s="11">
        <f t="shared" si="1"/>
        <v>2</v>
      </c>
      <c r="K2" s="11">
        <f t="shared" si="1"/>
        <v>2</v>
      </c>
      <c r="L2" s="11">
        <f t="shared" si="1"/>
        <v>0</v>
      </c>
      <c r="M2" s="11">
        <f t="shared" si="1"/>
        <v>12</v>
      </c>
      <c r="N2" s="11">
        <f t="shared" si="1"/>
        <v>3</v>
      </c>
      <c r="O2" s="11">
        <f t="shared" si="1"/>
        <v>1</v>
      </c>
      <c r="P2" s="11">
        <f t="shared" si="1"/>
        <v>2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1368.666667</v>
      </c>
      <c r="F4" s="24">
        <f>IFERROR((G2+R2)/F2,0)</f>
        <v>0.6363636364</v>
      </c>
      <c r="G4" s="24">
        <f>IFERROR(H2/G2,0)</f>
        <v>0.6</v>
      </c>
      <c r="H4" s="23">
        <f>(C2/C4)</f>
        <v>57.83098592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2.4</v>
      </c>
      <c r="N4" s="25"/>
      <c r="O4" s="24">
        <f>IFERROR(O2/N2,0)</f>
        <v>0.3333333333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4106</v>
      </c>
      <c r="D5" s="31"/>
      <c r="E5" s="32">
        <f>SUMIFS(T:T,A:A,B5,D:D,"Y")</f>
        <v>4106</v>
      </c>
      <c r="F5" s="11">
        <f>SUMIF(A:A,B5,G:G)</f>
        <v>9</v>
      </c>
      <c r="G5" s="11">
        <f>SUMIF(A:A,B5,H:H)</f>
        <v>3</v>
      </c>
      <c r="H5" s="11">
        <f>SUMIF(A:A,B5,I:I)</f>
        <v>3</v>
      </c>
      <c r="I5" s="11">
        <f>SUMIF(A:A,B5,P:P)</f>
        <v>2</v>
      </c>
      <c r="J5" s="11">
        <f>SUMIF(A:A,B5,Q:Q)</f>
        <v>2</v>
      </c>
      <c r="K5" s="11">
        <f>SUMIF(A:A,B5,R:R)</f>
        <v>0</v>
      </c>
      <c r="L5" s="11">
        <f>SUMIF(A:A,B5,S:S)</f>
        <v>0</v>
      </c>
      <c r="M5" s="11">
        <f>SUMIF(A:A,B5,M:M)</f>
        <v>5</v>
      </c>
      <c r="N5" s="11">
        <f>SUMIF(A:A,B5,N:N)</f>
        <v>1</v>
      </c>
      <c r="O5" s="11">
        <f>SUMIF(A:A,B5,O:O)</f>
        <v>1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1368.666667</v>
      </c>
      <c r="F7" s="41">
        <f>IFERROR((G5+R5)/F5,0)</f>
        <v>0.3333333333</v>
      </c>
      <c r="G7" s="41">
        <f>IFERROR(H5/G5,0)</f>
        <v>1</v>
      </c>
      <c r="H7" s="40">
        <f>(C5/C7)</f>
        <v>136.8666667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1659</v>
      </c>
      <c r="D11" s="48"/>
      <c r="E11" s="49">
        <f>SUMIFS(T:T,B:B,B11,D:D,"Y")</f>
        <v>1659</v>
      </c>
      <c r="F11" s="50">
        <f>SUMIF(B38:B1137,B11,G38:G1137)</f>
        <v>4</v>
      </c>
      <c r="G11" s="51">
        <f>SUMIF(B38:B1137,B11,H38:H1137)</f>
        <v>1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1</v>
      </c>
      <c r="O11" s="51">
        <f>SUMIF(B38:B1137,B11,O38:O1137)</f>
        <v>1</v>
      </c>
      <c r="P11" s="51">
        <f>SUMIF(B38:B1137,B11,J38:J1137)</f>
        <v>1</v>
      </c>
      <c r="Q11" s="51">
        <f>SUMIF(B38:B1137,B11,K38:K1137)</f>
        <v>1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1659</v>
      </c>
      <c r="F13" s="24">
        <f>IFERROR((G11+R11)/F11,0)</f>
        <v>0.25</v>
      </c>
      <c r="G13" s="24">
        <f>IFERROR(H11/G11,0)</f>
        <v>1</v>
      </c>
      <c r="H13" s="23">
        <f>(C11/C13)</f>
        <v>207.375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2447</v>
      </c>
      <c r="D14" s="48"/>
      <c r="E14" s="49">
        <f>SUMIFS(T:T,B:B,B14,D:D,"Y")</f>
        <v>2447</v>
      </c>
      <c r="F14" s="50">
        <f>SUMIF(B39:B1137,B14,G39:G1137)</f>
        <v>5</v>
      </c>
      <c r="G14" s="51">
        <f>SUMIF(B39:B1137,B14,H39:H1137)</f>
        <v>2</v>
      </c>
      <c r="H14" s="51">
        <f>SUMIF(B39:B1137,B14,I39:I1137)</f>
        <v>2</v>
      </c>
      <c r="I14" s="51">
        <f>SUMIF(B39:B1137,B14,P39:P1137)</f>
        <v>2</v>
      </c>
      <c r="J14" s="51">
        <f>SUMIF(B39:B1137,B14,Q39:Q1137)</f>
        <v>2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5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1223.5</v>
      </c>
      <c r="F16" s="24">
        <f>IFERROR((G14+R14)/F14,0)</f>
        <v>0.4</v>
      </c>
      <c r="G16" s="24">
        <f>IFERROR(H14/G14,0)</f>
        <v>1</v>
      </c>
      <c r="H16" s="23">
        <f>(C14/C16)</f>
        <v>611.75</v>
      </c>
      <c r="I16" s="25"/>
      <c r="J16" s="24">
        <f>IFERROR(J14/I14,0)</f>
        <v>1</v>
      </c>
      <c r="K16" s="25"/>
      <c r="L16" s="24">
        <f>IFERROR(L14/K14,0)</f>
        <v>0</v>
      </c>
      <c r="M16" s="26">
        <f>IFERROR(M14/SUM(R14+G14,0),"")</f>
        <v>2.5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2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2</v>
      </c>
      <c r="L26" s="11">
        <f>SUMIF(A:A,B26,S:S)</f>
        <v>0</v>
      </c>
      <c r="M26" s="11">
        <f>SUMIF(A:A,B26,M:M)</f>
        <v>7</v>
      </c>
      <c r="N26" s="11">
        <f>SUMIF(A:A,B26,N:N)</f>
        <v>2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2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2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1.75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2.0</v>
      </c>
      <c r="H46" s="181">
        <v>1.0</v>
      </c>
      <c r="I46" s="181">
        <v>1.0</v>
      </c>
      <c r="J46" s="181">
        <v>1.0</v>
      </c>
      <c r="K46" s="181">
        <v>1.0</v>
      </c>
      <c r="L46" s="181">
        <v>0.0</v>
      </c>
      <c r="M46" s="181">
        <v>0.0</v>
      </c>
      <c r="N46" s="181">
        <v>1.0</v>
      </c>
      <c r="O46" s="181">
        <v>1.0</v>
      </c>
      <c r="P46" s="181">
        <v>0.0</v>
      </c>
      <c r="Q46" s="181">
        <v>0.0</v>
      </c>
      <c r="R46" s="181">
        <v>0.0</v>
      </c>
      <c r="S46" s="181">
        <v>0.0</v>
      </c>
      <c r="T46" s="181">
        <v>1659.0</v>
      </c>
      <c r="U46" s="104">
        <f t="shared" si="2"/>
        <v>1</v>
      </c>
      <c r="V46" s="104">
        <f t="shared" si="3"/>
        <v>0.5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0.0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2.0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5.0</v>
      </c>
      <c r="H54" s="181">
        <v>2.0</v>
      </c>
      <c r="I54" s="181">
        <v>2.0</v>
      </c>
      <c r="J54" s="181">
        <v>0.0</v>
      </c>
      <c r="K54" s="181">
        <v>0.0</v>
      </c>
      <c r="L54" s="181">
        <v>0.0</v>
      </c>
      <c r="M54" s="181">
        <v>5.0</v>
      </c>
      <c r="N54" s="181">
        <v>0.0</v>
      </c>
      <c r="O54" s="181">
        <v>0.0</v>
      </c>
      <c r="P54" s="181">
        <v>2.0</v>
      </c>
      <c r="Q54" s="181">
        <v>2.0</v>
      </c>
      <c r="R54" s="181">
        <v>0.0</v>
      </c>
      <c r="S54" s="181">
        <v>0.0</v>
      </c>
      <c r="T54" s="181">
        <v>2447.0</v>
      </c>
      <c r="U54" s="104">
        <f t="shared" si="2"/>
        <v>1</v>
      </c>
      <c r="V54" s="104">
        <f t="shared" si="3"/>
        <v>0.4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1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0.0</v>
      </c>
      <c r="H69" s="181">
        <v>0.0</v>
      </c>
      <c r="I69" s="181">
        <v>0.0</v>
      </c>
      <c r="J69" s="181">
        <v>0.0</v>
      </c>
      <c r="K69" s="181">
        <v>0.0</v>
      </c>
      <c r="L69" s="181">
        <v>0.0</v>
      </c>
      <c r="M69" s="181">
        <v>0.0</v>
      </c>
      <c r="N69" s="181">
        <v>0.0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81">
        <v>0.0</v>
      </c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81">
        <v>0.0</v>
      </c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82">
        <v>0.0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81">
        <v>0.0</v>
      </c>
      <c r="H73" s="181">
        <v>0.0</v>
      </c>
      <c r="I73" s="181">
        <v>0.0</v>
      </c>
      <c r="J73" s="181">
        <v>0.0</v>
      </c>
      <c r="K73" s="181">
        <v>0.0</v>
      </c>
      <c r="L73" s="181">
        <v>0.0</v>
      </c>
      <c r="M73" s="181">
        <v>0.0</v>
      </c>
      <c r="N73" s="181">
        <v>0.0</v>
      </c>
      <c r="O73" s="181">
        <v>0.0</v>
      </c>
      <c r="P73" s="181">
        <v>0.0</v>
      </c>
      <c r="Q73" s="181">
        <v>0.0</v>
      </c>
      <c r="R73" s="181">
        <v>0.0</v>
      </c>
      <c r="S73" s="181">
        <v>0.0</v>
      </c>
      <c r="T73" s="181">
        <v>0.0</v>
      </c>
      <c r="U73" s="144">
        <f>IFERROR(I73/H73,0)</f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1.0</v>
      </c>
      <c r="H87" s="181">
        <v>2.0</v>
      </c>
      <c r="I87" s="181">
        <v>0.0</v>
      </c>
      <c r="J87" s="181">
        <v>1.0</v>
      </c>
      <c r="K87" s="181">
        <v>0.0</v>
      </c>
      <c r="L87" s="181">
        <v>2.0</v>
      </c>
      <c r="M87" s="181">
        <v>7.0</v>
      </c>
      <c r="N87" s="181">
        <v>2.0</v>
      </c>
      <c r="O87" s="181">
        <v>0.0</v>
      </c>
      <c r="P87" s="181">
        <v>0.0</v>
      </c>
      <c r="Q87" s="181">
        <v>0.0</v>
      </c>
      <c r="R87" s="181">
        <v>2.0</v>
      </c>
      <c r="S87" s="181">
        <v>0.0</v>
      </c>
      <c r="T87" s="181">
        <v>0.0</v>
      </c>
      <c r="U87" s="104">
        <f t="shared" si="8"/>
        <v>0</v>
      </c>
      <c r="V87" s="104">
        <f t="shared" si="9"/>
        <v>4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1.0</v>
      </c>
      <c r="H89" s="181">
        <v>0.0</v>
      </c>
      <c r="I89" s="181">
        <v>0.0</v>
      </c>
      <c r="J89" s="181">
        <v>0.0</v>
      </c>
      <c r="K89" s="181">
        <v>0.0</v>
      </c>
      <c r="L89" s="181">
        <v>0.0</v>
      </c>
      <c r="M89" s="181">
        <v>0.0</v>
      </c>
      <c r="N89" s="181">
        <v>0.0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2947</v>
      </c>
      <c r="D2" s="10"/>
      <c r="E2" s="11">
        <f t="shared" ref="E2:R2" si="1">SUM(E5,E20,E23,E26,E29,E32)</f>
        <v>2947</v>
      </c>
      <c r="F2" s="11">
        <f t="shared" si="1"/>
        <v>5</v>
      </c>
      <c r="G2" s="11">
        <f t="shared" si="1"/>
        <v>2</v>
      </c>
      <c r="H2" s="11">
        <f t="shared" si="1"/>
        <v>1</v>
      </c>
      <c r="I2" s="11">
        <f t="shared" si="1"/>
        <v>2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4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2947</v>
      </c>
      <c r="F4" s="24">
        <f>IFERROR((G2+R2)/F2,0)</f>
        <v>0.4</v>
      </c>
      <c r="G4" s="24">
        <f>IFERROR(H2/G2,0)</f>
        <v>0.5</v>
      </c>
      <c r="H4" s="23">
        <f>(C2/C4)</f>
        <v>41.50704225</v>
      </c>
      <c r="I4" s="25"/>
      <c r="J4" s="24">
        <f>IFERROR(J2/I2,0)</f>
        <v>0.5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2947</v>
      </c>
      <c r="D5" s="31"/>
      <c r="E5" s="32">
        <f>SUMIFS(T:T,A:A,B5,D:D,"Y")</f>
        <v>2947</v>
      </c>
      <c r="F5" s="11">
        <f>SUMIF(A:A,B5,G:G)</f>
        <v>5</v>
      </c>
      <c r="G5" s="11">
        <f>SUMIF(A:A,B5,H:H)</f>
        <v>2</v>
      </c>
      <c r="H5" s="11">
        <f>SUMIF(A:A,B5,I:I)</f>
        <v>1</v>
      </c>
      <c r="I5" s="11">
        <f>SUMIF(A:A,B5,P:P)</f>
        <v>2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4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2947</v>
      </c>
      <c r="F7" s="41">
        <f>IFERROR((G5+R5)/F5,0)</f>
        <v>0.4</v>
      </c>
      <c r="G7" s="41">
        <f>IFERROR(H5/G5,0)</f>
        <v>0.5</v>
      </c>
      <c r="H7" s="40">
        <f>(C5/C7)</f>
        <v>98.23333333</v>
      </c>
      <c r="I7" s="42"/>
      <c r="J7" s="41">
        <f>IFERROR(J5/I5,0)</f>
        <v>0.5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2527</v>
      </c>
      <c r="D8" s="48"/>
      <c r="E8" s="49">
        <f>SUMIFS(T:T,B:B,B8,D:D,"Y")</f>
        <v>2527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315.875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1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420</v>
      </c>
      <c r="D14" s="48"/>
      <c r="E14" s="49">
        <f>SUMIFS(T:T,B:B,B14,D:D,"Y")</f>
        <v>420</v>
      </c>
      <c r="F14" s="50">
        <f>SUMIF(B39:B1137,B14,G39:G1137)</f>
        <v>4</v>
      </c>
      <c r="G14" s="51">
        <f>SUMIF(B39:B1137,B14,H39:H1137)</f>
        <v>2</v>
      </c>
      <c r="H14" s="51">
        <f>SUMIF(B39:B1137,B14,I39:I1137)</f>
        <v>1</v>
      </c>
      <c r="I14" s="51">
        <f>SUMIF(B39:B1137,B14,P39:P1137)</f>
        <v>2</v>
      </c>
      <c r="J14" s="51">
        <f>SUMIF(B39:B1137,B14,Q39:Q1137)</f>
        <v>1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4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420</v>
      </c>
      <c r="F16" s="24">
        <f>IFERROR((G14+R14)/F14,0)</f>
        <v>0.5</v>
      </c>
      <c r="G16" s="24">
        <f>IFERROR(H14/G14,0)</f>
        <v>0.5</v>
      </c>
      <c r="H16" s="23">
        <f>(C14/C16)</f>
        <v>105</v>
      </c>
      <c r="I16" s="25"/>
      <c r="J16" s="24">
        <f>IFERROR(J14/I14,0)</f>
        <v>0.5</v>
      </c>
      <c r="K16" s="25"/>
      <c r="L16" s="24">
        <f>IFERROR(L14/K14,0)</f>
        <v>0</v>
      </c>
      <c r="M16" s="26">
        <f>IFERROR(M14/SUM(R14+G14,0),"")</f>
        <v>2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3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81">
        <v>2527.0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0.0</v>
      </c>
      <c r="H46" s="181">
        <v>0.0</v>
      </c>
      <c r="I46" s="181">
        <v>0.0</v>
      </c>
      <c r="J46" s="181">
        <v>0.0</v>
      </c>
      <c r="K46" s="181">
        <v>0.0</v>
      </c>
      <c r="L46" s="181">
        <v>0.0</v>
      </c>
      <c r="M46" s="181">
        <v>0.0</v>
      </c>
      <c r="N46" s="181">
        <v>0.0</v>
      </c>
      <c r="O46" s="181">
        <v>0.0</v>
      </c>
      <c r="P46" s="181">
        <v>0.0</v>
      </c>
      <c r="Q46" s="181">
        <v>0.0</v>
      </c>
      <c r="R46" s="181">
        <v>0.0</v>
      </c>
      <c r="S46" s="181">
        <v>0.0</v>
      </c>
      <c r="T46" s="181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1.0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0.0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4.0</v>
      </c>
      <c r="H54" s="181">
        <v>2.0</v>
      </c>
      <c r="I54" s="181">
        <v>1.0</v>
      </c>
      <c r="J54" s="181">
        <v>0.0</v>
      </c>
      <c r="K54" s="181">
        <v>0.0</v>
      </c>
      <c r="L54" s="181">
        <v>0.0</v>
      </c>
      <c r="M54" s="181">
        <v>4.0</v>
      </c>
      <c r="N54" s="181">
        <v>0.0</v>
      </c>
      <c r="O54" s="181">
        <v>0.0</v>
      </c>
      <c r="P54" s="181">
        <v>2.0</v>
      </c>
      <c r="Q54" s="181">
        <v>1.0</v>
      </c>
      <c r="R54" s="181">
        <v>0.0</v>
      </c>
      <c r="S54" s="181">
        <v>0.0</v>
      </c>
      <c r="T54" s="181">
        <v>420.0</v>
      </c>
      <c r="U54" s="104">
        <f t="shared" si="2"/>
        <v>0.5</v>
      </c>
      <c r="V54" s="104">
        <f t="shared" si="3"/>
        <v>0.5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81">
        <v>0.0</v>
      </c>
      <c r="H64" s="181">
        <v>0.0</v>
      </c>
      <c r="I64" s="181">
        <v>0.0</v>
      </c>
      <c r="J64" s="181">
        <v>0.0</v>
      </c>
      <c r="K64" s="181">
        <v>0.0</v>
      </c>
      <c r="L64" s="181">
        <v>0.0</v>
      </c>
      <c r="M64" s="181">
        <v>0.0</v>
      </c>
      <c r="N64" s="181">
        <v>0.0</v>
      </c>
      <c r="O64" s="181">
        <v>0.0</v>
      </c>
      <c r="P64" s="181">
        <v>0.0</v>
      </c>
      <c r="Q64" s="181">
        <v>0.0</v>
      </c>
      <c r="R64" s="181">
        <v>0.0</v>
      </c>
      <c r="S64" s="181">
        <v>0.0</v>
      </c>
      <c r="T64" s="181">
        <v>0.0</v>
      </c>
      <c r="U64" s="183">
        <v>0.0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ref="U65:U66" si="4">IFERROR(I65/H65,0)</f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4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5">IFERROR(I68/H68,0)</f>
        <v>0</v>
      </c>
      <c r="V68" s="104">
        <f t="shared" ref="V68:V73" si="6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0.0</v>
      </c>
      <c r="H69" s="181">
        <v>0.0</v>
      </c>
      <c r="I69" s="181">
        <v>0.0</v>
      </c>
      <c r="J69" s="181">
        <v>0.0</v>
      </c>
      <c r="K69" s="181">
        <v>0.0</v>
      </c>
      <c r="L69" s="181">
        <v>0.0</v>
      </c>
      <c r="M69" s="181">
        <v>0.0</v>
      </c>
      <c r="N69" s="181">
        <v>0.0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03"/>
      <c r="U69" s="144">
        <f t="shared" si="5"/>
        <v>0</v>
      </c>
      <c r="V69" s="144">
        <f t="shared" si="6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03"/>
      <c r="U70" s="144">
        <f t="shared" si="5"/>
        <v>0</v>
      </c>
      <c r="V70" s="144">
        <f t="shared" si="6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5"/>
        <v>0</v>
      </c>
      <c r="V71" s="144">
        <f t="shared" si="6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44">
        <f t="shared" si="5"/>
        <v>0</v>
      </c>
      <c r="V72" s="144">
        <f t="shared" si="6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4">
        <f t="shared" si="5"/>
        <v>0</v>
      </c>
      <c r="V73" s="144">
        <f t="shared" si="6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7">IFERROR(I75/H75,0)</f>
        <v>0</v>
      </c>
      <c r="V75" s="104">
        <f t="shared" ref="V75:V83" si="8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7"/>
        <v>0</v>
      </c>
      <c r="V79" s="104">
        <f t="shared" si="8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7"/>
        <v>0</v>
      </c>
      <c r="V80" s="104">
        <f t="shared" si="8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7"/>
        <v>0</v>
      </c>
      <c r="V81" s="104">
        <f t="shared" si="8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7"/>
        <v>0</v>
      </c>
      <c r="V82" s="104">
        <f t="shared" si="8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7"/>
        <v>0</v>
      </c>
      <c r="V83" s="104">
        <f t="shared" si="8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9">IFERROR(I85/H85,0)</f>
        <v>0</v>
      </c>
      <c r="V85" s="104">
        <f t="shared" ref="V85:V91" si="10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9"/>
        <v>0</v>
      </c>
      <c r="V86" s="104">
        <f t="shared" si="10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0.0</v>
      </c>
      <c r="I87" s="181">
        <v>0.0</v>
      </c>
      <c r="J87" s="181">
        <v>0.0</v>
      </c>
      <c r="K87" s="181">
        <v>0.0</v>
      </c>
      <c r="L87" s="181">
        <v>0.0</v>
      </c>
      <c r="M87" s="181">
        <v>0.0</v>
      </c>
      <c r="N87" s="181">
        <v>0.0</v>
      </c>
      <c r="O87" s="181">
        <v>0.0</v>
      </c>
      <c r="P87" s="181">
        <v>0.0</v>
      </c>
      <c r="Q87" s="181">
        <v>0.0</v>
      </c>
      <c r="R87" s="181">
        <v>0.0</v>
      </c>
      <c r="S87" s="181">
        <v>0.0</v>
      </c>
      <c r="T87" s="181">
        <v>0.0</v>
      </c>
      <c r="U87" s="104">
        <f t="shared" si="9"/>
        <v>0</v>
      </c>
      <c r="V87" s="104">
        <f t="shared" si="10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9"/>
        <v>0</v>
      </c>
      <c r="V88" s="104">
        <f t="shared" si="10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0.0</v>
      </c>
      <c r="H89" s="181">
        <v>0.0</v>
      </c>
      <c r="I89" s="181">
        <v>0.0</v>
      </c>
      <c r="J89" s="181">
        <v>0.0</v>
      </c>
      <c r="K89" s="181">
        <v>0.0</v>
      </c>
      <c r="L89" s="181">
        <v>0.0</v>
      </c>
      <c r="M89" s="181">
        <v>0.0</v>
      </c>
      <c r="N89" s="181">
        <v>0.0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9"/>
        <v>0</v>
      </c>
      <c r="V89" s="104">
        <f t="shared" si="10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9"/>
        <v>0</v>
      </c>
      <c r="V90" s="104">
        <f t="shared" si="10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9"/>
        <v>0</v>
      </c>
      <c r="V91" s="104">
        <f t="shared" si="10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1">IFERROR(I93/H93,0)</f>
        <v>0</v>
      </c>
      <c r="V93" s="104">
        <f t="shared" ref="V93:V109" si="12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1"/>
        <v>0</v>
      </c>
      <c r="V108" s="104">
        <f t="shared" si="12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1"/>
        <v>0</v>
      </c>
      <c r="V109" s="104">
        <f t="shared" si="12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3">IFERROR(I111/H111,0)</f>
        <v>0</v>
      </c>
      <c r="V111" s="144">
        <f t="shared" ref="V111:V112" si="14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3"/>
        <v>0</v>
      </c>
      <c r="V112" s="144">
        <f t="shared" si="14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6242</v>
      </c>
      <c r="D2" s="10"/>
      <c r="E2" s="11">
        <f t="shared" ref="E2:R2" si="1">SUM(E5,E20,E23,E26,E29,E32)</f>
        <v>4026</v>
      </c>
      <c r="F2" s="11">
        <f t="shared" si="1"/>
        <v>11</v>
      </c>
      <c r="G2" s="11">
        <f t="shared" si="1"/>
        <v>8</v>
      </c>
      <c r="H2" s="11">
        <f t="shared" si="1"/>
        <v>3</v>
      </c>
      <c r="I2" s="11">
        <f t="shared" si="1"/>
        <v>2</v>
      </c>
      <c r="J2" s="11">
        <f t="shared" si="1"/>
        <v>2</v>
      </c>
      <c r="K2" s="11">
        <f t="shared" si="1"/>
        <v>1</v>
      </c>
      <c r="L2" s="11">
        <f t="shared" si="1"/>
        <v>0</v>
      </c>
      <c r="M2" s="11">
        <f t="shared" si="1"/>
        <v>30</v>
      </c>
      <c r="N2" s="11">
        <f t="shared" si="1"/>
        <v>7</v>
      </c>
      <c r="O2" s="11">
        <f t="shared" si="1"/>
        <v>1</v>
      </c>
      <c r="P2" s="11">
        <f t="shared" si="1"/>
        <v>3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2080.666667</v>
      </c>
      <c r="F4" s="24">
        <f>IFERROR((G2+R2)/F2,0)</f>
        <v>0.9090909091</v>
      </c>
      <c r="G4" s="24">
        <f>IFERROR(H2/G2,0)</f>
        <v>0.375</v>
      </c>
      <c r="H4" s="23">
        <f>(C2/C4)</f>
        <v>87.91549296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3.75</v>
      </c>
      <c r="N4" s="25"/>
      <c r="O4" s="24">
        <f>IFERROR(O2/N2,0)</f>
        <v>0.1428571429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6242</v>
      </c>
      <c r="D5" s="31"/>
      <c r="E5" s="32">
        <f>SUMIFS(T:T,A:A,B5,D:D,"Y")</f>
        <v>4026</v>
      </c>
      <c r="F5" s="11">
        <f>SUMIF(A:A,B5,G:G)</f>
        <v>5</v>
      </c>
      <c r="G5" s="11">
        <f>SUMIF(A:A,B5,H:H)</f>
        <v>5</v>
      </c>
      <c r="H5" s="11">
        <f>SUMIF(A:A,B5,I:I)</f>
        <v>3</v>
      </c>
      <c r="I5" s="11">
        <f>SUMIF(A:A,B5,P:P)</f>
        <v>2</v>
      </c>
      <c r="J5" s="11">
        <f>SUMIF(A:A,B5,Q:Q)</f>
        <v>2</v>
      </c>
      <c r="K5" s="11">
        <f>SUMIF(A:A,B5,R:R)</f>
        <v>0</v>
      </c>
      <c r="L5" s="11">
        <f>SUMIF(A:A,B5,S:S)</f>
        <v>0</v>
      </c>
      <c r="M5" s="11">
        <f>SUMIF(A:A,B5,M:M)</f>
        <v>5</v>
      </c>
      <c r="N5" s="11">
        <f>SUMIF(A:A,B5,N:N)</f>
        <v>3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2080.666667</v>
      </c>
      <c r="F7" s="41">
        <f>IFERROR((G5+R5)/F5,0)</f>
        <v>1</v>
      </c>
      <c r="G7" s="41">
        <f>IFERROR(H5/G5,0)</f>
        <v>0.6</v>
      </c>
      <c r="H7" s="40">
        <f>(C5/C7)</f>
        <v>208.0666667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</v>
      </c>
      <c r="N7" s="42"/>
      <c r="O7" s="41">
        <f>IFERROR(O5/N5,0)</f>
        <v>0.3333333333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2216</v>
      </c>
      <c r="D11" s="48"/>
      <c r="E11" s="49">
        <f>SUMIFS(T:T,B:B,B11,D:D,"Y")</f>
        <v>0</v>
      </c>
      <c r="F11" s="50">
        <f>SUMIF(B38:B1137,B11,G38:G1137)</f>
        <v>1</v>
      </c>
      <c r="G11" s="51">
        <f>SUMIF(B38:B1137,B11,H38:H1137)</f>
        <v>1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3</v>
      </c>
      <c r="N11" s="51">
        <f>SUMIF(B38:B1137,B11,N38:N1137)</f>
        <v>1</v>
      </c>
      <c r="O11" s="51">
        <f>SUMIF(B38:B1137,B11,O38:O1137)</f>
        <v>1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2216</v>
      </c>
      <c r="F13" s="24">
        <f>IFERROR((G11+R11)/F11,0)</f>
        <v>1</v>
      </c>
      <c r="G13" s="24">
        <f>IFERROR(H11/G11,0)</f>
        <v>1</v>
      </c>
      <c r="H13" s="23">
        <f>(C11/C13)</f>
        <v>277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3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4026</v>
      </c>
      <c r="D14" s="48"/>
      <c r="E14" s="49">
        <f>SUMIFS(T:T,B:B,B14,D:D,"Y")</f>
        <v>4026</v>
      </c>
      <c r="F14" s="50">
        <f>SUMIF(B39:B1137,B14,G39:G1137)</f>
        <v>4</v>
      </c>
      <c r="G14" s="51">
        <f>SUMIF(B39:B1137,B14,H39:H1137)</f>
        <v>4</v>
      </c>
      <c r="H14" s="51">
        <f>SUMIF(B39:B1137,B14,I39:I1137)</f>
        <v>2</v>
      </c>
      <c r="I14" s="51">
        <f>SUMIF(B39:B1137,B14,P39:P1137)</f>
        <v>2</v>
      </c>
      <c r="J14" s="51">
        <f>SUMIF(B39:B1137,B14,Q39:Q1137)</f>
        <v>2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2</v>
      </c>
      <c r="N14" s="51">
        <f>SUMIF(B39:B1137,B14,N39:N1137)</f>
        <v>2</v>
      </c>
      <c r="O14" s="51">
        <f>SUMIF(B39:B1137,B14,O39:O1137)</f>
        <v>0</v>
      </c>
      <c r="P14" s="51">
        <f>SUMIF(B39:B1137,B14,J39:J1137)</f>
        <v>1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2013</v>
      </c>
      <c r="F16" s="24">
        <f>IFERROR((G14+R14)/F14,0)</f>
        <v>1</v>
      </c>
      <c r="G16" s="24">
        <f>IFERROR(H14/G14,0)</f>
        <v>0.5</v>
      </c>
      <c r="H16" s="23">
        <f>(C14/C16)</f>
        <v>1006.5</v>
      </c>
      <c r="I16" s="25"/>
      <c r="J16" s="24">
        <f>IFERROR(J14/I14,0)</f>
        <v>1</v>
      </c>
      <c r="K16" s="25"/>
      <c r="L16" s="24">
        <f>IFERROR(L14/K14,0)</f>
        <v>0</v>
      </c>
      <c r="M16" s="26">
        <f>IFERROR(M14/SUM(R14+G14,0),"")</f>
        <v>0.5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4</v>
      </c>
      <c r="G20" s="11">
        <f>SUMIF(A:A,B20,H:H)</f>
        <v>2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24</v>
      </c>
      <c r="N20" s="11">
        <f>SUMIF(A:A,B20,N:N)</f>
        <v>3</v>
      </c>
      <c r="O20" s="11">
        <f>SUMIF(A:A,B20,O:O)</f>
        <v>0</v>
      </c>
      <c r="P20" s="11">
        <f>SUMIF(A:A,B20,J:J)</f>
        <v>2</v>
      </c>
      <c r="Q20" s="11">
        <f>SUMIF(A:A,B20,K:K)</f>
        <v>0</v>
      </c>
      <c r="R20" s="33">
        <f>SUMIF(A:A,B20,L:L)</f>
        <v>2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6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2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1</v>
      </c>
      <c r="N26" s="11">
        <f>SUMIF(A:A,B26,N:N)</f>
        <v>1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0.5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1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3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0.0</v>
      </c>
      <c r="H46" s="181">
        <v>0.0</v>
      </c>
      <c r="I46" s="181">
        <v>0.0</v>
      </c>
      <c r="J46" s="181">
        <v>0.0</v>
      </c>
      <c r="K46" s="181">
        <v>0.0</v>
      </c>
      <c r="L46" s="181">
        <v>0.0</v>
      </c>
      <c r="M46" s="181">
        <v>0.0</v>
      </c>
      <c r="N46" s="181">
        <v>0.0</v>
      </c>
      <c r="O46" s="181">
        <v>0.0</v>
      </c>
      <c r="P46" s="181">
        <v>0.0</v>
      </c>
      <c r="Q46" s="181">
        <v>0.0</v>
      </c>
      <c r="R46" s="181">
        <v>0.0</v>
      </c>
      <c r="S46" s="181">
        <v>0.0</v>
      </c>
      <c r="T46" s="181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1.0</v>
      </c>
      <c r="H47" s="181">
        <v>1.0</v>
      </c>
      <c r="I47" s="181">
        <v>1.0</v>
      </c>
      <c r="J47" s="181">
        <v>0.0</v>
      </c>
      <c r="K47" s="181">
        <v>0.0</v>
      </c>
      <c r="L47" s="181">
        <v>0.0</v>
      </c>
      <c r="M47" s="181">
        <v>3.0</v>
      </c>
      <c r="N47" s="181">
        <v>1.0</v>
      </c>
      <c r="O47" s="181">
        <v>1.0</v>
      </c>
      <c r="P47" s="181">
        <v>0.0</v>
      </c>
      <c r="Q47" s="181">
        <v>0.0</v>
      </c>
      <c r="R47" s="181">
        <v>0.0</v>
      </c>
      <c r="S47" s="181">
        <v>0.0</v>
      </c>
      <c r="T47" s="181">
        <v>2216.0</v>
      </c>
      <c r="U47" s="104">
        <f t="shared" si="2"/>
        <v>1</v>
      </c>
      <c r="V47" s="104">
        <f t="shared" si="3"/>
        <v>1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0.0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3.0</v>
      </c>
      <c r="H54" s="181">
        <v>3.0</v>
      </c>
      <c r="I54" s="181">
        <v>2.0</v>
      </c>
      <c r="J54" s="181">
        <v>0.0</v>
      </c>
      <c r="K54" s="181">
        <v>0.0</v>
      </c>
      <c r="L54" s="181">
        <v>0.0</v>
      </c>
      <c r="M54" s="181">
        <v>0.0</v>
      </c>
      <c r="N54" s="181">
        <v>1.0</v>
      </c>
      <c r="O54" s="181">
        <v>0.0</v>
      </c>
      <c r="P54" s="181">
        <v>2.0</v>
      </c>
      <c r="Q54" s="181">
        <v>2.0</v>
      </c>
      <c r="R54" s="181">
        <v>0.0</v>
      </c>
      <c r="S54" s="181">
        <v>0.0</v>
      </c>
      <c r="T54" s="181">
        <v>4026.0</v>
      </c>
      <c r="U54" s="104">
        <f t="shared" si="2"/>
        <v>0.6666666667</v>
      </c>
      <c r="V54" s="104">
        <f t="shared" si="3"/>
        <v>1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81">
        <v>1.0</v>
      </c>
      <c r="H56" s="181">
        <v>1.0</v>
      </c>
      <c r="I56" s="181">
        <v>0.0</v>
      </c>
      <c r="J56" s="181">
        <v>1.0</v>
      </c>
      <c r="K56" s="181">
        <v>0.0</v>
      </c>
      <c r="L56" s="181">
        <v>0.0</v>
      </c>
      <c r="M56" s="181">
        <v>2.0</v>
      </c>
      <c r="N56" s="181">
        <v>1.0</v>
      </c>
      <c r="O56" s="181">
        <v>0.0</v>
      </c>
      <c r="P56" s="181">
        <v>0.0</v>
      </c>
      <c r="Q56" s="181">
        <v>0.0</v>
      </c>
      <c r="R56" s="181">
        <v>0.0</v>
      </c>
      <c r="S56" s="181">
        <v>0.0</v>
      </c>
      <c r="T56" s="181">
        <v>0.0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81">
        <v>0.0</v>
      </c>
      <c r="H64" s="181">
        <v>0.0</v>
      </c>
      <c r="I64" s="181">
        <v>0.0</v>
      </c>
      <c r="J64" s="181">
        <v>0.0</v>
      </c>
      <c r="K64" s="181">
        <v>0.0</v>
      </c>
      <c r="L64" s="181">
        <v>0.0</v>
      </c>
      <c r="M64" s="181">
        <v>0.0</v>
      </c>
      <c r="N64" s="181">
        <v>0.0</v>
      </c>
      <c r="O64" s="181">
        <v>0.0</v>
      </c>
      <c r="P64" s="181">
        <v>0.0</v>
      </c>
      <c r="Q64" s="181">
        <v>0.0</v>
      </c>
      <c r="R64" s="181">
        <v>0.0</v>
      </c>
      <c r="S64" s="181">
        <v>0.0</v>
      </c>
      <c r="T64" s="181">
        <v>0.0</v>
      </c>
      <c r="U64" s="183">
        <v>0.0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ref="U65:U66" si="4">IFERROR(I65/H65,0)</f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4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5">IFERROR(I68/H68,0)</f>
        <v>0</v>
      </c>
      <c r="V68" s="104">
        <f t="shared" ref="V68:V73" si="6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2.0</v>
      </c>
      <c r="H69" s="181">
        <v>0.0</v>
      </c>
      <c r="I69" s="181">
        <v>0.0</v>
      </c>
      <c r="J69" s="181">
        <v>0.0</v>
      </c>
      <c r="K69" s="181">
        <v>0.0</v>
      </c>
      <c r="L69" s="181">
        <v>1.0</v>
      </c>
      <c r="M69" s="181">
        <v>8.0</v>
      </c>
      <c r="N69" s="181">
        <v>2.0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03"/>
      <c r="U69" s="144">
        <f t="shared" si="5"/>
        <v>0</v>
      </c>
      <c r="V69" s="144">
        <f t="shared" si="6"/>
        <v>0.5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03"/>
      <c r="U70" s="144">
        <f t="shared" si="5"/>
        <v>0</v>
      </c>
      <c r="V70" s="144">
        <f t="shared" si="6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2.0</v>
      </c>
      <c r="H71" s="181">
        <v>2.0</v>
      </c>
      <c r="I71" s="181">
        <v>0.0</v>
      </c>
      <c r="J71" s="181">
        <v>2.0</v>
      </c>
      <c r="K71" s="181">
        <v>0.0</v>
      </c>
      <c r="L71" s="181">
        <v>1.0</v>
      </c>
      <c r="M71" s="181">
        <v>16.0</v>
      </c>
      <c r="N71" s="181">
        <v>1.0</v>
      </c>
      <c r="O71" s="181">
        <v>0.0</v>
      </c>
      <c r="P71" s="181">
        <v>0.0</v>
      </c>
      <c r="Q71" s="181">
        <v>0.0</v>
      </c>
      <c r="R71" s="181">
        <v>1.0</v>
      </c>
      <c r="S71" s="181">
        <v>0.0</v>
      </c>
      <c r="T71" s="181">
        <v>0.0</v>
      </c>
      <c r="U71" s="144">
        <f t="shared" si="5"/>
        <v>0</v>
      </c>
      <c r="V71" s="144">
        <f t="shared" si="6"/>
        <v>1.5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03"/>
      <c r="U72" s="144">
        <f t="shared" si="5"/>
        <v>0</v>
      </c>
      <c r="V72" s="144">
        <f t="shared" si="6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4">
        <f t="shared" si="5"/>
        <v>0</v>
      </c>
      <c r="V73" s="144">
        <f t="shared" si="6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7">IFERROR(I75/H75,0)</f>
        <v>0</v>
      </c>
      <c r="V75" s="104">
        <f t="shared" ref="V75:V83" si="8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7"/>
        <v>0</v>
      </c>
      <c r="V79" s="104">
        <f t="shared" si="8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7"/>
        <v>0</v>
      </c>
      <c r="V80" s="104">
        <f t="shared" si="8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7"/>
        <v>0</v>
      </c>
      <c r="V81" s="104">
        <f t="shared" si="8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7"/>
        <v>0</v>
      </c>
      <c r="V82" s="104">
        <f t="shared" si="8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7"/>
        <v>0</v>
      </c>
      <c r="V83" s="104">
        <f t="shared" si="8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9">IFERROR(I85/H85,0)</f>
        <v>0</v>
      </c>
      <c r="V85" s="104">
        <f t="shared" ref="V85:V91" si="10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9"/>
        <v>0</v>
      </c>
      <c r="V86" s="104">
        <f t="shared" si="10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0.0</v>
      </c>
      <c r="I87" s="181">
        <v>0.0</v>
      </c>
      <c r="J87" s="181">
        <v>0.0</v>
      </c>
      <c r="K87" s="181">
        <v>0.0</v>
      </c>
      <c r="L87" s="181">
        <v>0.0</v>
      </c>
      <c r="M87" s="181">
        <v>0.0</v>
      </c>
      <c r="N87" s="181">
        <v>0.0</v>
      </c>
      <c r="O87" s="181">
        <v>0.0</v>
      </c>
      <c r="P87" s="181">
        <v>0.0</v>
      </c>
      <c r="Q87" s="181">
        <v>0.0</v>
      </c>
      <c r="R87" s="181">
        <v>0.0</v>
      </c>
      <c r="S87" s="181">
        <v>0.0</v>
      </c>
      <c r="T87" s="181">
        <v>0.0</v>
      </c>
      <c r="U87" s="104">
        <f t="shared" si="9"/>
        <v>0</v>
      </c>
      <c r="V87" s="104">
        <f t="shared" si="10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9"/>
        <v>0</v>
      </c>
      <c r="V88" s="104">
        <f t="shared" si="10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2.0</v>
      </c>
      <c r="H89" s="181">
        <v>1.0</v>
      </c>
      <c r="I89" s="181">
        <v>0.0</v>
      </c>
      <c r="J89" s="181">
        <v>0.0</v>
      </c>
      <c r="K89" s="181">
        <v>0.0</v>
      </c>
      <c r="L89" s="181">
        <v>0.0</v>
      </c>
      <c r="M89" s="181">
        <v>1.0</v>
      </c>
      <c r="N89" s="181">
        <v>1.0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9"/>
        <v>0</v>
      </c>
      <c r="V89" s="104">
        <f t="shared" si="10"/>
        <v>0.5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9"/>
        <v>0</v>
      </c>
      <c r="V90" s="104">
        <f t="shared" si="10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9"/>
        <v>0</v>
      </c>
      <c r="V91" s="104">
        <f t="shared" si="10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1">IFERROR(I93/H93,0)</f>
        <v>0</v>
      </c>
      <c r="V93" s="104">
        <f t="shared" ref="V93:V109" si="12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1"/>
        <v>0</v>
      </c>
      <c r="V108" s="104">
        <f t="shared" si="12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1"/>
        <v>0</v>
      </c>
      <c r="V109" s="104">
        <f t="shared" si="12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3">IFERROR(I111/H111,0)</f>
        <v>0</v>
      </c>
      <c r="V111" s="144">
        <f t="shared" ref="V111:V112" si="14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3"/>
        <v>0</v>
      </c>
      <c r="V112" s="144">
        <f t="shared" si="14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1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7</v>
      </c>
      <c r="N2" s="11">
        <f t="shared" si="1"/>
        <v>1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7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7</v>
      </c>
      <c r="N26" s="11">
        <f>SUMIF(A:A,B26,N:N)</f>
        <v>1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7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0.0</v>
      </c>
      <c r="H46" s="181">
        <v>0.0</v>
      </c>
      <c r="I46" s="181">
        <v>0.0</v>
      </c>
      <c r="J46" s="181">
        <v>0.0</v>
      </c>
      <c r="K46" s="181">
        <v>0.0</v>
      </c>
      <c r="L46" s="181">
        <v>0.0</v>
      </c>
      <c r="M46" s="181">
        <v>0.0</v>
      </c>
      <c r="N46" s="181">
        <v>0.0</v>
      </c>
      <c r="O46" s="181">
        <v>0.0</v>
      </c>
      <c r="P46" s="181">
        <v>0.0</v>
      </c>
      <c r="Q46" s="181">
        <v>0.0</v>
      </c>
      <c r="R46" s="181">
        <v>0.0</v>
      </c>
      <c r="S46" s="181">
        <v>0.0</v>
      </c>
      <c r="T46" s="181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0.0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0.0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81">
        <v>0.0</v>
      </c>
      <c r="H64" s="181">
        <v>0.0</v>
      </c>
      <c r="I64" s="181">
        <v>0.0</v>
      </c>
      <c r="J64" s="181">
        <v>0.0</v>
      </c>
      <c r="K64" s="181">
        <v>0.0</v>
      </c>
      <c r="L64" s="181">
        <v>0.0</v>
      </c>
      <c r="M64" s="181">
        <v>0.0</v>
      </c>
      <c r="N64" s="181">
        <v>0.0</v>
      </c>
      <c r="O64" s="181">
        <v>0.0</v>
      </c>
      <c r="P64" s="181">
        <v>0.0</v>
      </c>
      <c r="Q64" s="181">
        <v>0.0</v>
      </c>
      <c r="R64" s="181">
        <v>0.0</v>
      </c>
      <c r="S64" s="181">
        <v>0.0</v>
      </c>
      <c r="T64" s="181">
        <v>0.0</v>
      </c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0.0</v>
      </c>
      <c r="H69" s="181">
        <v>0.0</v>
      </c>
      <c r="I69" s="181">
        <v>0.0</v>
      </c>
      <c r="J69" s="181">
        <v>0.0</v>
      </c>
      <c r="K69" s="181">
        <v>0.0</v>
      </c>
      <c r="L69" s="181">
        <v>0.0</v>
      </c>
      <c r="M69" s="181">
        <v>0.0</v>
      </c>
      <c r="N69" s="181">
        <v>0.0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03"/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03"/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4">
        <f t="shared" si="4"/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1.0</v>
      </c>
      <c r="I87" s="181">
        <v>0.0</v>
      </c>
      <c r="J87" s="181">
        <v>1.0</v>
      </c>
      <c r="K87" s="181">
        <v>0.0</v>
      </c>
      <c r="L87" s="181">
        <v>0.0</v>
      </c>
      <c r="M87" s="181">
        <v>7.0</v>
      </c>
      <c r="N87" s="181">
        <v>1.0</v>
      </c>
      <c r="O87" s="181">
        <v>0.0</v>
      </c>
      <c r="P87" s="181">
        <v>0.0</v>
      </c>
      <c r="Q87" s="181">
        <v>0.0</v>
      </c>
      <c r="R87" s="181">
        <v>1.0</v>
      </c>
      <c r="S87" s="181">
        <v>0.0</v>
      </c>
      <c r="T87" s="181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0.0</v>
      </c>
      <c r="H89" s="181">
        <v>0.0</v>
      </c>
      <c r="I89" s="181">
        <v>0.0</v>
      </c>
      <c r="J89" s="181">
        <v>0.0</v>
      </c>
      <c r="K89" s="181">
        <v>0.0</v>
      </c>
      <c r="L89" s="181">
        <v>0.0</v>
      </c>
      <c r="M89" s="181">
        <v>0.0</v>
      </c>
      <c r="N89" s="181">
        <v>0.0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16920</v>
      </c>
      <c r="D2" s="10"/>
      <c r="E2" s="11">
        <f t="shared" ref="E2:R2" si="1">SUM(E5,E20,E23,E26,E29,E32)</f>
        <v>11897</v>
      </c>
      <c r="F2" s="11">
        <f t="shared" si="1"/>
        <v>10</v>
      </c>
      <c r="G2" s="11">
        <f t="shared" si="1"/>
        <v>7</v>
      </c>
      <c r="H2" s="11">
        <f t="shared" si="1"/>
        <v>5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12</v>
      </c>
      <c r="N2" s="11">
        <f t="shared" si="1"/>
        <v>7</v>
      </c>
      <c r="O2" s="11">
        <f t="shared" si="1"/>
        <v>5</v>
      </c>
      <c r="P2" s="11">
        <f t="shared" si="1"/>
        <v>7</v>
      </c>
      <c r="Q2" s="11">
        <f t="shared" si="1"/>
        <v>5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3384</v>
      </c>
      <c r="F4" s="24">
        <f>IFERROR((G2+R2)/F2,0)</f>
        <v>0.7</v>
      </c>
      <c r="G4" s="24">
        <f>IFERROR(H2/G2,0)</f>
        <v>0.7142857143</v>
      </c>
      <c r="H4" s="23">
        <f>(C2/C4)</f>
        <v>238.3098592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1.714285714</v>
      </c>
      <c r="N4" s="25"/>
      <c r="O4" s="24">
        <f>IFERROR(O2/N2,0)</f>
        <v>0.7142857143</v>
      </c>
      <c r="P4" s="26"/>
      <c r="Q4" s="24">
        <f>IFERROR(Q2/P2,0)</f>
        <v>0.7142857143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6488</v>
      </c>
      <c r="D5" s="31"/>
      <c r="E5" s="32">
        <f>SUMIFS(T:T,A:A,B5,D:D,"Y")</f>
        <v>6488</v>
      </c>
      <c r="F5" s="11">
        <f>SUMIF(A:A,B5,G:G)</f>
        <v>6</v>
      </c>
      <c r="G5" s="11">
        <f>SUMIF(A:A,B5,H:H)</f>
        <v>2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2</v>
      </c>
      <c r="O5" s="11">
        <f>SUMIF(A:A,B5,O:O)</f>
        <v>1</v>
      </c>
      <c r="P5" s="11">
        <f>SUMIF(A:A,B5,J:J)</f>
        <v>2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6488</v>
      </c>
      <c r="F7" s="41">
        <f>IFERROR((G5+R5)/F5,0)</f>
        <v>0.3333333333</v>
      </c>
      <c r="G7" s="41">
        <f>IFERROR(H5/G5,0)</f>
        <v>0.5</v>
      </c>
      <c r="H7" s="40">
        <f>(C5/C7)</f>
        <v>216.2666667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0.5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3756</v>
      </c>
      <c r="D8" s="48"/>
      <c r="E8" s="49">
        <f>SUMIFS(T:T,B:B,B8,D:D,"Y")</f>
        <v>3756</v>
      </c>
      <c r="F8" s="50">
        <f>SUMIF(B38:B1137,B8,G38:G1137)</f>
        <v>1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469.5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1269</v>
      </c>
      <c r="D11" s="48"/>
      <c r="E11" s="49">
        <f>SUMIFS(T:T,B:B,B11,D:D,"Y")</f>
        <v>1269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158.625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1463</v>
      </c>
      <c r="D14" s="48"/>
      <c r="E14" s="49">
        <f>SUMIFS(T:T,B:B,B14,D:D,"Y")</f>
        <v>1463</v>
      </c>
      <c r="F14" s="50">
        <f>SUMIF(B39:B1137,B14,G39:G1137)</f>
        <v>5</v>
      </c>
      <c r="G14" s="51">
        <f>SUMIF(B39:B1137,B14,H39:H1137)</f>
        <v>2</v>
      </c>
      <c r="H14" s="51">
        <f>SUMIF(B39:B1137,B14,I39:I1137)</f>
        <v>1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2</v>
      </c>
      <c r="O14" s="51">
        <f>SUMIF(B39:B1137,B14,O39:O1137)</f>
        <v>1</v>
      </c>
      <c r="P14" s="51">
        <f>SUMIF(B39:B1137,B14,J39:J1137)</f>
        <v>2</v>
      </c>
      <c r="Q14" s="51">
        <f>SUMIF(B39:B1137,B14,K39:K1137)</f>
        <v>1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1463</v>
      </c>
      <c r="F16" s="24">
        <f>IFERROR((G14+R14)/F14,0)</f>
        <v>0.4</v>
      </c>
      <c r="G16" s="24">
        <f>IFERROR(H14/G14,0)</f>
        <v>0.5</v>
      </c>
      <c r="H16" s="23">
        <f>(C14/C16)</f>
        <v>365.75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0</v>
      </c>
      <c r="N16" s="25"/>
      <c r="O16" s="24">
        <f>IFERROR(O14/N14,0)</f>
        <v>0.5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3432</v>
      </c>
      <c r="D20" s="31"/>
      <c r="E20" s="64">
        <f>SUMIFS(T:T,A:A,B20,D:D,"Y")</f>
        <v>3432</v>
      </c>
      <c r="F20" s="9">
        <f>SUMIF(A:A,B20,G:G)</f>
        <v>3</v>
      </c>
      <c r="G20" s="11">
        <f>SUMIF(A:A,B20,H:H)</f>
        <v>3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1</v>
      </c>
      <c r="N20" s="11">
        <f>SUMIF(A:A,B20,N:N)</f>
        <v>3</v>
      </c>
      <c r="O20" s="11">
        <f>SUMIF(A:A,B20,O:O)</f>
        <v>2</v>
      </c>
      <c r="P20" s="11">
        <f>SUMIF(A:A,B20,J:J)</f>
        <v>3</v>
      </c>
      <c r="Q20" s="11">
        <f>SUMIF(A:A,B20,K:K)</f>
        <v>2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1716</v>
      </c>
      <c r="F22" s="24">
        <f>IFERROR((G20+R20)/F20,0)</f>
        <v>1</v>
      </c>
      <c r="G22" s="24">
        <f>IFERROR(H20/G20,0)</f>
        <v>0.6666666667</v>
      </c>
      <c r="H22" s="23">
        <f>(C20/C22)</f>
        <v>572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0.3333333333</v>
      </c>
      <c r="N22" s="25"/>
      <c r="O22" s="24">
        <f>IFERROR(O20/N20,0)</f>
        <v>0.6666666667</v>
      </c>
      <c r="P22" s="26"/>
      <c r="Q22" s="24">
        <f>IFERROR(Q20/P20,0)</f>
        <v>0.6666666667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5023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5023</v>
      </c>
      <c r="F25" s="24">
        <f>IFERROR((G23+R23)/F23,0)</f>
        <v>1</v>
      </c>
      <c r="G25" s="24">
        <f>IFERROR(H23/G23,0)</f>
        <v>1</v>
      </c>
      <c r="H25" s="23">
        <f>(C23/C25)</f>
        <v>558.1111111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1977</v>
      </c>
      <c r="D26" s="31"/>
      <c r="E26" s="64">
        <f>SUMIFS(T:T,A:A,B26,D:D,"Y")</f>
        <v>1977</v>
      </c>
      <c r="F26" s="9">
        <f>SUMIF(A:A,B26,G:G)</f>
        <v>0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11</v>
      </c>
      <c r="N26" s="11">
        <f>SUMIF(A:A,B26,N:N)</f>
        <v>1</v>
      </c>
      <c r="O26" s="11">
        <f>SUMIF(A:A,B26,O:O)</f>
        <v>1</v>
      </c>
      <c r="P26" s="11">
        <f>SUMIF(A:A,B26,J:J)</f>
        <v>1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1977</v>
      </c>
      <c r="F28" s="24">
        <f>IFERROR((G26+R26)/F26,0)</f>
        <v>0</v>
      </c>
      <c r="G28" s="24">
        <f>IFERROR(H26/G26,0)</f>
        <v>1</v>
      </c>
      <c r="H28" s="23">
        <f>(C26/C28)</f>
        <v>282.4285714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11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81">
        <v>3756.0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81">
        <v>0.0</v>
      </c>
      <c r="H39" s="181">
        <v>0.0</v>
      </c>
      <c r="I39" s="181">
        <v>0.0</v>
      </c>
      <c r="J39" s="181">
        <v>0.0</v>
      </c>
      <c r="K39" s="181">
        <v>0.0</v>
      </c>
      <c r="L39" s="181">
        <v>0.0</v>
      </c>
      <c r="M39" s="181">
        <v>0.0</v>
      </c>
      <c r="N39" s="181">
        <v>0.0</v>
      </c>
      <c r="O39" s="181">
        <v>0.0</v>
      </c>
      <c r="P39" s="181">
        <v>0.0</v>
      </c>
      <c r="Q39" s="181">
        <v>0.0</v>
      </c>
      <c r="R39" s="181">
        <v>0.0</v>
      </c>
      <c r="S39" s="181">
        <v>0.0</v>
      </c>
      <c r="T39" s="181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81">
        <v>1.0</v>
      </c>
      <c r="H40" s="181">
        <v>0.0</v>
      </c>
      <c r="I40" s="181">
        <v>0.0</v>
      </c>
      <c r="J40" s="181">
        <v>0.0</v>
      </c>
      <c r="K40" s="181">
        <v>0.0</v>
      </c>
      <c r="L40" s="181">
        <v>0.0</v>
      </c>
      <c r="M40" s="181">
        <v>0.0</v>
      </c>
      <c r="N40" s="181">
        <v>0.0</v>
      </c>
      <c r="O40" s="181">
        <v>0.0</v>
      </c>
      <c r="P40" s="181">
        <v>0.0</v>
      </c>
      <c r="Q40" s="181">
        <v>0.0</v>
      </c>
      <c r="R40" s="181">
        <v>0.0</v>
      </c>
      <c r="S40" s="181">
        <v>0.0</v>
      </c>
      <c r="T40" s="181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0.0</v>
      </c>
      <c r="H46" s="181">
        <v>0.0</v>
      </c>
      <c r="I46" s="181">
        <v>0.0</v>
      </c>
      <c r="J46" s="181">
        <v>0.0</v>
      </c>
      <c r="K46" s="181">
        <v>0.0</v>
      </c>
      <c r="L46" s="181">
        <v>0.0</v>
      </c>
      <c r="M46" s="181">
        <v>0.0</v>
      </c>
      <c r="N46" s="181">
        <v>0.0</v>
      </c>
      <c r="O46" s="181">
        <v>0.0</v>
      </c>
      <c r="P46" s="181">
        <v>0.0</v>
      </c>
      <c r="Q46" s="181">
        <v>0.0</v>
      </c>
      <c r="R46" s="181">
        <v>0.0</v>
      </c>
      <c r="S46" s="181">
        <v>0.0</v>
      </c>
      <c r="T46" s="181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0.0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0.0</v>
      </c>
      <c r="H48" s="181">
        <v>0.0</v>
      </c>
      <c r="I48" s="181">
        <v>0.0</v>
      </c>
      <c r="J48" s="181">
        <v>0.0</v>
      </c>
      <c r="K48" s="181">
        <v>0.0</v>
      </c>
      <c r="L48" s="181">
        <v>0.0</v>
      </c>
      <c r="M48" s="181">
        <v>0.0</v>
      </c>
      <c r="N48" s="181">
        <v>0.0</v>
      </c>
      <c r="O48" s="181">
        <v>0.0</v>
      </c>
      <c r="P48" s="181">
        <v>0.0</v>
      </c>
      <c r="Q48" s="181">
        <v>0.0</v>
      </c>
      <c r="R48" s="181">
        <v>0.0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0.0</v>
      </c>
      <c r="H49" s="181">
        <v>0.0</v>
      </c>
      <c r="I49" s="181">
        <v>0.0</v>
      </c>
      <c r="J49" s="181">
        <v>0.0</v>
      </c>
      <c r="K49" s="181">
        <v>0.0</v>
      </c>
      <c r="L49" s="181">
        <v>0.0</v>
      </c>
      <c r="M49" s="181">
        <v>0.0</v>
      </c>
      <c r="N49" s="181">
        <v>0.0</v>
      </c>
      <c r="O49" s="181">
        <v>0.0</v>
      </c>
      <c r="P49" s="181">
        <v>0.0</v>
      </c>
      <c r="Q49" s="181">
        <v>0.0</v>
      </c>
      <c r="R49" s="181">
        <v>0.0</v>
      </c>
      <c r="S49" s="181">
        <v>0.0</v>
      </c>
      <c r="T49" s="181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0.0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1269.0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5.0</v>
      </c>
      <c r="H54" s="181">
        <v>2.0</v>
      </c>
      <c r="I54" s="181">
        <v>1.0</v>
      </c>
      <c r="J54" s="181">
        <v>2.0</v>
      </c>
      <c r="K54" s="181">
        <v>1.0</v>
      </c>
      <c r="L54" s="181">
        <v>0.0</v>
      </c>
      <c r="M54" s="181">
        <v>0.0</v>
      </c>
      <c r="N54" s="181">
        <v>2.0</v>
      </c>
      <c r="O54" s="181">
        <v>1.0</v>
      </c>
      <c r="P54" s="181">
        <v>0.0</v>
      </c>
      <c r="Q54" s="181">
        <v>0.0</v>
      </c>
      <c r="R54" s="181">
        <v>0.0</v>
      </c>
      <c r="S54" s="181">
        <v>0.0</v>
      </c>
      <c r="T54" s="181">
        <v>1463.0</v>
      </c>
      <c r="U54" s="104">
        <f t="shared" si="2"/>
        <v>0.5</v>
      </c>
      <c r="V54" s="104">
        <f t="shared" si="3"/>
        <v>0.4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2.0</v>
      </c>
      <c r="H69" s="181">
        <v>2.0</v>
      </c>
      <c r="I69" s="181">
        <v>1.0</v>
      </c>
      <c r="J69" s="181">
        <v>2.0</v>
      </c>
      <c r="K69" s="181">
        <v>1.0</v>
      </c>
      <c r="L69" s="181">
        <v>0.0</v>
      </c>
      <c r="M69" s="181">
        <v>0.0</v>
      </c>
      <c r="N69" s="181">
        <v>2.0</v>
      </c>
      <c r="O69" s="181">
        <v>1.0</v>
      </c>
      <c r="P69" s="181">
        <v>0.0</v>
      </c>
      <c r="Q69" s="181">
        <v>0.0</v>
      </c>
      <c r="R69" s="181">
        <v>0.0</v>
      </c>
      <c r="S69" s="181">
        <v>0.0</v>
      </c>
      <c r="T69" s="181">
        <v>612.0</v>
      </c>
      <c r="U69" s="144">
        <f t="shared" si="4"/>
        <v>0.5</v>
      </c>
      <c r="V69" s="144">
        <f t="shared" si="5"/>
        <v>1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81">
        <v>0.0</v>
      </c>
      <c r="H70" s="181">
        <v>0.0</v>
      </c>
      <c r="I70" s="181">
        <v>0.0</v>
      </c>
      <c r="J70" s="181">
        <v>0.0</v>
      </c>
      <c r="K70" s="181">
        <v>0.0</v>
      </c>
      <c r="L70" s="181">
        <v>0.0</v>
      </c>
      <c r="M70" s="181">
        <v>0.0</v>
      </c>
      <c r="N70" s="181">
        <v>0.0</v>
      </c>
      <c r="O70" s="181">
        <v>0.0</v>
      </c>
      <c r="P70" s="181">
        <v>0.0</v>
      </c>
      <c r="Q70" s="181">
        <v>0.0</v>
      </c>
      <c r="R70" s="181">
        <v>0.0</v>
      </c>
      <c r="S70" s="181">
        <v>0.0</v>
      </c>
      <c r="T70" s="181">
        <v>0.0</v>
      </c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1.0</v>
      </c>
      <c r="H71" s="181">
        <v>1.0</v>
      </c>
      <c r="I71" s="181">
        <v>1.0</v>
      </c>
      <c r="J71" s="181">
        <v>1.0</v>
      </c>
      <c r="K71" s="181">
        <v>1.0</v>
      </c>
      <c r="L71" s="181">
        <v>0.0</v>
      </c>
      <c r="M71" s="181">
        <v>1.0</v>
      </c>
      <c r="N71" s="181">
        <v>1.0</v>
      </c>
      <c r="O71" s="181">
        <v>1.0</v>
      </c>
      <c r="P71" s="181">
        <v>0.0</v>
      </c>
      <c r="Q71" s="181">
        <v>0.0</v>
      </c>
      <c r="R71" s="181">
        <v>0.0</v>
      </c>
      <c r="S71" s="181">
        <v>0.0</v>
      </c>
      <c r="T71" s="181">
        <v>2820.0</v>
      </c>
      <c r="U71" s="144">
        <f t="shared" si="4"/>
        <v>1</v>
      </c>
      <c r="V71" s="144">
        <f t="shared" si="5"/>
        <v>1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81">
        <v>0.0</v>
      </c>
      <c r="H73" s="181">
        <v>0.0</v>
      </c>
      <c r="I73" s="181">
        <v>0.0</v>
      </c>
      <c r="J73" s="181">
        <v>0.0</v>
      </c>
      <c r="K73" s="181">
        <v>0.0</v>
      </c>
      <c r="L73" s="181">
        <v>0.0</v>
      </c>
      <c r="M73" s="181">
        <v>0.0</v>
      </c>
      <c r="N73" s="181">
        <v>0.0</v>
      </c>
      <c r="O73" s="181">
        <v>0.0</v>
      </c>
      <c r="P73" s="181">
        <v>0.0</v>
      </c>
      <c r="Q73" s="181">
        <v>0.0</v>
      </c>
      <c r="R73" s="181">
        <v>0.0</v>
      </c>
      <c r="S73" s="181">
        <v>0.0</v>
      </c>
      <c r="T73" s="181">
        <v>0.0</v>
      </c>
      <c r="U73" s="144">
        <f t="shared" si="4"/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81">
        <v>1.0</v>
      </c>
      <c r="H83" s="181">
        <v>1.0</v>
      </c>
      <c r="I83" s="181">
        <v>1.0</v>
      </c>
      <c r="J83" s="181">
        <v>1.0</v>
      </c>
      <c r="K83" s="181">
        <v>1.0</v>
      </c>
      <c r="L83" s="181">
        <v>0.0</v>
      </c>
      <c r="M83" s="103"/>
      <c r="N83" s="181">
        <v>1.0</v>
      </c>
      <c r="O83" s="181">
        <v>1.0</v>
      </c>
      <c r="P83" s="181">
        <v>0.0</v>
      </c>
      <c r="Q83" s="181">
        <v>0.0</v>
      </c>
      <c r="R83" s="181">
        <v>0.0</v>
      </c>
      <c r="S83" s="181">
        <v>0.0</v>
      </c>
      <c r="T83" s="181">
        <v>5023.0</v>
      </c>
      <c r="U83" s="104">
        <f t="shared" si="6"/>
        <v>1</v>
      </c>
      <c r="V83" s="104">
        <f t="shared" si="7"/>
        <v>1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1.0</v>
      </c>
      <c r="I87" s="181">
        <v>1.0</v>
      </c>
      <c r="J87" s="181">
        <v>1.0</v>
      </c>
      <c r="K87" s="181">
        <v>1.0</v>
      </c>
      <c r="L87" s="181">
        <v>0.0</v>
      </c>
      <c r="M87" s="181">
        <v>11.0</v>
      </c>
      <c r="N87" s="181">
        <v>1.0</v>
      </c>
      <c r="O87" s="181">
        <v>1.0</v>
      </c>
      <c r="P87" s="181">
        <v>0.0</v>
      </c>
      <c r="Q87" s="181">
        <v>0.0</v>
      </c>
      <c r="R87" s="181">
        <v>0.0</v>
      </c>
      <c r="S87" s="181">
        <v>0.0</v>
      </c>
      <c r="T87" s="181">
        <v>1977.0</v>
      </c>
      <c r="U87" s="104">
        <f t="shared" si="8"/>
        <v>1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0.0</v>
      </c>
      <c r="H89" s="181">
        <v>0.0</v>
      </c>
      <c r="I89" s="181">
        <v>0.0</v>
      </c>
      <c r="J89" s="181">
        <v>0.0</v>
      </c>
      <c r="K89" s="181">
        <v>0.0</v>
      </c>
      <c r="L89" s="181">
        <v>0.0</v>
      </c>
      <c r="M89" s="181">
        <v>0.0</v>
      </c>
      <c r="N89" s="181">
        <v>0.0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7912</v>
      </c>
      <c r="D2" s="10"/>
      <c r="E2" s="11">
        <f t="shared" ref="E2:R2" si="1">SUM(E5,E20,E23,E26,E29,E32)</f>
        <v>1200</v>
      </c>
      <c r="F2" s="11">
        <f t="shared" si="1"/>
        <v>16</v>
      </c>
      <c r="G2" s="11">
        <f t="shared" si="1"/>
        <v>10</v>
      </c>
      <c r="H2" s="11">
        <f t="shared" si="1"/>
        <v>5</v>
      </c>
      <c r="I2" s="11">
        <f t="shared" si="1"/>
        <v>1</v>
      </c>
      <c r="J2" s="11">
        <f t="shared" si="1"/>
        <v>1</v>
      </c>
      <c r="K2" s="11">
        <f t="shared" si="1"/>
        <v>5</v>
      </c>
      <c r="L2" s="11">
        <f t="shared" si="1"/>
        <v>3</v>
      </c>
      <c r="M2" s="11">
        <f t="shared" si="1"/>
        <v>34</v>
      </c>
      <c r="N2" s="11">
        <f t="shared" si="1"/>
        <v>2</v>
      </c>
      <c r="O2" s="11">
        <f t="shared" si="1"/>
        <v>1</v>
      </c>
      <c r="P2" s="11">
        <f t="shared" si="1"/>
        <v>7</v>
      </c>
      <c r="Q2" s="11">
        <f t="shared" si="1"/>
        <v>4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1582.4</v>
      </c>
      <c r="F4" s="24">
        <f>IFERROR((G2+R2)/F2,0)</f>
        <v>0.6875</v>
      </c>
      <c r="G4" s="24">
        <f>IFERROR(H2/G2,0)</f>
        <v>0.5</v>
      </c>
      <c r="H4" s="23">
        <f>(C2/C4)</f>
        <v>111.4366197</v>
      </c>
      <c r="I4" s="25"/>
      <c r="J4" s="24">
        <f>IFERROR(J2/I2,0)</f>
        <v>1</v>
      </c>
      <c r="K4" s="25"/>
      <c r="L4" s="24">
        <f>IFERROR(L2/K2,0)</f>
        <v>0.6</v>
      </c>
      <c r="M4" s="26">
        <f>IFERROR(M2/G2,0)</f>
        <v>3.4</v>
      </c>
      <c r="N4" s="25"/>
      <c r="O4" s="24">
        <f>IFERROR(O2/N2,0)</f>
        <v>0.5</v>
      </c>
      <c r="P4" s="26"/>
      <c r="Q4" s="24">
        <f>IFERROR(Q2/P2,0)</f>
        <v>0.5714285714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4622</v>
      </c>
      <c r="D5" s="31"/>
      <c r="E5" s="32">
        <f>SUMIFS(T:T,A:A,B5,D:D,"Y")</f>
        <v>1200</v>
      </c>
      <c r="F5" s="11">
        <f>SUMIF(A:A,B5,G:G)</f>
        <v>15</v>
      </c>
      <c r="G5" s="11">
        <f>SUMIF(A:A,B5,H:H)</f>
        <v>8</v>
      </c>
      <c r="H5" s="11">
        <f>SUMIF(A:A,B5,I:I)</f>
        <v>4</v>
      </c>
      <c r="I5" s="11">
        <f>SUMIF(A:A,B5,P:P)</f>
        <v>1</v>
      </c>
      <c r="J5" s="11">
        <f>SUMIF(A:A,B5,Q:Q)</f>
        <v>1</v>
      </c>
      <c r="K5" s="11">
        <f>SUMIF(A:A,B5,R:R)</f>
        <v>5</v>
      </c>
      <c r="L5" s="11">
        <f>SUMIF(A:A,B5,S:S)</f>
        <v>3</v>
      </c>
      <c r="M5" s="11">
        <f>SUMIF(A:A,B5,M:M)</f>
        <v>30</v>
      </c>
      <c r="N5" s="11">
        <f>SUMIF(A:A,B5,N:N)</f>
        <v>0</v>
      </c>
      <c r="O5" s="11">
        <f>SUMIF(A:A,B5,O:O)</f>
        <v>0</v>
      </c>
      <c r="P5" s="11">
        <f>SUMIF(A:A,B5,J:J)</f>
        <v>5</v>
      </c>
      <c r="Q5" s="11">
        <f>SUMIF(A:A,B5,K:K)</f>
        <v>3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1155.5</v>
      </c>
      <c r="F7" s="41">
        <f>IFERROR((G5+R5)/F5,0)</f>
        <v>0.6</v>
      </c>
      <c r="G7" s="41">
        <f>IFERROR(H5/G5,0)</f>
        <v>0.5</v>
      </c>
      <c r="H7" s="40">
        <f>(C5/C7)</f>
        <v>154.0666667</v>
      </c>
      <c r="I7" s="42"/>
      <c r="J7" s="41">
        <f>IFERROR(J5/I5,0)</f>
        <v>1</v>
      </c>
      <c r="K7" s="42"/>
      <c r="L7" s="41">
        <f>IFERROR(L5/K5,0)</f>
        <v>0.6</v>
      </c>
      <c r="M7" s="43">
        <f>IFERROR(M5/SUM(R5+G5,0),"")</f>
        <v>3.333333333</v>
      </c>
      <c r="N7" s="42"/>
      <c r="O7" s="41">
        <f>IFERROR(O5/N5,0)</f>
        <v>0</v>
      </c>
      <c r="P7" s="43"/>
      <c r="Q7" s="41">
        <f>IFERROR(Q5/P5,0)</f>
        <v>0.6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7</v>
      </c>
      <c r="G8" s="51">
        <f>SUMIF(B38:B1137,B8,H38:H1137)</f>
        <v>3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6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2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0.5714285714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3422</v>
      </c>
      <c r="D11" s="48"/>
      <c r="E11" s="49">
        <f>SUMIFS(T:T,B:B,B11,D:D,"Y")</f>
        <v>0</v>
      </c>
      <c r="F11" s="50">
        <f>SUMIF(B38:B1137,B11,G38:G1137)</f>
        <v>5</v>
      </c>
      <c r="G11" s="51">
        <f>SUMIF(B38:B1137,B11,H38:H1137)</f>
        <v>4</v>
      </c>
      <c r="H11" s="51">
        <f>SUMIF(B38:B1137,B11,I38:I1137)</f>
        <v>3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4</v>
      </c>
      <c r="L11" s="51">
        <f>SUMIF(B38:B1137,B11,S38:S1137)</f>
        <v>3</v>
      </c>
      <c r="M11" s="51">
        <f>SUMIF(B38:B1137,B11,M38:M1137)</f>
        <v>19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3</v>
      </c>
      <c r="Q11" s="51">
        <f>SUMIF(B38:B1137,B11,K38:K1137)</f>
        <v>3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1140.666667</v>
      </c>
      <c r="F13" s="24">
        <f>IFERROR((G11+R11)/F11,0)</f>
        <v>0.8</v>
      </c>
      <c r="G13" s="24">
        <f>IFERROR(H11/G11,0)</f>
        <v>0.75</v>
      </c>
      <c r="H13" s="23">
        <f>(C11/C13)</f>
        <v>427.75</v>
      </c>
      <c r="I13" s="25"/>
      <c r="J13" s="24">
        <f>IFERROR(J11/I11,0)</f>
        <v>0</v>
      </c>
      <c r="K13" s="25"/>
      <c r="L13" s="24">
        <f>IFERROR(L11/K11,0)</f>
        <v>0.75</v>
      </c>
      <c r="M13" s="26">
        <f>IFERROR(M11/SUM(R11+G11,0),"")</f>
        <v>4.75</v>
      </c>
      <c r="N13" s="25"/>
      <c r="O13" s="24">
        <f>IFERROR(O11/N11,0)</f>
        <v>0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1200</v>
      </c>
      <c r="D14" s="48"/>
      <c r="E14" s="49">
        <f>SUMIFS(T:T,B:B,B14,D:D,"Y")</f>
        <v>1200</v>
      </c>
      <c r="F14" s="50">
        <f>SUMIF(B39:B1137,B14,G39:G1137)</f>
        <v>3</v>
      </c>
      <c r="G14" s="51">
        <f>SUMIF(B39:B1137,B14,H39:H1137)</f>
        <v>1</v>
      </c>
      <c r="H14" s="51">
        <f>SUMIF(B39:B1137,B14,I39:I1137)</f>
        <v>1</v>
      </c>
      <c r="I14" s="51">
        <f>SUMIF(B39:B1137,B14,P39:P1137)</f>
        <v>1</v>
      </c>
      <c r="J14" s="51">
        <f>SUMIF(B39:B1137,B14,Q39:Q1137)</f>
        <v>1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5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1200</v>
      </c>
      <c r="F16" s="24">
        <f>IFERROR((G14+R14)/F14,0)</f>
        <v>0.3333333333</v>
      </c>
      <c r="G16" s="24">
        <f>IFERROR(H14/G14,0)</f>
        <v>1</v>
      </c>
      <c r="H16" s="23">
        <f>(C14/C16)</f>
        <v>300</v>
      </c>
      <c r="I16" s="25"/>
      <c r="J16" s="24">
        <f>IFERROR(J14/I14,0)</f>
        <v>1</v>
      </c>
      <c r="K16" s="25"/>
      <c r="L16" s="24">
        <f>IFERROR(L14/K14,0)</f>
        <v>0</v>
      </c>
      <c r="M16" s="26">
        <f>IFERROR(M14/SUM(R14+G14,0),"")</f>
        <v>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2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2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3290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3290</v>
      </c>
      <c r="F25" s="24">
        <f>IFERROR((G23+R23)/F23,0)</f>
        <v>1</v>
      </c>
      <c r="G25" s="24">
        <f>IFERROR(H23/G23,0)</f>
        <v>1</v>
      </c>
      <c r="H25" s="23">
        <f>(C23/C25)</f>
        <v>365.5555556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81">
        <v>2.0</v>
      </c>
      <c r="H40" s="181">
        <v>1.0</v>
      </c>
      <c r="I40" s="181">
        <v>0.0</v>
      </c>
      <c r="J40" s="181">
        <v>1.0</v>
      </c>
      <c r="K40" s="181">
        <v>0.0</v>
      </c>
      <c r="L40" s="181">
        <v>1.0</v>
      </c>
      <c r="M40" s="181">
        <v>2.0</v>
      </c>
      <c r="N40" s="181">
        <v>0.0</v>
      </c>
      <c r="O40" s="181">
        <v>0.0</v>
      </c>
      <c r="P40" s="181">
        <v>0.0</v>
      </c>
      <c r="Q40" s="181">
        <v>0.0</v>
      </c>
      <c r="R40" s="181">
        <v>1.0</v>
      </c>
      <c r="S40" s="181">
        <v>0.0</v>
      </c>
      <c r="T40" s="181">
        <v>0.0</v>
      </c>
      <c r="U40" s="104">
        <f t="shared" si="2"/>
        <v>0</v>
      </c>
      <c r="V40" s="104">
        <f t="shared" si="3"/>
        <v>1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81">
        <v>3.0</v>
      </c>
      <c r="H41" s="181">
        <v>1.0</v>
      </c>
      <c r="I41" s="181">
        <v>0.0</v>
      </c>
      <c r="J41" s="181">
        <v>1.0</v>
      </c>
      <c r="K41" s="181">
        <v>0.0</v>
      </c>
      <c r="L41" s="181">
        <v>0.0</v>
      </c>
      <c r="M41" s="181">
        <v>4.0</v>
      </c>
      <c r="N41" s="181">
        <v>0.0</v>
      </c>
      <c r="O41" s="181">
        <v>0.0</v>
      </c>
      <c r="P41" s="181">
        <v>0.0</v>
      </c>
      <c r="Q41" s="181">
        <v>0.0</v>
      </c>
      <c r="R41" s="181">
        <v>0.0</v>
      </c>
      <c r="S41" s="181">
        <v>0.0</v>
      </c>
      <c r="T41" s="181">
        <v>0.0</v>
      </c>
      <c r="U41" s="104">
        <f t="shared" si="2"/>
        <v>0</v>
      </c>
      <c r="V41" s="104">
        <f t="shared" si="3"/>
        <v>0.3333333333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81">
        <v>2.0</v>
      </c>
      <c r="H43" s="181">
        <v>1.0</v>
      </c>
      <c r="I43" s="181">
        <v>0.0</v>
      </c>
      <c r="J43" s="181">
        <v>0.0</v>
      </c>
      <c r="K43" s="181">
        <v>0.0</v>
      </c>
      <c r="L43" s="181">
        <v>0.0</v>
      </c>
      <c r="M43" s="181">
        <v>0.0</v>
      </c>
      <c r="N43" s="181">
        <v>0.0</v>
      </c>
      <c r="O43" s="181">
        <v>0.0</v>
      </c>
      <c r="P43" s="181">
        <v>0.0</v>
      </c>
      <c r="Q43" s="181">
        <v>0.0</v>
      </c>
      <c r="R43" s="181">
        <v>0.0</v>
      </c>
      <c r="S43" s="181">
        <v>0.0</v>
      </c>
      <c r="T43" s="181">
        <v>0.0</v>
      </c>
      <c r="U43" s="104">
        <f t="shared" si="2"/>
        <v>0</v>
      </c>
      <c r="V43" s="104">
        <f t="shared" si="3"/>
        <v>0.5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81">
        <v>2.0</v>
      </c>
      <c r="H46" s="181">
        <v>1.0</v>
      </c>
      <c r="I46" s="181">
        <v>1.0</v>
      </c>
      <c r="J46" s="181">
        <v>1.0</v>
      </c>
      <c r="K46" s="181">
        <v>1.0</v>
      </c>
      <c r="L46" s="181">
        <v>0.0</v>
      </c>
      <c r="M46" s="181">
        <v>9.0</v>
      </c>
      <c r="N46" s="181">
        <v>0.0</v>
      </c>
      <c r="O46" s="181">
        <v>0.0</v>
      </c>
      <c r="P46" s="181">
        <v>0.0</v>
      </c>
      <c r="Q46" s="181">
        <v>0.0</v>
      </c>
      <c r="R46" s="181">
        <v>1.0</v>
      </c>
      <c r="S46" s="181">
        <v>1.0</v>
      </c>
      <c r="T46" s="181">
        <v>0.0</v>
      </c>
      <c r="U46" s="104">
        <f t="shared" si="2"/>
        <v>1</v>
      </c>
      <c r="V46" s="104">
        <f t="shared" si="3"/>
        <v>0.5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81">
        <v>0.0</v>
      </c>
      <c r="H47" s="181">
        <v>0.0</v>
      </c>
      <c r="I47" s="181">
        <v>0.0</v>
      </c>
      <c r="J47" s="181">
        <v>0.0</v>
      </c>
      <c r="K47" s="181">
        <v>0.0</v>
      </c>
      <c r="L47" s="181">
        <v>0.0</v>
      </c>
      <c r="M47" s="181">
        <v>0.0</v>
      </c>
      <c r="N47" s="181">
        <v>0.0</v>
      </c>
      <c r="O47" s="181">
        <v>0.0</v>
      </c>
      <c r="P47" s="181">
        <v>0.0</v>
      </c>
      <c r="Q47" s="181">
        <v>0.0</v>
      </c>
      <c r="R47" s="181">
        <v>0.0</v>
      </c>
      <c r="S47" s="181">
        <v>0.0</v>
      </c>
      <c r="T47" s="181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81">
        <v>1.0</v>
      </c>
      <c r="H48" s="181">
        <v>1.0</v>
      </c>
      <c r="I48" s="181">
        <v>0.0</v>
      </c>
      <c r="J48" s="181">
        <v>0.0</v>
      </c>
      <c r="K48" s="181">
        <v>0.0</v>
      </c>
      <c r="L48" s="181">
        <v>0.0</v>
      </c>
      <c r="M48" s="181">
        <v>6.0</v>
      </c>
      <c r="N48" s="181">
        <v>0.0</v>
      </c>
      <c r="O48" s="181">
        <v>0.0</v>
      </c>
      <c r="P48" s="181">
        <v>0.0</v>
      </c>
      <c r="Q48" s="181">
        <v>0.0</v>
      </c>
      <c r="R48" s="181">
        <v>1.0</v>
      </c>
      <c r="S48" s="181">
        <v>0.0</v>
      </c>
      <c r="T48" s="181">
        <v>0.0</v>
      </c>
      <c r="U48" s="104">
        <f t="shared" si="2"/>
        <v>0</v>
      </c>
      <c r="V48" s="104">
        <f t="shared" si="3"/>
        <v>1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81">
        <v>2.0</v>
      </c>
      <c r="H49" s="181">
        <v>2.0</v>
      </c>
      <c r="I49" s="181">
        <v>2.0</v>
      </c>
      <c r="J49" s="181">
        <v>2.0</v>
      </c>
      <c r="K49" s="181">
        <v>2.0</v>
      </c>
      <c r="L49" s="181">
        <v>0.0</v>
      </c>
      <c r="M49" s="181">
        <v>4.0</v>
      </c>
      <c r="N49" s="181">
        <v>0.0</v>
      </c>
      <c r="O49" s="181">
        <v>0.0</v>
      </c>
      <c r="P49" s="181">
        <v>0.0</v>
      </c>
      <c r="Q49" s="181">
        <v>0.0</v>
      </c>
      <c r="R49" s="181">
        <v>2.0</v>
      </c>
      <c r="S49" s="181">
        <v>2.0</v>
      </c>
      <c r="T49" s="181">
        <v>3422.0</v>
      </c>
      <c r="U49" s="104">
        <f t="shared" si="2"/>
        <v>1</v>
      </c>
      <c r="V49" s="104">
        <f t="shared" si="3"/>
        <v>1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81">
        <v>0.0</v>
      </c>
      <c r="H50" s="181">
        <v>0.0</v>
      </c>
      <c r="I50" s="181">
        <v>0.0</v>
      </c>
      <c r="J50" s="181">
        <v>0.0</v>
      </c>
      <c r="K50" s="181">
        <v>0.0</v>
      </c>
      <c r="L50" s="181">
        <v>0.0</v>
      </c>
      <c r="M50" s="181">
        <v>0.0</v>
      </c>
      <c r="N50" s="181">
        <v>0.0</v>
      </c>
      <c r="O50" s="181">
        <v>0.0</v>
      </c>
      <c r="P50" s="181">
        <v>0.0</v>
      </c>
      <c r="Q50" s="181">
        <v>0.0</v>
      </c>
      <c r="R50" s="181">
        <v>0.0</v>
      </c>
      <c r="S50" s="181">
        <v>0.0</v>
      </c>
      <c r="T50" s="181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81">
        <v>0.0</v>
      </c>
      <c r="H51" s="181">
        <v>0.0</v>
      </c>
      <c r="I51" s="181">
        <v>0.0</v>
      </c>
      <c r="J51" s="181">
        <v>0.0</v>
      </c>
      <c r="K51" s="181">
        <v>0.0</v>
      </c>
      <c r="L51" s="181">
        <v>0.0</v>
      </c>
      <c r="M51" s="181">
        <v>0.0</v>
      </c>
      <c r="N51" s="181">
        <v>0.0</v>
      </c>
      <c r="O51" s="181">
        <v>0.0</v>
      </c>
      <c r="P51" s="181">
        <v>0.0</v>
      </c>
      <c r="Q51" s="181">
        <v>0.0</v>
      </c>
      <c r="R51" s="181">
        <v>0.0</v>
      </c>
      <c r="S51" s="181">
        <v>0.0</v>
      </c>
      <c r="T51" s="181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81">
        <v>0.0</v>
      </c>
      <c r="H52" s="181">
        <v>0.0</v>
      </c>
      <c r="I52" s="181">
        <v>0.0</v>
      </c>
      <c r="J52" s="181">
        <v>0.0</v>
      </c>
      <c r="K52" s="181">
        <v>0.0</v>
      </c>
      <c r="L52" s="181">
        <v>0.0</v>
      </c>
      <c r="M52" s="181">
        <v>0.0</v>
      </c>
      <c r="N52" s="181">
        <v>0.0</v>
      </c>
      <c r="O52" s="181">
        <v>0.0</v>
      </c>
      <c r="P52" s="181">
        <v>0.0</v>
      </c>
      <c r="Q52" s="181">
        <v>0.0</v>
      </c>
      <c r="R52" s="181">
        <v>0.0</v>
      </c>
      <c r="S52" s="181">
        <v>0.0</v>
      </c>
      <c r="T52" s="181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81">
        <v>0.0</v>
      </c>
      <c r="H53" s="181">
        <v>0.0</v>
      </c>
      <c r="I53" s="181">
        <v>0.0</v>
      </c>
      <c r="J53" s="181">
        <v>0.0</v>
      </c>
      <c r="K53" s="181">
        <v>0.0</v>
      </c>
      <c r="L53" s="181">
        <v>0.0</v>
      </c>
      <c r="M53" s="181">
        <v>0.0</v>
      </c>
      <c r="N53" s="181">
        <v>0.0</v>
      </c>
      <c r="O53" s="181">
        <v>0.0</v>
      </c>
      <c r="P53" s="181">
        <v>0.0</v>
      </c>
      <c r="Q53" s="181">
        <v>0.0</v>
      </c>
      <c r="R53" s="181">
        <v>0.0</v>
      </c>
      <c r="S53" s="181">
        <v>0.0</v>
      </c>
      <c r="T53" s="181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81">
        <v>3.0</v>
      </c>
      <c r="H54" s="181">
        <v>1.0</v>
      </c>
      <c r="I54" s="181">
        <v>1.0</v>
      </c>
      <c r="J54" s="181">
        <v>0.0</v>
      </c>
      <c r="K54" s="181">
        <v>0.0</v>
      </c>
      <c r="L54" s="181">
        <v>0.0</v>
      </c>
      <c r="M54" s="181">
        <v>5.0</v>
      </c>
      <c r="N54" s="181">
        <v>0.0</v>
      </c>
      <c r="O54" s="181">
        <v>0.0</v>
      </c>
      <c r="P54" s="181">
        <v>1.0</v>
      </c>
      <c r="Q54" s="181">
        <v>1.0</v>
      </c>
      <c r="R54" s="181">
        <v>0.0</v>
      </c>
      <c r="S54" s="181">
        <v>0.0</v>
      </c>
      <c r="T54" s="181">
        <v>1200.0</v>
      </c>
      <c r="U54" s="104">
        <f t="shared" si="2"/>
        <v>1</v>
      </c>
      <c r="V54" s="104">
        <f t="shared" si="3"/>
        <v>0.3333333333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81">
        <v>0.0</v>
      </c>
      <c r="H73" s="181">
        <v>1.0</v>
      </c>
      <c r="I73" s="181">
        <v>0.0</v>
      </c>
      <c r="J73" s="181">
        <v>1.0</v>
      </c>
      <c r="K73" s="181">
        <v>0.0</v>
      </c>
      <c r="L73" s="181">
        <v>0.0</v>
      </c>
      <c r="M73" s="181">
        <v>2.0</v>
      </c>
      <c r="N73" s="181">
        <v>1.0</v>
      </c>
      <c r="O73" s="181">
        <v>0.0</v>
      </c>
      <c r="P73" s="181">
        <v>0.0</v>
      </c>
      <c r="Q73" s="181">
        <v>0.0</v>
      </c>
      <c r="R73" s="181">
        <v>0.0</v>
      </c>
      <c r="S73" s="181">
        <v>0.0</v>
      </c>
      <c r="T73" s="181">
        <v>0.0</v>
      </c>
      <c r="U73" s="144">
        <f t="shared" si="4"/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81">
        <v>1.0</v>
      </c>
      <c r="H82" s="181">
        <v>1.0</v>
      </c>
      <c r="I82" s="181">
        <v>1.0</v>
      </c>
      <c r="J82" s="181">
        <v>1.0</v>
      </c>
      <c r="K82" s="181">
        <v>1.0</v>
      </c>
      <c r="L82" s="181">
        <v>0.0</v>
      </c>
      <c r="M82" s="181">
        <v>2.0</v>
      </c>
      <c r="N82" s="181">
        <v>1.0</v>
      </c>
      <c r="O82" s="181">
        <v>1.0</v>
      </c>
      <c r="P82" s="181">
        <v>0.0</v>
      </c>
      <c r="Q82" s="181">
        <v>0.0</v>
      </c>
      <c r="R82" s="181">
        <v>0.0</v>
      </c>
      <c r="S82" s="181">
        <v>0.0</v>
      </c>
      <c r="T82" s="181">
        <v>3290.0</v>
      </c>
      <c r="U82" s="104">
        <f t="shared" si="6"/>
        <v>1</v>
      </c>
      <c r="V82" s="104">
        <f t="shared" si="7"/>
        <v>1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81">
        <v>0.0</v>
      </c>
      <c r="H87" s="181">
        <v>0.0</v>
      </c>
      <c r="I87" s="181">
        <v>0.0</v>
      </c>
      <c r="J87" s="181">
        <v>0.0</v>
      </c>
      <c r="K87" s="181">
        <v>0.0</v>
      </c>
      <c r="L87" s="181">
        <v>0.0</v>
      </c>
      <c r="M87" s="181">
        <v>0.0</v>
      </c>
      <c r="N87" s="181">
        <v>0.0</v>
      </c>
      <c r="O87" s="181">
        <v>0.0</v>
      </c>
      <c r="P87" s="181">
        <v>0.0</v>
      </c>
      <c r="Q87" s="181">
        <v>0.0</v>
      </c>
      <c r="R87" s="181">
        <v>0.0</v>
      </c>
      <c r="S87" s="181">
        <v>0.0</v>
      </c>
      <c r="T87" s="181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81">
        <v>0.0</v>
      </c>
      <c r="H89" s="181">
        <v>0.0</v>
      </c>
      <c r="I89" s="181">
        <v>0.0</v>
      </c>
      <c r="J89" s="181">
        <v>0.0</v>
      </c>
      <c r="K89" s="181">
        <v>0.0</v>
      </c>
      <c r="L89" s="181">
        <v>0.0</v>
      </c>
      <c r="M89" s="181">
        <v>0.0</v>
      </c>
      <c r="N89" s="181">
        <v>0.0</v>
      </c>
      <c r="O89" s="181">
        <v>0.0</v>
      </c>
      <c r="P89" s="181">
        <v>0.0</v>
      </c>
      <c r="Q89" s="181">
        <v>0.0</v>
      </c>
      <c r="R89" s="181">
        <v>0.0</v>
      </c>
      <c r="S89" s="181">
        <v>0.0</v>
      </c>
      <c r="T89" s="181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7597</v>
      </c>
      <c r="D2" s="10"/>
      <c r="E2" s="11">
        <f t="shared" ref="E2:R2" si="1">SUM(E5,E20,E23,E26,E29,E32)</f>
        <v>5929</v>
      </c>
      <c r="F2" s="11">
        <f t="shared" si="1"/>
        <v>16</v>
      </c>
      <c r="G2" s="11">
        <f t="shared" si="1"/>
        <v>10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5</v>
      </c>
      <c r="L2" s="11">
        <f t="shared" si="1"/>
        <v>3</v>
      </c>
      <c r="M2" s="11">
        <f t="shared" si="1"/>
        <v>44</v>
      </c>
      <c r="N2" s="11">
        <f t="shared" si="1"/>
        <v>1</v>
      </c>
      <c r="O2" s="11">
        <f t="shared" si="1"/>
        <v>1</v>
      </c>
      <c r="P2" s="11">
        <f t="shared" si="1"/>
        <v>2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1899.25</v>
      </c>
      <c r="F4" s="24">
        <f>IFERROR((G2+R2)/F2,0)</f>
        <v>0.625</v>
      </c>
      <c r="G4" s="24">
        <f>IFERROR(H2/G2,0)</f>
        <v>0.4</v>
      </c>
      <c r="H4" s="23">
        <f>(C2/C4)</f>
        <v>107</v>
      </c>
      <c r="I4" s="25"/>
      <c r="J4" s="24">
        <f>IFERROR(J2/I2,0)</f>
        <v>0</v>
      </c>
      <c r="K4" s="25"/>
      <c r="L4" s="24">
        <f>IFERROR(L2/K2,0)</f>
        <v>0.6</v>
      </c>
      <c r="M4" s="26">
        <f>IFERROR(M2/G2,0)</f>
        <v>4.4</v>
      </c>
      <c r="N4" s="25"/>
      <c r="O4" s="24">
        <f>IFERROR(O2/N2,0)</f>
        <v>1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5212</v>
      </c>
      <c r="D5" s="31"/>
      <c r="E5" s="32">
        <f>SUMIFS(T:T,A:A,B5,D:D,"Y")</f>
        <v>3544</v>
      </c>
      <c r="F5" s="11">
        <f>SUMIF(A:A,B5,G:G)</f>
        <v>15</v>
      </c>
      <c r="G5" s="11">
        <f>SUMIF(A:A,B5,H:H)</f>
        <v>9</v>
      </c>
      <c r="H5" s="11">
        <f>SUMIF(A:A,B5,I:I)</f>
        <v>3</v>
      </c>
      <c r="I5" s="11">
        <f>SUMIF(A:A,B5,P:P)</f>
        <v>0</v>
      </c>
      <c r="J5" s="11">
        <f>SUMIF(A:A,B5,Q:Q)</f>
        <v>0</v>
      </c>
      <c r="K5" s="11">
        <f>SUMIF(A:A,B5,R:R)</f>
        <v>4</v>
      </c>
      <c r="L5" s="11">
        <f>SUMIF(A:A,B5,S:S)</f>
        <v>2</v>
      </c>
      <c r="M5" s="11">
        <f>SUMIF(A:A,B5,M:M)</f>
        <v>41</v>
      </c>
      <c r="N5" s="11">
        <f>SUMIF(A:A,B5,N:N)</f>
        <v>1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1737.333333</v>
      </c>
      <c r="F7" s="41">
        <f>IFERROR((G5+R5)/F5,0)</f>
        <v>0.6</v>
      </c>
      <c r="G7" s="41">
        <f>IFERROR(H5/G5,0)</f>
        <v>0.3333333333</v>
      </c>
      <c r="H7" s="40">
        <f>(C5/C7)</f>
        <v>173.7333333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4.555555556</v>
      </c>
      <c r="N7" s="42"/>
      <c r="O7" s="41">
        <f>IFERROR(O5/N5,0)</f>
        <v>1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5212</v>
      </c>
      <c r="D8" s="48"/>
      <c r="E8" s="49">
        <f>SUMIFS(T:T,B:B,B8,D:D,"Y")</f>
        <v>3544</v>
      </c>
      <c r="F8" s="50">
        <f>SUMIF(B38:B1137,B8,G38:G1137)</f>
        <v>15</v>
      </c>
      <c r="G8" s="51">
        <f>SUMIF(B38:B1137,B8,H38:H1137)</f>
        <v>9</v>
      </c>
      <c r="H8" s="51">
        <f>SUMIF(B38:B1137,B8,I38:I1137)</f>
        <v>3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4</v>
      </c>
      <c r="L8" s="51">
        <f>SUMIF(B38:B1137,B8,S38:S1137)</f>
        <v>2</v>
      </c>
      <c r="M8" s="51">
        <f>SUMIF(B38:B1137,B8,M38:M1137)</f>
        <v>41</v>
      </c>
      <c r="N8" s="51">
        <f>SUMIF(B38:B1137,B8,N38:N1137)</f>
        <v>1</v>
      </c>
      <c r="O8" s="51">
        <f>SUMIF(B38:B1137,B8,O38:O1137)</f>
        <v>1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1737.333333</v>
      </c>
      <c r="F10" s="24">
        <f>IFERROR((G8+R8)/F8,0)</f>
        <v>0.6</v>
      </c>
      <c r="G10" s="24">
        <f>IFERROR(H8/G8,0)</f>
        <v>0.3333333333</v>
      </c>
      <c r="H10" s="23">
        <f>(C8/C10)</f>
        <v>651.5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IFERROR(M8/SUM(R8+G8,0),"")</f>
        <v>4.555555556</v>
      </c>
      <c r="N10" s="25"/>
      <c r="O10" s="24">
        <f>IFERROR(O8/N8,0)</f>
        <v>1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2385</v>
      </c>
      <c r="D23" s="31"/>
      <c r="E23" s="64">
        <f>SUMIFS(T:T,A:A,B23,D:D,"Y")</f>
        <v>2385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3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2385</v>
      </c>
      <c r="F25" s="24">
        <f>IFERROR((G23+R23)/F23,0)</f>
        <v>1</v>
      </c>
      <c r="G25" s="24">
        <f>IFERROR(H23/G23,0)</f>
        <v>1</v>
      </c>
      <c r="H25" s="23">
        <f>(C23/C25)</f>
        <v>265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81">
        <v>2.0</v>
      </c>
      <c r="H40" s="181">
        <v>2.0</v>
      </c>
      <c r="I40" s="181">
        <v>2.0</v>
      </c>
      <c r="J40" s="181">
        <v>0.0</v>
      </c>
      <c r="K40" s="181">
        <v>0.0</v>
      </c>
      <c r="L40" s="181">
        <v>0.0</v>
      </c>
      <c r="M40" s="181">
        <v>11.0</v>
      </c>
      <c r="N40" s="181">
        <v>0.0</v>
      </c>
      <c r="O40" s="181">
        <v>0.0</v>
      </c>
      <c r="P40" s="181">
        <v>0.0</v>
      </c>
      <c r="Q40" s="181">
        <v>0.0</v>
      </c>
      <c r="R40" s="181">
        <v>2.0</v>
      </c>
      <c r="S40" s="181">
        <v>2.0</v>
      </c>
      <c r="T40" s="181">
        <v>3544.0</v>
      </c>
      <c r="U40" s="104">
        <f t="shared" si="2"/>
        <v>1</v>
      </c>
      <c r="V40" s="104">
        <f t="shared" si="3"/>
        <v>1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81">
        <v>5.0</v>
      </c>
      <c r="H41" s="181">
        <v>4.0</v>
      </c>
      <c r="I41" s="181">
        <v>1.0</v>
      </c>
      <c r="J41" s="181">
        <v>1.0</v>
      </c>
      <c r="K41" s="181">
        <v>0.0</v>
      </c>
      <c r="L41" s="181">
        <v>0.0</v>
      </c>
      <c r="M41" s="181">
        <v>20.0</v>
      </c>
      <c r="N41" s="181"/>
      <c r="O41" s="181">
        <v>1.0</v>
      </c>
      <c r="P41" s="181">
        <v>0.0</v>
      </c>
      <c r="Q41" s="181">
        <v>0.0</v>
      </c>
      <c r="R41" s="181">
        <v>1.0</v>
      </c>
      <c r="S41" s="181">
        <v>0.0</v>
      </c>
      <c r="T41" s="181">
        <v>1668.0</v>
      </c>
      <c r="U41" s="104">
        <f t="shared" si="2"/>
        <v>0.25</v>
      </c>
      <c r="V41" s="104">
        <f t="shared" si="3"/>
        <v>0.8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81">
        <v>4.0</v>
      </c>
      <c r="H43" s="181">
        <v>1.0</v>
      </c>
      <c r="I43" s="181">
        <v>0.0</v>
      </c>
      <c r="J43" s="181">
        <v>0.0</v>
      </c>
      <c r="K43" s="181">
        <v>0.0</v>
      </c>
      <c r="L43" s="181">
        <v>0.0</v>
      </c>
      <c r="M43" s="181">
        <v>0.0</v>
      </c>
      <c r="N43" s="181">
        <v>0.0</v>
      </c>
      <c r="O43" s="181">
        <v>0.0</v>
      </c>
      <c r="P43" s="181">
        <v>0.0</v>
      </c>
      <c r="Q43" s="181">
        <v>0.0</v>
      </c>
      <c r="R43" s="181">
        <v>0.0</v>
      </c>
      <c r="S43" s="181">
        <v>0.0</v>
      </c>
      <c r="T43" s="181">
        <v>0.0</v>
      </c>
      <c r="U43" s="104">
        <f t="shared" si="2"/>
        <v>0</v>
      </c>
      <c r="V43" s="104">
        <f t="shared" si="3"/>
        <v>0.25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81">
        <v>4.0</v>
      </c>
      <c r="H45" s="181">
        <v>2.0</v>
      </c>
      <c r="I45" s="181">
        <v>0.0</v>
      </c>
      <c r="J45" s="181">
        <v>0.0</v>
      </c>
      <c r="K45" s="181">
        <v>0.0</v>
      </c>
      <c r="L45" s="181">
        <v>0.0</v>
      </c>
      <c r="M45" s="181">
        <v>10.0</v>
      </c>
      <c r="N45" s="181">
        <v>1.0</v>
      </c>
      <c r="O45" s="181">
        <v>0.0</v>
      </c>
      <c r="P45" s="181">
        <v>0.0</v>
      </c>
      <c r="Q45" s="181">
        <v>0.0</v>
      </c>
      <c r="R45" s="181">
        <v>1.0</v>
      </c>
      <c r="S45" s="181">
        <v>0.0</v>
      </c>
      <c r="T45" s="181">
        <v>0.0</v>
      </c>
      <c r="U45" s="104">
        <f t="shared" si="2"/>
        <v>0</v>
      </c>
      <c r="V45" s="104">
        <f t="shared" si="3"/>
        <v>0.5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1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81">
        <v>0.0</v>
      </c>
      <c r="H69" s="181">
        <v>0.0</v>
      </c>
      <c r="I69" s="181">
        <v>0.0</v>
      </c>
      <c r="J69" s="181">
        <v>0.0</v>
      </c>
      <c r="K69" s="181">
        <v>0.0</v>
      </c>
      <c r="L69" s="181">
        <v>0.0</v>
      </c>
      <c r="M69" s="181">
        <v>0.0</v>
      </c>
      <c r="N69" s="181">
        <v>0.0</v>
      </c>
      <c r="O69" s="181">
        <v>0.0</v>
      </c>
      <c r="P69" s="181">
        <v>0.0</v>
      </c>
      <c r="Q69" s="181">
        <v>0.0</v>
      </c>
      <c r="R69" s="181">
        <v>0.0</v>
      </c>
      <c r="S69" s="181">
        <v>0.0</v>
      </c>
      <c r="T69" s="181">
        <v>0.0</v>
      </c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81">
        <v>0.0</v>
      </c>
      <c r="H71" s="181">
        <v>0.0</v>
      </c>
      <c r="I71" s="181">
        <v>0.0</v>
      </c>
      <c r="J71" s="181">
        <v>0.0</v>
      </c>
      <c r="K71" s="181">
        <v>0.0</v>
      </c>
      <c r="L71" s="181">
        <v>0.0</v>
      </c>
      <c r="M71" s="181">
        <v>0.0</v>
      </c>
      <c r="N71" s="181">
        <v>0.0</v>
      </c>
      <c r="O71" s="181">
        <v>0.0</v>
      </c>
      <c r="P71" s="181">
        <v>0.0</v>
      </c>
      <c r="Q71" s="181">
        <v>0.0</v>
      </c>
      <c r="R71" s="181">
        <v>0.0</v>
      </c>
      <c r="S71" s="181">
        <v>0.0</v>
      </c>
      <c r="T71" s="181">
        <v>0.0</v>
      </c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81">
        <v>0.0</v>
      </c>
      <c r="H72" s="181">
        <v>0.0</v>
      </c>
      <c r="I72" s="181">
        <v>0.0</v>
      </c>
      <c r="J72" s="181">
        <v>0.0</v>
      </c>
      <c r="K72" s="181">
        <v>0.0</v>
      </c>
      <c r="L72" s="181">
        <v>0.0</v>
      </c>
      <c r="M72" s="181">
        <v>0.0</v>
      </c>
      <c r="N72" s="181">
        <v>0.0</v>
      </c>
      <c r="O72" s="181">
        <v>0.0</v>
      </c>
      <c r="P72" s="181">
        <v>0.0</v>
      </c>
      <c r="Q72" s="181">
        <v>0.0</v>
      </c>
      <c r="R72" s="181">
        <v>0.0</v>
      </c>
      <c r="S72" s="181">
        <v>0.0</v>
      </c>
      <c r="T72" s="181">
        <v>0.0</v>
      </c>
      <c r="U72" s="182">
        <v>0.0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81">
        <v>0.0</v>
      </c>
      <c r="H73" s="181">
        <v>0.0</v>
      </c>
      <c r="I73" s="181">
        <v>0.0</v>
      </c>
      <c r="J73" s="181">
        <v>0.0</v>
      </c>
      <c r="K73" s="181">
        <v>0.0</v>
      </c>
      <c r="L73" s="181">
        <v>0.0</v>
      </c>
      <c r="M73" s="181">
        <v>0.0</v>
      </c>
      <c r="N73" s="181">
        <v>0.0</v>
      </c>
      <c r="O73" s="181">
        <v>0.0</v>
      </c>
      <c r="P73" s="181">
        <v>0.0</v>
      </c>
      <c r="Q73" s="181">
        <v>0.0</v>
      </c>
      <c r="R73" s="181">
        <v>0.0</v>
      </c>
      <c r="S73" s="181">
        <v>0.0</v>
      </c>
      <c r="T73" s="181">
        <v>0.0</v>
      </c>
      <c r="U73" s="144">
        <f>IFERROR(I73/H73,0)</f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81">
        <v>1.0</v>
      </c>
      <c r="H75" s="181">
        <v>1.0</v>
      </c>
      <c r="I75" s="181">
        <v>1.0</v>
      </c>
      <c r="J75" s="181">
        <v>1.0</v>
      </c>
      <c r="K75" s="181">
        <v>1.0</v>
      </c>
      <c r="L75" s="181">
        <v>0.0</v>
      </c>
      <c r="M75" s="181">
        <v>3.0</v>
      </c>
      <c r="N75" s="181">
        <v>0.0</v>
      </c>
      <c r="O75" s="181">
        <v>0.0</v>
      </c>
      <c r="P75" s="181">
        <v>0.0</v>
      </c>
      <c r="Q75" s="181">
        <v>0.0</v>
      </c>
      <c r="R75" s="181">
        <v>1.0</v>
      </c>
      <c r="S75" s="181">
        <v>1.0</v>
      </c>
      <c r="T75" s="181">
        <v>2385.0</v>
      </c>
      <c r="U75" s="104">
        <f t="shared" ref="U75:U83" si="6">IFERROR(I75/H75,0)</f>
        <v>1</v>
      </c>
      <c r="V75" s="104">
        <f t="shared" ref="V75:V83" si="7">IFERROR(SUM(H75+L75)/G75,0)</f>
        <v>1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8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2" t="s">
        <v>26</v>
      </c>
      <c r="B40" s="113" t="s">
        <v>27</v>
      </c>
      <c r="C40" s="114" t="s">
        <v>57</v>
      </c>
      <c r="D40" s="115" t="s">
        <v>52</v>
      </c>
      <c r="E40" s="112" t="s">
        <v>53</v>
      </c>
      <c r="F40" s="114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6" t="s">
        <v>26</v>
      </c>
      <c r="B41" s="117" t="s">
        <v>27</v>
      </c>
      <c r="C41" s="118" t="s">
        <v>57</v>
      </c>
      <c r="D41" s="119"/>
      <c r="E41" s="118"/>
      <c r="F41" s="118" t="s">
        <v>58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57</v>
      </c>
      <c r="D42" s="119"/>
      <c r="E42" s="118"/>
      <c r="F42" s="118" t="s">
        <v>59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57</v>
      </c>
      <c r="D43" s="119"/>
      <c r="E43" s="118" t="s">
        <v>53</v>
      </c>
      <c r="F43" s="118" t="s">
        <v>60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57</v>
      </c>
      <c r="D44" s="119"/>
      <c r="E44" s="118" t="s">
        <v>61</v>
      </c>
      <c r="F44" s="118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20" t="s">
        <v>27</v>
      </c>
      <c r="C45" s="118" t="s">
        <v>57</v>
      </c>
      <c r="D45" s="119"/>
      <c r="E45" s="118" t="s">
        <v>63</v>
      </c>
      <c r="F45" s="118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1" t="s">
        <v>26</v>
      </c>
      <c r="B46" s="122" t="s">
        <v>28</v>
      </c>
      <c r="C46" s="122"/>
      <c r="D46" s="123" t="s">
        <v>52</v>
      </c>
      <c r="E46" s="122" t="s">
        <v>65</v>
      </c>
      <c r="F46" s="124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5" t="s">
        <v>26</v>
      </c>
      <c r="B47" s="126" t="s">
        <v>28</v>
      </c>
      <c r="C47" s="126"/>
      <c r="D47" s="127"/>
      <c r="E47" s="126" t="s">
        <v>61</v>
      </c>
      <c r="F47" s="126" t="s">
        <v>66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5" t="s">
        <v>26</v>
      </c>
      <c r="B48" s="128" t="s">
        <v>28</v>
      </c>
      <c r="C48" s="126"/>
      <c r="D48" s="127"/>
      <c r="E48" s="126" t="s">
        <v>61</v>
      </c>
      <c r="F48" s="126" t="s">
        <v>67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5" t="s">
        <v>26</v>
      </c>
      <c r="B49" s="128" t="s">
        <v>28</v>
      </c>
      <c r="C49" s="126"/>
      <c r="D49" s="127"/>
      <c r="E49" s="126" t="s">
        <v>61</v>
      </c>
      <c r="F49" s="126" t="s">
        <v>68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3" t="s">
        <v>28</v>
      </c>
      <c r="C50" s="112" t="s">
        <v>69</v>
      </c>
      <c r="D50" s="130" t="s">
        <v>52</v>
      </c>
      <c r="E50" s="112" t="s">
        <v>70</v>
      </c>
      <c r="F50" s="112" t="s">
        <v>69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31" t="s">
        <v>26</v>
      </c>
      <c r="B51" s="117" t="s">
        <v>28</v>
      </c>
      <c r="C51" s="118" t="s">
        <v>69</v>
      </c>
      <c r="D51" s="132"/>
      <c r="E51" s="118" t="s">
        <v>61</v>
      </c>
      <c r="F51" s="118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31" t="s">
        <v>26</v>
      </c>
      <c r="B52" s="117" t="s">
        <v>28</v>
      </c>
      <c r="C52" s="118" t="s">
        <v>69</v>
      </c>
      <c r="D52" s="132"/>
      <c r="E52" s="118"/>
      <c r="F52" s="118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1" t="s">
        <v>26</v>
      </c>
      <c r="B53" s="117" t="s">
        <v>28</v>
      </c>
      <c r="C53" s="118" t="s">
        <v>69</v>
      </c>
      <c r="D53" s="132"/>
      <c r="E53" s="118" t="s">
        <v>37</v>
      </c>
      <c r="F53" s="118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21" t="s">
        <v>26</v>
      </c>
      <c r="B54" s="109" t="s">
        <v>29</v>
      </c>
      <c r="C54" s="109"/>
      <c r="D54" s="122" t="s">
        <v>52</v>
      </c>
      <c r="E54" s="109" t="s">
        <v>74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3" t="s">
        <v>26</v>
      </c>
      <c r="B55" s="134" t="s">
        <v>29</v>
      </c>
      <c r="C55" s="134" t="s">
        <v>75</v>
      </c>
      <c r="D55" s="134" t="s">
        <v>52</v>
      </c>
      <c r="E55" s="134" t="s">
        <v>74</v>
      </c>
      <c r="F55" s="134" t="s">
        <v>75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5" t="s">
        <v>26</v>
      </c>
      <c r="B56" s="126" t="s">
        <v>29</v>
      </c>
      <c r="C56" s="126" t="s">
        <v>75</v>
      </c>
      <c r="D56" s="135"/>
      <c r="E56" s="126" t="s">
        <v>74</v>
      </c>
      <c r="F56" s="126" t="s">
        <v>76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5" t="s">
        <v>26</v>
      </c>
      <c r="B57" s="126" t="s">
        <v>29</v>
      </c>
      <c r="C57" s="126" t="s">
        <v>75</v>
      </c>
      <c r="D57" s="135"/>
      <c r="E57" s="126" t="s">
        <v>74</v>
      </c>
      <c r="F57" s="126" t="s">
        <v>77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6" t="s">
        <v>26</v>
      </c>
      <c r="B58" s="109" t="s">
        <v>30</v>
      </c>
      <c r="C58" s="137"/>
      <c r="D58" s="122" t="s">
        <v>52</v>
      </c>
      <c r="E58" s="109" t="s">
        <v>78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5" t="s">
        <v>26</v>
      </c>
      <c r="B59" s="128" t="s">
        <v>30</v>
      </c>
      <c r="C59" s="128"/>
      <c r="D59" s="138"/>
      <c r="E59" s="128"/>
      <c r="F59" s="128" t="s">
        <v>79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5" t="s">
        <v>26</v>
      </c>
      <c r="B60" s="128" t="s">
        <v>30</v>
      </c>
      <c r="C60" s="128"/>
      <c r="D60" s="138"/>
      <c r="E60" s="128" t="s">
        <v>53</v>
      </c>
      <c r="F60" s="128" t="s">
        <v>80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3" t="s">
        <v>30</v>
      </c>
      <c r="C61" s="113" t="s">
        <v>81</v>
      </c>
      <c r="D61" s="113" t="s">
        <v>52</v>
      </c>
      <c r="E61" s="113"/>
      <c r="F61" s="113" t="s">
        <v>81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17" t="s">
        <v>30</v>
      </c>
      <c r="C62" s="118" t="s">
        <v>81</v>
      </c>
      <c r="D62" s="112"/>
      <c r="E62" s="118"/>
      <c r="F62" s="118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31" t="s">
        <v>26</v>
      </c>
      <c r="B63" s="117" t="s">
        <v>30</v>
      </c>
      <c r="C63" s="118" t="s">
        <v>81</v>
      </c>
      <c r="D63" s="112"/>
      <c r="E63" s="118"/>
      <c r="F63" s="118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3" t="s">
        <v>26</v>
      </c>
      <c r="B64" s="138" t="s">
        <v>30</v>
      </c>
      <c r="C64" s="138" t="s">
        <v>84</v>
      </c>
      <c r="D64" s="138" t="s">
        <v>52</v>
      </c>
      <c r="E64" s="138"/>
      <c r="F64" s="138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5" t="s">
        <v>26</v>
      </c>
      <c r="B65" s="139" t="s">
        <v>30</v>
      </c>
      <c r="C65" s="139" t="s">
        <v>84</v>
      </c>
      <c r="D65" s="138"/>
      <c r="E65" s="128"/>
      <c r="F65" s="128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5" t="s">
        <v>26</v>
      </c>
      <c r="B66" s="128" t="s">
        <v>30</v>
      </c>
      <c r="C66" s="128" t="s">
        <v>84</v>
      </c>
      <c r="D66" s="138"/>
      <c r="E66" s="128"/>
      <c r="F66" s="12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40" t="s">
        <v>31</v>
      </c>
      <c r="B68" s="140"/>
      <c r="C68" s="141"/>
      <c r="D68" s="142" t="s">
        <v>52</v>
      </c>
      <c r="E68" s="142" t="s">
        <v>53</v>
      </c>
      <c r="F68" s="140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87</v>
      </c>
      <c r="D69" s="143" t="s">
        <v>52</v>
      </c>
      <c r="E69" s="112" t="s">
        <v>88</v>
      </c>
      <c r="F69" s="112" t="s">
        <v>87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4">
        <f t="shared" si="4"/>
        <v>0</v>
      </c>
      <c r="V69" s="144">
        <f t="shared" si="5"/>
        <v>0</v>
      </c>
      <c r="W69" s="145"/>
    </row>
    <row r="70" ht="13.5" customHeight="1">
      <c r="A70" s="118" t="s">
        <v>31</v>
      </c>
      <c r="B70" s="118"/>
      <c r="C70" s="118" t="s">
        <v>87</v>
      </c>
      <c r="D70" s="146"/>
      <c r="E70" s="118"/>
      <c r="F70" s="118" t="s">
        <v>89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44">
        <f t="shared" si="4"/>
        <v>0</v>
      </c>
      <c r="V70" s="144">
        <f t="shared" si="5"/>
        <v>0</v>
      </c>
      <c r="W70" s="145"/>
    </row>
    <row r="71" ht="12.75" customHeight="1">
      <c r="A71" s="102" t="s">
        <v>31</v>
      </c>
      <c r="B71" s="102"/>
      <c r="C71" s="102" t="s">
        <v>90</v>
      </c>
      <c r="D71" s="147" t="s">
        <v>52</v>
      </c>
      <c r="E71" s="102" t="s">
        <v>55</v>
      </c>
      <c r="F71" s="102" t="s">
        <v>90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44">
        <f t="shared" si="4"/>
        <v>0</v>
      </c>
      <c r="V71" s="144">
        <f t="shared" si="5"/>
        <v>0</v>
      </c>
      <c r="W71" s="145"/>
    </row>
    <row r="72" ht="12.75" customHeight="1">
      <c r="A72" s="111" t="s">
        <v>31</v>
      </c>
      <c r="B72" s="111"/>
      <c r="C72" s="111" t="s">
        <v>90</v>
      </c>
      <c r="D72" s="148"/>
      <c r="E72" s="111" t="s">
        <v>61</v>
      </c>
      <c r="F72" s="111" t="s">
        <v>91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44">
        <f t="shared" si="4"/>
        <v>0</v>
      </c>
      <c r="V72" s="144">
        <f t="shared" si="5"/>
        <v>0</v>
      </c>
      <c r="W72" s="145"/>
    </row>
    <row r="73" ht="12.75" customHeight="1">
      <c r="A73" s="111" t="s">
        <v>31</v>
      </c>
      <c r="B73" s="111"/>
      <c r="C73" s="111" t="s">
        <v>90</v>
      </c>
      <c r="D73" s="148"/>
      <c r="E73" s="111" t="s">
        <v>92</v>
      </c>
      <c r="F73" s="111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4">
        <f t="shared" si="4"/>
        <v>0</v>
      </c>
      <c r="V73" s="144">
        <f t="shared" si="5"/>
        <v>0</v>
      </c>
      <c r="W73" s="145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9" t="s">
        <v>32</v>
      </c>
      <c r="B75" s="140"/>
      <c r="C75" s="142"/>
      <c r="D75" s="150" t="s">
        <v>52</v>
      </c>
      <c r="E75" s="140" t="s">
        <v>94</v>
      </c>
      <c r="F75" s="140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6" t="s">
        <v>32</v>
      </c>
      <c r="B76" s="126"/>
      <c r="C76" s="151"/>
      <c r="D76" s="127"/>
      <c r="E76" s="126" t="s">
        <v>95</v>
      </c>
      <c r="F76" s="126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6" t="s">
        <v>32</v>
      </c>
      <c r="B77" s="126"/>
      <c r="C77" s="126"/>
      <c r="D77" s="152"/>
      <c r="E77" s="126" t="s">
        <v>94</v>
      </c>
      <c r="F77" s="126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6" t="s">
        <v>32</v>
      </c>
      <c r="B78" s="126"/>
      <c r="C78" s="126"/>
      <c r="D78" s="152"/>
      <c r="E78" s="126" t="s">
        <v>94</v>
      </c>
      <c r="F78" s="126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6" t="s">
        <v>32</v>
      </c>
      <c r="B79" s="126"/>
      <c r="C79" s="126"/>
      <c r="D79" s="152"/>
      <c r="E79" s="126" t="s">
        <v>94</v>
      </c>
      <c r="F79" s="126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6" t="s">
        <v>32</v>
      </c>
      <c r="B80" s="126"/>
      <c r="C80" s="126"/>
      <c r="D80" s="152"/>
      <c r="E80" s="126" t="s">
        <v>94</v>
      </c>
      <c r="F80" s="126" t="s">
        <v>100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6" t="s">
        <v>32</v>
      </c>
      <c r="B81" s="126"/>
      <c r="C81" s="126"/>
      <c r="D81" s="152"/>
      <c r="E81" s="126" t="s">
        <v>94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6" t="s">
        <v>32</v>
      </c>
      <c r="B82" s="126"/>
      <c r="C82" s="126"/>
      <c r="D82" s="152"/>
      <c r="E82" s="126" t="s">
        <v>94</v>
      </c>
      <c r="F82" s="126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6" t="s">
        <v>32</v>
      </c>
      <c r="B83" s="126"/>
      <c r="C83" s="126"/>
      <c r="D83" s="152"/>
      <c r="E83" s="126" t="s">
        <v>94</v>
      </c>
      <c r="F83" s="126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3" t="s">
        <v>33</v>
      </c>
      <c r="B85" s="153"/>
      <c r="C85" s="153"/>
      <c r="D85" s="154" t="s">
        <v>52</v>
      </c>
      <c r="E85" s="153" t="s">
        <v>104</v>
      </c>
      <c r="F85" s="153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5" t="s">
        <v>33</v>
      </c>
      <c r="B86" s="148"/>
      <c r="C86" s="148"/>
      <c r="D86" s="101"/>
      <c r="E86" s="111" t="s">
        <v>70</v>
      </c>
      <c r="F86" s="111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6" t="s">
        <v>33</v>
      </c>
      <c r="B87" s="156"/>
      <c r="C87" s="114" t="s">
        <v>106</v>
      </c>
      <c r="D87" s="115" t="s">
        <v>52</v>
      </c>
      <c r="E87" s="112" t="s">
        <v>61</v>
      </c>
      <c r="F87" s="114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7" t="s">
        <v>33</v>
      </c>
      <c r="B88" s="158"/>
      <c r="C88" s="157" t="s">
        <v>106</v>
      </c>
      <c r="D88" s="115"/>
      <c r="E88" s="112"/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7" t="s">
        <v>33</v>
      </c>
      <c r="B89" s="158"/>
      <c r="C89" s="157" t="s">
        <v>106</v>
      </c>
      <c r="D89" s="115"/>
      <c r="E89" s="112"/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8"/>
        <v>0</v>
      </c>
      <c r="V89" s="104">
        <f t="shared" si="9"/>
        <v>0</v>
      </c>
      <c r="W89" s="105"/>
    </row>
    <row r="90" ht="12.75" customHeight="1">
      <c r="A90" s="153" t="s">
        <v>33</v>
      </c>
      <c r="B90" s="153"/>
      <c r="C90" s="134" t="s">
        <v>109</v>
      </c>
      <c r="D90" s="160" t="s">
        <v>52</v>
      </c>
      <c r="E90" s="134" t="s">
        <v>110</v>
      </c>
      <c r="F90" s="134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5" t="s">
        <v>33</v>
      </c>
      <c r="B91" s="155"/>
      <c r="C91" s="126" t="s">
        <v>109</v>
      </c>
      <c r="D91" s="161"/>
      <c r="E91" s="126" t="s">
        <v>61</v>
      </c>
      <c r="F91" s="126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2" t="s">
        <v>34</v>
      </c>
      <c r="B93" s="163"/>
      <c r="C93" s="163"/>
      <c r="D93" s="162" t="s">
        <v>52</v>
      </c>
      <c r="E93" s="162" t="s">
        <v>55</v>
      </c>
      <c r="F93" s="162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4" t="s">
        <v>34</v>
      </c>
      <c r="B94" s="163"/>
      <c r="C94" s="163"/>
      <c r="D94" s="163"/>
      <c r="E94" s="164" t="s">
        <v>61</v>
      </c>
      <c r="F94" s="164" t="s">
        <v>112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4" t="s">
        <v>34</v>
      </c>
      <c r="B95" s="163"/>
      <c r="C95" s="163"/>
      <c r="D95" s="163"/>
      <c r="E95" s="164" t="s">
        <v>55</v>
      </c>
      <c r="F95" s="164" t="s">
        <v>113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4" t="s">
        <v>34</v>
      </c>
      <c r="B96" s="163"/>
      <c r="C96" s="163"/>
      <c r="D96" s="163"/>
      <c r="E96" s="164" t="s">
        <v>70</v>
      </c>
      <c r="F96" s="164" t="s">
        <v>114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4" t="s">
        <v>34</v>
      </c>
      <c r="B97" s="163"/>
      <c r="C97" s="163"/>
      <c r="D97" s="163"/>
      <c r="E97" s="164" t="s">
        <v>55</v>
      </c>
      <c r="F97" s="164" t="s">
        <v>115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5" t="s">
        <v>34</v>
      </c>
      <c r="B98" s="166"/>
      <c r="C98" s="165"/>
      <c r="D98" s="166"/>
      <c r="E98" s="165"/>
      <c r="F98" s="165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/>
      <c r="D99" s="166"/>
      <c r="E99" s="165"/>
      <c r="F99" s="165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/>
      <c r="D100" s="166"/>
      <c r="E100" s="165"/>
      <c r="F100" s="165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/>
      <c r="D101" s="166"/>
      <c r="E101" s="165"/>
      <c r="F101" s="165" t="s">
        <v>119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5" t="s">
        <v>34</v>
      </c>
      <c r="B102" s="166"/>
      <c r="C102" s="165"/>
      <c r="D102" s="166"/>
      <c r="E102" s="165"/>
      <c r="F102" s="165" t="s">
        <v>120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7" t="s">
        <v>34</v>
      </c>
      <c r="B103" s="168"/>
      <c r="C103" s="167" t="s">
        <v>121</v>
      </c>
      <c r="D103" s="169" t="s">
        <v>52</v>
      </c>
      <c r="E103" s="167" t="s">
        <v>110</v>
      </c>
      <c r="F103" s="167" t="s">
        <v>121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70" t="s">
        <v>34</v>
      </c>
      <c r="B104" s="171"/>
      <c r="C104" s="170" t="s">
        <v>121</v>
      </c>
      <c r="D104" s="171"/>
      <c r="E104" s="170" t="s">
        <v>122</v>
      </c>
      <c r="F104" s="170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70" t="s">
        <v>34</v>
      </c>
      <c r="B105" s="171"/>
      <c r="C105" s="170" t="s">
        <v>121</v>
      </c>
      <c r="D105" s="171"/>
      <c r="E105" s="170" t="s">
        <v>124</v>
      </c>
      <c r="F105" s="170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70" t="s">
        <v>34</v>
      </c>
      <c r="B106" s="171"/>
      <c r="C106" s="170" t="s">
        <v>121</v>
      </c>
      <c r="D106" s="171"/>
      <c r="E106" s="170"/>
      <c r="F106" s="170" t="s">
        <v>123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70" t="s">
        <v>34</v>
      </c>
      <c r="B107" s="171"/>
      <c r="C107" s="170" t="s">
        <v>121</v>
      </c>
      <c r="D107" s="171"/>
      <c r="E107" s="170"/>
      <c r="F107" s="170" t="s">
        <v>126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2" t="s">
        <v>34</v>
      </c>
      <c r="B108" s="172"/>
      <c r="C108" s="162" t="s">
        <v>127</v>
      </c>
      <c r="D108" s="162" t="s">
        <v>52</v>
      </c>
      <c r="E108" s="162" t="s">
        <v>128</v>
      </c>
      <c r="F108" s="162" t="s">
        <v>127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5" t="s">
        <v>34</v>
      </c>
      <c r="B109" s="166"/>
      <c r="C109" s="165" t="s">
        <v>127</v>
      </c>
      <c r="D109" s="166"/>
      <c r="E109" s="165"/>
      <c r="F109" s="165" t="s">
        <v>129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4" t="s">
        <v>35</v>
      </c>
      <c r="B111" s="152"/>
      <c r="C111" s="134"/>
      <c r="D111" s="134" t="s">
        <v>52</v>
      </c>
      <c r="E111" s="134" t="s">
        <v>61</v>
      </c>
      <c r="F111" s="134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4">
        <f t="shared" ref="U111:U112" si="12">IFERROR(I111/H111,0)</f>
        <v>0</v>
      </c>
      <c r="V111" s="144">
        <f t="shared" ref="V111:V112" si="13">IFERROR(SUM(H111+L111)/G111,0)</f>
        <v>0</v>
      </c>
      <c r="W111" s="145"/>
    </row>
    <row r="112" ht="12.75" customHeight="1">
      <c r="A112" s="112" t="s">
        <v>35</v>
      </c>
      <c r="B112" s="130"/>
      <c r="C112" s="112" t="s">
        <v>130</v>
      </c>
      <c r="D112" s="112" t="s">
        <v>52</v>
      </c>
      <c r="E112" s="112"/>
      <c r="F112" s="112" t="s">
        <v>130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4">
        <f t="shared" si="12"/>
        <v>0</v>
      </c>
      <c r="V112" s="144">
        <f t="shared" si="13"/>
        <v>0</v>
      </c>
      <c r="W112" s="145"/>
    </row>
    <row r="113" ht="12.75" customHeight="1">
      <c r="A113" s="173"/>
      <c r="B113" s="173"/>
      <c r="C113" s="173"/>
      <c r="D113" s="1"/>
      <c r="E113" s="173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6"/>
      <c r="V113" s="176"/>
      <c r="W113" s="176"/>
    </row>
    <row r="114" ht="12.75" customHeight="1">
      <c r="A114" s="173"/>
      <c r="B114" s="173"/>
      <c r="C114" s="173"/>
      <c r="D114" s="1"/>
      <c r="E114" s="173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6"/>
      <c r="V114" s="176"/>
      <c r="W114" s="176"/>
    </row>
    <row r="115" ht="12.75" customHeight="1">
      <c r="A115" s="173"/>
      <c r="B115" s="173"/>
      <c r="C115" s="173"/>
      <c r="D115" s="1"/>
      <c r="E115" s="173"/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6"/>
      <c r="V115" s="176"/>
      <c r="W115" s="176"/>
    </row>
    <row r="116" ht="12.75" customHeight="1">
      <c r="A116" s="173"/>
      <c r="B116" s="173"/>
      <c r="C116" s="173"/>
      <c r="D116" s="1"/>
      <c r="E116" s="173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6"/>
      <c r="V116" s="176"/>
      <c r="W116" s="176"/>
    </row>
    <row r="117" ht="12.75" customHeight="1">
      <c r="A117" s="173"/>
      <c r="B117" s="173"/>
      <c r="C117" s="173"/>
      <c r="D117" s="1"/>
      <c r="E117" s="173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6"/>
      <c r="V117" s="176"/>
      <c r="W117" s="176"/>
    </row>
    <row r="118" ht="12.75" customHeight="1">
      <c r="A118" s="173"/>
      <c r="B118" s="173"/>
      <c r="C118" s="173"/>
      <c r="D118" s="1"/>
      <c r="E118" s="173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6"/>
      <c r="V118" s="176"/>
      <c r="W118" s="176"/>
    </row>
    <row r="119" ht="12.75" customHeight="1">
      <c r="A119" s="173"/>
      <c r="B119" s="173"/>
      <c r="C119" s="173"/>
      <c r="D119" s="1"/>
      <c r="E119" s="173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6"/>
      <c r="V119" s="176"/>
      <c r="W119" s="176"/>
    </row>
    <row r="120" ht="12.75" customHeight="1">
      <c r="A120" s="173"/>
      <c r="B120" s="173"/>
      <c r="C120" s="173"/>
      <c r="D120" s="1"/>
      <c r="E120" s="173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6"/>
      <c r="V120" s="176"/>
      <c r="W120" s="176"/>
    </row>
    <row r="121" ht="12.75" customHeight="1">
      <c r="A121" s="173"/>
      <c r="B121" s="173"/>
      <c r="C121" s="173"/>
      <c r="D121" s="1"/>
      <c r="E121" s="173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6"/>
      <c r="V121" s="176"/>
      <c r="W121" s="176"/>
    </row>
    <row r="122" ht="12.75" customHeight="1">
      <c r="A122" s="173"/>
      <c r="B122" s="173"/>
      <c r="C122" s="173"/>
      <c r="D122" s="1"/>
      <c r="E122" s="173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6"/>
      <c r="V122" s="176"/>
      <c r="W122" s="176"/>
    </row>
    <row r="123" ht="12.75" customHeight="1">
      <c r="A123" s="173"/>
      <c r="B123" s="173"/>
      <c r="C123" s="173"/>
      <c r="D123" s="1"/>
      <c r="E123" s="173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6"/>
      <c r="V123" s="176"/>
      <c r="W123" s="176"/>
    </row>
    <row r="124" ht="12.75" customHeight="1">
      <c r="A124" s="173"/>
      <c r="B124" s="173"/>
      <c r="C124" s="173"/>
      <c r="D124" s="1"/>
      <c r="E124" s="173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6"/>
      <c r="V124" s="176"/>
      <c r="W124" s="176"/>
    </row>
    <row r="125" ht="12.75" customHeight="1">
      <c r="A125" s="173"/>
      <c r="B125" s="173"/>
      <c r="C125" s="173"/>
      <c r="D125" s="1"/>
      <c r="E125" s="173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6"/>
      <c r="V125" s="176"/>
      <c r="W125" s="176"/>
    </row>
    <row r="126" ht="12.75" customHeight="1">
      <c r="A126" s="173"/>
      <c r="B126" s="173"/>
      <c r="C126" s="173"/>
      <c r="D126" s="1"/>
      <c r="E126" s="173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6"/>
      <c r="V126" s="176"/>
      <c r="W126" s="176"/>
    </row>
    <row r="127" ht="12.75" customHeight="1">
      <c r="A127" s="173"/>
      <c r="B127" s="173"/>
      <c r="C127" s="173"/>
      <c r="D127" s="1"/>
      <c r="E127" s="173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6"/>
      <c r="V127" s="176"/>
      <c r="W127" s="176"/>
    </row>
    <row r="128" ht="12.75" customHeight="1">
      <c r="A128" s="173"/>
      <c r="B128" s="173"/>
      <c r="C128" s="173"/>
      <c r="D128" s="1"/>
      <c r="E128" s="173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6"/>
      <c r="V128" s="176"/>
      <c r="W128" s="176"/>
    </row>
    <row r="129" ht="12.75" customHeight="1">
      <c r="A129" s="173"/>
      <c r="B129" s="173"/>
      <c r="C129" s="173"/>
      <c r="D129" s="1"/>
      <c r="E129" s="173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6"/>
      <c r="V129" s="176"/>
      <c r="W129" s="176"/>
    </row>
    <row r="130" ht="12.75" customHeight="1">
      <c r="A130" s="173"/>
      <c r="B130" s="173"/>
      <c r="C130" s="173"/>
      <c r="D130" s="1"/>
      <c r="E130" s="173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6"/>
      <c r="V130" s="176"/>
      <c r="W130" s="176"/>
    </row>
    <row r="131" ht="12.75" customHeight="1">
      <c r="A131" s="173"/>
      <c r="B131" s="173"/>
      <c r="C131" s="173"/>
      <c r="D131" s="1"/>
      <c r="E131" s="173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6"/>
      <c r="V131" s="176"/>
      <c r="W131" s="176"/>
    </row>
    <row r="132" ht="12.75" customHeight="1">
      <c r="A132" s="173"/>
      <c r="B132" s="173"/>
      <c r="C132" s="173"/>
      <c r="D132" s="1"/>
      <c r="E132" s="173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6"/>
      <c r="V132" s="176"/>
      <c r="W132" s="176"/>
    </row>
    <row r="133" ht="12.75" customHeight="1">
      <c r="A133" s="173"/>
      <c r="B133" s="173"/>
      <c r="C133" s="173"/>
      <c r="D133" s="1"/>
      <c r="E133" s="173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6"/>
      <c r="V133" s="176"/>
      <c r="W133" s="176"/>
    </row>
    <row r="134" ht="12.75" customHeight="1">
      <c r="A134" s="173"/>
      <c r="B134" s="173"/>
      <c r="C134" s="173"/>
      <c r="D134" s="1"/>
      <c r="E134" s="173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6"/>
      <c r="V134" s="176"/>
      <c r="W134" s="176"/>
    </row>
    <row r="135" ht="12.75" customHeight="1">
      <c r="A135" s="173"/>
      <c r="B135" s="173"/>
      <c r="C135" s="173"/>
      <c r="D135" s="1"/>
      <c r="E135" s="173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6"/>
      <c r="V135" s="176"/>
      <c r="W135" s="176"/>
    </row>
    <row r="136" ht="12.75" customHeight="1">
      <c r="A136" s="173"/>
      <c r="B136" s="173"/>
      <c r="C136" s="173"/>
      <c r="D136" s="1"/>
      <c r="E136" s="173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6"/>
      <c r="V136" s="176"/>
      <c r="W136" s="176"/>
    </row>
    <row r="137" ht="12.75" customHeight="1">
      <c r="A137" s="173"/>
      <c r="B137" s="173"/>
      <c r="C137" s="173"/>
      <c r="D137" s="1"/>
      <c r="E137" s="173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6"/>
      <c r="V137" s="176"/>
      <c r="W137" s="176"/>
    </row>
    <row r="138" ht="12.75" customHeight="1">
      <c r="A138" s="173"/>
      <c r="B138" s="173"/>
      <c r="C138" s="173"/>
      <c r="D138" s="1"/>
      <c r="E138" s="173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6"/>
      <c r="V138" s="176"/>
      <c r="W138" s="176"/>
    </row>
    <row r="139" ht="12.75" customHeight="1">
      <c r="A139" s="173"/>
      <c r="B139" s="173"/>
      <c r="C139" s="173"/>
      <c r="D139" s="1"/>
      <c r="E139" s="173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6"/>
      <c r="V139" s="176"/>
      <c r="W139" s="176"/>
    </row>
    <row r="140" ht="12.75" customHeight="1">
      <c r="A140" s="173"/>
      <c r="B140" s="173"/>
      <c r="C140" s="173"/>
      <c r="D140" s="1"/>
      <c r="E140" s="173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6"/>
      <c r="V140" s="176"/>
      <c r="W140" s="176"/>
    </row>
    <row r="141" ht="12.75" customHeight="1">
      <c r="A141" s="173"/>
      <c r="B141" s="173"/>
      <c r="C141" s="173"/>
      <c r="D141" s="1"/>
      <c r="E141" s="173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6"/>
      <c r="V141" s="176"/>
      <c r="W141" s="176"/>
    </row>
    <row r="142" ht="12.75" customHeight="1">
      <c r="A142" s="173"/>
      <c r="B142" s="173"/>
      <c r="C142" s="173"/>
      <c r="D142" s="1"/>
      <c r="E142" s="173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6"/>
      <c r="V142" s="176"/>
      <c r="W142" s="176"/>
    </row>
    <row r="143" ht="12.75" customHeight="1">
      <c r="A143" s="173"/>
      <c r="B143" s="173"/>
      <c r="C143" s="173"/>
      <c r="D143" s="1"/>
      <c r="E143" s="173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6"/>
      <c r="V143" s="176"/>
      <c r="W143" s="176"/>
    </row>
    <row r="144" ht="12.75" customHeight="1">
      <c r="A144" s="173"/>
      <c r="B144" s="173"/>
      <c r="C144" s="173"/>
      <c r="D144" s="1"/>
      <c r="E144" s="173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6"/>
      <c r="V144" s="176"/>
      <c r="W144" s="176"/>
    </row>
    <row r="145" ht="12.75" customHeight="1">
      <c r="A145" s="173"/>
      <c r="B145" s="173"/>
      <c r="C145" s="173"/>
      <c r="D145" s="1"/>
      <c r="E145" s="173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6"/>
      <c r="V145" s="176"/>
      <c r="W145" s="176"/>
    </row>
    <row r="146" ht="12.75" customHeight="1">
      <c r="A146" s="173"/>
      <c r="B146" s="173"/>
      <c r="C146" s="173"/>
      <c r="D146" s="1"/>
      <c r="E146" s="173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6"/>
      <c r="V146" s="176"/>
      <c r="W146" s="176"/>
    </row>
    <row r="147" ht="12.75" customHeight="1">
      <c r="A147" s="173"/>
      <c r="B147" s="173"/>
      <c r="C147" s="173"/>
      <c r="D147" s="1"/>
      <c r="E147" s="173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6"/>
      <c r="V147" s="176"/>
      <c r="W147" s="176"/>
    </row>
    <row r="148" ht="12.75" customHeight="1">
      <c r="A148" s="173"/>
      <c r="B148" s="173"/>
      <c r="C148" s="173"/>
      <c r="D148" s="1"/>
      <c r="E148" s="173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6"/>
      <c r="V148" s="176"/>
      <c r="W148" s="176"/>
    </row>
    <row r="149" ht="12.75" customHeight="1">
      <c r="A149" s="173"/>
      <c r="B149" s="173"/>
      <c r="C149" s="173"/>
      <c r="D149" s="1"/>
      <c r="E149" s="173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6"/>
      <c r="V149" s="176"/>
      <c r="W149" s="176"/>
    </row>
    <row r="150" ht="12.75" customHeight="1">
      <c r="A150" s="173"/>
      <c r="B150" s="173"/>
      <c r="C150" s="173"/>
      <c r="D150" s="1"/>
      <c r="E150" s="173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6"/>
      <c r="V150" s="176"/>
      <c r="W150" s="176"/>
    </row>
    <row r="151" ht="12.75" customHeight="1">
      <c r="A151" s="173"/>
      <c r="B151" s="173"/>
      <c r="C151" s="173"/>
      <c r="D151" s="1"/>
      <c r="E151" s="173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6"/>
      <c r="V151" s="176"/>
      <c r="W151" s="176"/>
    </row>
    <row r="152" ht="12.75" customHeight="1">
      <c r="A152" s="173"/>
      <c r="B152" s="173"/>
      <c r="C152" s="173"/>
      <c r="D152" s="1"/>
      <c r="E152" s="173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6"/>
      <c r="V152" s="176"/>
      <c r="W152" s="176"/>
    </row>
    <row r="153" ht="12.75" customHeight="1">
      <c r="A153" s="173"/>
      <c r="B153" s="173"/>
      <c r="C153" s="173"/>
      <c r="D153" s="1"/>
      <c r="E153" s="173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6"/>
      <c r="V153" s="176"/>
      <c r="W153" s="176"/>
    </row>
    <row r="154" ht="12.75" customHeight="1">
      <c r="A154" s="173"/>
      <c r="B154" s="173"/>
      <c r="C154" s="173"/>
      <c r="D154" s="1"/>
      <c r="E154" s="173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6"/>
      <c r="V154" s="176"/>
      <c r="W154" s="176"/>
    </row>
    <row r="155" ht="12.75" customHeight="1">
      <c r="A155" s="173"/>
      <c r="B155" s="173"/>
      <c r="C155" s="173"/>
      <c r="D155" s="1"/>
      <c r="E155" s="173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76"/>
      <c r="W155" s="176"/>
    </row>
    <row r="156" ht="12.75" customHeight="1">
      <c r="A156" s="173"/>
      <c r="B156" s="173"/>
      <c r="C156" s="173"/>
      <c r="D156" s="1"/>
      <c r="E156" s="173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6"/>
      <c r="V156" s="176"/>
      <c r="W156" s="176"/>
    </row>
    <row r="157" ht="12.75" customHeight="1">
      <c r="A157" s="173"/>
      <c r="B157" s="173"/>
      <c r="C157" s="173"/>
      <c r="D157" s="1"/>
      <c r="E157" s="173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6"/>
      <c r="V157" s="176"/>
      <c r="W157" s="176"/>
    </row>
    <row r="158" ht="12.75" customHeight="1">
      <c r="A158" s="173"/>
      <c r="B158" s="173"/>
      <c r="C158" s="173"/>
      <c r="D158" s="1"/>
      <c r="E158" s="173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6"/>
      <c r="V158" s="176"/>
      <c r="W158" s="176"/>
    </row>
    <row r="159" ht="12.75" customHeight="1">
      <c r="A159" s="173"/>
      <c r="B159" s="173"/>
      <c r="C159" s="173"/>
      <c r="D159" s="1"/>
      <c r="E159" s="173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6"/>
      <c r="V159" s="176"/>
      <c r="W159" s="176"/>
    </row>
    <row r="160" ht="12.75" customHeight="1">
      <c r="A160" s="173"/>
      <c r="B160" s="173"/>
      <c r="C160" s="173"/>
      <c r="D160" s="1"/>
      <c r="E160" s="173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6"/>
      <c r="V160" s="176"/>
      <c r="W160" s="176"/>
    </row>
    <row r="161" ht="12.75" customHeight="1">
      <c r="A161" s="173"/>
      <c r="B161" s="173"/>
      <c r="C161" s="173"/>
      <c r="D161" s="1"/>
      <c r="E161" s="173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6"/>
      <c r="V161" s="176"/>
      <c r="W161" s="176"/>
    </row>
    <row r="162" ht="12.75" customHeight="1">
      <c r="A162" s="173"/>
      <c r="B162" s="173"/>
      <c r="C162" s="173"/>
      <c r="D162" s="1"/>
      <c r="E162" s="173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6"/>
      <c r="V162" s="176"/>
      <c r="W162" s="176"/>
    </row>
    <row r="163" ht="12.75" customHeight="1">
      <c r="A163" s="173"/>
      <c r="B163" s="173"/>
      <c r="C163" s="173"/>
      <c r="D163" s="1"/>
      <c r="E163" s="173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6"/>
      <c r="V163" s="176"/>
      <c r="W163" s="176"/>
    </row>
    <row r="164" ht="12.75" customHeight="1">
      <c r="A164" s="173"/>
      <c r="B164" s="173"/>
      <c r="C164" s="173"/>
      <c r="D164" s="1"/>
      <c r="E164" s="173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6"/>
      <c r="V164" s="176"/>
      <c r="W164" s="176"/>
    </row>
    <row r="165" ht="12.75" customHeight="1">
      <c r="A165" s="173"/>
      <c r="B165" s="173"/>
      <c r="C165" s="173"/>
      <c r="D165" s="1"/>
      <c r="E165" s="173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6"/>
      <c r="V165" s="176"/>
      <c r="W165" s="176"/>
    </row>
    <row r="166" ht="12.75" customHeight="1">
      <c r="A166" s="173"/>
      <c r="B166" s="173"/>
      <c r="C166" s="173"/>
      <c r="D166" s="1"/>
      <c r="E166" s="173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6"/>
      <c r="V166" s="176"/>
      <c r="W166" s="176"/>
    </row>
    <row r="167" ht="12.75" customHeight="1">
      <c r="A167" s="173"/>
      <c r="B167" s="173"/>
      <c r="C167" s="173"/>
      <c r="D167" s="1"/>
      <c r="E167" s="173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6"/>
      <c r="V167" s="176"/>
      <c r="W167" s="176"/>
    </row>
    <row r="168" ht="12.75" customHeight="1">
      <c r="A168" s="173"/>
      <c r="B168" s="173"/>
      <c r="C168" s="173"/>
      <c r="D168" s="1"/>
      <c r="E168" s="173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6"/>
      <c r="V168" s="176"/>
      <c r="W168" s="176"/>
    </row>
    <row r="169" ht="12.75" customHeight="1">
      <c r="A169" s="173"/>
      <c r="B169" s="173"/>
      <c r="C169" s="173"/>
      <c r="D169" s="1"/>
      <c r="E169" s="173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6"/>
      <c r="V169" s="176"/>
      <c r="W169" s="176"/>
    </row>
    <row r="170" ht="12.75" customHeight="1">
      <c r="A170" s="173"/>
      <c r="B170" s="173"/>
      <c r="C170" s="173"/>
      <c r="D170" s="1"/>
      <c r="E170" s="173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6"/>
      <c r="V170" s="176"/>
      <c r="W170" s="176"/>
    </row>
    <row r="171" ht="12.75" customHeight="1">
      <c r="A171" s="173"/>
      <c r="B171" s="173"/>
      <c r="C171" s="173"/>
      <c r="D171" s="1"/>
      <c r="E171" s="173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6"/>
      <c r="V171" s="176"/>
      <c r="W171" s="176"/>
    </row>
    <row r="172" ht="12.75" customHeight="1">
      <c r="A172" s="173"/>
      <c r="B172" s="173"/>
      <c r="C172" s="173"/>
      <c r="D172" s="1"/>
      <c r="E172" s="173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6"/>
      <c r="V172" s="176"/>
      <c r="W172" s="176"/>
    </row>
    <row r="173" ht="12.75" customHeight="1">
      <c r="A173" s="173"/>
      <c r="B173" s="173"/>
      <c r="C173" s="173"/>
      <c r="D173" s="1"/>
      <c r="E173" s="173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6"/>
      <c r="V173" s="176"/>
      <c r="W173" s="176"/>
    </row>
    <row r="174" ht="12.75" customHeight="1">
      <c r="A174" s="173"/>
      <c r="B174" s="173"/>
      <c r="C174" s="173"/>
      <c r="D174" s="1"/>
      <c r="E174" s="173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6"/>
      <c r="V174" s="176"/>
      <c r="W174" s="176"/>
    </row>
    <row r="175" ht="12.75" customHeight="1">
      <c r="A175" s="173"/>
      <c r="B175" s="173"/>
      <c r="C175" s="173"/>
      <c r="D175" s="1"/>
      <c r="E175" s="173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6"/>
      <c r="V175" s="176"/>
      <c r="W175" s="176"/>
    </row>
    <row r="176" ht="12.75" customHeight="1">
      <c r="A176" s="173"/>
      <c r="B176" s="173"/>
      <c r="C176" s="173"/>
      <c r="D176" s="1"/>
      <c r="E176" s="173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6"/>
      <c r="V176" s="176"/>
      <c r="W176" s="176"/>
    </row>
    <row r="177" ht="12.75" customHeight="1">
      <c r="A177" s="173"/>
      <c r="B177" s="173"/>
      <c r="C177" s="173"/>
      <c r="D177" s="1"/>
      <c r="E177" s="173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6"/>
      <c r="V177" s="176"/>
      <c r="W177" s="176"/>
    </row>
    <row r="178" ht="12.75" customHeight="1">
      <c r="A178" s="173"/>
      <c r="B178" s="173"/>
      <c r="C178" s="173"/>
      <c r="D178" s="1"/>
      <c r="E178" s="173"/>
      <c r="F178" s="174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6"/>
      <c r="V178" s="176"/>
      <c r="W178" s="176"/>
    </row>
    <row r="179" ht="12.75" customHeight="1">
      <c r="A179" s="173"/>
      <c r="B179" s="173"/>
      <c r="C179" s="173"/>
      <c r="D179" s="1"/>
      <c r="E179" s="173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6"/>
      <c r="V179" s="176"/>
      <c r="W179" s="176"/>
    </row>
    <row r="180" ht="12.75" customHeight="1">
      <c r="A180" s="173"/>
      <c r="B180" s="173"/>
      <c r="C180" s="173"/>
      <c r="D180" s="1"/>
      <c r="E180" s="173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6"/>
      <c r="V180" s="176"/>
      <c r="W180" s="176"/>
    </row>
    <row r="181" ht="12.75" customHeight="1">
      <c r="A181" s="173"/>
      <c r="B181" s="173"/>
      <c r="C181" s="173"/>
      <c r="D181" s="1"/>
      <c r="E181" s="173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6"/>
      <c r="V181" s="176"/>
      <c r="W181" s="176"/>
    </row>
    <row r="182" ht="12.75" customHeight="1">
      <c r="A182" s="173"/>
      <c r="B182" s="173"/>
      <c r="C182" s="173"/>
      <c r="D182" s="1"/>
      <c r="E182" s="173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6"/>
      <c r="V182" s="176"/>
      <c r="W182" s="176"/>
    </row>
    <row r="183" ht="12.75" customHeight="1">
      <c r="A183" s="173"/>
      <c r="B183" s="173"/>
      <c r="C183" s="173"/>
      <c r="D183" s="1"/>
      <c r="E183" s="173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6"/>
      <c r="V183" s="176"/>
      <c r="W183" s="176"/>
    </row>
    <row r="184" ht="12.75" customHeight="1">
      <c r="A184" s="173"/>
      <c r="B184" s="173"/>
      <c r="C184" s="173"/>
      <c r="D184" s="1"/>
      <c r="E184" s="173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6"/>
      <c r="V184" s="176"/>
      <c r="W184" s="176"/>
    </row>
    <row r="185" ht="12.75" customHeight="1">
      <c r="A185" s="173"/>
      <c r="B185" s="173"/>
      <c r="C185" s="173"/>
      <c r="D185" s="1"/>
      <c r="E185" s="173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6"/>
      <c r="V185" s="176"/>
      <c r="W185" s="176"/>
    </row>
    <row r="186" ht="12.75" customHeight="1">
      <c r="A186" s="173"/>
      <c r="B186" s="173"/>
      <c r="C186" s="173"/>
      <c r="D186" s="1"/>
      <c r="E186" s="173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6"/>
      <c r="V186" s="176"/>
      <c r="W186" s="176"/>
    </row>
    <row r="187" ht="12.75" customHeight="1">
      <c r="A187" s="173"/>
      <c r="B187" s="173"/>
      <c r="C187" s="173"/>
      <c r="D187" s="1"/>
      <c r="E187" s="173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6"/>
      <c r="V187" s="176"/>
      <c r="W187" s="176"/>
    </row>
    <row r="188" ht="12.75" customHeight="1">
      <c r="A188" s="173"/>
      <c r="B188" s="173"/>
      <c r="C188" s="173"/>
      <c r="D188" s="1"/>
      <c r="E188" s="173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6"/>
      <c r="V188" s="176"/>
      <c r="W188" s="176"/>
    </row>
    <row r="189" ht="12.75" customHeight="1">
      <c r="A189" s="173"/>
      <c r="B189" s="173"/>
      <c r="C189" s="173"/>
      <c r="D189" s="1"/>
      <c r="E189" s="173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6"/>
      <c r="V189" s="176"/>
      <c r="W189" s="176"/>
    </row>
    <row r="190" ht="12.75" customHeight="1">
      <c r="A190" s="173"/>
      <c r="B190" s="173"/>
      <c r="C190" s="173"/>
      <c r="D190" s="1"/>
      <c r="E190" s="173"/>
      <c r="F190" s="174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6"/>
      <c r="V190" s="176"/>
      <c r="W190" s="176"/>
    </row>
    <row r="191" ht="12.75" customHeight="1">
      <c r="A191" s="173"/>
      <c r="B191" s="173"/>
      <c r="C191" s="173"/>
      <c r="D191" s="1"/>
      <c r="E191" s="173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6"/>
      <c r="V191" s="176"/>
      <c r="W191" s="176"/>
    </row>
    <row r="192" ht="12.75" customHeight="1">
      <c r="A192" s="173"/>
      <c r="B192" s="173"/>
      <c r="C192" s="173"/>
      <c r="D192" s="1"/>
      <c r="E192" s="173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6"/>
      <c r="V192" s="176"/>
      <c r="W192" s="176"/>
    </row>
    <row r="193" ht="12.75" customHeight="1">
      <c r="A193" s="173"/>
      <c r="B193" s="173"/>
      <c r="C193" s="173"/>
      <c r="D193" s="1"/>
      <c r="E193" s="173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6"/>
      <c r="V193" s="176"/>
      <c r="W193" s="176"/>
    </row>
    <row r="194" ht="12.75" customHeight="1">
      <c r="A194" s="173"/>
      <c r="B194" s="173"/>
      <c r="C194" s="173"/>
      <c r="D194" s="1"/>
      <c r="E194" s="173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6"/>
      <c r="V194" s="176"/>
      <c r="W194" s="176"/>
    </row>
    <row r="195" ht="12.75" customHeight="1">
      <c r="A195" s="173"/>
      <c r="B195" s="173"/>
      <c r="C195" s="173"/>
      <c r="D195" s="1"/>
      <c r="E195" s="173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6"/>
      <c r="V195" s="176"/>
      <c r="W195" s="176"/>
    </row>
    <row r="196" ht="12.75" customHeight="1">
      <c r="A196" s="173"/>
      <c r="B196" s="173"/>
      <c r="C196" s="173"/>
      <c r="D196" s="1"/>
      <c r="E196" s="173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6"/>
      <c r="V196" s="176"/>
      <c r="W196" s="176"/>
    </row>
    <row r="197" ht="12.75" customHeight="1">
      <c r="A197" s="173"/>
      <c r="B197" s="173"/>
      <c r="C197" s="173"/>
      <c r="D197" s="1"/>
      <c r="E197" s="173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6"/>
      <c r="V197" s="176"/>
      <c r="W197" s="176"/>
    </row>
    <row r="198" ht="12.75" customHeight="1">
      <c r="A198" s="173"/>
      <c r="B198" s="173"/>
      <c r="C198" s="173"/>
      <c r="D198" s="1"/>
      <c r="E198" s="173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6"/>
      <c r="V198" s="176"/>
      <c r="W198" s="176"/>
    </row>
    <row r="199" ht="12.75" customHeight="1">
      <c r="A199" s="173"/>
      <c r="B199" s="173"/>
      <c r="C199" s="173"/>
      <c r="D199" s="1"/>
      <c r="E199" s="173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6"/>
      <c r="V199" s="176"/>
      <c r="W199" s="176"/>
    </row>
    <row r="200" ht="12.75" customHeight="1">
      <c r="A200" s="173"/>
      <c r="B200" s="173"/>
      <c r="C200" s="173"/>
      <c r="D200" s="1"/>
      <c r="E200" s="173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6"/>
      <c r="V200" s="176"/>
      <c r="W200" s="176"/>
    </row>
    <row r="201" ht="12.75" customHeight="1">
      <c r="A201" s="173"/>
      <c r="B201" s="173"/>
      <c r="C201" s="173"/>
      <c r="D201" s="1"/>
      <c r="E201" s="173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6"/>
      <c r="V201" s="176"/>
      <c r="W201" s="176"/>
    </row>
    <row r="202" ht="12.75" customHeight="1">
      <c r="A202" s="173"/>
      <c r="B202" s="173"/>
      <c r="C202" s="173"/>
      <c r="D202" s="1"/>
      <c r="E202" s="173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6"/>
      <c r="V202" s="176"/>
      <c r="W202" s="176"/>
    </row>
    <row r="203" ht="12.75" customHeight="1">
      <c r="A203" s="173"/>
      <c r="B203" s="173"/>
      <c r="C203" s="173"/>
      <c r="D203" s="1"/>
      <c r="E203" s="173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6"/>
      <c r="V203" s="176"/>
      <c r="W203" s="176"/>
    </row>
    <row r="204" ht="12.75" customHeight="1">
      <c r="A204" s="173"/>
      <c r="B204" s="173"/>
      <c r="C204" s="173"/>
      <c r="D204" s="1"/>
      <c r="E204" s="173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6"/>
      <c r="V204" s="176"/>
      <c r="W204" s="176"/>
    </row>
    <row r="205" ht="12.75" customHeight="1">
      <c r="A205" s="173"/>
      <c r="B205" s="173"/>
      <c r="C205" s="173"/>
      <c r="D205" s="1"/>
      <c r="E205" s="173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6"/>
      <c r="V205" s="176"/>
      <c r="W205" s="176"/>
    </row>
    <row r="206" ht="12.75" customHeight="1">
      <c r="A206" s="173"/>
      <c r="B206" s="173"/>
      <c r="C206" s="173"/>
      <c r="D206" s="1"/>
      <c r="E206" s="173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6"/>
      <c r="V206" s="176"/>
      <c r="W206" s="176"/>
    </row>
    <row r="207" ht="12.75" customHeight="1">
      <c r="A207" s="173"/>
      <c r="B207" s="173"/>
      <c r="C207" s="173"/>
      <c r="D207" s="1"/>
      <c r="E207" s="173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6"/>
      <c r="V207" s="176"/>
      <c r="W207" s="176"/>
    </row>
    <row r="208" ht="12.75" customHeight="1">
      <c r="A208" s="173"/>
      <c r="B208" s="173"/>
      <c r="C208" s="173"/>
      <c r="D208" s="1"/>
      <c r="E208" s="173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6"/>
      <c r="V208" s="176"/>
      <c r="W208" s="176"/>
    </row>
    <row r="209" ht="12.75" customHeight="1">
      <c r="A209" s="173"/>
      <c r="B209" s="173"/>
      <c r="C209" s="173"/>
      <c r="D209" s="1"/>
      <c r="E209" s="173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6"/>
      <c r="V209" s="176"/>
      <c r="W209" s="176"/>
    </row>
    <row r="210" ht="12.75" customHeight="1">
      <c r="A210" s="173"/>
      <c r="B210" s="173"/>
      <c r="C210" s="173"/>
      <c r="D210" s="1"/>
      <c r="E210" s="173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6"/>
      <c r="V210" s="176"/>
      <c r="W210" s="176"/>
    </row>
    <row r="211" ht="12.75" customHeight="1">
      <c r="A211" s="173"/>
      <c r="B211" s="173"/>
      <c r="C211" s="173"/>
      <c r="D211" s="1"/>
      <c r="E211" s="173"/>
      <c r="F211" s="174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6"/>
      <c r="V211" s="176"/>
      <c r="W211" s="176"/>
    </row>
    <row r="212" ht="12.75" customHeight="1">
      <c r="A212" s="173"/>
      <c r="B212" s="173"/>
      <c r="C212" s="173"/>
      <c r="D212" s="1"/>
      <c r="E212" s="173"/>
      <c r="F212" s="174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6"/>
      <c r="V212" s="176"/>
      <c r="W212" s="176"/>
    </row>
    <row r="213" ht="12.75" customHeight="1">
      <c r="A213" s="173"/>
      <c r="B213" s="173"/>
      <c r="C213" s="173"/>
      <c r="D213" s="1"/>
      <c r="E213" s="173"/>
      <c r="F213" s="174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6"/>
      <c r="V213" s="176"/>
      <c r="W213" s="176"/>
    </row>
    <row r="214" ht="12.75" customHeight="1">
      <c r="A214" s="173"/>
      <c r="B214" s="173"/>
      <c r="C214" s="173"/>
      <c r="D214" s="1"/>
      <c r="E214" s="173"/>
      <c r="F214" s="174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6"/>
      <c r="V214" s="176"/>
      <c r="W214" s="176"/>
    </row>
    <row r="215" ht="12.75" customHeight="1">
      <c r="A215" s="173"/>
      <c r="B215" s="173"/>
      <c r="C215" s="173"/>
      <c r="D215" s="1"/>
      <c r="E215" s="173"/>
      <c r="F215" s="174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6"/>
      <c r="V215" s="176"/>
      <c r="W215" s="176"/>
    </row>
    <row r="216" ht="12.75" customHeight="1">
      <c r="A216" s="173"/>
      <c r="B216" s="173"/>
      <c r="C216" s="173"/>
      <c r="D216" s="1"/>
      <c r="E216" s="173"/>
      <c r="F216" s="174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6"/>
      <c r="V216" s="176"/>
      <c r="W216" s="176"/>
    </row>
    <row r="217" ht="12.75" customHeight="1">
      <c r="A217" s="173"/>
      <c r="B217" s="173"/>
      <c r="C217" s="173"/>
      <c r="D217" s="1"/>
      <c r="E217" s="173"/>
      <c r="F217" s="174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6"/>
      <c r="V217" s="176"/>
      <c r="W217" s="176"/>
    </row>
    <row r="218" ht="12.75" customHeight="1">
      <c r="A218" s="173"/>
      <c r="B218" s="173"/>
      <c r="C218" s="173"/>
      <c r="D218" s="1"/>
      <c r="E218" s="173"/>
      <c r="F218" s="174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6"/>
      <c r="V218" s="176"/>
      <c r="W218" s="176"/>
    </row>
    <row r="219" ht="12.75" customHeight="1">
      <c r="A219" s="173"/>
      <c r="B219" s="173"/>
      <c r="C219" s="173"/>
      <c r="D219" s="1"/>
      <c r="E219" s="173"/>
      <c r="F219" s="174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6"/>
      <c r="V219" s="176"/>
      <c r="W219" s="176"/>
    </row>
    <row r="220" ht="12.75" customHeight="1">
      <c r="A220" s="173"/>
      <c r="B220" s="173"/>
      <c r="C220" s="173"/>
      <c r="D220" s="1"/>
      <c r="E220" s="17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6"/>
      <c r="V220" s="176"/>
      <c r="W220" s="176"/>
    </row>
    <row r="221" ht="12.75" customHeight="1">
      <c r="A221" s="173"/>
      <c r="B221" s="173"/>
      <c r="C221" s="173"/>
      <c r="D221" s="1"/>
      <c r="E221" s="173"/>
      <c r="F221" s="174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6"/>
      <c r="V221" s="176"/>
      <c r="W221" s="176"/>
    </row>
    <row r="222" ht="12.75" customHeight="1">
      <c r="A222" s="173"/>
      <c r="B222" s="173"/>
      <c r="C222" s="173"/>
      <c r="D222" s="1"/>
      <c r="E222" s="173"/>
      <c r="F222" s="174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6"/>
      <c r="V222" s="176"/>
      <c r="W222" s="176"/>
    </row>
    <row r="223" ht="12.75" customHeight="1">
      <c r="A223" s="173"/>
      <c r="B223" s="173"/>
      <c r="C223" s="173"/>
      <c r="D223" s="1"/>
      <c r="E223" s="173"/>
      <c r="F223" s="174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6"/>
      <c r="V223" s="176"/>
      <c r="W223" s="176"/>
    </row>
    <row r="224" ht="12.75" customHeight="1">
      <c r="A224" s="173"/>
      <c r="B224" s="173"/>
      <c r="C224" s="173"/>
      <c r="D224" s="1"/>
      <c r="E224" s="173"/>
      <c r="F224" s="174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6"/>
      <c r="V224" s="176"/>
      <c r="W224" s="176"/>
    </row>
    <row r="225" ht="12.75" customHeight="1">
      <c r="A225" s="173"/>
      <c r="B225" s="173"/>
      <c r="C225" s="173"/>
      <c r="D225" s="1"/>
      <c r="E225" s="173"/>
      <c r="F225" s="174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6"/>
      <c r="V225" s="176"/>
      <c r="W225" s="176"/>
    </row>
    <row r="226" ht="12.75" customHeight="1">
      <c r="A226" s="173"/>
      <c r="B226" s="173"/>
      <c r="C226" s="173"/>
      <c r="D226" s="1"/>
      <c r="E226" s="173"/>
      <c r="F226" s="174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6"/>
      <c r="V226" s="176"/>
      <c r="W226" s="176"/>
    </row>
    <row r="227" ht="12.75" customHeight="1">
      <c r="A227" s="173"/>
      <c r="B227" s="173"/>
      <c r="C227" s="173"/>
      <c r="D227" s="1"/>
      <c r="E227" s="173"/>
      <c r="F227" s="174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76"/>
      <c r="W227" s="176"/>
    </row>
    <row r="228" ht="12.75" customHeight="1">
      <c r="A228" s="173"/>
      <c r="B228" s="173"/>
      <c r="C228" s="173"/>
      <c r="D228" s="1"/>
      <c r="E228" s="173"/>
      <c r="F228" s="174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6"/>
      <c r="V228" s="176"/>
      <c r="W228" s="176"/>
    </row>
    <row r="229" ht="12.75" customHeight="1">
      <c r="A229" s="173"/>
      <c r="B229" s="173"/>
      <c r="C229" s="173"/>
      <c r="D229" s="1"/>
      <c r="E229" s="173"/>
      <c r="F229" s="174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6"/>
      <c r="V229" s="176"/>
      <c r="W229" s="176"/>
    </row>
    <row r="230" ht="12.75" customHeight="1">
      <c r="A230" s="173"/>
      <c r="B230" s="173"/>
      <c r="C230" s="173"/>
      <c r="D230" s="1"/>
      <c r="E230" s="173"/>
      <c r="F230" s="174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6"/>
      <c r="V230" s="176"/>
      <c r="W230" s="176"/>
    </row>
    <row r="231" ht="12.75" customHeight="1">
      <c r="A231" s="173"/>
      <c r="B231" s="173"/>
      <c r="C231" s="173"/>
      <c r="D231" s="1"/>
      <c r="E231" s="173"/>
      <c r="F231" s="174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6"/>
      <c r="V231" s="176"/>
      <c r="W231" s="176"/>
    </row>
    <row r="232" ht="12.75" customHeight="1">
      <c r="A232" s="173"/>
      <c r="B232" s="173"/>
      <c r="C232" s="173"/>
      <c r="D232" s="1"/>
      <c r="E232" s="173"/>
      <c r="F232" s="174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6"/>
      <c r="V232" s="176"/>
      <c r="W232" s="176"/>
    </row>
    <row r="233" ht="12.75" customHeight="1">
      <c r="A233" s="173"/>
      <c r="B233" s="173"/>
      <c r="C233" s="173"/>
      <c r="D233" s="1"/>
      <c r="E233" s="173"/>
      <c r="F233" s="174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6"/>
      <c r="V233" s="176"/>
      <c r="W233" s="176"/>
    </row>
    <row r="234" ht="12.75" customHeight="1">
      <c r="A234" s="173"/>
      <c r="B234" s="173"/>
      <c r="C234" s="173"/>
      <c r="D234" s="1"/>
      <c r="E234" s="173"/>
      <c r="F234" s="174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6"/>
      <c r="V234" s="176"/>
      <c r="W234" s="176"/>
    </row>
    <row r="235" ht="12.75" customHeight="1">
      <c r="A235" s="173"/>
      <c r="B235" s="173"/>
      <c r="C235" s="173"/>
      <c r="D235" s="1"/>
      <c r="E235" s="173"/>
      <c r="F235" s="174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6"/>
      <c r="V235" s="176"/>
      <c r="W235" s="176"/>
    </row>
    <row r="236" ht="12.75" customHeight="1">
      <c r="A236" s="173"/>
      <c r="B236" s="173"/>
      <c r="C236" s="173"/>
      <c r="D236" s="1"/>
      <c r="E236" s="173"/>
      <c r="F236" s="174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6"/>
      <c r="V236" s="176"/>
      <c r="W236" s="176"/>
    </row>
    <row r="237" ht="12.75" customHeight="1">
      <c r="A237" s="173"/>
      <c r="B237" s="173"/>
      <c r="C237" s="173"/>
      <c r="D237" s="1"/>
      <c r="E237" s="173"/>
      <c r="F237" s="174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6"/>
      <c r="V237" s="176"/>
      <c r="W237" s="176"/>
    </row>
    <row r="238" ht="12.75" customHeight="1">
      <c r="A238" s="173"/>
      <c r="B238" s="173"/>
      <c r="C238" s="173"/>
      <c r="D238" s="1"/>
      <c r="E238" s="173"/>
      <c r="F238" s="174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6"/>
      <c r="V238" s="176"/>
      <c r="W238" s="176"/>
    </row>
    <row r="239" ht="12.75" customHeight="1">
      <c r="A239" s="173"/>
      <c r="B239" s="173"/>
      <c r="C239" s="173"/>
      <c r="D239" s="1"/>
      <c r="E239" s="173"/>
      <c r="F239" s="174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6"/>
      <c r="V239" s="176"/>
      <c r="W239" s="176"/>
    </row>
    <row r="240" ht="12.75" customHeight="1">
      <c r="A240" s="173"/>
      <c r="B240" s="173"/>
      <c r="C240" s="173"/>
      <c r="D240" s="1"/>
      <c r="E240" s="173"/>
      <c r="F240" s="174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6"/>
      <c r="V240" s="176"/>
      <c r="W240" s="176"/>
    </row>
    <row r="241" ht="12.75" customHeight="1">
      <c r="A241" s="173"/>
      <c r="B241" s="173"/>
      <c r="C241" s="173"/>
      <c r="D241" s="1"/>
      <c r="E241" s="173"/>
      <c r="F241" s="174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6"/>
      <c r="V241" s="176"/>
      <c r="W241" s="176"/>
    </row>
    <row r="242" ht="12.75" customHeight="1">
      <c r="A242" s="173"/>
      <c r="B242" s="173"/>
      <c r="C242" s="173"/>
      <c r="D242" s="1"/>
      <c r="E242" s="173"/>
      <c r="F242" s="174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6"/>
      <c r="V242" s="176"/>
      <c r="W242" s="176"/>
    </row>
    <row r="243" ht="12.75" customHeight="1">
      <c r="A243" s="173"/>
      <c r="B243" s="173"/>
      <c r="C243" s="173"/>
      <c r="D243" s="1"/>
      <c r="E243" s="173"/>
      <c r="F243" s="174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6"/>
      <c r="V243" s="176"/>
      <c r="W243" s="176"/>
    </row>
    <row r="244" ht="12.75" customHeight="1">
      <c r="A244" s="173"/>
      <c r="B244" s="173"/>
      <c r="C244" s="173"/>
      <c r="D244" s="1"/>
      <c r="E244" s="173"/>
      <c r="F244" s="174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6"/>
      <c r="V244" s="176"/>
      <c r="W244" s="176"/>
    </row>
    <row r="245" ht="12.75" customHeight="1">
      <c r="A245" s="173"/>
      <c r="B245" s="173"/>
      <c r="C245" s="173"/>
      <c r="D245" s="1"/>
      <c r="E245" s="173"/>
      <c r="F245" s="174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6"/>
      <c r="V245" s="176"/>
      <c r="W245" s="176"/>
    </row>
    <row r="246" ht="12.75" customHeight="1">
      <c r="A246" s="173"/>
      <c r="B246" s="173"/>
      <c r="C246" s="173"/>
      <c r="D246" s="1"/>
      <c r="E246" s="173"/>
      <c r="F246" s="174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6"/>
      <c r="V246" s="176"/>
      <c r="W246" s="176"/>
    </row>
    <row r="247" ht="12.75" customHeight="1">
      <c r="A247" s="173"/>
      <c r="B247" s="173"/>
      <c r="C247" s="173"/>
      <c r="D247" s="1"/>
      <c r="E247" s="173"/>
      <c r="F247" s="174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6"/>
      <c r="V247" s="176"/>
      <c r="W247" s="176"/>
    </row>
    <row r="248" ht="12.75" customHeight="1">
      <c r="A248" s="173"/>
      <c r="B248" s="173"/>
      <c r="C248" s="173"/>
      <c r="D248" s="1"/>
      <c r="E248" s="173"/>
      <c r="F248" s="174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6"/>
      <c r="V248" s="176"/>
      <c r="W248" s="176"/>
    </row>
    <row r="249" ht="12.75" customHeight="1">
      <c r="A249" s="173"/>
      <c r="B249" s="173"/>
      <c r="C249" s="173"/>
      <c r="D249" s="1"/>
      <c r="E249" s="173"/>
      <c r="F249" s="174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6"/>
      <c r="V249" s="176"/>
      <c r="W249" s="176"/>
    </row>
    <row r="250" ht="12.75" customHeight="1">
      <c r="A250" s="173"/>
      <c r="B250" s="173"/>
      <c r="C250" s="173"/>
      <c r="D250" s="1"/>
      <c r="E250" s="173"/>
      <c r="F250" s="174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6"/>
      <c r="V250" s="176"/>
      <c r="W250" s="176"/>
    </row>
    <row r="251" ht="12.75" customHeight="1">
      <c r="A251" s="173"/>
      <c r="B251" s="173"/>
      <c r="C251" s="173"/>
      <c r="D251" s="1"/>
      <c r="E251" s="173"/>
      <c r="F251" s="174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6"/>
      <c r="V251" s="176"/>
      <c r="W251" s="176"/>
    </row>
    <row r="252" ht="12.75" customHeight="1">
      <c r="A252" s="173"/>
      <c r="B252" s="173"/>
      <c r="C252" s="173"/>
      <c r="D252" s="1"/>
      <c r="E252" s="173"/>
      <c r="F252" s="174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6"/>
      <c r="V252" s="176"/>
      <c r="W252" s="176"/>
    </row>
    <row r="253" ht="12.75" customHeight="1">
      <c r="A253" s="173"/>
      <c r="B253" s="173"/>
      <c r="C253" s="173"/>
      <c r="D253" s="1"/>
      <c r="E253" s="173"/>
      <c r="F253" s="174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6"/>
      <c r="V253" s="176"/>
      <c r="W253" s="176"/>
    </row>
    <row r="254" ht="12.75" customHeight="1">
      <c r="A254" s="173"/>
      <c r="B254" s="173"/>
      <c r="C254" s="173"/>
      <c r="D254" s="1"/>
      <c r="E254" s="173"/>
      <c r="F254" s="174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6"/>
      <c r="V254" s="176"/>
      <c r="W254" s="176"/>
    </row>
    <row r="255" ht="12.75" customHeight="1">
      <c r="A255" s="173"/>
      <c r="B255" s="173"/>
      <c r="C255" s="173"/>
      <c r="D255" s="1"/>
      <c r="E255" s="173"/>
      <c r="F255" s="174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6"/>
      <c r="V255" s="176"/>
      <c r="W255" s="176"/>
    </row>
    <row r="256" ht="12.75" customHeight="1">
      <c r="A256" s="173"/>
      <c r="B256" s="173"/>
      <c r="C256" s="173"/>
      <c r="D256" s="1"/>
      <c r="E256" s="173"/>
      <c r="F256" s="174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6"/>
      <c r="V256" s="176"/>
      <c r="W256" s="176"/>
    </row>
    <row r="257" ht="12.75" customHeight="1">
      <c r="A257" s="173"/>
      <c r="B257" s="173"/>
      <c r="C257" s="173"/>
      <c r="D257" s="1"/>
      <c r="E257" s="173"/>
      <c r="F257" s="174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6"/>
      <c r="V257" s="176"/>
      <c r="W257" s="176"/>
    </row>
    <row r="258" ht="12.75" customHeight="1">
      <c r="A258" s="173"/>
      <c r="B258" s="173"/>
      <c r="C258" s="173"/>
      <c r="D258" s="1"/>
      <c r="E258" s="173"/>
      <c r="F258" s="174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6"/>
      <c r="V258" s="176"/>
      <c r="W258" s="176"/>
    </row>
    <row r="259" ht="12.75" customHeight="1">
      <c r="A259" s="173"/>
      <c r="B259" s="173"/>
      <c r="C259" s="173"/>
      <c r="D259" s="1"/>
      <c r="E259" s="173"/>
      <c r="F259" s="174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6"/>
      <c r="V259" s="176"/>
      <c r="W259" s="176"/>
    </row>
    <row r="260" ht="12.75" customHeight="1">
      <c r="A260" s="173"/>
      <c r="B260" s="173"/>
      <c r="C260" s="173"/>
      <c r="D260" s="1"/>
      <c r="E260" s="173"/>
      <c r="F260" s="174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6"/>
      <c r="V260" s="176"/>
      <c r="W260" s="176"/>
    </row>
    <row r="261" ht="12.75" customHeight="1">
      <c r="A261" s="173"/>
      <c r="B261" s="173"/>
      <c r="C261" s="173"/>
      <c r="D261" s="1"/>
      <c r="E261" s="173"/>
      <c r="F261" s="174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6"/>
      <c r="V261" s="176"/>
      <c r="W261" s="176"/>
    </row>
    <row r="262" ht="12.75" customHeight="1">
      <c r="A262" s="173"/>
      <c r="B262" s="173"/>
      <c r="C262" s="173"/>
      <c r="D262" s="1"/>
      <c r="E262" s="173"/>
      <c r="F262" s="174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6"/>
      <c r="V262" s="176"/>
      <c r="W262" s="176"/>
    </row>
    <row r="263" ht="12.75" customHeight="1">
      <c r="A263" s="173"/>
      <c r="B263" s="173"/>
      <c r="C263" s="173"/>
      <c r="D263" s="1"/>
      <c r="E263" s="173"/>
      <c r="F263" s="174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6"/>
      <c r="V263" s="176"/>
      <c r="W263" s="176"/>
    </row>
    <row r="264" ht="12.75" customHeight="1">
      <c r="A264" s="173"/>
      <c r="B264" s="173"/>
      <c r="C264" s="173"/>
      <c r="D264" s="1"/>
      <c r="E264" s="173"/>
      <c r="F264" s="174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6"/>
      <c r="V264" s="176"/>
      <c r="W264" s="176"/>
    </row>
    <row r="265" ht="12.75" customHeight="1">
      <c r="A265" s="173"/>
      <c r="B265" s="173"/>
      <c r="C265" s="173"/>
      <c r="D265" s="1"/>
      <c r="E265" s="173"/>
      <c r="F265" s="174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6"/>
      <c r="V265" s="176"/>
      <c r="W265" s="176"/>
    </row>
    <row r="266" ht="12.75" customHeight="1">
      <c r="A266" s="173"/>
      <c r="B266" s="173"/>
      <c r="C266" s="173"/>
      <c r="D266" s="1"/>
      <c r="E266" s="173"/>
      <c r="F266" s="174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6"/>
      <c r="V266" s="176"/>
      <c r="W266" s="176"/>
    </row>
    <row r="267" ht="12.75" customHeight="1">
      <c r="A267" s="173"/>
      <c r="B267" s="173"/>
      <c r="C267" s="173"/>
      <c r="D267" s="1"/>
      <c r="E267" s="173"/>
      <c r="F267" s="174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6"/>
      <c r="V267" s="176"/>
      <c r="W267" s="176"/>
    </row>
    <row r="268" ht="12.75" customHeight="1">
      <c r="A268" s="173"/>
      <c r="B268" s="173"/>
      <c r="C268" s="173"/>
      <c r="D268" s="1"/>
      <c r="E268" s="173"/>
      <c r="F268" s="174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6"/>
      <c r="V268" s="176"/>
      <c r="W268" s="176"/>
    </row>
    <row r="269" ht="12.75" customHeight="1">
      <c r="A269" s="173"/>
      <c r="B269" s="173"/>
      <c r="C269" s="173"/>
      <c r="D269" s="1"/>
      <c r="E269" s="173"/>
      <c r="F269" s="174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6"/>
      <c r="V269" s="176"/>
      <c r="W269" s="176"/>
    </row>
    <row r="270" ht="12.75" customHeight="1">
      <c r="A270" s="173"/>
      <c r="B270" s="173"/>
      <c r="C270" s="173"/>
      <c r="D270" s="1"/>
      <c r="E270" s="173"/>
      <c r="F270" s="174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6"/>
      <c r="V270" s="176"/>
      <c r="W270" s="176"/>
    </row>
    <row r="271" ht="12.75" customHeight="1">
      <c r="A271" s="173"/>
      <c r="B271" s="173"/>
      <c r="C271" s="173"/>
      <c r="D271" s="1"/>
      <c r="E271" s="173"/>
      <c r="F271" s="174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6"/>
      <c r="V271" s="176"/>
      <c r="W271" s="176"/>
    </row>
    <row r="272" ht="12.75" customHeight="1">
      <c r="A272" s="173"/>
      <c r="B272" s="173"/>
      <c r="C272" s="173"/>
      <c r="D272" s="1"/>
      <c r="E272" s="173"/>
      <c r="F272" s="174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6"/>
      <c r="V272" s="176"/>
      <c r="W272" s="176"/>
    </row>
    <row r="273" ht="12.75" customHeight="1">
      <c r="A273" s="173"/>
      <c r="B273" s="173"/>
      <c r="C273" s="173"/>
      <c r="D273" s="1"/>
      <c r="E273" s="173"/>
      <c r="F273" s="174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6"/>
      <c r="V273" s="176"/>
      <c r="W273" s="176"/>
    </row>
    <row r="274" ht="12.75" customHeight="1">
      <c r="A274" s="173"/>
      <c r="B274" s="173"/>
      <c r="C274" s="173"/>
      <c r="D274" s="1"/>
      <c r="E274" s="173"/>
      <c r="F274" s="174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6"/>
      <c r="V274" s="176"/>
      <c r="W274" s="176"/>
    </row>
    <row r="275" ht="12.75" customHeight="1">
      <c r="A275" s="173"/>
      <c r="B275" s="173"/>
      <c r="C275" s="173"/>
      <c r="D275" s="1"/>
      <c r="E275" s="173"/>
      <c r="F275" s="174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6"/>
      <c r="V275" s="176"/>
      <c r="W275" s="176"/>
    </row>
    <row r="276" ht="12.75" customHeight="1">
      <c r="A276" s="173"/>
      <c r="B276" s="173"/>
      <c r="C276" s="173"/>
      <c r="D276" s="1"/>
      <c r="E276" s="173"/>
      <c r="F276" s="174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6"/>
      <c r="V276" s="176"/>
      <c r="W276" s="176"/>
    </row>
    <row r="277" ht="12.75" customHeight="1">
      <c r="A277" s="173"/>
      <c r="B277" s="173"/>
      <c r="C277" s="173"/>
      <c r="D277" s="1"/>
      <c r="E277" s="173"/>
      <c r="F277" s="174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6"/>
      <c r="V277" s="176"/>
      <c r="W277" s="176"/>
    </row>
    <row r="278" ht="12.75" customHeight="1">
      <c r="A278" s="173"/>
      <c r="B278" s="173"/>
      <c r="C278" s="173"/>
      <c r="D278" s="1"/>
      <c r="E278" s="173"/>
      <c r="F278" s="174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6"/>
      <c r="V278" s="176"/>
      <c r="W278" s="176"/>
    </row>
    <row r="279" ht="12.75" customHeight="1">
      <c r="A279" s="173"/>
      <c r="B279" s="173"/>
      <c r="C279" s="173"/>
      <c r="D279" s="1"/>
      <c r="E279" s="173"/>
      <c r="F279" s="174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6"/>
      <c r="V279" s="176"/>
      <c r="W279" s="176"/>
    </row>
    <row r="280" ht="12.75" customHeight="1">
      <c r="A280" s="173"/>
      <c r="B280" s="173"/>
      <c r="C280" s="173"/>
      <c r="D280" s="1"/>
      <c r="E280" s="173"/>
      <c r="F280" s="174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6"/>
      <c r="V280" s="176"/>
      <c r="W280" s="176"/>
    </row>
    <row r="281" ht="12.75" customHeight="1">
      <c r="A281" s="173"/>
      <c r="B281" s="173"/>
      <c r="C281" s="173"/>
      <c r="D281" s="1"/>
      <c r="E281" s="173"/>
      <c r="F281" s="174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6"/>
      <c r="V281" s="176"/>
      <c r="W281" s="176"/>
    </row>
    <row r="282" ht="12.75" customHeight="1">
      <c r="A282" s="173"/>
      <c r="B282" s="173"/>
      <c r="C282" s="173"/>
      <c r="D282" s="1"/>
      <c r="E282" s="173"/>
      <c r="F282" s="174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6"/>
      <c r="V282" s="176"/>
      <c r="W282" s="176"/>
    </row>
    <row r="283" ht="12.75" customHeight="1">
      <c r="A283" s="173"/>
      <c r="B283" s="173"/>
      <c r="C283" s="173"/>
      <c r="D283" s="1"/>
      <c r="E283" s="173"/>
      <c r="F283" s="174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6"/>
      <c r="V283" s="176"/>
      <c r="W283" s="176"/>
    </row>
    <row r="284" ht="12.75" customHeight="1">
      <c r="A284" s="173"/>
      <c r="B284" s="173"/>
      <c r="C284" s="173"/>
      <c r="D284" s="1"/>
      <c r="E284" s="173"/>
      <c r="F284" s="174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6"/>
      <c r="V284" s="176"/>
      <c r="W284" s="176"/>
    </row>
    <row r="285" ht="12.75" customHeight="1">
      <c r="A285" s="173"/>
      <c r="B285" s="173"/>
      <c r="C285" s="173"/>
      <c r="D285" s="1"/>
      <c r="E285" s="173"/>
      <c r="F285" s="174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</row>
    <row r="286" ht="12.75" customHeight="1">
      <c r="A286" s="173"/>
      <c r="B286" s="173"/>
      <c r="C286" s="173"/>
      <c r="D286" s="1"/>
      <c r="E286" s="173"/>
      <c r="F286" s="174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</row>
    <row r="287" ht="12.75" customHeight="1">
      <c r="A287" s="173"/>
      <c r="B287" s="173"/>
      <c r="C287" s="173"/>
      <c r="D287" s="1"/>
      <c r="E287" s="173"/>
      <c r="F287" s="174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</row>
    <row r="288" ht="12.75" customHeight="1">
      <c r="A288" s="173"/>
      <c r="B288" s="173"/>
      <c r="C288" s="173"/>
      <c r="D288" s="1"/>
      <c r="E288" s="173"/>
      <c r="F288" s="174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6"/>
      <c r="V288" s="176"/>
      <c r="W288" s="176"/>
    </row>
    <row r="289" ht="12.75" customHeight="1">
      <c r="A289" s="173"/>
      <c r="B289" s="173"/>
      <c r="C289" s="173"/>
      <c r="D289" s="1"/>
      <c r="E289" s="173"/>
      <c r="F289" s="174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6"/>
      <c r="V289" s="176"/>
      <c r="W289" s="176"/>
    </row>
    <row r="290" ht="12.75" customHeight="1">
      <c r="A290" s="173"/>
      <c r="B290" s="173"/>
      <c r="C290" s="173"/>
      <c r="D290" s="1"/>
      <c r="E290" s="173"/>
      <c r="F290" s="174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6"/>
      <c r="V290" s="176"/>
      <c r="W290" s="176"/>
    </row>
    <row r="291" ht="12.75" customHeight="1">
      <c r="A291" s="173"/>
      <c r="B291" s="173"/>
      <c r="C291" s="173"/>
      <c r="D291" s="1"/>
      <c r="E291" s="173"/>
      <c r="F291" s="174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6"/>
      <c r="V291" s="176"/>
      <c r="W291" s="176"/>
    </row>
    <row r="292" ht="12.75" customHeight="1">
      <c r="A292" s="173"/>
      <c r="B292" s="173"/>
      <c r="C292" s="173"/>
      <c r="D292" s="1"/>
      <c r="E292" s="173"/>
      <c r="F292" s="174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6"/>
      <c r="V292" s="176"/>
      <c r="W292" s="176"/>
    </row>
    <row r="293" ht="12.75" customHeight="1">
      <c r="A293" s="173"/>
      <c r="B293" s="173"/>
      <c r="C293" s="173"/>
      <c r="D293" s="1"/>
      <c r="E293" s="173"/>
      <c r="F293" s="174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6"/>
      <c r="V293" s="176"/>
      <c r="W293" s="176"/>
    </row>
    <row r="294" ht="12.75" customHeight="1">
      <c r="A294" s="173"/>
      <c r="B294" s="173"/>
      <c r="C294" s="173"/>
      <c r="D294" s="1"/>
      <c r="E294" s="173"/>
      <c r="F294" s="174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6"/>
      <c r="V294" s="176"/>
      <c r="W294" s="176"/>
    </row>
    <row r="295" ht="12.75" customHeight="1">
      <c r="A295" s="173"/>
      <c r="B295" s="173"/>
      <c r="C295" s="173"/>
      <c r="D295" s="1"/>
      <c r="E295" s="173"/>
      <c r="F295" s="174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6"/>
      <c r="V295" s="176"/>
      <c r="W295" s="176"/>
    </row>
    <row r="296" ht="12.75" customHeight="1">
      <c r="A296" s="173"/>
      <c r="B296" s="173"/>
      <c r="C296" s="173"/>
      <c r="D296" s="1"/>
      <c r="E296" s="173"/>
      <c r="F296" s="174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6"/>
      <c r="V296" s="176"/>
      <c r="W296" s="176"/>
    </row>
    <row r="297" ht="12.75" customHeight="1">
      <c r="A297" s="173"/>
      <c r="B297" s="173"/>
      <c r="C297" s="173"/>
      <c r="D297" s="1"/>
      <c r="E297" s="173"/>
      <c r="F297" s="174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6"/>
      <c r="V297" s="176"/>
      <c r="W297" s="176"/>
    </row>
    <row r="298" ht="12.75" customHeight="1">
      <c r="A298" s="173"/>
      <c r="B298" s="173"/>
      <c r="C298" s="173"/>
      <c r="D298" s="1"/>
      <c r="E298" s="173"/>
      <c r="F298" s="174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6"/>
      <c r="V298" s="176"/>
      <c r="W298" s="176"/>
    </row>
    <row r="299" ht="12.75" customHeight="1">
      <c r="A299" s="173"/>
      <c r="B299" s="173"/>
      <c r="C299" s="173"/>
      <c r="D299" s="1"/>
      <c r="E299" s="173"/>
      <c r="F299" s="174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76"/>
      <c r="W299" s="176"/>
    </row>
    <row r="300" ht="12.75" customHeight="1">
      <c r="A300" s="173"/>
      <c r="B300" s="173"/>
      <c r="C300" s="173"/>
      <c r="D300" s="1"/>
      <c r="E300" s="173"/>
      <c r="F300" s="174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6"/>
      <c r="V300" s="176"/>
      <c r="W300" s="176"/>
    </row>
    <row r="301" ht="12.75" customHeight="1">
      <c r="A301" s="173"/>
      <c r="B301" s="173"/>
      <c r="C301" s="173"/>
      <c r="D301" s="1"/>
      <c r="E301" s="173"/>
      <c r="F301" s="174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6"/>
      <c r="V301" s="176"/>
      <c r="W301" s="176"/>
    </row>
    <row r="302" ht="12.75" customHeight="1">
      <c r="A302" s="173"/>
      <c r="B302" s="173"/>
      <c r="C302" s="173"/>
      <c r="D302" s="1"/>
      <c r="E302" s="173"/>
      <c r="F302" s="174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6"/>
      <c r="V302" s="176"/>
      <c r="W302" s="176"/>
    </row>
    <row r="303" ht="12.75" customHeight="1">
      <c r="A303" s="173"/>
      <c r="B303" s="173"/>
      <c r="C303" s="173"/>
      <c r="D303" s="1"/>
      <c r="E303" s="173"/>
      <c r="F303" s="174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6"/>
      <c r="V303" s="176"/>
      <c r="W303" s="176"/>
    </row>
    <row r="304" ht="12.75" customHeight="1">
      <c r="A304" s="173"/>
      <c r="B304" s="173"/>
      <c r="C304" s="173"/>
      <c r="D304" s="1"/>
      <c r="E304" s="173"/>
      <c r="F304" s="174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6"/>
      <c r="V304" s="176"/>
      <c r="W304" s="176"/>
    </row>
    <row r="305" ht="12.75" customHeight="1">
      <c r="A305" s="173"/>
      <c r="B305" s="173"/>
      <c r="C305" s="173"/>
      <c r="D305" s="1"/>
      <c r="E305" s="173"/>
      <c r="F305" s="174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6"/>
      <c r="V305" s="176"/>
      <c r="W305" s="176"/>
    </row>
    <row r="306" ht="12.75" customHeight="1">
      <c r="A306" s="173"/>
      <c r="B306" s="173"/>
      <c r="C306" s="173"/>
      <c r="D306" s="1"/>
      <c r="E306" s="173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6"/>
      <c r="V306" s="176"/>
      <c r="W306" s="176"/>
    </row>
    <row r="307" ht="12.75" customHeight="1">
      <c r="A307" s="173"/>
      <c r="B307" s="173"/>
      <c r="C307" s="173"/>
      <c r="D307" s="1"/>
      <c r="E307" s="173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6"/>
      <c r="V307" s="176"/>
      <c r="W307" s="176"/>
    </row>
    <row r="308" ht="12.75" customHeight="1">
      <c r="A308" s="173"/>
      <c r="B308" s="173"/>
      <c r="C308" s="173"/>
      <c r="D308" s="1"/>
      <c r="E308" s="173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6"/>
      <c r="V308" s="176"/>
      <c r="W308" s="176"/>
    </row>
    <row r="309" ht="12.75" customHeight="1">
      <c r="A309" s="173"/>
      <c r="B309" s="173"/>
      <c r="C309" s="173"/>
      <c r="D309" s="1"/>
      <c r="E309" s="173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6"/>
      <c r="V309" s="176"/>
      <c r="W309" s="176"/>
    </row>
    <row r="310" ht="12.75" customHeight="1">
      <c r="A310" s="173"/>
      <c r="B310" s="173"/>
      <c r="C310" s="173"/>
      <c r="D310" s="1"/>
      <c r="E310" s="173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6"/>
      <c r="V310" s="176"/>
      <c r="W310" s="176"/>
    </row>
    <row r="311" ht="12.75" customHeight="1">
      <c r="A311" s="173"/>
      <c r="B311" s="173"/>
      <c r="C311" s="173"/>
      <c r="D311" s="1"/>
      <c r="E311" s="173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6"/>
      <c r="V311" s="176"/>
      <c r="W311" s="176"/>
    </row>
    <row r="312" ht="12.75" customHeight="1">
      <c r="A312" s="173"/>
      <c r="B312" s="173"/>
      <c r="C312" s="173"/>
      <c r="D312" s="1"/>
      <c r="E312" s="173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6"/>
      <c r="V312" s="176"/>
      <c r="W312" s="176"/>
    </row>
    <row r="313" ht="12.75" customHeight="1">
      <c r="A313" s="173"/>
      <c r="B313" s="173"/>
      <c r="C313" s="173"/>
      <c r="D313" s="1"/>
      <c r="E313" s="173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6"/>
      <c r="V313" s="176"/>
      <c r="W313" s="176"/>
    </row>
    <row r="314" ht="12.75" customHeight="1">
      <c r="A314" s="173"/>
      <c r="B314" s="173"/>
      <c r="C314" s="173"/>
      <c r="D314" s="1"/>
      <c r="E314" s="173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6"/>
      <c r="V314" s="176"/>
      <c r="W314" s="176"/>
    </row>
    <row r="315" ht="12.75" customHeight="1">
      <c r="A315" s="173"/>
      <c r="B315" s="173"/>
      <c r="C315" s="173"/>
      <c r="D315" s="1"/>
      <c r="E315" s="173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6"/>
      <c r="V315" s="176"/>
      <c r="W315" s="176"/>
    </row>
    <row r="316" ht="12.75" customHeight="1">
      <c r="A316" s="173"/>
      <c r="B316" s="173"/>
      <c r="C316" s="173"/>
      <c r="D316" s="1"/>
      <c r="E316" s="173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6"/>
      <c r="V316" s="176"/>
      <c r="W316" s="176"/>
    </row>
    <row r="317" ht="12.75" customHeight="1">
      <c r="A317" s="173"/>
      <c r="B317" s="173"/>
      <c r="C317" s="173"/>
      <c r="D317" s="1"/>
      <c r="E317" s="173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6"/>
      <c r="V317" s="176"/>
      <c r="W317" s="176"/>
    </row>
    <row r="318" ht="12.75" customHeight="1">
      <c r="A318" s="173"/>
      <c r="B318" s="173"/>
      <c r="C318" s="173"/>
      <c r="D318" s="1"/>
      <c r="E318" s="173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6"/>
      <c r="V318" s="176"/>
      <c r="W318" s="176"/>
    </row>
    <row r="319" ht="12.75" customHeight="1">
      <c r="A319" s="173"/>
      <c r="B319" s="173"/>
      <c r="C319" s="173"/>
      <c r="D319" s="1"/>
      <c r="E319" s="173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6"/>
      <c r="V319" s="176"/>
      <c r="W319" s="176"/>
    </row>
    <row r="320" ht="12.75" customHeight="1">
      <c r="A320" s="173"/>
      <c r="B320" s="173"/>
      <c r="C320" s="173"/>
      <c r="D320" s="1"/>
      <c r="E320" s="173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6"/>
      <c r="V320" s="176"/>
      <c r="W320" s="176"/>
    </row>
    <row r="321" ht="12.75" customHeight="1">
      <c r="A321" s="173"/>
      <c r="B321" s="173"/>
      <c r="C321" s="173"/>
      <c r="D321" s="1"/>
      <c r="E321" s="173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6"/>
      <c r="V321" s="176"/>
      <c r="W321" s="176"/>
    </row>
    <row r="322" ht="12.75" customHeight="1">
      <c r="A322" s="173"/>
      <c r="B322" s="173"/>
      <c r="C322" s="173"/>
      <c r="D322" s="1"/>
      <c r="E322" s="173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6"/>
      <c r="V322" s="176"/>
      <c r="W322" s="176"/>
    </row>
    <row r="323" ht="12.75" customHeight="1">
      <c r="A323" s="173"/>
      <c r="B323" s="173"/>
      <c r="C323" s="173"/>
      <c r="D323" s="1"/>
      <c r="E323" s="173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6"/>
      <c r="V323" s="176"/>
      <c r="W323" s="176"/>
    </row>
    <row r="324" ht="12.75" customHeight="1">
      <c r="A324" s="173"/>
      <c r="B324" s="173"/>
      <c r="C324" s="173"/>
      <c r="D324" s="1"/>
      <c r="E324" s="173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6"/>
      <c r="V324" s="176"/>
      <c r="W324" s="176"/>
    </row>
    <row r="325" ht="12.75" customHeight="1">
      <c r="A325" s="173"/>
      <c r="B325" s="173"/>
      <c r="C325" s="173"/>
      <c r="D325" s="1"/>
      <c r="E325" s="173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6"/>
      <c r="V325" s="176"/>
      <c r="W325" s="176"/>
    </row>
    <row r="326" ht="12.75" customHeight="1">
      <c r="A326" s="173"/>
      <c r="B326" s="173"/>
      <c r="C326" s="173"/>
      <c r="D326" s="1"/>
      <c r="E326" s="173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6"/>
      <c r="V326" s="176"/>
      <c r="W326" s="176"/>
    </row>
    <row r="327" ht="12.75" customHeight="1">
      <c r="A327" s="173"/>
      <c r="B327" s="173"/>
      <c r="C327" s="173"/>
      <c r="D327" s="1"/>
      <c r="E327" s="173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6"/>
      <c r="V327" s="176"/>
      <c r="W327" s="176"/>
    </row>
    <row r="328" ht="12.75" customHeight="1">
      <c r="A328" s="173"/>
      <c r="B328" s="173"/>
      <c r="C328" s="173"/>
      <c r="D328" s="1"/>
      <c r="E328" s="173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6"/>
      <c r="V328" s="176"/>
      <c r="W328" s="176"/>
    </row>
    <row r="329" ht="12.75" customHeight="1">
      <c r="A329" s="173"/>
      <c r="B329" s="173"/>
      <c r="C329" s="173"/>
      <c r="D329" s="1"/>
      <c r="E329" s="173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6"/>
      <c r="V329" s="176"/>
      <c r="W329" s="176"/>
    </row>
    <row r="330" ht="12.75" customHeight="1">
      <c r="A330" s="173"/>
      <c r="B330" s="173"/>
      <c r="C330" s="173"/>
      <c r="D330" s="1"/>
      <c r="E330" s="173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6"/>
      <c r="V330" s="176"/>
      <c r="W330" s="176"/>
    </row>
    <row r="331" ht="12.75" customHeight="1">
      <c r="A331" s="173"/>
      <c r="B331" s="173"/>
      <c r="C331" s="173"/>
      <c r="D331" s="1"/>
      <c r="E331" s="173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6"/>
      <c r="V331" s="176"/>
      <c r="W331" s="176"/>
    </row>
    <row r="332" ht="12.75" customHeight="1">
      <c r="A332" s="173"/>
      <c r="B332" s="173"/>
      <c r="C332" s="173"/>
      <c r="D332" s="1"/>
      <c r="E332" s="173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6"/>
      <c r="V332" s="176"/>
      <c r="W332" s="176"/>
    </row>
    <row r="333" ht="12.75" customHeight="1">
      <c r="A333" s="173"/>
      <c r="B333" s="173"/>
      <c r="C333" s="173"/>
      <c r="D333" s="1"/>
      <c r="E333" s="173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6"/>
      <c r="V333" s="176"/>
      <c r="W333" s="176"/>
    </row>
    <row r="334" ht="12.75" customHeight="1">
      <c r="A334" s="173"/>
      <c r="B334" s="173"/>
      <c r="C334" s="173"/>
      <c r="D334" s="1"/>
      <c r="E334" s="173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6"/>
      <c r="V334" s="176"/>
      <c r="W334" s="176"/>
    </row>
    <row r="335" ht="12.75" customHeight="1">
      <c r="A335" s="173"/>
      <c r="B335" s="173"/>
      <c r="C335" s="173"/>
      <c r="D335" s="1"/>
      <c r="E335" s="173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6"/>
      <c r="V335" s="176"/>
      <c r="W335" s="176"/>
    </row>
    <row r="336" ht="12.75" customHeight="1">
      <c r="A336" s="173"/>
      <c r="B336" s="173"/>
      <c r="C336" s="173"/>
      <c r="D336" s="1"/>
      <c r="E336" s="173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6"/>
      <c r="V336" s="176"/>
      <c r="W336" s="176"/>
    </row>
    <row r="337" ht="12.75" customHeight="1">
      <c r="A337" s="173"/>
      <c r="B337" s="173"/>
      <c r="C337" s="173"/>
      <c r="D337" s="1"/>
      <c r="E337" s="173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6"/>
      <c r="V337" s="176"/>
      <c r="W337" s="176"/>
    </row>
    <row r="338" ht="12.75" customHeight="1">
      <c r="A338" s="173"/>
      <c r="B338" s="173"/>
      <c r="C338" s="173"/>
      <c r="D338" s="1"/>
      <c r="E338" s="173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6"/>
      <c r="V338" s="176"/>
      <c r="W338" s="176"/>
    </row>
    <row r="339" ht="12.75" customHeight="1">
      <c r="A339" s="173"/>
      <c r="B339" s="173"/>
      <c r="C339" s="173"/>
      <c r="D339" s="1"/>
      <c r="E339" s="173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6"/>
      <c r="V339" s="176"/>
      <c r="W339" s="176"/>
    </row>
    <row r="340" ht="12.75" customHeight="1">
      <c r="A340" s="173"/>
      <c r="B340" s="173"/>
      <c r="C340" s="173"/>
      <c r="D340" s="1"/>
      <c r="E340" s="173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6"/>
      <c r="V340" s="176"/>
      <c r="W340" s="176"/>
    </row>
    <row r="341" ht="12.75" customHeight="1">
      <c r="A341" s="173"/>
      <c r="B341" s="173"/>
      <c r="C341" s="173"/>
      <c r="D341" s="1"/>
      <c r="E341" s="173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6"/>
      <c r="V341" s="176"/>
      <c r="W341" s="176"/>
    </row>
    <row r="342" ht="12.75" customHeight="1">
      <c r="A342" s="173"/>
      <c r="B342" s="173"/>
      <c r="C342" s="173"/>
      <c r="D342" s="1"/>
      <c r="E342" s="173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6"/>
      <c r="V342" s="176"/>
      <c r="W342" s="176"/>
    </row>
    <row r="343" ht="12.75" customHeight="1">
      <c r="A343" s="173"/>
      <c r="B343" s="173"/>
      <c r="C343" s="173"/>
      <c r="D343" s="1"/>
      <c r="E343" s="173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6"/>
      <c r="V343" s="176"/>
      <c r="W343" s="176"/>
    </row>
    <row r="344" ht="12.75" customHeight="1">
      <c r="A344" s="173"/>
      <c r="B344" s="173"/>
      <c r="C344" s="173"/>
      <c r="D344" s="1"/>
      <c r="E344" s="173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6"/>
      <c r="V344" s="176"/>
      <c r="W344" s="176"/>
    </row>
    <row r="345" ht="12.75" customHeight="1">
      <c r="A345" s="173"/>
      <c r="B345" s="173"/>
      <c r="C345" s="173"/>
      <c r="D345" s="1"/>
      <c r="E345" s="173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6"/>
      <c r="V345" s="176"/>
      <c r="W345" s="176"/>
    </row>
    <row r="346" ht="12.75" customHeight="1">
      <c r="A346" s="173"/>
      <c r="B346" s="173"/>
      <c r="C346" s="173"/>
      <c r="D346" s="1"/>
      <c r="E346" s="173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6"/>
      <c r="V346" s="176"/>
      <c r="W346" s="176"/>
    </row>
    <row r="347" ht="12.75" customHeight="1">
      <c r="A347" s="173"/>
      <c r="B347" s="173"/>
      <c r="C347" s="173"/>
      <c r="D347" s="1"/>
      <c r="E347" s="173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6"/>
      <c r="V347" s="176"/>
      <c r="W347" s="176"/>
    </row>
    <row r="348" ht="12.75" customHeight="1">
      <c r="A348" s="173"/>
      <c r="B348" s="173"/>
      <c r="C348" s="173"/>
      <c r="D348" s="1"/>
      <c r="E348" s="173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6"/>
      <c r="V348" s="176"/>
      <c r="W348" s="176"/>
    </row>
    <row r="349" ht="12.75" customHeight="1">
      <c r="A349" s="173"/>
      <c r="B349" s="173"/>
      <c r="C349" s="173"/>
      <c r="D349" s="1"/>
      <c r="E349" s="173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6"/>
      <c r="V349" s="176"/>
      <c r="W349" s="176"/>
    </row>
    <row r="350" ht="12.75" customHeight="1">
      <c r="A350" s="173"/>
      <c r="B350" s="173"/>
      <c r="C350" s="173"/>
      <c r="D350" s="1"/>
      <c r="E350" s="173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6"/>
      <c r="V350" s="176"/>
      <c r="W350" s="176"/>
    </row>
    <row r="351" ht="12.75" customHeight="1">
      <c r="A351" s="173"/>
      <c r="B351" s="173"/>
      <c r="C351" s="173"/>
      <c r="D351" s="1"/>
      <c r="E351" s="173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6"/>
      <c r="V351" s="176"/>
      <c r="W351" s="176"/>
    </row>
    <row r="352" ht="12.75" customHeight="1">
      <c r="A352" s="173"/>
      <c r="B352" s="173"/>
      <c r="C352" s="173"/>
      <c r="D352" s="1"/>
      <c r="E352" s="173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6"/>
      <c r="V352" s="176"/>
      <c r="W352" s="176"/>
    </row>
    <row r="353" ht="12.75" customHeight="1">
      <c r="A353" s="173"/>
      <c r="B353" s="173"/>
      <c r="C353" s="173"/>
      <c r="D353" s="1"/>
      <c r="E353" s="173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6"/>
      <c r="V353" s="176"/>
      <c r="W353" s="176"/>
    </row>
    <row r="354" ht="12.75" customHeight="1">
      <c r="A354" s="173"/>
      <c r="B354" s="173"/>
      <c r="C354" s="173"/>
      <c r="D354" s="1"/>
      <c r="E354" s="173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6"/>
      <c r="V354" s="176"/>
      <c r="W354" s="176"/>
    </row>
    <row r="355" ht="12.75" customHeight="1">
      <c r="A355" s="173"/>
      <c r="B355" s="173"/>
      <c r="C355" s="173"/>
      <c r="D355" s="1"/>
      <c r="E355" s="173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6"/>
      <c r="V355" s="176"/>
      <c r="W355" s="176"/>
    </row>
    <row r="356" ht="12.75" customHeight="1">
      <c r="A356" s="173"/>
      <c r="B356" s="173"/>
      <c r="C356" s="173"/>
      <c r="D356" s="1"/>
      <c r="E356" s="173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6"/>
      <c r="V356" s="176"/>
      <c r="W356" s="176"/>
    </row>
    <row r="357" ht="12.75" customHeight="1">
      <c r="A357" s="173"/>
      <c r="B357" s="173"/>
      <c r="C357" s="173"/>
      <c r="D357" s="1"/>
      <c r="E357" s="173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6"/>
      <c r="V357" s="176"/>
      <c r="W357" s="176"/>
    </row>
    <row r="358" ht="12.75" customHeight="1">
      <c r="A358" s="173"/>
      <c r="B358" s="173"/>
      <c r="C358" s="173"/>
      <c r="D358" s="1"/>
      <c r="E358" s="173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6"/>
      <c r="V358" s="176"/>
      <c r="W358" s="176"/>
    </row>
    <row r="359" ht="12.75" customHeight="1">
      <c r="A359" s="173"/>
      <c r="B359" s="173"/>
      <c r="C359" s="173"/>
      <c r="D359" s="1"/>
      <c r="E359" s="173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6"/>
      <c r="V359" s="176"/>
      <c r="W359" s="176"/>
    </row>
    <row r="360" ht="12.75" customHeight="1">
      <c r="A360" s="173"/>
      <c r="B360" s="173"/>
      <c r="C360" s="173"/>
      <c r="D360" s="1"/>
      <c r="E360" s="173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6"/>
      <c r="V360" s="176"/>
      <c r="W360" s="176"/>
    </row>
    <row r="361" ht="12.75" customHeight="1">
      <c r="A361" s="173"/>
      <c r="B361" s="173"/>
      <c r="C361" s="173"/>
      <c r="D361" s="1"/>
      <c r="E361" s="173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6"/>
      <c r="V361" s="176"/>
      <c r="W361" s="176"/>
    </row>
    <row r="362" ht="12.75" customHeight="1">
      <c r="A362" s="173"/>
      <c r="B362" s="173"/>
      <c r="C362" s="173"/>
      <c r="D362" s="1"/>
      <c r="E362" s="173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6"/>
      <c r="V362" s="176"/>
      <c r="W362" s="176"/>
    </row>
    <row r="363" ht="12.75" customHeight="1">
      <c r="A363" s="173"/>
      <c r="B363" s="173"/>
      <c r="C363" s="173"/>
      <c r="D363" s="1"/>
      <c r="E363" s="173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6"/>
      <c r="V363" s="176"/>
      <c r="W363" s="176"/>
    </row>
    <row r="364" ht="12.75" customHeight="1">
      <c r="A364" s="173"/>
      <c r="B364" s="173"/>
      <c r="C364" s="173"/>
      <c r="D364" s="1"/>
      <c r="E364" s="173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6"/>
      <c r="V364" s="176"/>
      <c r="W364" s="176"/>
    </row>
    <row r="365" ht="12.75" customHeight="1">
      <c r="A365" s="173"/>
      <c r="B365" s="173"/>
      <c r="C365" s="173"/>
      <c r="D365" s="1"/>
      <c r="E365" s="173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6"/>
      <c r="V365" s="176"/>
      <c r="W365" s="176"/>
    </row>
    <row r="366" ht="12.75" customHeight="1">
      <c r="A366" s="173"/>
      <c r="B366" s="173"/>
      <c r="C366" s="173"/>
      <c r="D366" s="1"/>
      <c r="E366" s="173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6"/>
      <c r="V366" s="176"/>
      <c r="W366" s="176"/>
    </row>
    <row r="367" ht="12.75" customHeight="1">
      <c r="A367" s="173"/>
      <c r="B367" s="173"/>
      <c r="C367" s="173"/>
      <c r="D367" s="1"/>
      <c r="E367" s="173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6"/>
      <c r="V367" s="176"/>
      <c r="W367" s="176"/>
    </row>
    <row r="368" ht="12.75" customHeight="1">
      <c r="A368" s="173"/>
      <c r="B368" s="173"/>
      <c r="C368" s="173"/>
      <c r="D368" s="1"/>
      <c r="E368" s="173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6"/>
      <c r="V368" s="176"/>
      <c r="W368" s="176"/>
    </row>
    <row r="369" ht="12.75" customHeight="1">
      <c r="A369" s="173"/>
      <c r="B369" s="173"/>
      <c r="C369" s="173"/>
      <c r="D369" s="1"/>
      <c r="E369" s="173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6"/>
      <c r="V369" s="176"/>
      <c r="W369" s="176"/>
    </row>
    <row r="370" ht="12.75" customHeight="1">
      <c r="A370" s="173"/>
      <c r="B370" s="173"/>
      <c r="C370" s="173"/>
      <c r="D370" s="1"/>
      <c r="E370" s="173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6"/>
      <c r="V370" s="176"/>
      <c r="W370" s="176"/>
    </row>
    <row r="371" ht="12.75" customHeight="1">
      <c r="A371" s="173"/>
      <c r="B371" s="173"/>
      <c r="C371" s="173"/>
      <c r="D371" s="1"/>
      <c r="E371" s="173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76"/>
      <c r="W371" s="176"/>
    </row>
    <row r="372" ht="12.75" customHeight="1">
      <c r="A372" s="173"/>
      <c r="B372" s="173"/>
      <c r="C372" s="173"/>
      <c r="D372" s="1"/>
      <c r="E372" s="173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6"/>
      <c r="V372" s="176"/>
      <c r="W372" s="176"/>
    </row>
    <row r="373" ht="12.75" customHeight="1">
      <c r="A373" s="173"/>
      <c r="B373" s="173"/>
      <c r="C373" s="173"/>
      <c r="D373" s="1"/>
      <c r="E373" s="173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6"/>
      <c r="V373" s="176"/>
      <c r="W373" s="176"/>
    </row>
    <row r="374" ht="12.75" customHeight="1">
      <c r="A374" s="173"/>
      <c r="B374" s="173"/>
      <c r="C374" s="173"/>
      <c r="D374" s="1"/>
      <c r="E374" s="173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6"/>
      <c r="V374" s="176"/>
      <c r="W374" s="176"/>
    </row>
    <row r="375" ht="12.75" customHeight="1">
      <c r="A375" s="173"/>
      <c r="B375" s="173"/>
      <c r="C375" s="173"/>
      <c r="D375" s="1"/>
      <c r="E375" s="173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6"/>
      <c r="V375" s="176"/>
      <c r="W375" s="176"/>
    </row>
    <row r="376" ht="12.75" customHeight="1">
      <c r="A376" s="173"/>
      <c r="B376" s="173"/>
      <c r="C376" s="173"/>
      <c r="D376" s="1"/>
      <c r="E376" s="173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6"/>
      <c r="V376" s="176"/>
      <c r="W376" s="176"/>
    </row>
    <row r="377" ht="12.75" customHeight="1">
      <c r="A377" s="173"/>
      <c r="B377" s="173"/>
      <c r="C377" s="173"/>
      <c r="D377" s="1"/>
      <c r="E377" s="173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6"/>
      <c r="V377" s="176"/>
      <c r="W377" s="176"/>
    </row>
    <row r="378" ht="12.75" customHeight="1">
      <c r="A378" s="173"/>
      <c r="B378" s="173"/>
      <c r="C378" s="173"/>
      <c r="D378" s="1"/>
      <c r="E378" s="173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6"/>
      <c r="V378" s="176"/>
      <c r="W378" s="176"/>
    </row>
    <row r="379" ht="12.75" customHeight="1">
      <c r="A379" s="173"/>
      <c r="B379" s="173"/>
      <c r="C379" s="173"/>
      <c r="D379" s="1"/>
      <c r="E379" s="173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6"/>
      <c r="V379" s="176"/>
      <c r="W379" s="176"/>
    </row>
    <row r="380" ht="12.75" customHeight="1">
      <c r="A380" s="173"/>
      <c r="B380" s="173"/>
      <c r="C380" s="173"/>
      <c r="D380" s="1"/>
      <c r="E380" s="173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6"/>
      <c r="V380" s="176"/>
      <c r="W380" s="176"/>
    </row>
    <row r="381" ht="12.75" customHeight="1">
      <c r="A381" s="173"/>
      <c r="B381" s="173"/>
      <c r="C381" s="173"/>
      <c r="D381" s="1"/>
      <c r="E381" s="173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6"/>
      <c r="V381" s="176"/>
      <c r="W381" s="176"/>
    </row>
    <row r="382" ht="12.75" customHeight="1">
      <c r="A382" s="173"/>
      <c r="B382" s="173"/>
      <c r="C382" s="173"/>
      <c r="D382" s="1"/>
      <c r="E382" s="173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6"/>
      <c r="V382" s="176"/>
      <c r="W382" s="176"/>
    </row>
    <row r="383" ht="12.75" customHeight="1">
      <c r="A383" s="173"/>
      <c r="B383" s="173"/>
      <c r="C383" s="173"/>
      <c r="D383" s="1"/>
      <c r="E383" s="173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6"/>
      <c r="V383" s="176"/>
      <c r="W383" s="176"/>
    </row>
    <row r="384" ht="12.75" customHeight="1">
      <c r="A384" s="173"/>
      <c r="B384" s="173"/>
      <c r="C384" s="173"/>
      <c r="D384" s="1"/>
      <c r="E384" s="173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6"/>
      <c r="V384" s="176"/>
      <c r="W384" s="176"/>
    </row>
    <row r="385" ht="12.75" customHeight="1">
      <c r="A385" s="173"/>
      <c r="B385" s="173"/>
      <c r="C385" s="173"/>
      <c r="D385" s="1"/>
      <c r="E385" s="173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6"/>
      <c r="V385" s="176"/>
      <c r="W385" s="176"/>
    </row>
    <row r="386" ht="12.75" customHeight="1">
      <c r="A386" s="173"/>
      <c r="B386" s="173"/>
      <c r="C386" s="173"/>
      <c r="D386" s="1"/>
      <c r="E386" s="173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6"/>
      <c r="V386" s="176"/>
      <c r="W386" s="176"/>
    </row>
    <row r="387" ht="12.75" customHeight="1">
      <c r="A387" s="173"/>
      <c r="B387" s="173"/>
      <c r="C387" s="173"/>
      <c r="D387" s="1"/>
      <c r="E387" s="173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6"/>
      <c r="V387" s="176"/>
      <c r="W387" s="176"/>
    </row>
    <row r="388" ht="12.75" customHeight="1">
      <c r="A388" s="173"/>
      <c r="B388" s="173"/>
      <c r="C388" s="173"/>
      <c r="D388" s="1"/>
      <c r="E388" s="173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6"/>
      <c r="V388" s="176"/>
      <c r="W388" s="176"/>
    </row>
    <row r="389" ht="12.75" customHeight="1">
      <c r="A389" s="173"/>
      <c r="B389" s="173"/>
      <c r="C389" s="173"/>
      <c r="D389" s="1"/>
      <c r="E389" s="173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6"/>
      <c r="V389" s="176"/>
      <c r="W389" s="176"/>
    </row>
    <row r="390" ht="12.75" customHeight="1">
      <c r="A390" s="173"/>
      <c r="B390" s="173"/>
      <c r="C390" s="173"/>
      <c r="D390" s="1"/>
      <c r="E390" s="173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6"/>
      <c r="V390" s="176"/>
      <c r="W390" s="176"/>
    </row>
    <row r="391" ht="12.75" customHeight="1">
      <c r="A391" s="173"/>
      <c r="B391" s="173"/>
      <c r="C391" s="173"/>
      <c r="D391" s="1"/>
      <c r="E391" s="173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6"/>
      <c r="V391" s="176"/>
      <c r="W391" s="176"/>
    </row>
    <row r="392" ht="12.75" customHeight="1">
      <c r="A392" s="173"/>
      <c r="B392" s="173"/>
      <c r="C392" s="173"/>
      <c r="D392" s="1"/>
      <c r="E392" s="173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6"/>
      <c r="V392" s="176"/>
      <c r="W392" s="176"/>
    </row>
    <row r="393" ht="12.75" customHeight="1">
      <c r="A393" s="173"/>
      <c r="B393" s="173"/>
      <c r="C393" s="173"/>
      <c r="D393" s="1"/>
      <c r="E393" s="173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6"/>
      <c r="V393" s="176"/>
      <c r="W393" s="176"/>
    </row>
    <row r="394" ht="12.75" customHeight="1">
      <c r="A394" s="173"/>
      <c r="B394" s="173"/>
      <c r="C394" s="173"/>
      <c r="D394" s="1"/>
      <c r="E394" s="173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6"/>
      <c r="V394" s="176"/>
      <c r="W394" s="176"/>
    </row>
    <row r="395" ht="12.75" customHeight="1">
      <c r="A395" s="173"/>
      <c r="B395" s="173"/>
      <c r="C395" s="173"/>
      <c r="D395" s="1"/>
      <c r="E395" s="173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6"/>
      <c r="V395" s="176"/>
      <c r="W395" s="176"/>
    </row>
    <row r="396" ht="12.75" customHeight="1">
      <c r="A396" s="173"/>
      <c r="B396" s="173"/>
      <c r="C396" s="173"/>
      <c r="D396" s="1"/>
      <c r="E396" s="173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6"/>
      <c r="V396" s="176"/>
      <c r="W396" s="176"/>
    </row>
    <row r="397" ht="12.75" customHeight="1">
      <c r="A397" s="173"/>
      <c r="B397" s="173"/>
      <c r="C397" s="173"/>
      <c r="D397" s="1"/>
      <c r="E397" s="173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6"/>
      <c r="V397" s="176"/>
      <c r="W397" s="176"/>
    </row>
    <row r="398" ht="12.75" customHeight="1">
      <c r="A398" s="173"/>
      <c r="B398" s="173"/>
      <c r="C398" s="173"/>
      <c r="D398" s="1"/>
      <c r="E398" s="173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6"/>
      <c r="V398" s="176"/>
      <c r="W398" s="176"/>
    </row>
    <row r="399" ht="12.75" customHeight="1">
      <c r="A399" s="173"/>
      <c r="B399" s="173"/>
      <c r="C399" s="173"/>
      <c r="D399" s="1"/>
      <c r="E399" s="173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6"/>
      <c r="V399" s="176"/>
      <c r="W399" s="176"/>
    </row>
    <row r="400" ht="12.75" customHeight="1">
      <c r="A400" s="173"/>
      <c r="B400" s="173"/>
      <c r="C400" s="173"/>
      <c r="D400" s="1"/>
      <c r="E400" s="173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6"/>
      <c r="V400" s="176"/>
      <c r="W400" s="176"/>
    </row>
    <row r="401" ht="12.75" customHeight="1">
      <c r="A401" s="173"/>
      <c r="B401" s="173"/>
      <c r="C401" s="173"/>
      <c r="D401" s="1"/>
      <c r="E401" s="173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6"/>
      <c r="V401" s="176"/>
      <c r="W401" s="176"/>
    </row>
    <row r="402" ht="12.75" customHeight="1">
      <c r="A402" s="173"/>
      <c r="B402" s="173"/>
      <c r="C402" s="173"/>
      <c r="D402" s="1"/>
      <c r="E402" s="173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6"/>
      <c r="V402" s="176"/>
      <c r="W402" s="176"/>
    </row>
    <row r="403" ht="12.75" customHeight="1">
      <c r="A403" s="173"/>
      <c r="B403" s="173"/>
      <c r="C403" s="173"/>
      <c r="D403" s="1"/>
      <c r="E403" s="173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6"/>
      <c r="V403" s="176"/>
      <c r="W403" s="176"/>
    </row>
    <row r="404" ht="12.75" customHeight="1">
      <c r="A404" s="173"/>
      <c r="B404" s="173"/>
      <c r="C404" s="173"/>
      <c r="D404" s="1"/>
      <c r="E404" s="173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6"/>
      <c r="V404" s="176"/>
      <c r="W404" s="176"/>
    </row>
    <row r="405" ht="12.75" customHeight="1">
      <c r="A405" s="173"/>
      <c r="B405" s="173"/>
      <c r="C405" s="173"/>
      <c r="D405" s="1"/>
      <c r="E405" s="173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6"/>
      <c r="V405" s="176"/>
      <c r="W405" s="176"/>
    </row>
    <row r="406" ht="12.75" customHeight="1">
      <c r="A406" s="173"/>
      <c r="B406" s="173"/>
      <c r="C406" s="173"/>
      <c r="D406" s="1"/>
      <c r="E406" s="173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6"/>
      <c r="V406" s="176"/>
      <c r="W406" s="176"/>
    </row>
    <row r="407" ht="12.75" customHeight="1">
      <c r="A407" s="173"/>
      <c r="B407" s="173"/>
      <c r="C407" s="173"/>
      <c r="D407" s="1"/>
      <c r="E407" s="173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6"/>
      <c r="V407" s="176"/>
      <c r="W407" s="176"/>
    </row>
    <row r="408" ht="12.75" customHeight="1">
      <c r="A408" s="173"/>
      <c r="B408" s="173"/>
      <c r="C408" s="173"/>
      <c r="D408" s="1"/>
      <c r="E408" s="173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6"/>
      <c r="V408" s="176"/>
      <c r="W408" s="176"/>
    </row>
    <row r="409" ht="12.75" customHeight="1">
      <c r="A409" s="173"/>
      <c r="B409" s="173"/>
      <c r="C409" s="173"/>
      <c r="D409" s="1"/>
      <c r="E409" s="173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6"/>
      <c r="V409" s="176"/>
      <c r="W409" s="176"/>
    </row>
    <row r="410" ht="12.75" customHeight="1">
      <c r="A410" s="173"/>
      <c r="B410" s="173"/>
      <c r="C410" s="173"/>
      <c r="D410" s="1"/>
      <c r="E410" s="173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6"/>
      <c r="V410" s="176"/>
      <c r="W410" s="176"/>
    </row>
    <row r="411" ht="12.75" customHeight="1">
      <c r="A411" s="173"/>
      <c r="B411" s="173"/>
      <c r="C411" s="173"/>
      <c r="D411" s="1"/>
      <c r="E411" s="173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6"/>
      <c r="V411" s="176"/>
      <c r="W411" s="176"/>
    </row>
    <row r="412" ht="12.75" customHeight="1">
      <c r="A412" s="173"/>
      <c r="B412" s="173"/>
      <c r="C412" s="173"/>
      <c r="D412" s="1"/>
      <c r="E412" s="173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6"/>
      <c r="V412" s="176"/>
      <c r="W412" s="176"/>
    </row>
    <row r="413" ht="12.75" customHeight="1">
      <c r="A413" s="173"/>
      <c r="B413" s="173"/>
      <c r="C413" s="173"/>
      <c r="D413" s="1"/>
      <c r="E413" s="173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6"/>
      <c r="V413" s="176"/>
      <c r="W413" s="176"/>
    </row>
    <row r="414" ht="12.75" customHeight="1">
      <c r="A414" s="173"/>
      <c r="B414" s="173"/>
      <c r="C414" s="173"/>
      <c r="D414" s="1"/>
      <c r="E414" s="173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6"/>
      <c r="V414" s="176"/>
      <c r="W414" s="176"/>
    </row>
    <row r="415" ht="12.75" customHeight="1">
      <c r="A415" s="173"/>
      <c r="B415" s="173"/>
      <c r="C415" s="173"/>
      <c r="D415" s="1"/>
      <c r="E415" s="173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6"/>
      <c r="V415" s="176"/>
      <c r="W415" s="176"/>
    </row>
    <row r="416" ht="12.75" customHeight="1">
      <c r="A416" s="173"/>
      <c r="B416" s="173"/>
      <c r="C416" s="173"/>
      <c r="D416" s="1"/>
      <c r="E416" s="173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6"/>
      <c r="V416" s="176"/>
      <c r="W416" s="176"/>
    </row>
    <row r="417" ht="12.75" customHeight="1">
      <c r="A417" s="173"/>
      <c r="B417" s="173"/>
      <c r="C417" s="173"/>
      <c r="D417" s="1"/>
      <c r="E417" s="173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6"/>
      <c r="V417" s="176"/>
      <c r="W417" s="176"/>
    </row>
    <row r="418" ht="12.75" customHeight="1">
      <c r="A418" s="173"/>
      <c r="B418" s="173"/>
      <c r="C418" s="173"/>
      <c r="D418" s="1"/>
      <c r="E418" s="173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6"/>
      <c r="V418" s="176"/>
      <c r="W418" s="176"/>
    </row>
    <row r="419" ht="12.75" customHeight="1">
      <c r="A419" s="173"/>
      <c r="B419" s="173"/>
      <c r="C419" s="173"/>
      <c r="D419" s="1"/>
      <c r="E419" s="173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6"/>
      <c r="V419" s="176"/>
      <c r="W419" s="176"/>
    </row>
    <row r="420" ht="12.75" customHeight="1">
      <c r="A420" s="173"/>
      <c r="B420" s="173"/>
      <c r="C420" s="173"/>
      <c r="D420" s="1"/>
      <c r="E420" s="173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6"/>
      <c r="V420" s="176"/>
      <c r="W420" s="176"/>
    </row>
    <row r="421" ht="12.75" customHeight="1">
      <c r="A421" s="173"/>
      <c r="B421" s="173"/>
      <c r="C421" s="173"/>
      <c r="D421" s="1"/>
      <c r="E421" s="173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6"/>
      <c r="V421" s="176"/>
      <c r="W421" s="176"/>
    </row>
    <row r="422" ht="12.75" customHeight="1">
      <c r="A422" s="173"/>
      <c r="B422" s="173"/>
      <c r="C422" s="173"/>
      <c r="D422" s="1"/>
      <c r="E422" s="173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6"/>
      <c r="V422" s="176"/>
      <c r="W422" s="176"/>
    </row>
    <row r="423" ht="12.75" customHeight="1">
      <c r="A423" s="173"/>
      <c r="B423" s="173"/>
      <c r="C423" s="173"/>
      <c r="D423" s="1"/>
      <c r="E423" s="173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6"/>
      <c r="V423" s="176"/>
      <c r="W423" s="176"/>
    </row>
    <row r="424" ht="12.75" customHeight="1">
      <c r="A424" s="173"/>
      <c r="B424" s="173"/>
      <c r="C424" s="173"/>
      <c r="D424" s="1"/>
      <c r="E424" s="173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6"/>
      <c r="V424" s="176"/>
      <c r="W424" s="176"/>
    </row>
    <row r="425" ht="12.75" customHeight="1">
      <c r="A425" s="173"/>
      <c r="B425" s="173"/>
      <c r="C425" s="173"/>
      <c r="D425" s="1"/>
      <c r="E425" s="173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6"/>
      <c r="V425" s="176"/>
      <c r="W425" s="176"/>
    </row>
    <row r="426" ht="12.75" customHeight="1">
      <c r="A426" s="173"/>
      <c r="B426" s="173"/>
      <c r="C426" s="173"/>
      <c r="D426" s="1"/>
      <c r="E426" s="173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6"/>
      <c r="V426" s="176"/>
      <c r="W426" s="176"/>
    </row>
    <row r="427" ht="12.75" customHeight="1">
      <c r="A427" s="173"/>
      <c r="B427" s="173"/>
      <c r="C427" s="173"/>
      <c r="D427" s="1"/>
      <c r="E427" s="173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6"/>
      <c r="V427" s="176"/>
      <c r="W427" s="176"/>
    </row>
    <row r="428" ht="12.75" customHeight="1">
      <c r="A428" s="173"/>
      <c r="B428" s="173"/>
      <c r="C428" s="173"/>
      <c r="D428" s="1"/>
      <c r="E428" s="173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6"/>
      <c r="V428" s="176"/>
      <c r="W428" s="176"/>
    </row>
    <row r="429" ht="12.75" customHeight="1">
      <c r="A429" s="173"/>
      <c r="B429" s="173"/>
      <c r="C429" s="173"/>
      <c r="D429" s="1"/>
      <c r="E429" s="173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6"/>
      <c r="V429" s="176"/>
      <c r="W429" s="176"/>
    </row>
    <row r="430" ht="12.75" customHeight="1">
      <c r="A430" s="173"/>
      <c r="B430" s="173"/>
      <c r="C430" s="173"/>
      <c r="D430" s="1"/>
      <c r="E430" s="173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6"/>
      <c r="V430" s="176"/>
      <c r="W430" s="176"/>
    </row>
    <row r="431" ht="12.75" customHeight="1">
      <c r="A431" s="173"/>
      <c r="B431" s="173"/>
      <c r="C431" s="173"/>
      <c r="D431" s="1"/>
      <c r="E431" s="173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6"/>
      <c r="V431" s="176"/>
      <c r="W431" s="176"/>
    </row>
    <row r="432" ht="12.75" customHeight="1">
      <c r="A432" s="173"/>
      <c r="B432" s="173"/>
      <c r="C432" s="173"/>
      <c r="D432" s="1"/>
      <c r="E432" s="173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6"/>
      <c r="V432" s="176"/>
      <c r="W432" s="176"/>
    </row>
    <row r="433" ht="12.75" customHeight="1">
      <c r="A433" s="173"/>
      <c r="B433" s="173"/>
      <c r="C433" s="173"/>
      <c r="D433" s="1"/>
      <c r="E433" s="173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6"/>
      <c r="V433" s="176"/>
      <c r="W433" s="176"/>
    </row>
    <row r="434" ht="12.75" customHeight="1">
      <c r="A434" s="173"/>
      <c r="B434" s="173"/>
      <c r="C434" s="173"/>
      <c r="D434" s="1"/>
      <c r="E434" s="173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6"/>
      <c r="V434" s="176"/>
      <c r="W434" s="176"/>
    </row>
    <row r="435" ht="12.75" customHeight="1">
      <c r="A435" s="173"/>
      <c r="B435" s="173"/>
      <c r="C435" s="173"/>
      <c r="D435" s="1"/>
      <c r="E435" s="173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6"/>
      <c r="V435" s="176"/>
      <c r="W435" s="176"/>
    </row>
    <row r="436" ht="12.75" customHeight="1">
      <c r="A436" s="173"/>
      <c r="B436" s="173"/>
      <c r="C436" s="173"/>
      <c r="D436" s="1"/>
      <c r="E436" s="173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6"/>
      <c r="V436" s="176"/>
      <c r="W436" s="176"/>
    </row>
    <row r="437" ht="12.75" customHeight="1">
      <c r="A437" s="173"/>
      <c r="B437" s="173"/>
      <c r="C437" s="173"/>
      <c r="D437" s="1"/>
      <c r="E437" s="173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6"/>
      <c r="V437" s="176"/>
      <c r="W437" s="176"/>
    </row>
    <row r="438" ht="12.75" customHeight="1">
      <c r="A438" s="173"/>
      <c r="B438" s="173"/>
      <c r="C438" s="173"/>
      <c r="D438" s="1"/>
      <c r="E438" s="173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6"/>
      <c r="V438" s="176"/>
      <c r="W438" s="176"/>
    </row>
    <row r="439" ht="12.75" customHeight="1">
      <c r="A439" s="173"/>
      <c r="B439" s="173"/>
      <c r="C439" s="173"/>
      <c r="D439" s="1"/>
      <c r="E439" s="173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6"/>
      <c r="V439" s="176"/>
      <c r="W439" s="176"/>
    </row>
    <row r="440" ht="12.75" customHeight="1">
      <c r="A440" s="173"/>
      <c r="B440" s="173"/>
      <c r="C440" s="173"/>
      <c r="D440" s="1"/>
      <c r="E440" s="173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6"/>
      <c r="V440" s="176"/>
      <c r="W440" s="176"/>
    </row>
    <row r="441" ht="12.75" customHeight="1">
      <c r="A441" s="173"/>
      <c r="B441" s="173"/>
      <c r="C441" s="173"/>
      <c r="D441" s="1"/>
      <c r="E441" s="173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6"/>
      <c r="V441" s="176"/>
      <c r="W441" s="176"/>
    </row>
    <row r="442" ht="12.75" customHeight="1">
      <c r="A442" s="173"/>
      <c r="B442" s="173"/>
      <c r="C442" s="173"/>
      <c r="D442" s="1"/>
      <c r="E442" s="173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6"/>
      <c r="V442" s="176"/>
      <c r="W442" s="176"/>
    </row>
    <row r="443" ht="12.75" customHeight="1">
      <c r="A443" s="173"/>
      <c r="B443" s="173"/>
      <c r="C443" s="173"/>
      <c r="D443" s="1"/>
      <c r="E443" s="173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6"/>
      <c r="V443" s="176"/>
      <c r="W443" s="176"/>
    </row>
    <row r="444" ht="12.75" customHeight="1">
      <c r="A444" s="173"/>
      <c r="B444" s="173"/>
      <c r="C444" s="173"/>
      <c r="D444" s="1"/>
      <c r="E444" s="173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6"/>
      <c r="V444" s="176"/>
      <c r="W444" s="176"/>
    </row>
    <row r="445" ht="12.75" customHeight="1">
      <c r="A445" s="173"/>
      <c r="B445" s="173"/>
      <c r="C445" s="173"/>
      <c r="D445" s="1"/>
      <c r="E445" s="173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6"/>
      <c r="V445" s="176"/>
      <c r="W445" s="176"/>
    </row>
    <row r="446" ht="12.75" customHeight="1">
      <c r="A446" s="173"/>
      <c r="B446" s="173"/>
      <c r="C446" s="173"/>
      <c r="D446" s="1"/>
      <c r="E446" s="173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6"/>
      <c r="V446" s="176"/>
      <c r="W446" s="176"/>
    </row>
    <row r="447" ht="12.75" customHeight="1">
      <c r="A447" s="173"/>
      <c r="B447" s="173"/>
      <c r="C447" s="173"/>
      <c r="D447" s="1"/>
      <c r="E447" s="173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6"/>
      <c r="V447" s="176"/>
      <c r="W447" s="176"/>
    </row>
    <row r="448" ht="12.75" customHeight="1">
      <c r="A448" s="173"/>
      <c r="B448" s="173"/>
      <c r="C448" s="173"/>
      <c r="D448" s="1"/>
      <c r="E448" s="173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6"/>
      <c r="V448" s="176"/>
      <c r="W448" s="176"/>
    </row>
    <row r="449" ht="12.75" customHeight="1">
      <c r="A449" s="173"/>
      <c r="B449" s="173"/>
      <c r="C449" s="173"/>
      <c r="D449" s="1"/>
      <c r="E449" s="173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6"/>
      <c r="V449" s="176"/>
      <c r="W449" s="176"/>
    </row>
    <row r="450" ht="12.75" customHeight="1">
      <c r="A450" s="173"/>
      <c r="B450" s="173"/>
      <c r="C450" s="173"/>
      <c r="D450" s="1"/>
      <c r="E450" s="173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6"/>
      <c r="V450" s="176"/>
      <c r="W450" s="176"/>
    </row>
    <row r="451" ht="12.75" customHeight="1">
      <c r="A451" s="173"/>
      <c r="B451" s="173"/>
      <c r="C451" s="173"/>
      <c r="D451" s="1"/>
      <c r="E451" s="173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6"/>
      <c r="V451" s="176"/>
      <c r="W451" s="176"/>
    </row>
    <row r="452" ht="12.75" customHeight="1">
      <c r="A452" s="173"/>
      <c r="B452" s="173"/>
      <c r="C452" s="173"/>
      <c r="D452" s="1"/>
      <c r="E452" s="173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6"/>
      <c r="V452" s="176"/>
      <c r="W452" s="176"/>
    </row>
    <row r="453" ht="12.75" customHeight="1">
      <c r="A453" s="173"/>
      <c r="B453" s="173"/>
      <c r="C453" s="173"/>
      <c r="D453" s="1"/>
      <c r="E453" s="173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6"/>
      <c r="V453" s="176"/>
      <c r="W453" s="176"/>
    </row>
    <row r="454" ht="12.75" customHeight="1">
      <c r="A454" s="173"/>
      <c r="B454" s="173"/>
      <c r="C454" s="173"/>
      <c r="D454" s="1"/>
      <c r="E454" s="173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6"/>
      <c r="V454" s="176"/>
      <c r="W454" s="176"/>
    </row>
    <row r="455" ht="12.75" customHeight="1">
      <c r="A455" s="173"/>
      <c r="B455" s="173"/>
      <c r="C455" s="173"/>
      <c r="D455" s="1"/>
      <c r="E455" s="173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6"/>
      <c r="V455" s="176"/>
      <c r="W455" s="176"/>
    </row>
    <row r="456" ht="12.75" customHeight="1">
      <c r="A456" s="173"/>
      <c r="B456" s="173"/>
      <c r="C456" s="173"/>
      <c r="D456" s="1"/>
      <c r="E456" s="173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6"/>
      <c r="V456" s="176"/>
      <c r="W456" s="176"/>
    </row>
    <row r="457" ht="12.75" customHeight="1">
      <c r="A457" s="173"/>
      <c r="B457" s="173"/>
      <c r="C457" s="173"/>
      <c r="D457" s="1"/>
      <c r="E457" s="173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6"/>
      <c r="V457" s="176"/>
      <c r="W457" s="176"/>
    </row>
    <row r="458" ht="12.75" customHeight="1">
      <c r="A458" s="173"/>
      <c r="B458" s="173"/>
      <c r="C458" s="173"/>
      <c r="D458" s="1"/>
      <c r="E458" s="173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6"/>
      <c r="V458" s="176"/>
      <c r="W458" s="176"/>
    </row>
    <row r="459" ht="12.75" customHeight="1">
      <c r="A459" s="173"/>
      <c r="B459" s="173"/>
      <c r="C459" s="173"/>
      <c r="D459" s="1"/>
      <c r="E459" s="173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6"/>
      <c r="V459" s="176"/>
      <c r="W459" s="176"/>
    </row>
    <row r="460" ht="12.75" customHeight="1">
      <c r="A460" s="173"/>
      <c r="B460" s="173"/>
      <c r="C460" s="173"/>
      <c r="D460" s="1"/>
      <c r="E460" s="173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6"/>
      <c r="V460" s="176"/>
      <c r="W460" s="176"/>
    </row>
    <row r="461" ht="12.75" customHeight="1">
      <c r="A461" s="173"/>
      <c r="B461" s="173"/>
      <c r="C461" s="173"/>
      <c r="D461" s="1"/>
      <c r="E461" s="173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6"/>
      <c r="V461" s="176"/>
      <c r="W461" s="176"/>
    </row>
    <row r="462" ht="12.75" customHeight="1">
      <c r="A462" s="173"/>
      <c r="B462" s="173"/>
      <c r="C462" s="173"/>
      <c r="D462" s="1"/>
      <c r="E462" s="173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6"/>
      <c r="V462" s="176"/>
      <c r="W462" s="176"/>
    </row>
    <row r="463" ht="12.75" customHeight="1">
      <c r="A463" s="173"/>
      <c r="B463" s="173"/>
      <c r="C463" s="173"/>
      <c r="D463" s="1"/>
      <c r="E463" s="173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6"/>
      <c r="V463" s="176"/>
      <c r="W463" s="176"/>
    </row>
    <row r="464" ht="12.75" customHeight="1">
      <c r="A464" s="173"/>
      <c r="B464" s="173"/>
      <c r="C464" s="173"/>
      <c r="D464" s="1"/>
      <c r="E464" s="173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6"/>
      <c r="V464" s="176"/>
      <c r="W464" s="176"/>
    </row>
    <row r="465" ht="12.75" customHeight="1">
      <c r="A465" s="173"/>
      <c r="B465" s="173"/>
      <c r="C465" s="173"/>
      <c r="D465" s="1"/>
      <c r="E465" s="173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6"/>
      <c r="V465" s="176"/>
      <c r="W465" s="176"/>
    </row>
    <row r="466" ht="12.75" customHeight="1">
      <c r="A466" s="173"/>
      <c r="B466" s="173"/>
      <c r="C466" s="173"/>
      <c r="D466" s="1"/>
      <c r="E466" s="173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6"/>
      <c r="V466" s="176"/>
      <c r="W466" s="176"/>
    </row>
    <row r="467" ht="12.75" customHeight="1">
      <c r="A467" s="173"/>
      <c r="B467" s="173"/>
      <c r="C467" s="173"/>
      <c r="D467" s="1"/>
      <c r="E467" s="173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6"/>
      <c r="V467" s="176"/>
      <c r="W467" s="176"/>
    </row>
    <row r="468" ht="12.75" customHeight="1">
      <c r="A468" s="173"/>
      <c r="B468" s="173"/>
      <c r="C468" s="173"/>
      <c r="D468" s="1"/>
      <c r="E468" s="173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6"/>
      <c r="V468" s="176"/>
      <c r="W468" s="176"/>
    </row>
    <row r="469" ht="12.75" customHeight="1">
      <c r="A469" s="173"/>
      <c r="B469" s="173"/>
      <c r="C469" s="173"/>
      <c r="D469" s="1"/>
      <c r="E469" s="173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6"/>
      <c r="V469" s="176"/>
      <c r="W469" s="176"/>
    </row>
    <row r="470" ht="12.75" customHeight="1">
      <c r="A470" s="173"/>
      <c r="B470" s="173"/>
      <c r="C470" s="173"/>
      <c r="D470" s="1"/>
      <c r="E470" s="173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6"/>
      <c r="V470" s="176"/>
      <c r="W470" s="176"/>
    </row>
    <row r="471" ht="12.75" customHeight="1">
      <c r="A471" s="173"/>
      <c r="B471" s="173"/>
      <c r="C471" s="173"/>
      <c r="D471" s="1"/>
      <c r="E471" s="173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6"/>
      <c r="V471" s="176"/>
      <c r="W471" s="176"/>
    </row>
    <row r="472" ht="12.75" customHeight="1">
      <c r="A472" s="173"/>
      <c r="B472" s="173"/>
      <c r="C472" s="173"/>
      <c r="D472" s="1"/>
      <c r="E472" s="173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6"/>
      <c r="V472" s="176"/>
      <c r="W472" s="176"/>
    </row>
    <row r="473" ht="12.75" customHeight="1">
      <c r="A473" s="173"/>
      <c r="B473" s="173"/>
      <c r="C473" s="173"/>
      <c r="D473" s="1"/>
      <c r="E473" s="173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6"/>
      <c r="V473" s="176"/>
      <c r="W473" s="176"/>
    </row>
    <row r="474" ht="12.75" customHeight="1">
      <c r="A474" s="173"/>
      <c r="B474" s="173"/>
      <c r="C474" s="173"/>
      <c r="D474" s="1"/>
      <c r="E474" s="173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6"/>
      <c r="V474" s="176"/>
      <c r="W474" s="176"/>
    </row>
    <row r="475" ht="12.75" customHeight="1">
      <c r="A475" s="173"/>
      <c r="B475" s="173"/>
      <c r="C475" s="173"/>
      <c r="D475" s="1"/>
      <c r="E475" s="173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6"/>
      <c r="V475" s="176"/>
      <c r="W475" s="176"/>
    </row>
    <row r="476" ht="12.75" customHeight="1">
      <c r="A476" s="173"/>
      <c r="B476" s="173"/>
      <c r="C476" s="173"/>
      <c r="D476" s="1"/>
      <c r="E476" s="173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6"/>
      <c r="V476" s="176"/>
      <c r="W476" s="176"/>
    </row>
    <row r="477" ht="12.75" customHeight="1">
      <c r="A477" s="173"/>
      <c r="B477" s="173"/>
      <c r="C477" s="173"/>
      <c r="D477" s="1"/>
      <c r="E477" s="173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6"/>
      <c r="V477" s="176"/>
      <c r="W477" s="176"/>
    </row>
    <row r="478" ht="12.75" customHeight="1">
      <c r="A478" s="173"/>
      <c r="B478" s="173"/>
      <c r="C478" s="173"/>
      <c r="D478" s="1"/>
      <c r="E478" s="173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6"/>
      <c r="V478" s="176"/>
      <c r="W478" s="176"/>
    </row>
    <row r="479" ht="12.75" customHeight="1">
      <c r="A479" s="173"/>
      <c r="B479" s="173"/>
      <c r="C479" s="173"/>
      <c r="D479" s="1"/>
      <c r="E479" s="173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6"/>
      <c r="V479" s="176"/>
      <c r="W479" s="176"/>
    </row>
    <row r="480" ht="12.75" customHeight="1">
      <c r="A480" s="173"/>
      <c r="B480" s="173"/>
      <c r="C480" s="173"/>
      <c r="D480" s="1"/>
      <c r="E480" s="173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6"/>
      <c r="V480" s="176"/>
      <c r="W480" s="176"/>
    </row>
    <row r="481" ht="12.75" customHeight="1">
      <c r="A481" s="173"/>
      <c r="B481" s="173"/>
      <c r="C481" s="173"/>
      <c r="D481" s="1"/>
      <c r="E481" s="173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6"/>
      <c r="V481" s="176"/>
      <c r="W481" s="176"/>
    </row>
    <row r="482" ht="12.75" customHeight="1">
      <c r="A482" s="173"/>
      <c r="B482" s="173"/>
      <c r="C482" s="173"/>
      <c r="D482" s="1"/>
      <c r="E482" s="173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6"/>
      <c r="V482" s="176"/>
      <c r="W482" s="176"/>
    </row>
    <row r="483" ht="12.75" customHeight="1">
      <c r="A483" s="173"/>
      <c r="B483" s="173"/>
      <c r="C483" s="173"/>
      <c r="D483" s="1"/>
      <c r="E483" s="173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6"/>
      <c r="V483" s="176"/>
      <c r="W483" s="176"/>
    </row>
    <row r="484" ht="12.75" customHeight="1">
      <c r="A484" s="173"/>
      <c r="B484" s="173"/>
      <c r="C484" s="173"/>
      <c r="D484" s="1"/>
      <c r="E484" s="173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6"/>
      <c r="V484" s="176"/>
      <c r="W484" s="176"/>
    </row>
    <row r="485" ht="12.75" customHeight="1">
      <c r="A485" s="173"/>
      <c r="B485" s="173"/>
      <c r="C485" s="173"/>
      <c r="D485" s="1"/>
      <c r="E485" s="173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6"/>
      <c r="V485" s="176"/>
      <c r="W485" s="176"/>
    </row>
    <row r="486" ht="12.75" customHeight="1">
      <c r="A486" s="173"/>
      <c r="B486" s="173"/>
      <c r="C486" s="173"/>
      <c r="D486" s="1"/>
      <c r="E486" s="173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6"/>
      <c r="V486" s="176"/>
      <c r="W486" s="176"/>
    </row>
    <row r="487" ht="12.75" customHeight="1">
      <c r="A487" s="173"/>
      <c r="B487" s="173"/>
      <c r="C487" s="173"/>
      <c r="D487" s="1"/>
      <c r="E487" s="173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6"/>
      <c r="V487" s="176"/>
      <c r="W487" s="176"/>
    </row>
    <row r="488" ht="12.75" customHeight="1">
      <c r="A488" s="173"/>
      <c r="B488" s="173"/>
      <c r="C488" s="173"/>
      <c r="D488" s="1"/>
      <c r="E488" s="173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6"/>
      <c r="V488" s="176"/>
      <c r="W488" s="176"/>
    </row>
    <row r="489" ht="12.75" customHeight="1">
      <c r="A489" s="173"/>
      <c r="B489" s="173"/>
      <c r="C489" s="173"/>
      <c r="D489" s="1"/>
      <c r="E489" s="173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6"/>
      <c r="V489" s="176"/>
      <c r="W489" s="176"/>
    </row>
    <row r="490" ht="12.75" customHeight="1">
      <c r="A490" s="173"/>
      <c r="B490" s="173"/>
      <c r="C490" s="173"/>
      <c r="D490" s="1"/>
      <c r="E490" s="173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6"/>
      <c r="V490" s="176"/>
      <c r="W490" s="176"/>
    </row>
    <row r="491" ht="12.75" customHeight="1">
      <c r="A491" s="173"/>
      <c r="B491" s="173"/>
      <c r="C491" s="173"/>
      <c r="D491" s="1"/>
      <c r="E491" s="173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6"/>
      <c r="V491" s="176"/>
      <c r="W491" s="176"/>
    </row>
    <row r="492" ht="12.75" customHeight="1">
      <c r="A492" s="173"/>
      <c r="B492" s="173"/>
      <c r="C492" s="173"/>
      <c r="D492" s="1"/>
      <c r="E492" s="173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6"/>
      <c r="V492" s="176"/>
      <c r="W492" s="176"/>
    </row>
    <row r="493" ht="12.75" customHeight="1">
      <c r="A493" s="173"/>
      <c r="B493" s="173"/>
      <c r="C493" s="173"/>
      <c r="D493" s="1"/>
      <c r="E493" s="173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6"/>
      <c r="V493" s="176"/>
      <c r="W493" s="176"/>
    </row>
    <row r="494" ht="12.75" customHeight="1">
      <c r="A494" s="173"/>
      <c r="B494" s="173"/>
      <c r="C494" s="173"/>
      <c r="D494" s="1"/>
      <c r="E494" s="173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6"/>
      <c r="V494" s="176"/>
      <c r="W494" s="176"/>
    </row>
    <row r="495" ht="12.75" customHeight="1">
      <c r="A495" s="173"/>
      <c r="B495" s="173"/>
      <c r="C495" s="173"/>
      <c r="D495" s="1"/>
      <c r="E495" s="173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6"/>
      <c r="V495" s="176"/>
      <c r="W495" s="176"/>
    </row>
    <row r="496" ht="12.75" customHeight="1">
      <c r="A496" s="173"/>
      <c r="B496" s="173"/>
      <c r="C496" s="173"/>
      <c r="D496" s="1"/>
      <c r="E496" s="173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6"/>
      <c r="V496" s="176"/>
      <c r="W496" s="176"/>
    </row>
    <row r="497" ht="12.75" customHeight="1">
      <c r="A497" s="173"/>
      <c r="B497" s="173"/>
      <c r="C497" s="173"/>
      <c r="D497" s="1"/>
      <c r="E497" s="173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6"/>
      <c r="V497" s="176"/>
      <c r="W497" s="176"/>
    </row>
    <row r="498" ht="12.75" customHeight="1">
      <c r="A498" s="173"/>
      <c r="B498" s="173"/>
      <c r="C498" s="173"/>
      <c r="D498" s="1"/>
      <c r="E498" s="173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6"/>
      <c r="V498" s="176"/>
      <c r="W498" s="176"/>
    </row>
    <row r="499" ht="12.75" customHeight="1">
      <c r="A499" s="173"/>
      <c r="B499" s="173"/>
      <c r="C499" s="173"/>
      <c r="D499" s="1"/>
      <c r="E499" s="173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6"/>
      <c r="V499" s="176"/>
      <c r="W499" s="176"/>
    </row>
    <row r="500" ht="12.75" customHeight="1">
      <c r="A500" s="173"/>
      <c r="B500" s="173"/>
      <c r="C500" s="173"/>
      <c r="D500" s="1"/>
      <c r="E500" s="173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6"/>
      <c r="V500" s="176"/>
      <c r="W500" s="176"/>
    </row>
    <row r="501" ht="12.75" customHeight="1">
      <c r="A501" s="173"/>
      <c r="B501" s="173"/>
      <c r="C501" s="173"/>
      <c r="D501" s="1"/>
      <c r="E501" s="173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6"/>
      <c r="V501" s="176"/>
      <c r="W501" s="176"/>
    </row>
    <row r="502" ht="12.75" customHeight="1">
      <c r="A502" s="173"/>
      <c r="B502" s="173"/>
      <c r="C502" s="173"/>
      <c r="D502" s="1"/>
      <c r="E502" s="173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6"/>
      <c r="V502" s="176"/>
      <c r="W502" s="176"/>
    </row>
    <row r="503" ht="12.75" customHeight="1">
      <c r="A503" s="173"/>
      <c r="B503" s="173"/>
      <c r="C503" s="173"/>
      <c r="D503" s="1"/>
      <c r="E503" s="173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6"/>
      <c r="V503" s="176"/>
      <c r="W503" s="176"/>
    </row>
    <row r="504" ht="12.75" customHeight="1">
      <c r="A504" s="173"/>
      <c r="B504" s="173"/>
      <c r="C504" s="173"/>
      <c r="D504" s="1"/>
      <c r="E504" s="173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6"/>
      <c r="V504" s="176"/>
      <c r="W504" s="176"/>
    </row>
    <row r="505" ht="12.75" customHeight="1">
      <c r="A505" s="173"/>
      <c r="B505" s="173"/>
      <c r="C505" s="173"/>
      <c r="D505" s="1"/>
      <c r="E505" s="173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6"/>
      <c r="V505" s="176"/>
      <c r="W505" s="176"/>
    </row>
    <row r="506" ht="12.75" customHeight="1">
      <c r="A506" s="173"/>
      <c r="B506" s="173"/>
      <c r="C506" s="173"/>
      <c r="D506" s="1"/>
      <c r="E506" s="173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6"/>
      <c r="V506" s="176"/>
      <c r="W506" s="176"/>
    </row>
    <row r="507" ht="12.75" customHeight="1">
      <c r="A507" s="173"/>
      <c r="B507" s="173"/>
      <c r="C507" s="173"/>
      <c r="D507" s="1"/>
      <c r="E507" s="173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76"/>
      <c r="W507" s="176"/>
    </row>
    <row r="508" ht="12.75" customHeight="1">
      <c r="A508" s="173"/>
      <c r="B508" s="173"/>
      <c r="C508" s="173"/>
      <c r="D508" s="1"/>
      <c r="E508" s="173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6"/>
      <c r="V508" s="176"/>
      <c r="W508" s="176"/>
    </row>
    <row r="509" ht="12.75" customHeight="1">
      <c r="A509" s="173"/>
      <c r="B509" s="173"/>
      <c r="C509" s="173"/>
      <c r="D509" s="1"/>
      <c r="E509" s="173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6"/>
      <c r="V509" s="176"/>
      <c r="W509" s="176"/>
    </row>
    <row r="510" ht="12.75" customHeight="1">
      <c r="A510" s="173"/>
      <c r="B510" s="173"/>
      <c r="C510" s="173"/>
      <c r="D510" s="1"/>
      <c r="E510" s="173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6"/>
      <c r="V510" s="176"/>
      <c r="W510" s="176"/>
    </row>
    <row r="511" ht="12.75" customHeight="1">
      <c r="A511" s="173"/>
      <c r="B511" s="173"/>
      <c r="C511" s="173"/>
      <c r="D511" s="1"/>
      <c r="E511" s="173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6"/>
      <c r="V511" s="176"/>
      <c r="W511" s="176"/>
    </row>
    <row r="512" ht="12.75" customHeight="1">
      <c r="A512" s="173"/>
      <c r="B512" s="173"/>
      <c r="C512" s="173"/>
      <c r="D512" s="1"/>
      <c r="E512" s="173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6"/>
      <c r="V512" s="176"/>
      <c r="W512" s="176"/>
    </row>
    <row r="513" ht="12.75" customHeight="1">
      <c r="A513" s="173"/>
      <c r="B513" s="173"/>
      <c r="C513" s="173"/>
      <c r="D513" s="1"/>
      <c r="E513" s="173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6"/>
      <c r="V513" s="176"/>
      <c r="W513" s="176"/>
    </row>
    <row r="514" ht="12.75" customHeight="1">
      <c r="A514" s="173"/>
      <c r="B514" s="173"/>
      <c r="C514" s="173"/>
      <c r="D514" s="1"/>
      <c r="E514" s="173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6"/>
      <c r="V514" s="176"/>
      <c r="W514" s="176"/>
    </row>
    <row r="515" ht="12.75" customHeight="1">
      <c r="A515" s="173"/>
      <c r="B515" s="173"/>
      <c r="C515" s="173"/>
      <c r="D515" s="1"/>
      <c r="E515" s="173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6"/>
      <c r="V515" s="176"/>
      <c r="W515" s="176"/>
    </row>
    <row r="516" ht="12.75" customHeight="1">
      <c r="A516" s="173"/>
      <c r="B516" s="173"/>
      <c r="C516" s="173"/>
      <c r="D516" s="1"/>
      <c r="E516" s="173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6"/>
      <c r="V516" s="176"/>
      <c r="W516" s="176"/>
    </row>
    <row r="517" ht="12.75" customHeight="1">
      <c r="A517" s="173"/>
      <c r="B517" s="173"/>
      <c r="C517" s="173"/>
      <c r="D517" s="1"/>
      <c r="E517" s="173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6"/>
      <c r="V517" s="176"/>
      <c r="W517" s="176"/>
    </row>
    <row r="518" ht="12.75" customHeight="1">
      <c r="A518" s="173"/>
      <c r="B518" s="173"/>
      <c r="C518" s="173"/>
      <c r="D518" s="1"/>
      <c r="E518" s="173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6"/>
      <c r="V518" s="176"/>
      <c r="W518" s="176"/>
    </row>
    <row r="519" ht="12.75" customHeight="1">
      <c r="A519" s="173"/>
      <c r="B519" s="173"/>
      <c r="C519" s="173"/>
      <c r="D519" s="1"/>
      <c r="E519" s="173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6"/>
      <c r="V519" s="176"/>
      <c r="W519" s="176"/>
    </row>
    <row r="520" ht="12.75" customHeight="1">
      <c r="A520" s="173"/>
      <c r="B520" s="173"/>
      <c r="C520" s="173"/>
      <c r="D520" s="1"/>
      <c r="E520" s="173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6"/>
      <c r="V520" s="176"/>
      <c r="W520" s="176"/>
    </row>
    <row r="521" ht="12.75" customHeight="1">
      <c r="A521" s="173"/>
      <c r="B521" s="173"/>
      <c r="C521" s="173"/>
      <c r="D521" s="1"/>
      <c r="E521" s="173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6"/>
      <c r="V521" s="176"/>
      <c r="W521" s="176"/>
    </row>
    <row r="522" ht="12.75" customHeight="1">
      <c r="A522" s="173"/>
      <c r="B522" s="173"/>
      <c r="C522" s="173"/>
      <c r="D522" s="1"/>
      <c r="E522" s="173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6"/>
      <c r="V522" s="176"/>
      <c r="W522" s="176"/>
    </row>
    <row r="523" ht="12.75" customHeight="1">
      <c r="A523" s="173"/>
      <c r="B523" s="173"/>
      <c r="C523" s="173"/>
      <c r="D523" s="1"/>
      <c r="E523" s="173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6"/>
      <c r="V523" s="176"/>
      <c r="W523" s="176"/>
    </row>
    <row r="524" ht="12.75" customHeight="1">
      <c r="A524" s="173"/>
      <c r="B524" s="173"/>
      <c r="C524" s="173"/>
      <c r="D524" s="1"/>
      <c r="E524" s="173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6"/>
      <c r="V524" s="176"/>
      <c r="W524" s="176"/>
    </row>
    <row r="525" ht="12.75" customHeight="1">
      <c r="A525" s="173"/>
      <c r="B525" s="173"/>
      <c r="C525" s="173"/>
      <c r="D525" s="1"/>
      <c r="E525" s="173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6"/>
      <c r="V525" s="176"/>
      <c r="W525" s="176"/>
    </row>
    <row r="526" ht="12.75" customHeight="1">
      <c r="A526" s="173"/>
      <c r="B526" s="173"/>
      <c r="C526" s="173"/>
      <c r="D526" s="1"/>
      <c r="E526" s="173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6"/>
      <c r="V526" s="176"/>
      <c r="W526" s="176"/>
    </row>
    <row r="527" ht="12.75" customHeight="1">
      <c r="A527" s="173"/>
      <c r="B527" s="173"/>
      <c r="C527" s="173"/>
      <c r="D527" s="1"/>
      <c r="E527" s="173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6"/>
      <c r="V527" s="176"/>
      <c r="W527" s="176"/>
    </row>
    <row r="528" ht="12.75" customHeight="1">
      <c r="A528" s="173"/>
      <c r="B528" s="173"/>
      <c r="C528" s="173"/>
      <c r="D528" s="1"/>
      <c r="E528" s="173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6"/>
      <c r="V528" s="176"/>
      <c r="W528" s="176"/>
    </row>
    <row r="529" ht="12.75" customHeight="1">
      <c r="A529" s="173"/>
      <c r="B529" s="173"/>
      <c r="C529" s="173"/>
      <c r="D529" s="1"/>
      <c r="E529" s="173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6"/>
      <c r="V529" s="176"/>
      <c r="W529" s="176"/>
    </row>
    <row r="530" ht="12.75" customHeight="1">
      <c r="A530" s="173"/>
      <c r="B530" s="173"/>
      <c r="C530" s="173"/>
      <c r="D530" s="1"/>
      <c r="E530" s="173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6"/>
      <c r="V530" s="176"/>
      <c r="W530" s="176"/>
    </row>
    <row r="531" ht="12.75" customHeight="1">
      <c r="A531" s="173"/>
      <c r="B531" s="173"/>
      <c r="C531" s="173"/>
      <c r="D531" s="1"/>
      <c r="E531" s="173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6"/>
      <c r="V531" s="176"/>
      <c r="W531" s="176"/>
    </row>
    <row r="532" ht="12.75" customHeight="1">
      <c r="A532" s="173"/>
      <c r="B532" s="173"/>
      <c r="C532" s="173"/>
      <c r="D532" s="1"/>
      <c r="E532" s="173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6"/>
      <c r="V532" s="176"/>
      <c r="W532" s="176"/>
    </row>
    <row r="533" ht="12.75" customHeight="1">
      <c r="A533" s="173"/>
      <c r="B533" s="173"/>
      <c r="C533" s="173"/>
      <c r="D533" s="1"/>
      <c r="E533" s="173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6"/>
      <c r="V533" s="176"/>
      <c r="W533" s="176"/>
    </row>
    <row r="534" ht="12.75" customHeight="1">
      <c r="A534" s="173"/>
      <c r="B534" s="173"/>
      <c r="C534" s="173"/>
      <c r="D534" s="1"/>
      <c r="E534" s="173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6"/>
      <c r="V534" s="176"/>
      <c r="W534" s="176"/>
    </row>
    <row r="535" ht="12.75" customHeight="1">
      <c r="A535" s="173"/>
      <c r="B535" s="173"/>
      <c r="C535" s="173"/>
      <c r="D535" s="1"/>
      <c r="E535" s="173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6"/>
      <c r="V535" s="176"/>
      <c r="W535" s="176"/>
    </row>
    <row r="536" ht="12.75" customHeight="1">
      <c r="A536" s="173"/>
      <c r="B536" s="173"/>
      <c r="C536" s="173"/>
      <c r="D536" s="1"/>
      <c r="E536" s="173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6"/>
      <c r="V536" s="176"/>
      <c r="W536" s="176"/>
    </row>
    <row r="537" ht="12.75" customHeight="1">
      <c r="A537" s="173"/>
      <c r="B537" s="173"/>
      <c r="C537" s="173"/>
      <c r="D537" s="1"/>
      <c r="E537" s="173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6"/>
      <c r="V537" s="176"/>
      <c r="W537" s="176"/>
    </row>
    <row r="538" ht="12.75" customHeight="1">
      <c r="A538" s="173"/>
      <c r="B538" s="173"/>
      <c r="C538" s="173"/>
      <c r="D538" s="1"/>
      <c r="E538" s="173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6"/>
      <c r="V538" s="176"/>
      <c r="W538" s="176"/>
    </row>
    <row r="539" ht="12.75" customHeight="1">
      <c r="A539" s="173"/>
      <c r="B539" s="173"/>
      <c r="C539" s="173"/>
      <c r="D539" s="1"/>
      <c r="E539" s="173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6"/>
      <c r="V539" s="176"/>
      <c r="W539" s="176"/>
    </row>
    <row r="540" ht="12.75" customHeight="1">
      <c r="A540" s="173"/>
      <c r="B540" s="173"/>
      <c r="C540" s="173"/>
      <c r="D540" s="1"/>
      <c r="E540" s="173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6"/>
      <c r="V540" s="176"/>
      <c r="W540" s="176"/>
    </row>
    <row r="541" ht="12.75" customHeight="1">
      <c r="A541" s="173"/>
      <c r="B541" s="173"/>
      <c r="C541" s="173"/>
      <c r="D541" s="1"/>
      <c r="E541" s="173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6"/>
      <c r="V541" s="176"/>
      <c r="W541" s="176"/>
    </row>
    <row r="542" ht="12.75" customHeight="1">
      <c r="A542" s="173"/>
      <c r="B542" s="173"/>
      <c r="C542" s="173"/>
      <c r="D542" s="1"/>
      <c r="E542" s="173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6"/>
      <c r="V542" s="176"/>
      <c r="W542" s="176"/>
    </row>
    <row r="543" ht="12.75" customHeight="1">
      <c r="A543" s="173"/>
      <c r="B543" s="173"/>
      <c r="C543" s="173"/>
      <c r="D543" s="1"/>
      <c r="E543" s="173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6"/>
      <c r="V543" s="176"/>
      <c r="W543" s="176"/>
    </row>
    <row r="544" ht="12.75" customHeight="1">
      <c r="A544" s="173"/>
      <c r="B544" s="173"/>
      <c r="C544" s="173"/>
      <c r="D544" s="1"/>
      <c r="E544" s="173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6"/>
      <c r="V544" s="176"/>
      <c r="W544" s="176"/>
    </row>
    <row r="545" ht="12.75" customHeight="1">
      <c r="A545" s="173"/>
      <c r="B545" s="173"/>
      <c r="C545" s="173"/>
      <c r="D545" s="1"/>
      <c r="E545" s="173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6"/>
      <c r="V545" s="176"/>
      <c r="W545" s="176"/>
    </row>
    <row r="546" ht="12.75" customHeight="1">
      <c r="A546" s="173"/>
      <c r="B546" s="173"/>
      <c r="C546" s="173"/>
      <c r="D546" s="1"/>
      <c r="E546" s="173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6"/>
      <c r="V546" s="176"/>
      <c r="W546" s="176"/>
    </row>
    <row r="547" ht="12.75" customHeight="1">
      <c r="A547" s="173"/>
      <c r="B547" s="173"/>
      <c r="C547" s="173"/>
      <c r="D547" s="1"/>
      <c r="E547" s="173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6"/>
      <c r="V547" s="176"/>
      <c r="W547" s="176"/>
    </row>
    <row r="548" ht="12.75" customHeight="1">
      <c r="A548" s="173"/>
      <c r="B548" s="173"/>
      <c r="C548" s="173"/>
      <c r="D548" s="1"/>
      <c r="E548" s="173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6"/>
      <c r="V548" s="176"/>
      <c r="W548" s="176"/>
    </row>
    <row r="549" ht="12.75" customHeight="1">
      <c r="A549" s="173"/>
      <c r="B549" s="173"/>
      <c r="C549" s="173"/>
      <c r="D549" s="1"/>
      <c r="E549" s="173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6"/>
      <c r="V549" s="176"/>
      <c r="W549" s="176"/>
    </row>
    <row r="550" ht="12.75" customHeight="1">
      <c r="A550" s="173"/>
      <c r="B550" s="173"/>
      <c r="C550" s="173"/>
      <c r="D550" s="1"/>
      <c r="E550" s="173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6"/>
      <c r="V550" s="176"/>
      <c r="W550" s="176"/>
    </row>
    <row r="551" ht="12.75" customHeight="1">
      <c r="A551" s="173"/>
      <c r="B551" s="173"/>
      <c r="C551" s="173"/>
      <c r="D551" s="1"/>
      <c r="E551" s="173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6"/>
      <c r="V551" s="176"/>
      <c r="W551" s="176"/>
    </row>
    <row r="552" ht="12.75" customHeight="1">
      <c r="A552" s="173"/>
      <c r="B552" s="173"/>
      <c r="C552" s="173"/>
      <c r="D552" s="1"/>
      <c r="E552" s="173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6"/>
      <c r="V552" s="176"/>
      <c r="W552" s="176"/>
    </row>
    <row r="553" ht="12.75" customHeight="1">
      <c r="A553" s="173"/>
      <c r="B553" s="173"/>
      <c r="C553" s="173"/>
      <c r="D553" s="1"/>
      <c r="E553" s="173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6"/>
      <c r="V553" s="176"/>
      <c r="W553" s="176"/>
    </row>
    <row r="554" ht="12.75" customHeight="1">
      <c r="A554" s="173"/>
      <c r="B554" s="173"/>
      <c r="C554" s="173"/>
      <c r="D554" s="1"/>
      <c r="E554" s="173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6"/>
      <c r="V554" s="176"/>
      <c r="W554" s="176"/>
    </row>
    <row r="555" ht="12.75" customHeight="1">
      <c r="A555" s="173"/>
      <c r="B555" s="173"/>
      <c r="C555" s="173"/>
      <c r="D555" s="1"/>
      <c r="E555" s="173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6"/>
      <c r="V555" s="176"/>
      <c r="W555" s="176"/>
    </row>
    <row r="556" ht="12.75" customHeight="1">
      <c r="A556" s="173"/>
      <c r="B556" s="173"/>
      <c r="C556" s="173"/>
      <c r="D556" s="1"/>
      <c r="E556" s="173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6"/>
      <c r="V556" s="176"/>
      <c r="W556" s="176"/>
    </row>
    <row r="557" ht="12.75" customHeight="1">
      <c r="A557" s="173"/>
      <c r="B557" s="173"/>
      <c r="C557" s="173"/>
      <c r="D557" s="1"/>
      <c r="E557" s="173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6"/>
      <c r="V557" s="176"/>
      <c r="W557" s="176"/>
    </row>
    <row r="558" ht="12.75" customHeight="1">
      <c r="A558" s="173"/>
      <c r="B558" s="173"/>
      <c r="C558" s="173"/>
      <c r="D558" s="1"/>
      <c r="E558" s="173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6"/>
      <c r="V558" s="176"/>
      <c r="W558" s="176"/>
    </row>
    <row r="559" ht="12.75" customHeight="1">
      <c r="A559" s="173"/>
      <c r="B559" s="173"/>
      <c r="C559" s="173"/>
      <c r="D559" s="1"/>
      <c r="E559" s="173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6"/>
      <c r="V559" s="176"/>
      <c r="W559" s="176"/>
    </row>
    <row r="560" ht="12.75" customHeight="1">
      <c r="A560" s="173"/>
      <c r="B560" s="173"/>
      <c r="C560" s="173"/>
      <c r="D560" s="1"/>
      <c r="E560" s="173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6"/>
      <c r="V560" s="176"/>
      <c r="W560" s="176"/>
    </row>
    <row r="561" ht="12.75" customHeight="1">
      <c r="A561" s="173"/>
      <c r="B561" s="173"/>
      <c r="C561" s="173"/>
      <c r="D561" s="1"/>
      <c r="E561" s="173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6"/>
      <c r="V561" s="176"/>
      <c r="W561" s="176"/>
    </row>
    <row r="562" ht="12.75" customHeight="1">
      <c r="A562" s="173"/>
      <c r="B562" s="173"/>
      <c r="C562" s="173"/>
      <c r="D562" s="1"/>
      <c r="E562" s="173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6"/>
      <c r="V562" s="176"/>
      <c r="W562" s="176"/>
    </row>
    <row r="563" ht="12.75" customHeight="1">
      <c r="A563" s="173"/>
      <c r="B563" s="173"/>
      <c r="C563" s="173"/>
      <c r="D563" s="1"/>
      <c r="E563" s="173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6"/>
      <c r="V563" s="176"/>
      <c r="W563" s="176"/>
    </row>
    <row r="564" ht="12.75" customHeight="1">
      <c r="A564" s="173"/>
      <c r="B564" s="173"/>
      <c r="C564" s="173"/>
      <c r="D564" s="1"/>
      <c r="E564" s="173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6"/>
      <c r="V564" s="176"/>
      <c r="W564" s="176"/>
    </row>
    <row r="565" ht="12.75" customHeight="1">
      <c r="A565" s="173"/>
      <c r="B565" s="173"/>
      <c r="C565" s="173"/>
      <c r="D565" s="1"/>
      <c r="E565" s="173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6"/>
      <c r="V565" s="176"/>
      <c r="W565" s="176"/>
    </row>
    <row r="566" ht="12.75" customHeight="1">
      <c r="A566" s="173"/>
      <c r="B566" s="173"/>
      <c r="C566" s="173"/>
      <c r="D566" s="1"/>
      <c r="E566" s="173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6"/>
      <c r="V566" s="176"/>
      <c r="W566" s="176"/>
    </row>
    <row r="567" ht="12.75" customHeight="1">
      <c r="A567" s="173"/>
      <c r="B567" s="173"/>
      <c r="C567" s="173"/>
      <c r="D567" s="1"/>
      <c r="E567" s="173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6"/>
      <c r="V567" s="176"/>
      <c r="W567" s="176"/>
    </row>
    <row r="568" ht="12.75" customHeight="1">
      <c r="A568" s="173"/>
      <c r="B568" s="173"/>
      <c r="C568" s="173"/>
      <c r="D568" s="1"/>
      <c r="E568" s="173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6"/>
      <c r="V568" s="176"/>
      <c r="W568" s="176"/>
    </row>
    <row r="569" ht="12.75" customHeight="1">
      <c r="A569" s="173"/>
      <c r="B569" s="173"/>
      <c r="C569" s="173"/>
      <c r="D569" s="1"/>
      <c r="E569" s="173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6"/>
      <c r="V569" s="176"/>
      <c r="W569" s="176"/>
    </row>
    <row r="570" ht="12.75" customHeight="1">
      <c r="A570" s="173"/>
      <c r="B570" s="173"/>
      <c r="C570" s="173"/>
      <c r="D570" s="1"/>
      <c r="E570" s="173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6"/>
      <c r="V570" s="176"/>
      <c r="W570" s="176"/>
    </row>
    <row r="571" ht="12.75" customHeight="1">
      <c r="A571" s="173"/>
      <c r="B571" s="173"/>
      <c r="C571" s="173"/>
      <c r="D571" s="1"/>
      <c r="E571" s="173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6"/>
      <c r="V571" s="176"/>
      <c r="W571" s="176"/>
    </row>
    <row r="572" ht="12.75" customHeight="1">
      <c r="A572" s="173"/>
      <c r="B572" s="173"/>
      <c r="C572" s="173"/>
      <c r="D572" s="1"/>
      <c r="E572" s="173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6"/>
      <c r="V572" s="176"/>
      <c r="W572" s="176"/>
    </row>
    <row r="573" ht="12.75" customHeight="1">
      <c r="A573" s="173"/>
      <c r="B573" s="173"/>
      <c r="C573" s="173"/>
      <c r="D573" s="1"/>
      <c r="E573" s="173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6"/>
      <c r="V573" s="176"/>
      <c r="W573" s="176"/>
    </row>
    <row r="574" ht="12.75" customHeight="1">
      <c r="A574" s="173"/>
      <c r="B574" s="173"/>
      <c r="C574" s="173"/>
      <c r="D574" s="1"/>
      <c r="E574" s="173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6"/>
      <c r="V574" s="176"/>
      <c r="W574" s="176"/>
    </row>
    <row r="575" ht="12.75" customHeight="1">
      <c r="A575" s="173"/>
      <c r="B575" s="173"/>
      <c r="C575" s="173"/>
      <c r="D575" s="1"/>
      <c r="E575" s="173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6"/>
      <c r="V575" s="176"/>
      <c r="W575" s="176"/>
    </row>
    <row r="576" ht="12.75" customHeight="1">
      <c r="A576" s="173"/>
      <c r="B576" s="173"/>
      <c r="C576" s="173"/>
      <c r="D576" s="1"/>
      <c r="E576" s="173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6"/>
      <c r="V576" s="176"/>
      <c r="W576" s="176"/>
    </row>
    <row r="577" ht="12.75" customHeight="1">
      <c r="A577" s="173"/>
      <c r="B577" s="173"/>
      <c r="C577" s="173"/>
      <c r="D577" s="1"/>
      <c r="E577" s="173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6"/>
      <c r="V577" s="176"/>
      <c r="W577" s="176"/>
    </row>
    <row r="578" ht="12.75" customHeight="1">
      <c r="A578" s="173"/>
      <c r="B578" s="173"/>
      <c r="C578" s="173"/>
      <c r="D578" s="1"/>
      <c r="E578" s="173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6"/>
      <c r="V578" s="176"/>
      <c r="W578" s="176"/>
    </row>
    <row r="579" ht="12.75" customHeight="1">
      <c r="A579" s="173"/>
      <c r="B579" s="173"/>
      <c r="C579" s="173"/>
      <c r="D579" s="1"/>
      <c r="E579" s="173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76"/>
      <c r="W579" s="176"/>
    </row>
    <row r="580" ht="12.75" customHeight="1">
      <c r="A580" s="173"/>
      <c r="B580" s="173"/>
      <c r="C580" s="173"/>
      <c r="D580" s="1"/>
      <c r="E580" s="173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6"/>
      <c r="V580" s="176"/>
      <c r="W580" s="176"/>
    </row>
    <row r="581" ht="12.75" customHeight="1">
      <c r="A581" s="173"/>
      <c r="B581" s="173"/>
      <c r="C581" s="173"/>
      <c r="D581" s="1"/>
      <c r="E581" s="173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6"/>
      <c r="V581" s="176"/>
      <c r="W581" s="176"/>
    </row>
    <row r="582" ht="12.75" customHeight="1">
      <c r="A582" s="173"/>
      <c r="B582" s="173"/>
      <c r="C582" s="173"/>
      <c r="D582" s="1"/>
      <c r="E582" s="173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6"/>
      <c r="V582" s="176"/>
      <c r="W582" s="176"/>
    </row>
    <row r="583" ht="12.75" customHeight="1">
      <c r="A583" s="173"/>
      <c r="B583" s="173"/>
      <c r="C583" s="173"/>
      <c r="D583" s="1"/>
      <c r="E583" s="173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6"/>
      <c r="V583" s="176"/>
      <c r="W583" s="176"/>
    </row>
    <row r="584" ht="12.75" customHeight="1">
      <c r="A584" s="173"/>
      <c r="B584" s="173"/>
      <c r="C584" s="173"/>
      <c r="D584" s="1"/>
      <c r="E584" s="173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6"/>
      <c r="V584" s="176"/>
      <c r="W584" s="176"/>
    </row>
    <row r="585" ht="12.75" customHeight="1">
      <c r="A585" s="173"/>
      <c r="B585" s="173"/>
      <c r="C585" s="173"/>
      <c r="D585" s="1"/>
      <c r="E585" s="173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6"/>
      <c r="V585" s="176"/>
      <c r="W585" s="176"/>
    </row>
    <row r="586" ht="12.75" customHeight="1">
      <c r="A586" s="173"/>
      <c r="B586" s="173"/>
      <c r="C586" s="173"/>
      <c r="D586" s="1"/>
      <c r="E586" s="173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6"/>
      <c r="V586" s="176"/>
      <c r="W586" s="176"/>
    </row>
    <row r="587" ht="12.75" customHeight="1">
      <c r="A587" s="173"/>
      <c r="B587" s="173"/>
      <c r="C587" s="173"/>
      <c r="D587" s="1"/>
      <c r="E587" s="173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6"/>
      <c r="V587" s="176"/>
      <c r="W587" s="176"/>
    </row>
    <row r="588" ht="12.75" customHeight="1">
      <c r="A588" s="173"/>
      <c r="B588" s="173"/>
      <c r="C588" s="173"/>
      <c r="D588" s="1"/>
      <c r="E588" s="173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6"/>
      <c r="V588" s="176"/>
      <c r="W588" s="176"/>
    </row>
    <row r="589" ht="12.75" customHeight="1">
      <c r="A589" s="173"/>
      <c r="B589" s="173"/>
      <c r="C589" s="173"/>
      <c r="D589" s="1"/>
      <c r="E589" s="173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6"/>
      <c r="V589" s="176"/>
      <c r="W589" s="176"/>
    </row>
    <row r="590" ht="12.75" customHeight="1">
      <c r="A590" s="173"/>
      <c r="B590" s="173"/>
      <c r="C590" s="173"/>
      <c r="D590" s="1"/>
      <c r="E590" s="173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6"/>
      <c r="V590" s="176"/>
      <c r="W590" s="176"/>
    </row>
    <row r="591" ht="12.75" customHeight="1">
      <c r="A591" s="173"/>
      <c r="B591" s="173"/>
      <c r="C591" s="173"/>
      <c r="D591" s="1"/>
      <c r="E591" s="173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6"/>
      <c r="V591" s="176"/>
      <c r="W591" s="176"/>
    </row>
    <row r="592" ht="12.75" customHeight="1">
      <c r="A592" s="173"/>
      <c r="B592" s="173"/>
      <c r="C592" s="173"/>
      <c r="D592" s="1"/>
      <c r="E592" s="173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6"/>
      <c r="V592" s="176"/>
      <c r="W592" s="176"/>
    </row>
    <row r="593" ht="12.75" customHeight="1">
      <c r="A593" s="173"/>
      <c r="B593" s="173"/>
      <c r="C593" s="173"/>
      <c r="D593" s="1"/>
      <c r="E593" s="173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6"/>
      <c r="V593" s="176"/>
      <c r="W593" s="176"/>
    </row>
    <row r="594" ht="12.75" customHeight="1">
      <c r="A594" s="173"/>
      <c r="B594" s="173"/>
      <c r="C594" s="173"/>
      <c r="D594" s="1"/>
      <c r="E594" s="173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6"/>
      <c r="V594" s="176"/>
      <c r="W594" s="176"/>
    </row>
    <row r="595" ht="12.75" customHeight="1">
      <c r="A595" s="173"/>
      <c r="B595" s="173"/>
      <c r="C595" s="173"/>
      <c r="D595" s="1"/>
      <c r="E595" s="173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6"/>
      <c r="V595" s="176"/>
      <c r="W595" s="176"/>
    </row>
    <row r="596" ht="12.75" customHeight="1">
      <c r="A596" s="173"/>
      <c r="B596" s="173"/>
      <c r="C596" s="173"/>
      <c r="D596" s="1"/>
      <c r="E596" s="173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6"/>
      <c r="V596" s="176"/>
      <c r="W596" s="176"/>
    </row>
    <row r="597" ht="12.75" customHeight="1">
      <c r="A597" s="173"/>
      <c r="B597" s="173"/>
      <c r="C597" s="173"/>
      <c r="D597" s="1"/>
      <c r="E597" s="173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6"/>
      <c r="V597" s="176"/>
      <c r="W597" s="176"/>
    </row>
    <row r="598" ht="12.75" customHeight="1">
      <c r="A598" s="173"/>
      <c r="B598" s="173"/>
      <c r="C598" s="173"/>
      <c r="D598" s="1"/>
      <c r="E598" s="173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6"/>
      <c r="V598" s="176"/>
      <c r="W598" s="176"/>
    </row>
    <row r="599" ht="12.75" customHeight="1">
      <c r="A599" s="173"/>
      <c r="B599" s="173"/>
      <c r="C599" s="173"/>
      <c r="D599" s="1"/>
      <c r="E599" s="173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6"/>
      <c r="V599" s="176"/>
      <c r="W599" s="176"/>
    </row>
    <row r="600" ht="12.75" customHeight="1">
      <c r="A600" s="173"/>
      <c r="B600" s="173"/>
      <c r="C600" s="173"/>
      <c r="D600" s="1"/>
      <c r="E600" s="173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6"/>
      <c r="V600" s="176"/>
      <c r="W600" s="176"/>
    </row>
    <row r="601" ht="12.75" customHeight="1">
      <c r="A601" s="173"/>
      <c r="B601" s="173"/>
      <c r="C601" s="173"/>
      <c r="D601" s="1"/>
      <c r="E601" s="173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6"/>
      <c r="V601" s="176"/>
      <c r="W601" s="176"/>
    </row>
    <row r="602" ht="12.75" customHeight="1">
      <c r="A602" s="173"/>
      <c r="B602" s="173"/>
      <c r="C602" s="173"/>
      <c r="D602" s="1"/>
      <c r="E602" s="173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6"/>
      <c r="V602" s="176"/>
      <c r="W602" s="176"/>
    </row>
    <row r="603" ht="12.75" customHeight="1">
      <c r="A603" s="173"/>
      <c r="B603" s="173"/>
      <c r="C603" s="173"/>
      <c r="D603" s="1"/>
      <c r="E603" s="173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6"/>
      <c r="V603" s="176"/>
      <c r="W603" s="176"/>
    </row>
    <row r="604" ht="12.75" customHeight="1">
      <c r="A604" s="173"/>
      <c r="B604" s="173"/>
      <c r="C604" s="173"/>
      <c r="D604" s="1"/>
      <c r="E604" s="173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6"/>
      <c r="V604" s="176"/>
      <c r="W604" s="176"/>
    </row>
    <row r="605" ht="12.75" customHeight="1">
      <c r="A605" s="173"/>
      <c r="B605" s="173"/>
      <c r="C605" s="173"/>
      <c r="D605" s="1"/>
      <c r="E605" s="173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6"/>
      <c r="V605" s="176"/>
      <c r="W605" s="176"/>
    </row>
    <row r="606" ht="12.75" customHeight="1">
      <c r="A606" s="173"/>
      <c r="B606" s="173"/>
      <c r="C606" s="173"/>
      <c r="D606" s="1"/>
      <c r="E606" s="173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6"/>
      <c r="V606" s="176"/>
      <c r="W606" s="176"/>
    </row>
    <row r="607" ht="12.75" customHeight="1">
      <c r="A607" s="173"/>
      <c r="B607" s="173"/>
      <c r="C607" s="173"/>
      <c r="D607" s="1"/>
      <c r="E607" s="173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6"/>
      <c r="V607" s="176"/>
      <c r="W607" s="176"/>
    </row>
    <row r="608" ht="12.75" customHeight="1">
      <c r="A608" s="173"/>
      <c r="B608" s="173"/>
      <c r="C608" s="173"/>
      <c r="D608" s="1"/>
      <c r="E608" s="173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6"/>
      <c r="V608" s="176"/>
      <c r="W608" s="176"/>
    </row>
    <row r="609" ht="12.75" customHeight="1">
      <c r="A609" s="173"/>
      <c r="B609" s="173"/>
      <c r="C609" s="173"/>
      <c r="D609" s="1"/>
      <c r="E609" s="173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6"/>
      <c r="V609" s="176"/>
      <c r="W609" s="176"/>
    </row>
    <row r="610" ht="12.75" customHeight="1">
      <c r="A610" s="173"/>
      <c r="B610" s="173"/>
      <c r="C610" s="173"/>
      <c r="D610" s="1"/>
      <c r="E610" s="173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6"/>
      <c r="V610" s="176"/>
      <c r="W610" s="176"/>
    </row>
    <row r="611" ht="12.75" customHeight="1">
      <c r="A611" s="173"/>
      <c r="B611" s="173"/>
      <c r="C611" s="173"/>
      <c r="D611" s="1"/>
      <c r="E611" s="173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6"/>
      <c r="V611" s="176"/>
      <c r="W611" s="176"/>
    </row>
    <row r="612" ht="12.75" customHeight="1">
      <c r="A612" s="173"/>
      <c r="B612" s="173"/>
      <c r="C612" s="173"/>
      <c r="D612" s="1"/>
      <c r="E612" s="173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6"/>
      <c r="V612" s="176"/>
      <c r="W612" s="176"/>
    </row>
    <row r="613" ht="12.75" customHeight="1">
      <c r="A613" s="173"/>
      <c r="B613" s="173"/>
      <c r="C613" s="173"/>
      <c r="D613" s="1"/>
      <c r="E613" s="173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6"/>
      <c r="V613" s="176"/>
      <c r="W613" s="176"/>
    </row>
    <row r="614" ht="12.75" customHeight="1">
      <c r="A614" s="173"/>
      <c r="B614" s="173"/>
      <c r="C614" s="173"/>
      <c r="D614" s="1"/>
      <c r="E614" s="173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6"/>
      <c r="V614" s="176"/>
      <c r="W614" s="176"/>
    </row>
    <row r="615" ht="12.75" customHeight="1">
      <c r="A615" s="173"/>
      <c r="B615" s="173"/>
      <c r="C615" s="173"/>
      <c r="D615" s="1"/>
      <c r="E615" s="173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6"/>
      <c r="V615" s="176"/>
      <c r="W615" s="176"/>
    </row>
    <row r="616" ht="12.75" customHeight="1">
      <c r="A616" s="173"/>
      <c r="B616" s="173"/>
      <c r="C616" s="173"/>
      <c r="D616" s="1"/>
      <c r="E616" s="173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6"/>
      <c r="V616" s="176"/>
      <c r="W616" s="176"/>
    </row>
    <row r="617" ht="12.75" customHeight="1">
      <c r="A617" s="173"/>
      <c r="B617" s="173"/>
      <c r="C617" s="173"/>
      <c r="D617" s="1"/>
      <c r="E617" s="173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6"/>
      <c r="V617" s="176"/>
      <c r="W617" s="176"/>
    </row>
    <row r="618" ht="12.75" customHeight="1">
      <c r="A618" s="173"/>
      <c r="B618" s="173"/>
      <c r="C618" s="173"/>
      <c r="D618" s="1"/>
      <c r="E618" s="173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6"/>
      <c r="V618" s="176"/>
      <c r="W618" s="176"/>
    </row>
    <row r="619" ht="12.75" customHeight="1">
      <c r="A619" s="173"/>
      <c r="B619" s="173"/>
      <c r="C619" s="173"/>
      <c r="D619" s="1"/>
      <c r="E619" s="173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6"/>
      <c r="V619" s="176"/>
      <c r="W619" s="176"/>
    </row>
    <row r="620" ht="12.75" customHeight="1">
      <c r="A620" s="177"/>
      <c r="B620" s="177"/>
      <c r="C620" s="177"/>
      <c r="D620" s="178"/>
      <c r="E620" s="177"/>
      <c r="F620" s="17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45"/>
      <c r="V620" s="145"/>
      <c r="W620" s="145"/>
    </row>
    <row r="621" ht="12.75" customHeight="1">
      <c r="A621" s="177"/>
      <c r="B621" s="177"/>
      <c r="C621" s="177"/>
      <c r="D621" s="178"/>
      <c r="E621" s="177"/>
      <c r="F621" s="17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45"/>
      <c r="V621" s="145"/>
      <c r="W621" s="145"/>
    </row>
    <row r="622" ht="12.75" customHeight="1">
      <c r="A622" s="177"/>
      <c r="B622" s="177"/>
      <c r="C622" s="177"/>
      <c r="D622" s="178"/>
      <c r="E622" s="177"/>
      <c r="F622" s="17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45"/>
      <c r="V622" s="145"/>
      <c r="W622" s="145"/>
    </row>
    <row r="623" ht="12.75" customHeight="1">
      <c r="A623" s="177"/>
      <c r="B623" s="177"/>
      <c r="C623" s="177"/>
      <c r="D623" s="178"/>
      <c r="E623" s="177"/>
      <c r="F623" s="17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45"/>
      <c r="V623" s="145"/>
      <c r="W623" s="145"/>
    </row>
    <row r="624" ht="12.75" customHeight="1">
      <c r="A624" s="177"/>
      <c r="B624" s="177"/>
      <c r="C624" s="177"/>
      <c r="D624" s="178"/>
      <c r="E624" s="177"/>
      <c r="F624" s="17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45"/>
      <c r="V624" s="145"/>
      <c r="W624" s="145"/>
    </row>
    <row r="625" ht="12.75" customHeight="1">
      <c r="A625" s="177"/>
      <c r="B625" s="177"/>
      <c r="C625" s="177"/>
      <c r="D625" s="178"/>
      <c r="E625" s="177"/>
      <c r="F625" s="17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45"/>
      <c r="V625" s="145"/>
      <c r="W625" s="145"/>
    </row>
    <row r="626" ht="12.75" customHeight="1">
      <c r="A626" s="177"/>
      <c r="B626" s="177"/>
      <c r="C626" s="177"/>
      <c r="D626" s="178"/>
      <c r="E626" s="177"/>
      <c r="F626" s="17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45"/>
      <c r="V626" s="145"/>
      <c r="W626" s="145"/>
    </row>
    <row r="627" ht="12.75" customHeight="1">
      <c r="A627" s="177"/>
      <c r="B627" s="177"/>
      <c r="C627" s="177"/>
      <c r="D627" s="178"/>
      <c r="E627" s="177"/>
      <c r="F627" s="17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45"/>
      <c r="V627" s="145"/>
      <c r="W627" s="145"/>
    </row>
    <row r="628" ht="12.75" customHeight="1">
      <c r="A628" s="177"/>
      <c r="B628" s="177"/>
      <c r="C628" s="177"/>
      <c r="D628" s="178"/>
      <c r="E628" s="177"/>
      <c r="F628" s="17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45"/>
      <c r="V628" s="145"/>
      <c r="W628" s="145"/>
    </row>
    <row r="629" ht="12.75" customHeight="1">
      <c r="A629" s="177"/>
      <c r="B629" s="177"/>
      <c r="C629" s="177"/>
      <c r="D629" s="178"/>
      <c r="E629" s="177"/>
      <c r="F629" s="17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45"/>
      <c r="V629" s="145"/>
      <c r="W629" s="145"/>
    </row>
    <row r="630" ht="12.75" customHeight="1">
      <c r="A630" s="177"/>
      <c r="B630" s="177"/>
      <c r="C630" s="177"/>
      <c r="D630" s="178"/>
      <c r="E630" s="177"/>
      <c r="F630" s="17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45"/>
      <c r="V630" s="145"/>
      <c r="W630" s="145"/>
    </row>
    <row r="631" ht="12.75" customHeight="1">
      <c r="A631" s="177"/>
      <c r="B631" s="177"/>
      <c r="C631" s="177"/>
      <c r="D631" s="178"/>
      <c r="E631" s="177"/>
      <c r="F631" s="17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45"/>
      <c r="V631" s="145"/>
      <c r="W631" s="145"/>
    </row>
    <row r="632" ht="12.75" customHeight="1">
      <c r="A632" s="177"/>
      <c r="B632" s="177"/>
      <c r="C632" s="177"/>
      <c r="D632" s="178"/>
      <c r="E632" s="177"/>
      <c r="F632" s="17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45"/>
      <c r="V632" s="145"/>
      <c r="W632" s="145"/>
    </row>
    <row r="633" ht="12.75" customHeight="1">
      <c r="A633" s="177"/>
      <c r="B633" s="177"/>
      <c r="C633" s="177"/>
      <c r="D633" s="178"/>
      <c r="E633" s="177"/>
      <c r="F633" s="17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45"/>
      <c r="V633" s="145"/>
      <c r="W633" s="145"/>
    </row>
    <row r="634" ht="12.75" customHeight="1">
      <c r="A634" s="177"/>
      <c r="B634" s="177"/>
      <c r="C634" s="177"/>
      <c r="D634" s="178"/>
      <c r="E634" s="177"/>
      <c r="F634" s="17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45"/>
      <c r="V634" s="145"/>
      <c r="W634" s="145"/>
    </row>
    <row r="635" ht="12.75" customHeight="1">
      <c r="A635" s="177"/>
      <c r="B635" s="177"/>
      <c r="C635" s="177"/>
      <c r="D635" s="178"/>
      <c r="E635" s="177"/>
      <c r="F635" s="17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45"/>
      <c r="V635" s="145"/>
      <c r="W635" s="145"/>
    </row>
    <row r="636" ht="12.75" customHeight="1">
      <c r="A636" s="177"/>
      <c r="B636" s="177"/>
      <c r="C636" s="177"/>
      <c r="D636" s="178"/>
      <c r="E636" s="177"/>
      <c r="F636" s="17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45"/>
      <c r="V636" s="145"/>
      <c r="W636" s="145"/>
    </row>
    <row r="637" ht="12.75" customHeight="1">
      <c r="A637" s="177"/>
      <c r="B637" s="177"/>
      <c r="C637" s="177"/>
      <c r="D637" s="178"/>
      <c r="E637" s="177"/>
      <c r="F637" s="17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45"/>
      <c r="V637" s="145"/>
      <c r="W637" s="145"/>
    </row>
    <row r="638" ht="12.75" customHeight="1">
      <c r="A638" s="177"/>
      <c r="B638" s="177"/>
      <c r="C638" s="177"/>
      <c r="D638" s="178"/>
      <c r="E638" s="177"/>
      <c r="F638" s="17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45"/>
      <c r="V638" s="145"/>
      <c r="W638" s="145"/>
    </row>
    <row r="639" ht="12.75" customHeight="1">
      <c r="A639" s="177"/>
      <c r="B639" s="177"/>
      <c r="C639" s="177"/>
      <c r="D639" s="178"/>
      <c r="E639" s="177"/>
      <c r="F639" s="17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45"/>
      <c r="V639" s="145"/>
      <c r="W639" s="145"/>
    </row>
    <row r="640" ht="12.75" customHeight="1">
      <c r="A640" s="177"/>
      <c r="B640" s="177"/>
      <c r="C640" s="177"/>
      <c r="D640" s="178"/>
      <c r="E640" s="177"/>
      <c r="F640" s="17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45"/>
      <c r="V640" s="145"/>
      <c r="W640" s="145"/>
    </row>
    <row r="641" ht="12.75" customHeight="1">
      <c r="A641" s="177"/>
      <c r="B641" s="177"/>
      <c r="C641" s="177"/>
      <c r="D641" s="178"/>
      <c r="E641" s="177"/>
      <c r="F641" s="17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45"/>
      <c r="V641" s="145"/>
      <c r="W641" s="145"/>
    </row>
    <row r="642" ht="12.75" customHeight="1">
      <c r="A642" s="177"/>
      <c r="B642" s="177"/>
      <c r="C642" s="177"/>
      <c r="D642" s="178"/>
      <c r="E642" s="177"/>
      <c r="F642" s="17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45"/>
      <c r="V642" s="145"/>
      <c r="W642" s="145"/>
    </row>
    <row r="643" ht="12.75" customHeight="1">
      <c r="A643" s="177"/>
      <c r="B643" s="177"/>
      <c r="C643" s="177"/>
      <c r="D643" s="178"/>
      <c r="E643" s="177"/>
      <c r="F643" s="17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45"/>
      <c r="V643" s="145"/>
      <c r="W643" s="145"/>
    </row>
    <row r="644" ht="12.75" customHeight="1">
      <c r="A644" s="177"/>
      <c r="B644" s="177"/>
      <c r="C644" s="177"/>
      <c r="D644" s="178"/>
      <c r="E644" s="177"/>
      <c r="F644" s="17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45"/>
      <c r="V644" s="145"/>
      <c r="W644" s="145"/>
    </row>
    <row r="645" ht="12.75" customHeight="1">
      <c r="A645" s="177"/>
      <c r="B645" s="177"/>
      <c r="C645" s="177"/>
      <c r="D645" s="178"/>
      <c r="E645" s="177"/>
      <c r="F645" s="17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45"/>
      <c r="V645" s="145"/>
      <c r="W645" s="145"/>
    </row>
    <row r="646" ht="12.75" customHeight="1">
      <c r="A646" s="177"/>
      <c r="B646" s="177"/>
      <c r="C646" s="177"/>
      <c r="D646" s="178"/>
      <c r="E646" s="177"/>
      <c r="F646" s="17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45"/>
      <c r="V646" s="145"/>
      <c r="W646" s="145"/>
    </row>
    <row r="647" ht="12.75" customHeight="1">
      <c r="A647" s="177"/>
      <c r="B647" s="177"/>
      <c r="C647" s="177"/>
      <c r="D647" s="178"/>
      <c r="E647" s="177"/>
      <c r="F647" s="17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45"/>
      <c r="V647" s="145"/>
      <c r="W647" s="145"/>
    </row>
    <row r="648" ht="12.75" customHeight="1">
      <c r="A648" s="177"/>
      <c r="B648" s="177"/>
      <c r="C648" s="177"/>
      <c r="D648" s="178"/>
      <c r="E648" s="177"/>
      <c r="F648" s="17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45"/>
      <c r="V648" s="145"/>
      <c r="W648" s="145"/>
    </row>
    <row r="649" ht="12.75" customHeight="1">
      <c r="A649" s="177"/>
      <c r="B649" s="177"/>
      <c r="C649" s="177"/>
      <c r="D649" s="178"/>
      <c r="E649" s="177"/>
      <c r="F649" s="17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45"/>
      <c r="V649" s="145"/>
      <c r="W649" s="145"/>
    </row>
    <row r="650" ht="12.75" customHeight="1">
      <c r="A650" s="177"/>
      <c r="B650" s="177"/>
      <c r="C650" s="177"/>
      <c r="D650" s="178"/>
      <c r="E650" s="177"/>
      <c r="F650" s="17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45"/>
      <c r="V650" s="145"/>
      <c r="W650" s="145"/>
    </row>
    <row r="651" ht="12.75" customHeight="1">
      <c r="A651" s="177"/>
      <c r="B651" s="177"/>
      <c r="C651" s="177"/>
      <c r="D651" s="178"/>
      <c r="E651" s="177"/>
      <c r="F651" s="17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45"/>
      <c r="V651" s="145"/>
      <c r="W651" s="145"/>
    </row>
    <row r="652" ht="12.75" customHeight="1">
      <c r="A652" s="177"/>
      <c r="B652" s="177"/>
      <c r="C652" s="177"/>
      <c r="D652" s="178"/>
      <c r="E652" s="177"/>
      <c r="F652" s="17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45"/>
      <c r="V652" s="145"/>
      <c r="W652" s="145"/>
    </row>
    <row r="653" ht="12.75" customHeight="1">
      <c r="A653" s="177"/>
      <c r="B653" s="177"/>
      <c r="C653" s="177"/>
      <c r="D653" s="178"/>
      <c r="E653" s="177"/>
      <c r="F653" s="17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45"/>
      <c r="V653" s="145"/>
      <c r="W653" s="145"/>
    </row>
    <row r="654" ht="12.75" customHeight="1">
      <c r="A654" s="177"/>
      <c r="B654" s="177"/>
      <c r="C654" s="177"/>
      <c r="D654" s="178"/>
      <c r="E654" s="177"/>
      <c r="F654" s="17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45"/>
      <c r="V654" s="145"/>
      <c r="W654" s="145"/>
    </row>
    <row r="655" ht="12.75" customHeight="1">
      <c r="A655" s="177"/>
      <c r="B655" s="177"/>
      <c r="C655" s="177"/>
      <c r="D655" s="178"/>
      <c r="E655" s="177"/>
      <c r="F655" s="17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45"/>
      <c r="V655" s="145"/>
      <c r="W655" s="145"/>
    </row>
    <row r="656" ht="12.75" customHeight="1">
      <c r="A656" s="177"/>
      <c r="B656" s="177"/>
      <c r="C656" s="177"/>
      <c r="D656" s="178"/>
      <c r="E656" s="177"/>
      <c r="F656" s="17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45"/>
      <c r="V656" s="145"/>
      <c r="W656" s="145"/>
    </row>
    <row r="657" ht="12.75" customHeight="1">
      <c r="A657" s="177"/>
      <c r="B657" s="177"/>
      <c r="C657" s="177"/>
      <c r="D657" s="178"/>
      <c r="E657" s="177"/>
      <c r="F657" s="17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45"/>
      <c r="V657" s="145"/>
      <c r="W657" s="145"/>
    </row>
    <row r="658" ht="12.75" customHeight="1">
      <c r="A658" s="177"/>
      <c r="B658" s="177"/>
      <c r="C658" s="177"/>
      <c r="D658" s="178"/>
      <c r="E658" s="177"/>
      <c r="F658" s="17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45"/>
      <c r="V658" s="145"/>
      <c r="W658" s="145"/>
    </row>
    <row r="659" ht="12.75" customHeight="1">
      <c r="A659" s="177"/>
      <c r="B659" s="177"/>
      <c r="C659" s="177"/>
      <c r="D659" s="178"/>
      <c r="E659" s="177"/>
      <c r="F659" s="17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45"/>
      <c r="V659" s="145"/>
      <c r="W659" s="145"/>
    </row>
    <row r="660" ht="12.75" customHeight="1">
      <c r="A660" s="177"/>
      <c r="B660" s="177"/>
      <c r="C660" s="177"/>
      <c r="D660" s="178"/>
      <c r="E660" s="177"/>
      <c r="F660" s="17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45"/>
      <c r="V660" s="145"/>
      <c r="W660" s="145"/>
    </row>
    <row r="661" ht="12.75" customHeight="1">
      <c r="A661" s="177"/>
      <c r="B661" s="177"/>
      <c r="C661" s="177"/>
      <c r="D661" s="178"/>
      <c r="E661" s="177"/>
      <c r="F661" s="17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45"/>
      <c r="V661" s="145"/>
      <c r="W661" s="145"/>
    </row>
    <row r="662" ht="12.75" customHeight="1">
      <c r="A662" s="177"/>
      <c r="B662" s="177"/>
      <c r="C662" s="177"/>
      <c r="D662" s="178"/>
      <c r="E662" s="177"/>
      <c r="F662" s="17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45"/>
      <c r="V662" s="145"/>
      <c r="W662" s="145"/>
    </row>
    <row r="663" ht="12.75" customHeight="1">
      <c r="A663" s="177"/>
      <c r="B663" s="177"/>
      <c r="C663" s="177"/>
      <c r="D663" s="178"/>
      <c r="E663" s="177"/>
      <c r="F663" s="17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45"/>
      <c r="V663" s="145"/>
      <c r="W663" s="145"/>
    </row>
    <row r="664" ht="12.75" customHeight="1">
      <c r="A664" s="177"/>
      <c r="B664" s="177"/>
      <c r="C664" s="177"/>
      <c r="D664" s="178"/>
      <c r="E664" s="177"/>
      <c r="F664" s="17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45"/>
      <c r="V664" s="145"/>
      <c r="W664" s="145"/>
    </row>
    <row r="665" ht="12.75" customHeight="1">
      <c r="A665" s="177"/>
      <c r="B665" s="177"/>
      <c r="C665" s="177"/>
      <c r="D665" s="178"/>
      <c r="E665" s="177"/>
      <c r="F665" s="17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45"/>
      <c r="V665" s="145"/>
      <c r="W665" s="145"/>
    </row>
    <row r="666" ht="12.75" customHeight="1">
      <c r="A666" s="177"/>
      <c r="B666" s="177"/>
      <c r="C666" s="177"/>
      <c r="D666" s="178"/>
      <c r="E666" s="177"/>
      <c r="F666" s="17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45"/>
      <c r="V666" s="145"/>
      <c r="W666" s="145"/>
    </row>
    <row r="667" ht="12.75" customHeight="1">
      <c r="A667" s="177"/>
      <c r="B667" s="177"/>
      <c r="C667" s="177"/>
      <c r="D667" s="178"/>
      <c r="E667" s="177"/>
      <c r="F667" s="17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45"/>
      <c r="V667" s="145"/>
      <c r="W667" s="145"/>
    </row>
    <row r="668" ht="12.75" customHeight="1">
      <c r="A668" s="177"/>
      <c r="B668" s="177"/>
      <c r="C668" s="177"/>
      <c r="D668" s="178"/>
      <c r="E668" s="177"/>
      <c r="F668" s="17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45"/>
      <c r="V668" s="145"/>
      <c r="W668" s="145"/>
    </row>
    <row r="669" ht="12.75" customHeight="1">
      <c r="A669" s="177"/>
      <c r="B669" s="177"/>
      <c r="C669" s="177"/>
      <c r="D669" s="178"/>
      <c r="E669" s="177"/>
      <c r="F669" s="17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45"/>
      <c r="V669" s="145"/>
      <c r="W669" s="145"/>
    </row>
    <row r="670" ht="12.75" customHeight="1">
      <c r="A670" s="177"/>
      <c r="B670" s="177"/>
      <c r="C670" s="177"/>
      <c r="D670" s="178"/>
      <c r="E670" s="177"/>
      <c r="F670" s="17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45"/>
      <c r="V670" s="145"/>
      <c r="W670" s="145"/>
    </row>
    <row r="671" ht="12.75" customHeight="1">
      <c r="A671" s="177"/>
      <c r="B671" s="177"/>
      <c r="C671" s="177"/>
      <c r="D671" s="178"/>
      <c r="E671" s="177"/>
      <c r="F671" s="17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45"/>
      <c r="V671" s="145"/>
      <c r="W671" s="145"/>
    </row>
    <row r="672" ht="12.75" customHeight="1">
      <c r="A672" s="177"/>
      <c r="B672" s="177"/>
      <c r="C672" s="177"/>
      <c r="D672" s="178"/>
      <c r="E672" s="177"/>
      <c r="F672" s="17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45"/>
      <c r="V672" s="145"/>
      <c r="W672" s="145"/>
    </row>
    <row r="673" ht="12.75" customHeight="1">
      <c r="A673" s="177"/>
      <c r="B673" s="177"/>
      <c r="C673" s="177"/>
      <c r="D673" s="178"/>
      <c r="E673" s="177"/>
      <c r="F673" s="17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45"/>
      <c r="V673" s="145"/>
      <c r="W673" s="145"/>
    </row>
    <row r="674" ht="12.75" customHeight="1">
      <c r="A674" s="177"/>
      <c r="B674" s="177"/>
      <c r="C674" s="177"/>
      <c r="D674" s="178"/>
      <c r="E674" s="177"/>
      <c r="F674" s="17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45"/>
      <c r="V674" s="145"/>
      <c r="W674" s="145"/>
    </row>
    <row r="675" ht="12.75" customHeight="1">
      <c r="A675" s="177"/>
      <c r="B675" s="177"/>
      <c r="C675" s="177"/>
      <c r="D675" s="178"/>
      <c r="E675" s="177"/>
      <c r="F675" s="17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45"/>
      <c r="V675" s="145"/>
      <c r="W675" s="145"/>
    </row>
    <row r="676" ht="12.75" customHeight="1">
      <c r="A676" s="177"/>
      <c r="B676" s="177"/>
      <c r="C676" s="177"/>
      <c r="D676" s="178"/>
      <c r="E676" s="177"/>
      <c r="F676" s="17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45"/>
      <c r="V676" s="145"/>
      <c r="W676" s="145"/>
    </row>
    <row r="677" ht="12.75" customHeight="1">
      <c r="A677" s="177"/>
      <c r="B677" s="177"/>
      <c r="C677" s="177"/>
      <c r="D677" s="178"/>
      <c r="E677" s="177"/>
      <c r="F677" s="17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45"/>
      <c r="V677" s="145"/>
      <c r="W677" s="145"/>
    </row>
    <row r="678" ht="12.75" customHeight="1">
      <c r="A678" s="177"/>
      <c r="B678" s="177"/>
      <c r="C678" s="177"/>
      <c r="D678" s="178"/>
      <c r="E678" s="177"/>
      <c r="F678" s="17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45"/>
      <c r="V678" s="145"/>
      <c r="W678" s="145"/>
    </row>
    <row r="679" ht="12.75" customHeight="1">
      <c r="A679" s="177"/>
      <c r="B679" s="177"/>
      <c r="C679" s="177"/>
      <c r="D679" s="178"/>
      <c r="E679" s="177"/>
      <c r="F679" s="17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45"/>
      <c r="V679" s="145"/>
      <c r="W679" s="145"/>
    </row>
    <row r="680" ht="12.75" customHeight="1">
      <c r="A680" s="177"/>
      <c r="B680" s="177"/>
      <c r="C680" s="177"/>
      <c r="D680" s="178"/>
      <c r="E680" s="177"/>
      <c r="F680" s="17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45"/>
      <c r="V680" s="145"/>
      <c r="W680" s="145"/>
    </row>
    <row r="681" ht="12.75" customHeight="1">
      <c r="A681" s="177"/>
      <c r="B681" s="177"/>
      <c r="C681" s="177"/>
      <c r="D681" s="178"/>
      <c r="E681" s="177"/>
      <c r="F681" s="17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45"/>
      <c r="V681" s="145"/>
      <c r="W681" s="145"/>
    </row>
    <row r="682" ht="12.75" customHeight="1">
      <c r="A682" s="177"/>
      <c r="B682" s="177"/>
      <c r="C682" s="177"/>
      <c r="D682" s="178"/>
      <c r="E682" s="177"/>
      <c r="F682" s="17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45"/>
      <c r="V682" s="145"/>
      <c r="W682" s="145"/>
    </row>
    <row r="683" ht="12.75" customHeight="1">
      <c r="A683" s="177"/>
      <c r="B683" s="177"/>
      <c r="C683" s="177"/>
      <c r="D683" s="178"/>
      <c r="E683" s="177"/>
      <c r="F683" s="17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45"/>
      <c r="V683" s="145"/>
      <c r="W683" s="145"/>
    </row>
    <row r="684" ht="12.75" customHeight="1">
      <c r="A684" s="177"/>
      <c r="B684" s="177"/>
      <c r="C684" s="177"/>
      <c r="D684" s="178"/>
      <c r="E684" s="177"/>
      <c r="F684" s="17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45"/>
      <c r="V684" s="145"/>
      <c r="W684" s="145"/>
    </row>
    <row r="685" ht="12.75" customHeight="1">
      <c r="A685" s="177"/>
      <c r="B685" s="177"/>
      <c r="C685" s="177"/>
      <c r="D685" s="178"/>
      <c r="E685" s="177"/>
      <c r="F685" s="17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45"/>
      <c r="V685" s="145"/>
      <c r="W685" s="145"/>
    </row>
    <row r="686" ht="12.75" customHeight="1">
      <c r="A686" s="177"/>
      <c r="B686" s="177"/>
      <c r="C686" s="177"/>
      <c r="D686" s="178"/>
      <c r="E686" s="177"/>
      <c r="F686" s="17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45"/>
      <c r="V686" s="145"/>
      <c r="W686" s="145"/>
    </row>
    <row r="687" ht="12.75" customHeight="1">
      <c r="A687" s="177"/>
      <c r="B687" s="177"/>
      <c r="C687" s="177"/>
      <c r="D687" s="178"/>
      <c r="E687" s="177"/>
      <c r="F687" s="17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45"/>
      <c r="V687" s="145"/>
      <c r="W687" s="145"/>
    </row>
    <row r="688" ht="12.75" customHeight="1">
      <c r="A688" s="177"/>
      <c r="B688" s="177"/>
      <c r="C688" s="177"/>
      <c r="D688" s="178"/>
      <c r="E688" s="177"/>
      <c r="F688" s="17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45"/>
      <c r="V688" s="145"/>
      <c r="W688" s="145"/>
    </row>
    <row r="689" ht="12.75" customHeight="1">
      <c r="A689" s="177"/>
      <c r="B689" s="177"/>
      <c r="C689" s="177"/>
      <c r="D689" s="178"/>
      <c r="E689" s="177"/>
      <c r="F689" s="17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45"/>
      <c r="V689" s="145"/>
      <c r="W689" s="145"/>
    </row>
    <row r="690" ht="12.75" customHeight="1">
      <c r="A690" s="177"/>
      <c r="B690" s="177"/>
      <c r="C690" s="177"/>
      <c r="D690" s="178"/>
      <c r="E690" s="177"/>
      <c r="F690" s="17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45"/>
      <c r="V690" s="145"/>
      <c r="W690" s="145"/>
    </row>
    <row r="691" ht="12.75" customHeight="1">
      <c r="A691" s="177"/>
      <c r="B691" s="177"/>
      <c r="C691" s="177"/>
      <c r="D691" s="178"/>
      <c r="E691" s="177"/>
      <c r="F691" s="17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45"/>
      <c r="V691" s="145"/>
      <c r="W691" s="145"/>
    </row>
    <row r="692" ht="12.75" customHeight="1">
      <c r="A692" s="177"/>
      <c r="B692" s="177"/>
      <c r="C692" s="177"/>
      <c r="D692" s="178"/>
      <c r="E692" s="177"/>
      <c r="F692" s="17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45"/>
      <c r="V692" s="145"/>
      <c r="W692" s="145"/>
    </row>
    <row r="693" ht="12.75" customHeight="1">
      <c r="A693" s="177"/>
      <c r="B693" s="177"/>
      <c r="C693" s="177"/>
      <c r="D693" s="178"/>
      <c r="E693" s="177"/>
      <c r="F693" s="17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45"/>
      <c r="V693" s="145"/>
      <c r="W693" s="145"/>
    </row>
    <row r="694" ht="12.75" customHeight="1">
      <c r="A694" s="177"/>
      <c r="B694" s="177"/>
      <c r="C694" s="177"/>
      <c r="D694" s="178"/>
      <c r="E694" s="177"/>
      <c r="F694" s="17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45"/>
      <c r="V694" s="145"/>
      <c r="W694" s="145"/>
    </row>
    <row r="695" ht="12.75" customHeight="1">
      <c r="A695" s="177"/>
      <c r="B695" s="177"/>
      <c r="C695" s="177"/>
      <c r="D695" s="178"/>
      <c r="E695" s="177"/>
      <c r="F695" s="17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45"/>
      <c r="V695" s="145"/>
      <c r="W695" s="145"/>
    </row>
    <row r="696" ht="12.75" customHeight="1">
      <c r="A696" s="177"/>
      <c r="B696" s="177"/>
      <c r="C696" s="177"/>
      <c r="D696" s="178"/>
      <c r="E696" s="177"/>
      <c r="F696" s="17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45"/>
      <c r="V696" s="145"/>
      <c r="W696" s="145"/>
    </row>
    <row r="697" ht="12.75" customHeight="1">
      <c r="A697" s="177"/>
      <c r="B697" s="177"/>
      <c r="C697" s="177"/>
      <c r="D697" s="178"/>
      <c r="E697" s="177"/>
      <c r="F697" s="17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45"/>
      <c r="V697" s="145"/>
      <c r="W697" s="145"/>
    </row>
    <row r="698" ht="12.75" customHeight="1">
      <c r="A698" s="177"/>
      <c r="B698" s="177"/>
      <c r="C698" s="177"/>
      <c r="D698" s="178"/>
      <c r="E698" s="177"/>
      <c r="F698" s="17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45"/>
      <c r="V698" s="145"/>
      <c r="W698" s="145"/>
    </row>
    <row r="699" ht="12.75" customHeight="1">
      <c r="A699" s="177"/>
      <c r="B699" s="177"/>
      <c r="C699" s="177"/>
      <c r="D699" s="178"/>
      <c r="E699" s="177"/>
      <c r="F699" s="17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45"/>
      <c r="V699" s="145"/>
      <c r="W699" s="145"/>
    </row>
    <row r="700" ht="12.75" customHeight="1">
      <c r="A700" s="177"/>
      <c r="B700" s="177"/>
      <c r="C700" s="177"/>
      <c r="D700" s="178"/>
      <c r="E700" s="177"/>
      <c r="F700" s="17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45"/>
      <c r="V700" s="145"/>
      <c r="W700" s="145"/>
    </row>
    <row r="701" ht="12.75" customHeight="1">
      <c r="A701" s="177"/>
      <c r="B701" s="177"/>
      <c r="C701" s="177"/>
      <c r="D701" s="178"/>
      <c r="E701" s="177"/>
      <c r="F701" s="17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45"/>
      <c r="V701" s="145"/>
      <c r="W701" s="145"/>
    </row>
    <row r="702" ht="12.75" customHeight="1">
      <c r="A702" s="177"/>
      <c r="B702" s="177"/>
      <c r="C702" s="177"/>
      <c r="D702" s="178"/>
      <c r="E702" s="177"/>
      <c r="F702" s="17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45"/>
      <c r="V702" s="145"/>
      <c r="W702" s="145"/>
    </row>
    <row r="703" ht="12.75" customHeight="1">
      <c r="A703" s="177"/>
      <c r="B703" s="177"/>
      <c r="C703" s="177"/>
      <c r="D703" s="178"/>
      <c r="E703" s="177"/>
      <c r="F703" s="17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45"/>
      <c r="V703" s="145"/>
      <c r="W703" s="145"/>
    </row>
    <row r="704" ht="12.75" customHeight="1">
      <c r="A704" s="177"/>
      <c r="B704" s="177"/>
      <c r="C704" s="177"/>
      <c r="D704" s="178"/>
      <c r="E704" s="177"/>
      <c r="F704" s="17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45"/>
      <c r="V704" s="145"/>
      <c r="W704" s="145"/>
    </row>
    <row r="705" ht="12.75" customHeight="1">
      <c r="A705" s="177"/>
      <c r="B705" s="177"/>
      <c r="C705" s="177"/>
      <c r="D705" s="178"/>
      <c r="E705" s="177"/>
      <c r="F705" s="17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45"/>
      <c r="V705" s="145"/>
      <c r="W705" s="145"/>
    </row>
    <row r="706" ht="12.75" customHeight="1">
      <c r="A706" s="177"/>
      <c r="B706" s="177"/>
      <c r="C706" s="177"/>
      <c r="D706" s="178"/>
      <c r="E706" s="177"/>
      <c r="F706" s="17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45"/>
      <c r="V706" s="145"/>
      <c r="W706" s="145"/>
    </row>
    <row r="707" ht="12.75" customHeight="1">
      <c r="A707" s="177"/>
      <c r="B707" s="177"/>
      <c r="C707" s="177"/>
      <c r="D707" s="178"/>
      <c r="E707" s="177"/>
      <c r="F707" s="17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45"/>
      <c r="V707" s="145"/>
      <c r="W707" s="145"/>
    </row>
    <row r="708" ht="12.75" customHeight="1">
      <c r="A708" s="177"/>
      <c r="B708" s="177"/>
      <c r="C708" s="177"/>
      <c r="D708" s="178"/>
      <c r="E708" s="177"/>
      <c r="F708" s="17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45"/>
      <c r="V708" s="145"/>
      <c r="W708" s="145"/>
    </row>
    <row r="709" ht="12.75" customHeight="1">
      <c r="A709" s="177"/>
      <c r="B709" s="177"/>
      <c r="C709" s="177"/>
      <c r="D709" s="178"/>
      <c r="E709" s="177"/>
      <c r="F709" s="17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45"/>
      <c r="V709" s="145"/>
      <c r="W709" s="145"/>
    </row>
    <row r="710" ht="12.75" customHeight="1">
      <c r="A710" s="177"/>
      <c r="B710" s="177"/>
      <c r="C710" s="177"/>
      <c r="D710" s="178"/>
      <c r="E710" s="177"/>
      <c r="F710" s="17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45"/>
      <c r="V710" s="145"/>
      <c r="W710" s="145"/>
    </row>
    <row r="711" ht="12.75" customHeight="1">
      <c r="A711" s="177"/>
      <c r="B711" s="177"/>
      <c r="C711" s="177"/>
      <c r="D711" s="178"/>
      <c r="E711" s="177"/>
      <c r="F711" s="17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45"/>
      <c r="V711" s="145"/>
      <c r="W711" s="145"/>
    </row>
    <row r="712" ht="12.75" customHeight="1">
      <c r="A712" s="177"/>
      <c r="B712" s="177"/>
      <c r="C712" s="177"/>
      <c r="D712" s="178"/>
      <c r="E712" s="177"/>
      <c r="F712" s="17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45"/>
      <c r="V712" s="145"/>
      <c r="W712" s="145"/>
    </row>
    <row r="713" ht="12.75" customHeight="1">
      <c r="A713" s="177"/>
      <c r="B713" s="177"/>
      <c r="C713" s="177"/>
      <c r="D713" s="178"/>
      <c r="E713" s="177"/>
      <c r="F713" s="17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45"/>
      <c r="V713" s="145"/>
      <c r="W713" s="145"/>
    </row>
    <row r="714" ht="12.75" customHeight="1">
      <c r="A714" s="177"/>
      <c r="B714" s="177"/>
      <c r="C714" s="177"/>
      <c r="D714" s="178"/>
      <c r="E714" s="177"/>
      <c r="F714" s="17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45"/>
      <c r="V714" s="145"/>
      <c r="W714" s="145"/>
    </row>
    <row r="715" ht="12.75" customHeight="1">
      <c r="A715" s="177"/>
      <c r="B715" s="177"/>
      <c r="C715" s="177"/>
      <c r="D715" s="178"/>
      <c r="E715" s="177"/>
      <c r="F715" s="17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45"/>
      <c r="V715" s="145"/>
      <c r="W715" s="145"/>
    </row>
    <row r="716" ht="12.75" customHeight="1">
      <c r="A716" s="177"/>
      <c r="B716" s="177"/>
      <c r="C716" s="177"/>
      <c r="D716" s="178"/>
      <c r="E716" s="177"/>
      <c r="F716" s="17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45"/>
      <c r="V716" s="145"/>
      <c r="W716" s="145"/>
    </row>
    <row r="717" ht="12.75" customHeight="1">
      <c r="A717" s="177"/>
      <c r="B717" s="177"/>
      <c r="C717" s="177"/>
      <c r="D717" s="178"/>
      <c r="E717" s="177"/>
      <c r="F717" s="17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45"/>
      <c r="V717" s="145"/>
      <c r="W717" s="145"/>
    </row>
    <row r="718" ht="12.75" customHeight="1">
      <c r="A718" s="177"/>
      <c r="B718" s="177"/>
      <c r="C718" s="177"/>
      <c r="D718" s="178"/>
      <c r="E718" s="177"/>
      <c r="F718" s="17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45"/>
      <c r="V718" s="145"/>
      <c r="W718" s="145"/>
    </row>
    <row r="719" ht="12.75" customHeight="1">
      <c r="A719" s="177"/>
      <c r="B719" s="177"/>
      <c r="C719" s="177"/>
      <c r="D719" s="178"/>
      <c r="E719" s="177"/>
      <c r="F719" s="17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45"/>
      <c r="V719" s="145"/>
      <c r="W719" s="145"/>
    </row>
    <row r="720" ht="12.75" customHeight="1">
      <c r="A720" s="177"/>
      <c r="B720" s="177"/>
      <c r="C720" s="177"/>
      <c r="D720" s="178"/>
      <c r="E720" s="177"/>
      <c r="F720" s="17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45"/>
      <c r="V720" s="145"/>
      <c r="W720" s="145"/>
    </row>
    <row r="721" ht="12.75" customHeight="1">
      <c r="A721" s="177"/>
      <c r="B721" s="177"/>
      <c r="C721" s="177"/>
      <c r="D721" s="178"/>
      <c r="E721" s="177"/>
      <c r="F721" s="17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45"/>
      <c r="V721" s="145"/>
      <c r="W721" s="145"/>
    </row>
    <row r="722" ht="12.75" customHeight="1">
      <c r="A722" s="177"/>
      <c r="B722" s="177"/>
      <c r="C722" s="177"/>
      <c r="D722" s="178"/>
      <c r="E722" s="177"/>
      <c r="F722" s="17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45"/>
      <c r="V722" s="145"/>
      <c r="W722" s="145"/>
    </row>
    <row r="723" ht="12.75" customHeight="1">
      <c r="A723" s="177"/>
      <c r="B723" s="177"/>
      <c r="C723" s="177"/>
      <c r="D723" s="178"/>
      <c r="E723" s="177"/>
      <c r="F723" s="17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45"/>
      <c r="V723" s="145"/>
      <c r="W723" s="145"/>
    </row>
    <row r="724" ht="12.75" customHeight="1">
      <c r="A724" s="177"/>
      <c r="B724" s="177"/>
      <c r="C724" s="177"/>
      <c r="D724" s="178"/>
      <c r="E724" s="177"/>
      <c r="F724" s="17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45"/>
      <c r="V724" s="145"/>
      <c r="W724" s="145"/>
    </row>
    <row r="725" ht="12.75" customHeight="1">
      <c r="A725" s="177"/>
      <c r="B725" s="177"/>
      <c r="C725" s="177"/>
      <c r="D725" s="178"/>
      <c r="E725" s="177"/>
      <c r="F725" s="17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45"/>
      <c r="V725" s="145"/>
      <c r="W725" s="145"/>
    </row>
    <row r="726" ht="12.75" customHeight="1">
      <c r="A726" s="177"/>
      <c r="B726" s="177"/>
      <c r="C726" s="177"/>
      <c r="D726" s="178"/>
      <c r="E726" s="177"/>
      <c r="F726" s="17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45"/>
      <c r="V726" s="145"/>
      <c r="W726" s="145"/>
    </row>
    <row r="727" ht="12.75" customHeight="1">
      <c r="A727" s="177"/>
      <c r="B727" s="177"/>
      <c r="C727" s="177"/>
      <c r="D727" s="178"/>
      <c r="E727" s="177"/>
      <c r="F727" s="17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45"/>
      <c r="V727" s="145"/>
      <c r="W727" s="145"/>
    </row>
    <row r="728" ht="12.75" customHeight="1">
      <c r="A728" s="177"/>
      <c r="B728" s="177"/>
      <c r="C728" s="177"/>
      <c r="D728" s="178"/>
      <c r="E728" s="177"/>
      <c r="F728" s="17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45"/>
      <c r="V728" s="145"/>
      <c r="W728" s="145"/>
    </row>
    <row r="729" ht="12.75" customHeight="1">
      <c r="A729" s="177"/>
      <c r="B729" s="177"/>
      <c r="C729" s="177"/>
      <c r="D729" s="178"/>
      <c r="E729" s="177"/>
      <c r="F729" s="17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45"/>
      <c r="V729" s="145"/>
      <c r="W729" s="145"/>
    </row>
    <row r="730" ht="12.75" customHeight="1">
      <c r="A730" s="177"/>
      <c r="B730" s="177"/>
      <c r="C730" s="177"/>
      <c r="D730" s="178"/>
      <c r="E730" s="177"/>
      <c r="F730" s="17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45"/>
      <c r="V730" s="145"/>
      <c r="W730" s="145"/>
    </row>
    <row r="731" ht="12.75" customHeight="1">
      <c r="A731" s="177"/>
      <c r="B731" s="177"/>
      <c r="C731" s="177"/>
      <c r="D731" s="178"/>
      <c r="E731" s="177"/>
      <c r="F731" s="17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45"/>
      <c r="V731" s="145"/>
      <c r="W731" s="145"/>
    </row>
    <row r="732" ht="12.75" customHeight="1">
      <c r="A732" s="177"/>
      <c r="B732" s="177"/>
      <c r="C732" s="177"/>
      <c r="D732" s="178"/>
      <c r="E732" s="177"/>
      <c r="F732" s="17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45"/>
      <c r="V732" s="145"/>
      <c r="W732" s="145"/>
    </row>
    <row r="733" ht="12.75" customHeight="1">
      <c r="A733" s="177"/>
      <c r="B733" s="177"/>
      <c r="C733" s="177"/>
      <c r="D733" s="178"/>
      <c r="E733" s="177"/>
      <c r="F733" s="17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45"/>
      <c r="V733" s="145"/>
      <c r="W733" s="145"/>
    </row>
    <row r="734" ht="12.75" customHeight="1">
      <c r="A734" s="177"/>
      <c r="B734" s="177"/>
      <c r="C734" s="177"/>
      <c r="D734" s="178"/>
      <c r="E734" s="177"/>
      <c r="F734" s="17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45"/>
      <c r="V734" s="145"/>
      <c r="W734" s="145"/>
    </row>
    <row r="735" ht="12.75" customHeight="1">
      <c r="A735" s="177"/>
      <c r="B735" s="177"/>
      <c r="C735" s="177"/>
      <c r="D735" s="178"/>
      <c r="E735" s="177"/>
      <c r="F735" s="17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45"/>
      <c r="V735" s="145"/>
      <c r="W735" s="145"/>
    </row>
    <row r="736" ht="12.75" customHeight="1">
      <c r="A736" s="177"/>
      <c r="B736" s="177"/>
      <c r="C736" s="177"/>
      <c r="D736" s="178"/>
      <c r="E736" s="177"/>
      <c r="F736" s="17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45"/>
      <c r="V736" s="145"/>
      <c r="W736" s="145"/>
    </row>
    <row r="737" ht="12.75" customHeight="1">
      <c r="A737" s="177"/>
      <c r="B737" s="177"/>
      <c r="C737" s="177"/>
      <c r="D737" s="178"/>
      <c r="E737" s="177"/>
      <c r="F737" s="17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45"/>
      <c r="V737" s="145"/>
      <c r="W737" s="145"/>
    </row>
    <row r="738" ht="12.75" customHeight="1">
      <c r="A738" s="177"/>
      <c r="B738" s="177"/>
      <c r="C738" s="177"/>
      <c r="D738" s="178"/>
      <c r="E738" s="177"/>
      <c r="F738" s="17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45"/>
      <c r="V738" s="145"/>
      <c r="W738" s="145"/>
    </row>
    <row r="739" ht="12.75" customHeight="1">
      <c r="A739" s="177"/>
      <c r="B739" s="177"/>
      <c r="C739" s="177"/>
      <c r="D739" s="178"/>
      <c r="E739" s="177"/>
      <c r="F739" s="17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45"/>
      <c r="V739" s="145"/>
      <c r="W739" s="145"/>
    </row>
    <row r="740" ht="12.75" customHeight="1">
      <c r="A740" s="177"/>
      <c r="B740" s="177"/>
      <c r="C740" s="177"/>
      <c r="D740" s="178"/>
      <c r="E740" s="177"/>
      <c r="F740" s="17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45"/>
      <c r="V740" s="145"/>
      <c r="W740" s="145"/>
    </row>
    <row r="741" ht="12.75" customHeight="1">
      <c r="A741" s="177"/>
      <c r="B741" s="177"/>
      <c r="C741" s="177"/>
      <c r="D741" s="178"/>
      <c r="E741" s="177"/>
      <c r="F741" s="17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45"/>
      <c r="V741" s="145"/>
      <c r="W741" s="145"/>
    </row>
    <row r="742" ht="12.75" customHeight="1">
      <c r="A742" s="177"/>
      <c r="B742" s="177"/>
      <c r="C742" s="177"/>
      <c r="D742" s="178"/>
      <c r="E742" s="177"/>
      <c r="F742" s="17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45"/>
      <c r="V742" s="145"/>
      <c r="W742" s="145"/>
    </row>
    <row r="743" ht="12.75" customHeight="1">
      <c r="A743" s="177"/>
      <c r="B743" s="177"/>
      <c r="C743" s="177"/>
      <c r="D743" s="178"/>
      <c r="E743" s="177"/>
      <c r="F743" s="17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45"/>
      <c r="V743" s="145"/>
      <c r="W743" s="145"/>
    </row>
    <row r="744" ht="12.75" customHeight="1">
      <c r="A744" s="177"/>
      <c r="B744" s="177"/>
      <c r="C744" s="177"/>
      <c r="D744" s="178"/>
      <c r="E744" s="177"/>
      <c r="F744" s="17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45"/>
      <c r="V744" s="145"/>
      <c r="W744" s="145"/>
    </row>
    <row r="745" ht="12.75" customHeight="1">
      <c r="A745" s="177"/>
      <c r="B745" s="177"/>
      <c r="C745" s="177"/>
      <c r="D745" s="178"/>
      <c r="E745" s="177"/>
      <c r="F745" s="17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45"/>
      <c r="V745" s="145"/>
      <c r="W745" s="145"/>
    </row>
    <row r="746" ht="12.75" customHeight="1">
      <c r="A746" s="177"/>
      <c r="B746" s="177"/>
      <c r="C746" s="177"/>
      <c r="D746" s="178"/>
      <c r="E746" s="177"/>
      <c r="F746" s="17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45"/>
      <c r="V746" s="145"/>
      <c r="W746" s="145"/>
    </row>
    <row r="747" ht="12.75" customHeight="1">
      <c r="A747" s="177"/>
      <c r="B747" s="177"/>
      <c r="C747" s="177"/>
      <c r="D747" s="178"/>
      <c r="E747" s="177"/>
      <c r="F747" s="17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45"/>
      <c r="V747" s="145"/>
      <c r="W747" s="145"/>
    </row>
    <row r="748" ht="12.75" customHeight="1">
      <c r="A748" s="177"/>
      <c r="B748" s="177"/>
      <c r="C748" s="177"/>
      <c r="D748" s="178"/>
      <c r="E748" s="177"/>
      <c r="F748" s="17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45"/>
      <c r="V748" s="145"/>
      <c r="W748" s="145"/>
    </row>
    <row r="749" ht="12.75" customHeight="1">
      <c r="A749" s="177"/>
      <c r="B749" s="177"/>
      <c r="C749" s="177"/>
      <c r="D749" s="178"/>
      <c r="E749" s="177"/>
      <c r="F749" s="17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45"/>
      <c r="V749" s="145"/>
      <c r="W749" s="145"/>
    </row>
    <row r="750" ht="12.75" customHeight="1">
      <c r="A750" s="177"/>
      <c r="B750" s="177"/>
      <c r="C750" s="177"/>
      <c r="D750" s="178"/>
      <c r="E750" s="177"/>
      <c r="F750" s="17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45"/>
      <c r="V750" s="145"/>
      <c r="W750" s="145"/>
    </row>
    <row r="751" ht="12.75" customHeight="1">
      <c r="A751" s="177"/>
      <c r="B751" s="177"/>
      <c r="C751" s="177"/>
      <c r="D751" s="178"/>
      <c r="E751" s="177"/>
      <c r="F751" s="17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45"/>
      <c r="V751" s="145"/>
      <c r="W751" s="145"/>
    </row>
    <row r="752" ht="12.75" customHeight="1">
      <c r="A752" s="177"/>
      <c r="B752" s="177"/>
      <c r="C752" s="177"/>
      <c r="D752" s="178"/>
      <c r="E752" s="177"/>
      <c r="F752" s="17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45"/>
      <c r="V752" s="145"/>
      <c r="W752" s="145"/>
    </row>
    <row r="753" ht="12.75" customHeight="1">
      <c r="A753" s="177"/>
      <c r="B753" s="177"/>
      <c r="C753" s="177"/>
      <c r="D753" s="178"/>
      <c r="E753" s="177"/>
      <c r="F753" s="17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45"/>
      <c r="V753" s="145"/>
      <c r="W753" s="145"/>
    </row>
    <row r="754" ht="12.75" customHeight="1">
      <c r="A754" s="177"/>
      <c r="B754" s="177"/>
      <c r="C754" s="177"/>
      <c r="D754" s="178"/>
      <c r="E754" s="177"/>
      <c r="F754" s="17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45"/>
      <c r="V754" s="145"/>
      <c r="W754" s="145"/>
    </row>
    <row r="755" ht="12.75" customHeight="1">
      <c r="A755" s="177"/>
      <c r="B755" s="177"/>
      <c r="C755" s="177"/>
      <c r="D755" s="178"/>
      <c r="E755" s="177"/>
      <c r="F755" s="17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45"/>
      <c r="V755" s="145"/>
      <c r="W755" s="145"/>
    </row>
    <row r="756" ht="12.75" customHeight="1">
      <c r="A756" s="177"/>
      <c r="B756" s="177"/>
      <c r="C756" s="177"/>
      <c r="D756" s="178"/>
      <c r="E756" s="177"/>
      <c r="F756" s="17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45"/>
      <c r="V756" s="145"/>
      <c r="W756" s="145"/>
    </row>
    <row r="757" ht="12.75" customHeight="1">
      <c r="A757" s="177"/>
      <c r="B757" s="177"/>
      <c r="C757" s="177"/>
      <c r="D757" s="178"/>
      <c r="E757" s="177"/>
      <c r="F757" s="17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45"/>
      <c r="V757" s="145"/>
      <c r="W757" s="145"/>
    </row>
    <row r="758" ht="12.75" customHeight="1">
      <c r="A758" s="177"/>
      <c r="B758" s="177"/>
      <c r="C758" s="177"/>
      <c r="D758" s="178"/>
      <c r="E758" s="177"/>
      <c r="F758" s="17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45"/>
      <c r="V758" s="145"/>
      <c r="W758" s="145"/>
    </row>
    <row r="759" ht="12.75" customHeight="1">
      <c r="A759" s="177"/>
      <c r="B759" s="177"/>
      <c r="C759" s="177"/>
      <c r="D759" s="178"/>
      <c r="E759" s="177"/>
      <c r="F759" s="17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45"/>
      <c r="V759" s="145"/>
      <c r="W759" s="145"/>
    </row>
    <row r="760" ht="12.75" customHeight="1">
      <c r="A760" s="177"/>
      <c r="B760" s="177"/>
      <c r="C760" s="177"/>
      <c r="D760" s="178"/>
      <c r="E760" s="177"/>
      <c r="F760" s="17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45"/>
      <c r="V760" s="145"/>
      <c r="W760" s="145"/>
    </row>
    <row r="761" ht="12.75" customHeight="1">
      <c r="A761" s="177"/>
      <c r="B761" s="177"/>
      <c r="C761" s="177"/>
      <c r="D761" s="178"/>
      <c r="E761" s="177"/>
      <c r="F761" s="17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45"/>
      <c r="V761" s="145"/>
      <c r="W761" s="145"/>
    </row>
    <row r="762" ht="12.75" customHeight="1">
      <c r="A762" s="177"/>
      <c r="B762" s="177"/>
      <c r="C762" s="177"/>
      <c r="D762" s="178"/>
      <c r="E762" s="177"/>
      <c r="F762" s="17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45"/>
      <c r="V762" s="145"/>
      <c r="W762" s="145"/>
    </row>
    <row r="763" ht="12.75" customHeight="1">
      <c r="A763" s="177"/>
      <c r="B763" s="177"/>
      <c r="C763" s="177"/>
      <c r="D763" s="178"/>
      <c r="E763" s="177"/>
      <c r="F763" s="17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45"/>
      <c r="V763" s="145"/>
      <c r="W763" s="145"/>
    </row>
    <row r="764" ht="12.75" customHeight="1">
      <c r="A764" s="177"/>
      <c r="B764" s="177"/>
      <c r="C764" s="177"/>
      <c r="D764" s="178"/>
      <c r="E764" s="177"/>
      <c r="F764" s="179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45"/>
      <c r="V764" s="145"/>
      <c r="W764" s="145"/>
    </row>
    <row r="765" ht="12.75" customHeight="1">
      <c r="A765" s="177"/>
      <c r="B765" s="177"/>
      <c r="C765" s="177"/>
      <c r="D765" s="178"/>
      <c r="E765" s="177"/>
      <c r="F765" s="179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45"/>
      <c r="V765" s="145"/>
      <c r="W765" s="145"/>
    </row>
    <row r="766" ht="12.75" customHeight="1">
      <c r="A766" s="177"/>
      <c r="B766" s="177"/>
      <c r="C766" s="177"/>
      <c r="D766" s="178"/>
      <c r="E766" s="177"/>
      <c r="F766" s="179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45"/>
      <c r="V766" s="145"/>
      <c r="W766" s="145"/>
    </row>
    <row r="767" ht="12.75" customHeight="1">
      <c r="A767" s="177"/>
      <c r="B767" s="177"/>
      <c r="C767" s="177"/>
      <c r="D767" s="178"/>
      <c r="E767" s="177"/>
      <c r="F767" s="179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45"/>
      <c r="V767" s="145"/>
      <c r="W767" s="145"/>
    </row>
    <row r="768" ht="12.75" customHeight="1">
      <c r="A768" s="177"/>
      <c r="B768" s="177"/>
      <c r="C768" s="177"/>
      <c r="D768" s="178"/>
      <c r="E768" s="177"/>
      <c r="F768" s="179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45"/>
      <c r="V768" s="145"/>
      <c r="W768" s="145"/>
    </row>
    <row r="769" ht="12.75" customHeight="1">
      <c r="A769" s="177"/>
      <c r="B769" s="177"/>
      <c r="C769" s="177"/>
      <c r="D769" s="178"/>
      <c r="E769" s="177"/>
      <c r="F769" s="179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45"/>
      <c r="V769" s="145"/>
      <c r="W769" s="145"/>
    </row>
    <row r="770" ht="12.75" customHeight="1">
      <c r="A770" s="177"/>
      <c r="B770" s="177"/>
      <c r="C770" s="177"/>
      <c r="D770" s="178"/>
      <c r="E770" s="177"/>
      <c r="F770" s="179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45"/>
      <c r="V770" s="145"/>
      <c r="W770" s="145"/>
    </row>
    <row r="771" ht="12.75" customHeight="1">
      <c r="A771" s="177"/>
      <c r="B771" s="177"/>
      <c r="C771" s="177"/>
      <c r="D771" s="178"/>
      <c r="E771" s="177"/>
      <c r="F771" s="179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45"/>
      <c r="V771" s="145"/>
      <c r="W771" s="145"/>
    </row>
    <row r="772" ht="12.75" customHeight="1">
      <c r="A772" s="177"/>
      <c r="B772" s="177"/>
      <c r="C772" s="177"/>
      <c r="D772" s="178"/>
      <c r="E772" s="177"/>
      <c r="F772" s="179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45"/>
      <c r="V772" s="145"/>
      <c r="W772" s="145"/>
    </row>
    <row r="773" ht="12.75" customHeight="1">
      <c r="A773" s="177"/>
      <c r="B773" s="177"/>
      <c r="C773" s="177"/>
      <c r="D773" s="178"/>
      <c r="E773" s="177"/>
      <c r="F773" s="179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45"/>
      <c r="V773" s="145"/>
      <c r="W773" s="145"/>
    </row>
    <row r="774" ht="12.75" customHeight="1">
      <c r="A774" s="177"/>
      <c r="B774" s="177"/>
      <c r="C774" s="177"/>
      <c r="D774" s="178"/>
      <c r="E774" s="177"/>
      <c r="F774" s="179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45"/>
      <c r="V774" s="145"/>
      <c r="W774" s="145"/>
    </row>
    <row r="775" ht="12.75" customHeight="1">
      <c r="A775" s="177"/>
      <c r="B775" s="177"/>
      <c r="C775" s="177"/>
      <c r="D775" s="178"/>
      <c r="E775" s="177"/>
      <c r="F775" s="179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45"/>
      <c r="V775" s="145"/>
      <c r="W775" s="145"/>
    </row>
    <row r="776" ht="12.75" customHeight="1">
      <c r="A776" s="177"/>
      <c r="B776" s="177"/>
      <c r="C776" s="177"/>
      <c r="D776" s="178"/>
      <c r="E776" s="177"/>
      <c r="F776" s="179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45"/>
      <c r="V776" s="145"/>
      <c r="W776" s="145"/>
    </row>
    <row r="777" ht="12.75" customHeight="1">
      <c r="A777" s="177"/>
      <c r="B777" s="177"/>
      <c r="C777" s="177"/>
      <c r="D777" s="178"/>
      <c r="E777" s="177"/>
      <c r="F777" s="179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45"/>
      <c r="V777" s="145"/>
      <c r="W777" s="145"/>
    </row>
    <row r="778" ht="12.75" customHeight="1">
      <c r="A778" s="177"/>
      <c r="B778" s="177"/>
      <c r="C778" s="177"/>
      <c r="D778" s="178"/>
      <c r="E778" s="177"/>
      <c r="F778" s="179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45"/>
      <c r="V778" s="145"/>
      <c r="W778" s="145"/>
    </row>
    <row r="779" ht="12.75" customHeight="1">
      <c r="A779" s="177"/>
      <c r="B779" s="177"/>
      <c r="C779" s="177"/>
      <c r="D779" s="178"/>
      <c r="E779" s="177"/>
      <c r="F779" s="179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45"/>
      <c r="V779" s="145"/>
      <c r="W779" s="145"/>
    </row>
    <row r="780" ht="12.75" customHeight="1">
      <c r="A780" s="177"/>
      <c r="B780" s="177"/>
      <c r="C780" s="177"/>
      <c r="D780" s="178"/>
      <c r="E780" s="177"/>
      <c r="F780" s="179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45"/>
      <c r="V780" s="145"/>
      <c r="W780" s="145"/>
    </row>
    <row r="781" ht="12.75" customHeight="1">
      <c r="A781" s="177"/>
      <c r="B781" s="177"/>
      <c r="C781" s="177"/>
      <c r="D781" s="178"/>
      <c r="E781" s="177"/>
      <c r="F781" s="179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45"/>
      <c r="V781" s="145"/>
      <c r="W781" s="145"/>
    </row>
    <row r="782" ht="12.75" customHeight="1">
      <c r="A782" s="177"/>
      <c r="B782" s="177"/>
      <c r="C782" s="177"/>
      <c r="D782" s="178"/>
      <c r="E782" s="177"/>
      <c r="F782" s="179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45"/>
      <c r="V782" s="145"/>
      <c r="W782" s="145"/>
    </row>
    <row r="783" ht="12.75" customHeight="1">
      <c r="A783" s="177"/>
      <c r="B783" s="177"/>
      <c r="C783" s="177"/>
      <c r="D783" s="178"/>
      <c r="E783" s="177"/>
      <c r="F783" s="179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45"/>
      <c r="V783" s="145"/>
      <c r="W783" s="145"/>
    </row>
    <row r="784" ht="12.75" customHeight="1">
      <c r="A784" s="177"/>
      <c r="B784" s="177"/>
      <c r="C784" s="177"/>
      <c r="D784" s="178"/>
      <c r="E784" s="177"/>
      <c r="F784" s="179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45"/>
      <c r="V784" s="145"/>
      <c r="W784" s="145"/>
    </row>
    <row r="785" ht="12.75" customHeight="1">
      <c r="A785" s="177"/>
      <c r="B785" s="177"/>
      <c r="C785" s="177"/>
      <c r="D785" s="178"/>
      <c r="E785" s="177"/>
      <c r="F785" s="179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45"/>
      <c r="V785" s="145"/>
      <c r="W785" s="145"/>
    </row>
    <row r="786" ht="12.75" customHeight="1">
      <c r="A786" s="177"/>
      <c r="B786" s="177"/>
      <c r="C786" s="177"/>
      <c r="D786" s="178"/>
      <c r="E786" s="177"/>
      <c r="F786" s="179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45"/>
      <c r="V786" s="145"/>
      <c r="W786" s="145"/>
    </row>
    <row r="787" ht="12.75" customHeight="1">
      <c r="A787" s="177"/>
      <c r="B787" s="177"/>
      <c r="C787" s="177"/>
      <c r="D787" s="178"/>
      <c r="E787" s="177"/>
      <c r="F787" s="179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45"/>
      <c r="V787" s="145"/>
      <c r="W787" s="145"/>
    </row>
    <row r="788" ht="12.75" customHeight="1">
      <c r="A788" s="177"/>
      <c r="B788" s="177"/>
      <c r="C788" s="177"/>
      <c r="D788" s="178"/>
      <c r="E788" s="177"/>
      <c r="F788" s="179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45"/>
      <c r="V788" s="145"/>
      <c r="W788" s="145"/>
    </row>
    <row r="789" ht="12.75" customHeight="1">
      <c r="A789" s="177"/>
      <c r="B789" s="177"/>
      <c r="C789" s="177"/>
      <c r="D789" s="178"/>
      <c r="E789" s="177"/>
      <c r="F789" s="179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45"/>
      <c r="V789" s="145"/>
      <c r="W789" s="145"/>
    </row>
    <row r="790" ht="12.75" customHeight="1">
      <c r="A790" s="177"/>
      <c r="B790" s="177"/>
      <c r="C790" s="177"/>
      <c r="D790" s="178"/>
      <c r="E790" s="177"/>
      <c r="F790" s="179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45"/>
      <c r="V790" s="145"/>
      <c r="W790" s="145"/>
    </row>
    <row r="791" ht="12.75" customHeight="1">
      <c r="A791" s="177"/>
      <c r="B791" s="177"/>
      <c r="C791" s="177"/>
      <c r="D791" s="178"/>
      <c r="E791" s="177"/>
      <c r="F791" s="179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45"/>
      <c r="V791" s="145"/>
      <c r="W791" s="145"/>
    </row>
    <row r="792" ht="12.75" customHeight="1">
      <c r="A792" s="177"/>
      <c r="B792" s="177"/>
      <c r="C792" s="177"/>
      <c r="D792" s="178"/>
      <c r="E792" s="177"/>
      <c r="F792" s="179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45"/>
      <c r="V792" s="145"/>
      <c r="W792" s="145"/>
    </row>
    <row r="793" ht="12.75" customHeight="1">
      <c r="A793" s="177"/>
      <c r="B793" s="177"/>
      <c r="C793" s="177"/>
      <c r="D793" s="178"/>
      <c r="E793" s="177"/>
      <c r="F793" s="179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45"/>
      <c r="V793" s="145"/>
      <c r="W793" s="145"/>
    </row>
    <row r="794" ht="12.75" customHeight="1">
      <c r="A794" s="177"/>
      <c r="B794" s="177"/>
      <c r="C794" s="177"/>
      <c r="D794" s="178"/>
      <c r="E794" s="177"/>
      <c r="F794" s="179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45"/>
      <c r="V794" s="145"/>
      <c r="W794" s="145"/>
    </row>
    <row r="795" ht="12.75" customHeight="1">
      <c r="A795" s="177"/>
      <c r="B795" s="177"/>
      <c r="C795" s="177"/>
      <c r="D795" s="178"/>
      <c r="E795" s="177"/>
      <c r="F795" s="179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45"/>
      <c r="V795" s="145"/>
      <c r="W795" s="145"/>
    </row>
    <row r="796" ht="12.75" customHeight="1">
      <c r="A796" s="177"/>
      <c r="B796" s="177"/>
      <c r="C796" s="177"/>
      <c r="D796" s="178"/>
      <c r="E796" s="177"/>
      <c r="F796" s="179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45"/>
      <c r="V796" s="145"/>
      <c r="W796" s="145"/>
    </row>
    <row r="797" ht="12.75" customHeight="1">
      <c r="A797" s="177"/>
      <c r="B797" s="177"/>
      <c r="C797" s="177"/>
      <c r="D797" s="178"/>
      <c r="E797" s="177"/>
      <c r="F797" s="179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45"/>
      <c r="V797" s="145"/>
      <c r="W797" s="145"/>
    </row>
    <row r="798" ht="12.75" customHeight="1">
      <c r="A798" s="177"/>
      <c r="B798" s="177"/>
      <c r="C798" s="177"/>
      <c r="D798" s="178"/>
      <c r="E798" s="177"/>
      <c r="F798" s="179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45"/>
      <c r="V798" s="145"/>
      <c r="W798" s="145"/>
    </row>
    <row r="799" ht="12.75" customHeight="1">
      <c r="A799" s="177"/>
      <c r="B799" s="177"/>
      <c r="C799" s="177"/>
      <c r="D799" s="178"/>
      <c r="E799" s="177"/>
      <c r="F799" s="179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45"/>
      <c r="V799" s="145"/>
      <c r="W799" s="145"/>
    </row>
    <row r="800" ht="12.75" customHeight="1">
      <c r="A800" s="177"/>
      <c r="B800" s="177"/>
      <c r="C800" s="177"/>
      <c r="D800" s="178"/>
      <c r="E800" s="177"/>
      <c r="F800" s="179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45"/>
      <c r="V800" s="145"/>
      <c r="W800" s="145"/>
    </row>
    <row r="801" ht="12.75" customHeight="1">
      <c r="A801" s="177"/>
      <c r="B801" s="177"/>
      <c r="C801" s="177"/>
      <c r="D801" s="178"/>
      <c r="E801" s="177"/>
      <c r="F801" s="179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45"/>
      <c r="V801" s="145"/>
      <c r="W801" s="145"/>
    </row>
    <row r="802" ht="12.75" customHeight="1">
      <c r="A802" s="177"/>
      <c r="B802" s="177"/>
      <c r="C802" s="177"/>
      <c r="D802" s="178"/>
      <c r="E802" s="177"/>
      <c r="F802" s="179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45"/>
      <c r="V802" s="145"/>
      <c r="W802" s="145"/>
    </row>
    <row r="803" ht="12.75" customHeight="1">
      <c r="A803" s="177"/>
      <c r="B803" s="177"/>
      <c r="C803" s="177"/>
      <c r="D803" s="178"/>
      <c r="E803" s="177"/>
      <c r="F803" s="179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45"/>
      <c r="V803" s="145"/>
      <c r="W803" s="145"/>
    </row>
    <row r="804" ht="12.75" customHeight="1">
      <c r="A804" s="177"/>
      <c r="B804" s="177"/>
      <c r="C804" s="177"/>
      <c r="D804" s="178"/>
      <c r="E804" s="177"/>
      <c r="F804" s="179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45"/>
      <c r="V804" s="145"/>
      <c r="W804" s="145"/>
    </row>
    <row r="805" ht="12.75" customHeight="1">
      <c r="A805" s="177"/>
      <c r="B805" s="177"/>
      <c r="C805" s="177"/>
      <c r="D805" s="178"/>
      <c r="E805" s="177"/>
      <c r="F805" s="179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45"/>
      <c r="V805" s="145"/>
      <c r="W805" s="145"/>
    </row>
    <row r="806" ht="12.75" customHeight="1">
      <c r="A806" s="177"/>
      <c r="B806" s="177"/>
      <c r="C806" s="177"/>
      <c r="D806" s="178"/>
      <c r="E806" s="177"/>
      <c r="F806" s="179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45"/>
      <c r="V806" s="145"/>
      <c r="W806" s="145"/>
    </row>
    <row r="807" ht="12.75" customHeight="1">
      <c r="A807" s="177"/>
      <c r="B807" s="177"/>
      <c r="C807" s="177"/>
      <c r="D807" s="178"/>
      <c r="E807" s="177"/>
      <c r="F807" s="179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45"/>
      <c r="V807" s="145"/>
      <c r="W807" s="145"/>
    </row>
    <row r="808" ht="12.75" customHeight="1">
      <c r="A808" s="177"/>
      <c r="B808" s="177"/>
      <c r="C808" s="177"/>
      <c r="D808" s="178"/>
      <c r="E808" s="177"/>
      <c r="F808" s="179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45"/>
      <c r="V808" s="145"/>
      <c r="W808" s="145"/>
    </row>
    <row r="809" ht="12.75" customHeight="1">
      <c r="A809" s="177"/>
      <c r="B809" s="177"/>
      <c r="C809" s="177"/>
      <c r="D809" s="178"/>
      <c r="E809" s="177"/>
      <c r="F809" s="179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45"/>
      <c r="V809" s="145"/>
      <c r="W809" s="145"/>
    </row>
    <row r="810" ht="12.75" customHeight="1">
      <c r="A810" s="177"/>
      <c r="B810" s="177"/>
      <c r="C810" s="177"/>
      <c r="D810" s="178"/>
      <c r="E810" s="177"/>
      <c r="F810" s="179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45"/>
      <c r="V810" s="145"/>
      <c r="W810" s="145"/>
    </row>
    <row r="811" ht="12.75" customHeight="1">
      <c r="A811" s="177"/>
      <c r="B811" s="177"/>
      <c r="C811" s="177"/>
      <c r="D811" s="178"/>
      <c r="E811" s="177"/>
      <c r="F811" s="179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45"/>
      <c r="V811" s="145"/>
      <c r="W811" s="145"/>
    </row>
    <row r="812" ht="12.75" customHeight="1">
      <c r="A812" s="177"/>
      <c r="B812" s="177"/>
      <c r="C812" s="177"/>
      <c r="D812" s="178"/>
      <c r="E812" s="177"/>
      <c r="F812" s="179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45"/>
      <c r="V812" s="145"/>
      <c r="W812" s="145"/>
    </row>
    <row r="813" ht="12.75" customHeight="1">
      <c r="A813" s="177"/>
      <c r="B813" s="177"/>
      <c r="C813" s="177"/>
      <c r="D813" s="178"/>
      <c r="E813" s="177"/>
      <c r="F813" s="179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45"/>
      <c r="V813" s="145"/>
      <c r="W813" s="145"/>
    </row>
    <row r="814" ht="12.75" customHeight="1">
      <c r="A814" s="177"/>
      <c r="B814" s="177"/>
      <c r="C814" s="177"/>
      <c r="D814" s="178"/>
      <c r="E814" s="177"/>
      <c r="F814" s="179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45"/>
      <c r="V814" s="145"/>
      <c r="W814" s="145"/>
    </row>
    <row r="815" ht="12.75" customHeight="1">
      <c r="A815" s="177"/>
      <c r="B815" s="177"/>
      <c r="C815" s="177"/>
      <c r="D815" s="178"/>
      <c r="E815" s="177"/>
      <c r="F815" s="179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45"/>
      <c r="V815" s="145"/>
      <c r="W815" s="145"/>
    </row>
    <row r="816" ht="12.75" customHeight="1">
      <c r="A816" s="177"/>
      <c r="B816" s="177"/>
      <c r="C816" s="177"/>
      <c r="D816" s="178"/>
      <c r="E816" s="177"/>
      <c r="F816" s="179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45"/>
      <c r="V816" s="145"/>
      <c r="W816" s="145"/>
    </row>
    <row r="817" ht="12.75" customHeight="1">
      <c r="A817" s="177"/>
      <c r="B817" s="177"/>
      <c r="C817" s="177"/>
      <c r="D817" s="178"/>
      <c r="E817" s="177"/>
      <c r="F817" s="179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45"/>
      <c r="V817" s="145"/>
      <c r="W817" s="145"/>
    </row>
    <row r="818" ht="12.75" customHeight="1">
      <c r="A818" s="177"/>
      <c r="B818" s="177"/>
      <c r="C818" s="177"/>
      <c r="D818" s="178"/>
      <c r="E818" s="177"/>
      <c r="F818" s="179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45"/>
      <c r="V818" s="145"/>
      <c r="W818" s="145"/>
    </row>
    <row r="819" ht="12.75" customHeight="1">
      <c r="A819" s="177"/>
      <c r="B819" s="177"/>
      <c r="C819" s="177"/>
      <c r="D819" s="178"/>
      <c r="E819" s="177"/>
      <c r="F819" s="179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45"/>
      <c r="V819" s="145"/>
      <c r="W819" s="145"/>
    </row>
    <row r="820" ht="12.75" customHeight="1">
      <c r="A820" s="177"/>
      <c r="B820" s="177"/>
      <c r="C820" s="177"/>
      <c r="D820" s="178"/>
      <c r="E820" s="177"/>
      <c r="F820" s="179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45"/>
      <c r="V820" s="145"/>
      <c r="W820" s="145"/>
    </row>
    <row r="821" ht="12.75" customHeight="1">
      <c r="A821" s="177"/>
      <c r="B821" s="177"/>
      <c r="C821" s="177"/>
      <c r="D821" s="178"/>
      <c r="E821" s="177"/>
      <c r="F821" s="179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45"/>
      <c r="V821" s="145"/>
      <c r="W821" s="145"/>
    </row>
    <row r="822" ht="12.75" customHeight="1">
      <c r="A822" s="177"/>
      <c r="B822" s="177"/>
      <c r="C822" s="177"/>
      <c r="D822" s="178"/>
      <c r="E822" s="177"/>
      <c r="F822" s="179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45"/>
      <c r="V822" s="145"/>
      <c r="W822" s="145"/>
    </row>
    <row r="823" ht="12.75" customHeight="1">
      <c r="A823" s="177"/>
      <c r="B823" s="177"/>
      <c r="C823" s="177"/>
      <c r="D823" s="178"/>
      <c r="E823" s="177"/>
      <c r="F823" s="179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45"/>
      <c r="V823" s="145"/>
      <c r="W823" s="145"/>
    </row>
    <row r="824" ht="12.75" customHeight="1">
      <c r="A824" s="177"/>
      <c r="B824" s="177"/>
      <c r="C824" s="177"/>
      <c r="D824" s="178"/>
      <c r="E824" s="177"/>
      <c r="F824" s="179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45"/>
      <c r="V824" s="145"/>
      <c r="W824" s="145"/>
    </row>
    <row r="825" ht="12.75" customHeight="1">
      <c r="A825" s="177"/>
      <c r="B825" s="177"/>
      <c r="C825" s="177"/>
      <c r="D825" s="178"/>
      <c r="E825" s="177"/>
      <c r="F825" s="179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45"/>
      <c r="V825" s="145"/>
      <c r="W825" s="145"/>
    </row>
    <row r="826" ht="12.75" customHeight="1">
      <c r="A826" s="177"/>
      <c r="B826" s="177"/>
      <c r="C826" s="177"/>
      <c r="D826" s="178"/>
      <c r="E826" s="177"/>
      <c r="F826" s="179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45"/>
      <c r="V826" s="145"/>
      <c r="W826" s="145"/>
    </row>
    <row r="827" ht="12.75" customHeight="1">
      <c r="A827" s="177"/>
      <c r="B827" s="177"/>
      <c r="C827" s="177"/>
      <c r="D827" s="178"/>
      <c r="E827" s="177"/>
      <c r="F827" s="179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45"/>
      <c r="V827" s="145"/>
      <c r="W827" s="145"/>
    </row>
    <row r="828" ht="12.75" customHeight="1">
      <c r="A828" s="177"/>
      <c r="B828" s="177"/>
      <c r="C828" s="177"/>
      <c r="D828" s="178"/>
      <c r="E828" s="177"/>
      <c r="F828" s="179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45"/>
      <c r="V828" s="145"/>
      <c r="W828" s="145"/>
    </row>
    <row r="829" ht="12.75" customHeight="1">
      <c r="A829" s="177"/>
      <c r="B829" s="177"/>
      <c r="C829" s="177"/>
      <c r="D829" s="178"/>
      <c r="E829" s="177"/>
      <c r="F829" s="179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45"/>
      <c r="V829" s="145"/>
      <c r="W829" s="145"/>
    </row>
    <row r="830" ht="12.75" customHeight="1">
      <c r="A830" s="177"/>
      <c r="B830" s="177"/>
      <c r="C830" s="177"/>
      <c r="D830" s="178"/>
      <c r="E830" s="177"/>
      <c r="F830" s="179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45"/>
      <c r="V830" s="145"/>
      <c r="W830" s="145"/>
    </row>
    <row r="831" ht="12.75" customHeight="1">
      <c r="A831" s="177"/>
      <c r="B831" s="177"/>
      <c r="C831" s="177"/>
      <c r="D831" s="178"/>
      <c r="E831" s="177"/>
      <c r="F831" s="179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45"/>
      <c r="V831" s="145"/>
      <c r="W831" s="145"/>
    </row>
    <row r="832" ht="12.75" customHeight="1">
      <c r="A832" s="177"/>
      <c r="B832" s="177"/>
      <c r="C832" s="177"/>
      <c r="D832" s="178"/>
      <c r="E832" s="177"/>
      <c r="F832" s="179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45"/>
      <c r="V832" s="145"/>
      <c r="W832" s="145"/>
    </row>
    <row r="833" ht="12.75" customHeight="1">
      <c r="A833" s="177"/>
      <c r="B833" s="177"/>
      <c r="C833" s="177"/>
      <c r="D833" s="178"/>
      <c r="E833" s="177"/>
      <c r="F833" s="179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45"/>
      <c r="V833" s="145"/>
      <c r="W833" s="145"/>
    </row>
    <row r="834" ht="12.75" customHeight="1">
      <c r="A834" s="177"/>
      <c r="B834" s="177"/>
      <c r="C834" s="177"/>
      <c r="D834" s="178"/>
      <c r="E834" s="177"/>
      <c r="F834" s="179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45"/>
      <c r="V834" s="145"/>
      <c r="W834" s="145"/>
    </row>
    <row r="835" ht="12.75" customHeight="1">
      <c r="A835" s="177"/>
      <c r="B835" s="177"/>
      <c r="C835" s="177"/>
      <c r="D835" s="178"/>
      <c r="E835" s="177"/>
      <c r="F835" s="179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45"/>
      <c r="V835" s="145"/>
      <c r="W835" s="145"/>
    </row>
    <row r="836" ht="12.75" customHeight="1">
      <c r="A836" s="177"/>
      <c r="B836" s="177"/>
      <c r="C836" s="177"/>
      <c r="D836" s="178"/>
      <c r="E836" s="177"/>
      <c r="F836" s="179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45"/>
      <c r="V836" s="145"/>
      <c r="W836" s="145"/>
    </row>
    <row r="837" ht="12.75" customHeight="1">
      <c r="A837" s="177"/>
      <c r="B837" s="177"/>
      <c r="C837" s="177"/>
      <c r="D837" s="178"/>
      <c r="E837" s="177"/>
      <c r="F837" s="179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45"/>
      <c r="V837" s="145"/>
      <c r="W837" s="145"/>
    </row>
    <row r="838" ht="12.75" customHeight="1">
      <c r="A838" s="177"/>
      <c r="B838" s="177"/>
      <c r="C838" s="177"/>
      <c r="D838" s="178"/>
      <c r="E838" s="177"/>
      <c r="F838" s="179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45"/>
      <c r="V838" s="145"/>
      <c r="W838" s="145"/>
    </row>
    <row r="839" ht="12.75" customHeight="1">
      <c r="A839" s="177"/>
      <c r="B839" s="177"/>
      <c r="C839" s="177"/>
      <c r="D839" s="178"/>
      <c r="E839" s="177"/>
      <c r="F839" s="179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45"/>
      <c r="V839" s="145"/>
      <c r="W839" s="145"/>
    </row>
    <row r="840" ht="12.75" customHeight="1">
      <c r="A840" s="177"/>
      <c r="B840" s="177"/>
      <c r="C840" s="177"/>
      <c r="D840" s="178"/>
      <c r="E840" s="177"/>
      <c r="F840" s="179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45"/>
      <c r="V840" s="145"/>
      <c r="W840" s="145"/>
    </row>
    <row r="841" ht="12.75" customHeight="1">
      <c r="A841" s="177"/>
      <c r="B841" s="177"/>
      <c r="C841" s="177"/>
      <c r="D841" s="178"/>
      <c r="E841" s="177"/>
      <c r="F841" s="179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45"/>
      <c r="V841" s="145"/>
      <c r="W841" s="145"/>
    </row>
    <row r="842" ht="12.75" customHeight="1">
      <c r="A842" s="177"/>
      <c r="B842" s="177"/>
      <c r="C842" s="177"/>
      <c r="D842" s="178"/>
      <c r="E842" s="177"/>
      <c r="F842" s="179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45"/>
      <c r="V842" s="145"/>
      <c r="W842" s="145"/>
    </row>
    <row r="843" ht="12.75" customHeight="1">
      <c r="A843" s="177"/>
      <c r="B843" s="177"/>
      <c r="C843" s="177"/>
      <c r="D843" s="178"/>
      <c r="E843" s="177"/>
      <c r="F843" s="179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45"/>
      <c r="V843" s="145"/>
      <c r="W843" s="145"/>
    </row>
    <row r="844" ht="12.75" customHeight="1">
      <c r="A844" s="177"/>
      <c r="B844" s="177"/>
      <c r="C844" s="177"/>
      <c r="D844" s="178"/>
      <c r="E844" s="177"/>
      <c r="F844" s="179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45"/>
      <c r="V844" s="145"/>
      <c r="W844" s="145"/>
    </row>
    <row r="845" ht="12.75" customHeight="1">
      <c r="A845" s="177"/>
      <c r="B845" s="177"/>
      <c r="C845" s="177"/>
      <c r="D845" s="178"/>
      <c r="E845" s="177"/>
      <c r="F845" s="179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45"/>
      <c r="V845" s="145"/>
      <c r="W845" s="145"/>
    </row>
    <row r="846" ht="12.75" customHeight="1">
      <c r="A846" s="177"/>
      <c r="B846" s="177"/>
      <c r="C846" s="177"/>
      <c r="D846" s="178"/>
      <c r="E846" s="177"/>
      <c r="F846" s="179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45"/>
      <c r="V846" s="145"/>
      <c r="W846" s="145"/>
    </row>
    <row r="847" ht="12.75" customHeight="1">
      <c r="A847" s="177"/>
      <c r="B847" s="177"/>
      <c r="C847" s="177"/>
      <c r="D847" s="178"/>
      <c r="E847" s="177"/>
      <c r="F847" s="179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45"/>
      <c r="V847" s="145"/>
      <c r="W847" s="145"/>
    </row>
    <row r="848" ht="12.75" customHeight="1">
      <c r="A848" s="177"/>
      <c r="B848" s="177"/>
      <c r="C848" s="177"/>
      <c r="D848" s="178"/>
      <c r="E848" s="177"/>
      <c r="F848" s="179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45"/>
      <c r="V848" s="145"/>
      <c r="W848" s="145"/>
    </row>
    <row r="849" ht="12.75" customHeight="1">
      <c r="A849" s="177"/>
      <c r="B849" s="177"/>
      <c r="C849" s="177"/>
      <c r="D849" s="178"/>
      <c r="E849" s="177"/>
      <c r="F849" s="179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45"/>
      <c r="V849" s="145"/>
      <c r="W849" s="145"/>
    </row>
    <row r="850" ht="12.75" customHeight="1">
      <c r="A850" s="177"/>
      <c r="B850" s="177"/>
      <c r="C850" s="177"/>
      <c r="D850" s="178"/>
      <c r="E850" s="177"/>
      <c r="F850" s="179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45"/>
      <c r="V850" s="145"/>
      <c r="W850" s="145"/>
    </row>
    <row r="851" ht="12.75" customHeight="1">
      <c r="A851" s="177"/>
      <c r="B851" s="177"/>
      <c r="C851" s="177"/>
      <c r="D851" s="178"/>
      <c r="E851" s="177"/>
      <c r="F851" s="179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45"/>
      <c r="V851" s="145"/>
      <c r="W851" s="145"/>
    </row>
    <row r="852" ht="12.75" customHeight="1">
      <c r="A852" s="177"/>
      <c r="B852" s="177"/>
      <c r="C852" s="177"/>
      <c r="D852" s="178"/>
      <c r="E852" s="177"/>
      <c r="F852" s="179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45"/>
      <c r="V852" s="145"/>
      <c r="W852" s="145"/>
    </row>
    <row r="853" ht="12.75" customHeight="1">
      <c r="A853" s="177"/>
      <c r="B853" s="177"/>
      <c r="C853" s="177"/>
      <c r="D853" s="178"/>
      <c r="E853" s="177"/>
      <c r="F853" s="179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45"/>
      <c r="V853" s="145"/>
      <c r="W853" s="145"/>
    </row>
    <row r="854" ht="12.75" customHeight="1">
      <c r="A854" s="177"/>
      <c r="B854" s="177"/>
      <c r="C854" s="177"/>
      <c r="D854" s="178"/>
      <c r="E854" s="177"/>
      <c r="F854" s="179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45"/>
      <c r="V854" s="145"/>
      <c r="W854" s="145"/>
    </row>
    <row r="855" ht="12.75" customHeight="1">
      <c r="A855" s="177"/>
      <c r="B855" s="177"/>
      <c r="C855" s="177"/>
      <c r="D855" s="178"/>
      <c r="E855" s="177"/>
      <c r="F855" s="179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45"/>
      <c r="V855" s="145"/>
      <c r="W855" s="145"/>
    </row>
    <row r="856" ht="12.75" customHeight="1">
      <c r="A856" s="177"/>
      <c r="B856" s="177"/>
      <c r="C856" s="177"/>
      <c r="D856" s="178"/>
      <c r="E856" s="177"/>
      <c r="F856" s="179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45"/>
      <c r="V856" s="145"/>
      <c r="W856" s="145"/>
    </row>
    <row r="857" ht="12.75" customHeight="1">
      <c r="A857" s="177"/>
      <c r="B857" s="177"/>
      <c r="C857" s="177"/>
      <c r="D857" s="178"/>
      <c r="E857" s="177"/>
      <c r="F857" s="179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45"/>
      <c r="V857" s="145"/>
      <c r="W857" s="145"/>
    </row>
    <row r="858" ht="12.75" customHeight="1">
      <c r="A858" s="177"/>
      <c r="B858" s="177"/>
      <c r="C858" s="177"/>
      <c r="D858" s="178"/>
      <c r="E858" s="177"/>
      <c r="F858" s="179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45"/>
      <c r="V858" s="145"/>
      <c r="W858" s="145"/>
    </row>
    <row r="859" ht="12.75" customHeight="1">
      <c r="A859" s="177"/>
      <c r="B859" s="177"/>
      <c r="C859" s="177"/>
      <c r="D859" s="178"/>
      <c r="E859" s="177"/>
      <c r="F859" s="179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45"/>
      <c r="V859" s="145"/>
      <c r="W859" s="145"/>
    </row>
    <row r="860" ht="12.75" customHeight="1">
      <c r="A860" s="177"/>
      <c r="B860" s="177"/>
      <c r="C860" s="177"/>
      <c r="D860" s="178"/>
      <c r="E860" s="177"/>
      <c r="F860" s="179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45"/>
      <c r="V860" s="145"/>
      <c r="W860" s="145"/>
    </row>
    <row r="861" ht="12.75" customHeight="1">
      <c r="A861" s="177"/>
      <c r="B861" s="177"/>
      <c r="C861" s="177"/>
      <c r="D861" s="178"/>
      <c r="E861" s="177"/>
      <c r="F861" s="179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45"/>
      <c r="V861" s="145"/>
      <c r="W861" s="145"/>
    </row>
    <row r="862" ht="12.75" customHeight="1">
      <c r="A862" s="177"/>
      <c r="B862" s="177"/>
      <c r="C862" s="177"/>
      <c r="D862" s="178"/>
      <c r="E862" s="177"/>
      <c r="F862" s="179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45"/>
      <c r="V862" s="145"/>
      <c r="W862" s="145"/>
    </row>
    <row r="863" ht="12.75" customHeight="1">
      <c r="A863" s="177"/>
      <c r="B863" s="177"/>
      <c r="C863" s="177"/>
      <c r="D863" s="178"/>
      <c r="E863" s="177"/>
      <c r="F863" s="179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45"/>
      <c r="V863" s="145"/>
      <c r="W863" s="145"/>
    </row>
    <row r="864" ht="12.75" customHeight="1">
      <c r="A864" s="177"/>
      <c r="B864" s="177"/>
      <c r="C864" s="177"/>
      <c r="D864" s="178"/>
      <c r="E864" s="177"/>
      <c r="F864" s="179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45"/>
      <c r="V864" s="145"/>
      <c r="W864" s="145"/>
    </row>
    <row r="865" ht="12.75" customHeight="1">
      <c r="A865" s="177"/>
      <c r="B865" s="177"/>
      <c r="C865" s="177"/>
      <c r="D865" s="178"/>
      <c r="E865" s="177"/>
      <c r="F865" s="179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45"/>
      <c r="V865" s="145"/>
      <c r="W865" s="145"/>
    </row>
    <row r="866" ht="12.75" customHeight="1">
      <c r="A866" s="177"/>
      <c r="B866" s="177"/>
      <c r="C866" s="177"/>
      <c r="D866" s="178"/>
      <c r="E866" s="177"/>
      <c r="F866" s="179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45"/>
      <c r="V866" s="145"/>
      <c r="W866" s="145"/>
    </row>
    <row r="867" ht="12.75" customHeight="1">
      <c r="A867" s="177"/>
      <c r="B867" s="177"/>
      <c r="C867" s="177"/>
      <c r="D867" s="178"/>
      <c r="E867" s="177"/>
      <c r="F867" s="179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45"/>
      <c r="V867" s="145"/>
      <c r="W867" s="145"/>
    </row>
    <row r="868" ht="12.75" customHeight="1">
      <c r="A868" s="177"/>
      <c r="B868" s="177"/>
      <c r="C868" s="177"/>
      <c r="D868" s="178"/>
      <c r="E868" s="177"/>
      <c r="F868" s="179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45"/>
      <c r="V868" s="145"/>
      <c r="W868" s="145"/>
    </row>
    <row r="869" ht="12.75" customHeight="1">
      <c r="A869" s="177"/>
      <c r="B869" s="177"/>
      <c r="C869" s="177"/>
      <c r="D869" s="178"/>
      <c r="E869" s="177"/>
      <c r="F869" s="179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45"/>
      <c r="V869" s="145"/>
      <c r="W869" s="145"/>
    </row>
    <row r="870" ht="12.75" customHeight="1">
      <c r="A870" s="177"/>
      <c r="B870" s="177"/>
      <c r="C870" s="177"/>
      <c r="D870" s="178"/>
      <c r="E870" s="177"/>
      <c r="F870" s="179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45"/>
      <c r="V870" s="145"/>
      <c r="W870" s="145"/>
    </row>
    <row r="871" ht="12.75" customHeight="1">
      <c r="A871" s="177"/>
      <c r="B871" s="177"/>
      <c r="C871" s="177"/>
      <c r="D871" s="178"/>
      <c r="E871" s="177"/>
      <c r="F871" s="179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45"/>
      <c r="V871" s="145"/>
      <c r="W871" s="145"/>
    </row>
    <row r="872" ht="12.75" customHeight="1">
      <c r="A872" s="177"/>
      <c r="B872" s="177"/>
      <c r="C872" s="177"/>
      <c r="D872" s="178"/>
      <c r="E872" s="177"/>
      <c r="F872" s="179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45"/>
      <c r="V872" s="145"/>
      <c r="W872" s="145"/>
    </row>
    <row r="873" ht="12.75" customHeight="1">
      <c r="A873" s="177"/>
      <c r="B873" s="177"/>
      <c r="C873" s="177"/>
      <c r="D873" s="178"/>
      <c r="E873" s="177"/>
      <c r="F873" s="179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45"/>
      <c r="V873" s="145"/>
      <c r="W873" s="145"/>
    </row>
    <row r="874" ht="12.75" customHeight="1">
      <c r="A874" s="177"/>
      <c r="B874" s="177"/>
      <c r="C874" s="177"/>
      <c r="D874" s="178"/>
      <c r="E874" s="177"/>
      <c r="F874" s="179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45"/>
      <c r="V874" s="145"/>
      <c r="W874" s="145"/>
    </row>
    <row r="875" ht="12.75" customHeight="1">
      <c r="A875" s="177"/>
      <c r="B875" s="177"/>
      <c r="C875" s="177"/>
      <c r="D875" s="178"/>
      <c r="E875" s="177"/>
      <c r="F875" s="179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45"/>
      <c r="V875" s="145"/>
      <c r="W875" s="145"/>
    </row>
    <row r="876" ht="12.75" customHeight="1">
      <c r="A876" s="177"/>
      <c r="B876" s="177"/>
      <c r="C876" s="177"/>
      <c r="D876" s="178"/>
      <c r="E876" s="177"/>
      <c r="F876" s="179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45"/>
      <c r="V876" s="145"/>
      <c r="W876" s="145"/>
    </row>
    <row r="877" ht="12.75" customHeight="1">
      <c r="A877" s="177"/>
      <c r="B877" s="177"/>
      <c r="C877" s="177"/>
      <c r="D877" s="178"/>
      <c r="E877" s="177"/>
      <c r="F877" s="179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45"/>
      <c r="V877" s="145"/>
      <c r="W877" s="145"/>
    </row>
    <row r="878" ht="12.75" customHeight="1">
      <c r="A878" s="177"/>
      <c r="B878" s="177"/>
      <c r="C878" s="177"/>
      <c r="D878" s="178"/>
      <c r="E878" s="177"/>
      <c r="F878" s="179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45"/>
      <c r="V878" s="145"/>
      <c r="W878" s="145"/>
    </row>
    <row r="879" ht="12.75" customHeight="1">
      <c r="A879" s="177"/>
      <c r="B879" s="177"/>
      <c r="C879" s="177"/>
      <c r="D879" s="178"/>
      <c r="E879" s="177"/>
      <c r="F879" s="179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45"/>
      <c r="V879" s="145"/>
      <c r="W879" s="145"/>
    </row>
    <row r="880" ht="12.75" customHeight="1">
      <c r="A880" s="177"/>
      <c r="B880" s="177"/>
      <c r="C880" s="177"/>
      <c r="D880" s="178"/>
      <c r="E880" s="177"/>
      <c r="F880" s="179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45"/>
      <c r="V880" s="145"/>
      <c r="W880" s="145"/>
    </row>
    <row r="881" ht="12.75" customHeight="1">
      <c r="A881" s="177"/>
      <c r="B881" s="177"/>
      <c r="C881" s="177"/>
      <c r="D881" s="178"/>
      <c r="E881" s="177"/>
      <c r="F881" s="179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45"/>
      <c r="V881" s="145"/>
      <c r="W881" s="145"/>
    </row>
    <row r="882" ht="12.75" customHeight="1">
      <c r="A882" s="177"/>
      <c r="B882" s="177"/>
      <c r="C882" s="177"/>
      <c r="D882" s="178"/>
      <c r="E882" s="177"/>
      <c r="F882" s="179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45"/>
      <c r="V882" s="145"/>
      <c r="W882" s="145"/>
    </row>
    <row r="883" ht="12.75" customHeight="1">
      <c r="A883" s="177"/>
      <c r="B883" s="177"/>
      <c r="C883" s="177"/>
      <c r="D883" s="178"/>
      <c r="E883" s="177"/>
      <c r="F883" s="179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45"/>
      <c r="V883" s="145"/>
      <c r="W883" s="145"/>
    </row>
    <row r="884" ht="12.75" customHeight="1">
      <c r="A884" s="177"/>
      <c r="B884" s="177"/>
      <c r="C884" s="177"/>
      <c r="D884" s="178"/>
      <c r="E884" s="177"/>
      <c r="F884" s="179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45"/>
      <c r="V884" s="145"/>
      <c r="W884" s="145"/>
    </row>
    <row r="885" ht="12.75" customHeight="1">
      <c r="A885" s="177"/>
      <c r="B885" s="177"/>
      <c r="C885" s="177"/>
      <c r="D885" s="178"/>
      <c r="E885" s="177"/>
      <c r="F885" s="179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45"/>
      <c r="V885" s="145"/>
      <c r="W885" s="145"/>
    </row>
    <row r="886" ht="12.75" customHeight="1">
      <c r="A886" s="177"/>
      <c r="B886" s="177"/>
      <c r="C886" s="177"/>
      <c r="D886" s="178"/>
      <c r="E886" s="177"/>
      <c r="F886" s="179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45"/>
      <c r="V886" s="145"/>
      <c r="W886" s="145"/>
    </row>
    <row r="887" ht="12.75" customHeight="1">
      <c r="A887" s="177"/>
      <c r="B887" s="177"/>
      <c r="C887" s="177"/>
      <c r="D887" s="178"/>
      <c r="E887" s="177"/>
      <c r="F887" s="179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45"/>
      <c r="V887" s="145"/>
      <c r="W887" s="145"/>
    </row>
    <row r="888" ht="12.75" customHeight="1">
      <c r="A888" s="177"/>
      <c r="B888" s="177"/>
      <c r="C888" s="177"/>
      <c r="D888" s="178"/>
      <c r="E888" s="177"/>
      <c r="F888" s="179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45"/>
      <c r="V888" s="145"/>
      <c r="W888" s="145"/>
    </row>
    <row r="889" ht="12.75" customHeight="1">
      <c r="A889" s="177"/>
      <c r="B889" s="177"/>
      <c r="C889" s="177"/>
      <c r="D889" s="178"/>
      <c r="E889" s="177"/>
      <c r="F889" s="179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45"/>
      <c r="V889" s="145"/>
      <c r="W889" s="145"/>
    </row>
    <row r="890" ht="12.75" customHeight="1">
      <c r="A890" s="177"/>
      <c r="B890" s="177"/>
      <c r="C890" s="177"/>
      <c r="D890" s="178"/>
      <c r="E890" s="177"/>
      <c r="F890" s="179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45"/>
      <c r="V890" s="145"/>
      <c r="W890" s="145"/>
    </row>
    <row r="891" ht="12.75" customHeight="1">
      <c r="A891" s="177"/>
      <c r="B891" s="177"/>
      <c r="C891" s="177"/>
      <c r="D891" s="178"/>
      <c r="E891" s="177"/>
      <c r="F891" s="179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45"/>
      <c r="V891" s="145"/>
      <c r="W891" s="145"/>
    </row>
    <row r="892" ht="12.75" customHeight="1">
      <c r="A892" s="177"/>
      <c r="B892" s="177"/>
      <c r="C892" s="177"/>
      <c r="D892" s="178"/>
      <c r="E892" s="177"/>
      <c r="F892" s="179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45"/>
      <c r="V892" s="145"/>
      <c r="W892" s="145"/>
    </row>
    <row r="893" ht="12.75" customHeight="1">
      <c r="A893" s="177"/>
      <c r="B893" s="177"/>
      <c r="C893" s="177"/>
      <c r="D893" s="178"/>
      <c r="E893" s="177"/>
      <c r="F893" s="179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45"/>
      <c r="V893" s="145"/>
      <c r="W893" s="145"/>
    </row>
    <row r="894" ht="12.75" customHeight="1">
      <c r="A894" s="177"/>
      <c r="B894" s="177"/>
      <c r="C894" s="177"/>
      <c r="D894" s="178"/>
      <c r="E894" s="177"/>
      <c r="F894" s="179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45"/>
      <c r="V894" s="145"/>
      <c r="W894" s="145"/>
    </row>
    <row r="895" ht="12.75" customHeight="1">
      <c r="A895" s="177"/>
      <c r="B895" s="177"/>
      <c r="C895" s="177"/>
      <c r="D895" s="178"/>
      <c r="E895" s="177"/>
      <c r="F895" s="179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45"/>
      <c r="V895" s="145"/>
      <c r="W895" s="145"/>
    </row>
    <row r="896" ht="12.75" customHeight="1">
      <c r="A896" s="177"/>
      <c r="B896" s="177"/>
      <c r="C896" s="177"/>
      <c r="D896" s="178"/>
      <c r="E896" s="177"/>
      <c r="F896" s="179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45"/>
      <c r="V896" s="145"/>
      <c r="W896" s="145"/>
    </row>
    <row r="897" ht="12.75" customHeight="1">
      <c r="A897" s="177"/>
      <c r="B897" s="177"/>
      <c r="C897" s="177"/>
      <c r="D897" s="178"/>
      <c r="E897" s="177"/>
      <c r="F897" s="179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45"/>
      <c r="V897" s="145"/>
      <c r="W897" s="145"/>
    </row>
    <row r="898" ht="12.75" customHeight="1">
      <c r="A898" s="177"/>
      <c r="B898" s="177"/>
      <c r="C898" s="177"/>
      <c r="D898" s="178"/>
      <c r="E898" s="177"/>
      <c r="F898" s="179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45"/>
      <c r="V898" s="145"/>
      <c r="W898" s="145"/>
    </row>
    <row r="899" ht="12.75" customHeight="1">
      <c r="A899" s="177"/>
      <c r="B899" s="177"/>
      <c r="C899" s="177"/>
      <c r="D899" s="178"/>
      <c r="E899" s="177"/>
      <c r="F899" s="179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45"/>
      <c r="V899" s="145"/>
      <c r="W899" s="145"/>
    </row>
    <row r="900" ht="12.75" customHeight="1">
      <c r="A900" s="177"/>
      <c r="B900" s="177"/>
      <c r="C900" s="177"/>
      <c r="D900" s="178"/>
      <c r="E900" s="177"/>
      <c r="F900" s="179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45"/>
      <c r="V900" s="145"/>
      <c r="W900" s="145"/>
    </row>
    <row r="901" ht="12.75" customHeight="1">
      <c r="A901" s="177"/>
      <c r="B901" s="177"/>
      <c r="C901" s="177"/>
      <c r="D901" s="178"/>
      <c r="E901" s="177"/>
      <c r="F901" s="179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45"/>
      <c r="V901" s="145"/>
      <c r="W901" s="145"/>
    </row>
    <row r="902" ht="12.75" customHeight="1">
      <c r="A902" s="177"/>
      <c r="B902" s="177"/>
      <c r="C902" s="177"/>
      <c r="D902" s="178"/>
      <c r="E902" s="177"/>
      <c r="F902" s="179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45"/>
      <c r="V902" s="145"/>
      <c r="W902" s="145"/>
    </row>
    <row r="903" ht="12.75" customHeight="1">
      <c r="A903" s="177"/>
      <c r="B903" s="177"/>
      <c r="C903" s="177"/>
      <c r="D903" s="178"/>
      <c r="E903" s="177"/>
      <c r="F903" s="179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45"/>
      <c r="V903" s="145"/>
      <c r="W903" s="145"/>
    </row>
    <row r="904" ht="12.75" customHeight="1">
      <c r="A904" s="177"/>
      <c r="B904" s="177"/>
      <c r="C904" s="177"/>
      <c r="D904" s="178"/>
      <c r="E904" s="177"/>
      <c r="F904" s="179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45"/>
      <c r="V904" s="145"/>
      <c r="W904" s="145"/>
    </row>
    <row r="905" ht="12.75" customHeight="1">
      <c r="A905" s="177"/>
      <c r="B905" s="177"/>
      <c r="C905" s="177"/>
      <c r="D905" s="178"/>
      <c r="E905" s="177"/>
      <c r="F905" s="179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45"/>
      <c r="V905" s="145"/>
      <c r="W905" s="145"/>
    </row>
    <row r="906" ht="12.75" customHeight="1">
      <c r="A906" s="177"/>
      <c r="B906" s="177"/>
      <c r="C906" s="177"/>
      <c r="D906" s="178"/>
      <c r="E906" s="177"/>
      <c r="F906" s="179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45"/>
      <c r="V906" s="145"/>
      <c r="W906" s="145"/>
    </row>
    <row r="907" ht="12.75" customHeight="1">
      <c r="A907" s="177"/>
      <c r="B907" s="177"/>
      <c r="C907" s="177"/>
      <c r="D907" s="178"/>
      <c r="E907" s="177"/>
      <c r="F907" s="179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45"/>
      <c r="V907" s="145"/>
      <c r="W907" s="145"/>
    </row>
    <row r="908" ht="12.75" customHeight="1">
      <c r="A908" s="177"/>
      <c r="B908" s="177"/>
      <c r="C908" s="177"/>
      <c r="D908" s="178"/>
      <c r="E908" s="177"/>
      <c r="F908" s="179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45"/>
      <c r="V908" s="145"/>
      <c r="W908" s="145"/>
    </row>
    <row r="909" ht="12.75" customHeight="1">
      <c r="A909" s="177"/>
      <c r="B909" s="177"/>
      <c r="C909" s="177"/>
      <c r="D909" s="178"/>
      <c r="E909" s="177"/>
      <c r="F909" s="179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45"/>
      <c r="V909" s="145"/>
      <c r="W909" s="145"/>
    </row>
    <row r="910" ht="12.75" customHeight="1">
      <c r="A910" s="177"/>
      <c r="B910" s="177"/>
      <c r="C910" s="177"/>
      <c r="D910" s="178"/>
      <c r="E910" s="177"/>
      <c r="F910" s="179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45"/>
      <c r="V910" s="145"/>
      <c r="W910" s="145"/>
    </row>
    <row r="911" ht="12.75" customHeight="1">
      <c r="A911" s="177"/>
      <c r="B911" s="177"/>
      <c r="C911" s="177"/>
      <c r="D911" s="178"/>
      <c r="E911" s="177"/>
      <c r="F911" s="179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45"/>
      <c r="V911" s="145"/>
      <c r="W911" s="145"/>
    </row>
    <row r="912" ht="12.75" customHeight="1">
      <c r="A912" s="177"/>
      <c r="B912" s="177"/>
      <c r="C912" s="177"/>
      <c r="D912" s="178"/>
      <c r="E912" s="177"/>
      <c r="F912" s="179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45"/>
      <c r="V912" s="145"/>
      <c r="W912" s="145"/>
    </row>
    <row r="913" ht="12.75" customHeight="1">
      <c r="A913" s="177"/>
      <c r="B913" s="177"/>
      <c r="C913" s="177"/>
      <c r="D913" s="178"/>
      <c r="E913" s="177"/>
      <c r="F913" s="179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45"/>
      <c r="V913" s="145"/>
      <c r="W913" s="145"/>
    </row>
    <row r="914" ht="12.75" customHeight="1">
      <c r="A914" s="177"/>
      <c r="B914" s="177"/>
      <c r="C914" s="177"/>
      <c r="D914" s="178"/>
      <c r="E914" s="177"/>
      <c r="F914" s="179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45"/>
      <c r="V914" s="145"/>
      <c r="W914" s="145"/>
    </row>
    <row r="915" ht="12.75" customHeight="1">
      <c r="A915" s="177"/>
      <c r="B915" s="177"/>
      <c r="C915" s="177"/>
      <c r="D915" s="178"/>
      <c r="E915" s="177"/>
      <c r="F915" s="179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45"/>
      <c r="V915" s="145"/>
      <c r="W915" s="145"/>
    </row>
    <row r="916" ht="12.75" customHeight="1">
      <c r="A916" s="177"/>
      <c r="B916" s="177"/>
      <c r="C916" s="177"/>
      <c r="D916" s="178"/>
      <c r="E916" s="177"/>
      <c r="F916" s="179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45"/>
      <c r="V916" s="145"/>
      <c r="W916" s="145"/>
    </row>
    <row r="917" ht="12.75" customHeight="1">
      <c r="A917" s="177"/>
      <c r="B917" s="177"/>
      <c r="C917" s="177"/>
      <c r="D917" s="178"/>
      <c r="E917" s="177"/>
      <c r="F917" s="179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45"/>
      <c r="V917" s="145"/>
      <c r="W917" s="145"/>
    </row>
    <row r="918" ht="12.75" customHeight="1">
      <c r="A918" s="177"/>
      <c r="B918" s="177"/>
      <c r="C918" s="177"/>
      <c r="D918" s="178"/>
      <c r="E918" s="177"/>
      <c r="F918" s="179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45"/>
      <c r="V918" s="145"/>
      <c r="W918" s="145"/>
    </row>
    <row r="919" ht="12.75" customHeight="1">
      <c r="A919" s="177"/>
      <c r="B919" s="177"/>
      <c r="C919" s="177"/>
      <c r="D919" s="178"/>
      <c r="E919" s="177"/>
      <c r="F919" s="179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45"/>
      <c r="V919" s="145"/>
      <c r="W919" s="145"/>
    </row>
    <row r="920" ht="12.75" customHeight="1">
      <c r="A920" s="177"/>
      <c r="B920" s="177"/>
      <c r="C920" s="177"/>
      <c r="D920" s="178"/>
      <c r="E920" s="177"/>
      <c r="F920" s="179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45"/>
      <c r="V920" s="145"/>
      <c r="W920" s="145"/>
    </row>
    <row r="921" ht="12.75" customHeight="1">
      <c r="A921" s="177"/>
      <c r="B921" s="177"/>
      <c r="C921" s="177"/>
      <c r="D921" s="178"/>
      <c r="E921" s="177"/>
      <c r="F921" s="179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45"/>
      <c r="V921" s="145"/>
      <c r="W921" s="145"/>
    </row>
    <row r="922" ht="12.75" customHeight="1">
      <c r="A922" s="177"/>
      <c r="B922" s="177"/>
      <c r="C922" s="177"/>
      <c r="D922" s="178"/>
      <c r="E922" s="177"/>
      <c r="F922" s="179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45"/>
      <c r="V922" s="145"/>
      <c r="W922" s="145"/>
    </row>
    <row r="923" ht="12.75" customHeight="1">
      <c r="A923" s="177"/>
      <c r="B923" s="177"/>
      <c r="C923" s="177"/>
      <c r="D923" s="178"/>
      <c r="E923" s="177"/>
      <c r="F923" s="179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45"/>
      <c r="V923" s="145"/>
      <c r="W923" s="145"/>
    </row>
    <row r="924" ht="12.75" customHeight="1">
      <c r="A924" s="177"/>
      <c r="B924" s="177"/>
      <c r="C924" s="177"/>
      <c r="D924" s="178"/>
      <c r="E924" s="177"/>
      <c r="F924" s="179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45"/>
      <c r="V924" s="145"/>
      <c r="W924" s="145"/>
    </row>
    <row r="925" ht="12.75" customHeight="1">
      <c r="A925" s="177"/>
      <c r="B925" s="177"/>
      <c r="C925" s="177"/>
      <c r="D925" s="178"/>
      <c r="E925" s="177"/>
      <c r="F925" s="179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45"/>
      <c r="V925" s="145"/>
      <c r="W925" s="145"/>
    </row>
    <row r="926" ht="12.75" customHeight="1">
      <c r="A926" s="177"/>
      <c r="B926" s="177"/>
      <c r="C926" s="177"/>
      <c r="D926" s="178"/>
      <c r="E926" s="177"/>
      <c r="F926" s="179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45"/>
      <c r="V926" s="145"/>
      <c r="W926" s="145"/>
    </row>
    <row r="927" ht="12.75" customHeight="1">
      <c r="A927" s="177"/>
      <c r="B927" s="177"/>
      <c r="C927" s="177"/>
      <c r="D927" s="178"/>
      <c r="E927" s="177"/>
      <c r="F927" s="179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45"/>
      <c r="V927" s="145"/>
      <c r="W927" s="145"/>
    </row>
    <row r="928" ht="12.75" customHeight="1">
      <c r="A928" s="177"/>
      <c r="B928" s="177"/>
      <c r="C928" s="177"/>
      <c r="D928" s="178"/>
      <c r="E928" s="177"/>
      <c r="F928" s="179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45"/>
      <c r="V928" s="145"/>
      <c r="W928" s="145"/>
    </row>
    <row r="929" ht="12.75" customHeight="1">
      <c r="A929" s="177"/>
      <c r="B929" s="177"/>
      <c r="C929" s="177"/>
      <c r="D929" s="178"/>
      <c r="E929" s="177"/>
      <c r="F929" s="179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45"/>
      <c r="V929" s="145"/>
      <c r="W929" s="145"/>
    </row>
    <row r="930" ht="12.75" customHeight="1">
      <c r="A930" s="177"/>
      <c r="B930" s="177"/>
      <c r="C930" s="177"/>
      <c r="D930" s="178"/>
      <c r="E930" s="177"/>
      <c r="F930" s="179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45"/>
      <c r="V930" s="145"/>
      <c r="W930" s="145"/>
    </row>
    <row r="931" ht="12.75" customHeight="1">
      <c r="A931" s="177"/>
      <c r="B931" s="177"/>
      <c r="C931" s="177"/>
      <c r="D931" s="178"/>
      <c r="E931" s="177"/>
      <c r="F931" s="179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45"/>
      <c r="V931" s="145"/>
      <c r="W931" s="145"/>
    </row>
    <row r="932" ht="12.75" customHeight="1">
      <c r="A932" s="177"/>
      <c r="B932" s="177"/>
      <c r="C932" s="177"/>
      <c r="D932" s="178"/>
      <c r="E932" s="177"/>
      <c r="F932" s="179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45"/>
      <c r="V932" s="145"/>
      <c r="W932" s="145"/>
    </row>
    <row r="933" ht="12.75" customHeight="1">
      <c r="A933" s="177"/>
      <c r="B933" s="177"/>
      <c r="C933" s="177"/>
      <c r="D933" s="178"/>
      <c r="E933" s="177"/>
      <c r="F933" s="179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45"/>
      <c r="V933" s="145"/>
      <c r="W933" s="145"/>
    </row>
    <row r="934" ht="12.75" customHeight="1">
      <c r="A934" s="177"/>
      <c r="B934" s="177"/>
      <c r="C934" s="177"/>
      <c r="D934" s="178"/>
      <c r="E934" s="177"/>
      <c r="F934" s="179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45"/>
      <c r="V934" s="145"/>
      <c r="W934" s="145"/>
    </row>
    <row r="935" ht="12.75" customHeight="1">
      <c r="A935" s="177"/>
      <c r="B935" s="177"/>
      <c r="C935" s="177"/>
      <c r="D935" s="178"/>
      <c r="E935" s="177"/>
      <c r="F935" s="179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45"/>
      <c r="V935" s="145"/>
      <c r="W935" s="145"/>
    </row>
    <row r="936" ht="12.75" customHeight="1">
      <c r="A936" s="177"/>
      <c r="B936" s="177"/>
      <c r="C936" s="177"/>
      <c r="D936" s="178"/>
      <c r="E936" s="177"/>
      <c r="F936" s="179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45"/>
      <c r="V936" s="145"/>
      <c r="W936" s="145"/>
    </row>
    <row r="937" ht="12.75" customHeight="1">
      <c r="A937" s="177"/>
      <c r="B937" s="177"/>
      <c r="C937" s="177"/>
      <c r="D937" s="178"/>
      <c r="E937" s="177"/>
      <c r="F937" s="179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45"/>
      <c r="V937" s="145"/>
      <c r="W937" s="145"/>
    </row>
    <row r="938" ht="12.75" customHeight="1">
      <c r="A938" s="177"/>
      <c r="B938" s="177"/>
      <c r="C938" s="177"/>
      <c r="D938" s="178"/>
      <c r="E938" s="177"/>
      <c r="F938" s="179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45"/>
      <c r="V938" s="145"/>
      <c r="W938" s="145"/>
    </row>
    <row r="939" ht="12.75" customHeight="1">
      <c r="A939" s="177"/>
      <c r="B939" s="177"/>
      <c r="C939" s="177"/>
      <c r="D939" s="178"/>
      <c r="E939" s="177"/>
      <c r="F939" s="179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45"/>
      <c r="V939" s="145"/>
      <c r="W939" s="145"/>
    </row>
    <row r="940" ht="12.75" customHeight="1">
      <c r="A940" s="177"/>
      <c r="B940" s="177"/>
      <c r="C940" s="177"/>
      <c r="D940" s="178"/>
      <c r="E940" s="177"/>
      <c r="F940" s="179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45"/>
      <c r="V940" s="145"/>
      <c r="W940" s="145"/>
    </row>
    <row r="941" ht="12.75" customHeight="1">
      <c r="A941" s="177"/>
      <c r="B941" s="177"/>
      <c r="C941" s="177"/>
      <c r="D941" s="178"/>
      <c r="E941" s="177"/>
      <c r="F941" s="179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45"/>
      <c r="V941" s="145"/>
      <c r="W941" s="145"/>
    </row>
    <row r="942" ht="12.75" customHeight="1">
      <c r="A942" s="177"/>
      <c r="B942" s="177"/>
      <c r="C942" s="177"/>
      <c r="D942" s="178"/>
      <c r="E942" s="177"/>
      <c r="F942" s="179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45"/>
      <c r="V942" s="145"/>
      <c r="W942" s="145"/>
    </row>
    <row r="943" ht="12.75" customHeight="1">
      <c r="A943" s="177"/>
      <c r="B943" s="177"/>
      <c r="C943" s="177"/>
      <c r="D943" s="178"/>
      <c r="E943" s="177"/>
      <c r="F943" s="179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45"/>
      <c r="V943" s="145"/>
      <c r="W943" s="145"/>
    </row>
    <row r="944" ht="12.75" customHeight="1">
      <c r="A944" s="177"/>
      <c r="B944" s="177"/>
      <c r="C944" s="177"/>
      <c r="D944" s="178"/>
      <c r="E944" s="177"/>
      <c r="F944" s="179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45"/>
      <c r="V944" s="145"/>
      <c r="W944" s="145"/>
    </row>
    <row r="945" ht="12.75" customHeight="1">
      <c r="A945" s="177"/>
      <c r="B945" s="177"/>
      <c r="C945" s="177"/>
      <c r="D945" s="178"/>
      <c r="E945" s="177"/>
      <c r="F945" s="179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45"/>
      <c r="V945" s="145"/>
      <c r="W945" s="145"/>
    </row>
    <row r="946" ht="12.75" customHeight="1">
      <c r="A946" s="177"/>
      <c r="B946" s="177"/>
      <c r="C946" s="177"/>
      <c r="D946" s="178"/>
      <c r="E946" s="177"/>
      <c r="F946" s="179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45"/>
      <c r="V946" s="145"/>
      <c r="W946" s="145"/>
    </row>
    <row r="947" ht="12.75" customHeight="1">
      <c r="A947" s="177"/>
      <c r="B947" s="177"/>
      <c r="C947" s="177"/>
      <c r="D947" s="178"/>
      <c r="E947" s="177"/>
      <c r="F947" s="179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45"/>
      <c r="V947" s="145"/>
      <c r="W947" s="145"/>
    </row>
    <row r="948" ht="12.75" customHeight="1">
      <c r="A948" s="177"/>
      <c r="B948" s="177"/>
      <c r="C948" s="177"/>
      <c r="D948" s="178"/>
      <c r="E948" s="177"/>
      <c r="F948" s="179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45"/>
      <c r="V948" s="145"/>
      <c r="W948" s="145"/>
    </row>
    <row r="949" ht="12.75" customHeight="1">
      <c r="A949" s="177"/>
      <c r="B949" s="177"/>
      <c r="C949" s="177"/>
      <c r="D949" s="178"/>
      <c r="E949" s="177"/>
      <c r="F949" s="179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45"/>
      <c r="V949" s="145"/>
      <c r="W949" s="145"/>
    </row>
    <row r="950" ht="12.75" customHeight="1">
      <c r="A950" s="177"/>
      <c r="B950" s="177"/>
      <c r="C950" s="177"/>
      <c r="D950" s="178"/>
      <c r="E950" s="177"/>
      <c r="F950" s="179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45"/>
      <c r="V950" s="145"/>
      <c r="W950" s="145"/>
    </row>
    <row r="951" ht="12.75" customHeight="1">
      <c r="A951" s="177"/>
      <c r="B951" s="177"/>
      <c r="C951" s="177"/>
      <c r="D951" s="178"/>
      <c r="E951" s="177"/>
      <c r="F951" s="179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45"/>
      <c r="V951" s="145"/>
      <c r="W951" s="145"/>
    </row>
    <row r="952" ht="12.75" customHeight="1">
      <c r="A952" s="177"/>
      <c r="B952" s="177"/>
      <c r="C952" s="177"/>
      <c r="D952" s="178"/>
      <c r="E952" s="177"/>
      <c r="F952" s="179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45"/>
      <c r="V952" s="145"/>
      <c r="W952" s="145"/>
    </row>
    <row r="953" ht="12.75" customHeight="1">
      <c r="A953" s="177"/>
      <c r="B953" s="177"/>
      <c r="C953" s="177"/>
      <c r="D953" s="178"/>
      <c r="E953" s="177"/>
      <c r="F953" s="179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45"/>
      <c r="V953" s="145"/>
      <c r="W953" s="145"/>
    </row>
    <row r="954" ht="12.75" customHeight="1">
      <c r="A954" s="177"/>
      <c r="B954" s="177"/>
      <c r="C954" s="177"/>
      <c r="D954" s="178"/>
      <c r="E954" s="177"/>
      <c r="F954" s="179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45"/>
      <c r="V954" s="145"/>
      <c r="W954" s="145"/>
    </row>
    <row r="955" ht="12.75" customHeight="1">
      <c r="A955" s="177"/>
      <c r="B955" s="177"/>
      <c r="C955" s="177"/>
      <c r="D955" s="178"/>
      <c r="E955" s="177"/>
      <c r="F955" s="179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45"/>
      <c r="V955" s="145"/>
      <c r="W955" s="145"/>
    </row>
    <row r="956" ht="12.75" customHeight="1">
      <c r="A956" s="177"/>
      <c r="B956" s="177"/>
      <c r="C956" s="177"/>
      <c r="D956" s="178"/>
      <c r="E956" s="177"/>
      <c r="F956" s="179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45"/>
      <c r="V956" s="145"/>
      <c r="W956" s="145"/>
    </row>
    <row r="957" ht="12.75" customHeight="1">
      <c r="A957" s="177"/>
      <c r="B957" s="177"/>
      <c r="C957" s="177"/>
      <c r="D957" s="178"/>
      <c r="E957" s="177"/>
      <c r="F957" s="179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45"/>
      <c r="V957" s="145"/>
      <c r="W957" s="145"/>
    </row>
    <row r="958" ht="12.75" customHeight="1">
      <c r="A958" s="177"/>
      <c r="B958" s="177"/>
      <c r="C958" s="177"/>
      <c r="D958" s="178"/>
      <c r="E958" s="177"/>
      <c r="F958" s="179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45"/>
      <c r="V958" s="145"/>
      <c r="W958" s="145"/>
    </row>
    <row r="959" ht="12.75" customHeight="1">
      <c r="A959" s="177"/>
      <c r="B959" s="177"/>
      <c r="C959" s="177"/>
      <c r="D959" s="178"/>
      <c r="E959" s="177"/>
      <c r="F959" s="179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45"/>
      <c r="V959" s="145"/>
      <c r="W959" s="145"/>
    </row>
    <row r="960" ht="12.75" customHeight="1">
      <c r="A960" s="177"/>
      <c r="B960" s="177"/>
      <c r="C960" s="177"/>
      <c r="D960" s="178"/>
      <c r="E960" s="177"/>
      <c r="F960" s="179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45"/>
      <c r="V960" s="145"/>
      <c r="W960" s="145"/>
    </row>
    <row r="961" ht="12.75" customHeight="1">
      <c r="A961" s="177"/>
      <c r="B961" s="177"/>
      <c r="C961" s="177"/>
      <c r="D961" s="178"/>
      <c r="E961" s="177"/>
      <c r="F961" s="179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45"/>
      <c r="V961" s="145"/>
      <c r="W961" s="145"/>
    </row>
    <row r="962" ht="12.75" customHeight="1">
      <c r="A962" s="177"/>
      <c r="B962" s="177"/>
      <c r="C962" s="177"/>
      <c r="D962" s="178"/>
      <c r="E962" s="177"/>
      <c r="F962" s="179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45"/>
      <c r="V962" s="145"/>
      <c r="W962" s="145"/>
    </row>
    <row r="963" ht="12.75" customHeight="1">
      <c r="A963" s="177"/>
      <c r="B963" s="177"/>
      <c r="C963" s="177"/>
      <c r="D963" s="178"/>
      <c r="E963" s="177"/>
      <c r="F963" s="179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45"/>
      <c r="V963" s="145"/>
      <c r="W963" s="145"/>
    </row>
    <row r="964" ht="12.75" customHeight="1">
      <c r="A964" s="177"/>
      <c r="B964" s="177"/>
      <c r="C964" s="177"/>
      <c r="D964" s="178"/>
      <c r="E964" s="177"/>
      <c r="F964" s="179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45"/>
      <c r="V964" s="145"/>
      <c r="W964" s="145"/>
    </row>
    <row r="965" ht="12.75" customHeight="1">
      <c r="A965" s="177"/>
      <c r="B965" s="177"/>
      <c r="C965" s="177"/>
      <c r="D965" s="178"/>
      <c r="E965" s="177"/>
      <c r="F965" s="179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45"/>
      <c r="V965" s="145"/>
      <c r="W965" s="145"/>
    </row>
    <row r="966" ht="12.75" customHeight="1">
      <c r="A966" s="177"/>
      <c r="B966" s="177"/>
      <c r="C966" s="177"/>
      <c r="D966" s="178"/>
      <c r="E966" s="177"/>
      <c r="F966" s="179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45"/>
      <c r="V966" s="145"/>
      <c r="W966" s="145"/>
    </row>
    <row r="967" ht="12.75" customHeight="1">
      <c r="A967" s="177"/>
      <c r="B967" s="177"/>
      <c r="C967" s="177"/>
      <c r="D967" s="178"/>
      <c r="E967" s="177"/>
      <c r="F967" s="179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45"/>
      <c r="V967" s="145"/>
      <c r="W967" s="145"/>
    </row>
    <row r="968" ht="12.75" customHeight="1">
      <c r="A968" s="177"/>
      <c r="B968" s="177"/>
      <c r="C968" s="177"/>
      <c r="D968" s="178"/>
      <c r="E968" s="177"/>
      <c r="F968" s="179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45"/>
      <c r="V968" s="145"/>
      <c r="W968" s="145"/>
    </row>
    <row r="969" ht="12.75" customHeight="1">
      <c r="A969" s="177"/>
      <c r="B969" s="177"/>
      <c r="C969" s="177"/>
      <c r="D969" s="178"/>
      <c r="E969" s="177"/>
      <c r="F969" s="179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45"/>
      <c r="V969" s="145"/>
      <c r="W969" s="145"/>
    </row>
    <row r="970" ht="12.75" customHeight="1">
      <c r="A970" s="177"/>
      <c r="B970" s="177"/>
      <c r="C970" s="177"/>
      <c r="D970" s="178"/>
      <c r="E970" s="177"/>
      <c r="F970" s="179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45"/>
      <c r="V970" s="145"/>
      <c r="W970" s="145"/>
    </row>
    <row r="971" ht="12.75" customHeight="1">
      <c r="A971" s="177"/>
      <c r="B971" s="177"/>
      <c r="C971" s="177"/>
      <c r="D971" s="178"/>
      <c r="E971" s="177"/>
      <c r="F971" s="179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45"/>
      <c r="V971" s="145"/>
      <c r="W971" s="145"/>
    </row>
    <row r="972" ht="12.75" customHeight="1">
      <c r="A972" s="177"/>
      <c r="B972" s="177"/>
      <c r="C972" s="177"/>
      <c r="D972" s="178"/>
      <c r="E972" s="177"/>
      <c r="F972" s="179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45"/>
      <c r="V972" s="145"/>
      <c r="W972" s="145"/>
    </row>
    <row r="973" ht="12.75" customHeight="1">
      <c r="A973" s="177"/>
      <c r="B973" s="177"/>
      <c r="C973" s="177"/>
      <c r="D973" s="178"/>
      <c r="E973" s="177"/>
      <c r="F973" s="179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45"/>
      <c r="V973" s="145"/>
      <c r="W973" s="145"/>
    </row>
    <row r="974" ht="12.75" customHeight="1">
      <c r="A974" s="177"/>
      <c r="B974" s="177"/>
      <c r="C974" s="177"/>
      <c r="D974" s="178"/>
      <c r="E974" s="177"/>
      <c r="F974" s="179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45"/>
      <c r="V974" s="145"/>
      <c r="W974" s="145"/>
    </row>
    <row r="975" ht="12.75" customHeight="1">
      <c r="A975" s="177"/>
      <c r="B975" s="177"/>
      <c r="C975" s="177"/>
      <c r="D975" s="178"/>
      <c r="E975" s="177"/>
      <c r="F975" s="179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45"/>
      <c r="V975" s="145"/>
      <c r="W975" s="145"/>
    </row>
    <row r="976" ht="12.75" customHeight="1">
      <c r="A976" s="177"/>
      <c r="B976" s="177"/>
      <c r="C976" s="177"/>
      <c r="D976" s="178"/>
      <c r="E976" s="177"/>
      <c r="F976" s="179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45"/>
      <c r="V976" s="145"/>
      <c r="W976" s="145"/>
    </row>
    <row r="977" ht="12.75" customHeight="1">
      <c r="A977" s="177"/>
      <c r="B977" s="177"/>
      <c r="C977" s="177"/>
      <c r="D977" s="178"/>
      <c r="E977" s="177"/>
      <c r="F977" s="179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45"/>
      <c r="V977" s="145"/>
      <c r="W977" s="145"/>
    </row>
    <row r="978" ht="12.75" customHeight="1">
      <c r="A978" s="177"/>
      <c r="B978" s="177"/>
      <c r="C978" s="177"/>
      <c r="D978" s="178"/>
      <c r="E978" s="177"/>
      <c r="F978" s="179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45"/>
      <c r="V978" s="145"/>
      <c r="W978" s="145"/>
    </row>
    <row r="979" ht="12.75" customHeight="1">
      <c r="A979" s="177"/>
      <c r="B979" s="177"/>
      <c r="C979" s="177"/>
      <c r="D979" s="178"/>
      <c r="E979" s="177"/>
      <c r="F979" s="179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45"/>
      <c r="V979" s="145"/>
      <c r="W979" s="145"/>
    </row>
    <row r="980" ht="12.75" customHeight="1">
      <c r="A980" s="177"/>
      <c r="B980" s="177"/>
      <c r="C980" s="177"/>
      <c r="D980" s="178"/>
      <c r="E980" s="177"/>
      <c r="F980" s="179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45"/>
      <c r="V980" s="145"/>
      <c r="W980" s="145"/>
    </row>
    <row r="981" ht="12.75" customHeight="1">
      <c r="A981" s="177"/>
      <c r="B981" s="177"/>
      <c r="C981" s="177"/>
      <c r="D981" s="178"/>
      <c r="E981" s="177"/>
      <c r="F981" s="179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45"/>
      <c r="V981" s="145"/>
      <c r="W981" s="145"/>
    </row>
    <row r="982" ht="12.75" customHeight="1">
      <c r="A982" s="177"/>
      <c r="B982" s="177"/>
      <c r="C982" s="177"/>
      <c r="D982" s="178"/>
      <c r="E982" s="177"/>
      <c r="F982" s="179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45"/>
      <c r="V982" s="145"/>
      <c r="W982" s="145"/>
    </row>
    <row r="983" ht="12.75" customHeight="1">
      <c r="A983" s="177"/>
      <c r="B983" s="177"/>
      <c r="C983" s="177"/>
      <c r="D983" s="178"/>
      <c r="E983" s="177"/>
      <c r="F983" s="179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45"/>
      <c r="V983" s="145"/>
      <c r="W983" s="145"/>
    </row>
    <row r="984" ht="12.75" customHeight="1">
      <c r="A984" s="177"/>
      <c r="B984" s="177"/>
      <c r="C984" s="177"/>
      <c r="D984" s="178"/>
      <c r="E984" s="177"/>
      <c r="F984" s="179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45"/>
      <c r="V984" s="145"/>
      <c r="W984" s="145"/>
    </row>
    <row r="985" ht="12.75" customHeight="1">
      <c r="A985" s="177"/>
      <c r="B985" s="177"/>
      <c r="C985" s="177"/>
      <c r="D985" s="178"/>
      <c r="E985" s="177"/>
      <c r="F985" s="179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45"/>
      <c r="V985" s="145"/>
      <c r="W985" s="145"/>
    </row>
    <row r="986" ht="12.75" customHeight="1">
      <c r="A986" s="177"/>
      <c r="B986" s="177"/>
      <c r="C986" s="177"/>
      <c r="D986" s="178"/>
      <c r="E986" s="177"/>
      <c r="F986" s="179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45"/>
      <c r="V986" s="145"/>
      <c r="W986" s="145"/>
    </row>
    <row r="987" ht="12.75" customHeight="1">
      <c r="A987" s="177"/>
      <c r="B987" s="177"/>
      <c r="C987" s="177"/>
      <c r="D987" s="178"/>
      <c r="E987" s="177"/>
      <c r="F987" s="179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45"/>
      <c r="V987" s="145"/>
      <c r="W987" s="145"/>
    </row>
    <row r="988" ht="12.75" customHeight="1">
      <c r="A988" s="177"/>
      <c r="B988" s="177"/>
      <c r="C988" s="177"/>
      <c r="D988" s="178"/>
      <c r="E988" s="177"/>
      <c r="F988" s="179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45"/>
      <c r="V988" s="145"/>
      <c r="W988" s="145"/>
    </row>
    <row r="989" ht="12.75" customHeight="1">
      <c r="A989" s="177"/>
      <c r="B989" s="177"/>
      <c r="C989" s="177"/>
      <c r="D989" s="178"/>
      <c r="E989" s="177"/>
      <c r="F989" s="179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45"/>
      <c r="V989" s="145"/>
      <c r="W989" s="145"/>
    </row>
    <row r="990" ht="12.75" customHeight="1">
      <c r="A990" s="177"/>
      <c r="B990" s="177"/>
      <c r="C990" s="177"/>
      <c r="D990" s="178"/>
      <c r="E990" s="177"/>
      <c r="F990" s="179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45"/>
      <c r="V990" s="145"/>
      <c r="W990" s="145"/>
    </row>
    <row r="991" ht="12.75" customHeight="1">
      <c r="A991" s="177"/>
      <c r="B991" s="177"/>
      <c r="C991" s="177"/>
      <c r="D991" s="178"/>
      <c r="E991" s="177"/>
      <c r="F991" s="179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45"/>
      <c r="V991" s="145"/>
      <c r="W991" s="145"/>
    </row>
    <row r="992" ht="12.75" customHeight="1">
      <c r="A992" s="177"/>
      <c r="B992" s="177"/>
      <c r="C992" s="177"/>
      <c r="D992" s="178"/>
      <c r="E992" s="177"/>
      <c r="F992" s="179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45"/>
      <c r="V992" s="145"/>
      <c r="W992" s="145"/>
    </row>
    <row r="993" ht="12.75" customHeight="1">
      <c r="A993" s="177"/>
      <c r="B993" s="177"/>
      <c r="C993" s="177"/>
      <c r="D993" s="178"/>
      <c r="E993" s="177"/>
      <c r="F993" s="179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45"/>
      <c r="V993" s="145"/>
      <c r="W993" s="145"/>
    </row>
    <row r="994" ht="12.75" customHeight="1">
      <c r="A994" s="177"/>
      <c r="B994" s="177"/>
      <c r="C994" s="177"/>
      <c r="D994" s="178"/>
      <c r="E994" s="177"/>
      <c r="F994" s="179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45"/>
      <c r="V994" s="145"/>
      <c r="W994" s="145"/>
    </row>
    <row r="995" ht="12.75" customHeight="1">
      <c r="A995" s="177"/>
      <c r="B995" s="177"/>
      <c r="C995" s="177"/>
      <c r="D995" s="178"/>
      <c r="E995" s="177"/>
      <c r="F995" s="179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45"/>
      <c r="V995" s="145"/>
      <c r="W995" s="145"/>
    </row>
    <row r="996" ht="12.75" customHeight="1">
      <c r="A996" s="177"/>
      <c r="B996" s="177"/>
      <c r="C996" s="177"/>
      <c r="D996" s="178"/>
      <c r="E996" s="177"/>
      <c r="F996" s="179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45"/>
      <c r="V996" s="145"/>
      <c r="W996" s="145"/>
    </row>
    <row r="997" ht="12.75" customHeight="1">
      <c r="A997" s="177"/>
      <c r="B997" s="177"/>
      <c r="C997" s="177"/>
      <c r="D997" s="178"/>
      <c r="E997" s="177"/>
      <c r="F997" s="179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45"/>
      <c r="V997" s="145"/>
      <c r="W997" s="145"/>
    </row>
    <row r="998" ht="12.75" customHeight="1">
      <c r="A998" s="177"/>
      <c r="B998" s="177"/>
      <c r="C998" s="177"/>
      <c r="D998" s="178"/>
      <c r="E998" s="177"/>
      <c r="F998" s="179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45"/>
      <c r="V998" s="145"/>
      <c r="W998" s="145"/>
    </row>
    <row r="999" ht="12.75" customHeight="1">
      <c r="A999" s="177"/>
      <c r="B999" s="177"/>
      <c r="C999" s="177"/>
      <c r="D999" s="178"/>
      <c r="E999" s="177"/>
      <c r="F999" s="179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45"/>
      <c r="V999" s="145"/>
      <c r="W999" s="145"/>
    </row>
    <row r="1000" ht="12.75" customHeight="1">
      <c r="A1000" s="177"/>
      <c r="B1000" s="177"/>
      <c r="C1000" s="177"/>
      <c r="D1000" s="178"/>
      <c r="E1000" s="177"/>
      <c r="F1000" s="179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45"/>
      <c r="V1000" s="145"/>
      <c r="W1000" s="145"/>
    </row>
    <row r="1001" ht="12.75" customHeight="1">
      <c r="A1001" s="177"/>
      <c r="B1001" s="177"/>
      <c r="C1001" s="177"/>
      <c r="D1001" s="178"/>
      <c r="E1001" s="177"/>
      <c r="F1001" s="179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45"/>
      <c r="V1001" s="145"/>
      <c r="W1001" s="145"/>
    </row>
    <row r="1002" ht="12.75" customHeight="1">
      <c r="A1002" s="177"/>
      <c r="B1002" s="177"/>
      <c r="C1002" s="177"/>
      <c r="D1002" s="178"/>
      <c r="E1002" s="177"/>
      <c r="F1002" s="179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45"/>
      <c r="V1002" s="145"/>
      <c r="W1002" s="145"/>
    </row>
    <row r="1003" ht="12.75" customHeight="1">
      <c r="A1003" s="177"/>
      <c r="B1003" s="177"/>
      <c r="C1003" s="177"/>
      <c r="D1003" s="178"/>
      <c r="E1003" s="177"/>
      <c r="F1003" s="179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45"/>
      <c r="V1003" s="145"/>
      <c r="W1003" s="145"/>
    </row>
    <row r="1004" ht="12.75" customHeight="1">
      <c r="A1004" s="177"/>
      <c r="B1004" s="177"/>
      <c r="C1004" s="177"/>
      <c r="D1004" s="178"/>
      <c r="E1004" s="177"/>
      <c r="F1004" s="179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45"/>
      <c r="V1004" s="145"/>
      <c r="W1004" s="145"/>
    </row>
    <row r="1005" ht="12.75" customHeight="1">
      <c r="A1005" s="177"/>
      <c r="B1005" s="177"/>
      <c r="C1005" s="177"/>
      <c r="D1005" s="178"/>
      <c r="E1005" s="177"/>
      <c r="F1005" s="179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45"/>
      <c r="V1005" s="145"/>
      <c r="W1005" s="145"/>
    </row>
    <row r="1006" ht="12.75" customHeight="1">
      <c r="A1006" s="177"/>
      <c r="B1006" s="177"/>
      <c r="C1006" s="177"/>
      <c r="D1006" s="178"/>
      <c r="E1006" s="177"/>
      <c r="F1006" s="179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45"/>
      <c r="V1006" s="145"/>
      <c r="W1006" s="145"/>
    </row>
    <row r="1007" ht="12.75" customHeight="1">
      <c r="A1007" s="177"/>
      <c r="B1007" s="177"/>
      <c r="C1007" s="177"/>
      <c r="D1007" s="178"/>
      <c r="E1007" s="177"/>
      <c r="F1007" s="179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45"/>
      <c r="V1007" s="145"/>
      <c r="W1007" s="145"/>
    </row>
    <row r="1008" ht="12.75" customHeight="1">
      <c r="A1008" s="177"/>
      <c r="B1008" s="177"/>
      <c r="C1008" s="177"/>
      <c r="D1008" s="178"/>
      <c r="E1008" s="177"/>
      <c r="F1008" s="179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45"/>
      <c r="V1008" s="145"/>
      <c r="W1008" s="145"/>
    </row>
    <row r="1009" ht="12.75" customHeight="1">
      <c r="A1009" s="177"/>
      <c r="B1009" s="177"/>
      <c r="C1009" s="177"/>
      <c r="D1009" s="178"/>
      <c r="E1009" s="177"/>
      <c r="F1009" s="179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45"/>
      <c r="V1009" s="145"/>
      <c r="W1009" s="145"/>
    </row>
    <row r="1010" ht="12.75" customHeight="1">
      <c r="A1010" s="177"/>
      <c r="B1010" s="177"/>
      <c r="C1010" s="177"/>
      <c r="D1010" s="178"/>
      <c r="E1010" s="177"/>
      <c r="F1010" s="179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45"/>
      <c r="V1010" s="145"/>
      <c r="W1010" s="145"/>
    </row>
    <row r="1011" ht="12.75" customHeight="1">
      <c r="A1011" s="177"/>
      <c r="B1011" s="177"/>
      <c r="C1011" s="177"/>
      <c r="D1011" s="178"/>
      <c r="E1011" s="177"/>
      <c r="F1011" s="179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45"/>
      <c r="V1011" s="145"/>
      <c r="W1011" s="145"/>
    </row>
    <row r="1012" ht="12.75" customHeight="1">
      <c r="A1012" s="177"/>
      <c r="B1012" s="177"/>
      <c r="C1012" s="177"/>
      <c r="D1012" s="178"/>
      <c r="E1012" s="177"/>
      <c r="F1012" s="179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45"/>
      <c r="V1012" s="145"/>
      <c r="W1012" s="145"/>
    </row>
    <row r="1013" ht="12.75" customHeight="1">
      <c r="A1013" s="177"/>
      <c r="B1013" s="177"/>
      <c r="C1013" s="177"/>
      <c r="D1013" s="178"/>
      <c r="E1013" s="177"/>
      <c r="F1013" s="179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45"/>
      <c r="V1013" s="145"/>
      <c r="W1013" s="145"/>
    </row>
    <row r="1014" ht="12.75" customHeight="1">
      <c r="A1014" s="177"/>
      <c r="B1014" s="177"/>
      <c r="C1014" s="177"/>
      <c r="D1014" s="178"/>
      <c r="E1014" s="177"/>
      <c r="F1014" s="179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45"/>
      <c r="V1014" s="145"/>
      <c r="W1014" s="145"/>
    </row>
    <row r="1015" ht="12.75" customHeight="1">
      <c r="A1015" s="177"/>
      <c r="B1015" s="177"/>
      <c r="C1015" s="177"/>
      <c r="D1015" s="178"/>
      <c r="E1015" s="177"/>
      <c r="F1015" s="179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45"/>
      <c r="V1015" s="145"/>
      <c r="W1015" s="145"/>
    </row>
    <row r="1016" ht="12.75" customHeight="1">
      <c r="A1016" s="177"/>
      <c r="B1016" s="177"/>
      <c r="C1016" s="177"/>
      <c r="D1016" s="178"/>
      <c r="E1016" s="177"/>
      <c r="F1016" s="179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45"/>
      <c r="V1016" s="145"/>
      <c r="W1016" s="145"/>
    </row>
    <row r="1017" ht="12.75" customHeight="1">
      <c r="A1017" s="177"/>
      <c r="B1017" s="177"/>
      <c r="C1017" s="177"/>
      <c r="D1017" s="178"/>
      <c r="E1017" s="177"/>
      <c r="F1017" s="179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45"/>
      <c r="V1017" s="145"/>
      <c r="W1017" s="145"/>
    </row>
    <row r="1018" ht="12.75" customHeight="1">
      <c r="A1018" s="177"/>
      <c r="B1018" s="177"/>
      <c r="C1018" s="177"/>
      <c r="D1018" s="178"/>
      <c r="E1018" s="177"/>
      <c r="F1018" s="179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45"/>
      <c r="V1018" s="145"/>
      <c r="W1018" s="145"/>
    </row>
    <row r="1019" ht="12.75" customHeight="1">
      <c r="A1019" s="177"/>
      <c r="B1019" s="177"/>
      <c r="C1019" s="177"/>
      <c r="D1019" s="178"/>
      <c r="E1019" s="177"/>
      <c r="F1019" s="179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45"/>
      <c r="V1019" s="145"/>
      <c r="W1019" s="145"/>
    </row>
    <row r="1020" ht="12.75" customHeight="1">
      <c r="A1020" s="177"/>
      <c r="B1020" s="177"/>
      <c r="C1020" s="177"/>
      <c r="D1020" s="178"/>
      <c r="E1020" s="177"/>
      <c r="F1020" s="179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45"/>
      <c r="V1020" s="145"/>
      <c r="W1020" s="145"/>
    </row>
    <row r="1021" ht="12.75" customHeight="1">
      <c r="A1021" s="177"/>
      <c r="B1021" s="177"/>
      <c r="C1021" s="177"/>
      <c r="D1021" s="178"/>
      <c r="E1021" s="177"/>
      <c r="F1021" s="179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45"/>
      <c r="V1021" s="145"/>
      <c r="W1021" s="145"/>
    </row>
    <row r="1022" ht="12.75" customHeight="1">
      <c r="A1022" s="177"/>
      <c r="B1022" s="177"/>
      <c r="C1022" s="177"/>
      <c r="D1022" s="178"/>
      <c r="E1022" s="177"/>
      <c r="F1022" s="179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45"/>
      <c r="V1022" s="145"/>
      <c r="W1022" s="145"/>
    </row>
    <row r="1023" ht="12.75" customHeight="1">
      <c r="A1023" s="177"/>
      <c r="B1023" s="177"/>
      <c r="C1023" s="177"/>
      <c r="D1023" s="178"/>
      <c r="E1023" s="177"/>
      <c r="F1023" s="179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45"/>
      <c r="V1023" s="145"/>
      <c r="W1023" s="145"/>
    </row>
    <row r="1024" ht="12.75" customHeight="1">
      <c r="A1024" s="177"/>
      <c r="B1024" s="177"/>
      <c r="C1024" s="177"/>
      <c r="D1024" s="178"/>
      <c r="E1024" s="177"/>
      <c r="F1024" s="179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45"/>
      <c r="V1024" s="145"/>
      <c r="W1024" s="145"/>
    </row>
    <row r="1025" ht="12.75" customHeight="1">
      <c r="A1025" s="177"/>
      <c r="B1025" s="177"/>
      <c r="C1025" s="177"/>
      <c r="D1025" s="178"/>
      <c r="E1025" s="177"/>
      <c r="F1025" s="179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45"/>
      <c r="V1025" s="145"/>
      <c r="W1025" s="145"/>
    </row>
    <row r="1026" ht="12.75" customHeight="1">
      <c r="A1026" s="177"/>
      <c r="B1026" s="177"/>
      <c r="C1026" s="177"/>
      <c r="D1026" s="178"/>
      <c r="E1026" s="177"/>
      <c r="F1026" s="179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45"/>
      <c r="V1026" s="145"/>
      <c r="W1026" s="145"/>
    </row>
    <row r="1027" ht="12.75" customHeight="1">
      <c r="A1027" s="177"/>
      <c r="B1027" s="177"/>
      <c r="C1027" s="177"/>
      <c r="D1027" s="178"/>
      <c r="E1027" s="177"/>
      <c r="F1027" s="179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45"/>
      <c r="V1027" s="145"/>
      <c r="W1027" s="145"/>
    </row>
    <row r="1028" ht="12.75" customHeight="1">
      <c r="A1028" s="177"/>
      <c r="B1028" s="177"/>
      <c r="C1028" s="177"/>
      <c r="D1028" s="178"/>
      <c r="E1028" s="177"/>
      <c r="F1028" s="179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45"/>
      <c r="V1028" s="145"/>
      <c r="W1028" s="145"/>
    </row>
    <row r="1029" ht="12.75" customHeight="1">
      <c r="A1029" s="177"/>
      <c r="B1029" s="177"/>
      <c r="C1029" s="177"/>
      <c r="D1029" s="178"/>
      <c r="E1029" s="177"/>
      <c r="F1029" s="179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45"/>
      <c r="V1029" s="145"/>
      <c r="W1029" s="145"/>
    </row>
    <row r="1030" ht="12.75" customHeight="1">
      <c r="A1030" s="177"/>
      <c r="B1030" s="177"/>
      <c r="C1030" s="177"/>
      <c r="D1030" s="178"/>
      <c r="E1030" s="177"/>
      <c r="F1030" s="179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45"/>
      <c r="V1030" s="145"/>
      <c r="W1030" s="145"/>
    </row>
    <row r="1031" ht="12.75" customHeight="1">
      <c r="A1031" s="177"/>
      <c r="B1031" s="177"/>
      <c r="C1031" s="177"/>
      <c r="D1031" s="178"/>
      <c r="E1031" s="177"/>
      <c r="F1031" s="179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45"/>
      <c r="V1031" s="145"/>
      <c r="W1031" s="145"/>
    </row>
    <row r="1032" ht="12.75" customHeight="1">
      <c r="A1032" s="177"/>
      <c r="B1032" s="177"/>
      <c r="C1032" s="177"/>
      <c r="D1032" s="178"/>
      <c r="E1032" s="177"/>
      <c r="F1032" s="179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45"/>
      <c r="V1032" s="145"/>
      <c r="W1032" s="145"/>
    </row>
    <row r="1033" ht="12.75" customHeight="1">
      <c r="A1033" s="177"/>
      <c r="B1033" s="177"/>
      <c r="C1033" s="177"/>
      <c r="D1033" s="178"/>
      <c r="E1033" s="177"/>
      <c r="F1033" s="179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45"/>
      <c r="V1033" s="145"/>
      <c r="W1033" s="145"/>
    </row>
    <row r="1034" ht="12.75" customHeight="1">
      <c r="A1034" s="177"/>
      <c r="B1034" s="177"/>
      <c r="C1034" s="177"/>
      <c r="D1034" s="178"/>
      <c r="E1034" s="177"/>
      <c r="F1034" s="179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45"/>
      <c r="V1034" s="145"/>
      <c r="W1034" s="145"/>
    </row>
    <row r="1035" ht="12.75" customHeight="1">
      <c r="A1035" s="177"/>
      <c r="B1035" s="177"/>
      <c r="C1035" s="177"/>
      <c r="D1035" s="178"/>
      <c r="E1035" s="177"/>
      <c r="F1035" s="179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45"/>
      <c r="V1035" s="145"/>
      <c r="W1035" s="145"/>
    </row>
    <row r="1036" ht="12.75" customHeight="1">
      <c r="A1036" s="177"/>
      <c r="B1036" s="177"/>
      <c r="C1036" s="177"/>
      <c r="D1036" s="178"/>
      <c r="E1036" s="177"/>
      <c r="F1036" s="179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45"/>
      <c r="V1036" s="145"/>
      <c r="W1036" s="145"/>
    </row>
    <row r="1037" ht="12.75" customHeight="1">
      <c r="A1037" s="177"/>
      <c r="B1037" s="177"/>
      <c r="C1037" s="177"/>
      <c r="D1037" s="178"/>
      <c r="E1037" s="177"/>
      <c r="F1037" s="179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45"/>
      <c r="V1037" s="145"/>
      <c r="W1037" s="145"/>
    </row>
    <row r="1038" ht="12.75" customHeight="1">
      <c r="A1038" s="177"/>
      <c r="B1038" s="177"/>
      <c r="C1038" s="177"/>
      <c r="D1038" s="178"/>
      <c r="E1038" s="177"/>
      <c r="F1038" s="179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45"/>
      <c r="V1038" s="145"/>
      <c r="W1038" s="145"/>
    </row>
    <row r="1039" ht="12.75" customHeight="1">
      <c r="A1039" s="177"/>
      <c r="B1039" s="177"/>
      <c r="C1039" s="177"/>
      <c r="D1039" s="178"/>
      <c r="E1039" s="177"/>
      <c r="F1039" s="179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45"/>
      <c r="V1039" s="145"/>
      <c r="W1039" s="145"/>
    </row>
    <row r="1040" ht="12.75" customHeight="1">
      <c r="A1040" s="177"/>
      <c r="B1040" s="177"/>
      <c r="C1040" s="177"/>
      <c r="D1040" s="178"/>
      <c r="E1040" s="177"/>
      <c r="F1040" s="179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45"/>
      <c r="V1040" s="145"/>
      <c r="W1040" s="145"/>
    </row>
    <row r="1041" ht="12.75" customHeight="1">
      <c r="A1041" s="177"/>
      <c r="B1041" s="177"/>
      <c r="C1041" s="177"/>
      <c r="D1041" s="178"/>
      <c r="E1041" s="177"/>
      <c r="F1041" s="179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45"/>
      <c r="V1041" s="145"/>
      <c r="W1041" s="145"/>
    </row>
    <row r="1042" ht="12.75" customHeight="1">
      <c r="A1042" s="177"/>
      <c r="B1042" s="177"/>
      <c r="C1042" s="177"/>
      <c r="D1042" s="178"/>
      <c r="E1042" s="177"/>
      <c r="F1042" s="179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45"/>
      <c r="V1042" s="145"/>
      <c r="W1042" s="145"/>
    </row>
    <row r="1043" ht="12.75" customHeight="1">
      <c r="A1043" s="177"/>
      <c r="B1043" s="177"/>
      <c r="C1043" s="177"/>
      <c r="D1043" s="178"/>
      <c r="E1043" s="177"/>
      <c r="F1043" s="179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45"/>
      <c r="V1043" s="145"/>
      <c r="W1043" s="145"/>
    </row>
    <row r="1044" ht="12.75" customHeight="1">
      <c r="A1044" s="177"/>
      <c r="B1044" s="177"/>
      <c r="C1044" s="177"/>
      <c r="D1044" s="178"/>
      <c r="E1044" s="177"/>
      <c r="F1044" s="179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45"/>
      <c r="V1044" s="145"/>
      <c r="W1044" s="145"/>
    </row>
    <row r="1045" ht="12.75" customHeight="1">
      <c r="A1045" s="177"/>
      <c r="B1045" s="177"/>
      <c r="C1045" s="177"/>
      <c r="D1045" s="178"/>
      <c r="E1045" s="177"/>
      <c r="F1045" s="179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45"/>
      <c r="V1045" s="145"/>
      <c r="W1045" s="145"/>
    </row>
    <row r="1046" ht="12.75" customHeight="1">
      <c r="A1046" s="177"/>
      <c r="B1046" s="177"/>
      <c r="C1046" s="177"/>
      <c r="D1046" s="178"/>
      <c r="E1046" s="177"/>
      <c r="F1046" s="179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45"/>
      <c r="V1046" s="145"/>
      <c r="W1046" s="145"/>
    </row>
    <row r="1047" ht="12.75" customHeight="1">
      <c r="A1047" s="177"/>
      <c r="B1047" s="177"/>
      <c r="C1047" s="177"/>
      <c r="D1047" s="178"/>
      <c r="E1047" s="177"/>
      <c r="F1047" s="179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45"/>
      <c r="V1047" s="145"/>
      <c r="W1047" s="145"/>
    </row>
    <row r="1048" ht="12.75" customHeight="1">
      <c r="A1048" s="177"/>
      <c r="B1048" s="177"/>
      <c r="C1048" s="177"/>
      <c r="D1048" s="178"/>
      <c r="E1048" s="177"/>
      <c r="F1048" s="179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45"/>
      <c r="V1048" s="145"/>
      <c r="W1048" s="145"/>
    </row>
    <row r="1049" ht="12.75" customHeight="1">
      <c r="A1049" s="177"/>
      <c r="B1049" s="177"/>
      <c r="C1049" s="177"/>
      <c r="D1049" s="178"/>
      <c r="E1049" s="177"/>
      <c r="F1049" s="179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45"/>
      <c r="V1049" s="145"/>
      <c r="W1049" s="145"/>
    </row>
    <row r="1050" ht="12.75" customHeight="1">
      <c r="A1050" s="177"/>
      <c r="B1050" s="177"/>
      <c r="C1050" s="177"/>
      <c r="D1050" s="178"/>
      <c r="E1050" s="177"/>
      <c r="F1050" s="179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45"/>
      <c r="V1050" s="145"/>
      <c r="W1050" s="145"/>
    </row>
    <row r="1051" ht="12.75" customHeight="1">
      <c r="A1051" s="177"/>
      <c r="B1051" s="177"/>
      <c r="C1051" s="177"/>
      <c r="D1051" s="178"/>
      <c r="E1051" s="177"/>
      <c r="F1051" s="179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45"/>
      <c r="V1051" s="145"/>
      <c r="W1051" s="145"/>
    </row>
    <row r="1052" ht="12.75" customHeight="1">
      <c r="A1052" s="177"/>
      <c r="B1052" s="177"/>
      <c r="C1052" s="177"/>
      <c r="D1052" s="178"/>
      <c r="E1052" s="177"/>
      <c r="F1052" s="179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45"/>
      <c r="V1052" s="145"/>
      <c r="W1052" s="145"/>
    </row>
    <row r="1053" ht="12.75" customHeight="1">
      <c r="A1053" s="177"/>
      <c r="B1053" s="177"/>
      <c r="C1053" s="177"/>
      <c r="D1053" s="178"/>
      <c r="E1053" s="177"/>
      <c r="F1053" s="179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45"/>
      <c r="V1053" s="145"/>
      <c r="W1053" s="145"/>
    </row>
    <row r="1054" ht="12.75" customHeight="1">
      <c r="A1054" s="177"/>
      <c r="B1054" s="177"/>
      <c r="C1054" s="177"/>
      <c r="D1054" s="178"/>
      <c r="E1054" s="177"/>
      <c r="F1054" s="179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45"/>
      <c r="V1054" s="145"/>
      <c r="W1054" s="145"/>
    </row>
    <row r="1055" ht="12.75" customHeight="1">
      <c r="A1055" s="177"/>
      <c r="B1055" s="177"/>
      <c r="C1055" s="177"/>
      <c r="D1055" s="178"/>
      <c r="E1055" s="177"/>
      <c r="F1055" s="179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45"/>
      <c r="V1055" s="145"/>
      <c r="W1055" s="145"/>
    </row>
    <row r="1056" ht="12.75" customHeight="1">
      <c r="A1056" s="177"/>
      <c r="B1056" s="177"/>
      <c r="C1056" s="177"/>
      <c r="D1056" s="178"/>
      <c r="E1056" s="177"/>
      <c r="F1056" s="179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45"/>
      <c r="V1056" s="145"/>
      <c r="W1056" s="145"/>
    </row>
    <row r="1057" ht="12.75" customHeight="1">
      <c r="A1057" s="177"/>
      <c r="B1057" s="177"/>
      <c r="C1057" s="177"/>
      <c r="D1057" s="178"/>
      <c r="E1057" s="177"/>
      <c r="F1057" s="179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45"/>
      <c r="V1057" s="145"/>
      <c r="W1057" s="145"/>
    </row>
    <row r="1058" ht="12.75" customHeight="1">
      <c r="A1058" s="177"/>
      <c r="B1058" s="177"/>
      <c r="C1058" s="177"/>
      <c r="D1058" s="178"/>
      <c r="E1058" s="177"/>
      <c r="F1058" s="179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45"/>
      <c r="V1058" s="145"/>
      <c r="W1058" s="145"/>
    </row>
    <row r="1059" ht="12.75" customHeight="1">
      <c r="A1059" s="177"/>
      <c r="B1059" s="177"/>
      <c r="C1059" s="177"/>
      <c r="D1059" s="178"/>
      <c r="E1059" s="177"/>
      <c r="F1059" s="179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45"/>
      <c r="V1059" s="145"/>
      <c r="W1059" s="145"/>
    </row>
    <row r="1060" ht="12.75" customHeight="1">
      <c r="A1060" s="177"/>
      <c r="B1060" s="177"/>
      <c r="C1060" s="177"/>
      <c r="D1060" s="178"/>
      <c r="E1060" s="177"/>
      <c r="F1060" s="179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45"/>
      <c r="V1060" s="145"/>
      <c r="W1060" s="145"/>
    </row>
    <row r="1061" ht="12.75" customHeight="1">
      <c r="A1061" s="177"/>
      <c r="B1061" s="177"/>
      <c r="C1061" s="177"/>
      <c r="D1061" s="178"/>
      <c r="E1061" s="177"/>
      <c r="F1061" s="179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45"/>
      <c r="V1061" s="145"/>
      <c r="W1061" s="145"/>
    </row>
    <row r="1062" ht="12.75" customHeight="1">
      <c r="A1062" s="177"/>
      <c r="B1062" s="177"/>
      <c r="C1062" s="177"/>
      <c r="D1062" s="178"/>
      <c r="E1062" s="177"/>
      <c r="F1062" s="179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45"/>
      <c r="V1062" s="145"/>
      <c r="W1062" s="145"/>
    </row>
    <row r="1063" ht="12.75" customHeight="1">
      <c r="A1063" s="177"/>
      <c r="B1063" s="177"/>
      <c r="C1063" s="177"/>
      <c r="D1063" s="178"/>
      <c r="E1063" s="177"/>
      <c r="F1063" s="179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45"/>
      <c r="V1063" s="145"/>
      <c r="W1063" s="145"/>
    </row>
    <row r="1064" ht="12.75" customHeight="1">
      <c r="A1064" s="177"/>
      <c r="B1064" s="177"/>
      <c r="C1064" s="177"/>
      <c r="D1064" s="178"/>
      <c r="E1064" s="177"/>
      <c r="F1064" s="179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45"/>
      <c r="V1064" s="145"/>
      <c r="W1064" s="145"/>
    </row>
    <row r="1065" ht="12.75" customHeight="1">
      <c r="A1065" s="177"/>
      <c r="B1065" s="177"/>
      <c r="C1065" s="177"/>
      <c r="D1065" s="178"/>
      <c r="E1065" s="177"/>
      <c r="F1065" s="179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45"/>
      <c r="V1065" s="145"/>
      <c r="W1065" s="145"/>
    </row>
    <row r="1066" ht="12.75" customHeight="1">
      <c r="A1066" s="177"/>
      <c r="B1066" s="177"/>
      <c r="C1066" s="177"/>
      <c r="D1066" s="178"/>
      <c r="E1066" s="177"/>
      <c r="F1066" s="179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45"/>
      <c r="V1066" s="145"/>
      <c r="W1066" s="145"/>
    </row>
    <row r="1067" ht="12.75" customHeight="1">
      <c r="A1067" s="177"/>
      <c r="B1067" s="177"/>
      <c r="C1067" s="177"/>
      <c r="D1067" s="178"/>
      <c r="E1067" s="177"/>
      <c r="F1067" s="179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45"/>
      <c r="V1067" s="145"/>
      <c r="W1067" s="145"/>
    </row>
    <row r="1068" ht="12.75" customHeight="1">
      <c r="A1068" s="177"/>
      <c r="B1068" s="177"/>
      <c r="C1068" s="177"/>
      <c r="D1068" s="178"/>
      <c r="E1068" s="177"/>
      <c r="F1068" s="179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45"/>
      <c r="V1068" s="145"/>
      <c r="W1068" s="145"/>
    </row>
    <row r="1069" ht="12.75" customHeight="1">
      <c r="A1069" s="177"/>
      <c r="B1069" s="177"/>
      <c r="C1069" s="177"/>
      <c r="D1069" s="178"/>
      <c r="E1069" s="177"/>
      <c r="F1069" s="179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45"/>
      <c r="V1069" s="145"/>
      <c r="W1069" s="145"/>
    </row>
    <row r="1070" ht="12.75" customHeight="1">
      <c r="A1070" s="177"/>
      <c r="B1070" s="177"/>
      <c r="C1070" s="177"/>
      <c r="D1070" s="178"/>
      <c r="E1070" s="177"/>
      <c r="F1070" s="179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45"/>
      <c r="V1070" s="145"/>
      <c r="W1070" s="145"/>
    </row>
    <row r="1071" ht="12.75" customHeight="1">
      <c r="A1071" s="177"/>
      <c r="B1071" s="177"/>
      <c r="C1071" s="177"/>
      <c r="D1071" s="178"/>
      <c r="E1071" s="177"/>
      <c r="F1071" s="179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45"/>
      <c r="V1071" s="145"/>
      <c r="W1071" s="145"/>
    </row>
    <row r="1072" ht="12.75" customHeight="1">
      <c r="A1072" s="177"/>
      <c r="B1072" s="177"/>
      <c r="C1072" s="177"/>
      <c r="D1072" s="178"/>
      <c r="E1072" s="177"/>
      <c r="F1072" s="179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45"/>
      <c r="V1072" s="145"/>
      <c r="W1072" s="145"/>
    </row>
    <row r="1073" ht="12.75" customHeight="1">
      <c r="A1073" s="177"/>
      <c r="B1073" s="177"/>
      <c r="C1073" s="177"/>
      <c r="D1073" s="178"/>
      <c r="E1073" s="177"/>
      <c r="F1073" s="179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45"/>
      <c r="V1073" s="145"/>
      <c r="W1073" s="145"/>
    </row>
    <row r="1074" ht="12.75" customHeight="1">
      <c r="A1074" s="177"/>
      <c r="B1074" s="177"/>
      <c r="C1074" s="177"/>
      <c r="D1074" s="178"/>
      <c r="E1074" s="177"/>
      <c r="F1074" s="179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45"/>
      <c r="V1074" s="145"/>
      <c r="W1074" s="145"/>
    </row>
    <row r="1075" ht="12.75" customHeight="1">
      <c r="A1075" s="177"/>
      <c r="B1075" s="177"/>
      <c r="C1075" s="177"/>
      <c r="D1075" s="178"/>
      <c r="E1075" s="177"/>
      <c r="F1075" s="179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45"/>
      <c r="V1075" s="145"/>
      <c r="W1075" s="145"/>
    </row>
    <row r="1076" ht="12.75" customHeight="1">
      <c r="A1076" s="177"/>
      <c r="B1076" s="177"/>
      <c r="C1076" s="177"/>
      <c r="D1076" s="178"/>
      <c r="E1076" s="177"/>
      <c r="F1076" s="179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45"/>
      <c r="V1076" s="145"/>
      <c r="W1076" s="145"/>
    </row>
    <row r="1077" ht="12.75" customHeight="1">
      <c r="A1077" s="177"/>
      <c r="B1077" s="177"/>
      <c r="C1077" s="177"/>
      <c r="D1077" s="178"/>
      <c r="E1077" s="177"/>
      <c r="F1077" s="179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45"/>
      <c r="V1077" s="145"/>
      <c r="W1077" s="145"/>
    </row>
    <row r="1078" ht="12.75" customHeight="1">
      <c r="A1078" s="177"/>
      <c r="B1078" s="177"/>
      <c r="C1078" s="177"/>
      <c r="D1078" s="178"/>
      <c r="E1078" s="177"/>
      <c r="F1078" s="179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45"/>
      <c r="V1078" s="145"/>
      <c r="W1078" s="145"/>
    </row>
    <row r="1079" ht="12.75" customHeight="1">
      <c r="A1079" s="177"/>
      <c r="B1079" s="177"/>
      <c r="C1079" s="177"/>
      <c r="D1079" s="178"/>
      <c r="E1079" s="177"/>
      <c r="F1079" s="179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45"/>
      <c r="V1079" s="145"/>
      <c r="W1079" s="145"/>
    </row>
    <row r="1080" ht="12.75" customHeight="1">
      <c r="A1080" s="177"/>
      <c r="B1080" s="177"/>
      <c r="C1080" s="177"/>
      <c r="D1080" s="178"/>
      <c r="E1080" s="177"/>
      <c r="F1080" s="179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45"/>
      <c r="V1080" s="145"/>
      <c r="W1080" s="145"/>
    </row>
    <row r="1081" ht="12.75" customHeight="1">
      <c r="A1081" s="177"/>
      <c r="B1081" s="177"/>
      <c r="C1081" s="177"/>
      <c r="D1081" s="178"/>
      <c r="E1081" s="177"/>
      <c r="F1081" s="179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45"/>
      <c r="V1081" s="145"/>
      <c r="W1081" s="145"/>
    </row>
    <row r="1082" ht="12.75" customHeight="1">
      <c r="A1082" s="177"/>
      <c r="B1082" s="177"/>
      <c r="C1082" s="177"/>
      <c r="D1082" s="178"/>
      <c r="E1082" s="177"/>
      <c r="F1082" s="179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45"/>
      <c r="V1082" s="145"/>
      <c r="W1082" s="145"/>
    </row>
    <row r="1083" ht="12.75" customHeight="1">
      <c r="A1083" s="177"/>
      <c r="B1083" s="177"/>
      <c r="C1083" s="177"/>
      <c r="D1083" s="178"/>
      <c r="E1083" s="177"/>
      <c r="F1083" s="179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45"/>
      <c r="V1083" s="145"/>
      <c r="W1083" s="145"/>
    </row>
    <row r="1084" ht="12.75" customHeight="1">
      <c r="A1084" s="177"/>
      <c r="B1084" s="177"/>
      <c r="C1084" s="177"/>
      <c r="D1084" s="178"/>
      <c r="E1084" s="177"/>
      <c r="F1084" s="179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45"/>
      <c r="V1084" s="145"/>
      <c r="W1084" s="145"/>
    </row>
    <row r="1085" ht="12.75" customHeight="1">
      <c r="A1085" s="177"/>
      <c r="B1085" s="177"/>
      <c r="C1085" s="177"/>
      <c r="D1085" s="178"/>
      <c r="E1085" s="177"/>
      <c r="F1085" s="179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45"/>
      <c r="V1085" s="145"/>
      <c r="W1085" s="145"/>
    </row>
    <row r="1086" ht="12.75" customHeight="1">
      <c r="A1086" s="177"/>
      <c r="B1086" s="177"/>
      <c r="C1086" s="177"/>
      <c r="D1086" s="178"/>
      <c r="E1086" s="177"/>
      <c r="F1086" s="179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45"/>
      <c r="V1086" s="145"/>
      <c r="W1086" s="145"/>
    </row>
    <row r="1087" ht="12.75" customHeight="1">
      <c r="A1087" s="177"/>
      <c r="B1087" s="177"/>
      <c r="C1087" s="177"/>
      <c r="D1087" s="178"/>
      <c r="E1087" s="177"/>
      <c r="F1087" s="179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45"/>
      <c r="V1087" s="145"/>
      <c r="W1087" s="145"/>
    </row>
    <row r="1088" ht="12.75" customHeight="1">
      <c r="A1088" s="177"/>
      <c r="B1088" s="177"/>
      <c r="C1088" s="177"/>
      <c r="D1088" s="178"/>
      <c r="E1088" s="177"/>
      <c r="F1088" s="179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45"/>
      <c r="V1088" s="145"/>
      <c r="W1088" s="145"/>
    </row>
    <row r="1089" ht="12.75" customHeight="1">
      <c r="A1089" s="177"/>
      <c r="B1089" s="177"/>
      <c r="C1089" s="177"/>
      <c r="D1089" s="178"/>
      <c r="E1089" s="177"/>
      <c r="F1089" s="179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45"/>
      <c r="V1089" s="145"/>
      <c r="W1089" s="145"/>
    </row>
    <row r="1090" ht="12.75" customHeight="1">
      <c r="A1090" s="177"/>
      <c r="B1090" s="177"/>
      <c r="C1090" s="177"/>
      <c r="D1090" s="178"/>
      <c r="E1090" s="177"/>
      <c r="F1090" s="179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45"/>
      <c r="V1090" s="145"/>
      <c r="W1090" s="145"/>
    </row>
    <row r="1091" ht="12.75" customHeight="1">
      <c r="A1091" s="177"/>
      <c r="B1091" s="177"/>
      <c r="C1091" s="177"/>
      <c r="D1091" s="178"/>
      <c r="E1091" s="177"/>
      <c r="F1091" s="179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45"/>
      <c r="V1091" s="145"/>
      <c r="W1091" s="145"/>
    </row>
    <row r="1092" ht="12.75" customHeight="1">
      <c r="A1092" s="177"/>
      <c r="B1092" s="177"/>
      <c r="C1092" s="177"/>
      <c r="D1092" s="178"/>
      <c r="E1092" s="177"/>
      <c r="F1092" s="179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45"/>
      <c r="V1092" s="145"/>
      <c r="W1092" s="145"/>
    </row>
    <row r="1093" ht="12.75" customHeight="1">
      <c r="A1093" s="177"/>
      <c r="B1093" s="177"/>
      <c r="C1093" s="177"/>
      <c r="D1093" s="178"/>
      <c r="E1093" s="177"/>
      <c r="F1093" s="179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45"/>
      <c r="V1093" s="145"/>
      <c r="W1093" s="145"/>
    </row>
    <row r="1094" ht="12.75" customHeight="1">
      <c r="A1094" s="177"/>
      <c r="B1094" s="177"/>
      <c r="C1094" s="177"/>
      <c r="D1094" s="178"/>
      <c r="E1094" s="177"/>
      <c r="F1094" s="179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45"/>
      <c r="V1094" s="145"/>
      <c r="W1094" s="145"/>
    </row>
    <row r="1095" ht="12.75" customHeight="1">
      <c r="A1095" s="177"/>
      <c r="B1095" s="177"/>
      <c r="C1095" s="177"/>
      <c r="D1095" s="178"/>
      <c r="E1095" s="177"/>
      <c r="F1095" s="179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45"/>
      <c r="V1095" s="145"/>
      <c r="W1095" s="145"/>
    </row>
    <row r="1096" ht="12.75" customHeight="1">
      <c r="A1096" s="177"/>
      <c r="B1096" s="177"/>
      <c r="C1096" s="177"/>
      <c r="D1096" s="178"/>
      <c r="E1096" s="177"/>
      <c r="F1096" s="179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45"/>
      <c r="V1096" s="145"/>
      <c r="W1096" s="145"/>
    </row>
    <row r="1097" ht="12.75" customHeight="1">
      <c r="A1097" s="177"/>
      <c r="B1097" s="177"/>
      <c r="C1097" s="177"/>
      <c r="D1097" s="178"/>
      <c r="E1097" s="177"/>
      <c r="F1097" s="179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45"/>
      <c r="V1097" s="145"/>
      <c r="W1097" s="145"/>
    </row>
    <row r="1098" ht="12.75" customHeight="1">
      <c r="A1098" s="177"/>
      <c r="B1098" s="177"/>
      <c r="C1098" s="177"/>
      <c r="D1098" s="178"/>
      <c r="E1098" s="177"/>
      <c r="F1098" s="179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45"/>
      <c r="V1098" s="145"/>
      <c r="W1098" s="145"/>
    </row>
    <row r="1099" ht="12.75" customHeight="1">
      <c r="A1099" s="177"/>
      <c r="B1099" s="177"/>
      <c r="C1099" s="177"/>
      <c r="D1099" s="178"/>
      <c r="E1099" s="177"/>
      <c r="F1099" s="179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45"/>
      <c r="V1099" s="145"/>
      <c r="W1099" s="145"/>
    </row>
    <row r="1100" ht="12.75" customHeight="1">
      <c r="A1100" s="177"/>
      <c r="B1100" s="177"/>
      <c r="C1100" s="177"/>
      <c r="D1100" s="178"/>
      <c r="E1100" s="177"/>
      <c r="F1100" s="179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45"/>
      <c r="V1100" s="145"/>
      <c r="W1100" s="145"/>
    </row>
    <row r="1101" ht="12.75" customHeight="1">
      <c r="A1101" s="177"/>
      <c r="B1101" s="177"/>
      <c r="C1101" s="177"/>
      <c r="D1101" s="178"/>
      <c r="E1101" s="177"/>
      <c r="F1101" s="179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45"/>
      <c r="V1101" s="145"/>
      <c r="W1101" s="145"/>
    </row>
    <row r="1102" ht="12.75" customHeight="1">
      <c r="A1102" s="177"/>
      <c r="B1102" s="177"/>
      <c r="C1102" s="177"/>
      <c r="D1102" s="178"/>
      <c r="E1102" s="177"/>
      <c r="F1102" s="179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45"/>
      <c r="V1102" s="145"/>
      <c r="W1102" s="145"/>
    </row>
    <row r="1103" ht="12.75" customHeight="1">
      <c r="A1103" s="177"/>
      <c r="B1103" s="177"/>
      <c r="C1103" s="177"/>
      <c r="D1103" s="178"/>
      <c r="E1103" s="177"/>
      <c r="F1103" s="179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45"/>
      <c r="V1103" s="145"/>
      <c r="W1103" s="145"/>
    </row>
    <row r="1104" ht="12.75" customHeight="1">
      <c r="A1104" s="177"/>
      <c r="B1104" s="177"/>
      <c r="C1104" s="177"/>
      <c r="D1104" s="178"/>
      <c r="E1104" s="177"/>
      <c r="F1104" s="179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45"/>
      <c r="V1104" s="145"/>
      <c r="W1104" s="145"/>
    </row>
    <row r="1105" ht="12.75" customHeight="1">
      <c r="A1105" s="177"/>
      <c r="B1105" s="177"/>
      <c r="C1105" s="177"/>
      <c r="D1105" s="178"/>
      <c r="E1105" s="177"/>
      <c r="F1105" s="179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45"/>
      <c r="V1105" s="145"/>
      <c r="W1105" s="145"/>
    </row>
    <row r="1106" ht="12.75" customHeight="1">
      <c r="A1106" s="177"/>
      <c r="B1106" s="177"/>
      <c r="C1106" s="177"/>
      <c r="D1106" s="178"/>
      <c r="E1106" s="177"/>
      <c r="F1106" s="179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45"/>
      <c r="V1106" s="145"/>
      <c r="W1106" s="145"/>
    </row>
    <row r="1107" ht="12.75" customHeight="1">
      <c r="A1107" s="177"/>
      <c r="B1107" s="177"/>
      <c r="C1107" s="177"/>
      <c r="D1107" s="178"/>
      <c r="E1107" s="177"/>
      <c r="F1107" s="179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45"/>
      <c r="V1107" s="145"/>
      <c r="W1107" s="145"/>
    </row>
    <row r="1108" ht="12.75" customHeight="1">
      <c r="A1108" s="177"/>
      <c r="B1108" s="177"/>
      <c r="C1108" s="177"/>
      <c r="D1108" s="178"/>
      <c r="E1108" s="177"/>
      <c r="F1108" s="179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45"/>
      <c r="V1108" s="145"/>
      <c r="W1108" s="145"/>
    </row>
    <row r="1109" ht="12.75" customHeight="1">
      <c r="A1109" s="177"/>
      <c r="B1109" s="177"/>
      <c r="C1109" s="177"/>
      <c r="D1109" s="178"/>
      <c r="E1109" s="177"/>
      <c r="F1109" s="179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45"/>
      <c r="V1109" s="145"/>
      <c r="W1109" s="145"/>
    </row>
    <row r="1110" ht="12.75" customHeight="1">
      <c r="A1110" s="177"/>
      <c r="B1110" s="177"/>
      <c r="C1110" s="177"/>
      <c r="D1110" s="178"/>
      <c r="E1110" s="177"/>
      <c r="F1110" s="179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45"/>
      <c r="V1110" s="145"/>
      <c r="W1110" s="145"/>
    </row>
    <row r="1111" ht="12.75" customHeight="1">
      <c r="A1111" s="177"/>
      <c r="B1111" s="177"/>
      <c r="C1111" s="177"/>
      <c r="D1111" s="178"/>
      <c r="E1111" s="177"/>
      <c r="F1111" s="179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45"/>
      <c r="V1111" s="145"/>
      <c r="W1111" s="145"/>
    </row>
    <row r="1112" ht="12.75" customHeight="1">
      <c r="A1112" s="177"/>
      <c r="B1112" s="177"/>
      <c r="C1112" s="177"/>
      <c r="D1112" s="178"/>
      <c r="E1112" s="177"/>
      <c r="F1112" s="179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45"/>
      <c r="V1112" s="145"/>
      <c r="W1112" s="145"/>
    </row>
    <row r="1113" ht="12.75" customHeight="1">
      <c r="A1113" s="177"/>
      <c r="B1113" s="177"/>
      <c r="C1113" s="177"/>
      <c r="D1113" s="178"/>
      <c r="E1113" s="177"/>
      <c r="F1113" s="179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45"/>
      <c r="V1113" s="145"/>
      <c r="W1113" s="145"/>
    </row>
    <row r="1114" ht="12.75" customHeight="1">
      <c r="A1114" s="177"/>
      <c r="B1114" s="177"/>
      <c r="C1114" s="177"/>
      <c r="D1114" s="178"/>
      <c r="E1114" s="177"/>
      <c r="F1114" s="179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45"/>
      <c r="V1114" s="145"/>
      <c r="W1114" s="145"/>
    </row>
    <row r="1115" ht="12.75" customHeight="1">
      <c r="A1115" s="177"/>
      <c r="B1115" s="177"/>
      <c r="C1115" s="177"/>
      <c r="D1115" s="178"/>
      <c r="E1115" s="177"/>
      <c r="F1115" s="179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45"/>
      <c r="V1115" s="145"/>
      <c r="W1115" s="145"/>
    </row>
    <row r="1116" ht="12.75" customHeight="1">
      <c r="A1116" s="177"/>
      <c r="B1116" s="177"/>
      <c r="C1116" s="177"/>
      <c r="D1116" s="178"/>
      <c r="E1116" s="177"/>
      <c r="F1116" s="179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45"/>
      <c r="V1116" s="145"/>
      <c r="W1116" s="145"/>
    </row>
    <row r="1117" ht="12.75" customHeight="1">
      <c r="A1117" s="177"/>
      <c r="B1117" s="177"/>
      <c r="C1117" s="177"/>
      <c r="D1117" s="178"/>
      <c r="E1117" s="177"/>
      <c r="F1117" s="179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45"/>
      <c r="V1117" s="145"/>
      <c r="W1117" s="145"/>
    </row>
    <row r="1118" ht="12.75" customHeight="1">
      <c r="A1118" s="177"/>
      <c r="B1118" s="177"/>
      <c r="C1118" s="177"/>
      <c r="D1118" s="178"/>
      <c r="E1118" s="177"/>
      <c r="F1118" s="179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45"/>
      <c r="V1118" s="145"/>
      <c r="W1118" s="145"/>
    </row>
    <row r="1119" ht="12.75" customHeight="1">
      <c r="A1119" s="177"/>
      <c r="B1119" s="177"/>
      <c r="C1119" s="177"/>
      <c r="D1119" s="178"/>
      <c r="E1119" s="177"/>
      <c r="F1119" s="179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45"/>
      <c r="V1119" s="145"/>
      <c r="W1119" s="145"/>
    </row>
    <row r="1120" ht="12.75" customHeight="1">
      <c r="A1120" s="177"/>
      <c r="B1120" s="177"/>
      <c r="C1120" s="177"/>
      <c r="D1120" s="178"/>
      <c r="E1120" s="177"/>
      <c r="F1120" s="179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45"/>
      <c r="V1120" s="145"/>
      <c r="W1120" s="145"/>
    </row>
    <row r="1121" ht="12.75" customHeight="1">
      <c r="A1121" s="177"/>
      <c r="B1121" s="177"/>
      <c r="C1121" s="177"/>
      <c r="D1121" s="178"/>
      <c r="E1121" s="177"/>
      <c r="F1121" s="179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45"/>
      <c r="V1121" s="145"/>
      <c r="W1121" s="145"/>
    </row>
    <row r="1122" ht="12.75" customHeight="1">
      <c r="A1122" s="177"/>
      <c r="B1122" s="177"/>
      <c r="C1122" s="177"/>
      <c r="D1122" s="178"/>
      <c r="E1122" s="177"/>
      <c r="F1122" s="179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45"/>
      <c r="V1122" s="145"/>
      <c r="W1122" s="145"/>
    </row>
    <row r="1123" ht="12.75" customHeight="1">
      <c r="A1123" s="177"/>
      <c r="B1123" s="177"/>
      <c r="C1123" s="177"/>
      <c r="D1123" s="178"/>
      <c r="E1123" s="177"/>
      <c r="F1123" s="179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45"/>
      <c r="V1123" s="145"/>
      <c r="W1123" s="145"/>
    </row>
    <row r="1124" ht="12.75" customHeight="1">
      <c r="A1124" s="177"/>
      <c r="B1124" s="177"/>
      <c r="C1124" s="177"/>
      <c r="D1124" s="178"/>
      <c r="E1124" s="177"/>
      <c r="F1124" s="179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45"/>
      <c r="V1124" s="145"/>
      <c r="W1124" s="145"/>
    </row>
    <row r="1125" ht="12.75" customHeight="1">
      <c r="A1125" s="177"/>
      <c r="B1125" s="177"/>
      <c r="C1125" s="177"/>
      <c r="D1125" s="178"/>
      <c r="E1125" s="177"/>
      <c r="F1125" s="179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45"/>
      <c r="V1125" s="145"/>
      <c r="W1125" s="145"/>
    </row>
    <row r="1126" ht="12.75" customHeight="1">
      <c r="A1126" s="177"/>
      <c r="B1126" s="177"/>
      <c r="C1126" s="177"/>
      <c r="D1126" s="178"/>
      <c r="E1126" s="177"/>
      <c r="F1126" s="179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45"/>
      <c r="V1126" s="145"/>
      <c r="W1126" s="145"/>
    </row>
    <row r="1127" ht="12.75" customHeight="1">
      <c r="A1127" s="177"/>
      <c r="B1127" s="177"/>
      <c r="C1127" s="177"/>
      <c r="D1127" s="178"/>
      <c r="E1127" s="177"/>
      <c r="F1127" s="179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45"/>
      <c r="V1127" s="145"/>
      <c r="W1127" s="145"/>
    </row>
    <row r="1128" ht="12.75" customHeight="1">
      <c r="A1128" s="177"/>
      <c r="B1128" s="177"/>
      <c r="C1128" s="177"/>
      <c r="D1128" s="178"/>
      <c r="E1128" s="177"/>
      <c r="F1128" s="179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45"/>
      <c r="V1128" s="145"/>
      <c r="W1128" s="145"/>
    </row>
    <row r="1129" ht="12.75" customHeight="1">
      <c r="A1129" s="177"/>
      <c r="B1129" s="177"/>
      <c r="C1129" s="177"/>
      <c r="D1129" s="178"/>
      <c r="E1129" s="177"/>
      <c r="F1129" s="179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45"/>
      <c r="V1129" s="145"/>
      <c r="W1129" s="145"/>
    </row>
    <row r="1130" ht="12.75" customHeight="1">
      <c r="A1130" s="177"/>
      <c r="B1130" s="177"/>
      <c r="C1130" s="177"/>
      <c r="D1130" s="178"/>
      <c r="E1130" s="177"/>
      <c r="F1130" s="179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45"/>
      <c r="V1130" s="145"/>
      <c r="W1130" s="145"/>
    </row>
    <row r="1131" ht="12.75" customHeight="1">
      <c r="A1131" s="177"/>
      <c r="B1131" s="177"/>
      <c r="C1131" s="177"/>
      <c r="D1131" s="178"/>
      <c r="E1131" s="177"/>
      <c r="F1131" s="179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45"/>
      <c r="V1131" s="145"/>
      <c r="W1131" s="145"/>
    </row>
    <row r="1132" ht="12.75" customHeight="1">
      <c r="A1132" s="177"/>
      <c r="B1132" s="177"/>
      <c r="C1132" s="177"/>
      <c r="D1132" s="178"/>
      <c r="E1132" s="177"/>
      <c r="F1132" s="179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45"/>
      <c r="V1132" s="145"/>
      <c r="W1132" s="145"/>
    </row>
    <row r="1133" ht="12.75" customHeight="1">
      <c r="A1133" s="177"/>
      <c r="B1133" s="177"/>
      <c r="C1133" s="177"/>
      <c r="D1133" s="178"/>
      <c r="E1133" s="177"/>
      <c r="F1133" s="179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45"/>
      <c r="V1133" s="145"/>
      <c r="W1133" s="145"/>
    </row>
    <row r="1134" ht="12.75" customHeight="1">
      <c r="A1134" s="177"/>
      <c r="B1134" s="177"/>
      <c r="C1134" s="177"/>
      <c r="D1134" s="178"/>
      <c r="E1134" s="177"/>
      <c r="F1134" s="179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45"/>
      <c r="V1134" s="145"/>
      <c r="W1134" s="145"/>
    </row>
    <row r="1135" ht="12.75" customHeight="1">
      <c r="A1135" s="177"/>
      <c r="B1135" s="177"/>
      <c r="C1135" s="177"/>
      <c r="D1135" s="178"/>
      <c r="E1135" s="177"/>
      <c r="F1135" s="179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45"/>
      <c r="V1135" s="145"/>
      <c r="W1135" s="145"/>
    </row>
    <row r="1136" ht="12.75" customHeight="1">
      <c r="A1136" s="177"/>
      <c r="B1136" s="177"/>
      <c r="C1136" s="177"/>
      <c r="D1136" s="178"/>
      <c r="E1136" s="177"/>
      <c r="F1136" s="179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45"/>
      <c r="V1136" s="145"/>
      <c r="W1136" s="145"/>
    </row>
    <row r="1137" ht="12.75" customHeight="1">
      <c r="A1137" s="177"/>
      <c r="B1137" s="177"/>
      <c r="C1137" s="177"/>
      <c r="D1137" s="178"/>
      <c r="E1137" s="177"/>
      <c r="F1137" s="179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45"/>
      <c r="V1137" s="145"/>
      <c r="W1137" s="145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4" t="s">
        <v>131</v>
      </c>
      <c r="B1" s="184" t="s">
        <v>132</v>
      </c>
      <c r="C1" s="184" t="s">
        <v>36</v>
      </c>
      <c r="D1" s="184" t="s">
        <v>133</v>
      </c>
      <c r="E1" s="184" t="s">
        <v>0</v>
      </c>
      <c r="F1" s="184" t="s">
        <v>134</v>
      </c>
      <c r="G1" s="184" t="s">
        <v>135</v>
      </c>
      <c r="H1" s="184" t="s">
        <v>136</v>
      </c>
      <c r="I1" s="184" t="s">
        <v>137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>
      <c r="A2" s="186" t="s">
        <v>138</v>
      </c>
      <c r="B2" s="186" t="s">
        <v>139</v>
      </c>
      <c r="C2" s="186" t="s">
        <v>140</v>
      </c>
      <c r="D2" s="187">
        <v>46132.0</v>
      </c>
      <c r="E2" s="186">
        <v>2239.32</v>
      </c>
      <c r="F2" s="186" t="s">
        <v>141</v>
      </c>
      <c r="G2" s="186" t="s">
        <v>142</v>
      </c>
      <c r="H2" s="186" t="s">
        <v>143</v>
      </c>
      <c r="I2" s="186" t="s">
        <v>122</v>
      </c>
    </row>
    <row r="3">
      <c r="A3" s="186" t="s">
        <v>144</v>
      </c>
      <c r="B3" s="186" t="s">
        <v>139</v>
      </c>
      <c r="C3" s="186" t="s">
        <v>140</v>
      </c>
      <c r="D3" s="187">
        <v>46129.0</v>
      </c>
      <c r="E3" s="186">
        <v>1367.52</v>
      </c>
      <c r="F3" s="186" t="s">
        <v>141</v>
      </c>
      <c r="G3" s="186" t="s">
        <v>142</v>
      </c>
      <c r="H3" s="186" t="s">
        <v>143</v>
      </c>
      <c r="I3" s="186" t="s">
        <v>122</v>
      </c>
    </row>
    <row r="4">
      <c r="A4" s="186" t="s">
        <v>145</v>
      </c>
      <c r="B4" s="186" t="s">
        <v>146</v>
      </c>
      <c r="C4" s="186" t="s">
        <v>147</v>
      </c>
      <c r="D4" s="187">
        <v>46134.0</v>
      </c>
      <c r="E4" s="186">
        <v>1132.8</v>
      </c>
      <c r="F4" s="186" t="s">
        <v>141</v>
      </c>
      <c r="G4" s="186" t="s">
        <v>148</v>
      </c>
      <c r="H4" s="186" t="s">
        <v>149</v>
      </c>
      <c r="I4" s="186" t="s">
        <v>122</v>
      </c>
    </row>
  </sheetData>
  <drawing r:id="rId1"/>
</worksheet>
</file>