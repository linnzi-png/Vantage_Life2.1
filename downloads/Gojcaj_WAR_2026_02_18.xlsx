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<sst xmlns="http://schemas.openxmlformats.org/spreadsheetml/2006/main" count="5160" uniqueCount="144">
  <si>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</si>
  <si>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</si>
  <si>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</si>
  <si>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</si>
  <si>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</si>
  <si>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</si>
  <si>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</si>
  <si>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</si>
  <si>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</si>
  <si>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</si>
  <si>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</si>
  <si>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</si>
  <si>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</si>
  <si>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</si>
  <si>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</si>
  <si>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</si>
  <si>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</si>
  <si>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</si>
  <si>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</si>
  <si>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</si>
  <si>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</si>
  <si>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</si>
  <si>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</si>
  <si>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</si>
  <si>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</si>
  <si>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</si>
  <si>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</si>
  <si>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Jacob Brown</t>
  </si>
  <si>
    <t>Edward Leon</t>
  </si>
  <si>
    <t>Melissa Elam</t>
  </si>
  <si>
    <t>Timothy Noe</t>
  </si>
  <si>
    <t>Javier Sandoval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</si>
  <si>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</si>
  <si>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</si>
  <si>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</si>
  <si>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</si>
  <si>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</si>
  <si>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</si>
  <si>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</si>
  <si>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</si>
  <si>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</si>
  <si>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</si>
  <si>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</si>
  <si>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</si>
  <si>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</si>
  <si>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</si>
  <si>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</si>
  <si>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</si>
  <si>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</si>
  <si>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</si>
  <si>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</si>
  <si>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</si>
  <si>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</si>
  <si>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</si>
  <si>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Kristen Fox</t>
  </si>
  <si>
    <t>NC</t>
  </si>
  <si>
    <t>Marci Dyer</t>
  </si>
  <si>
    <t>Joylynn Harris</t>
  </si>
  <si>
    <t>CA</t>
  </si>
  <si>
    <t>TX</t>
  </si>
  <si>
    <t>Shafay Sutton</t>
  </si>
  <si>
    <t>Eddie Leon</t>
  </si>
  <si>
    <t>IN</t>
  </si>
  <si>
    <t>Trysha Greenwood</t>
  </si>
  <si>
    <t>Rick Argote</t>
  </si>
  <si>
    <t>Julian Hyman</t>
  </si>
  <si>
    <t xml:space="preserve">Marcus Norton </t>
  </si>
  <si>
    <t>CO</t>
  </si>
  <si>
    <t>Marcus Norton</t>
  </si>
  <si>
    <t>Michael Bradley</t>
  </si>
  <si>
    <t>Kaliyah Pyles</t>
  </si>
  <si>
    <t>M'Ellen Jackson</t>
  </si>
  <si>
    <t>Ethan Lasley</t>
  </si>
  <si>
    <t>MS</t>
  </si>
  <si>
    <t>Ronald Montoya</t>
  </si>
  <si>
    <t>Nathan Fast</t>
  </si>
  <si>
    <t>Danielle Loux</t>
  </si>
  <si>
    <t>MO</t>
  </si>
  <si>
    <t>Valerie Exum</t>
  </si>
  <si>
    <t>Frances Gonzalez</t>
  </si>
  <si>
    <t>Chistopher Jacko</t>
  </si>
  <si>
    <t>TN</t>
  </si>
  <si>
    <t>Preston Opperman</t>
  </si>
  <si>
    <t>Bilal Abdullah</t>
  </si>
  <si>
    <t>NH</t>
  </si>
  <si>
    <t>Andre Alire</t>
  </si>
  <si>
    <t>Kelvin Claney</t>
  </si>
  <si>
    <t>Jacob Bandyk</t>
  </si>
  <si>
    <t>ID</t>
  </si>
  <si>
    <t>Alayna Halverson</t>
  </si>
  <si>
    <t>NY</t>
  </si>
  <si>
    <t>Dylan Alexander</t>
  </si>
  <si>
    <t>Kisha Darby</t>
  </si>
  <si>
    <t>Scott Harrison</t>
  </si>
  <si>
    <t>Michael Dolin</t>
  </si>
  <si>
    <t>Toel Jefferson</t>
  </si>
  <si>
    <t>Zev Bienenstock</t>
  </si>
  <si>
    <t>Julia Rodriguez</t>
  </si>
  <si>
    <t>Marie Cano</t>
  </si>
  <si>
    <t>Jordan McFarlane</t>
  </si>
  <si>
    <t>SC</t>
  </si>
  <si>
    <t>William Benline</t>
  </si>
  <si>
    <t>Ken Hermann</t>
  </si>
  <si>
    <t>Annie Ransom</t>
  </si>
  <si>
    <t>OR</t>
  </si>
  <si>
    <t>Caroline Sanazaro</t>
  </si>
  <si>
    <t>O'Neil Mbakwe</t>
  </si>
  <si>
    <t>Hillary Tucker</t>
  </si>
  <si>
    <t>Alexa Legg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</si>
  <si>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</si>
  <si>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</si>
  <si>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</si>
  <si>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</si>
  <si>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</si>
  <si>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</si>
  <si>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</si>
  <si>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</si>
  <si>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</si>
  <si>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</si>
  <si>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</si>
  <si>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</si>
  <si>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</si>
  <si>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</si>
  <si>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</si>
  <si>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</si>
  <si>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</si>
  <si>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</si>
  <si>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</si>
  <si>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</si>
  <si>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</si>
  <si>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</si>
  <si>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</si>
  <si>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SABINA WRIGHT</t>
  </si>
  <si>
    <t>EDDIE LEON</t>
  </si>
  <si>
    <t>GOJCAJ</t>
  </si>
  <si>
    <t>N/A</t>
  </si>
  <si>
    <t>NO</t>
  </si>
  <si>
    <t>CLIENT REACHED OUT TO AGENT TO CANCEL.</t>
  </si>
  <si>
    <t>IJAH DUDLEY</t>
  </si>
  <si>
    <t>YES</t>
  </si>
  <si>
    <t>REWRITTEN PER AGENT NOTE</t>
  </si>
  <si>
    <t>JUSTIN ADEY</t>
  </si>
  <si>
    <t>JAVIER SANDOVAL</t>
  </si>
  <si>
    <t>HUSBAND AND WIFE DECIDED AGAINST THIS.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</si>
</sst>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3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color theme="1"/>
      <name val="&quot;Open Sans&quot;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5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8" fillId="4" fontId="2" numFmtId="0" xfId="0" applyAlignment="1" applyBorder="1" applyFont="1">
      <alignment shrinkToFit="0" vertical="center" wrapText="1"/>
    </xf>
    <xf borderId="15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6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7" fillId="0" fontId="7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5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shrinkToFit="0" vertical="center" wrapText="1"/>
    </xf>
    <xf borderId="15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shrinkToFit="0" vertical="bottom" wrapText="1"/>
    </xf>
    <xf borderId="20" fillId="3" fontId="12" numFmtId="0" xfId="0" applyAlignment="1" applyBorder="1" applyFont="1">
      <alignment vertical="bottom"/>
    </xf>
    <xf borderId="20" fillId="3" fontId="13" numFmtId="0" xfId="0" applyAlignment="1" applyBorder="1" applyFont="1">
      <alignment shrinkToFit="0" vertical="bottom" wrapText="1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4" numFmtId="0" xfId="0" applyAlignment="1" applyBorder="1" applyFont="1">
      <alignment readingOrder="0" vertical="bottom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" numFmtId="0" xfId="0" applyAlignment="1" applyBorder="1" applyFont="1">
      <alignment vertical="bottom"/>
    </xf>
    <xf borderId="7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20" fillId="4" fontId="14" numFmtId="0" xfId="0" applyAlignment="1" applyBorder="1" applyFont="1">
      <alignment readingOrder="0" vertical="bottom"/>
    </xf>
    <xf borderId="7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" numFmtId="0" xfId="0" applyAlignment="1" applyBorder="1" applyFont="1">
      <alignment vertical="bottom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15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15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0" fillId="0" fontId="12" numFmtId="0" xfId="0" applyAlignment="1" applyBorder="1" applyFont="1">
      <alignment shrinkToFit="0" vertical="bottom" wrapText="1"/>
    </xf>
    <xf borderId="21" fillId="5" fontId="12" numFmtId="0" xfId="0" applyAlignment="1" applyBorder="1" applyFont="1">
      <alignment readingOrder="0" shrinkToFit="0" vertical="bottom" wrapText="1"/>
    </xf>
    <xf borderId="20" fillId="5" fontId="14" numFmtId="0" xfId="0" applyAlignment="1" applyBorder="1" applyFont="1">
      <alignment vertical="bottom"/>
    </xf>
    <xf borderId="20" fillId="5" fontId="12" numFmtId="0" xfId="0" applyAlignment="1" applyBorder="1" applyFont="1">
      <alignment shrinkToFit="0" vertical="bottom" wrapText="1"/>
    </xf>
    <xf borderId="7" fillId="4" fontId="12" numFmtId="0" xfId="0" applyAlignment="1" applyBorder="1" applyFont="1">
      <alignment shrinkToFit="0" vertical="bottom" wrapText="1"/>
    </xf>
    <xf borderId="15" fillId="4" fontId="14" numFmtId="0" xfId="0" applyAlignment="1" applyBorder="1" applyFont="1">
      <alignment vertical="bottom"/>
    </xf>
    <xf borderId="15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7" fillId="0" fontId="12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vertical="bottom"/>
    </xf>
    <xf borderId="15" fillId="0" fontId="12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1" numFmtId="0" xfId="0" applyAlignment="1" applyBorder="1" applyFont="1">
      <alignment readingOrder="0" shrinkToFit="0" vertical="bottom" wrapText="1"/>
    </xf>
    <xf borderId="21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shrinkToFit="0" vertical="bottom" wrapText="1"/>
    </xf>
    <xf borderId="20" fillId="0" fontId="15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vertical="bottom"/>
    </xf>
    <xf borderId="20" fillId="4" fontId="12" numFmtId="0" xfId="0" applyAlignment="1" applyBorder="1" applyFont="1">
      <alignment shrinkToFit="0" vertical="center" wrapText="1"/>
    </xf>
    <xf borderId="20" fillId="5" fontId="16" numFmtId="0" xfId="0" applyAlignment="1" applyBorder="1" applyFont="1">
      <alignment readingOrder="0" vertical="bottom"/>
    </xf>
    <xf borderId="20" fillId="5" fontId="17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0" fontId="18" numFmtId="0" xfId="0" applyAlignment="1" applyBorder="1" applyFont="1">
      <alignment readingOrder="0" vertical="bottom"/>
    </xf>
    <xf borderId="20" fillId="0" fontId="17" numFmtId="0" xfId="0" applyAlignment="1" applyBorder="1" applyFont="1">
      <alignment vertical="bottom"/>
    </xf>
    <xf borderId="20" fillId="4" fontId="16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4" fontId="19" numFmtId="0" xfId="0" applyAlignment="1" applyBorder="1" applyFont="1">
      <alignment readingOrder="0" vertical="bottom"/>
    </xf>
    <xf borderId="20" fillId="4" fontId="18" numFmtId="0" xfId="0" applyAlignment="1" applyBorder="1" applyFont="1">
      <alignment readingOrder="0" vertical="bottom"/>
    </xf>
    <xf borderId="20" fillId="4" fontId="17" numFmtId="0" xfId="0" applyAlignment="1" applyBorder="1" applyFont="1">
      <alignment vertical="bottom"/>
    </xf>
    <xf borderId="20" fillId="5" fontId="19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0" fillId="5" fontId="20" numFmtId="3" xfId="0" applyAlignment="1" applyFont="1" applyNumberFormat="1">
      <alignment horizontal="center" readingOrder="0" vertical="center"/>
    </xf>
    <xf borderId="15" fillId="6" fontId="9" numFmtId="9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2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75990.12</v>
      </c>
      <c r="D2" s="10"/>
      <c r="E2" s="11">
        <f t="shared" ref="E2:R2" si="1">SUM(E5,E20,E23,E26,E29,E32)</f>
        <v>51285.48</v>
      </c>
      <c r="F2" s="11">
        <f t="shared" si="1"/>
        <v>254</v>
      </c>
      <c r="G2" s="11">
        <f t="shared" si="1"/>
        <v>140</v>
      </c>
      <c r="H2" s="11">
        <f t="shared" si="1"/>
        <v>42</v>
      </c>
      <c r="I2" s="11">
        <f t="shared" si="1"/>
        <v>27</v>
      </c>
      <c r="J2" s="11">
        <f t="shared" si="1"/>
        <v>11</v>
      </c>
      <c r="K2" s="11">
        <f t="shared" si="1"/>
        <v>25</v>
      </c>
      <c r="L2" s="11">
        <f t="shared" si="1"/>
        <v>11</v>
      </c>
      <c r="M2" s="11">
        <f t="shared" si="1"/>
        <v>484</v>
      </c>
      <c r="N2" s="11">
        <f t="shared" si="1"/>
        <v>57</v>
      </c>
      <c r="O2" s="11">
        <f t="shared" si="1"/>
        <v>19</v>
      </c>
      <c r="P2" s="11">
        <f t="shared" si="1"/>
        <v>49</v>
      </c>
      <c r="Q2" s="11">
        <f t="shared" si="1"/>
        <v>20</v>
      </c>
      <c r="R2" s="11">
        <f t="shared" si="1"/>
        <v>28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1809.288571</v>
      </c>
      <c r="F4" s="24">
        <f>IFERROR((G2+R2)/F2,0)</f>
        <v>0.6614173228</v>
      </c>
      <c r="G4" s="24">
        <f>IFERROR(H2/G2,0)</f>
        <v>0.3</v>
      </c>
      <c r="H4" s="23">
        <f>(C2/C4)</f>
        <v>1187.345625</v>
      </c>
      <c r="I4" s="25"/>
      <c r="J4" s="24">
        <f>IFERROR(J2/I2,0)</f>
        <v>0.4074074074</v>
      </c>
      <c r="K4" s="25"/>
      <c r="L4" s="24">
        <f>IFERROR(L2/K2,0)</f>
        <v>0.44</v>
      </c>
      <c r="M4" s="26">
        <f>IFERROR(M2/G2,0)</f>
        <v>3.457142857</v>
      </c>
      <c r="N4" s="25"/>
      <c r="O4" s="24">
        <f>IFERROR(O2/N2,0)</f>
        <v>0.3333333333</v>
      </c>
      <c r="P4" s="26"/>
      <c r="Q4" s="24">
        <f>IFERROR(Q2/P2,0)</f>
        <v>0.4081632653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58511</v>
      </c>
      <c r="D5" s="31"/>
      <c r="E5" s="32">
        <f>SUMIFS(T:T,A:A,B5,D:D,"Y")</f>
        <v>39331</v>
      </c>
      <c r="F5" s="11">
        <f>SUMIF(A:A,B5,G:G)</f>
        <v>191</v>
      </c>
      <c r="G5" s="11">
        <f>SUMIF(A:A,B5,H:H)</f>
        <v>92</v>
      </c>
      <c r="H5" s="11">
        <f>SUMIF(A:A,B5,I:I)</f>
        <v>33</v>
      </c>
      <c r="I5" s="11">
        <f>SUMIF(A:A,B5,P:P)</f>
        <v>27</v>
      </c>
      <c r="J5" s="11">
        <f>SUMIF(A:A,B5,Q:Q)</f>
        <v>11</v>
      </c>
      <c r="K5" s="11">
        <f>SUMIF(A:A,B5,R:R)</f>
        <v>15</v>
      </c>
      <c r="L5" s="11">
        <f>SUMIF(A:A,B5,S:S)</f>
        <v>8</v>
      </c>
      <c r="M5" s="11">
        <f>SUMIF(A:A,B5,M:M)</f>
        <v>318</v>
      </c>
      <c r="N5" s="11">
        <f>SUMIF(A:A,B5,N:N)</f>
        <v>44</v>
      </c>
      <c r="O5" s="11">
        <f>SUMIF(A:A,B5,O:O)</f>
        <v>14</v>
      </c>
      <c r="P5" s="11">
        <f>SUMIF(A:A,B5,J:J)</f>
        <v>32</v>
      </c>
      <c r="Q5" s="11">
        <f>SUMIF(A:A,B5,K:K)</f>
        <v>11</v>
      </c>
      <c r="R5" s="33">
        <f>SUMIF(A:A,B5,L:L)</f>
        <v>17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1773.060606</v>
      </c>
      <c r="F7" s="41">
        <f>IFERROR((G5+R5)/F5,0)</f>
        <v>0.5706806283</v>
      </c>
      <c r="G7" s="41">
        <f>IFERROR(H5/G5,0)</f>
        <v>0.3586956522</v>
      </c>
      <c r="H7" s="40">
        <f>(C5/C7)</f>
        <v>2340.44</v>
      </c>
      <c r="I7" s="42"/>
      <c r="J7" s="41">
        <f>IFERROR(J5/I5,0)</f>
        <v>0.4074074074</v>
      </c>
      <c r="K7" s="42"/>
      <c r="L7" s="41">
        <f>IFERROR(L5/K5,0)</f>
        <v>0.5333333333</v>
      </c>
      <c r="M7" s="43">
        <f>IFERROR(M5/SUM(R5+G5,0),"")</f>
        <v>2.917431193</v>
      </c>
      <c r="N7" s="42"/>
      <c r="O7" s="41">
        <f>IFERROR(O5/N5,0)</f>
        <v>0.3181818182</v>
      </c>
      <c r="P7" s="43"/>
      <c r="Q7" s="41">
        <f>IFERROR(Q5/P5,0)</f>
        <v>0.34375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11612</v>
      </c>
      <c r="D8" s="47"/>
      <c r="E8" s="48">
        <f>SUMIFS(T:T,B:B,B8,D:D,"Y")</f>
        <v>8928</v>
      </c>
      <c r="F8" s="49">
        <f>SUMIF(B37:B1092,B8,G37:G1092)</f>
        <v>9</v>
      </c>
      <c r="G8" s="50">
        <f>SUMIF(B37:B1092,B8,H37:H1092)</f>
        <v>13</v>
      </c>
      <c r="H8" s="50">
        <f>SUMIF(B37:B1092,B8,I37:I1092)</f>
        <v>6</v>
      </c>
      <c r="I8" s="50">
        <f>SUMIF(B37:B1092,B8,P37:P1092)</f>
        <v>0</v>
      </c>
      <c r="J8" s="50">
        <f>SUMIF(B37:B1092,B8,Q37:Q1092)</f>
        <v>0</v>
      </c>
      <c r="K8" s="50">
        <f>SUMIF(B37:B1092,B8,R37:R1092)</f>
        <v>6</v>
      </c>
      <c r="L8" s="50">
        <f>SUMIF(B37:B1092,B8,S37:S1092)</f>
        <v>3</v>
      </c>
      <c r="M8" s="50">
        <f>SUMIF(B37:B1092,B8,M37:M1092)</f>
        <v>78</v>
      </c>
      <c r="N8" s="50">
        <f>SUMIF(B37:B1092,B8,N37:N1092)</f>
        <v>7</v>
      </c>
      <c r="O8" s="50">
        <f>SUMIF(B37:B1092,B8,O37:O1092)</f>
        <v>3</v>
      </c>
      <c r="P8" s="50">
        <f>SUMIF(B37:B1092,B8,J37:J1092)</f>
        <v>13</v>
      </c>
      <c r="Q8" s="50">
        <f>SUMIF(B37:B1092,B8,K37:K1092)</f>
        <v>6</v>
      </c>
      <c r="R8" s="51">
        <f>SUMIF(B37:B1092,B8,L37:L1092)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COUNTIFS(B37:B1092,B8)</f>
        <v>5</v>
      </c>
      <c r="D10" s="56"/>
      <c r="E10" s="23">
        <f>IFERROR(C8/H8,0)</f>
        <v>1935.333333</v>
      </c>
      <c r="F10" s="24">
        <f>IFERROR((G8+R8)/F8,0)</f>
        <v>1.555555556</v>
      </c>
      <c r="G10" s="24">
        <f>IFERROR(H8/G8,0)</f>
        <v>0.4615384615</v>
      </c>
      <c r="H10" s="23">
        <f>(C8/C10)</f>
        <v>2322.4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IFERROR(M8/SUM(G8+R8,0),"")</f>
        <v>5.571428571</v>
      </c>
      <c r="N10" s="25"/>
      <c r="O10" s="24">
        <f>IFERROR(O8/N8,0)</f>
        <v>0.4285714286</v>
      </c>
      <c r="P10" s="26"/>
      <c r="Q10" s="24">
        <f>IFERROR(Q8/P8,0)</f>
        <v>0.4615384615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21275</v>
      </c>
      <c r="D11" s="60"/>
      <c r="E11" s="48">
        <f>SUMIFS(T:T,B:B,B11,D:D,"Y")</f>
        <v>11903</v>
      </c>
      <c r="F11" s="49">
        <f>SUMIF(B39:B1092,B11,G39:G1092)</f>
        <v>100</v>
      </c>
      <c r="G11" s="50">
        <f>SUMIF(B39:B1092,B11,H39:H1092)</f>
        <v>43</v>
      </c>
      <c r="H11" s="50">
        <f>SUMIF(B39:B1092,B11,I39:I1092)</f>
        <v>11</v>
      </c>
      <c r="I11" s="50">
        <f>SUMIF(B39:B1092,B11,P39:P1092)</f>
        <v>11</v>
      </c>
      <c r="J11" s="50">
        <f>SUMIF(B39:B1092,B11,Q39:Q1092)</f>
        <v>4</v>
      </c>
      <c r="K11" s="50">
        <f>SUMIF(B39:B1092,B11,R39:R1092)</f>
        <v>2</v>
      </c>
      <c r="L11" s="50">
        <f>SUMIF(B39:B1092,B11,S39:S1092)</f>
        <v>1</v>
      </c>
      <c r="M11" s="50">
        <f>SUMIF(B39:B1092,B11,M39:M1092)</f>
        <v>152</v>
      </c>
      <c r="N11" s="50">
        <f>SUMIF(B39:B1092,B11,N39:N1092)</f>
        <v>24</v>
      </c>
      <c r="O11" s="50">
        <f>SUMIF(B39:B1092,B11,O39:O1092)</f>
        <v>6</v>
      </c>
      <c r="P11" s="50">
        <f>SUMIF(B39:B1092,B11,J39:J1092)</f>
        <v>9</v>
      </c>
      <c r="Q11" s="50">
        <f>SUMIF(B39:B1092,B11,K39:K1092)</f>
        <v>0</v>
      </c>
      <c r="R11" s="51">
        <f>SUMIF(B39:B1092,B11,L39:L1092)</f>
        <v>7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COUNTIFS(B39:B1092,B11)</f>
        <v>9</v>
      </c>
      <c r="D13" s="56"/>
      <c r="E13" s="23">
        <f>IFERROR(C11/H11,0)</f>
        <v>1934.090909</v>
      </c>
      <c r="F13" s="24">
        <f>IFERROR((G11+R11)/F11,0)</f>
        <v>0.5</v>
      </c>
      <c r="G13" s="24">
        <f>IFERROR(H11/G11,0)</f>
        <v>0.2558139535</v>
      </c>
      <c r="H13" s="23">
        <f>(C11/C13)</f>
        <v>2363.888889</v>
      </c>
      <c r="I13" s="25"/>
      <c r="J13" s="24">
        <f>IFERROR(J11/I11,0)</f>
        <v>0.3636363636</v>
      </c>
      <c r="K13" s="25"/>
      <c r="L13" s="24">
        <f>IFERROR(L11/K11,0)</f>
        <v>0.5</v>
      </c>
      <c r="M13" s="26">
        <f>IFERROR(M11/SUM(R11+G11,0),"")</f>
        <v>3.04</v>
      </c>
      <c r="N13" s="25"/>
      <c r="O13" s="24">
        <f>IFERROR(O11/N11,0)</f>
        <v>0.25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6339</v>
      </c>
      <c r="D14" s="60"/>
      <c r="E14" s="48">
        <f>SUMIFS(T:T,B:B,B14,D:D,"Y")</f>
        <v>4385</v>
      </c>
      <c r="F14" s="49">
        <f>SUMIF(B39:B1092,B14,G39:G1092)</f>
        <v>17</v>
      </c>
      <c r="G14" s="50">
        <f>SUMIF(B39:B1092,B14,H39:H1092)</f>
        <v>8</v>
      </c>
      <c r="H14" s="50">
        <f>SUMIF(B39:B1092,B14,I39:I1092)</f>
        <v>3</v>
      </c>
      <c r="I14" s="50">
        <f>SUMIF(B39:B1092,B14,P39:P1092)</f>
        <v>0</v>
      </c>
      <c r="J14" s="50">
        <f>SUMIF(B39:B1092,B14,Q39:Q1092)</f>
        <v>0</v>
      </c>
      <c r="K14" s="50">
        <f>SUMIF(B39:B1092,B14,R39:R1092)</f>
        <v>5</v>
      </c>
      <c r="L14" s="50">
        <f>SUMIF(B39:B1092,B14,S39:S1092)</f>
        <v>2</v>
      </c>
      <c r="M14" s="50">
        <f>SUMIF(B39:B1092,B14,M39:M1092)</f>
        <v>28</v>
      </c>
      <c r="N14" s="50">
        <f>SUMIF(B39:B1092,B14,N39:N1092)</f>
        <v>5</v>
      </c>
      <c r="O14" s="50">
        <f>SUMIF(B39:B1092,B14,O39:O1092)</f>
        <v>1</v>
      </c>
      <c r="P14" s="50">
        <f>SUMIF(B39:B1092,B14,J39:J1092)</f>
        <v>4</v>
      </c>
      <c r="Q14" s="50">
        <f>SUMIF(B39:B1092,B14,K39:K1092)</f>
        <v>2</v>
      </c>
      <c r="R14" s="51">
        <f>SUMIF(B39:B1092,B14,L39:L1092)</f>
        <v>7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COUNTIFS(B39:B1092,B14)</f>
        <v>7</v>
      </c>
      <c r="D16" s="56"/>
      <c r="E16" s="23">
        <f>IFERROR(C14/H14,0)</f>
        <v>2113</v>
      </c>
      <c r="F16" s="24">
        <f>IFERROR((G14+R14)/F14,0)</f>
        <v>0.8823529412</v>
      </c>
      <c r="G16" s="24">
        <f>IFERROR(H14/G14,0)</f>
        <v>0.375</v>
      </c>
      <c r="H16" s="23">
        <f>(C14/C16)</f>
        <v>905.5714286</v>
      </c>
      <c r="I16" s="25"/>
      <c r="J16" s="24">
        <f>IFERROR(J14/I14,0)</f>
        <v>0</v>
      </c>
      <c r="K16" s="25"/>
      <c r="L16" s="24">
        <f>IFERROR(L14/K14,0)</f>
        <v>0.4</v>
      </c>
      <c r="M16" s="26">
        <f>IFERROR(M14/SUM(R14+G14,0),"")</f>
        <v>1.866666667</v>
      </c>
      <c r="N16" s="25"/>
      <c r="O16" s="24">
        <f>IFERROR(O14/N14,0)</f>
        <v>0.2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19285</v>
      </c>
      <c r="D17" s="60"/>
      <c r="E17" s="48">
        <f>SUMIFS(T:T,B:B,B17,D:D,"Y")</f>
        <v>14115</v>
      </c>
      <c r="F17" s="49">
        <f>SUMIF(B45:B1092,B17,G45:G1092)</f>
        <v>65</v>
      </c>
      <c r="G17" s="50">
        <f>SUMIF(B45:B1092,B17,H45:H1092)</f>
        <v>28</v>
      </c>
      <c r="H17" s="50">
        <f>SUMIF(B45:B1092,B17,I45:I1092)</f>
        <v>13</v>
      </c>
      <c r="I17" s="50">
        <f>SUMIF(B45:B1092,B17,P45:P1092)</f>
        <v>16</v>
      </c>
      <c r="J17" s="50">
        <f>SUMIF(B45:B1092,B17,Q45:Q1092)</f>
        <v>7</v>
      </c>
      <c r="K17" s="50">
        <f>SUMIF(B45:B1092,B17,R45:R1092)</f>
        <v>2</v>
      </c>
      <c r="L17" s="50">
        <f>SUMIF(B45:B1092,B17,S45:S1092)</f>
        <v>2</v>
      </c>
      <c r="M17" s="50">
        <f>SUMIF(B45:B1092,B17,M45:M1092)</f>
        <v>60</v>
      </c>
      <c r="N17" s="50">
        <f>SUMIF(B45:B1092,B17,N45:N1092)</f>
        <v>8</v>
      </c>
      <c r="O17" s="50">
        <f>SUMIF(B45:B1092,B17,O45:O1092)</f>
        <v>4</v>
      </c>
      <c r="P17" s="50">
        <f>SUMIF(B45:B1092,B17,J45:J1092)</f>
        <v>6</v>
      </c>
      <c r="Q17" s="50">
        <f>SUMIF(B45:B1092,B17,K45:K1092)</f>
        <v>3</v>
      </c>
      <c r="R17" s="51">
        <f>SUMIF(B45:B1092,B17,L45:L1092)</f>
        <v>2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COUNTIFS(B45:B1092,B17)</f>
        <v>3</v>
      </c>
      <c r="D19" s="56"/>
      <c r="E19" s="23">
        <f>IFERROR(C17/H17,0)</f>
        <v>1483.461538</v>
      </c>
      <c r="F19" s="24">
        <f>IFERROR((G17+R17)/F17,0)</f>
        <v>0.4615384615</v>
      </c>
      <c r="G19" s="24">
        <f>IFERROR(H17/G17,0)</f>
        <v>0.4642857143</v>
      </c>
      <c r="H19" s="23">
        <f>(C17/C19)</f>
        <v>6428.333333</v>
      </c>
      <c r="I19" s="25"/>
      <c r="J19" s="24">
        <f>IFERROR(J17/I17,0)</f>
        <v>0.4375</v>
      </c>
      <c r="K19" s="25"/>
      <c r="L19" s="24">
        <f>IFERROR(L17/K17,0)</f>
        <v>1</v>
      </c>
      <c r="M19" s="26">
        <f>IFERROR(M17/SUM(R17+G17,0),"")</f>
        <v>2</v>
      </c>
      <c r="N19" s="25"/>
      <c r="O19" s="24">
        <f>IFERROR(O17/N17,0)</f>
        <v>0.5</v>
      </c>
      <c r="P19" s="26"/>
      <c r="Q19" s="24">
        <f>IFERROR(Q17/P17,0)</f>
        <v>0.5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10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6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0.2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3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11058</v>
      </c>
      <c r="D23" s="31"/>
      <c r="E23" s="64">
        <f>SUMIFS(T:T,A:A,B23,D:D,"Y")</f>
        <v>8903</v>
      </c>
      <c r="F23" s="9">
        <f>SUMIF(A:A,B23,G:G)</f>
        <v>19</v>
      </c>
      <c r="G23" s="11">
        <f>SUMIF(A:A,B23,H:H)</f>
        <v>14</v>
      </c>
      <c r="H23" s="11">
        <f>SUMIF(A:A,B23,I:I)</f>
        <v>5</v>
      </c>
      <c r="I23" s="11">
        <f>SUMIF(A:A,B23,P:P)</f>
        <v>0</v>
      </c>
      <c r="J23" s="11">
        <f>SUMIF(A:A,B23,Q:Q)</f>
        <v>0</v>
      </c>
      <c r="K23" s="11">
        <f>SUMIF(A:A,B23,R:R)</f>
        <v>6</v>
      </c>
      <c r="L23" s="11">
        <f>SUMIF(A:A,B23,S:S)</f>
        <v>2</v>
      </c>
      <c r="M23" s="11">
        <f>SUMIF(A:A,B23,M:M)</f>
        <v>56</v>
      </c>
      <c r="N23" s="11">
        <f>SUMIF(A:A,B23,N:N)</f>
        <v>3</v>
      </c>
      <c r="O23" s="11">
        <f>SUMIF(A:A,B23,O:O)</f>
        <v>2</v>
      </c>
      <c r="P23" s="11">
        <f>SUMIF(A:A,B23,J:J)</f>
        <v>9</v>
      </c>
      <c r="Q23" s="11">
        <f>SUMIF(A:A,B23,K:K)</f>
        <v>6</v>
      </c>
      <c r="R23" s="33">
        <f>SUMIF(A:A,B23,L:L)</f>
        <v>6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2211.6</v>
      </c>
      <c r="F25" s="24">
        <f>IFERROR((G23+R23)/F23,0)</f>
        <v>1.052631579</v>
      </c>
      <c r="G25" s="24">
        <f>IFERROR(H23/G23,0)</f>
        <v>0.3571428571</v>
      </c>
      <c r="H25" s="23">
        <f>(C23/C25)</f>
        <v>1105.8</v>
      </c>
      <c r="I25" s="25"/>
      <c r="J25" s="24">
        <f>IFERROR(J23/I23,0)</f>
        <v>0</v>
      </c>
      <c r="K25" s="25"/>
      <c r="L25" s="24">
        <f>IFERROR(L23/K23,0)</f>
        <v>0.3333333333</v>
      </c>
      <c r="M25" s="26">
        <f>IFERROR(M23/SUM(R23+G23,0),"")</f>
        <v>2.8</v>
      </c>
      <c r="N25" s="25"/>
      <c r="O25" s="24">
        <f>IFERROR(O23/N23,0)</f>
        <v>0.6666666667</v>
      </c>
      <c r="P25" s="26"/>
      <c r="Q25" s="24">
        <f>IFERROR(Q23/P23,0)</f>
        <v>0.6666666667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3051.48</v>
      </c>
      <c r="D26" s="31"/>
      <c r="E26" s="64">
        <f>SUMIFS(T:T,A:A,B26,D:D,"Y")</f>
        <v>3051.48</v>
      </c>
      <c r="F26" s="9">
        <f>SUMIF(A:A,B26,G:G)</f>
        <v>5</v>
      </c>
      <c r="G26" s="11">
        <f>SUMIF(A:A,B26,H:H)</f>
        <v>11</v>
      </c>
      <c r="H26" s="11">
        <f>SUMIF(A:A,B26,I:I)</f>
        <v>2</v>
      </c>
      <c r="I26" s="11">
        <f>SUMIF(A:A,B26,P:P)</f>
        <v>0</v>
      </c>
      <c r="J26" s="11">
        <f>SUMIF(A:A,B26,Q:Q)</f>
        <v>0</v>
      </c>
      <c r="K26" s="11">
        <f>SUMIF(A:A,B26,R:R)</f>
        <v>3</v>
      </c>
      <c r="L26" s="11">
        <f>SUMIF(A:A,B26,S:S)</f>
        <v>0</v>
      </c>
      <c r="M26" s="11">
        <f>SUMIF(A:A,B26,M:M)</f>
        <v>34</v>
      </c>
      <c r="N26" s="11">
        <f>SUMIF(A:A,B26,N:N)</f>
        <v>8</v>
      </c>
      <c r="O26" s="11">
        <f>SUMIF(A:A,B26,O:O)</f>
        <v>2</v>
      </c>
      <c r="P26" s="11">
        <f>SUMIF(A:A,B26,J:J)</f>
        <v>6</v>
      </c>
      <c r="Q26" s="11">
        <f>SUMIF(A:A,B26,K:K)</f>
        <v>2</v>
      </c>
      <c r="R26" s="33">
        <f>SUMIF(A:A,B26,L:L)</f>
        <v>4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1525.74</v>
      </c>
      <c r="F28" s="24">
        <f>IFERROR((G26+R26)/F26,0)</f>
        <v>3</v>
      </c>
      <c r="G28" s="24">
        <f>IFERROR(H26/G26,0)</f>
        <v>0.1818181818</v>
      </c>
      <c r="H28" s="23">
        <f>(C26/C28)</f>
        <v>610.296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2.266666667</v>
      </c>
      <c r="N28" s="25"/>
      <c r="O28" s="24">
        <f>IFERROR(O26/N26,0)</f>
        <v>0.25</v>
      </c>
      <c r="P28" s="26"/>
      <c r="Q28" s="24">
        <f>IFERROR(Q26/P26,0)</f>
        <v>0.3333333333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3369.64</v>
      </c>
      <c r="D29" s="68"/>
      <c r="E29" s="69">
        <f>SUMIFS(T:T,A:A,B29,D:D,"Y")</f>
        <v>0</v>
      </c>
      <c r="F29" s="70">
        <f>SUMIF(A:A,B29,G:G)</f>
        <v>29</v>
      </c>
      <c r="G29" s="71">
        <f>SUMIF(A:A,B29,H:H)</f>
        <v>22</v>
      </c>
      <c r="H29" s="71">
        <f>SUMIF(A:A,B29,I:I)</f>
        <v>2</v>
      </c>
      <c r="I29" s="71">
        <f>SUMIF(A:A,B29,P:P)</f>
        <v>0</v>
      </c>
      <c r="J29" s="71">
        <f>SUMIF(A:A,B29,Q:Q)</f>
        <v>0</v>
      </c>
      <c r="K29" s="71">
        <f>SUMIF(A:A,B29,R:R)</f>
        <v>1</v>
      </c>
      <c r="L29" s="71">
        <f>SUMIF(A:A,B29,S:S)</f>
        <v>1</v>
      </c>
      <c r="M29" s="71">
        <f>SUMIF(A:A,B29,M:M)</f>
        <v>70</v>
      </c>
      <c r="N29" s="71">
        <f>SUMIF(A:A,B29,N:N)</f>
        <v>1</v>
      </c>
      <c r="O29" s="71">
        <f>SUMIF(A:A,B29,O:O)</f>
        <v>1</v>
      </c>
      <c r="P29" s="71">
        <f>SUMIF(A:A,B29,J:J)</f>
        <v>1</v>
      </c>
      <c r="Q29" s="71">
        <f>SUMIF(A:A,B29,K:K)</f>
        <v>1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1684.82</v>
      </c>
      <c r="F31" s="82">
        <f>IFERROR((G29+R29)/F29,0)</f>
        <v>0.7586206897</v>
      </c>
      <c r="G31" s="82">
        <f>IFERROR(H29/G29,0)</f>
        <v>0.09090909091</v>
      </c>
      <c r="H31" s="81">
        <f>(C29/C31)</f>
        <v>198.2141176</v>
      </c>
      <c r="I31" s="83"/>
      <c r="J31" s="82">
        <f>IFERROR(J29/I29,0)</f>
        <v>0</v>
      </c>
      <c r="K31" s="83"/>
      <c r="L31" s="82">
        <f>IFERROR(L29/K29,0)</f>
        <v>1</v>
      </c>
      <c r="M31" s="84">
        <f>IFERROR(M29/SUM(R29+G29,0),"")</f>
        <v>3.181818182</v>
      </c>
      <c r="N31" s="83"/>
      <c r="O31" s="82">
        <f>IFERROR(O29/N29,0)</f>
        <v>1</v>
      </c>
      <c r="P31" s="84"/>
      <c r="Q31" s="82">
        <f>IFERROR(Q29/P29,0)</f>
        <v>1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>
        <f>('Thurs (2)'!G39+Thurs!G39+'Tues '!G39+Wed!G39+Fri!G39+'Mon '!G39+'Wed (2)'!G39+Sun!G39+Sat!G39)</f>
        <v>6</v>
      </c>
      <c r="H39" s="103">
        <f>('Thurs (2)'!H39+Thurs!H39+'Tues '!H39+Wed!H39+Fri!H39+'Mon '!H39+'Wed (2)'!H39+Sun!H39+Sat!H39)</f>
        <v>6</v>
      </c>
      <c r="I39" s="103">
        <f>('Thurs (2)'!I39+Thurs!I39+'Tues '!I39+Wed!I39+Fri!I39+'Mon '!I39+'Wed (2)'!I39+Sun!I39+Sat!I39)</f>
        <v>3</v>
      </c>
      <c r="J39" s="103">
        <f>('Thurs (2)'!J39+Thurs!J39+'Tues '!J39+Wed!J39+Fri!J39+'Mon '!J39+'Wed (2)'!J39+Sun!J39+Sat!J39)</f>
        <v>6</v>
      </c>
      <c r="K39" s="103">
        <f>('Thurs (2)'!K39+Thurs!K39+'Tues '!K39+Wed!K39+Fri!K39+'Mon '!K39+'Wed (2)'!K39+Sun!K39+Sat!K39)</f>
        <v>3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39</v>
      </c>
      <c r="N39" s="103">
        <f>('Thurs (2)'!N39+Thurs!N39+'Tues '!N39+Wed!N39+Fri!N39+'Mon '!N39+'Wed (2)'!N39+Sun!N39+Sat!N39)</f>
        <v>4</v>
      </c>
      <c r="O39" s="103">
        <f>('Thurs (2)'!O39+Thurs!O39+'Tues '!O39+Wed!O39+Fri!O39+'Mon '!O39+'Wed (2)'!O39+Sun!O39+Sat!O39)</f>
        <v>2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2</v>
      </c>
      <c r="S39" s="103">
        <f>('Thurs (2)'!S39+Thurs!S39+'Tues '!S39+Wed!S39+Fri!S39+'Mon '!S39+'Wed (2)'!S39+Sun!S39+Sat!S39)</f>
        <v>1</v>
      </c>
      <c r="T39" s="103">
        <f>('Thurs (2)'!T39+Thurs!T39+'Tues '!T39+Wed!T39+Fri!T39+'Mon '!T39+'Wed (2)'!T39+Sun!T39+Sat!T39)</f>
        <v>6604</v>
      </c>
      <c r="U39" s="104">
        <f t="shared" si="2"/>
        <v>0.5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>
        <f>('Thurs (2)'!G40+Thurs!G40+'Tues '!G40+Wed!G40+Fri!G40+'Mon '!G40+'Wed (2)'!G40+Sun!G40+Sat!G40)</f>
        <v>2</v>
      </c>
      <c r="H40" s="103">
        <f>('Thurs (2)'!H40+Thurs!H40+'Tues '!H40+Wed!H40+Fri!H40+'Mon '!H40+'Wed (2)'!H40+Sun!H40+Sat!H40)</f>
        <v>2</v>
      </c>
      <c r="I40" s="103">
        <f>('Thurs (2)'!I40+Thurs!I40+'Tues '!I40+Wed!I40+Fri!I40+'Mon '!I40+'Wed (2)'!I40+Sun!I40+Sat!I40)</f>
        <v>0</v>
      </c>
      <c r="J40" s="103">
        <f>('Thurs (2)'!J40+Thurs!J40+'Tues '!J40+Wed!J40+Fri!J40+'Mon '!J40+'Wed (2)'!J40+Sun!J40+Sat!J40)</f>
        <v>2</v>
      </c>
      <c r="K40" s="103">
        <f>('Thurs (2)'!K40+Thurs!K40+'Tues '!K40+Wed!K40+Fri!K40+'Mon '!K40+'Wed (2)'!K40+Sun!K40+Sat!K40)</f>
        <v>0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5</v>
      </c>
      <c r="N40" s="103">
        <f>('Thurs (2)'!N40+Thurs!N40+'Tues '!N40+Wed!N40+Fri!N40+'Mon '!N40+'Wed (2)'!N40+Sun!N40+Sat!N40)</f>
        <v>1</v>
      </c>
      <c r="O40" s="103">
        <f>('Thurs (2)'!O40+Thurs!O40+'Tues '!O40+Wed!O40+Fri!O40+'Mon '!O40+'Wed (2)'!O40+Sun!O40+Sat!O40)</f>
        <v>0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1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0</v>
      </c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4</v>
      </c>
      <c r="I41" s="103">
        <f>('Thurs (2)'!I41+Thurs!I41+'Tues '!I41+Wed!I41+Fri!I41+'Mon '!I41+'Wed (2)'!I41+Sun!I41+Sat!I41)</f>
        <v>2</v>
      </c>
      <c r="J41" s="103">
        <f>('Thurs (2)'!J41+Thurs!J41+'Tues '!J41+Wed!J41+Fri!J41+'Mon '!J41+'Wed (2)'!J41+Sun!J41+Sat!J41)</f>
        <v>4</v>
      </c>
      <c r="K41" s="103">
        <f>('Thurs (2)'!K41+Thurs!K41+'Tues '!K41+Wed!K41+Fri!K41+'Mon '!K41+'Wed (2)'!K41+Sun!K41+Sat!K41)</f>
        <v>2</v>
      </c>
      <c r="L41" s="103">
        <f>('Thurs (2)'!L41+Thurs!L41+'Tues '!L41+Wed!L41+Fri!L41+'Mon '!L41+'Wed (2)'!L41+Sun!L41+Sat!L41)</f>
        <v>1</v>
      </c>
      <c r="M41" s="103">
        <f>('Thurs (2)'!M41+Thurs!M41+'Tues '!M41+Wed!M41+Fri!M41+'Mon '!M41+'Wed (2)'!M41+Sun!M41+Sat!M41)</f>
        <v>22</v>
      </c>
      <c r="N41" s="103">
        <f>('Thurs (2)'!N41+Thurs!N41+'Tues '!N41+Wed!N41+Fri!N41+'Mon '!N41+'Wed (2)'!N41+Sun!N41+Sat!N41)</f>
        <v>2</v>
      </c>
      <c r="O41" s="103">
        <f>('Thurs (2)'!O41+Thurs!O41+'Tues '!O41+Wed!O41+Fri!O41+'Mon '!O41+'Wed (2)'!O41+Sun!O41+Sat!O41)</f>
        <v>1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2</v>
      </c>
      <c r="S41" s="103">
        <f>('Thurs (2)'!S41+Thurs!S41+'Tues '!S41+Wed!S41+Fri!S41+'Mon '!S41+'Wed (2)'!S41+Sun!S41+Sat!S41)</f>
        <v>1</v>
      </c>
      <c r="T41" s="103">
        <f>('Thurs (2)'!T41+Thurs!T41+'Tues '!T41+Wed!T41+Fri!T41+'Mon '!T41+'Wed (2)'!T41+Sun!T41+Sat!T41)</f>
        <v>2324</v>
      </c>
      <c r="U41" s="104">
        <f t="shared" si="2"/>
        <v>0.5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>
        <f>('Thurs (2)'!G42+Thurs!G42+'Tues '!G42+Wed!G42+Fri!G42+'Mon '!G42+'Wed (2)'!G42+Sun!G42+Sat!G42)</f>
        <v>1</v>
      </c>
      <c r="H42" s="103">
        <f>('Thurs (2)'!H42+Thurs!H42+'Tues '!H42+Wed!H42+Fri!H42+'Mon '!H42+'Wed (2)'!H42+Sun!H42+Sat!H42)</f>
        <v>1</v>
      </c>
      <c r="I42" s="103">
        <f>('Thurs (2)'!I42+Thurs!I42+'Tues '!I42+Wed!I42+Fri!I42+'Mon '!I42+'Wed (2)'!I42+Sun!I42+Sat!I42)</f>
        <v>1</v>
      </c>
      <c r="J42" s="103">
        <f>('Thurs (2)'!J42+Thurs!J42+'Tues '!J42+Wed!J42+Fri!J42+'Mon '!J42+'Wed (2)'!J42+Sun!J42+Sat!J42)</f>
        <v>1</v>
      </c>
      <c r="K42" s="103">
        <f>('Thurs (2)'!K42+Thurs!K42+'Tues '!K42+Wed!K42+Fri!K42+'Mon '!K42+'Wed (2)'!K42+Sun!K42+Sat!K42)</f>
        <v>1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12</v>
      </c>
      <c r="N42" s="103">
        <f>('Thurs (2)'!N42+Thurs!N42+'Tues '!N42+Wed!N42+Fri!N42+'Mon '!N42+'Wed (2)'!N42+Sun!N42+Sat!N42)</f>
        <v>0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1</v>
      </c>
      <c r="S42" s="103">
        <f>('Thurs (2)'!S42+Thurs!S42+'Tues '!S42+Wed!S42+Fri!S42+'Mon '!S42+'Wed (2)'!S42+Sun!S42+Sat!S42)</f>
        <v>1</v>
      </c>
      <c r="T42" s="103">
        <f>('Thurs (2)'!T42+Thurs!T42+'Tues '!T42+Wed!T42+Fri!T42+'Mon '!T42+'Wed (2)'!T42+Sun!T42+Sat!T42)</f>
        <v>2684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>
        <f>('Thurs (2)'!G43+Thurs!G43+'Tues '!G43+Wed!G43+Fri!G43+'Mon '!G43+'Wed (2)'!G43+Sun!G43+Sat!G43)</f>
        <v>45</v>
      </c>
      <c r="H43" s="103">
        <f>('Thurs (2)'!H43+Thurs!H43+'Tues '!H43+Wed!H43+Fri!H43+'Mon '!H43+'Wed (2)'!H43+Sun!H43+Sat!H43)</f>
        <v>11</v>
      </c>
      <c r="I43" s="103">
        <f>('Thurs (2)'!I43+Thurs!I43+'Tues '!I43+Wed!I43+Fri!I43+'Mon '!I43+'Wed (2)'!I43+Sun!I43+Sat!I43)</f>
        <v>5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1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1</v>
      </c>
      <c r="O43" s="103">
        <f>('Thurs (2)'!O43+Thurs!O43+'Tues '!O43+Wed!O43+Fri!O43+'Mon '!O43+'Wed (2)'!O43+Sun!O43+Sat!O43)</f>
        <v>1</v>
      </c>
      <c r="P43" s="103">
        <f>('Thurs (2)'!P43+Thurs!P43+'Tues '!P43+Wed!P43+Fri!P43+'Mon '!P43+'Wed (2)'!P43+Sun!P43+Sat!P43)</f>
        <v>10</v>
      </c>
      <c r="Q43" s="103">
        <f>('Thurs (2)'!Q43+Thurs!Q43+'Tues '!Q43+Wed!Q43+Fri!Q43+'Mon '!Q43+'Wed (2)'!Q43+Sun!Q43+Sat!Q43)</f>
        <v>4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10126</v>
      </c>
      <c r="U43" s="104">
        <f t="shared" si="2"/>
        <v>0.4545454545</v>
      </c>
      <c r="V43" s="104">
        <f t="shared" si="3"/>
        <v>0.2666666667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>
        <f>('Thurs (2)'!G44+Thurs!G44+'Tues '!G44+Wed!G44+Fri!G44+'Mon '!G44+'Wed (2)'!G44+Sun!G44+Sat!G44)</f>
        <v>4</v>
      </c>
      <c r="H44" s="103">
        <f>('Thurs (2)'!H44+Thurs!H44+'Tues '!H44+Wed!H44+Fri!H44+'Mon '!H44+'Wed (2)'!H44+Sun!H44+Sat!H44)</f>
        <v>2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1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1</v>
      </c>
      <c r="M44" s="103">
        <f>('Thurs (2)'!M44+Thurs!M44+'Tues '!M44+Wed!M44+Fri!M44+'Mon '!M44+'Wed (2)'!M44+Sun!M44+Sat!M44)</f>
        <v>9</v>
      </c>
      <c r="N44" s="103">
        <f>('Thurs (2)'!N44+Thurs!N44+'Tues '!N44+Wed!N44+Fri!N44+'Mon '!N44+'Wed (2)'!N44+Sun!N44+Sat!N44)</f>
        <v>2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0.75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>
        <f>('Thurs (2)'!G45+Thurs!G45+'Tues '!G45+Wed!G45+Fri!G45+'Mon '!G45+'Wed (2)'!G45+Sun!G45+Sat!G45)</f>
        <v>0</v>
      </c>
      <c r="H45" s="103">
        <f>('Thurs (2)'!H45+Thurs!H45+'Tues '!H45+Wed!H45+Fri!H45+'Mon '!H45+'Wed (2)'!H45+Sun!H45+Sat!H45)</f>
        <v>1</v>
      </c>
      <c r="I45" s="103">
        <f>('Thurs (2)'!I45+Thurs!I45+'Tues '!I45+Wed!I45+Fri!I45+'Mon '!I45+'Wed (2)'!I45+Sun!I45+Sat!I45)</f>
        <v>1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0</v>
      </c>
      <c r="N45" s="103">
        <f>('Thurs (2)'!N45+Thurs!N45+'Tues '!N45+Wed!N45+Fri!N45+'Mon '!N45+'Wed (2)'!N45+Sun!N45+Sat!N45)</f>
        <v>1</v>
      </c>
      <c r="O45" s="103">
        <f>('Thurs (2)'!O45+Thurs!O45+'Tues '!O45+Wed!O45+Fri!O45+'Mon '!O45+'Wed (2)'!O45+Sun!O45+Sat!O45)</f>
        <v>1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0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1776</v>
      </c>
      <c r="U45" s="104">
        <f t="shared" si="2"/>
        <v>1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>
        <f>('Thurs (2)'!G46+Thurs!G46+'Tues '!G46+Wed!G46+Fri!G46+'Mon '!G46+'Wed (2)'!G46+Sun!G46+Sat!G46)</f>
        <v>4</v>
      </c>
      <c r="H46" s="103">
        <f>('Thurs (2)'!H46+Thurs!H46+'Tues '!H46+Wed!H46+Fri!H46+'Mon '!H46+'Wed (2)'!H46+Sun!H46+Sat!H46)</f>
        <v>4</v>
      </c>
      <c r="I46" s="103">
        <f>('Thurs (2)'!I46+Thurs!I46+'Tues '!I46+Wed!I46+Fri!I46+'Mon '!I46+'Wed (2)'!I46+Sun!I46+Sat!I46)</f>
        <v>1</v>
      </c>
      <c r="J46" s="103">
        <f>('Thurs (2)'!J46+Thurs!J46+'Tues '!J46+Wed!J46+Fri!J46+'Mon '!J46+'Wed (2)'!J46+Sun!J46+Sat!J46)</f>
        <v>0</v>
      </c>
      <c r="K46" s="103">
        <f>('Thurs (2)'!K46+Thurs!K46+'Tues '!K46+Wed!K46+Fri!K46+'Mon '!K46+'Wed (2)'!K46+Sun!K46+Sat!K46)</f>
        <v>0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18</v>
      </c>
      <c r="N46" s="103">
        <f>('Thurs (2)'!N46+Thurs!N46+'Tues '!N46+Wed!N46+Fri!N46+'Mon '!N46+'Wed (2)'!N46+Sun!N46+Sat!N46)</f>
        <v>1</v>
      </c>
      <c r="O46" s="103">
        <f>('Thurs (2)'!O46+Thurs!O46+'Tues '!O46+Wed!O46+Fri!O46+'Mon '!O46+'Wed (2)'!O46+Sun!O46+Sat!O46)</f>
        <v>0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1</v>
      </c>
      <c r="S46" s="103">
        <f>('Thurs (2)'!S46+Thurs!S46+'Tues '!S46+Wed!S46+Fri!S46+'Mon '!S46+'Wed (2)'!S46+Sun!S46+Sat!S46)</f>
        <v>1</v>
      </c>
      <c r="T46" s="103">
        <f>('Thurs (2)'!T46+Thurs!T46+'Tues '!T46+Wed!T46+Fri!T46+'Mon '!T46+'Wed (2)'!T46+Sun!T46+Sat!T46)</f>
        <v>2925</v>
      </c>
      <c r="U46" s="104">
        <f t="shared" si="2"/>
        <v>0.25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>
        <f>('Thurs (2)'!G47+Thurs!G47+'Tues '!G47+Wed!G47+Fri!G47+'Mon '!G47+'Wed (2)'!G47+Sun!G47+Sat!G47)</f>
        <v>9</v>
      </c>
      <c r="H47" s="103">
        <f>('Thurs (2)'!H47+Thurs!H47+'Tues '!H47+Wed!H47+Fri!H47+'Mon '!H47+'Wed (2)'!H47+Sun!H47+Sat!H47)</f>
        <v>9</v>
      </c>
      <c r="I47" s="103">
        <f>('Thurs (2)'!I47+Thurs!I47+'Tues '!I47+Wed!I47+Fri!I47+'Mon '!I47+'Wed (2)'!I47+Sun!I47+Sat!I47)</f>
        <v>1</v>
      </c>
      <c r="J47" s="103">
        <f>('Thurs (2)'!J47+Thurs!J47+'Tues '!J47+Wed!J47+Fri!J47+'Mon '!J47+'Wed (2)'!J47+Sun!J47+Sat!J47)</f>
        <v>4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3</v>
      </c>
      <c r="M47" s="103">
        <f>('Thurs (2)'!M47+Thurs!M47+'Tues '!M47+Wed!M47+Fri!M47+'Mon '!M47+'Wed (2)'!M47+Sun!M47+Sat!M47)</f>
        <v>51</v>
      </c>
      <c r="N47" s="103">
        <f>('Thurs (2)'!N47+Thurs!N47+'Tues '!N47+Wed!N47+Fri!N47+'Mon '!N47+'Wed (2)'!N47+Sun!N47+Sat!N47)</f>
        <v>5</v>
      </c>
      <c r="O47" s="103">
        <f>('Thurs (2)'!O47+Thurs!O47+'Tues '!O47+Wed!O47+Fri!O47+'Mon '!O47+'Wed (2)'!O47+Sun!O47+Sat!O47)</f>
        <v>1</v>
      </c>
      <c r="P47" s="103">
        <f>('Thurs (2)'!P47+Thurs!P47+'Tues '!P47+Wed!P47+Fri!P47+'Mon '!P47+'Wed (2)'!P47+Sun!P47+Sat!P47)</f>
        <v>1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1777</v>
      </c>
      <c r="U47" s="104">
        <f t="shared" si="2"/>
        <v>0.1111111111</v>
      </c>
      <c r="V47" s="104">
        <f t="shared" si="3"/>
        <v>1.333333333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>
        <f>('Thurs (2)'!G49+Thurs!G49+'Tues '!G49+Wed!G49+Fri!G49+'Mon '!G49+'Wed (2)'!G49+Sun!G49+Sat!G49)</f>
        <v>16</v>
      </c>
      <c r="H49" s="103">
        <f>('Thurs (2)'!H49+Thurs!H49+'Tues '!H49+Wed!H49+Fri!H49+'Mon '!H49+'Wed (2)'!H49+Sun!H49+Sat!H49)</f>
        <v>4</v>
      </c>
      <c r="I49" s="103">
        <f>('Thurs (2)'!I49+Thurs!I49+'Tues '!I49+Wed!I49+Fri!I49+'Mon '!I49+'Wed (2)'!I49+Sun!I49+Sat!I49)</f>
        <v>1</v>
      </c>
      <c r="J49" s="103">
        <f>('Thurs (2)'!J49+Thurs!J49+'Tues '!J49+Wed!J49+Fri!J49+'Mon '!J49+'Wed (2)'!J49+Sun!J49+Sat!J49)</f>
        <v>2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2</v>
      </c>
      <c r="M49" s="103">
        <f>('Thurs (2)'!M49+Thurs!M49+'Tues '!M49+Wed!M49+Fri!M49+'Mon '!M49+'Wed (2)'!M49+Sun!M49+Sat!M49)</f>
        <v>30</v>
      </c>
      <c r="N49" s="103">
        <f>('Thurs (2)'!N49+Thurs!N49+'Tues '!N49+Wed!N49+Fri!N49+'Mon '!N49+'Wed (2)'!N49+Sun!N49+Sat!N49)</f>
        <v>3</v>
      </c>
      <c r="O49" s="103">
        <f>('Thurs (2)'!O49+Thurs!O49+'Tues '!O49+Wed!O49+Fri!O49+'Mon '!O49+'Wed (2)'!O49+Sun!O49+Sat!O49)</f>
        <v>1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1</v>
      </c>
      <c r="S49" s="103">
        <f>('Thurs (2)'!S49+Thurs!S49+'Tues '!S49+Wed!S49+Fri!S49+'Mon '!S49+'Wed (2)'!S49+Sun!S49+Sat!S49)</f>
        <v>0</v>
      </c>
      <c r="T49" s="103">
        <f>('Thurs (2)'!T49+Thurs!T49+'Tues '!T49+Wed!T49+Fri!T49+'Mon '!T49+'Wed (2)'!T49+Sun!T49+Sat!T49)</f>
        <v>1490</v>
      </c>
      <c r="U49" s="104">
        <f t="shared" si="2"/>
        <v>0.25</v>
      </c>
      <c r="V49" s="104">
        <f t="shared" si="3"/>
        <v>0.375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>
        <f>('Thurs (2)'!G50+Thurs!G50+'Tues '!G50+Wed!G50+Fri!G50+'Mon '!G50+'Wed (2)'!G50+Sun!G50+Sat!G50)</f>
        <v>0</v>
      </c>
      <c r="H50" s="103">
        <f>('Thurs (2)'!H50+Thurs!H50+'Tues '!H50+Wed!H50+Fri!H50+'Mon '!H50+'Wed (2)'!H50+Sun!H50+Sat!H50)</f>
        <v>0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0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0</v>
      </c>
      <c r="N50" s="103">
        <f>('Thurs (2)'!N50+Thurs!N50+'Tues '!N50+Wed!N50+Fri!N50+'Mon '!N50+'Wed (2)'!N50+Sun!N50+Sat!N50)</f>
        <v>0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0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03">
        <f>('Thurs (2)'!G51+Thurs!G51+'Tues '!G51+Wed!G51+Fri!G51+'Mon '!G51+'Wed (2)'!G51+Sun!G51+Sat!G51)</f>
        <v>22</v>
      </c>
      <c r="H51" s="103">
        <f>('Thurs (2)'!H51+Thurs!H51+'Tues '!H51+Wed!H51+Fri!H51+'Mon '!H51+'Wed (2)'!H51+Sun!H51+Sat!H51)</f>
        <v>12</v>
      </c>
      <c r="I51" s="103">
        <f>('Thurs (2)'!I51+Thurs!I51+'Tues '!I51+Wed!I51+Fri!I51+'Mon '!I51+'Wed (2)'!I51+Sun!I51+Sat!I51)</f>
        <v>2</v>
      </c>
      <c r="J51" s="103">
        <f>('Thurs (2)'!J51+Thurs!J51+'Tues '!J51+Wed!J51+Fri!J51+'Mon '!J51+'Wed (2)'!J51+Sun!J51+Sat!J51)</f>
        <v>2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44</v>
      </c>
      <c r="N51" s="103">
        <f>('Thurs (2)'!N51+Thurs!N51+'Tues '!N51+Wed!N51+Fri!N51+'Mon '!N51+'Wed (2)'!N51+Sun!N51+Sat!N51)</f>
        <v>11</v>
      </c>
      <c r="O51" s="103">
        <f>('Thurs (2)'!O51+Thurs!O51+'Tues '!O51+Wed!O51+Fri!O51+'Mon '!O51+'Wed (2)'!O51+Sun!O51+Sat!O51)</f>
        <v>2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3181</v>
      </c>
      <c r="U51" s="104">
        <f t="shared" si="2"/>
        <v>0.1666666667</v>
      </c>
      <c r="V51" s="104">
        <f t="shared" si="3"/>
        <v>0.5454545455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>
        <f>('Thurs (2)'!G52+Thurs!G52+'Tues '!G52+Wed!G52+Fri!G52+'Mon '!G52+'Wed (2)'!G52+Sun!G52+Sat!G52)</f>
        <v>7</v>
      </c>
      <c r="H52" s="103">
        <f>('Thurs (2)'!H52+Thurs!H52+'Tues '!H52+Wed!H52+Fri!H52+'Mon '!H52+'Wed (2)'!H52+Sun!H52+Sat!H52)</f>
        <v>4</v>
      </c>
      <c r="I52" s="103">
        <f>('Thurs (2)'!I52+Thurs!I52+'Tues '!I52+Wed!I52+Fri!I52+'Mon '!I52+'Wed (2)'!I52+Sun!I52+Sat!I52)</f>
        <v>2</v>
      </c>
      <c r="J52" s="103">
        <f>('Thurs (2)'!J52+Thurs!J52+'Tues '!J52+Wed!J52+Fri!J52+'Mon '!J52+'Wed (2)'!J52+Sun!J52+Sat!J52)</f>
        <v>2</v>
      </c>
      <c r="K52" s="103">
        <f>('Thurs (2)'!K52+Thurs!K52+'Tues '!K52+Wed!K52+Fri!K52+'Mon '!K52+'Wed (2)'!K52+Sun!K52+Sat!K52)</f>
        <v>1</v>
      </c>
      <c r="L52" s="103">
        <f>('Thurs (2)'!L52+Thurs!L52+'Tues '!L52+Wed!L52+Fri!L52+'Mon '!L52+'Wed (2)'!L52+Sun!L52+Sat!L52)</f>
        <v>2</v>
      </c>
      <c r="M52" s="103">
        <f>('Thurs (2)'!M52+Thurs!M52+'Tues '!M52+Wed!M52+Fri!M52+'Mon '!M52+'Wed (2)'!M52+Sun!M52+Sat!M52)</f>
        <v>14</v>
      </c>
      <c r="N52" s="103">
        <f>('Thurs (2)'!N52+Thurs!N52+'Tues '!N52+Wed!N52+Fri!N52+'Mon '!N52+'Wed (2)'!N52+Sun!N52+Sat!N52)</f>
        <v>3</v>
      </c>
      <c r="O52" s="103">
        <f>('Thurs (2)'!O52+Thurs!O52+'Tues '!O52+Wed!O52+Fri!O52+'Mon '!O52+'Wed (2)'!O52+Sun!O52+Sat!O52)</f>
        <v>1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3</v>
      </c>
      <c r="S52" s="103">
        <f>('Thurs (2)'!S52+Thurs!S52+'Tues '!S52+Wed!S52+Fri!S52+'Mon '!S52+'Wed (2)'!S52+Sun!S52+Sat!S52)</f>
        <v>1</v>
      </c>
      <c r="T52" s="103">
        <f>('Thurs (2)'!T52+Thurs!T52+'Tues '!T52+Wed!T52+Fri!T52+'Mon '!T52+'Wed (2)'!T52+Sun!T52+Sat!T52)</f>
        <v>3676</v>
      </c>
      <c r="U52" s="104">
        <f t="shared" si="2"/>
        <v>0.5</v>
      </c>
      <c r="V52" s="104">
        <f t="shared" si="3"/>
        <v>0.8571428571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03">
        <f>('Thurs (2)'!G54+Thurs!G54+'Tues '!G54+Wed!G54+Fri!G54+'Mon '!G54+'Wed (2)'!G54+Sun!G54+Sat!G54)</f>
        <v>2</v>
      </c>
      <c r="H54" s="103">
        <f>('Thurs (2)'!H54+Thurs!H54+'Tues '!H54+Wed!H54+Fri!H54+'Mon '!H54+'Wed (2)'!H54+Sun!H54+Sat!H54)</f>
        <v>2</v>
      </c>
      <c r="I54" s="103">
        <f>('Thurs (2)'!I54+Thurs!I54+'Tues '!I54+Wed!I54+Fri!I54+'Mon '!I54+'Wed (2)'!I54+Sun!I54+Sat!I54)</f>
        <v>1</v>
      </c>
      <c r="J54" s="103">
        <f>('Thurs (2)'!J54+Thurs!J54+'Tues '!J54+Wed!J54+Fri!J54+'Mon '!J54+'Wed (2)'!J54+Sun!J54+Sat!J54)</f>
        <v>1</v>
      </c>
      <c r="K54" s="103">
        <f>('Thurs (2)'!K54+Thurs!K54+'Tues '!K54+Wed!K54+Fri!K54+'Mon '!K54+'Wed (2)'!K54+Sun!K54+Sat!K54)</f>
        <v>1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4</v>
      </c>
      <c r="N54" s="103">
        <f>('Thurs (2)'!N54+Thurs!N54+'Tues '!N54+Wed!N54+Fri!N54+'Mon '!N54+'Wed (2)'!N54+Sun!N54+Sat!N54)</f>
        <v>0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1</v>
      </c>
      <c r="S54" s="103">
        <f>('Thurs (2)'!S54+Thurs!S54+'Tues '!S54+Wed!S54+Fri!S54+'Mon '!S54+'Wed (2)'!S54+Sun!S54+Sat!S54)</f>
        <v>1</v>
      </c>
      <c r="T54" s="103">
        <f>('Thurs (2)'!T54+Thurs!T54+'Tues '!T54+Wed!T54+Fri!T54+'Mon '!T54+'Wed (2)'!T54+Sun!T54+Sat!T54)</f>
        <v>1954</v>
      </c>
      <c r="U54" s="104">
        <f t="shared" si="2"/>
        <v>0.5</v>
      </c>
      <c r="V54" s="104">
        <f t="shared" si="3"/>
        <v>1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03">
        <f>('Thurs (2)'!G55+Thurs!G55+'Tues '!G55+Wed!G55+Fri!G55+'Mon '!G55+'Wed (2)'!G55+Sun!G55+Sat!G55)</f>
        <v>6</v>
      </c>
      <c r="H55" s="103">
        <f>('Thurs (2)'!H55+Thurs!H55+'Tues '!H55+Wed!H55+Fri!H55+'Mon '!H55+'Wed (2)'!H55+Sun!H55+Sat!H55)</f>
        <v>2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1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4</v>
      </c>
      <c r="M55" s="103">
        <f>('Thurs (2)'!M55+Thurs!M55+'Tues '!M55+Wed!M55+Fri!M55+'Mon '!M55+'Wed (2)'!M55+Sun!M55+Sat!M55)</f>
        <v>4</v>
      </c>
      <c r="N55" s="103">
        <f>('Thurs (2)'!N55+Thurs!N55+'Tues '!N55+Wed!N55+Fri!N55+'Mon '!N55+'Wed (2)'!N55+Sun!N55+Sat!N55)</f>
        <v>2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1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709</v>
      </c>
      <c r="U55" s="104">
        <f t="shared" si="2"/>
        <v>0</v>
      </c>
      <c r="V55" s="104">
        <f t="shared" si="3"/>
        <v>1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03">
        <f>('Thurs (2)'!G57+Thurs!G57+'Tues '!G57+Wed!G57+Fri!G57+'Mon '!G57+'Wed (2)'!G57+Sun!G57+Sat!G57)</f>
        <v>1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1</v>
      </c>
      <c r="M57" s="103">
        <f>('Thurs (2)'!M57+Thurs!M57+'Tues '!M57+Wed!M57+Fri!M57+'Mon '!M57+'Wed (2)'!M57+Sun!M57+Sat!M57)</f>
        <v>6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1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03">
        <f>('Thurs (2)'!G58+Thurs!G58+'Tues '!G58+Wed!G58+Fri!G58+'Mon '!G58+'Wed (2)'!G58+Sun!G58+Sat!G58)</f>
        <v>1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03">
        <f>('Thurs (2)'!G59+Thurs!G59+'Tues '!G59+Wed!G59+Fri!G59+'Mon '!G59+'Wed (2)'!G59+Sun!G59+Sat!G59)</f>
        <v>52</v>
      </c>
      <c r="H59" s="103">
        <f>('Thurs (2)'!H59+Thurs!H59+'Tues '!H59+Wed!H59+Fri!H59+'Mon '!H59+'Wed (2)'!H59+Sun!H59+Sat!H59)</f>
        <v>20</v>
      </c>
      <c r="I59" s="103">
        <f>('Thurs (2)'!I59+Thurs!I59+'Tues '!I59+Wed!I59+Fri!I59+'Mon '!I59+'Wed (2)'!I59+Sun!I59+Sat!I59)</f>
        <v>8</v>
      </c>
      <c r="J59" s="103">
        <f>('Thurs (2)'!J59+Thurs!J59+'Tues '!J59+Wed!J59+Fri!J59+'Mon '!J59+'Wed (2)'!J59+Sun!J59+Sat!J59)</f>
        <v>1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2</v>
      </c>
      <c r="M59" s="103">
        <f>('Thurs (2)'!M59+Thurs!M59+'Tues '!M59+Wed!M59+Fri!M59+'Mon '!M59+'Wed (2)'!M59+Sun!M59+Sat!M59)</f>
        <v>21</v>
      </c>
      <c r="N59" s="103">
        <f>('Thurs (2)'!N59+Thurs!N59+'Tues '!N59+Wed!N59+Fri!N59+'Mon '!N59+'Wed (2)'!N59+Sun!N59+Sat!N59)</f>
        <v>2</v>
      </c>
      <c r="O59" s="103">
        <f>('Thurs (2)'!O59+Thurs!O59+'Tues '!O59+Wed!O59+Fri!O59+'Mon '!O59+'Wed (2)'!O59+Sun!O59+Sat!O59)</f>
        <v>1</v>
      </c>
      <c r="P59" s="103">
        <f>('Thurs (2)'!P59+Thurs!P59+'Tues '!P59+Wed!P59+Fri!P59+'Mon '!P59+'Wed (2)'!P59+Sun!P59+Sat!P59)</f>
        <v>16</v>
      </c>
      <c r="Q59" s="103">
        <f>('Thurs (2)'!Q59+Thurs!Q59+'Tues '!Q59+Wed!Q59+Fri!Q59+'Mon '!Q59+'Wed (2)'!Q59+Sun!Q59+Sat!Q59)</f>
        <v>7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9543</v>
      </c>
      <c r="U59" s="104">
        <f t="shared" si="2"/>
        <v>0.4</v>
      </c>
      <c r="V59" s="104">
        <f t="shared" si="3"/>
        <v>0.4230769231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>
        <f>('Thurs (2)'!G60+Thurs!G60+'Tues '!G60+Wed!G60+Fri!G60+'Mon '!G60+'Wed (2)'!G60+Sun!G60+Sat!G60)</f>
        <v>4</v>
      </c>
      <c r="H60" s="103">
        <f>('Thurs (2)'!H60+Thurs!H60+'Tues '!H60+Wed!H60+Fri!H60+'Mon '!H60+'Wed (2)'!H60+Sun!H60+Sat!H60)</f>
        <v>4</v>
      </c>
      <c r="I60" s="103">
        <f>('Thurs (2)'!I60+Thurs!I60+'Tues '!I60+Wed!I60+Fri!I60+'Mon '!I60+'Wed (2)'!I60+Sun!I60+Sat!I60)</f>
        <v>3</v>
      </c>
      <c r="J60" s="103">
        <f>('Thurs (2)'!J60+Thurs!J60+'Tues '!J60+Wed!J60+Fri!J60+'Mon '!J60+'Wed (2)'!J60+Sun!J60+Sat!J60)</f>
        <v>1</v>
      </c>
      <c r="K60" s="103">
        <f>('Thurs (2)'!K60+Thurs!K60+'Tues '!K60+Wed!K60+Fri!K60+'Mon '!K60+'Wed (2)'!K60+Sun!K60+Sat!K60)</f>
        <v>1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27</v>
      </c>
      <c r="N60" s="103">
        <f>('Thurs (2)'!N60+Thurs!N60+'Tues '!N60+Wed!N60+Fri!N60+'Mon '!N60+'Wed (2)'!N60+Sun!N60+Sat!N60)</f>
        <v>3</v>
      </c>
      <c r="O60" s="103">
        <f>('Thurs (2)'!O60+Thurs!O60+'Tues '!O60+Wed!O60+Fri!O60+'Mon '!O60+'Wed (2)'!O60+Sun!O60+Sat!O60)</f>
        <v>2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1</v>
      </c>
      <c r="S60" s="103">
        <f>('Thurs (2)'!S60+Thurs!S60+'Tues '!S60+Wed!S60+Fri!S60+'Mon '!S60+'Wed (2)'!S60+Sun!S60+Sat!S60)</f>
        <v>1</v>
      </c>
      <c r="T60" s="103">
        <f>('Thurs (2)'!T60+Thurs!T60+'Tues '!T60+Wed!T60+Fri!T60+'Mon '!T60+'Wed (2)'!T60+Sun!T60+Sat!T60)</f>
        <v>4572</v>
      </c>
      <c r="U60" s="104">
        <f t="shared" si="2"/>
        <v>0.75</v>
      </c>
      <c r="V60" s="104">
        <f t="shared" si="3"/>
        <v>1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>
        <f>('Thurs (2)'!G61+Thurs!G61+'Tues '!G61+Wed!G61+Fri!G61+'Mon '!G61+'Wed (2)'!G61+Sun!G61+Sat!G61)</f>
        <v>9</v>
      </c>
      <c r="H61" s="103">
        <f>('Thurs (2)'!H61+Thurs!H61+'Tues '!H61+Wed!H61+Fri!H61+'Mon '!H61+'Wed (2)'!H61+Sun!H61+Sat!H61)</f>
        <v>4</v>
      </c>
      <c r="I61" s="103">
        <f>('Thurs (2)'!I61+Thurs!I61+'Tues '!I61+Wed!I61+Fri!I61+'Mon '!I61+'Wed (2)'!I61+Sun!I61+Sat!I61)</f>
        <v>2</v>
      </c>
      <c r="J61" s="103">
        <f>('Thurs (2)'!J61+Thurs!J61+'Tues '!J61+Wed!J61+Fri!J61+'Mon '!J61+'Wed (2)'!J61+Sun!J61+Sat!J61)</f>
        <v>4</v>
      </c>
      <c r="K61" s="103">
        <f>('Thurs (2)'!K61+Thurs!K61+'Tues '!K61+Wed!K61+Fri!K61+'Mon '!K61+'Wed (2)'!K61+Sun!K61+Sat!K61)</f>
        <v>2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12</v>
      </c>
      <c r="N61" s="103">
        <f>('Thurs (2)'!N61+Thurs!N61+'Tues '!N61+Wed!N61+Fri!N61+'Mon '!N61+'Wed (2)'!N61+Sun!N61+Sat!N61)</f>
        <v>3</v>
      </c>
      <c r="O61" s="103">
        <f>('Thurs (2)'!O61+Thurs!O61+'Tues '!O61+Wed!O61+Fri!O61+'Mon '!O61+'Wed (2)'!O61+Sun!O61+Sat!O61)</f>
        <v>1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1</v>
      </c>
      <c r="S61" s="103">
        <f>('Thurs (2)'!S61+Thurs!S61+'Tues '!S61+Wed!S61+Fri!S61+'Mon '!S61+'Wed (2)'!S61+Sun!S61+Sat!S61)</f>
        <v>1</v>
      </c>
      <c r="T61" s="103">
        <f>('Thurs (2)'!T61+Thurs!T61+'Tues '!T61+Wed!T61+Fri!T61+'Mon '!T61+'Wed (2)'!T61+Sun!T61+Sat!T61)</f>
        <v>5170</v>
      </c>
      <c r="U61" s="104">
        <f t="shared" si="2"/>
        <v>0.5</v>
      </c>
      <c r="V61" s="104">
        <f t="shared" si="3"/>
        <v>0.4444444444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>
        <f>('Thurs (2)'!G63+Thurs!G63+'Tues '!G63+Wed!G63+Fri!G63+'Mon '!G63+'Wed (2)'!G63+Sun!G63+Sat!G63)</f>
        <v>0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>
        <f>('Thurs (2)'!G64+Thurs!G64+'Tues '!G64+Wed!G64+Fri!G64+'Mon '!G64+'Wed (2)'!G64+Sun!G64+Sat!G64)</f>
        <v>6</v>
      </c>
      <c r="H64" s="103">
        <f>('Thurs (2)'!H64+Thurs!H64+'Tues '!H64+Wed!H64+Fri!H64+'Mon '!H64+'Wed (2)'!H64+Sun!H64+Sat!H64)</f>
        <v>1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1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1</v>
      </c>
      <c r="M64" s="103">
        <f>('Thurs (2)'!M64+Thurs!M64+'Tues '!M64+Wed!M64+Fri!M64+'Mon '!M64+'Wed (2)'!M64+Sun!M64+Sat!M64)</f>
        <v>6</v>
      </c>
      <c r="N64" s="103">
        <f>('Thurs (2)'!N64+Thurs!N64+'Tues '!N64+Wed!N64+Fri!N64+'Mon '!N64+'Wed (2)'!N64+Sun!N64+Sat!N64)</f>
        <v>1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45">
        <f t="shared" si="4"/>
        <v>0</v>
      </c>
      <c r="V64" s="145">
        <f t="shared" si="5"/>
        <v>0.3333333333</v>
      </c>
      <c r="W64" s="146"/>
    </row>
    <row r="65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>
        <f>('Thurs (2)'!G65+Thurs!G65+'Tues '!G65+Wed!G65+Fri!G65+'Mon '!G65+'Wed (2)'!G65+Sun!G65+Sat!G65)</f>
        <v>4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>
        <f>('Thurs (2)'!G67+Thurs!G67+'Tues '!G67+Wed!G67+Fri!G67+'Mon '!G67+'Wed (2)'!G67+Sun!G67+Sat!G67)</f>
        <v>0</v>
      </c>
      <c r="H67" s="103">
        <f>('Thurs (2)'!H67+Thurs!H67+'Tues '!H67+Wed!H67+Fri!H67+'Mon '!H67+'Wed (2)'!H67+Sun!H67+Sat!H67)</f>
        <v>0</v>
      </c>
      <c r="I67" s="103">
        <f>('Thurs (2)'!I67+Thurs!I67+'Tues '!I67+Wed!I67+Fri!I67+'Mon '!I67+'Wed (2)'!I67+Sun!I67+Sat!I67)</f>
        <v>0</v>
      </c>
      <c r="J67" s="103">
        <f>('Thurs (2)'!J67+Thurs!J67+'Tues '!J67+Wed!J67+Fri!J67+'Mon '!J67+'Wed (2)'!J67+Sun!J67+Sat!J67)</f>
        <v>0</v>
      </c>
      <c r="K67" s="103">
        <f>('Thurs (2)'!K67+Thurs!K67+'Tues '!K67+Wed!K67+Fri!K67+'Mon '!K67+'Wed (2)'!K67+Sun!K67+Sat!K67)</f>
        <v>0</v>
      </c>
      <c r="L67" s="103">
        <f>('Thurs (2)'!L67+Thurs!L67+'Tues '!L67+Wed!L67+Fri!L67+'Mon '!L67+'Wed (2)'!L67+Sun!L67+Sat!L67)</f>
        <v>0</v>
      </c>
      <c r="M67" s="103">
        <f>('Thurs (2)'!M67+Thurs!M67+'Tues '!M67+Wed!M67+Fri!M67+'Mon '!M67+'Wed (2)'!M67+Sun!M67+Sat!M67)</f>
        <v>0</v>
      </c>
      <c r="N67" s="103">
        <f>('Thurs (2)'!N67+Thurs!N67+'Tues '!N67+Wed!N67+Fri!N67+'Mon '!N67+'Wed (2)'!N67+Sun!N67+Sat!N67)</f>
        <v>0</v>
      </c>
      <c r="O67" s="103">
        <f>('Thurs (2)'!O67+Thurs!O67+'Tues '!O67+Wed!O67+Fri!O67+'Mon '!O67+'Wed (2)'!O67+Sun!O67+Sat!O67)</f>
        <v>0</v>
      </c>
      <c r="P67" s="103">
        <f>('Thurs (2)'!P67+Thurs!P67+'Tues '!P67+Wed!P67+Fri!P67+'Mon '!P67+'Wed (2)'!P67+Sun!P67+Sat!P67)</f>
        <v>0</v>
      </c>
      <c r="Q67" s="103">
        <f>('Thurs (2)'!Q67+Thurs!Q67+'Tues '!Q67+Wed!Q67+Fri!Q67+'Mon '!Q67+'Wed (2)'!Q67+Sun!Q67+Sat!Q67)</f>
        <v>0</v>
      </c>
      <c r="R67" s="103">
        <f>('Thurs (2)'!R67+Thurs!R67+'Tues '!R67+Wed!R67+Fri!R67+'Mon '!R67+'Wed (2)'!R67+Sun!R67+Sat!R67)</f>
        <v>0</v>
      </c>
      <c r="S67" s="103">
        <f>('Thurs (2)'!S67+Thurs!S67+'Tues '!S67+Wed!S67+Fri!S67+'Mon '!S67+'Wed (2)'!S67+Sun!S67+Sat!S67)</f>
        <v>0</v>
      </c>
      <c r="T67" s="103">
        <f>('Thurs (2)'!T67+Thurs!T67+'Tues '!T67+Wed!T67+Fri!T67+'Mon '!T67+'Wed (2)'!T67+Sun!T67+Sat!T67)</f>
        <v>0</v>
      </c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>
        <f>('Thurs (2)'!G69+Thurs!G69+'Tues '!G69+Wed!G69+Fri!G69+'Mon '!G69+'Wed (2)'!G69+Sun!G69+Sat!G69)</f>
        <v>4</v>
      </c>
      <c r="H69" s="103">
        <f>('Thurs (2)'!H69+Thurs!H69+'Tues '!H69+Wed!H69+Fri!H69+'Mon '!H69+'Wed (2)'!H69+Sun!H69+Sat!H69)</f>
        <v>4</v>
      </c>
      <c r="I69" s="103">
        <f>('Thurs (2)'!I69+Thurs!I69+'Tues '!I69+Wed!I69+Fri!I69+'Mon '!I69+'Wed (2)'!I69+Sun!I69+Sat!I69)</f>
        <v>3</v>
      </c>
      <c r="J69" s="103">
        <f>('Thurs (2)'!J69+Thurs!J69+'Tues '!J69+Wed!J69+Fri!J69+'Mon '!J69+'Wed (2)'!J69+Sun!J69+Sat!J69)</f>
        <v>4</v>
      </c>
      <c r="K69" s="103">
        <f>('Thurs (2)'!K69+Thurs!K69+'Tues '!K69+Wed!K69+Fri!K69+'Mon '!K69+'Wed (2)'!K69+Sun!K69+Sat!K69)</f>
        <v>4</v>
      </c>
      <c r="L69" s="103">
        <f>('Thurs (2)'!L69+Thurs!L69+'Tues '!L69+Wed!L69+Fri!L69+'Mon '!L69+'Wed (2)'!L69+Sun!L69+Sat!L69)</f>
        <v>0</v>
      </c>
      <c r="M69" s="103">
        <f>('Thurs (2)'!M69+Thurs!M69+'Tues '!M69+Wed!M69+Fri!M69+'Mon '!M69+'Wed (2)'!M69+Sun!M69+Sat!M69)</f>
        <v>7</v>
      </c>
      <c r="N69" s="103">
        <f>('Thurs (2)'!N69+Thurs!N69+'Tues '!N69+Wed!N69+Fri!N69+'Mon '!N69+'Wed (2)'!N69+Sun!N69+Sat!N69)</f>
        <v>3</v>
      </c>
      <c r="O69" s="103">
        <f>('Thurs (2)'!O69+Thurs!O69+'Tues '!O69+Wed!O69+Fri!O69+'Mon '!O69+'Wed (2)'!O69+Sun!O69+Sat!O69)</f>
        <v>2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8903</v>
      </c>
      <c r="U69" s="104">
        <f t="shared" ref="U69:U78" si="6">IFERROR(I69/H69,0)</f>
        <v>0.75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>
        <f>('Thurs (2)'!G74+Thurs!G74+'Tues '!G74+Wed!G74+Fri!G74+'Mon '!G74+'Wed (2)'!G74+Sun!G74+Sat!G74)</f>
        <v>6</v>
      </c>
      <c r="H74" s="103">
        <f>('Thurs (2)'!H74+Thurs!H74+'Tues '!H74+Wed!H74+Fri!H74+'Mon '!H74+'Wed (2)'!H74+Sun!H74+Sat!H74)</f>
        <v>5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3</v>
      </c>
      <c r="K74" s="103">
        <f>('Thurs (2)'!K74+Thurs!K74+'Tues '!K74+Wed!K74+Fri!K74+'Mon '!K74+'Wed (2)'!K74+Sun!K74+Sat!K74)</f>
        <v>1</v>
      </c>
      <c r="L74" s="103">
        <f>('Thurs (2)'!L74+Thurs!L74+'Tues '!L74+Wed!L74+Fri!L74+'Mon '!L74+'Wed (2)'!L74+Sun!L74+Sat!L74)</f>
        <v>5</v>
      </c>
      <c r="M74" s="103">
        <f>('Thurs (2)'!M74+Thurs!M74+'Tues '!M74+Wed!M74+Fri!M74+'Mon '!M74+'Wed (2)'!M74+Sun!M74+Sat!M74)</f>
        <v>41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4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1.666666667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>
        <f>('Thurs (2)'!G78+Thurs!G78+'Tues '!G78+Wed!G78+Fri!G78+'Mon '!G78+'Wed (2)'!G78+Sun!G78+Sat!G78)</f>
        <v>9</v>
      </c>
      <c r="H78" s="103">
        <f>('Thurs (2)'!H78+Thurs!H78+'Tues '!H78+Wed!H78+Fri!H78+'Mon '!H78+'Wed (2)'!H78+Sun!H78+Sat!H78)</f>
        <v>5</v>
      </c>
      <c r="I78" s="103">
        <f>('Thurs (2)'!I78+Thurs!I78+'Tues '!I78+Wed!I78+Fri!I78+'Mon '!I78+'Wed (2)'!I78+Sun!I78+Sat!I78)</f>
        <v>2</v>
      </c>
      <c r="J78" s="103">
        <f>('Thurs (2)'!J78+Thurs!J78+'Tues '!J78+Wed!J78+Fri!J78+'Mon '!J78+'Wed (2)'!J78+Sun!J78+Sat!J78)</f>
        <v>2</v>
      </c>
      <c r="K78" s="103">
        <f>('Thurs (2)'!K78+Thurs!K78+'Tues '!K78+Wed!K78+Fri!K78+'Mon '!K78+'Wed (2)'!K78+Sun!K78+Sat!K78)</f>
        <v>1</v>
      </c>
      <c r="L78" s="103">
        <f>('Thurs (2)'!L78+Thurs!L78+'Tues '!L78+Wed!L78+Fri!L78+'Mon '!L78+'Wed (2)'!L78+Sun!L78+Sat!L78)</f>
        <v>1</v>
      </c>
      <c r="M78" s="103">
        <f>('Thurs (2)'!M78+Thurs!M78+'Tues '!M78+Wed!M78+Fri!M78+'Mon '!M78+'Wed (2)'!M78+Sun!M78+Sat!M78)</f>
        <v>8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2</v>
      </c>
      <c r="S78" s="103">
        <f>('Thurs (2)'!S78+Thurs!S78+'Tues '!S78+Wed!S78+Fri!S78+'Mon '!S78+'Wed (2)'!S78+Sun!S78+Sat!S78)</f>
        <v>2</v>
      </c>
      <c r="T78" s="103">
        <f>('Thurs (2)'!T78+Thurs!T78+'Tues '!T78+Wed!T78+Fri!T78+'Mon '!T78+'Wed (2)'!T78+Sun!T78+Sat!T78)</f>
        <v>2155</v>
      </c>
      <c r="U78" s="104">
        <f t="shared" si="6"/>
        <v>0.4</v>
      </c>
      <c r="V78" s="104">
        <f t="shared" si="7"/>
        <v>0.6666666667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>
        <f>('Thurs (2)'!G80+Thurs!G80+'Tues '!G80+Wed!G80+Fri!G80+'Mon '!G80+'Wed (2)'!G80+Sun!G80+Sat!G80)</f>
        <v>0</v>
      </c>
      <c r="H80" s="103">
        <f>('Thurs (2)'!H80+Thurs!H80+'Tues '!H80+Wed!H80+Fri!H80+'Mon '!H80+'Wed (2)'!H80+Sun!H80+Sat!H80)</f>
        <v>0</v>
      </c>
      <c r="I80" s="103">
        <f>('Thurs (2)'!I80+Thurs!I80+'Tues '!I80+Wed!I80+Fri!I80+'Mon '!I80+'Wed (2)'!I80+Sun!I80+Sat!I80)</f>
        <v>0</v>
      </c>
      <c r="J80" s="103">
        <f>('Thurs (2)'!J80+Thurs!J80+'Tues '!J80+Wed!J80+Fri!J80+'Mon '!J80+'Wed (2)'!J80+Sun!J80+Sat!J80)</f>
        <v>0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0</v>
      </c>
      <c r="N80" s="103">
        <f>('Thurs (2)'!N80+Thurs!N80+'Tues '!N80+Wed!N80+Fri!N80+'Mon '!N80+'Wed (2)'!N80+Sun!N80+Sat!N80)</f>
        <v>0</v>
      </c>
      <c r="O80" s="103">
        <f>('Thurs (2)'!O80+Thurs!O80+'Tues '!O80+Wed!O80+Fri!O80+'Mon '!O80+'Wed (2)'!O80+Sun!O80+Sat!O80)</f>
        <v>0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0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0</v>
      </c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03">
        <f>('Thurs (2)'!G82+Thurs!G82+'Tues '!G82+Wed!G82+Fri!G82+'Mon '!G82+'Wed (2)'!G82+Sun!G82+Sat!G82)</f>
        <v>3</v>
      </c>
      <c r="H82" s="103">
        <f>('Thurs (2)'!H82+Thurs!H82+'Tues '!H82+Wed!H82+Fri!H82+'Mon '!H82+'Wed (2)'!H82+Sun!H82+Sat!H82)</f>
        <v>9</v>
      </c>
      <c r="I82" s="103">
        <f>('Thurs (2)'!I82+Thurs!I82+'Tues '!I82+Wed!I82+Fri!I82+'Mon '!I82+'Wed (2)'!I82+Sun!I82+Sat!I82)</f>
        <v>2</v>
      </c>
      <c r="J82" s="103">
        <f>('Thurs (2)'!J82+Thurs!J82+'Tues '!J82+Wed!J82+Fri!J82+'Mon '!J82+'Wed (2)'!J82+Sun!J82+Sat!J82)</f>
        <v>6</v>
      </c>
      <c r="K82" s="103">
        <f>('Thurs (2)'!K82+Thurs!K82+'Tues '!K82+Wed!K82+Fri!K82+'Mon '!K82+'Wed (2)'!K82+Sun!K82+Sat!K82)</f>
        <v>2</v>
      </c>
      <c r="L82" s="103">
        <f>('Thurs (2)'!L82+Thurs!L82+'Tues '!L82+Wed!L82+Fri!L82+'Mon '!L82+'Wed (2)'!L82+Sun!L82+Sat!L82)</f>
        <v>2</v>
      </c>
      <c r="M82" s="103">
        <f>('Thurs (2)'!M82+Thurs!M82+'Tues '!M82+Wed!M82+Fri!M82+'Mon '!M82+'Wed (2)'!M82+Sun!M82+Sat!M82)</f>
        <v>34</v>
      </c>
      <c r="N82" s="103">
        <f>('Thurs (2)'!N82+Thurs!N82+'Tues '!N82+Wed!N82+Fri!N82+'Mon '!N82+'Wed (2)'!N82+Sun!N82+Sat!N82)</f>
        <v>8</v>
      </c>
      <c r="O82" s="103">
        <f>('Thurs (2)'!O82+Thurs!O82+'Tues '!O82+Wed!O82+Fri!O82+'Mon '!O82+'Wed (2)'!O82+Sun!O82+Sat!O82)</f>
        <v>2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1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3051.48</v>
      </c>
      <c r="U82" s="104">
        <f t="shared" si="8"/>
        <v>0.2222222222</v>
      </c>
      <c r="V82" s="104">
        <f t="shared" si="9"/>
        <v>3.666666667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>
        <f>('Thurs (2)'!G83+Thurs!G83+'Tues '!G83+Wed!G83+Fri!G83+'Mon '!G83+'Wed (2)'!G83+Sun!G83+Sat!G83)</f>
        <v>0</v>
      </c>
      <c r="H83" s="103">
        <f>('Thurs (2)'!H83+Thurs!H83+'Tues '!H83+Wed!H83+Fri!H83+'Mon '!H83+'Wed (2)'!H83+Sun!H83+Sat!H83)</f>
        <v>0</v>
      </c>
      <c r="I83" s="103">
        <f>('Thurs (2)'!I83+Thurs!I83+'Tues '!I83+Wed!I83+Fri!I83+'Mon '!I83+'Wed (2)'!I83+Sun!I83+Sat!I83)</f>
        <v>0</v>
      </c>
      <c r="J83" s="103">
        <f>('Thurs (2)'!J83+Thurs!J83+'Tues '!J83+Wed!J83+Fri!J83+'Mon '!J83+'Wed (2)'!J83+Sun!J83+Sat!J83)</f>
        <v>0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0</v>
      </c>
      <c r="O83" s="103">
        <f>('Thurs (2)'!O83+Thurs!O83+'Tues '!O83+Wed!O83+Fri!O83+'Mon '!O83+'Wed (2)'!O83+Sun!O83+Sat!O83)</f>
        <v>0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03">
        <f>('Thurs (2)'!G84+Thurs!G84+'Tues '!G84+Wed!G84+Fri!G84+'Mon '!G84+'Wed (2)'!G84+Sun!G84+Sat!G84)</f>
        <v>2</v>
      </c>
      <c r="H84" s="103">
        <f>('Thurs (2)'!H84+Thurs!H84+'Tues '!H84+Wed!H84+Fri!H84+'Mon '!H84+'Wed (2)'!H84+Sun!H84+Sat!H84)</f>
        <v>2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2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2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si="8"/>
        <v>0</v>
      </c>
      <c r="V84" s="104">
        <f t="shared" si="9"/>
        <v>2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>
        <f>('Thurs (2)'!G87+Thurs!G87+'Tues '!G87+Wed!G87+Fri!G87+'Mon '!G87+'Wed (2)'!G87+Sun!G87+Sat!G87)</f>
        <v>15</v>
      </c>
      <c r="H87" s="103">
        <f>('Thurs (2)'!H87+Thurs!H87+'Tues '!H87+Wed!H87+Fri!H87+'Mon '!H87+'Wed (2)'!H87+Sun!H87+Sat!H87)</f>
        <v>15</v>
      </c>
      <c r="I87" s="103">
        <f>('Thurs (2)'!I87+Thurs!I87+'Tues '!I87+Wed!I87+Fri!I87+'Mon '!I87+'Wed (2)'!I87+Sun!I87+Sat!I87)</f>
        <v>1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46</v>
      </c>
      <c r="N87" s="103">
        <f>('Thurs (2)'!N87+Thurs!N87+'Tues '!N87+Wed!N87+Fri!N87+'Mon '!N87+'Wed (2)'!N87+Sun!N87+Sat!N87)</f>
        <v>0</v>
      </c>
      <c r="O87" s="103">
        <f>('Thurs (2)'!O87+Thurs!O87+'Tues '!O87+Wed!O87+Fri!O87+'Mon '!O87+'Wed (2)'!O87+Sun!O87+Sat!O87)</f>
        <v>0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1</v>
      </c>
      <c r="S87" s="103">
        <f>('Thurs (2)'!S87+Thurs!S87+'Tues '!S87+Wed!S87+Fri!S87+'Mon '!S87+'Wed (2)'!S87+Sun!S87+Sat!S87)</f>
        <v>1</v>
      </c>
      <c r="T87" s="103">
        <f>('Thurs (2)'!T87+Thurs!T87+'Tues '!T87+Wed!T87+Fri!T87+'Mon '!T87+'Wed (2)'!T87+Sun!T87+Sat!T87)</f>
        <v>2316</v>
      </c>
      <c r="U87" s="104">
        <f t="shared" si="10"/>
        <v>0.06666666667</v>
      </c>
      <c r="V87" s="104">
        <f t="shared" si="11"/>
        <v>1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>
        <f>('Thurs (2)'!G89+Thurs!G89+'Tues '!G89+Wed!G89+Fri!G89+'Mon '!G89+'Wed (2)'!G89+Sun!G89+Sat!G89)</f>
        <v>0</v>
      </c>
      <c r="H89" s="103">
        <f>('Thurs (2)'!H89+Thurs!H89+'Tues '!H89+Wed!H89+Fri!H89+'Mon '!H89+'Wed (2)'!H89+Sun!H89+Sat!H89)</f>
        <v>0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0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0</v>
      </c>
      <c r="N89" s="103">
        <f>('Thurs (2)'!N89+Thurs!N89+'Tues '!N89+Wed!N89+Fri!N89+'Mon '!N89+'Wed (2)'!N89+Sun!N89+Sat!N89)</f>
        <v>0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>
        <f>('Thurs (2)'!G97+Thurs!G97+'Tues '!G97+Wed!G97+Fri!G97+'Mon '!G97+'Wed (2)'!G97+Sun!G97+Sat!G97)</f>
        <v>11</v>
      </c>
      <c r="H97" s="103">
        <f>('Thurs (2)'!H97+Thurs!H97+'Tues '!H97+Wed!H97+Fri!H97+'Mon '!H97+'Wed (2)'!H97+Sun!H97+Sat!H97)</f>
        <v>6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24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0.5454545455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>
        <f>('Thurs (2)'!G98+Thurs!G98+'Tues '!G98+Wed!G98+Fri!G98+'Mon '!G98+'Wed (2)'!G98+Sun!G98+Sat!G98)</f>
        <v>3</v>
      </c>
      <c r="H98" s="103">
        <f>('Thurs (2)'!H98+Thurs!H98+'Tues '!H98+Wed!H98+Fri!H98+'Mon '!H98+'Wed (2)'!H98+Sun!H98+Sat!H98)</f>
        <v>1</v>
      </c>
      <c r="I98" s="103">
        <f>('Thurs (2)'!I98+Thurs!I98+'Tues '!I98+Wed!I98+Fri!I98+'Mon '!I98+'Wed (2)'!I98+Sun!I98+Sat!I98)</f>
        <v>1</v>
      </c>
      <c r="J98" s="103">
        <f>('Thurs (2)'!J98+Thurs!J98+'Tues '!J98+Wed!J98+Fri!J98+'Mon '!J98+'Wed (2)'!J98+Sun!J98+Sat!J98)</f>
        <v>1</v>
      </c>
      <c r="K98" s="103">
        <f>('Thurs (2)'!K98+Thurs!K98+'Tues '!K98+Wed!K98+Fri!K98+'Mon '!K98+'Wed (2)'!K98+Sun!K98+Sat!K98)</f>
        <v>1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1</v>
      </c>
      <c r="O98" s="103">
        <f>('Thurs (2)'!O98+Thurs!O98+'Tues '!O98+Wed!O98+Fri!O98+'Mon '!O98+'Wed (2)'!O98+Sun!O98+Sat!O98)</f>
        <v>1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1053.64</v>
      </c>
      <c r="U98" s="104">
        <f t="shared" si="10"/>
        <v>1</v>
      </c>
      <c r="V98" s="104">
        <f t="shared" si="11"/>
        <v>0.3333333333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>
        <f>('Thurs (2)'!G102+Thurs!G102+'Tues '!G102+Wed!G102+Fri!G102+'Mon '!G102+'Wed (2)'!G102+Sun!G102+Sat!G102)</f>
        <v>0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12754.44</v>
      </c>
      <c r="D2" s="10"/>
      <c r="E2" s="11">
        <f t="shared" ref="E2:R2" si="1">SUM(E5,E20,E23,E26,E29,E32)</f>
        <v>4503.8</v>
      </c>
      <c r="F2" s="11">
        <f t="shared" si="1"/>
        <v>62</v>
      </c>
      <c r="G2" s="11">
        <f t="shared" si="1"/>
        <v>38</v>
      </c>
      <c r="H2" s="11">
        <f t="shared" si="1"/>
        <v>7</v>
      </c>
      <c r="I2" s="11">
        <f t="shared" si="1"/>
        <v>4</v>
      </c>
      <c r="J2" s="11">
        <f t="shared" si="1"/>
        <v>2</v>
      </c>
      <c r="K2" s="11">
        <f t="shared" si="1"/>
        <v>5</v>
      </c>
      <c r="L2" s="11">
        <f t="shared" si="1"/>
        <v>3</v>
      </c>
      <c r="M2" s="11">
        <f t="shared" si="1"/>
        <v>147</v>
      </c>
      <c r="N2" s="11">
        <f t="shared" si="1"/>
        <v>8</v>
      </c>
      <c r="O2" s="11">
        <f t="shared" si="1"/>
        <v>2</v>
      </c>
      <c r="P2" s="11">
        <f t="shared" si="1"/>
        <v>8</v>
      </c>
      <c r="Q2" s="11">
        <f t="shared" si="1"/>
        <v>3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1822.062857</v>
      </c>
      <c r="F4" s="24">
        <f>IFERROR((G2+R2)/F2,0)</f>
        <v>0.6935483871</v>
      </c>
      <c r="G4" s="24">
        <f>IFERROR(H2/G2,0)</f>
        <v>0.1842105263</v>
      </c>
      <c r="H4" s="23">
        <f>(C2/C4)</f>
        <v>199.288125</v>
      </c>
      <c r="I4" s="25"/>
      <c r="J4" s="24">
        <f>IFERROR(J2/I2,0)</f>
        <v>0.5</v>
      </c>
      <c r="K4" s="25"/>
      <c r="L4" s="24">
        <f>IFERROR(L2/K2,0)</f>
        <v>0.6</v>
      </c>
      <c r="M4" s="26">
        <f>IFERROR(M2/G2,0)</f>
        <v>3.868421053</v>
      </c>
      <c r="N4" s="25"/>
      <c r="O4" s="24">
        <f>IFERROR(O2/N2,0)</f>
        <v>0.25</v>
      </c>
      <c r="P4" s="26"/>
      <c r="Q4" s="24">
        <f>IFERROR(Q2/P2,0)</f>
        <v>0.375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7067</v>
      </c>
      <c r="D5" s="31"/>
      <c r="E5" s="32">
        <f>SUMIFS(T:T,A:A,B5,D:D,"Y")</f>
        <v>2186</v>
      </c>
      <c r="F5" s="11">
        <f>SUMIF(A:A,B5,G:G)</f>
        <v>26</v>
      </c>
      <c r="G5" s="11">
        <f>SUMIF(A:A,B5,H:H)</f>
        <v>13</v>
      </c>
      <c r="H5" s="11">
        <f>SUMIF(A:A,B5,I:I)</f>
        <v>4</v>
      </c>
      <c r="I5" s="11">
        <f>SUMIF(A:A,B5,P:P)</f>
        <v>4</v>
      </c>
      <c r="J5" s="11">
        <f>SUMIF(A:A,B5,Q:Q)</f>
        <v>2</v>
      </c>
      <c r="K5" s="11">
        <f>SUMIF(A:A,B5,R:R)</f>
        <v>3</v>
      </c>
      <c r="L5" s="11">
        <f>SUMIF(A:A,B5,S:S)</f>
        <v>2</v>
      </c>
      <c r="M5" s="11">
        <f>SUMIF(A:A,B5,M:M)</f>
        <v>39</v>
      </c>
      <c r="N5" s="11">
        <f>SUMIF(A:A,B5,N:N)</f>
        <v>6</v>
      </c>
      <c r="O5" s="11">
        <f>SUMIF(A:A,B5,O:O)</f>
        <v>0</v>
      </c>
      <c r="P5" s="11">
        <f>SUMIF(A:A,B5,J:J)</f>
        <v>4</v>
      </c>
      <c r="Q5" s="11">
        <f>SUMIF(A:A,B5,K:K)</f>
        <v>1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1766.75</v>
      </c>
      <c r="F7" s="41">
        <f>IFERROR((G5+R5)/F5,0)</f>
        <v>0.6538461538</v>
      </c>
      <c r="G7" s="41">
        <f>IFERROR(H5/G5,0)</f>
        <v>0.3076923077</v>
      </c>
      <c r="H7" s="40">
        <f>(C5/C7)</f>
        <v>282.68</v>
      </c>
      <c r="I7" s="42"/>
      <c r="J7" s="41">
        <f>IFERROR(J5/I5,0)</f>
        <v>0.5</v>
      </c>
      <c r="K7" s="42"/>
      <c r="L7" s="41">
        <f>IFERROR(L5/K5,0)</f>
        <v>0.6666666667</v>
      </c>
      <c r="M7" s="43">
        <f>IFERROR(M5/SUM(R5+G5,0),"")</f>
        <v>2.294117647</v>
      </c>
      <c r="N7" s="42"/>
      <c r="O7" s="41">
        <f>IFERROR(O5/N5,0)</f>
        <v>0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2925</v>
      </c>
      <c r="D11" s="60"/>
      <c r="E11" s="48">
        <f>SUMIFS(T:T,B:B,B11,D:D,"Y")</f>
        <v>0</v>
      </c>
      <c r="F11" s="49">
        <f>SUMIF(B39:B1137,B11,G39:G1137)</f>
        <v>13</v>
      </c>
      <c r="G11" s="50">
        <f>SUMIF(B39:B1137,B11,H39:H1137)</f>
        <v>4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1</v>
      </c>
      <c r="M11" s="50">
        <f>SUMIF(B39:B1137,B11,M39:M1137)</f>
        <v>23</v>
      </c>
      <c r="N11" s="50">
        <f>SUMIF(B39:B1137,B11,N39:N1137)</f>
        <v>3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2925</v>
      </c>
      <c r="F13" s="24">
        <f>IFERROR((G11+R11)/F11,0)</f>
        <v>0.3846153846</v>
      </c>
      <c r="G13" s="24">
        <f>IFERROR(H11/G11,0)</f>
        <v>0.25</v>
      </c>
      <c r="H13" s="23">
        <f>(C11/C13)</f>
        <v>325</v>
      </c>
      <c r="I13" s="25"/>
      <c r="J13" s="24">
        <f>IFERROR(J11/I11,0)</f>
        <v>0</v>
      </c>
      <c r="K13" s="25"/>
      <c r="L13" s="24">
        <f>IFERROR(L11/K11,0)</f>
        <v>1</v>
      </c>
      <c r="M13" s="26">
        <f>IFERROR(M11/SUM(R11+G11,0),"")</f>
        <v>4.6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4</v>
      </c>
      <c r="G14" s="50">
        <f>SUMIF(B39:B1137,B14,H39:H1137)</f>
        <v>2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2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4142</v>
      </c>
      <c r="D17" s="60"/>
      <c r="E17" s="48">
        <f>SUMIFS(T:T,B:B,B17,D:D,"Y")</f>
        <v>2186</v>
      </c>
      <c r="F17" s="49">
        <f>SUMIF(B45:B1137,B17,G45:G1137)</f>
        <v>9</v>
      </c>
      <c r="G17" s="50">
        <f>SUMIF(B45:B1137,B17,H45:H1137)</f>
        <v>7</v>
      </c>
      <c r="H17" s="50">
        <f>SUMIF(B45:B1137,B17,I45:I1137)</f>
        <v>3</v>
      </c>
      <c r="I17" s="50">
        <f>SUMIF(B45:B1137,B17,P45:P1137)</f>
        <v>4</v>
      </c>
      <c r="J17" s="50">
        <f>SUMIF(B45:B1137,B17,Q45:Q1137)</f>
        <v>2</v>
      </c>
      <c r="K17" s="50">
        <f>SUMIF(B45:B1137,B17,R45:R1137)</f>
        <v>1</v>
      </c>
      <c r="L17" s="50">
        <f>SUMIF(B45:B1137,B17,S45:S1137)</f>
        <v>1</v>
      </c>
      <c r="M17" s="50">
        <f>SUMIF(B45:B1137,B17,M45:M1137)</f>
        <v>16</v>
      </c>
      <c r="N17" s="50">
        <f>SUMIF(B45:B1137,B17,N45:N1137)</f>
        <v>2</v>
      </c>
      <c r="O17" s="50">
        <f>SUMIF(B45:B1137,B17,O45:O1137)</f>
        <v>0</v>
      </c>
      <c r="P17" s="50">
        <f>SUMIF(B45:B1137,B17,J45:J1137)</f>
        <v>3</v>
      </c>
      <c r="Q17" s="50">
        <f>SUMIF(B45:B1137,B17,K45:K1137)</f>
        <v>1</v>
      </c>
      <c r="R17" s="51">
        <f>SUMIF(B45:B1137,B17,L45:L1137)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1380.666667</v>
      </c>
      <c r="F19" s="24">
        <f>IFERROR((G17+R17)/F17,0)</f>
        <v>0.8888888889</v>
      </c>
      <c r="G19" s="24">
        <f>IFERROR(H17/G17,0)</f>
        <v>0.4285714286</v>
      </c>
      <c r="H19" s="23">
        <f>(C17/C19)</f>
        <v>1380.666667</v>
      </c>
      <c r="I19" s="25"/>
      <c r="J19" s="24">
        <f>IFERROR(J17/I17,0)</f>
        <v>0.5</v>
      </c>
      <c r="K19" s="25"/>
      <c r="L19" s="24">
        <f>IFERROR(L17/K17,0)</f>
        <v>1</v>
      </c>
      <c r="M19" s="26">
        <f>IFERROR(M17/SUM(R17+G17,0),"")</f>
        <v>2</v>
      </c>
      <c r="N19" s="25"/>
      <c r="O19" s="24">
        <f>IFERROR(O17/N17,0)</f>
        <v>0</v>
      </c>
      <c r="P19" s="26"/>
      <c r="Q19" s="24">
        <f>IFERROR(Q17/P17,0)</f>
        <v>0.3333333333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30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1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2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15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2317.8</v>
      </c>
      <c r="D26" s="31"/>
      <c r="E26" s="64">
        <f>SUMIFS(T:T,A:A,B26,D:D,"Y")</f>
        <v>2317.8</v>
      </c>
      <c r="F26" s="9">
        <f>SUMIF(A:A,B26,G:G)</f>
        <v>1</v>
      </c>
      <c r="G26" s="11">
        <f>SUMIF(A:A,B26,H:H)</f>
        <v>2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8</v>
      </c>
      <c r="N26" s="11">
        <f>SUMIF(A:A,B26,N:N)</f>
        <v>1</v>
      </c>
      <c r="O26" s="11">
        <f>SUMIF(A:A,B26,O:O)</f>
        <v>1</v>
      </c>
      <c r="P26" s="11">
        <f>SUMIF(A:A,B26,J:J)</f>
        <v>2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2317.8</v>
      </c>
      <c r="F28" s="24">
        <f>IFERROR((G26+R26)/F26,0)</f>
        <v>2</v>
      </c>
      <c r="G28" s="24">
        <f>IFERROR(H26/G26,0)</f>
        <v>0.5</v>
      </c>
      <c r="H28" s="23">
        <f>(C26/C28)</f>
        <v>463.56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4</v>
      </c>
      <c r="N28" s="25"/>
      <c r="O28" s="24">
        <f>IFERROR(O26/N26,0)</f>
        <v>1</v>
      </c>
      <c r="P28" s="26"/>
      <c r="Q28" s="24">
        <f>IFERROR(Q26/P26,0)</f>
        <v>0.5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3369.64</v>
      </c>
      <c r="D29" s="68"/>
      <c r="E29" s="69">
        <f>SUMIFS(T:T,A:A,B29,D:D,"Y")</f>
        <v>0</v>
      </c>
      <c r="F29" s="70">
        <f>SUMIF(A:A,B29,G:G)</f>
        <v>29</v>
      </c>
      <c r="G29" s="71">
        <f>SUMIF(A:A,B29,H:H)</f>
        <v>22</v>
      </c>
      <c r="H29" s="71">
        <f>SUMIF(A:A,B29,I:I)</f>
        <v>2</v>
      </c>
      <c r="I29" s="71">
        <f>SUMIF(A:A,B29,P:P)</f>
        <v>0</v>
      </c>
      <c r="J29" s="71">
        <f>SUMIF(A:A,B29,Q:Q)</f>
        <v>0</v>
      </c>
      <c r="K29" s="71">
        <f>SUMIF(A:A,B29,R:R)</f>
        <v>1</v>
      </c>
      <c r="L29" s="71">
        <f>SUMIF(A:A,B29,S:S)</f>
        <v>1</v>
      </c>
      <c r="M29" s="71">
        <f>SUMIF(A:A,B29,M:M)</f>
        <v>70</v>
      </c>
      <c r="N29" s="71">
        <f>SUMIF(A:A,B29,N:N)</f>
        <v>1</v>
      </c>
      <c r="O29" s="71">
        <f>SUMIF(A:A,B29,O:O)</f>
        <v>1</v>
      </c>
      <c r="P29" s="71">
        <f>SUMIF(A:A,B29,J:J)</f>
        <v>1</v>
      </c>
      <c r="Q29" s="71">
        <f>SUMIF(A:A,B29,K:K)</f>
        <v>1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1684.82</v>
      </c>
      <c r="F31" s="82">
        <f>IFERROR((G29+R29)/F29,0)</f>
        <v>0.7586206897</v>
      </c>
      <c r="G31" s="82">
        <f>IFERROR(H29/G29,0)</f>
        <v>0.09090909091</v>
      </c>
      <c r="H31" s="81">
        <f>(C29/C31)</f>
        <v>198.2141176</v>
      </c>
      <c r="I31" s="83"/>
      <c r="J31" s="82">
        <f>IFERROR(J29/I29,0)</f>
        <v>0</v>
      </c>
      <c r="K31" s="83"/>
      <c r="L31" s="82">
        <f>IFERROR(L29/K29,0)</f>
        <v>1</v>
      </c>
      <c r="M31" s="84">
        <f>IFERROR(M29/SUM(R29+G29,0),"")</f>
        <v>3.181818182</v>
      </c>
      <c r="N31" s="83"/>
      <c r="O31" s="82">
        <f>IFERROR(O29/N29,0)</f>
        <v>1</v>
      </c>
      <c r="P31" s="84"/>
      <c r="Q31" s="82">
        <f>IFERROR(Q29/P29,0)</f>
        <v>1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2.0</v>
      </c>
      <c r="H44" s="185">
        <v>1.0</v>
      </c>
      <c r="I44" s="185">
        <v>0.0</v>
      </c>
      <c r="J44" s="185">
        <v>1.0</v>
      </c>
      <c r="K44" s="185">
        <v>0.0</v>
      </c>
      <c r="L44" s="185">
        <v>1.0</v>
      </c>
      <c r="M44" s="185">
        <v>4.0</v>
      </c>
      <c r="N44" s="185">
        <v>1.0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1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2.0</v>
      </c>
      <c r="H46" s="185">
        <v>2.0</v>
      </c>
      <c r="I46" s="185">
        <v>1.0</v>
      </c>
      <c r="J46" s="185">
        <v>0.0</v>
      </c>
      <c r="K46" s="185">
        <v>0.0</v>
      </c>
      <c r="L46" s="185">
        <v>0.0</v>
      </c>
      <c r="M46" s="185">
        <v>14.0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1.0</v>
      </c>
      <c r="T46" s="185">
        <v>2925.0</v>
      </c>
      <c r="U46" s="104">
        <f t="shared" si="2"/>
        <v>0.5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5.0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3.0</v>
      </c>
      <c r="H51" s="185">
        <v>1.0</v>
      </c>
      <c r="I51" s="185">
        <v>0.0</v>
      </c>
      <c r="J51" s="185">
        <v>0.0</v>
      </c>
      <c r="K51" s="185">
        <v>0.0</v>
      </c>
      <c r="L51" s="185">
        <v>0.0</v>
      </c>
      <c r="M51" s="185">
        <v>5.0</v>
      </c>
      <c r="N51" s="185">
        <v>1.0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0.3333333333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4.0</v>
      </c>
      <c r="H55" s="185">
        <v>2.0</v>
      </c>
      <c r="I55" s="185">
        <v>0.0</v>
      </c>
      <c r="J55" s="185">
        <v>0.0</v>
      </c>
      <c r="K55" s="185">
        <v>0.0</v>
      </c>
      <c r="L55" s="185">
        <v>2.0</v>
      </c>
      <c r="M55" s="185">
        <v>0.0</v>
      </c>
      <c r="N55" s="185">
        <v>1.0</v>
      </c>
      <c r="O55" s="185">
        <v>0.0</v>
      </c>
      <c r="P55" s="185">
        <v>0.0</v>
      </c>
      <c r="Q55" s="185">
        <v>0.0</v>
      </c>
      <c r="R55" s="185">
        <v>1.0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1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6.0</v>
      </c>
      <c r="H59" s="185">
        <v>4.0</v>
      </c>
      <c r="I59" s="185">
        <v>2.0</v>
      </c>
      <c r="J59" s="185">
        <v>0.0</v>
      </c>
      <c r="K59" s="185">
        <v>0.0</v>
      </c>
      <c r="L59" s="185">
        <v>1.0</v>
      </c>
      <c r="M59" s="185">
        <v>4.0</v>
      </c>
      <c r="N59" s="185">
        <v>0.0</v>
      </c>
      <c r="O59" s="185">
        <v>0.0</v>
      </c>
      <c r="P59" s="185">
        <v>4.0</v>
      </c>
      <c r="Q59" s="185">
        <v>2.0</v>
      </c>
      <c r="R59" s="185">
        <v>0.0</v>
      </c>
      <c r="S59" s="185">
        <v>0.0</v>
      </c>
      <c r="T59" s="185">
        <v>2186.0</v>
      </c>
      <c r="U59" s="104">
        <f t="shared" si="2"/>
        <v>0.5</v>
      </c>
      <c r="V59" s="104">
        <f t="shared" si="3"/>
        <v>0.8333333333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6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85">
        <v>3.0</v>
      </c>
      <c r="H61" s="185">
        <v>3.0</v>
      </c>
      <c r="I61" s="185">
        <v>1.0</v>
      </c>
      <c r="J61" s="185">
        <v>3.0</v>
      </c>
      <c r="K61" s="185">
        <v>1.0</v>
      </c>
      <c r="L61" s="185">
        <v>0.0</v>
      </c>
      <c r="M61" s="185">
        <v>12.0</v>
      </c>
      <c r="N61" s="185">
        <v>2.0</v>
      </c>
      <c r="O61" s="185">
        <v>0.0</v>
      </c>
      <c r="P61" s="185">
        <v>0.0</v>
      </c>
      <c r="Q61" s="185">
        <v>0.0</v>
      </c>
      <c r="R61" s="185">
        <v>1.0</v>
      </c>
      <c r="S61" s="185">
        <v>1.0</v>
      </c>
      <c r="T61" s="185">
        <v>1956.0</v>
      </c>
      <c r="U61" s="104">
        <f t="shared" si="2"/>
        <v>0.3333333333</v>
      </c>
      <c r="V61" s="104">
        <f t="shared" si="3"/>
        <v>1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>IFERROR(I63/H63,0)</f>
        <v>0</v>
      </c>
      <c r="V63" s="104">
        <f t="shared" ref="V63:V67" si="4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85">
        <v>3.0</v>
      </c>
      <c r="H64" s="185">
        <v>0.0</v>
      </c>
      <c r="I64" s="185">
        <v>0.0</v>
      </c>
      <c r="J64" s="185">
        <v>0.0</v>
      </c>
      <c r="K64" s="185">
        <v>0.0</v>
      </c>
      <c r="L64" s="185">
        <v>0.0</v>
      </c>
      <c r="M64" s="185">
        <v>0.0</v>
      </c>
      <c r="N64" s="185">
        <v>0.0</v>
      </c>
      <c r="O64" s="185">
        <v>0.0</v>
      </c>
      <c r="P64" s="185">
        <v>0.0</v>
      </c>
      <c r="Q64" s="185">
        <v>0.0</v>
      </c>
      <c r="R64" s="185">
        <v>0.0</v>
      </c>
      <c r="S64" s="185">
        <v>0.0</v>
      </c>
      <c r="T64" s="185">
        <v>0.0</v>
      </c>
      <c r="U64" s="187">
        <v>0.0</v>
      </c>
      <c r="V64" s="145">
        <f t="shared" si="4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85">
        <v>2.0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85">
        <v>0.0</v>
      </c>
      <c r="R65" s="103"/>
      <c r="S65" s="185">
        <v>0.0</v>
      </c>
      <c r="T65" s="185">
        <v>0.0</v>
      </c>
      <c r="U65" s="187">
        <v>0.0</v>
      </c>
      <c r="V65" s="145">
        <f t="shared" si="4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ref="U66:U67" si="5">IFERROR(I66/H66,0)</f>
        <v>0</v>
      </c>
      <c r="V66" s="145">
        <f t="shared" si="4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5"/>
        <v>0</v>
      </c>
      <c r="V67" s="145">
        <f t="shared" si="4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85">
        <v>1.0</v>
      </c>
      <c r="H74" s="185">
        <v>1.0</v>
      </c>
      <c r="I74" s="185">
        <v>0.0</v>
      </c>
      <c r="J74" s="185">
        <v>1.0</v>
      </c>
      <c r="K74" s="185">
        <v>0.0</v>
      </c>
      <c r="L74" s="185">
        <v>1.0</v>
      </c>
      <c r="M74" s="185">
        <v>30.0</v>
      </c>
      <c r="N74" s="185">
        <v>0.0</v>
      </c>
      <c r="O74" s="185">
        <v>0.0</v>
      </c>
      <c r="P74" s="185">
        <v>0.0</v>
      </c>
      <c r="Q74" s="185">
        <v>0.0</v>
      </c>
      <c r="R74" s="185">
        <v>1.0</v>
      </c>
      <c r="S74" s="185">
        <v>0.0</v>
      </c>
      <c r="T74" s="185">
        <v>0.0</v>
      </c>
      <c r="U74" s="104">
        <f t="shared" si="6"/>
        <v>0</v>
      </c>
      <c r="V74" s="104">
        <f t="shared" si="7"/>
        <v>2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1.0</v>
      </c>
      <c r="H82" s="185">
        <v>2.0</v>
      </c>
      <c r="I82" s="185">
        <v>1.0</v>
      </c>
      <c r="J82" s="185">
        <v>2.0</v>
      </c>
      <c r="K82" s="185">
        <v>1.0</v>
      </c>
      <c r="L82" s="185">
        <v>0.0</v>
      </c>
      <c r="M82" s="185">
        <v>8.0</v>
      </c>
      <c r="N82" s="185">
        <v>1.0</v>
      </c>
      <c r="O82" s="185">
        <v>1.0</v>
      </c>
      <c r="P82" s="185">
        <v>0.0</v>
      </c>
      <c r="Q82" s="185">
        <v>0.0</v>
      </c>
      <c r="R82" s="185">
        <v>0.0</v>
      </c>
      <c r="S82" s="185">
        <v>0.0</v>
      </c>
      <c r="T82" s="185">
        <v>2317.8</v>
      </c>
      <c r="U82" s="104">
        <f t="shared" si="8"/>
        <v>0.5</v>
      </c>
      <c r="V82" s="104">
        <f t="shared" si="9"/>
        <v>2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85">
        <v>15.0</v>
      </c>
      <c r="H87" s="185">
        <v>15.0</v>
      </c>
      <c r="I87" s="185">
        <v>1.0</v>
      </c>
      <c r="J87" s="103"/>
      <c r="K87" s="103"/>
      <c r="L87" s="103"/>
      <c r="M87" s="185">
        <v>46.0</v>
      </c>
      <c r="N87" s="103"/>
      <c r="O87" s="103"/>
      <c r="P87" s="103"/>
      <c r="Q87" s="103"/>
      <c r="R87" s="185">
        <v>1.0</v>
      </c>
      <c r="S87" s="185">
        <v>1.0</v>
      </c>
      <c r="T87" s="185">
        <v>2316.0</v>
      </c>
      <c r="U87" s="104">
        <f t="shared" si="10"/>
        <v>0.06666666667</v>
      </c>
      <c r="V87" s="104">
        <f t="shared" si="11"/>
        <v>1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85">
        <v>11.0</v>
      </c>
      <c r="H97" s="185">
        <v>6.0</v>
      </c>
      <c r="I97" s="103"/>
      <c r="J97" s="103"/>
      <c r="K97" s="103"/>
      <c r="L97" s="103"/>
      <c r="M97" s="185">
        <v>24.0</v>
      </c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0.5454545455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85">
        <v>3.0</v>
      </c>
      <c r="H98" s="185">
        <v>1.0</v>
      </c>
      <c r="I98" s="185">
        <v>1.0</v>
      </c>
      <c r="J98" s="185">
        <v>1.0</v>
      </c>
      <c r="K98" s="185">
        <v>1.0</v>
      </c>
      <c r="L98" s="103"/>
      <c r="M98" s="103"/>
      <c r="N98" s="185">
        <v>1.0</v>
      </c>
      <c r="O98" s="185">
        <v>1.0</v>
      </c>
      <c r="P98" s="103"/>
      <c r="Q98" s="103"/>
      <c r="R98" s="103"/>
      <c r="S98" s="103"/>
      <c r="T98" s="185">
        <v>1053.64</v>
      </c>
      <c r="U98" s="104">
        <f t="shared" si="10"/>
        <v>1</v>
      </c>
      <c r="V98" s="104">
        <f t="shared" si="11"/>
        <v>0.3333333333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12635</v>
      </c>
      <c r="D2" s="10"/>
      <c r="E2" s="11">
        <f t="shared" ref="E2:R2" si="1">SUM(E5,E20,E23,E26,E29,E32)</f>
        <v>11572</v>
      </c>
      <c r="F2" s="11">
        <f t="shared" si="1"/>
        <v>35</v>
      </c>
      <c r="G2" s="11">
        <f t="shared" si="1"/>
        <v>19</v>
      </c>
      <c r="H2" s="11">
        <f t="shared" si="1"/>
        <v>7</v>
      </c>
      <c r="I2" s="11">
        <f t="shared" si="1"/>
        <v>5</v>
      </c>
      <c r="J2" s="11">
        <f t="shared" si="1"/>
        <v>1</v>
      </c>
      <c r="K2" s="11">
        <f t="shared" si="1"/>
        <v>3</v>
      </c>
      <c r="L2" s="11">
        <f t="shared" si="1"/>
        <v>1</v>
      </c>
      <c r="M2" s="11">
        <f t="shared" si="1"/>
        <v>67</v>
      </c>
      <c r="N2" s="11">
        <f t="shared" si="1"/>
        <v>10</v>
      </c>
      <c r="O2" s="11">
        <f t="shared" si="1"/>
        <v>5</v>
      </c>
      <c r="P2" s="11">
        <f t="shared" si="1"/>
        <v>7</v>
      </c>
      <c r="Q2" s="11">
        <f t="shared" si="1"/>
        <v>3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1805</v>
      </c>
      <c r="F4" s="24">
        <f>IFERROR((G2+R2)/F2,0)</f>
        <v>0.6571428571</v>
      </c>
      <c r="G4" s="24">
        <f>IFERROR(H2/G2,0)</f>
        <v>0.3684210526</v>
      </c>
      <c r="H4" s="23">
        <f>(C2/C4)</f>
        <v>197.421875</v>
      </c>
      <c r="I4" s="25"/>
      <c r="J4" s="24">
        <f>IFERROR(J2/I2,0)</f>
        <v>0.2</v>
      </c>
      <c r="K4" s="25"/>
      <c r="L4" s="24">
        <f>IFERROR(L2/K2,0)</f>
        <v>0.3333333333</v>
      </c>
      <c r="M4" s="26">
        <f>IFERROR(M2/G2,0)</f>
        <v>3.526315789</v>
      </c>
      <c r="N4" s="25"/>
      <c r="O4" s="24">
        <f>IFERROR(O2/N2,0)</f>
        <v>0.5</v>
      </c>
      <c r="P4" s="26"/>
      <c r="Q4" s="24">
        <f>IFERROR(Q2/P2,0)</f>
        <v>0.4285714286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10155</v>
      </c>
      <c r="D5" s="31"/>
      <c r="E5" s="32">
        <f>SUMIFS(T:T,A:A,B5,D:D,"Y")</f>
        <v>9092</v>
      </c>
      <c r="F5" s="11">
        <f>SUMIF(A:A,B5,G:G)</f>
        <v>25</v>
      </c>
      <c r="G5" s="11">
        <f>SUMIF(A:A,B5,H:H)</f>
        <v>15</v>
      </c>
      <c r="H5" s="11">
        <f>SUMIF(A:A,B5,I:I)</f>
        <v>6</v>
      </c>
      <c r="I5" s="11">
        <f>SUMIF(A:A,B5,P:P)</f>
        <v>5</v>
      </c>
      <c r="J5" s="11">
        <f>SUMIF(A:A,B5,Q:Q)</f>
        <v>1</v>
      </c>
      <c r="K5" s="11">
        <f>SUMIF(A:A,B5,R:R)</f>
        <v>1</v>
      </c>
      <c r="L5" s="11">
        <f>SUMIF(A:A,B5,S:S)</f>
        <v>1</v>
      </c>
      <c r="M5" s="11">
        <f>SUMIF(A:A,B5,M:M)</f>
        <v>54</v>
      </c>
      <c r="N5" s="11">
        <f>SUMIF(A:A,B5,N:N)</f>
        <v>8</v>
      </c>
      <c r="O5" s="11">
        <f>SUMIF(A:A,B5,O:O)</f>
        <v>4</v>
      </c>
      <c r="P5" s="11">
        <f>SUMIF(A:A,B5,J:J)</f>
        <v>4</v>
      </c>
      <c r="Q5" s="11">
        <f>SUMIF(A:A,B5,K:K)</f>
        <v>2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1692.5</v>
      </c>
      <c r="F7" s="41">
        <f>IFERROR((G5+R5)/F5,0)</f>
        <v>0.64</v>
      </c>
      <c r="G7" s="41">
        <f>IFERROR(H5/G5,0)</f>
        <v>0.4</v>
      </c>
      <c r="H7" s="40">
        <f>(C5/C7)</f>
        <v>406.2</v>
      </c>
      <c r="I7" s="42"/>
      <c r="J7" s="41">
        <f>IFERROR(J5/I5,0)</f>
        <v>0.2</v>
      </c>
      <c r="K7" s="42"/>
      <c r="L7" s="41">
        <f>IFERROR(L5/K5,0)</f>
        <v>1</v>
      </c>
      <c r="M7" s="43">
        <f>IFERROR(M5/SUM(R5+G5,0),"")</f>
        <v>3.375</v>
      </c>
      <c r="N7" s="42"/>
      <c r="O7" s="41">
        <f>IFERROR(O5/N5,0)</f>
        <v>0.5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1866</v>
      </c>
      <c r="D8" s="47"/>
      <c r="E8" s="48">
        <f>SUMIFS(T:T,B:B,B8,D:D,"Y")</f>
        <v>1866</v>
      </c>
      <c r="F8" s="49">
        <f>SUMIF(B37:B1137,B8,G37:G1137)</f>
        <v>1</v>
      </c>
      <c r="G8" s="50">
        <f>SUMIF(B37:B1137,B8,H37:H1137)</f>
        <v>1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3</v>
      </c>
      <c r="N8" s="50">
        <f>SUMIF(B37:B1137,B8,N37:N1137)</f>
        <v>1</v>
      </c>
      <c r="O8" s="50">
        <f>SUMIF(B37:B1137,B8,O37:O1137)</f>
        <v>1</v>
      </c>
      <c r="P8" s="50">
        <f>SUMIF(B37:B1137,B8,J37:J1137)</f>
        <v>1</v>
      </c>
      <c r="Q8" s="50">
        <f>SUMIF(B37:B1137,B8,K37:K1137)</f>
        <v>1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1866</v>
      </c>
      <c r="F10" s="24">
        <f>IFERROR((G8+R8)/F8,0)</f>
        <v>1</v>
      </c>
      <c r="G10" s="24">
        <f>IFERROR(H8/G8,0)</f>
        <v>1</v>
      </c>
      <c r="H10" s="23">
        <f>(C8/C10)</f>
        <v>373.2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3</v>
      </c>
      <c r="N10" s="25"/>
      <c r="O10" s="24">
        <f>IFERROR(O8/N8,0)</f>
        <v>1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3616</v>
      </c>
      <c r="D11" s="60"/>
      <c r="E11" s="48">
        <f>SUMIFS(T:T,B:B,B11,D:D,"Y")</f>
        <v>2553</v>
      </c>
      <c r="F11" s="49">
        <f>SUMIF(B39:B1137,B11,G39:G1137)</f>
        <v>14</v>
      </c>
      <c r="G11" s="50">
        <f>SUMIF(B39:B1137,B11,H39:H1137)</f>
        <v>9</v>
      </c>
      <c r="H11" s="50">
        <f>SUMIF(B39:B1137,B11,I39:I1137)</f>
        <v>2</v>
      </c>
      <c r="I11" s="50">
        <f>SUMIF(B39:B1137,B11,P39:P1137)</f>
        <v>3</v>
      </c>
      <c r="J11" s="50">
        <f>SUMIF(B39:B1137,B11,Q39:Q1137)</f>
        <v>1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25</v>
      </c>
      <c r="N11" s="50">
        <f>SUMIF(B39:B1137,B11,N39:N1137)</f>
        <v>5</v>
      </c>
      <c r="O11" s="50">
        <f>SUMIF(B39:B1137,B11,O39:O1137)</f>
        <v>1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1808</v>
      </c>
      <c r="F13" s="24">
        <f>IFERROR((G11+R11)/F11,0)</f>
        <v>0.7142857143</v>
      </c>
      <c r="G13" s="24">
        <f>IFERROR(H11/G11,0)</f>
        <v>0.2222222222</v>
      </c>
      <c r="H13" s="23">
        <f>(C11/C13)</f>
        <v>401.7777778</v>
      </c>
      <c r="I13" s="25"/>
      <c r="J13" s="24">
        <f>IFERROR(J11/I11,0)</f>
        <v>0.3333333333</v>
      </c>
      <c r="K13" s="25"/>
      <c r="L13" s="24">
        <f>IFERROR(L11/K11,0)</f>
        <v>0</v>
      </c>
      <c r="M13" s="26">
        <f>IFERROR(M11/SUM(R11+G11,0),"")</f>
        <v>2.5</v>
      </c>
      <c r="N13" s="25"/>
      <c r="O13" s="24">
        <f>IFERROR(O11/N11,0)</f>
        <v>0.2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4673</v>
      </c>
      <c r="D17" s="60"/>
      <c r="E17" s="48">
        <f>SUMIFS(T:T,B:B,B17,D:D,"Y")</f>
        <v>4673</v>
      </c>
      <c r="F17" s="49">
        <f>SUMIF(B45:B1137,B17,G45:G1137)</f>
        <v>10</v>
      </c>
      <c r="G17" s="50">
        <f>SUMIF(B45:B1137,B17,H45:H1137)</f>
        <v>5</v>
      </c>
      <c r="H17" s="50">
        <f>SUMIF(B45:B1137,B17,I45:I1137)</f>
        <v>3</v>
      </c>
      <c r="I17" s="50">
        <f>SUMIF(B45:B1137,B17,P45:P1137)</f>
        <v>2</v>
      </c>
      <c r="J17" s="50">
        <f>SUMIF(B45:B1137,B17,Q45:Q1137)</f>
        <v>0</v>
      </c>
      <c r="K17" s="50">
        <f>SUMIF(B45:B1137,B17,R45:R1137)</f>
        <v>1</v>
      </c>
      <c r="L17" s="50">
        <f>SUMIF(B45:B1137,B17,S45:S1137)</f>
        <v>1</v>
      </c>
      <c r="M17" s="50">
        <f>SUMIF(B45:B1137,B17,M45:M1137)</f>
        <v>26</v>
      </c>
      <c r="N17" s="50">
        <f>SUMIF(B45:B1137,B17,N45:N1137)</f>
        <v>2</v>
      </c>
      <c r="O17" s="50">
        <f>SUMIF(B45:B1137,B17,O45:O1137)</f>
        <v>2</v>
      </c>
      <c r="P17" s="50">
        <f>SUMIF(B45:B1137,B17,J45:J1137)</f>
        <v>1</v>
      </c>
      <c r="Q17" s="50">
        <f>SUMIF(B45:B1137,B17,K45:K1137)</f>
        <v>1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1557.666667</v>
      </c>
      <c r="F19" s="24">
        <f>IFERROR((G17+R17)/F17,0)</f>
        <v>0.5</v>
      </c>
      <c r="G19" s="24">
        <f>IFERROR(H17/G17,0)</f>
        <v>0.6</v>
      </c>
      <c r="H19" s="23">
        <f>(C17/C19)</f>
        <v>1557.666667</v>
      </c>
      <c r="I19" s="25"/>
      <c r="J19" s="24">
        <f>IFERROR(J17/I17,0)</f>
        <v>0</v>
      </c>
      <c r="K19" s="25"/>
      <c r="L19" s="24">
        <f>IFERROR(L17/K17,0)</f>
        <v>1</v>
      </c>
      <c r="M19" s="26">
        <f>IFERROR(M17/SUM(R17+G17,0),"")</f>
        <v>5.2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6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0.4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3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2480</v>
      </c>
      <c r="D23" s="31"/>
      <c r="E23" s="64">
        <f>SUMIFS(T:T,A:A,B23,D:D,"Y")</f>
        <v>2480</v>
      </c>
      <c r="F23" s="9">
        <f>SUMIF(A:A,B23,G:G)</f>
        <v>4</v>
      </c>
      <c r="G23" s="11">
        <f>SUMIF(A:A,B23,H:H)</f>
        <v>3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0</v>
      </c>
      <c r="M23" s="11">
        <f>SUMIF(A:A,B23,M:M)</f>
        <v>7</v>
      </c>
      <c r="N23" s="11">
        <f>SUMIF(A:A,B23,N:N)</f>
        <v>1</v>
      </c>
      <c r="O23" s="11">
        <f>SUMIF(A:A,B23,O:O)</f>
        <v>1</v>
      </c>
      <c r="P23" s="11">
        <f>SUMIF(A:A,B23,J:J)</f>
        <v>2</v>
      </c>
      <c r="Q23" s="11">
        <f>SUMIF(A:A,B23,K:K)</f>
        <v>1</v>
      </c>
      <c r="R23" s="33">
        <f>SUMIF(A:A,B23,L:L)</f>
        <v>2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2480</v>
      </c>
      <c r="F25" s="24">
        <f>IFERROR((G23+R23)/F23,0)</f>
        <v>1.25</v>
      </c>
      <c r="G25" s="24">
        <f>IFERROR(H23/G23,0)</f>
        <v>0.3333333333</v>
      </c>
      <c r="H25" s="23">
        <f>(C23/C25)</f>
        <v>248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1.4</v>
      </c>
      <c r="N25" s="25"/>
      <c r="O25" s="24">
        <f>IFERROR(O23/N23,0)</f>
        <v>1</v>
      </c>
      <c r="P25" s="26"/>
      <c r="Q25" s="24">
        <f>IFERROR(Q23/P23,0)</f>
        <v>0.5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1.0</v>
      </c>
      <c r="J39" s="185">
        <v>1.0</v>
      </c>
      <c r="K39" s="185">
        <v>1.0</v>
      </c>
      <c r="L39" s="185">
        <v>0.0</v>
      </c>
      <c r="M39" s="185">
        <v>3.0</v>
      </c>
      <c r="N39" s="185">
        <v>1.0</v>
      </c>
      <c r="O39" s="185">
        <v>1.0</v>
      </c>
      <c r="P39" s="185">
        <v>0.0</v>
      </c>
      <c r="Q39" s="185">
        <v>0.0</v>
      </c>
      <c r="R39" s="185">
        <v>0.0</v>
      </c>
      <c r="S39" s="185">
        <v>0.0</v>
      </c>
      <c r="T39" s="185">
        <v>1866.0</v>
      </c>
      <c r="U39" s="104">
        <f t="shared" si="2"/>
        <v>1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6.0</v>
      </c>
      <c r="H43" s="185">
        <v>3.0</v>
      </c>
      <c r="I43" s="185">
        <v>1.0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3.0</v>
      </c>
      <c r="Q43" s="185">
        <v>1.0</v>
      </c>
      <c r="R43" s="185">
        <v>0.0</v>
      </c>
      <c r="S43" s="185">
        <v>0.0</v>
      </c>
      <c r="T43" s="185">
        <v>2553.0</v>
      </c>
      <c r="U43" s="104">
        <f t="shared" si="2"/>
        <v>0.3333333333</v>
      </c>
      <c r="V43" s="104">
        <f t="shared" si="3"/>
        <v>0.5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1.0</v>
      </c>
      <c r="H44" s="185">
        <v>1.0</v>
      </c>
      <c r="I44" s="185">
        <v>0.0</v>
      </c>
      <c r="J44" s="185">
        <v>0.0</v>
      </c>
      <c r="K44" s="185">
        <v>0.0</v>
      </c>
      <c r="L44" s="185">
        <v>0.0</v>
      </c>
      <c r="M44" s="185">
        <v>5.0</v>
      </c>
      <c r="N44" s="185">
        <v>1.0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1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0.0</v>
      </c>
      <c r="H46" s="185">
        <v>0.0</v>
      </c>
      <c r="I46" s="185">
        <v>0.0</v>
      </c>
      <c r="J46" s="103"/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3.0</v>
      </c>
      <c r="H49" s="185">
        <v>1.0</v>
      </c>
      <c r="I49" s="185">
        <v>0.0</v>
      </c>
      <c r="J49" s="185">
        <v>1.0</v>
      </c>
      <c r="K49" s="185">
        <v>0.0</v>
      </c>
      <c r="L49" s="185">
        <v>1.0</v>
      </c>
      <c r="M49" s="185">
        <v>6.0</v>
      </c>
      <c r="N49" s="185">
        <v>1.0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0.6666666667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3.0</v>
      </c>
      <c r="H51" s="185">
        <v>4.0</v>
      </c>
      <c r="I51" s="185">
        <v>1.0</v>
      </c>
      <c r="J51" s="185">
        <v>1.0</v>
      </c>
      <c r="K51" s="185">
        <v>0.0</v>
      </c>
      <c r="L51" s="185">
        <v>0.0</v>
      </c>
      <c r="M51" s="185">
        <v>14.0</v>
      </c>
      <c r="N51" s="185">
        <v>3.0</v>
      </c>
      <c r="O51" s="185">
        <v>1.0</v>
      </c>
      <c r="P51" s="185">
        <v>0.0</v>
      </c>
      <c r="Q51" s="185">
        <v>0.0</v>
      </c>
      <c r="R51" s="185">
        <v>0.0</v>
      </c>
      <c r="S51" s="185">
        <v>0.0</v>
      </c>
      <c r="T51" s="185">
        <v>1063.0</v>
      </c>
      <c r="U51" s="104">
        <f t="shared" si="2"/>
        <v>0.25</v>
      </c>
      <c r="V51" s="104">
        <f t="shared" si="3"/>
        <v>1.333333333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8.0</v>
      </c>
      <c r="H59" s="185">
        <v>3.0</v>
      </c>
      <c r="I59" s="185">
        <v>1.0</v>
      </c>
      <c r="J59" s="185">
        <v>0.0</v>
      </c>
      <c r="K59" s="185">
        <v>0.0</v>
      </c>
      <c r="L59" s="185">
        <v>0.0</v>
      </c>
      <c r="M59" s="185">
        <v>4.0</v>
      </c>
      <c r="N59" s="185">
        <v>1.0</v>
      </c>
      <c r="O59" s="185">
        <v>1.0</v>
      </c>
      <c r="P59" s="185">
        <v>2.0</v>
      </c>
      <c r="Q59" s="185">
        <v>0.0</v>
      </c>
      <c r="R59" s="185">
        <v>0.0</v>
      </c>
      <c r="S59" s="185">
        <v>0.0</v>
      </c>
      <c r="T59" s="185">
        <v>1400.0</v>
      </c>
      <c r="U59" s="104">
        <f t="shared" si="2"/>
        <v>0.3333333333</v>
      </c>
      <c r="V59" s="104">
        <f t="shared" si="3"/>
        <v>0.375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85">
        <v>2.0</v>
      </c>
      <c r="H60" s="185">
        <v>2.0</v>
      </c>
      <c r="I60" s="185">
        <v>2.0</v>
      </c>
      <c r="J60" s="185">
        <v>1.0</v>
      </c>
      <c r="K60" s="185">
        <v>1.0</v>
      </c>
      <c r="L60" s="185">
        <v>0.0</v>
      </c>
      <c r="M60" s="185">
        <v>22.0</v>
      </c>
      <c r="N60" s="185">
        <v>1.0</v>
      </c>
      <c r="O60" s="185">
        <v>1.0</v>
      </c>
      <c r="P60" s="185">
        <v>0.0</v>
      </c>
      <c r="Q60" s="185">
        <v>0.0</v>
      </c>
      <c r="R60" s="185">
        <v>1.0</v>
      </c>
      <c r="S60" s="185">
        <v>1.0</v>
      </c>
      <c r="T60" s="185">
        <v>3273.0</v>
      </c>
      <c r="U60" s="104">
        <f t="shared" si="2"/>
        <v>1</v>
      </c>
      <c r="V60" s="104">
        <f t="shared" si="3"/>
        <v>1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85">
        <v>3.0</v>
      </c>
      <c r="H64" s="185">
        <v>1.0</v>
      </c>
      <c r="I64" s="185">
        <v>0.0</v>
      </c>
      <c r="J64" s="185">
        <v>1.0</v>
      </c>
      <c r="K64" s="185">
        <v>0.0</v>
      </c>
      <c r="L64" s="185">
        <v>1.0</v>
      </c>
      <c r="M64" s="185">
        <v>6.0</v>
      </c>
      <c r="N64" s="185">
        <v>1.0</v>
      </c>
      <c r="O64" s="185">
        <v>0.0</v>
      </c>
      <c r="P64" s="185">
        <v>0.0</v>
      </c>
      <c r="Q64" s="185">
        <v>0.0</v>
      </c>
      <c r="R64" s="185">
        <v>0.0</v>
      </c>
      <c r="S64" s="185">
        <v>0.0</v>
      </c>
      <c r="T64" s="185">
        <v>0.0</v>
      </c>
      <c r="U64" s="145">
        <f t="shared" si="4"/>
        <v>0</v>
      </c>
      <c r="V64" s="145">
        <f t="shared" si="5"/>
        <v>0.6666666667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85">
        <v>2.0</v>
      </c>
      <c r="H65" s="185">
        <v>0.0</v>
      </c>
      <c r="I65" s="185">
        <v>0.0</v>
      </c>
      <c r="J65" s="185">
        <v>0.0</v>
      </c>
      <c r="K65" s="185">
        <v>0.0</v>
      </c>
      <c r="L65" s="185">
        <v>0.0</v>
      </c>
      <c r="M65" s="185">
        <v>0.0</v>
      </c>
      <c r="N65" s="185">
        <v>0.0</v>
      </c>
      <c r="O65" s="185">
        <v>0.0</v>
      </c>
      <c r="P65" s="185">
        <v>0.0</v>
      </c>
      <c r="Q65" s="185">
        <v>0.0</v>
      </c>
      <c r="R65" s="185">
        <v>0.0</v>
      </c>
      <c r="S65" s="185">
        <v>0.0</v>
      </c>
      <c r="T65" s="185">
        <v>0.0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03"/>
      <c r="M69" s="185">
        <v>4.0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2480.0</v>
      </c>
      <c r="U69" s="104">
        <f t="shared" ref="U69:U78" si="6">IFERROR(I69/H69,0)</f>
        <v>1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85">
        <v>3.0</v>
      </c>
      <c r="H74" s="185">
        <v>2.0</v>
      </c>
      <c r="I74" s="185">
        <v>0.0</v>
      </c>
      <c r="J74" s="185">
        <v>1.0</v>
      </c>
      <c r="K74" s="185">
        <v>0.0</v>
      </c>
      <c r="L74" s="185">
        <v>2.0</v>
      </c>
      <c r="M74" s="185">
        <v>3.0</v>
      </c>
      <c r="N74" s="185">
        <v>0.0</v>
      </c>
      <c r="O74" s="185">
        <v>0.0</v>
      </c>
      <c r="P74" s="185">
        <v>0.0</v>
      </c>
      <c r="Q74" s="185">
        <v>0.0</v>
      </c>
      <c r="R74" s="185">
        <v>2.0</v>
      </c>
      <c r="S74" s="185">
        <v>0.0</v>
      </c>
      <c r="T74" s="185">
        <v>0.0</v>
      </c>
      <c r="U74" s="104">
        <f t="shared" si="6"/>
        <v>0</v>
      </c>
      <c r="V74" s="104">
        <f t="shared" si="7"/>
        <v>1.333333333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1.0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11709</v>
      </c>
      <c r="D2" s="10"/>
      <c r="E2" s="11">
        <f t="shared" ref="E2:R2" si="1">SUM(E5,E20,E23,E26,E29,E32)</f>
        <v>10802</v>
      </c>
      <c r="F2" s="11">
        <f t="shared" si="1"/>
        <v>34</v>
      </c>
      <c r="G2" s="11">
        <f t="shared" si="1"/>
        <v>15</v>
      </c>
      <c r="H2" s="11">
        <f t="shared" si="1"/>
        <v>7</v>
      </c>
      <c r="I2" s="11">
        <f t="shared" si="1"/>
        <v>4</v>
      </c>
      <c r="J2" s="11">
        <f t="shared" si="1"/>
        <v>3</v>
      </c>
      <c r="K2" s="11">
        <f t="shared" si="1"/>
        <v>1</v>
      </c>
      <c r="L2" s="11">
        <f t="shared" si="1"/>
        <v>1</v>
      </c>
      <c r="M2" s="11">
        <f t="shared" si="1"/>
        <v>72</v>
      </c>
      <c r="N2" s="11">
        <f t="shared" si="1"/>
        <v>7</v>
      </c>
      <c r="O2" s="11">
        <f t="shared" si="1"/>
        <v>3</v>
      </c>
      <c r="P2" s="11">
        <f t="shared" si="1"/>
        <v>5</v>
      </c>
      <c r="Q2" s="11">
        <f t="shared" si="1"/>
        <v>2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1672.714286</v>
      </c>
      <c r="F4" s="24">
        <f>IFERROR((G2+R2)/F2,0)</f>
        <v>0.5294117647</v>
      </c>
      <c r="G4" s="24">
        <f>IFERROR(H2/G2,0)</f>
        <v>0.4666666667</v>
      </c>
      <c r="H4" s="23">
        <f>(C2/C4)</f>
        <v>182.953125</v>
      </c>
      <c r="I4" s="25"/>
      <c r="J4" s="24">
        <f>IFERROR(J2/I2,0)</f>
        <v>0.75</v>
      </c>
      <c r="K4" s="25"/>
      <c r="L4" s="24">
        <f>IFERROR(L2/K2,0)</f>
        <v>1</v>
      </c>
      <c r="M4" s="26">
        <f>IFERROR(M2/G2,0)</f>
        <v>4.8</v>
      </c>
      <c r="N4" s="25"/>
      <c r="O4" s="24">
        <f>IFERROR(O2/N2,0)</f>
        <v>0.4285714286</v>
      </c>
      <c r="P4" s="26"/>
      <c r="Q4" s="24">
        <f>IFERROR(Q2/P2,0)</f>
        <v>0.4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11709</v>
      </c>
      <c r="D5" s="31"/>
      <c r="E5" s="32">
        <f>SUMIFS(T:T,A:A,B5,D:D,"Y")</f>
        <v>10802</v>
      </c>
      <c r="F5" s="11">
        <f>SUMIF(A:A,B5,G:G)</f>
        <v>33</v>
      </c>
      <c r="G5" s="11">
        <f>SUMIF(A:A,B5,H:H)</f>
        <v>14</v>
      </c>
      <c r="H5" s="11">
        <f>SUMIF(A:A,B5,I:I)</f>
        <v>7</v>
      </c>
      <c r="I5" s="11">
        <f>SUMIF(A:A,B5,P:P)</f>
        <v>4</v>
      </c>
      <c r="J5" s="11">
        <f>SUMIF(A:A,B5,Q:Q)</f>
        <v>3</v>
      </c>
      <c r="K5" s="11">
        <f>SUMIF(A:A,B5,R:R)</f>
        <v>1</v>
      </c>
      <c r="L5" s="11">
        <f>SUMIF(A:A,B5,S:S)</f>
        <v>1</v>
      </c>
      <c r="M5" s="11">
        <f>SUMIF(A:A,B5,M:M)</f>
        <v>62</v>
      </c>
      <c r="N5" s="11">
        <f>SUMIF(A:A,B5,N:N)</f>
        <v>6</v>
      </c>
      <c r="O5" s="11">
        <f>SUMIF(A:A,B5,O:O)</f>
        <v>3</v>
      </c>
      <c r="P5" s="11">
        <f>SUMIF(A:A,B5,J:J)</f>
        <v>4</v>
      </c>
      <c r="Q5" s="11">
        <f>SUMIF(A:A,B5,K:K)</f>
        <v>2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1672.714286</v>
      </c>
      <c r="F7" s="41">
        <f>IFERROR((G5+R5)/F5,0)</f>
        <v>0.5151515152</v>
      </c>
      <c r="G7" s="41">
        <f>IFERROR(H5/G5,0)</f>
        <v>0.5</v>
      </c>
      <c r="H7" s="40">
        <f>(C5/C7)</f>
        <v>468.36</v>
      </c>
      <c r="I7" s="42"/>
      <c r="J7" s="41">
        <f>IFERROR(J5/I5,0)</f>
        <v>0.75</v>
      </c>
      <c r="K7" s="42"/>
      <c r="L7" s="41">
        <f>IFERROR(L5/K5,0)</f>
        <v>1</v>
      </c>
      <c r="M7" s="43">
        <f>IFERROR(M5/SUM(R5+G5,0),"")</f>
        <v>3.647058824</v>
      </c>
      <c r="N7" s="42"/>
      <c r="O7" s="41">
        <f>IFERROR(O5/N5,0)</f>
        <v>0.5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6164</v>
      </c>
      <c r="D11" s="60"/>
      <c r="E11" s="48">
        <f>SUMIFS(T:T,B:B,B11,D:D,"Y")</f>
        <v>6164</v>
      </c>
      <c r="F11" s="49">
        <f>SUMIF(B39:B1137,B11,G39:G1137)</f>
        <v>14</v>
      </c>
      <c r="G11" s="50">
        <f>SUMIF(B39:B1137,B11,H39:H1137)</f>
        <v>8</v>
      </c>
      <c r="H11" s="50">
        <f>SUMIF(B39:B1137,B11,I39:I1137)</f>
        <v>3</v>
      </c>
      <c r="I11" s="50">
        <f>SUMIF(B39:B1137,B11,P39:P1137)</f>
        <v>2</v>
      </c>
      <c r="J11" s="50">
        <f>SUMIF(B39:B1137,B11,Q39:Q1137)</f>
        <v>1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45</v>
      </c>
      <c r="N11" s="50">
        <f>SUMIF(B39:B1137,B11,N39:N1137)</f>
        <v>5</v>
      </c>
      <c r="O11" s="50">
        <f>SUMIF(B39:B1137,B11,O39:O1137)</f>
        <v>2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2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2054.666667</v>
      </c>
      <c r="F13" s="24">
        <f>IFERROR((G11+R11)/F11,0)</f>
        <v>0.7142857143</v>
      </c>
      <c r="G13" s="24">
        <f>IFERROR(H11/G11,0)</f>
        <v>0.375</v>
      </c>
      <c r="H13" s="23">
        <f>(C11/C13)</f>
        <v>684.8888889</v>
      </c>
      <c r="I13" s="25"/>
      <c r="J13" s="24">
        <f>IFERROR(J11/I11,0)</f>
        <v>0.5</v>
      </c>
      <c r="K13" s="25"/>
      <c r="L13" s="24">
        <f>IFERROR(L11/K11,0)</f>
        <v>0</v>
      </c>
      <c r="M13" s="26">
        <f>IFERROR(M11/SUM(R11+G11,0),"")</f>
        <v>4.5</v>
      </c>
      <c r="N13" s="25"/>
      <c r="O13" s="24">
        <f>IFERROR(O11/N11,0)</f>
        <v>0.4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3033</v>
      </c>
      <c r="D14" s="60"/>
      <c r="E14" s="48">
        <f>SUMIFS(T:T,B:B,B14,D:D,"Y")</f>
        <v>2126</v>
      </c>
      <c r="F14" s="49">
        <f>SUMIF(B39:B1137,B14,G39:G1137)</f>
        <v>2</v>
      </c>
      <c r="G14" s="50">
        <f>SUMIF(B39:B1137,B14,H39:H1137)</f>
        <v>2</v>
      </c>
      <c r="H14" s="50">
        <f>SUMIF(B39:B1137,B14,I39:I1137)</f>
        <v>2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1</v>
      </c>
      <c r="M14" s="50">
        <f>SUMIF(B39:B1137,B14,M39:M1137)</f>
        <v>8</v>
      </c>
      <c r="N14" s="50">
        <f>SUMIF(B39:B1137,B14,N39:N1137)</f>
        <v>1</v>
      </c>
      <c r="O14" s="50">
        <f>SUMIF(B39:B1137,B14,O39:O1137)</f>
        <v>1</v>
      </c>
      <c r="P14" s="50">
        <f>SUMIF(B39:B1137,B14,J39:J1137)</f>
        <v>2</v>
      </c>
      <c r="Q14" s="50">
        <f>SUMIF(B39:B1137,B14,K39:K1137)</f>
        <v>2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1516.5</v>
      </c>
      <c r="F16" s="24">
        <f>IFERROR((G14+R14)/F14,0)</f>
        <v>1</v>
      </c>
      <c r="G16" s="24">
        <f>IFERROR(H14/G14,0)</f>
        <v>1</v>
      </c>
      <c r="H16" s="23">
        <f>(C14/C16)</f>
        <v>433.2857143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IFERROR(M14/SUM(R14+G14,0),"")</f>
        <v>4</v>
      </c>
      <c r="N16" s="25"/>
      <c r="O16" s="24">
        <f>IFERROR(O14/N14,0)</f>
        <v>1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2512</v>
      </c>
      <c r="D17" s="60"/>
      <c r="E17" s="48">
        <f>SUMIFS(T:T,B:B,B17,D:D,"Y")</f>
        <v>2512</v>
      </c>
      <c r="F17" s="49">
        <f>SUMIF(B45:B1137,B17,G45:G1137)</f>
        <v>17</v>
      </c>
      <c r="G17" s="50">
        <f>SUMIF(B45:B1137,B17,H45:H1137)</f>
        <v>4</v>
      </c>
      <c r="H17" s="50">
        <f>SUMIF(B45:B1137,B17,I45:I1137)</f>
        <v>2</v>
      </c>
      <c r="I17" s="50">
        <f>SUMIF(B45:B1137,B17,P45:P1137)</f>
        <v>2</v>
      </c>
      <c r="J17" s="50">
        <f>SUMIF(B45:B1137,B17,Q45:Q1137)</f>
        <v>2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9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1256</v>
      </c>
      <c r="F19" s="24">
        <f>IFERROR((G17+R17)/F17,0)</f>
        <v>0.2941176471</v>
      </c>
      <c r="G19" s="24">
        <f>IFERROR(H17/G17,0)</f>
        <v>0.5</v>
      </c>
      <c r="H19" s="23">
        <f>(C17/C19)</f>
        <v>837.3333333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1.8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10</v>
      </c>
      <c r="N26" s="11">
        <f>SUMIF(A:A,B26,N:N)</f>
        <v>1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1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10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11.0</v>
      </c>
      <c r="H43" s="185">
        <v>3.0</v>
      </c>
      <c r="I43" s="185">
        <v>2.0</v>
      </c>
      <c r="J43" s="185">
        <v>0.0</v>
      </c>
      <c r="K43" s="185">
        <v>0.0</v>
      </c>
      <c r="L43" s="185">
        <v>1.0</v>
      </c>
      <c r="M43" s="185">
        <v>0.0</v>
      </c>
      <c r="N43" s="185">
        <v>1.0</v>
      </c>
      <c r="O43" s="185">
        <v>1.0</v>
      </c>
      <c r="P43" s="185">
        <v>2.0</v>
      </c>
      <c r="Q43" s="185">
        <v>1.0</v>
      </c>
      <c r="R43" s="185">
        <v>0.0</v>
      </c>
      <c r="S43" s="185">
        <v>0.0</v>
      </c>
      <c r="T43" s="185">
        <v>4387.0</v>
      </c>
      <c r="U43" s="104">
        <f t="shared" si="2"/>
        <v>0.6666666667</v>
      </c>
      <c r="V43" s="104">
        <f t="shared" si="3"/>
        <v>0.3636363636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2.0</v>
      </c>
      <c r="I47" s="185">
        <v>1.0</v>
      </c>
      <c r="J47" s="185">
        <v>1.0</v>
      </c>
      <c r="K47" s="185">
        <v>0.0</v>
      </c>
      <c r="L47" s="185">
        <v>1.0</v>
      </c>
      <c r="M47" s="185">
        <v>37.0</v>
      </c>
      <c r="N47" s="185">
        <v>1.0</v>
      </c>
      <c r="O47" s="185">
        <v>1.0</v>
      </c>
      <c r="P47" s="185">
        <v>0.0</v>
      </c>
      <c r="Q47" s="185">
        <v>0.0</v>
      </c>
      <c r="R47" s="185">
        <v>0.0</v>
      </c>
      <c r="S47" s="185">
        <v>0.0</v>
      </c>
      <c r="T47" s="185">
        <v>1777.0</v>
      </c>
      <c r="U47" s="104">
        <f t="shared" si="2"/>
        <v>0.5</v>
      </c>
      <c r="V47" s="104">
        <f t="shared" si="3"/>
        <v>3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2.0</v>
      </c>
      <c r="H51" s="185">
        <v>3.0</v>
      </c>
      <c r="I51" s="185">
        <v>0.0</v>
      </c>
      <c r="J51" s="185">
        <v>1.0</v>
      </c>
      <c r="K51" s="185">
        <v>0.0</v>
      </c>
      <c r="L51" s="185">
        <v>0.0</v>
      </c>
      <c r="M51" s="185">
        <v>8.0</v>
      </c>
      <c r="N51" s="185">
        <v>3.0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1.5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85">
        <v>1.0</v>
      </c>
      <c r="H52" s="185">
        <v>1.0</v>
      </c>
      <c r="I52" s="185">
        <v>1.0</v>
      </c>
      <c r="J52" s="185">
        <v>1.0</v>
      </c>
      <c r="K52" s="185">
        <v>1.0</v>
      </c>
      <c r="L52" s="103"/>
      <c r="M52" s="185">
        <v>4.0</v>
      </c>
      <c r="N52" s="185">
        <v>1.0</v>
      </c>
      <c r="O52" s="185">
        <v>1.0</v>
      </c>
      <c r="P52" s="103"/>
      <c r="Q52" s="103"/>
      <c r="R52" s="103"/>
      <c r="S52" s="103"/>
      <c r="T52" s="185">
        <v>2126.0</v>
      </c>
      <c r="U52" s="104">
        <f t="shared" si="2"/>
        <v>1</v>
      </c>
      <c r="V52" s="104">
        <f t="shared" si="3"/>
        <v>1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1.0</v>
      </c>
      <c r="H54" s="185">
        <v>1.0</v>
      </c>
      <c r="I54" s="185">
        <v>1.0</v>
      </c>
      <c r="J54" s="185">
        <v>1.0</v>
      </c>
      <c r="K54" s="185">
        <v>1.0</v>
      </c>
      <c r="L54" s="185">
        <v>0.0</v>
      </c>
      <c r="M54" s="185">
        <v>4.0</v>
      </c>
      <c r="N54" s="185">
        <v>0.0</v>
      </c>
      <c r="O54" s="185">
        <v>0.0</v>
      </c>
      <c r="P54" s="185">
        <v>0.0</v>
      </c>
      <c r="Q54" s="185">
        <v>0.0</v>
      </c>
      <c r="R54" s="185">
        <v>1.0</v>
      </c>
      <c r="S54" s="185">
        <v>1.0</v>
      </c>
      <c r="T54" s="185">
        <v>907.0</v>
      </c>
      <c r="U54" s="104">
        <f t="shared" si="2"/>
        <v>1</v>
      </c>
      <c r="V54" s="104">
        <f t="shared" si="3"/>
        <v>1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17.0</v>
      </c>
      <c r="H59" s="185">
        <v>4.0</v>
      </c>
      <c r="I59" s="185">
        <v>2.0</v>
      </c>
      <c r="J59" s="185">
        <v>0.0</v>
      </c>
      <c r="K59" s="185">
        <v>0.0</v>
      </c>
      <c r="L59" s="185">
        <v>1.0</v>
      </c>
      <c r="M59" s="185">
        <v>9.0</v>
      </c>
      <c r="N59" s="185">
        <v>0.0</v>
      </c>
      <c r="O59" s="185">
        <v>0.0</v>
      </c>
      <c r="P59" s="185">
        <v>2.0</v>
      </c>
      <c r="Q59" s="185">
        <v>2.0</v>
      </c>
      <c r="R59" s="185">
        <v>0.0</v>
      </c>
      <c r="S59" s="185">
        <v>0.0</v>
      </c>
      <c r="T59" s="185">
        <v>2512.0</v>
      </c>
      <c r="U59" s="104">
        <f t="shared" si="2"/>
        <v>0.5</v>
      </c>
      <c r="V59" s="104">
        <f t="shared" si="3"/>
        <v>0.2941176471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1.0</v>
      </c>
      <c r="H82" s="185">
        <v>1.0</v>
      </c>
      <c r="I82" s="185">
        <v>0.0</v>
      </c>
      <c r="J82" s="185">
        <v>1.0</v>
      </c>
      <c r="K82" s="185">
        <v>0.0</v>
      </c>
      <c r="L82" s="185">
        <v>0.0</v>
      </c>
      <c r="M82" s="185">
        <v>10.0</v>
      </c>
      <c r="N82" s="185">
        <v>1.0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1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1200</v>
      </c>
      <c r="D2" s="10"/>
      <c r="E2" s="11">
        <f t="shared" ref="E2:R2" si="1">SUM(E5,E20,E23,E26,E29,E32)</f>
        <v>1200</v>
      </c>
      <c r="F2" s="11">
        <f t="shared" si="1"/>
        <v>20</v>
      </c>
      <c r="G2" s="11">
        <f t="shared" si="1"/>
        <v>11</v>
      </c>
      <c r="H2" s="11">
        <f t="shared" si="1"/>
        <v>1</v>
      </c>
      <c r="I2" s="11">
        <f t="shared" si="1"/>
        <v>6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29</v>
      </c>
      <c r="N2" s="11">
        <f t="shared" si="1"/>
        <v>5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1200</v>
      </c>
      <c r="F4" s="24">
        <f>IFERROR((G2+R2)/F2,0)</f>
        <v>0.65</v>
      </c>
      <c r="G4" s="24">
        <f>IFERROR(H2/G2,0)</f>
        <v>0.09090909091</v>
      </c>
      <c r="H4" s="23">
        <f>(C2/C4)</f>
        <v>18.75</v>
      </c>
      <c r="I4" s="25"/>
      <c r="J4" s="24">
        <f>IFERROR(J2/I2,0)</f>
        <v>0.1666666667</v>
      </c>
      <c r="K4" s="25"/>
      <c r="L4" s="24">
        <f>IFERROR(L2/K2,0)</f>
        <v>0</v>
      </c>
      <c r="M4" s="26">
        <f>IFERROR(M2/G2,0)</f>
        <v>2.636363636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1200</v>
      </c>
      <c r="D5" s="31"/>
      <c r="E5" s="32">
        <f>SUMIFS(T:T,A:A,B5,D:D,"Y")</f>
        <v>1200</v>
      </c>
      <c r="F5" s="11">
        <f>SUMIF(A:A,B5,G:G)</f>
        <v>20</v>
      </c>
      <c r="G5" s="11">
        <f>SUMIF(A:A,B5,H:H)</f>
        <v>9</v>
      </c>
      <c r="H5" s="11">
        <f>SUMIF(A:A,B5,I:I)</f>
        <v>1</v>
      </c>
      <c r="I5" s="11">
        <f>SUMIF(A:A,B5,P:P)</f>
        <v>6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15</v>
      </c>
      <c r="N5" s="11">
        <f>SUMIF(A:A,B5,N:N)</f>
        <v>3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1200</v>
      </c>
      <c r="F7" s="41">
        <f>IFERROR((G5+R5)/F5,0)</f>
        <v>0.5</v>
      </c>
      <c r="G7" s="41">
        <f>IFERROR(H5/G5,0)</f>
        <v>0.1111111111</v>
      </c>
      <c r="H7" s="40">
        <f>(C5/C7)</f>
        <v>48</v>
      </c>
      <c r="I7" s="42"/>
      <c r="J7" s="41">
        <f>IFERROR(J5/I5,0)</f>
        <v>0.1666666667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14</v>
      </c>
      <c r="G11" s="50">
        <f>SUMIF(B39:B1137,B11,H39:H1137)</f>
        <v>6</v>
      </c>
      <c r="H11" s="50">
        <f>SUMIF(B39:B1137,B11,I39:I1137)</f>
        <v>0</v>
      </c>
      <c r="I11" s="50">
        <f>SUMIF(B39:B1137,B11,P39:P1137)</f>
        <v>3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14</v>
      </c>
      <c r="N11" s="50">
        <f>SUMIF(B39:B1137,B11,N39:N1137)</f>
        <v>3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0</v>
      </c>
      <c r="F13" s="24">
        <f>IFERROR((G11+R11)/F11,0)</f>
        <v>0.5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2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1200</v>
      </c>
      <c r="D17" s="60"/>
      <c r="E17" s="48">
        <f>SUMIFS(T:T,B:B,B17,D:D,"Y")</f>
        <v>1200</v>
      </c>
      <c r="F17" s="49">
        <f>SUMIF(B45:B1137,B17,G45:G1137)</f>
        <v>6</v>
      </c>
      <c r="G17" s="50">
        <f>SUMIF(B45:B1137,B17,H45:H1137)</f>
        <v>3</v>
      </c>
      <c r="H17" s="50">
        <f>SUMIF(B45:B1137,B17,I45:I1137)</f>
        <v>1</v>
      </c>
      <c r="I17" s="50">
        <f>SUMIF(B45:B1137,B17,P45:P1137)</f>
        <v>3</v>
      </c>
      <c r="J17" s="50">
        <f>SUMIF(B45:B1137,B17,Q45:Q1137)</f>
        <v>1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1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1200</v>
      </c>
      <c r="F19" s="24">
        <f>IFERROR((G17+R17)/F17,0)</f>
        <v>0.5</v>
      </c>
      <c r="G19" s="24">
        <f>IFERROR(H17/G17,0)</f>
        <v>0.3333333333</v>
      </c>
      <c r="H19" s="23">
        <f>(C17/C19)</f>
        <v>400</v>
      </c>
      <c r="I19" s="25"/>
      <c r="J19" s="24">
        <f>IFERROR(J17/I17,0)</f>
        <v>0.3333333333</v>
      </c>
      <c r="K19" s="25"/>
      <c r="L19" s="24">
        <f>IFERROR(L17/K17,0)</f>
        <v>0</v>
      </c>
      <c r="M19" s="26">
        <f>IFERROR(M17/SUM(R17+G17,0),"")</f>
        <v>0.3333333333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14</v>
      </c>
      <c r="N26" s="11">
        <f>SUMIF(A:A,B26,N:N)</f>
        <v>2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1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4.666666667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8.0</v>
      </c>
      <c r="H43" s="185">
        <v>2.0</v>
      </c>
      <c r="I43" s="185">
        <v>0.0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2.0</v>
      </c>
      <c r="Q43" s="185">
        <v>0.0</v>
      </c>
      <c r="R43" s="185">
        <v>0.0</v>
      </c>
      <c r="S43" s="185">
        <v>0.0</v>
      </c>
      <c r="T43" s="185">
        <v>0.0</v>
      </c>
      <c r="U43" s="104">
        <f t="shared" si="2"/>
        <v>0</v>
      </c>
      <c r="V43" s="104">
        <f t="shared" si="3"/>
        <v>0.25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3.0</v>
      </c>
      <c r="H47" s="185">
        <v>2.0</v>
      </c>
      <c r="I47" s="185">
        <v>0.0</v>
      </c>
      <c r="J47" s="185">
        <v>1.0</v>
      </c>
      <c r="K47" s="185">
        <v>0.0</v>
      </c>
      <c r="L47" s="185">
        <v>1.0</v>
      </c>
      <c r="M47" s="185">
        <v>6.0</v>
      </c>
      <c r="N47" s="185">
        <v>1.0</v>
      </c>
      <c r="O47" s="185">
        <v>0.0</v>
      </c>
      <c r="P47" s="185">
        <v>1.0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0.0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3.0</v>
      </c>
      <c r="H51" s="185">
        <v>2.0</v>
      </c>
      <c r="I51" s="185">
        <v>0.0</v>
      </c>
      <c r="J51" s="185">
        <v>0.0</v>
      </c>
      <c r="K51" s="185">
        <v>0.0</v>
      </c>
      <c r="L51" s="185">
        <v>0.0</v>
      </c>
      <c r="M51" s="185">
        <v>8.0</v>
      </c>
      <c r="N51" s="185">
        <v>2.0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0.6666666667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6.0</v>
      </c>
      <c r="H59" s="185">
        <v>3.0</v>
      </c>
      <c r="I59" s="185">
        <v>1.0</v>
      </c>
      <c r="J59" s="185">
        <v>0.0</v>
      </c>
      <c r="K59" s="185">
        <v>0.0</v>
      </c>
      <c r="L59" s="185">
        <v>0.0</v>
      </c>
      <c r="M59" s="185">
        <v>1.0</v>
      </c>
      <c r="N59" s="185">
        <v>0.0</v>
      </c>
      <c r="O59" s="185">
        <v>0.0</v>
      </c>
      <c r="P59" s="185">
        <v>3.0</v>
      </c>
      <c r="Q59" s="185">
        <v>1.0</v>
      </c>
      <c r="R59" s="185">
        <v>0.0</v>
      </c>
      <c r="S59" s="185">
        <v>0.0</v>
      </c>
      <c r="T59" s="185">
        <v>1200.0</v>
      </c>
      <c r="U59" s="104">
        <f t="shared" si="2"/>
        <v>0.3333333333</v>
      </c>
      <c r="V59" s="104">
        <f t="shared" si="3"/>
        <v>0.5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0.0</v>
      </c>
      <c r="H82" s="185">
        <v>2.0</v>
      </c>
      <c r="I82" s="185">
        <v>0.0</v>
      </c>
      <c r="J82" s="185">
        <v>0.0</v>
      </c>
      <c r="K82" s="185">
        <v>0.0</v>
      </c>
      <c r="L82" s="185">
        <v>1.0</v>
      </c>
      <c r="M82" s="185">
        <v>14.0</v>
      </c>
      <c r="N82" s="185">
        <v>2.0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6</v>
      </c>
      <c r="G2" s="11">
        <f t="shared" si="1"/>
        <v>3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4</v>
      </c>
      <c r="N2" s="11">
        <f t="shared" si="1"/>
        <v>2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0</v>
      </c>
      <c r="F4" s="24">
        <f>IFERROR((G2+R2)/F2,0)</f>
        <v>0.5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1.333333333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6</v>
      </c>
      <c r="G5" s="11">
        <f>SUMIF(A:A,B5,H:H)</f>
        <v>3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4</v>
      </c>
      <c r="N5" s="11">
        <f>SUMIF(A:A,B5,N:N)</f>
        <v>2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1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5</v>
      </c>
      <c r="G11" s="50">
        <f>SUMIF(B39:B1137,B11,H39:H1137)</f>
        <v>1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4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0</v>
      </c>
      <c r="F13" s="24">
        <f>IFERROR((G11+R11)/F11,0)</f>
        <v>0.2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4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1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0" si="2">IFERROR(I37/H37,0)</f>
        <v>0</v>
      </c>
      <c r="V37" s="104">
        <f t="shared" ref="V37:V5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>
        <v>0.0</v>
      </c>
      <c r="H39" s="103">
        <v>0.0</v>
      </c>
      <c r="I39" s="103">
        <v>0.0</v>
      </c>
      <c r="J39" s="103">
        <v>0.0</v>
      </c>
      <c r="K39" s="103">
        <v>0.0</v>
      </c>
      <c r="L39" s="103">
        <v>0.0</v>
      </c>
      <c r="M39" s="103">
        <v>0.0</v>
      </c>
      <c r="N39" s="103">
        <v>0.0</v>
      </c>
      <c r="O39" s="103">
        <v>0.0</v>
      </c>
      <c r="P39" s="103">
        <v>0.0</v>
      </c>
      <c r="Q39" s="103">
        <v>0.0</v>
      </c>
      <c r="R39" s="103">
        <v>0.0</v>
      </c>
      <c r="S39" s="103">
        <v>0.0</v>
      </c>
      <c r="T39" s="103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>
        <v>0.0</v>
      </c>
      <c r="H40" s="103">
        <v>0.0</v>
      </c>
      <c r="I40" s="103">
        <v>0.0</v>
      </c>
      <c r="J40" s="103">
        <v>0.0</v>
      </c>
      <c r="K40" s="103">
        <v>0.0</v>
      </c>
      <c r="L40" s="103">
        <v>0.0</v>
      </c>
      <c r="M40" s="103">
        <v>0.0</v>
      </c>
      <c r="N40" s="103">
        <v>0.0</v>
      </c>
      <c r="O40" s="103">
        <v>0.0</v>
      </c>
      <c r="P40" s="103">
        <v>0.0</v>
      </c>
      <c r="Q40" s="103">
        <v>0.0</v>
      </c>
      <c r="R40" s="103">
        <v>0.0</v>
      </c>
      <c r="S40" s="103">
        <v>0.0</v>
      </c>
      <c r="T40" s="103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0.0</v>
      </c>
      <c r="M41" s="185">
        <v>0.0</v>
      </c>
      <c r="N41" s="185">
        <v>1.0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0.0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2.0</v>
      </c>
      <c r="H49" s="185">
        <v>1.0</v>
      </c>
      <c r="I49" s="185">
        <v>0.0</v>
      </c>
      <c r="J49" s="185">
        <v>0.0</v>
      </c>
      <c r="K49" s="185">
        <v>0.0</v>
      </c>
      <c r="L49" s="185">
        <v>0.0</v>
      </c>
      <c r="M49" s="185">
        <v>4.0</v>
      </c>
      <c r="N49" s="185">
        <v>1.0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0.5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3.0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88">
        <v>0.0</v>
      </c>
      <c r="V51" s="188">
        <v>0.0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ref="U52:U61" si="4">IFERROR(I52/H52,0)</f>
        <v>0</v>
      </c>
      <c r="V52" s="104">
        <f t="shared" ref="V52:V61" si="5">IFERROR(SUM(H52+L52)/G52,0)</f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4"/>
        <v>0</v>
      </c>
      <c r="V53" s="104">
        <f t="shared" si="5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1.0</v>
      </c>
      <c r="H54" s="185">
        <v>1.0</v>
      </c>
      <c r="I54" s="185">
        <v>0.0</v>
      </c>
      <c r="J54" s="185">
        <v>0.0</v>
      </c>
      <c r="K54" s="185">
        <v>0.0</v>
      </c>
      <c r="L54" s="185">
        <v>0.0</v>
      </c>
      <c r="M54" s="103"/>
      <c r="N54" s="103"/>
      <c r="O54" s="103"/>
      <c r="P54" s="103"/>
      <c r="Q54" s="103"/>
      <c r="R54" s="103"/>
      <c r="S54" s="103"/>
      <c r="T54" s="103"/>
      <c r="U54" s="104">
        <f t="shared" si="4"/>
        <v>0</v>
      </c>
      <c r="V54" s="104">
        <f t="shared" si="5"/>
        <v>1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4"/>
        <v>0</v>
      </c>
      <c r="V55" s="104">
        <f t="shared" si="5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4"/>
        <v>0</v>
      </c>
      <c r="V56" s="104">
        <f t="shared" si="5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85">
        <v>0.0</v>
      </c>
      <c r="H57" s="185">
        <v>0.0</v>
      </c>
      <c r="I57" s="185">
        <v>0.0</v>
      </c>
      <c r="J57" s="185">
        <v>0.0</v>
      </c>
      <c r="K57" s="185">
        <v>0.0</v>
      </c>
      <c r="L57" s="185">
        <v>0.0</v>
      </c>
      <c r="M57" s="185">
        <v>0.0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4"/>
        <v>0</v>
      </c>
      <c r="V57" s="104">
        <f t="shared" si="5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>
        <v>0.0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4"/>
        <v>0</v>
      </c>
      <c r="V58" s="104">
        <f t="shared" si="5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4"/>
        <v>0</v>
      </c>
      <c r="V59" s="104">
        <f t="shared" si="5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4"/>
        <v>0</v>
      </c>
      <c r="V60" s="104">
        <f t="shared" si="5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4"/>
        <v>0</v>
      </c>
      <c r="V61" s="104">
        <f t="shared" si="5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6">IFERROR(I63/H63,0)</f>
        <v>0</v>
      </c>
      <c r="V63" s="104">
        <f t="shared" ref="V63:V67" si="7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6"/>
        <v>0</v>
      </c>
      <c r="V64" s="145">
        <f t="shared" si="7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6"/>
        <v>0</v>
      </c>
      <c r="V65" s="145">
        <f t="shared" si="7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6"/>
        <v>0</v>
      </c>
      <c r="V66" s="145">
        <f t="shared" si="7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6"/>
        <v>0</v>
      </c>
      <c r="V67" s="145">
        <f t="shared" si="7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8">IFERROR(I69/H69,0)</f>
        <v>0</v>
      </c>
      <c r="V69" s="104">
        <f t="shared" ref="V69:V78" si="9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8"/>
        <v>0</v>
      </c>
      <c r="V70" s="104">
        <f t="shared" si="9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8"/>
        <v>0</v>
      </c>
      <c r="V71" s="104">
        <f t="shared" si="9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8"/>
        <v>0</v>
      </c>
      <c r="V72" s="104">
        <f t="shared" si="9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8"/>
        <v>0</v>
      </c>
      <c r="V73" s="104">
        <f t="shared" si="9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8"/>
        <v>0</v>
      </c>
      <c r="V74" s="104">
        <f t="shared" si="9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8"/>
        <v>0</v>
      </c>
      <c r="V75" s="104">
        <f t="shared" si="9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8"/>
        <v>0</v>
      </c>
      <c r="V76" s="104">
        <f t="shared" si="9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8"/>
        <v>0</v>
      </c>
      <c r="V77" s="104">
        <f t="shared" si="9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8"/>
        <v>0</v>
      </c>
      <c r="V78" s="104">
        <f t="shared" si="9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10">IFERROR(I80/H80,0)</f>
        <v>0</v>
      </c>
      <c r="V80" s="104">
        <f t="shared" ref="V80:V84" si="11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10"/>
        <v>0</v>
      </c>
      <c r="V81" s="104">
        <f t="shared" si="11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10"/>
        <v>0</v>
      </c>
      <c r="V82" s="104">
        <f t="shared" si="11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10"/>
        <v>0</v>
      </c>
      <c r="V83" s="104">
        <f t="shared" si="11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0.0</v>
      </c>
      <c r="H84" s="185">
        <v>0.0</v>
      </c>
      <c r="I84" s="185">
        <v>0.0</v>
      </c>
      <c r="J84" s="185">
        <v>0.0</v>
      </c>
      <c r="K84" s="185">
        <v>0.0</v>
      </c>
      <c r="L84" s="185">
        <v>0.0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0.0</v>
      </c>
      <c r="S84" s="185">
        <v>0.0</v>
      </c>
      <c r="T84" s="185">
        <v>0.0</v>
      </c>
      <c r="U84" s="104">
        <f t="shared" si="10"/>
        <v>0</v>
      </c>
      <c r="V84" s="104">
        <f t="shared" si="11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2">IFERROR(I86/H86,0)</f>
        <v>0</v>
      </c>
      <c r="V86" s="104">
        <f t="shared" ref="V86:V102" si="13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2"/>
        <v>0</v>
      </c>
      <c r="V87" s="104">
        <f t="shared" si="13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2"/>
        <v>0</v>
      </c>
      <c r="V88" s="104">
        <f t="shared" si="13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2"/>
        <v>0</v>
      </c>
      <c r="V89" s="104">
        <f t="shared" si="13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2"/>
        <v>0</v>
      </c>
      <c r="V90" s="104">
        <f t="shared" si="13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2"/>
        <v>0</v>
      </c>
      <c r="V91" s="104">
        <f t="shared" si="13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2"/>
        <v>0</v>
      </c>
      <c r="V92" s="104">
        <f t="shared" si="13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2"/>
        <v>0</v>
      </c>
      <c r="V93" s="104">
        <f t="shared" si="13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2"/>
        <v>0</v>
      </c>
      <c r="V94" s="104">
        <f t="shared" si="13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2"/>
        <v>0</v>
      </c>
      <c r="V95" s="104">
        <f t="shared" si="13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2"/>
        <v>0</v>
      </c>
      <c r="V96" s="104">
        <f t="shared" si="13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2"/>
        <v>0</v>
      </c>
      <c r="V97" s="104">
        <f t="shared" si="13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2"/>
        <v>0</v>
      </c>
      <c r="V98" s="104">
        <f t="shared" si="13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2"/>
        <v>0</v>
      </c>
      <c r="V99" s="104">
        <f t="shared" si="13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2"/>
        <v>0</v>
      </c>
      <c r="V100" s="104">
        <f t="shared" si="13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2"/>
        <v>0</v>
      </c>
      <c r="V101" s="104">
        <f t="shared" si="13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2"/>
        <v>0</v>
      </c>
      <c r="V102" s="104">
        <f t="shared" si="13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4">IFERROR(I104/H104,0)</f>
        <v>0</v>
      </c>
      <c r="V104" s="145">
        <f t="shared" ref="V104:V105" si="15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4"/>
        <v>0</v>
      </c>
      <c r="V105" s="145">
        <f t="shared" si="15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10884.68</v>
      </c>
      <c r="D2" s="10"/>
      <c r="E2" s="11">
        <f t="shared" ref="E2:R2" si="1">SUM(E5,E20,E23,E26,E29,E32)</f>
        <v>5552.68</v>
      </c>
      <c r="F2" s="11">
        <f t="shared" si="1"/>
        <v>45</v>
      </c>
      <c r="G2" s="11">
        <f t="shared" si="1"/>
        <v>16</v>
      </c>
      <c r="H2" s="11">
        <f t="shared" si="1"/>
        <v>6</v>
      </c>
      <c r="I2" s="11">
        <f t="shared" si="1"/>
        <v>3</v>
      </c>
      <c r="J2" s="11">
        <f t="shared" si="1"/>
        <v>1</v>
      </c>
      <c r="K2" s="11">
        <f t="shared" si="1"/>
        <v>5</v>
      </c>
      <c r="L2" s="11">
        <f t="shared" si="1"/>
        <v>0</v>
      </c>
      <c r="M2" s="11">
        <f t="shared" si="1"/>
        <v>62</v>
      </c>
      <c r="N2" s="11">
        <f t="shared" si="1"/>
        <v>9</v>
      </c>
      <c r="O2" s="11">
        <f t="shared" si="1"/>
        <v>5</v>
      </c>
      <c r="P2" s="11">
        <f t="shared" si="1"/>
        <v>8</v>
      </c>
      <c r="Q2" s="11">
        <f t="shared" si="1"/>
        <v>3</v>
      </c>
      <c r="R2" s="11">
        <f t="shared" si="1"/>
        <v>6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1814.113333</v>
      </c>
      <c r="F4" s="24">
        <f>IFERROR((G2+R2)/F2,0)</f>
        <v>0.4888888889</v>
      </c>
      <c r="G4" s="24">
        <f>IFERROR(H2/G2,0)</f>
        <v>0.375</v>
      </c>
      <c r="H4" s="23">
        <f>(C2/C4)</f>
        <v>170.073125</v>
      </c>
      <c r="I4" s="25"/>
      <c r="J4" s="24">
        <f>IFERROR(J2/I2,0)</f>
        <v>0.3333333333</v>
      </c>
      <c r="K4" s="25"/>
      <c r="L4" s="24">
        <f>IFERROR(L2/K2,0)</f>
        <v>0</v>
      </c>
      <c r="M4" s="26">
        <f>IFERROR(M2/G2,0)</f>
        <v>3.875</v>
      </c>
      <c r="N4" s="25"/>
      <c r="O4" s="24">
        <f>IFERROR(O2/N2,0)</f>
        <v>0.5555555556</v>
      </c>
      <c r="P4" s="26"/>
      <c r="Q4" s="24">
        <f>IFERROR(Q2/P2,0)</f>
        <v>0.375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10151</v>
      </c>
      <c r="D5" s="31"/>
      <c r="E5" s="32">
        <f>SUMIFS(T:T,A:A,B5,D:D,"Y")</f>
        <v>4819</v>
      </c>
      <c r="F5" s="11">
        <f>SUMIF(A:A,B5,G:G)</f>
        <v>44</v>
      </c>
      <c r="G5" s="11">
        <f>SUMIF(A:A,B5,H:H)</f>
        <v>14</v>
      </c>
      <c r="H5" s="11">
        <f>SUMIF(A:A,B5,I:I)</f>
        <v>5</v>
      </c>
      <c r="I5" s="11">
        <f>SUMIF(A:A,B5,P:P)</f>
        <v>3</v>
      </c>
      <c r="J5" s="11">
        <f>SUMIF(A:A,B5,Q:Q)</f>
        <v>1</v>
      </c>
      <c r="K5" s="11">
        <f>SUMIF(A:A,B5,R:R)</f>
        <v>4</v>
      </c>
      <c r="L5" s="11">
        <f>SUMIF(A:A,B5,S:S)</f>
        <v>0</v>
      </c>
      <c r="M5" s="11">
        <f>SUMIF(A:A,B5,M:M)</f>
        <v>60</v>
      </c>
      <c r="N5" s="11">
        <f>SUMIF(A:A,B5,N:N)</f>
        <v>8</v>
      </c>
      <c r="O5" s="11">
        <f>SUMIF(A:A,B5,O:O)</f>
        <v>4</v>
      </c>
      <c r="P5" s="11">
        <f>SUMIF(A:A,B5,J:J)</f>
        <v>7</v>
      </c>
      <c r="Q5" s="11">
        <f>SUMIF(A:A,B5,K:K)</f>
        <v>2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2030.2</v>
      </c>
      <c r="F7" s="41">
        <f>IFERROR((G5+R5)/F5,0)</f>
        <v>0.4318181818</v>
      </c>
      <c r="G7" s="41">
        <f>IFERROR(H5/G5,0)</f>
        <v>0.3571428571</v>
      </c>
      <c r="H7" s="40">
        <f>(C5/C7)</f>
        <v>406.04</v>
      </c>
      <c r="I7" s="42"/>
      <c r="J7" s="41">
        <f>IFERROR(J5/I5,0)</f>
        <v>0.3333333333</v>
      </c>
      <c r="K7" s="42"/>
      <c r="L7" s="41">
        <f>IFERROR(L5/K5,0)</f>
        <v>0</v>
      </c>
      <c r="M7" s="43">
        <f>IFERROR(M5/SUM(R5+G5,0),"")</f>
        <v>3.157894737</v>
      </c>
      <c r="N7" s="42"/>
      <c r="O7" s="41">
        <f>IFERROR(O5/N5,0)</f>
        <v>0.5</v>
      </c>
      <c r="P7" s="43"/>
      <c r="Q7" s="41">
        <f>IFERROR(Q5/P5,0)</f>
        <v>0.2857142857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2386</v>
      </c>
      <c r="D8" s="47"/>
      <c r="E8" s="48">
        <f>SUMIFS(T:T,B:B,B8,D:D,"Y")</f>
        <v>2386</v>
      </c>
      <c r="F8" s="49">
        <f>SUMIF(B37:B1137,B8,G37:G1137)</f>
        <v>2</v>
      </c>
      <c r="G8" s="50">
        <f>SUMIF(B37:B1137,B8,H37:H1137)</f>
        <v>2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18</v>
      </c>
      <c r="N8" s="50">
        <f>SUMIF(B37:B1137,B8,N37:N1137)</f>
        <v>1</v>
      </c>
      <c r="O8" s="50">
        <f>SUMIF(B37:B1137,B8,O37:O1137)</f>
        <v>1</v>
      </c>
      <c r="P8" s="50">
        <f>SUMIF(B37:B1137,B8,J37:J1137)</f>
        <v>2</v>
      </c>
      <c r="Q8" s="50">
        <f>SUMIF(B37:B1137,B8,K37:K1137)</f>
        <v>1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2386</v>
      </c>
      <c r="F10" s="24">
        <f>IFERROR((G8+R8)/F8,0)</f>
        <v>1</v>
      </c>
      <c r="G10" s="24">
        <f>IFERROR(H8/G8,0)</f>
        <v>0.5</v>
      </c>
      <c r="H10" s="23">
        <f>(C8/C10)</f>
        <v>477.2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9</v>
      </c>
      <c r="N10" s="25"/>
      <c r="O10" s="24">
        <f>IFERROR(O8/N8,0)</f>
        <v>1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2118</v>
      </c>
      <c r="D11" s="60"/>
      <c r="E11" s="48">
        <f>SUMIFS(T:T,B:B,B11,D:D,"Y")</f>
        <v>0</v>
      </c>
      <c r="F11" s="49">
        <f>SUMIF(B39:B1137,B11,G39:G1137)</f>
        <v>22</v>
      </c>
      <c r="G11" s="50">
        <f>SUMIF(B39:B1137,B11,H39:H1137)</f>
        <v>4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0</v>
      </c>
      <c r="M11" s="50">
        <f>SUMIF(B39:B1137,B11,M39:M1137)</f>
        <v>21</v>
      </c>
      <c r="N11" s="50">
        <f>SUMIF(B39:B1137,B11,N39:N1137)</f>
        <v>2</v>
      </c>
      <c r="O11" s="50">
        <f>SUMIF(B39:B1137,B11,O39:O1137)</f>
        <v>1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2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2118</v>
      </c>
      <c r="F13" s="24">
        <f>IFERROR((G11+R11)/F11,0)</f>
        <v>0.2727272727</v>
      </c>
      <c r="G13" s="24">
        <f>IFERROR(H11/G11,0)</f>
        <v>0.25</v>
      </c>
      <c r="H13" s="23">
        <f>(C11/C13)</f>
        <v>235.3333333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3.5</v>
      </c>
      <c r="N13" s="25"/>
      <c r="O13" s="24">
        <f>IFERROR(O11/N11,0)</f>
        <v>0.5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5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0</v>
      </c>
      <c r="M14" s="50">
        <f>SUMIF(B39:B1137,B14,M39:M1137)</f>
        <v>13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0</v>
      </c>
      <c r="R14" s="51">
        <f>SUMIF(B39:B1137,B14,L39:L1137)</f>
        <v>3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0.8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3.25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5647</v>
      </c>
      <c r="D17" s="60"/>
      <c r="E17" s="48">
        <f>SUMIFS(T:T,B:B,B17,D:D,"Y")</f>
        <v>2433</v>
      </c>
      <c r="F17" s="49">
        <f>SUMIF(B45:B1137,B17,G45:G1137)</f>
        <v>15</v>
      </c>
      <c r="G17" s="50">
        <f>SUMIF(B45:B1137,B17,H45:H1137)</f>
        <v>7</v>
      </c>
      <c r="H17" s="50">
        <f>SUMIF(B45:B1137,B17,I45:I1137)</f>
        <v>3</v>
      </c>
      <c r="I17" s="50">
        <f>SUMIF(B45:B1137,B17,P45:P1137)</f>
        <v>3</v>
      </c>
      <c r="J17" s="50">
        <f>SUMIF(B45:B1137,B17,Q45:Q1137)</f>
        <v>1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8</v>
      </c>
      <c r="N17" s="50">
        <f>SUMIF(B45:B1137,B17,N45:N1137)</f>
        <v>4</v>
      </c>
      <c r="O17" s="50">
        <f>SUMIF(B45:B1137,B17,O45:O1137)</f>
        <v>2</v>
      </c>
      <c r="P17" s="50">
        <f>SUMIF(B45:B1137,B17,J45:J1137)</f>
        <v>2</v>
      </c>
      <c r="Q17" s="50">
        <f>SUMIF(B45:B1137,B17,K45:K1137)</f>
        <v>1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1882.333333</v>
      </c>
      <c r="F19" s="24">
        <f>IFERROR((G17+R17)/F17,0)</f>
        <v>0.4666666667</v>
      </c>
      <c r="G19" s="24">
        <f>IFERROR(H17/G17,0)</f>
        <v>0.4285714286</v>
      </c>
      <c r="H19" s="23">
        <f>(C17/C19)</f>
        <v>1882.333333</v>
      </c>
      <c r="I19" s="25"/>
      <c r="J19" s="24">
        <f>IFERROR(J17/I17,0)</f>
        <v>0.3333333333</v>
      </c>
      <c r="K19" s="25"/>
      <c r="L19" s="24">
        <f>IFERROR(L17/K17,0)</f>
        <v>0</v>
      </c>
      <c r="M19" s="26">
        <f>IFERROR(M17/SUM(R17+G17,0),"")</f>
        <v>1.142857143</v>
      </c>
      <c r="N19" s="25"/>
      <c r="O19" s="24">
        <f>IFERROR(O17/N17,0)</f>
        <v>0.5</v>
      </c>
      <c r="P19" s="26"/>
      <c r="Q19" s="24">
        <f>IFERROR(Q17/P17,0)</f>
        <v>0.5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733.68</v>
      </c>
      <c r="D26" s="31"/>
      <c r="E26" s="64">
        <f>SUMIFS(T:T,A:A,B26,D:D,"Y")</f>
        <v>733.68</v>
      </c>
      <c r="F26" s="9">
        <f>SUMIF(A:A,B26,G:G)</f>
        <v>1</v>
      </c>
      <c r="G26" s="11">
        <f>SUMIF(A:A,B26,H:H)</f>
        <v>2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2</v>
      </c>
      <c r="N26" s="11">
        <f>SUMIF(A:A,B26,N:N)</f>
        <v>1</v>
      </c>
      <c r="O26" s="11">
        <f>SUMIF(A:A,B26,O:O)</f>
        <v>1</v>
      </c>
      <c r="P26" s="11">
        <f>SUMIF(A:A,B26,J:J)</f>
        <v>1</v>
      </c>
      <c r="Q26" s="11">
        <f>SUMIF(A:A,B26,K:K)</f>
        <v>1</v>
      </c>
      <c r="R26" s="33">
        <f>SUMIF(A:A,B26,L:L)</f>
        <v>1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733.68</v>
      </c>
      <c r="F28" s="24">
        <f>IFERROR((G26+R26)/F26,0)</f>
        <v>3</v>
      </c>
      <c r="G28" s="24">
        <f>IFERROR(H26/G26,0)</f>
        <v>0.5</v>
      </c>
      <c r="H28" s="23">
        <f>(C26/C28)</f>
        <v>146.736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0.6666666667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2.0</v>
      </c>
      <c r="H39" s="185">
        <v>2.0</v>
      </c>
      <c r="I39" s="185">
        <v>1.0</v>
      </c>
      <c r="J39" s="185">
        <v>2.0</v>
      </c>
      <c r="K39" s="185">
        <v>1.0</v>
      </c>
      <c r="L39" s="185">
        <v>0.0</v>
      </c>
      <c r="M39" s="185">
        <v>18.0</v>
      </c>
      <c r="N39" s="185">
        <v>1.0</v>
      </c>
      <c r="O39" s="185">
        <v>1.0</v>
      </c>
      <c r="P39" s="185">
        <v>0.0</v>
      </c>
      <c r="Q39" s="185">
        <v>0.0</v>
      </c>
      <c r="R39" s="185">
        <v>1.0</v>
      </c>
      <c r="S39" s="185">
        <v>0.0</v>
      </c>
      <c r="T39" s="185">
        <v>2386.0</v>
      </c>
      <c r="U39" s="104">
        <f t="shared" si="2"/>
        <v>0.5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11.0</v>
      </c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1.0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1.0</v>
      </c>
      <c r="H47" s="185">
        <v>2.0</v>
      </c>
      <c r="I47" s="185">
        <v>0.0</v>
      </c>
      <c r="J47" s="185">
        <v>1.0</v>
      </c>
      <c r="K47" s="185">
        <v>0.0</v>
      </c>
      <c r="L47" s="185">
        <v>1.0</v>
      </c>
      <c r="M47" s="185">
        <v>5.0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3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3.0</v>
      </c>
      <c r="H49" s="185">
        <v>1.0</v>
      </c>
      <c r="I49" s="185">
        <v>0.0</v>
      </c>
      <c r="J49" s="185">
        <v>1.0</v>
      </c>
      <c r="K49" s="185">
        <v>0.0</v>
      </c>
      <c r="L49" s="185">
        <v>1.0</v>
      </c>
      <c r="M49" s="185">
        <v>16.0</v>
      </c>
      <c r="N49" s="185">
        <v>0.0</v>
      </c>
      <c r="O49" s="185">
        <v>0.0</v>
      </c>
      <c r="P49" s="185">
        <v>0.0</v>
      </c>
      <c r="Q49" s="185">
        <v>0.0</v>
      </c>
      <c r="R49" s="185">
        <v>1.0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0.6666666667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6.0</v>
      </c>
      <c r="H51" s="185">
        <v>1.0</v>
      </c>
      <c r="I51" s="185">
        <v>1.0</v>
      </c>
      <c r="J51" s="185">
        <v>0.0</v>
      </c>
      <c r="K51" s="185">
        <v>0.0</v>
      </c>
      <c r="L51" s="185">
        <v>0.0</v>
      </c>
      <c r="M51" s="185">
        <v>0.0</v>
      </c>
      <c r="N51" s="185">
        <v>1.0</v>
      </c>
      <c r="O51" s="185">
        <v>1.0</v>
      </c>
      <c r="P51" s="185">
        <v>0.0</v>
      </c>
      <c r="Q51" s="185">
        <v>0.0</v>
      </c>
      <c r="R51" s="185">
        <v>0.0</v>
      </c>
      <c r="S51" s="185">
        <v>0.0</v>
      </c>
      <c r="T51" s="185">
        <v>2118.0</v>
      </c>
      <c r="U51" s="104">
        <f t="shared" si="2"/>
        <v>1</v>
      </c>
      <c r="V51" s="104">
        <f t="shared" si="3"/>
        <v>0.1666666667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85">
        <v>3.0</v>
      </c>
      <c r="H52" s="185">
        <v>1.0</v>
      </c>
      <c r="I52" s="185">
        <v>0.0</v>
      </c>
      <c r="J52" s="185">
        <v>1.0</v>
      </c>
      <c r="K52" s="185">
        <v>0.0</v>
      </c>
      <c r="L52" s="185">
        <v>2.0</v>
      </c>
      <c r="M52" s="185">
        <v>7.0</v>
      </c>
      <c r="N52" s="185">
        <v>1.0</v>
      </c>
      <c r="O52" s="185">
        <v>0.0</v>
      </c>
      <c r="P52" s="185">
        <v>0.0</v>
      </c>
      <c r="Q52" s="185">
        <v>0.0</v>
      </c>
      <c r="R52" s="185">
        <v>2.0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1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85">
        <v>1.0</v>
      </c>
      <c r="H57" s="185">
        <v>0.0</v>
      </c>
      <c r="I57" s="185">
        <v>0.0</v>
      </c>
      <c r="J57" s="185">
        <v>0.0</v>
      </c>
      <c r="K57" s="185">
        <v>0.0</v>
      </c>
      <c r="L57" s="185">
        <v>1.0</v>
      </c>
      <c r="M57" s="185">
        <v>6.0</v>
      </c>
      <c r="N57" s="185">
        <v>0.0</v>
      </c>
      <c r="O57" s="185">
        <v>0.0</v>
      </c>
      <c r="P57" s="185">
        <v>0.0</v>
      </c>
      <c r="Q57" s="185">
        <v>0.0</v>
      </c>
      <c r="R57" s="185">
        <v>0.0</v>
      </c>
      <c r="S57" s="185">
        <v>0.0</v>
      </c>
      <c r="T57" s="185">
        <v>0.0</v>
      </c>
      <c r="U57" s="104">
        <f t="shared" si="2"/>
        <v>0</v>
      </c>
      <c r="V57" s="104">
        <f t="shared" si="3"/>
        <v>1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>
        <v>1.0</v>
      </c>
      <c r="H58" s="185">
        <v>0.0</v>
      </c>
      <c r="I58" s="185">
        <v>0.0</v>
      </c>
      <c r="J58" s="185">
        <v>0.0</v>
      </c>
      <c r="K58" s="185">
        <v>0.0</v>
      </c>
      <c r="L58" s="185">
        <v>0.0</v>
      </c>
      <c r="M58" s="185">
        <v>0.0</v>
      </c>
      <c r="N58" s="185">
        <v>0.0</v>
      </c>
      <c r="O58" s="185">
        <v>0.0</v>
      </c>
      <c r="P58" s="185">
        <v>0.0</v>
      </c>
      <c r="Q58" s="185">
        <v>0.0</v>
      </c>
      <c r="R58" s="185">
        <v>0.0</v>
      </c>
      <c r="S58" s="185">
        <v>0.0</v>
      </c>
      <c r="T58" s="185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7.0</v>
      </c>
      <c r="H59" s="185">
        <v>4.0</v>
      </c>
      <c r="I59" s="185">
        <v>1.0</v>
      </c>
      <c r="J59" s="185">
        <v>1.0</v>
      </c>
      <c r="K59" s="185">
        <v>0.0</v>
      </c>
      <c r="L59" s="185">
        <v>0.0</v>
      </c>
      <c r="M59" s="185">
        <v>3.0</v>
      </c>
      <c r="N59" s="185">
        <v>1.0</v>
      </c>
      <c r="O59" s="185">
        <v>0.0</v>
      </c>
      <c r="P59" s="185">
        <v>3.0</v>
      </c>
      <c r="Q59" s="185">
        <v>1.0</v>
      </c>
      <c r="R59" s="185">
        <v>0.0</v>
      </c>
      <c r="S59" s="185">
        <v>0.0</v>
      </c>
      <c r="T59" s="185">
        <v>1134.0</v>
      </c>
      <c r="U59" s="104">
        <f t="shared" si="2"/>
        <v>0.25</v>
      </c>
      <c r="V59" s="104">
        <f t="shared" si="3"/>
        <v>0.5714285714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85">
        <v>2.0</v>
      </c>
      <c r="H60" s="185">
        <v>2.0</v>
      </c>
      <c r="I60" s="185">
        <v>1.0</v>
      </c>
      <c r="J60" s="185">
        <v>0.0</v>
      </c>
      <c r="K60" s="185">
        <v>0.0</v>
      </c>
      <c r="L60" s="185">
        <v>0.0</v>
      </c>
      <c r="M60" s="185">
        <v>5.0</v>
      </c>
      <c r="N60" s="185">
        <v>2.0</v>
      </c>
      <c r="O60" s="185">
        <v>1.0</v>
      </c>
      <c r="P60" s="185">
        <v>0.0</v>
      </c>
      <c r="Q60" s="185">
        <v>0.0</v>
      </c>
      <c r="R60" s="185">
        <v>0.0</v>
      </c>
      <c r="S60" s="185">
        <v>0.0</v>
      </c>
      <c r="T60" s="185">
        <v>1299.0</v>
      </c>
      <c r="U60" s="104">
        <f t="shared" si="2"/>
        <v>0.5</v>
      </c>
      <c r="V60" s="104">
        <f t="shared" si="3"/>
        <v>1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85">
        <v>6.0</v>
      </c>
      <c r="H61" s="185">
        <v>1.0</v>
      </c>
      <c r="I61" s="185">
        <v>1.0</v>
      </c>
      <c r="J61" s="185">
        <v>1.0</v>
      </c>
      <c r="K61" s="185">
        <v>1.0</v>
      </c>
      <c r="L61" s="185">
        <v>0.0</v>
      </c>
      <c r="M61" s="185">
        <v>0.0</v>
      </c>
      <c r="N61" s="185">
        <v>1.0</v>
      </c>
      <c r="O61" s="185">
        <v>1.0</v>
      </c>
      <c r="P61" s="185">
        <v>0.0</v>
      </c>
      <c r="Q61" s="185">
        <v>0.0</v>
      </c>
      <c r="R61" s="185">
        <v>0.0</v>
      </c>
      <c r="S61" s="185">
        <v>0.0</v>
      </c>
      <c r="T61" s="185">
        <v>3214.0</v>
      </c>
      <c r="U61" s="104">
        <f t="shared" si="2"/>
        <v>1</v>
      </c>
      <c r="V61" s="104">
        <f t="shared" si="3"/>
        <v>0.1666666667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0.0</v>
      </c>
      <c r="H82" s="185">
        <v>1.0</v>
      </c>
      <c r="I82" s="185">
        <v>1.0</v>
      </c>
      <c r="J82" s="185">
        <v>1.0</v>
      </c>
      <c r="K82" s="185">
        <v>1.0</v>
      </c>
      <c r="L82" s="185">
        <v>0.0</v>
      </c>
      <c r="M82" s="185">
        <v>2.0</v>
      </c>
      <c r="N82" s="185">
        <v>1.0</v>
      </c>
      <c r="O82" s="185">
        <v>1.0</v>
      </c>
      <c r="P82" s="185">
        <v>0.0</v>
      </c>
      <c r="Q82" s="185">
        <v>0.0</v>
      </c>
      <c r="R82" s="185">
        <v>0.0</v>
      </c>
      <c r="S82" s="185">
        <v>0.0</v>
      </c>
      <c r="T82" s="185">
        <v>733.68</v>
      </c>
      <c r="U82" s="104">
        <f t="shared" si="8"/>
        <v>1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1.0</v>
      </c>
      <c r="H84" s="185">
        <v>1.0</v>
      </c>
      <c r="I84" s="185">
        <v>0.0</v>
      </c>
      <c r="J84" s="185">
        <v>0.0</v>
      </c>
      <c r="K84" s="185">
        <v>0.0</v>
      </c>
      <c r="L84" s="185">
        <v>1.0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1.0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2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14889</v>
      </c>
      <c r="D2" s="10"/>
      <c r="E2" s="11">
        <f t="shared" ref="E2:R2" si="1">SUM(E5,E20,E23,E26,E29,E32)</f>
        <v>10576</v>
      </c>
      <c r="F2" s="11">
        <f t="shared" si="1"/>
        <v>40</v>
      </c>
      <c r="G2" s="11">
        <f t="shared" si="1"/>
        <v>26</v>
      </c>
      <c r="H2" s="11">
        <f t="shared" si="1"/>
        <v>8</v>
      </c>
      <c r="I2" s="11">
        <f t="shared" si="1"/>
        <v>5</v>
      </c>
      <c r="J2" s="11">
        <f t="shared" si="1"/>
        <v>3</v>
      </c>
      <c r="K2" s="11">
        <f t="shared" si="1"/>
        <v>5</v>
      </c>
      <c r="L2" s="11">
        <f t="shared" si="1"/>
        <v>2</v>
      </c>
      <c r="M2" s="11">
        <f t="shared" si="1"/>
        <v>50</v>
      </c>
      <c r="N2" s="11">
        <f t="shared" si="1"/>
        <v>12</v>
      </c>
      <c r="O2" s="11">
        <f t="shared" si="1"/>
        <v>2</v>
      </c>
      <c r="P2" s="11">
        <f t="shared" si="1"/>
        <v>10</v>
      </c>
      <c r="Q2" s="11">
        <f t="shared" si="1"/>
        <v>3</v>
      </c>
      <c r="R2" s="11">
        <f t="shared" si="1"/>
        <v>6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1861.125</v>
      </c>
      <c r="F4" s="24">
        <f>IFERROR((G2+R2)/F2,0)</f>
        <v>0.8</v>
      </c>
      <c r="G4" s="24">
        <f>IFERROR(H2/G2,0)</f>
        <v>0.3076923077</v>
      </c>
      <c r="H4" s="23">
        <f>(C2/C4)</f>
        <v>232.640625</v>
      </c>
      <c r="I4" s="25"/>
      <c r="J4" s="24">
        <f>IFERROR(J2/I2,0)</f>
        <v>0.6</v>
      </c>
      <c r="K4" s="25"/>
      <c r="L4" s="24">
        <f>IFERROR(L2/K2,0)</f>
        <v>0.4</v>
      </c>
      <c r="M4" s="26">
        <f>IFERROR(M2/G2,0)</f>
        <v>1.923076923</v>
      </c>
      <c r="N4" s="25"/>
      <c r="O4" s="24">
        <f>IFERROR(O2/N2,0)</f>
        <v>0.1666666667</v>
      </c>
      <c r="P4" s="26"/>
      <c r="Q4" s="24">
        <f>IFERROR(Q2/P2,0)</f>
        <v>0.3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11937</v>
      </c>
      <c r="D5" s="31"/>
      <c r="E5" s="32">
        <f>SUMIFS(T:T,A:A,B5,D:D,"Y")</f>
        <v>7624</v>
      </c>
      <c r="F5" s="11">
        <f>SUMIF(A:A,B5,G:G)</f>
        <v>32</v>
      </c>
      <c r="G5" s="11">
        <f>SUMIF(A:A,B5,H:H)</f>
        <v>18</v>
      </c>
      <c r="H5" s="11">
        <f>SUMIF(A:A,B5,I:I)</f>
        <v>7</v>
      </c>
      <c r="I5" s="11">
        <f>SUMIF(A:A,B5,P:P)</f>
        <v>5</v>
      </c>
      <c r="J5" s="11">
        <f>SUMIF(A:A,B5,Q:Q)</f>
        <v>3</v>
      </c>
      <c r="K5" s="11">
        <f>SUMIF(A:A,B5,R:R)</f>
        <v>3</v>
      </c>
      <c r="L5" s="11">
        <f>SUMIF(A:A,B5,S:S)</f>
        <v>2</v>
      </c>
      <c r="M5" s="11">
        <f>SUMIF(A:A,B5,M:M)</f>
        <v>46</v>
      </c>
      <c r="N5" s="11">
        <f>SUMIF(A:A,B5,N:N)</f>
        <v>8</v>
      </c>
      <c r="O5" s="11">
        <f>SUMIF(A:A,B5,O:O)</f>
        <v>2</v>
      </c>
      <c r="P5" s="11">
        <f>SUMIF(A:A,B5,J:J)</f>
        <v>5</v>
      </c>
      <c r="Q5" s="11">
        <f>SUMIF(A:A,B5,K:K)</f>
        <v>1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1705.285714</v>
      </c>
      <c r="F7" s="41">
        <f>IFERROR((G5+R5)/F5,0)</f>
        <v>0.65625</v>
      </c>
      <c r="G7" s="41">
        <f>IFERROR(H5/G5,0)</f>
        <v>0.3888888889</v>
      </c>
      <c r="H7" s="40">
        <f>(C5/C7)</f>
        <v>477.48</v>
      </c>
      <c r="I7" s="42"/>
      <c r="J7" s="41">
        <f>IFERROR(J5/I5,0)</f>
        <v>0.6</v>
      </c>
      <c r="K7" s="42"/>
      <c r="L7" s="41">
        <f>IFERROR(L5/K5,0)</f>
        <v>0.6666666667</v>
      </c>
      <c r="M7" s="43">
        <f>IFERROR(M5/SUM(R5+G5,0),"")</f>
        <v>2.19047619</v>
      </c>
      <c r="N7" s="42"/>
      <c r="O7" s="41">
        <f>IFERROR(O5/N5,0)</f>
        <v>0.25</v>
      </c>
      <c r="P7" s="43"/>
      <c r="Q7" s="41">
        <f>IFERROR(Q5/P5,0)</f>
        <v>0.2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1068</v>
      </c>
      <c r="D8" s="47"/>
      <c r="E8" s="48">
        <f>SUMIFS(T:T,B:B,B8,D:D,"Y")</f>
        <v>1068</v>
      </c>
      <c r="F8" s="49">
        <f>SUMIF(B37:B1137,B8,G37:G1137)</f>
        <v>1</v>
      </c>
      <c r="G8" s="50">
        <f>SUMIF(B37:B1137,B8,H37:H1137)</f>
        <v>3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2</v>
      </c>
      <c r="L8" s="50">
        <f>SUMIF(B37:B1137,B8,S37:S1137)</f>
        <v>1</v>
      </c>
      <c r="M8" s="50">
        <f>SUMIF(B37:B1137,B8,M37:M1137)</f>
        <v>19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3</v>
      </c>
      <c r="Q8" s="50">
        <f>SUMIF(B37:B1137,B8,K37:K1137)</f>
        <v>1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1068</v>
      </c>
      <c r="F10" s="24">
        <f>IFERROR((G8+R8)/F8,0)</f>
        <v>4</v>
      </c>
      <c r="G10" s="24">
        <f>IFERROR(H8/G8,0)</f>
        <v>0.3333333333</v>
      </c>
      <c r="H10" s="23">
        <f>(C8/C10)</f>
        <v>213.6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IFERROR(M8/SUM(G8+R8,0),"")</f>
        <v>4.75</v>
      </c>
      <c r="N10" s="25"/>
      <c r="O10" s="24">
        <f>IFERROR(O8/N8,0)</f>
        <v>0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6452</v>
      </c>
      <c r="D11" s="60"/>
      <c r="E11" s="48">
        <f>SUMIFS(T:T,B:B,B11,D:D,"Y")</f>
        <v>3186</v>
      </c>
      <c r="F11" s="49">
        <f>SUMIF(B39:B1137,B11,G39:G1137)</f>
        <v>18</v>
      </c>
      <c r="G11" s="50">
        <f>SUMIF(B39:B1137,B11,H39:H1137)</f>
        <v>11</v>
      </c>
      <c r="H11" s="50">
        <f>SUMIF(B39:B1137,B11,I39:I1137)</f>
        <v>4</v>
      </c>
      <c r="I11" s="50">
        <f>SUMIF(B39:B1137,B11,P39:P1137)</f>
        <v>3</v>
      </c>
      <c r="J11" s="50">
        <f>SUMIF(B39:B1137,B11,Q39:Q1137)</f>
        <v>2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20</v>
      </c>
      <c r="N11" s="50">
        <f>SUMIF(B39:B1137,B11,N39:N1137)</f>
        <v>5</v>
      </c>
      <c r="O11" s="50">
        <f>SUMIF(B39:B1137,B11,O39:O1137)</f>
        <v>2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1613</v>
      </c>
      <c r="F13" s="24">
        <f>IFERROR((G11+R11)/F11,0)</f>
        <v>0.6111111111</v>
      </c>
      <c r="G13" s="24">
        <f>IFERROR(H11/G11,0)</f>
        <v>0.3636363636</v>
      </c>
      <c r="H13" s="23">
        <f>(C11/C13)</f>
        <v>716.8888889</v>
      </c>
      <c r="I13" s="25"/>
      <c r="J13" s="24">
        <f>IFERROR(J11/I11,0)</f>
        <v>0.6666666667</v>
      </c>
      <c r="K13" s="25"/>
      <c r="L13" s="24">
        <f>IFERROR(L11/K11,0)</f>
        <v>0</v>
      </c>
      <c r="M13" s="26">
        <f>IFERROR(M11/SUM(R11+G11,0),"")</f>
        <v>1.818181818</v>
      </c>
      <c r="N13" s="25"/>
      <c r="O13" s="24">
        <f>IFERROR(O11/N11,0)</f>
        <v>0.4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3306</v>
      </c>
      <c r="D14" s="60"/>
      <c r="E14" s="48">
        <f>SUMIFS(T:T,B:B,B14,D:D,"Y")</f>
        <v>2259</v>
      </c>
      <c r="F14" s="49">
        <f>SUMIF(B39:B1137,B14,G39:G1137)</f>
        <v>5</v>
      </c>
      <c r="G14" s="50">
        <f>SUMIF(B39:B1137,B14,H39:H1137)</f>
        <v>2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1</v>
      </c>
      <c r="M14" s="50">
        <f>SUMIF(B39:B1137,B14,M39:M1137)</f>
        <v>7</v>
      </c>
      <c r="N14" s="50">
        <f>SUMIF(B39:B1137,B14,N39:N1137)</f>
        <v>2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0</v>
      </c>
      <c r="R14" s="51">
        <f>SUMIF(B39:B1137,B14,L39:L1137)</f>
        <v>2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3306</v>
      </c>
      <c r="F16" s="24">
        <f>IFERROR((G14+R14)/F14,0)</f>
        <v>0.8</v>
      </c>
      <c r="G16" s="24">
        <f>IFERROR(H14/G14,0)</f>
        <v>0.5</v>
      </c>
      <c r="H16" s="23">
        <f>(C14/C16)</f>
        <v>472.2857143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IFERROR(M14/SUM(R14+G14,0),"")</f>
        <v>1.75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1111</v>
      </c>
      <c r="D17" s="60"/>
      <c r="E17" s="48">
        <f>SUMIFS(T:T,B:B,B17,D:D,"Y")</f>
        <v>1111</v>
      </c>
      <c r="F17" s="49">
        <f>SUMIF(B45:B1137,B17,G45:G1137)</f>
        <v>8</v>
      </c>
      <c r="G17" s="50">
        <f>SUMIF(B45:B1137,B17,H45:H1137)</f>
        <v>2</v>
      </c>
      <c r="H17" s="50">
        <f>SUMIF(B45:B1137,B17,I45:I1137)</f>
        <v>1</v>
      </c>
      <c r="I17" s="50">
        <f>SUMIF(B45:B1137,B17,P45:P1137)</f>
        <v>2</v>
      </c>
      <c r="J17" s="50">
        <f>SUMIF(B45:B1137,B17,Q45:Q1137)</f>
        <v>1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1111</v>
      </c>
      <c r="F19" s="24">
        <f>IFERROR((G17+R17)/F17,0)</f>
        <v>0.25</v>
      </c>
      <c r="G19" s="24">
        <f>IFERROR(H17/G17,0)</f>
        <v>0.5</v>
      </c>
      <c r="H19" s="23">
        <f>(C17/C19)</f>
        <v>370.3333333</v>
      </c>
      <c r="I19" s="25"/>
      <c r="J19" s="24">
        <f>IFERROR(J17/I17,0)</f>
        <v>0.5</v>
      </c>
      <c r="K19" s="25"/>
      <c r="L19" s="24">
        <f>IFERROR(L17/K17,0)</f>
        <v>0</v>
      </c>
      <c r="M19" s="26">
        <f>IFERROR(M17/SUM(R17+G17,0),"")</f>
        <v>0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2952</v>
      </c>
      <c r="D23" s="31"/>
      <c r="E23" s="64">
        <f>SUMIFS(T:T,A:A,B23,D:D,"Y")</f>
        <v>2952</v>
      </c>
      <c r="F23" s="9">
        <f>SUMIF(A:A,B23,G:G)</f>
        <v>7</v>
      </c>
      <c r="G23" s="11">
        <f>SUMIF(A:A,B23,H:H)</f>
        <v>4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4</v>
      </c>
      <c r="N23" s="11">
        <f>SUMIF(A:A,B23,N:N)</f>
        <v>1</v>
      </c>
      <c r="O23" s="11">
        <f>SUMIF(A:A,B23,O:O)</f>
        <v>0</v>
      </c>
      <c r="P23" s="11">
        <f>SUMIF(A:A,B23,J:J)</f>
        <v>3</v>
      </c>
      <c r="Q23" s="11">
        <f>SUMIF(A:A,B23,K:K)</f>
        <v>2</v>
      </c>
      <c r="R23" s="33">
        <f>SUMIF(A:A,B23,L:L)</f>
        <v>1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2952</v>
      </c>
      <c r="F25" s="24">
        <f>IFERROR((G23+R23)/F23,0)</f>
        <v>0.7142857143</v>
      </c>
      <c r="G25" s="24">
        <f>IFERROR(H23/G23,0)</f>
        <v>0.25</v>
      </c>
      <c r="H25" s="23">
        <f>(C23/C25)</f>
        <v>295.2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0.8</v>
      </c>
      <c r="N25" s="25"/>
      <c r="O25" s="24">
        <f>IFERROR(O23/N23,0)</f>
        <v>0</v>
      </c>
      <c r="P25" s="26"/>
      <c r="Q25" s="24">
        <f>IFERROR(Q23/P23,0)</f>
        <v>0.6666666667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4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2</v>
      </c>
      <c r="L26" s="11">
        <f>SUMIF(A:A,B26,S:S)</f>
        <v>0</v>
      </c>
      <c r="M26" s="11">
        <f>SUMIF(A:A,B26,M:M)</f>
        <v>0</v>
      </c>
      <c r="N26" s="11">
        <f>SUMIF(A:A,B26,N:N)</f>
        <v>3</v>
      </c>
      <c r="O26" s="11">
        <f>SUMIF(A:A,B26,O:O)</f>
        <v>0</v>
      </c>
      <c r="P26" s="11">
        <f>SUMIF(A:A,B26,J:J)</f>
        <v>2</v>
      </c>
      <c r="Q26" s="11">
        <f>SUMIF(A:A,B26,K:K)</f>
        <v>0</v>
      </c>
      <c r="R26" s="33">
        <f>SUMIF(A:A,B26,L:L)</f>
        <v>2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6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0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1.0</v>
      </c>
      <c r="K40" s="185">
        <v>0.0</v>
      </c>
      <c r="L40" s="185">
        <v>0.0</v>
      </c>
      <c r="M40" s="185">
        <v>3.0</v>
      </c>
      <c r="N40" s="185">
        <v>1.0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2.0</v>
      </c>
      <c r="I41" s="185">
        <v>1.0</v>
      </c>
      <c r="J41" s="185">
        <v>2.0</v>
      </c>
      <c r="K41" s="185">
        <v>1.0</v>
      </c>
      <c r="L41" s="185">
        <v>1.0</v>
      </c>
      <c r="M41" s="185">
        <v>16.0</v>
      </c>
      <c r="N41" s="185">
        <v>0.0</v>
      </c>
      <c r="O41" s="185">
        <v>0.0</v>
      </c>
      <c r="P41" s="185">
        <v>0.0</v>
      </c>
      <c r="Q41" s="185">
        <v>0.0</v>
      </c>
      <c r="R41" s="185">
        <v>2.0</v>
      </c>
      <c r="S41" s="185">
        <v>1.0</v>
      </c>
      <c r="T41" s="185">
        <v>1068.0</v>
      </c>
      <c r="U41" s="104">
        <f t="shared" si="2"/>
        <v>0.5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9.0</v>
      </c>
      <c r="H43" s="185">
        <v>3.0</v>
      </c>
      <c r="I43" s="185">
        <v>2.0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3.0</v>
      </c>
      <c r="Q43" s="185">
        <v>2.0</v>
      </c>
      <c r="R43" s="185">
        <v>0.0</v>
      </c>
      <c r="S43" s="185">
        <v>0.0</v>
      </c>
      <c r="T43" s="185">
        <v>3186.0</v>
      </c>
      <c r="U43" s="104">
        <f t="shared" si="2"/>
        <v>0.6666666667</v>
      </c>
      <c r="V43" s="104">
        <f t="shared" si="3"/>
        <v>0.3333333333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85">
        <v>0.0</v>
      </c>
      <c r="H45" s="185">
        <v>1.0</v>
      </c>
      <c r="I45" s="185">
        <v>1.0</v>
      </c>
      <c r="J45" s="185">
        <v>0.0</v>
      </c>
      <c r="K45" s="185">
        <v>0.0</v>
      </c>
      <c r="L45" s="185">
        <v>0.0</v>
      </c>
      <c r="M45" s="185">
        <v>0.0</v>
      </c>
      <c r="N45" s="185">
        <v>1.0</v>
      </c>
      <c r="O45" s="185">
        <v>1.0</v>
      </c>
      <c r="P45" s="185">
        <v>0.0</v>
      </c>
      <c r="Q45" s="185">
        <v>0.0</v>
      </c>
      <c r="R45" s="185">
        <v>0.0</v>
      </c>
      <c r="S45" s="185">
        <v>0.0</v>
      </c>
      <c r="T45" s="185">
        <v>1776.0</v>
      </c>
      <c r="U45" s="104">
        <f t="shared" si="2"/>
        <v>1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85">
        <v>2.0</v>
      </c>
      <c r="H46" s="185">
        <v>2.0</v>
      </c>
      <c r="I46" s="185">
        <v>0.0</v>
      </c>
      <c r="J46" s="185">
        <v>0.0</v>
      </c>
      <c r="K46" s="185">
        <v>0.0</v>
      </c>
      <c r="L46" s="185">
        <v>0.0</v>
      </c>
      <c r="M46" s="185">
        <v>4.0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1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85">
        <v>2.0</v>
      </c>
      <c r="H47" s="185">
        <v>3.0</v>
      </c>
      <c r="I47" s="185">
        <v>0.0</v>
      </c>
      <c r="J47" s="185">
        <v>1.0</v>
      </c>
      <c r="K47" s="185">
        <v>0.0</v>
      </c>
      <c r="L47" s="185">
        <v>0.0</v>
      </c>
      <c r="M47" s="185">
        <v>3.0</v>
      </c>
      <c r="N47" s="185">
        <v>2.0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1.5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85">
        <v>3.0</v>
      </c>
      <c r="H49" s="185">
        <v>1.0</v>
      </c>
      <c r="I49" s="185">
        <v>1.0</v>
      </c>
      <c r="J49" s="185">
        <v>0.0</v>
      </c>
      <c r="K49" s="185">
        <v>0.0</v>
      </c>
      <c r="L49" s="185">
        <v>0.0</v>
      </c>
      <c r="M49" s="185">
        <v>4.0</v>
      </c>
      <c r="N49" s="185">
        <v>1.0</v>
      </c>
      <c r="O49" s="185">
        <v>1.0</v>
      </c>
      <c r="P49" s="185">
        <v>0.0</v>
      </c>
      <c r="Q49" s="185">
        <v>0.0</v>
      </c>
      <c r="R49" s="185">
        <v>0.0</v>
      </c>
      <c r="S49" s="185">
        <v>0.0</v>
      </c>
      <c r="T49" s="185">
        <v>1490.0</v>
      </c>
      <c r="U49" s="104">
        <f t="shared" si="2"/>
        <v>1</v>
      </c>
      <c r="V49" s="104">
        <f t="shared" si="3"/>
        <v>0.3333333333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85">
        <v>2.0</v>
      </c>
      <c r="H51" s="185">
        <v>1.0</v>
      </c>
      <c r="I51" s="185">
        <v>0.0</v>
      </c>
      <c r="J51" s="185">
        <v>0.0</v>
      </c>
      <c r="K51" s="185">
        <v>0.0</v>
      </c>
      <c r="L51" s="185">
        <v>0.0</v>
      </c>
      <c r="M51" s="185">
        <v>9.0</v>
      </c>
      <c r="N51" s="185">
        <v>1.0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03"/>
      <c r="U51" s="104">
        <f t="shared" si="2"/>
        <v>0</v>
      </c>
      <c r="V51" s="104">
        <f t="shared" si="3"/>
        <v>0.5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85">
        <v>3.0</v>
      </c>
      <c r="H52" s="185">
        <v>2.0</v>
      </c>
      <c r="I52" s="185">
        <v>1.0</v>
      </c>
      <c r="J52" s="185">
        <v>0.0</v>
      </c>
      <c r="K52" s="185">
        <v>0.0</v>
      </c>
      <c r="L52" s="185">
        <v>0.0</v>
      </c>
      <c r="M52" s="185">
        <v>3.0</v>
      </c>
      <c r="N52" s="185">
        <v>1.0</v>
      </c>
      <c r="O52" s="185">
        <v>0.0</v>
      </c>
      <c r="P52" s="185">
        <v>0.0</v>
      </c>
      <c r="Q52" s="185">
        <v>0.0</v>
      </c>
      <c r="R52" s="185">
        <v>1.0</v>
      </c>
      <c r="S52" s="185">
        <v>1.0</v>
      </c>
      <c r="T52" s="185">
        <v>1550.0</v>
      </c>
      <c r="U52" s="104">
        <f t="shared" si="2"/>
        <v>0.5</v>
      </c>
      <c r="V52" s="104">
        <f t="shared" si="3"/>
        <v>0.6666666667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1047.0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85">
        <v>2.0</v>
      </c>
      <c r="H55" s="185">
        <v>0.0</v>
      </c>
      <c r="I55" s="185">
        <v>0.0</v>
      </c>
      <c r="J55" s="185">
        <v>1.0</v>
      </c>
      <c r="K55" s="185">
        <v>0.0</v>
      </c>
      <c r="L55" s="185">
        <v>2.0</v>
      </c>
      <c r="M55" s="185">
        <v>4.0</v>
      </c>
      <c r="N55" s="185">
        <v>1.0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709.0</v>
      </c>
      <c r="U55" s="104">
        <f t="shared" si="2"/>
        <v>0</v>
      </c>
      <c r="V55" s="104">
        <f t="shared" si="3"/>
        <v>1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85">
        <v>8.0</v>
      </c>
      <c r="H59" s="185">
        <v>2.0</v>
      </c>
      <c r="I59" s="185">
        <v>1.0</v>
      </c>
      <c r="J59" s="185">
        <v>0.0</v>
      </c>
      <c r="K59" s="185">
        <v>0.0</v>
      </c>
      <c r="L59" s="185">
        <v>0.0</v>
      </c>
      <c r="M59" s="185">
        <v>0.0</v>
      </c>
      <c r="N59" s="185">
        <v>0.0</v>
      </c>
      <c r="O59" s="185">
        <v>0.0</v>
      </c>
      <c r="P59" s="185">
        <v>2.0</v>
      </c>
      <c r="Q59" s="185">
        <v>1.0</v>
      </c>
      <c r="R59" s="185">
        <v>0.0</v>
      </c>
      <c r="S59" s="185">
        <v>0.0</v>
      </c>
      <c r="T59" s="185">
        <v>1111.0</v>
      </c>
      <c r="U59" s="104">
        <f t="shared" si="2"/>
        <v>0.5</v>
      </c>
      <c r="V59" s="104">
        <f t="shared" si="3"/>
        <v>0.25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85">
        <v>2.0</v>
      </c>
      <c r="H69" s="185">
        <v>2.0</v>
      </c>
      <c r="I69" s="185">
        <v>1.0</v>
      </c>
      <c r="J69" s="185">
        <v>2.0</v>
      </c>
      <c r="K69" s="185">
        <v>2.0</v>
      </c>
      <c r="L69" s="185">
        <v>0.0</v>
      </c>
      <c r="M69" s="185">
        <v>0.0</v>
      </c>
      <c r="N69" s="185">
        <v>1.0</v>
      </c>
      <c r="O69" s="185">
        <v>0.0</v>
      </c>
      <c r="P69" s="185">
        <v>0.0</v>
      </c>
      <c r="Q69" s="185">
        <v>0.0</v>
      </c>
      <c r="R69" s="185">
        <v>0.0</v>
      </c>
      <c r="S69" s="185">
        <v>0.0</v>
      </c>
      <c r="T69" s="185">
        <v>2952.0</v>
      </c>
      <c r="U69" s="104">
        <f t="shared" ref="U69:U78" si="6">IFERROR(I69/H69,0)</f>
        <v>0.5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85">
        <v>1.0</v>
      </c>
      <c r="H74" s="185">
        <v>1.0</v>
      </c>
      <c r="I74" s="185">
        <v>0.0</v>
      </c>
      <c r="J74" s="185">
        <v>0.0</v>
      </c>
      <c r="K74" s="185">
        <v>0.0</v>
      </c>
      <c r="L74" s="185">
        <v>1.0</v>
      </c>
      <c r="M74" s="185">
        <v>4.0</v>
      </c>
      <c r="N74" s="185">
        <v>0.0</v>
      </c>
      <c r="O74" s="185">
        <v>0.0</v>
      </c>
      <c r="P74" s="185">
        <v>0.0</v>
      </c>
      <c r="Q74" s="185">
        <v>0.0</v>
      </c>
      <c r="R74" s="185">
        <v>0.0</v>
      </c>
      <c r="S74" s="185">
        <v>0.0</v>
      </c>
      <c r="T74" s="185">
        <v>0.0</v>
      </c>
      <c r="U74" s="104">
        <f t="shared" si="6"/>
        <v>0</v>
      </c>
      <c r="V74" s="104">
        <f t="shared" si="7"/>
        <v>2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85">
        <v>4.0</v>
      </c>
      <c r="H78" s="185">
        <v>1.0</v>
      </c>
      <c r="I78" s="185">
        <v>0.0</v>
      </c>
      <c r="J78" s="185">
        <v>1.0</v>
      </c>
      <c r="K78" s="185">
        <v>0.0</v>
      </c>
      <c r="L78" s="185">
        <v>0.0</v>
      </c>
      <c r="M78" s="185">
        <v>0.0</v>
      </c>
      <c r="N78" s="185">
        <v>0.0</v>
      </c>
      <c r="O78" s="185">
        <v>0.0</v>
      </c>
      <c r="P78" s="185">
        <v>0.0</v>
      </c>
      <c r="Q78" s="185">
        <v>0.0</v>
      </c>
      <c r="R78" s="185">
        <v>0.0</v>
      </c>
      <c r="S78" s="185">
        <v>0.0</v>
      </c>
      <c r="T78" s="185">
        <v>0.0</v>
      </c>
      <c r="U78" s="104">
        <f t="shared" si="6"/>
        <v>0</v>
      </c>
      <c r="V78" s="104">
        <f t="shared" si="7"/>
        <v>0.25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85">
        <v>0.0</v>
      </c>
      <c r="H82" s="185">
        <v>3.0</v>
      </c>
      <c r="I82" s="185">
        <v>0.0</v>
      </c>
      <c r="J82" s="185">
        <v>2.0</v>
      </c>
      <c r="K82" s="185">
        <v>0.0</v>
      </c>
      <c r="L82" s="185">
        <v>1.0</v>
      </c>
      <c r="M82" s="185">
        <v>0.0</v>
      </c>
      <c r="N82" s="185">
        <v>3.0</v>
      </c>
      <c r="O82" s="185">
        <v>0.0</v>
      </c>
      <c r="P82" s="185">
        <v>0.0</v>
      </c>
      <c r="Q82" s="185">
        <v>0.0</v>
      </c>
      <c r="R82" s="185">
        <v>1.0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85">
        <v>1.0</v>
      </c>
      <c r="H84" s="185">
        <v>1.0</v>
      </c>
      <c r="I84" s="185">
        <v>0.0</v>
      </c>
      <c r="J84" s="185">
        <v>0.0</v>
      </c>
      <c r="K84" s="185">
        <v>0.0</v>
      </c>
      <c r="L84" s="185">
        <v>1.0</v>
      </c>
      <c r="M84" s="185">
        <v>0.0</v>
      </c>
      <c r="N84" s="185">
        <v>0.0</v>
      </c>
      <c r="O84" s="185">
        <v>0.0</v>
      </c>
      <c r="P84" s="185">
        <v>0.0</v>
      </c>
      <c r="Q84" s="185">
        <v>0.0</v>
      </c>
      <c r="R84" s="185">
        <v>1.0</v>
      </c>
      <c r="S84" s="185">
        <v>0.0</v>
      </c>
      <c r="T84" s="185">
        <v>0.0</v>
      </c>
      <c r="U84" s="104">
        <f t="shared" si="8"/>
        <v>0</v>
      </c>
      <c r="V84" s="104">
        <f t="shared" si="9"/>
        <v>2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11918</v>
      </c>
      <c r="D2" s="10"/>
      <c r="E2" s="11">
        <f t="shared" ref="E2:R2" si="1">SUM(E5,E20,E23,E26,E29,E32)</f>
        <v>7079</v>
      </c>
      <c r="F2" s="11">
        <f t="shared" si="1"/>
        <v>12</v>
      </c>
      <c r="G2" s="11">
        <f t="shared" si="1"/>
        <v>12</v>
      </c>
      <c r="H2" s="11">
        <f t="shared" si="1"/>
        <v>6</v>
      </c>
      <c r="I2" s="11">
        <f t="shared" si="1"/>
        <v>0</v>
      </c>
      <c r="J2" s="11">
        <f t="shared" si="1"/>
        <v>0</v>
      </c>
      <c r="K2" s="11">
        <f t="shared" si="1"/>
        <v>6</v>
      </c>
      <c r="L2" s="11">
        <f t="shared" si="1"/>
        <v>4</v>
      </c>
      <c r="M2" s="11">
        <f t="shared" si="1"/>
        <v>53</v>
      </c>
      <c r="N2" s="11">
        <f t="shared" si="1"/>
        <v>4</v>
      </c>
      <c r="O2" s="11">
        <f t="shared" si="1"/>
        <v>2</v>
      </c>
      <c r="P2" s="11">
        <f t="shared" si="1"/>
        <v>9</v>
      </c>
      <c r="Q2" s="11">
        <f t="shared" si="1"/>
        <v>6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1986.333333</v>
      </c>
      <c r="F4" s="24">
        <f>IFERROR((G2+R2)/F2,0)</f>
        <v>1.166666667</v>
      </c>
      <c r="G4" s="24">
        <f>IFERROR(H2/G2,0)</f>
        <v>0.5</v>
      </c>
      <c r="H4" s="23">
        <f>(C2/C4)</f>
        <v>186.21875</v>
      </c>
      <c r="I4" s="25"/>
      <c r="J4" s="24">
        <f>IFERROR(J2/I2,0)</f>
        <v>0</v>
      </c>
      <c r="K4" s="25"/>
      <c r="L4" s="24">
        <f>IFERROR(L2/K2,0)</f>
        <v>0.6666666667</v>
      </c>
      <c r="M4" s="26">
        <f>IFERROR(M2/G2,0)</f>
        <v>4.416666667</v>
      </c>
      <c r="N4" s="25"/>
      <c r="O4" s="24">
        <f>IFERROR(O2/N2,0)</f>
        <v>0.5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6292</v>
      </c>
      <c r="D5" s="31"/>
      <c r="E5" s="32">
        <f>SUMIFS(T:T,A:A,B5,D:D,"Y")</f>
        <v>3608</v>
      </c>
      <c r="F5" s="11">
        <f>SUMIF(A:A,B5,G:G)</f>
        <v>5</v>
      </c>
      <c r="G5" s="11">
        <f>SUMIF(A:A,B5,H:H)</f>
        <v>6</v>
      </c>
      <c r="H5" s="11">
        <f>SUMIF(A:A,B5,I:I)</f>
        <v>3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2</v>
      </c>
      <c r="M5" s="11">
        <f>SUMIF(A:A,B5,M:M)</f>
        <v>38</v>
      </c>
      <c r="N5" s="11">
        <f>SUMIF(A:A,B5,N:N)</f>
        <v>3</v>
      </c>
      <c r="O5" s="11">
        <f>SUMIF(A:A,B5,O:O)</f>
        <v>1</v>
      </c>
      <c r="P5" s="11">
        <f>SUMIF(A:A,B5,J:J)</f>
        <v>6</v>
      </c>
      <c r="Q5" s="11">
        <f>SUMIF(A:A,B5,K:K)</f>
        <v>3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2097.333333</v>
      </c>
      <c r="F7" s="41">
        <f>IFERROR((G5+R5)/F5,0)</f>
        <v>1.2</v>
      </c>
      <c r="G7" s="41">
        <f>IFERROR(H5/G5,0)</f>
        <v>0.5</v>
      </c>
      <c r="H7" s="40">
        <f>(C5/C7)</f>
        <v>251.68</v>
      </c>
      <c r="I7" s="42"/>
      <c r="J7" s="41">
        <f>IFERROR(J5/I5,0)</f>
        <v>0</v>
      </c>
      <c r="K7" s="42"/>
      <c r="L7" s="41">
        <f>IFERROR(L5/K5,0)</f>
        <v>0.6666666667</v>
      </c>
      <c r="M7" s="43">
        <f>IFERROR(M5/SUM(R5+G5,0),"")</f>
        <v>6.333333333</v>
      </c>
      <c r="N7" s="42"/>
      <c r="O7" s="41">
        <f>IFERROR(O5/N5,0)</f>
        <v>0.3333333333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6292</v>
      </c>
      <c r="D8" s="47"/>
      <c r="E8" s="48">
        <f>SUMIFS(T:T,B:B,B8,D:D,"Y")</f>
        <v>3608</v>
      </c>
      <c r="F8" s="49">
        <f>SUMIF(B37:B1137,B8,G37:G1137)</f>
        <v>5</v>
      </c>
      <c r="G8" s="50">
        <f>SUMIF(B37:B1137,B8,H37:H1137)</f>
        <v>6</v>
      </c>
      <c r="H8" s="50">
        <f>SUMIF(B37:B1137,B8,I37:I1137)</f>
        <v>3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3</v>
      </c>
      <c r="L8" s="50">
        <f>SUMIF(B37:B1137,B8,S37:S1137)</f>
        <v>2</v>
      </c>
      <c r="M8" s="50">
        <f>SUMIF(B37:B1137,B8,M37:M1137)</f>
        <v>38</v>
      </c>
      <c r="N8" s="50">
        <f>SUMIF(B37:B1137,B8,N37:N1137)</f>
        <v>3</v>
      </c>
      <c r="O8" s="50">
        <f>SUMIF(B37:B1137,B8,O37:O1137)</f>
        <v>1</v>
      </c>
      <c r="P8" s="50">
        <f>SUMIF(B37:B1137,B8,J37:J1137)</f>
        <v>6</v>
      </c>
      <c r="Q8" s="50">
        <f>SUMIF(B37:B1137,B8,K37:K1137)</f>
        <v>3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2097.333333</v>
      </c>
      <c r="F10" s="24">
        <f>IFERROR((G8+R8)/F8,0)</f>
        <v>1.2</v>
      </c>
      <c r="G10" s="24">
        <f>IFERROR(H8/G8,0)</f>
        <v>0.5</v>
      </c>
      <c r="H10" s="23">
        <f>(C8/C10)</f>
        <v>1258.4</v>
      </c>
      <c r="I10" s="25"/>
      <c r="J10" s="24">
        <f>IFERROR(J8/I8,0)</f>
        <v>0</v>
      </c>
      <c r="K10" s="25"/>
      <c r="L10" s="24">
        <f>IFERROR(L8/K8,0)</f>
        <v>0.6666666667</v>
      </c>
      <c r="M10" s="26">
        <f>IFERROR(M8/SUM(G8+R8,0),"")</f>
        <v>6.333333333</v>
      </c>
      <c r="N10" s="25"/>
      <c r="O10" s="24">
        <f>IFERROR(O8/N8,0)</f>
        <v>0.3333333333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5626</v>
      </c>
      <c r="D23" s="31"/>
      <c r="E23" s="64">
        <f>SUMIFS(T:T,A:A,B23,D:D,"Y")</f>
        <v>3471</v>
      </c>
      <c r="F23" s="9">
        <f>SUMIF(A:A,B23,G:G)</f>
        <v>7</v>
      </c>
      <c r="G23" s="11">
        <f>SUMIF(A:A,B23,H:H)</f>
        <v>6</v>
      </c>
      <c r="H23" s="11">
        <f>SUMIF(A:A,B23,I:I)</f>
        <v>3</v>
      </c>
      <c r="I23" s="11">
        <f>SUMIF(A:A,B23,P:P)</f>
        <v>0</v>
      </c>
      <c r="J23" s="11">
        <f>SUMIF(A:A,B23,Q:Q)</f>
        <v>0</v>
      </c>
      <c r="K23" s="11">
        <f>SUMIF(A:A,B23,R:R)</f>
        <v>3</v>
      </c>
      <c r="L23" s="11">
        <f>SUMIF(A:A,B23,S:S)</f>
        <v>2</v>
      </c>
      <c r="M23" s="11">
        <f>SUMIF(A:A,B23,M:M)</f>
        <v>15</v>
      </c>
      <c r="N23" s="11">
        <f>SUMIF(A:A,B23,N:N)</f>
        <v>1</v>
      </c>
      <c r="O23" s="11">
        <f>SUMIF(A:A,B23,O:O)</f>
        <v>1</v>
      </c>
      <c r="P23" s="11">
        <f>SUMIF(A:A,B23,J:J)</f>
        <v>3</v>
      </c>
      <c r="Q23" s="11">
        <f>SUMIF(A:A,B23,K:K)</f>
        <v>3</v>
      </c>
      <c r="R23" s="33">
        <f>SUMIF(A:A,B23,L:L)</f>
        <v>2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1875.333333</v>
      </c>
      <c r="F25" s="24">
        <f>IFERROR((G23+R23)/F23,0)</f>
        <v>1.142857143</v>
      </c>
      <c r="G25" s="24">
        <f>IFERROR(H23/G23,0)</f>
        <v>0.5</v>
      </c>
      <c r="H25" s="23">
        <f>(C23/C25)</f>
        <v>562.6</v>
      </c>
      <c r="I25" s="25"/>
      <c r="J25" s="24">
        <f>IFERROR(J23/I23,0)</f>
        <v>0</v>
      </c>
      <c r="K25" s="25"/>
      <c r="L25" s="24">
        <f>IFERROR(L23/K23,0)</f>
        <v>0.6666666667</v>
      </c>
      <c r="M25" s="26">
        <f>IFERROR(M23/SUM(R23+G23,0),"")</f>
        <v>1.875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3.0</v>
      </c>
      <c r="H39" s="185">
        <v>3.0</v>
      </c>
      <c r="I39" s="185">
        <v>1.0</v>
      </c>
      <c r="J39" s="185">
        <v>3.0</v>
      </c>
      <c r="K39" s="185">
        <v>1.0</v>
      </c>
      <c r="L39" s="185">
        <v>0.0</v>
      </c>
      <c r="M39" s="185">
        <v>18.0</v>
      </c>
      <c r="N39" s="185">
        <v>2.0</v>
      </c>
      <c r="O39" s="185">
        <v>0.0</v>
      </c>
      <c r="P39" s="185">
        <v>0.0</v>
      </c>
      <c r="Q39" s="185">
        <v>0.0</v>
      </c>
      <c r="R39" s="185">
        <v>1.0</v>
      </c>
      <c r="S39" s="185">
        <v>1.0</v>
      </c>
      <c r="T39" s="185">
        <v>2352.0</v>
      </c>
      <c r="U39" s="104">
        <f t="shared" si="2"/>
        <v>0.3333333333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1.0</v>
      </c>
      <c r="K40" s="185">
        <v>0.0</v>
      </c>
      <c r="L40" s="185">
        <v>0.0</v>
      </c>
      <c r="M40" s="185">
        <v>2.0</v>
      </c>
      <c r="N40" s="185">
        <v>0.0</v>
      </c>
      <c r="O40" s="185">
        <v>0.0</v>
      </c>
      <c r="P40" s="185">
        <v>0.0</v>
      </c>
      <c r="Q40" s="185">
        <v>0.0</v>
      </c>
      <c r="R40" s="185">
        <v>1.0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1.0</v>
      </c>
      <c r="J41" s="185">
        <v>1.0</v>
      </c>
      <c r="K41" s="185">
        <v>1.0</v>
      </c>
      <c r="L41" s="185">
        <v>0.0</v>
      </c>
      <c r="M41" s="185">
        <v>6.0</v>
      </c>
      <c r="N41" s="185">
        <v>1.0</v>
      </c>
      <c r="O41" s="185">
        <v>1.0</v>
      </c>
      <c r="P41" s="185">
        <v>0.0</v>
      </c>
      <c r="Q41" s="185">
        <v>0.0</v>
      </c>
      <c r="R41" s="185">
        <v>0.0</v>
      </c>
      <c r="S41" s="185">
        <v>0.0</v>
      </c>
      <c r="T41" s="185">
        <v>1256.0</v>
      </c>
      <c r="U41" s="104">
        <f t="shared" si="2"/>
        <v>1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1.0</v>
      </c>
      <c r="H42" s="185">
        <v>1.0</v>
      </c>
      <c r="I42" s="185">
        <v>1.0</v>
      </c>
      <c r="J42" s="185">
        <v>1.0</v>
      </c>
      <c r="K42" s="185">
        <v>1.0</v>
      </c>
      <c r="L42" s="185">
        <v>0.0</v>
      </c>
      <c r="M42" s="185">
        <v>12.0</v>
      </c>
      <c r="N42" s="185">
        <v>0.0</v>
      </c>
      <c r="O42" s="185">
        <v>0.0</v>
      </c>
      <c r="P42" s="185">
        <v>0.0</v>
      </c>
      <c r="Q42" s="185">
        <v>0.0</v>
      </c>
      <c r="R42" s="185">
        <v>1.0</v>
      </c>
      <c r="S42" s="185">
        <v>1.0</v>
      </c>
      <c r="T42" s="185">
        <v>2684.0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85">
        <v>1.0</v>
      </c>
      <c r="H69" s="185">
        <v>1.0</v>
      </c>
      <c r="I69" s="185">
        <v>1.0</v>
      </c>
      <c r="J69" s="185">
        <v>1.0</v>
      </c>
      <c r="K69" s="185">
        <v>1.0</v>
      </c>
      <c r="L69" s="185">
        <v>0.0</v>
      </c>
      <c r="M69" s="185">
        <v>3.0</v>
      </c>
      <c r="N69" s="185">
        <v>1.0</v>
      </c>
      <c r="O69" s="185">
        <v>1.0</v>
      </c>
      <c r="P69" s="185">
        <v>0.0</v>
      </c>
      <c r="Q69" s="185">
        <v>0.0</v>
      </c>
      <c r="R69" s="185">
        <v>0.0</v>
      </c>
      <c r="S69" s="185">
        <v>0.0</v>
      </c>
      <c r="T69" s="185">
        <v>3471.0</v>
      </c>
      <c r="U69" s="104">
        <f t="shared" ref="U69:U78" si="6">IFERROR(I69/H69,0)</f>
        <v>1</v>
      </c>
      <c r="V69" s="104">
        <f t="shared" ref="V69:V78" si="7">IFERROR(SUM(H69+L69)/G69,0)</f>
        <v>1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85">
        <v>1.0</v>
      </c>
      <c r="H74" s="185">
        <v>1.0</v>
      </c>
      <c r="I74" s="185">
        <v>0.0</v>
      </c>
      <c r="J74" s="185">
        <v>1.0</v>
      </c>
      <c r="K74" s="185">
        <v>1.0</v>
      </c>
      <c r="L74" s="185">
        <v>1.0</v>
      </c>
      <c r="M74" s="185">
        <v>4.0</v>
      </c>
      <c r="N74" s="185">
        <v>0.0</v>
      </c>
      <c r="O74" s="185">
        <v>0.0</v>
      </c>
      <c r="P74" s="185">
        <v>0.0</v>
      </c>
      <c r="Q74" s="185">
        <v>0.0</v>
      </c>
      <c r="R74" s="185">
        <v>1.0</v>
      </c>
      <c r="S74" s="185">
        <v>0.0</v>
      </c>
      <c r="T74" s="185">
        <v>0.0</v>
      </c>
      <c r="U74" s="104">
        <f t="shared" si="6"/>
        <v>0</v>
      </c>
      <c r="V74" s="104">
        <f t="shared" si="7"/>
        <v>2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85">
        <v>5.0</v>
      </c>
      <c r="H78" s="185">
        <v>4.0</v>
      </c>
      <c r="I78" s="185">
        <v>2.0</v>
      </c>
      <c r="J78" s="185">
        <v>1.0</v>
      </c>
      <c r="K78" s="185">
        <v>1.0</v>
      </c>
      <c r="L78" s="185">
        <v>1.0</v>
      </c>
      <c r="M78" s="185">
        <v>8.0</v>
      </c>
      <c r="N78" s="185">
        <v>0.0</v>
      </c>
      <c r="O78" s="185">
        <v>0.0</v>
      </c>
      <c r="P78" s="185">
        <v>0.0</v>
      </c>
      <c r="Q78" s="185">
        <v>0.0</v>
      </c>
      <c r="R78" s="185">
        <v>2.0</v>
      </c>
      <c r="S78" s="185">
        <v>2.0</v>
      </c>
      <c r="T78" s="185">
        <v>2155.0</v>
      </c>
      <c r="U78" s="104">
        <f t="shared" si="6"/>
        <v>0.5</v>
      </c>
      <c r="V78" s="104">
        <f t="shared" si="7"/>
        <v>1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64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9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SUMIF(B45:B1137,B17,G45:G1137)</f>
        <v>0</v>
      </c>
      <c r="G17" s="50">
        <f>SUMIF(B45:B1137,B17,H45:H1137)</f>
        <v>0</v>
      </c>
      <c r="H17" s="50">
        <f>SUMIF(B45:B1137,B17,I45:I1137)</f>
        <v>0</v>
      </c>
      <c r="I17" s="50">
        <f>SUMIF(B45:B1137,B17,P45:P1137)</f>
        <v>0</v>
      </c>
      <c r="J17" s="50">
        <f>SUMIF(B45:B1137,B17,Q45:Q1137)</f>
        <v>0</v>
      </c>
      <c r="K17" s="50">
        <f>SUMIF(B45:B1137,B17,R45:R1137)</f>
        <v>0</v>
      </c>
      <c r="L17" s="50">
        <f>SUMIF(B45:B1137,B17,S45:S1137)</f>
        <v>0</v>
      </c>
      <c r="M17" s="50">
        <f>SUMIF(B45:B1137,B17,M45:M1137)</f>
        <v>0</v>
      </c>
      <c r="N17" s="50">
        <f>SUMIF(B45:B1137,B17,N45:N1137)</f>
        <v>0</v>
      </c>
      <c r="O17" s="50">
        <f>SUMIF(B45:B1137,B17,O45:O1137)</f>
        <v>0</v>
      </c>
      <c r="P17" s="50">
        <f>SUMIF(B45:B1137,B17,J45:J1137)</f>
        <v>0</v>
      </c>
      <c r="Q17" s="50">
        <f>SUMIF(B45:B1137,B17,K45:K1137)</f>
        <v>0</v>
      </c>
      <c r="R17" s="51">
        <f>SUMIF(B45:B1137,B17,L45:L1137)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COUNTIFS(B45:B1137,B17)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62</v>
      </c>
      <c r="F44" s="126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58</v>
      </c>
      <c r="F45" s="126" t="s">
        <v>64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5" t="s">
        <v>26</v>
      </c>
      <c r="B46" s="99" t="s">
        <v>28</v>
      </c>
      <c r="C46" s="126"/>
      <c r="D46" s="101"/>
      <c r="E46" s="126" t="s">
        <v>53</v>
      </c>
      <c r="F46" s="126" t="s">
        <v>65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7" t="s">
        <v>26</v>
      </c>
      <c r="B47" s="127" t="s">
        <v>28</v>
      </c>
      <c r="C47" s="128" t="s">
        <v>66</v>
      </c>
      <c r="D47" s="129" t="s">
        <v>52</v>
      </c>
      <c r="E47" s="117" t="s">
        <v>67</v>
      </c>
      <c r="F47" s="128" t="s">
        <v>68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66</v>
      </c>
      <c r="D48" s="131"/>
      <c r="E48" s="120"/>
      <c r="F48" s="120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66</v>
      </c>
      <c r="D49" s="131"/>
      <c r="E49" s="120"/>
      <c r="F49" s="120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19" t="s">
        <v>26</v>
      </c>
      <c r="B50" s="130" t="s">
        <v>28</v>
      </c>
      <c r="C50" s="120" t="s">
        <v>66</v>
      </c>
      <c r="D50" s="131"/>
      <c r="E50" s="120"/>
      <c r="F50" s="120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2.75" customHeight="1">
      <c r="A51" s="119" t="s">
        <v>26</v>
      </c>
      <c r="B51" s="130" t="s">
        <v>28</v>
      </c>
      <c r="C51" s="120" t="s">
        <v>66</v>
      </c>
      <c r="D51" s="131"/>
      <c r="E51" s="120"/>
      <c r="F51" s="120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2.75" customHeight="1">
      <c r="A52" s="106" t="s">
        <v>26</v>
      </c>
      <c r="B52" s="109" t="s">
        <v>29</v>
      </c>
      <c r="C52" s="109"/>
      <c r="D52" s="132" t="s">
        <v>52</v>
      </c>
      <c r="E52" s="109" t="s">
        <v>73</v>
      </c>
      <c r="F52" s="133" t="s">
        <v>29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13" t="s">
        <v>26</v>
      </c>
      <c r="B53" s="114" t="s">
        <v>29</v>
      </c>
      <c r="C53" s="114"/>
      <c r="D53" s="134"/>
      <c r="E53" s="114" t="s">
        <v>59</v>
      </c>
      <c r="F53" s="114" t="s">
        <v>74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13" t="s">
        <v>26</v>
      </c>
      <c r="B54" s="114" t="s">
        <v>29</v>
      </c>
      <c r="C54" s="114"/>
      <c r="D54" s="134"/>
      <c r="E54" s="114" t="s">
        <v>73</v>
      </c>
      <c r="F54" s="114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5" t="s">
        <v>26</v>
      </c>
      <c r="B55" s="127" t="s">
        <v>29</v>
      </c>
      <c r="C55" s="117" t="s">
        <v>76</v>
      </c>
      <c r="D55" s="136" t="s">
        <v>52</v>
      </c>
      <c r="E55" s="117" t="s">
        <v>77</v>
      </c>
      <c r="F55" s="117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76</v>
      </c>
      <c r="D56" s="138"/>
      <c r="E56" s="120" t="s">
        <v>59</v>
      </c>
      <c r="F56" s="120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3.5" customHeight="1">
      <c r="A57" s="137" t="s">
        <v>26</v>
      </c>
      <c r="B57" s="130" t="s">
        <v>29</v>
      </c>
      <c r="C57" s="120" t="s">
        <v>76</v>
      </c>
      <c r="D57" s="138"/>
      <c r="E57" s="120" t="s">
        <v>59</v>
      </c>
      <c r="F57" s="120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3.5" customHeight="1">
      <c r="A58" s="137" t="s">
        <v>26</v>
      </c>
      <c r="B58" s="130" t="s">
        <v>29</v>
      </c>
      <c r="C58" s="120" t="s">
        <v>76</v>
      </c>
      <c r="D58" s="138"/>
      <c r="E58" s="120" t="s">
        <v>59</v>
      </c>
      <c r="F58" s="120" t="s">
        <v>80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06" t="s">
        <v>26</v>
      </c>
      <c r="B59" s="107" t="s">
        <v>30</v>
      </c>
      <c r="C59" s="107"/>
      <c r="D59" s="109" t="s">
        <v>52</v>
      </c>
      <c r="E59" s="107" t="s">
        <v>81</v>
      </c>
      <c r="F59" s="107" t="s">
        <v>30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0" t="s">
        <v>26</v>
      </c>
      <c r="B60" s="111" t="s">
        <v>30</v>
      </c>
      <c r="C60" s="111" t="s">
        <v>82</v>
      </c>
      <c r="D60" s="111" t="s">
        <v>52</v>
      </c>
      <c r="E60" s="111" t="s">
        <v>81</v>
      </c>
      <c r="F60" s="111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13" t="s">
        <v>26</v>
      </c>
      <c r="B61" s="114" t="s">
        <v>30</v>
      </c>
      <c r="C61" s="114" t="s">
        <v>82</v>
      </c>
      <c r="D61" s="139"/>
      <c r="E61" s="114" t="s">
        <v>81</v>
      </c>
      <c r="F61" s="114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40" t="s">
        <v>31</v>
      </c>
      <c r="B63" s="141"/>
      <c r="C63" s="141"/>
      <c r="D63" s="142" t="s">
        <v>52</v>
      </c>
      <c r="E63" s="102" t="s">
        <v>84</v>
      </c>
      <c r="F63" s="102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7" si="4">IFERROR(I63/H63,0)</f>
        <v>0</v>
      </c>
      <c r="V63" s="104">
        <f t="shared" ref="V63:V67" si="5">IFERROR(SUM(H63+L63)/G63,0)</f>
        <v>0</v>
      </c>
      <c r="W63" s="105"/>
    </row>
    <row r="64" ht="12.75" customHeight="1">
      <c r="A64" s="143" t="s">
        <v>31</v>
      </c>
      <c r="B64" s="144"/>
      <c r="C64" s="127" t="s">
        <v>85</v>
      </c>
      <c r="D64" s="127" t="s">
        <v>52</v>
      </c>
      <c r="E64" s="127"/>
      <c r="F64" s="127" t="s">
        <v>85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7" t="s">
        <v>31</v>
      </c>
      <c r="B65" s="148"/>
      <c r="C65" s="120" t="s">
        <v>85</v>
      </c>
      <c r="D65" s="117"/>
      <c r="E65" s="120"/>
      <c r="F65" s="120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49" t="s">
        <v>31</v>
      </c>
      <c r="B66" s="150"/>
      <c r="C66" s="151" t="s">
        <v>87</v>
      </c>
      <c r="D66" s="151"/>
      <c r="E66" s="151"/>
      <c r="F66" s="151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12.75" customHeight="1">
      <c r="A67" s="152" t="s">
        <v>31</v>
      </c>
      <c r="B67" s="153"/>
      <c r="C67" s="154" t="s">
        <v>87</v>
      </c>
      <c r="D67" s="151"/>
      <c r="E67" s="154" t="s">
        <v>88</v>
      </c>
      <c r="F67" s="154" t="s">
        <v>89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5">
        <f t="shared" si="4"/>
        <v>0</v>
      </c>
      <c r="V67" s="145">
        <f t="shared" si="5"/>
        <v>0</v>
      </c>
      <c r="W67" s="146"/>
    </row>
    <row r="68" ht="20.25" customHeight="1">
      <c r="A68" s="93" t="s">
        <v>36</v>
      </c>
      <c r="B68" s="94" t="s">
        <v>37</v>
      </c>
      <c r="C68" s="94" t="s">
        <v>38</v>
      </c>
      <c r="D68" s="95"/>
      <c r="E68" s="96" t="s">
        <v>39</v>
      </c>
      <c r="F68" s="94" t="s">
        <v>40</v>
      </c>
      <c r="G68" s="97" t="s">
        <v>41</v>
      </c>
      <c r="H68" s="97" t="s">
        <v>42</v>
      </c>
      <c r="I68" s="97" t="s">
        <v>43</v>
      </c>
      <c r="J68" s="97" t="s">
        <v>12</v>
      </c>
      <c r="K68" s="97" t="s">
        <v>44</v>
      </c>
      <c r="L68" s="97" t="s">
        <v>14</v>
      </c>
      <c r="M68" s="97" t="s">
        <v>9</v>
      </c>
      <c r="N68" s="97" t="s">
        <v>10</v>
      </c>
      <c r="O68" s="97" t="s">
        <v>45</v>
      </c>
      <c r="P68" s="97" t="s">
        <v>5</v>
      </c>
      <c r="Q68" s="97" t="s">
        <v>46</v>
      </c>
      <c r="R68" s="97" t="s">
        <v>47</v>
      </c>
      <c r="S68" s="97" t="s">
        <v>48</v>
      </c>
      <c r="T68" s="97" t="s">
        <v>0</v>
      </c>
      <c r="U68" s="96" t="s">
        <v>49</v>
      </c>
      <c r="V68" s="96" t="s">
        <v>50</v>
      </c>
      <c r="W68" s="98"/>
    </row>
    <row r="69" ht="13.5" customHeight="1">
      <c r="A69" s="155" t="s">
        <v>32</v>
      </c>
      <c r="B69" s="156"/>
      <c r="C69" s="157"/>
      <c r="D69" s="158" t="s">
        <v>52</v>
      </c>
      <c r="E69" s="156" t="s">
        <v>90</v>
      </c>
      <c r="F69" s="156" t="s">
        <v>32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ref="U69:U78" si="6">IFERROR(I69/H69,0)</f>
        <v>0</v>
      </c>
      <c r="V69" s="104">
        <f t="shared" ref="V69:V78" si="7">IFERROR(SUM(H69+L69)/G69,0)</f>
        <v>0</v>
      </c>
      <c r="W69" s="105"/>
    </row>
    <row r="70" ht="13.5" customHeight="1">
      <c r="A70" s="114" t="s">
        <v>32</v>
      </c>
      <c r="B70" s="114"/>
      <c r="C70" s="159"/>
      <c r="D70" s="134"/>
      <c r="E70" s="114" t="s">
        <v>90</v>
      </c>
      <c r="F70" s="114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90</v>
      </c>
      <c r="F71" s="114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90</v>
      </c>
      <c r="F72" s="114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90</v>
      </c>
      <c r="F73" s="114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90</v>
      </c>
      <c r="F74" s="114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90</v>
      </c>
      <c r="F75" s="114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90</v>
      </c>
      <c r="F76" s="114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90</v>
      </c>
      <c r="F77" s="114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14" t="s">
        <v>32</v>
      </c>
      <c r="B78" s="114"/>
      <c r="C78" s="114"/>
      <c r="D78" s="160"/>
      <c r="E78" s="114" t="s">
        <v>90</v>
      </c>
      <c r="F78" s="114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20.25" customHeight="1">
      <c r="A79" s="93" t="s">
        <v>36</v>
      </c>
      <c r="B79" s="94" t="s">
        <v>37</v>
      </c>
      <c r="C79" s="94" t="s">
        <v>38</v>
      </c>
      <c r="D79" s="95"/>
      <c r="E79" s="96" t="s">
        <v>39</v>
      </c>
      <c r="F79" s="94" t="s">
        <v>40</v>
      </c>
      <c r="G79" s="97" t="s">
        <v>41</v>
      </c>
      <c r="H79" s="97" t="s">
        <v>42</v>
      </c>
      <c r="I79" s="97" t="s">
        <v>43</v>
      </c>
      <c r="J79" s="97" t="s">
        <v>12</v>
      </c>
      <c r="K79" s="97" t="s">
        <v>44</v>
      </c>
      <c r="L79" s="97" t="s">
        <v>14</v>
      </c>
      <c r="M79" s="97" t="s">
        <v>9</v>
      </c>
      <c r="N79" s="97" t="s">
        <v>10</v>
      </c>
      <c r="O79" s="97" t="s">
        <v>45</v>
      </c>
      <c r="P79" s="97" t="s">
        <v>5</v>
      </c>
      <c r="Q79" s="97" t="s">
        <v>46</v>
      </c>
      <c r="R79" s="97" t="s">
        <v>47</v>
      </c>
      <c r="S79" s="97" t="s">
        <v>48</v>
      </c>
      <c r="T79" s="97" t="s">
        <v>0</v>
      </c>
      <c r="U79" s="96" t="s">
        <v>49</v>
      </c>
      <c r="V79" s="96" t="s">
        <v>50</v>
      </c>
      <c r="W79" s="98"/>
    </row>
    <row r="80" ht="12.75" customHeight="1">
      <c r="A80" s="161" t="s">
        <v>33</v>
      </c>
      <c r="B80" s="161"/>
      <c r="C80" s="161"/>
      <c r="D80" s="162" t="s">
        <v>52</v>
      </c>
      <c r="E80" s="161" t="s">
        <v>100</v>
      </c>
      <c r="F80" s="161" t="s">
        <v>33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ref="U80:U84" si="8">IFERROR(I80/H80,0)</f>
        <v>0</v>
      </c>
      <c r="V80" s="104">
        <f t="shared" ref="V80:V84" si="9">IFERROR(SUM(H80+L80)/G80,0)</f>
        <v>0</v>
      </c>
      <c r="W80" s="105"/>
    </row>
    <row r="81" ht="12.75" customHeight="1">
      <c r="A81" s="163" t="s">
        <v>33</v>
      </c>
      <c r="B81" s="164"/>
      <c r="C81" s="164"/>
      <c r="D81" s="101"/>
      <c r="E81" s="126" t="s">
        <v>77</v>
      </c>
      <c r="F81" s="126" t="s">
        <v>101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5" t="s">
        <v>33</v>
      </c>
      <c r="B82" s="165"/>
      <c r="C82" s="128" t="s">
        <v>102</v>
      </c>
      <c r="D82" s="129" t="s">
        <v>52</v>
      </c>
      <c r="E82" s="117" t="s">
        <v>59</v>
      </c>
      <c r="F82" s="128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1" t="s">
        <v>33</v>
      </c>
      <c r="B83" s="161"/>
      <c r="C83" s="111" t="s">
        <v>103</v>
      </c>
      <c r="D83" s="112" t="s">
        <v>52</v>
      </c>
      <c r="E83" s="111" t="s">
        <v>104</v>
      </c>
      <c r="F83" s="111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63" t="s">
        <v>33</v>
      </c>
      <c r="B84" s="163"/>
      <c r="C84" s="114" t="s">
        <v>103</v>
      </c>
      <c r="D84" s="115"/>
      <c r="E84" s="114" t="s">
        <v>59</v>
      </c>
      <c r="F84" s="114" t="s">
        <v>105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20.25" customHeight="1">
      <c r="A85" s="93" t="s">
        <v>36</v>
      </c>
      <c r="B85" s="94" t="s">
        <v>37</v>
      </c>
      <c r="C85" s="94" t="s">
        <v>38</v>
      </c>
      <c r="D85" s="95"/>
      <c r="E85" s="96" t="s">
        <v>39</v>
      </c>
      <c r="F85" s="94" t="s">
        <v>40</v>
      </c>
      <c r="G85" s="97" t="s">
        <v>41</v>
      </c>
      <c r="H85" s="97" t="s">
        <v>42</v>
      </c>
      <c r="I85" s="97" t="s">
        <v>43</v>
      </c>
      <c r="J85" s="97" t="s">
        <v>12</v>
      </c>
      <c r="K85" s="97" t="s">
        <v>44</v>
      </c>
      <c r="L85" s="97" t="s">
        <v>14</v>
      </c>
      <c r="M85" s="97" t="s">
        <v>9</v>
      </c>
      <c r="N85" s="97" t="s">
        <v>10</v>
      </c>
      <c r="O85" s="97" t="s">
        <v>45</v>
      </c>
      <c r="P85" s="97" t="s">
        <v>5</v>
      </c>
      <c r="Q85" s="97" t="s">
        <v>46</v>
      </c>
      <c r="R85" s="97" t="s">
        <v>47</v>
      </c>
      <c r="S85" s="97" t="s">
        <v>48</v>
      </c>
      <c r="T85" s="97" t="s">
        <v>0</v>
      </c>
      <c r="U85" s="96" t="s">
        <v>49</v>
      </c>
      <c r="V85" s="96" t="s">
        <v>50</v>
      </c>
      <c r="W85" s="98"/>
    </row>
    <row r="86" ht="13.5" customHeight="1">
      <c r="A86" s="166" t="s">
        <v>34</v>
      </c>
      <c r="B86" s="167"/>
      <c r="C86" s="167"/>
      <c r="D86" s="166" t="s">
        <v>52</v>
      </c>
      <c r="E86" s="166" t="s">
        <v>58</v>
      </c>
      <c r="F86" s="166" t="s">
        <v>34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ref="U86:U102" si="10">IFERROR(I86/H86,0)</f>
        <v>0</v>
      </c>
      <c r="V86" s="104">
        <f t="shared" ref="V86:V102" si="11">IFERROR(SUM(H86+L86)/G86,0)</f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59</v>
      </c>
      <c r="F87" s="168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58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77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62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8" t="s">
        <v>34</v>
      </c>
      <c r="B91" s="167"/>
      <c r="C91" s="167"/>
      <c r="D91" s="167"/>
      <c r="E91" s="168" t="s">
        <v>58</v>
      </c>
      <c r="F91" s="168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9" t="s">
        <v>34</v>
      </c>
      <c r="B96" s="170"/>
      <c r="C96" s="169"/>
      <c r="D96" s="170"/>
      <c r="E96" s="169"/>
      <c r="F96" s="169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1" t="s">
        <v>34</v>
      </c>
      <c r="B97" s="172"/>
      <c r="C97" s="171" t="s">
        <v>116</v>
      </c>
      <c r="D97" s="173" t="s">
        <v>52</v>
      </c>
      <c r="E97" s="171" t="s">
        <v>104</v>
      </c>
      <c r="F97" s="171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116</v>
      </c>
      <c r="D98" s="175"/>
      <c r="E98" s="174" t="s">
        <v>117</v>
      </c>
      <c r="F98" s="17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116</v>
      </c>
      <c r="D99" s="175"/>
      <c r="E99" s="174" t="s">
        <v>119</v>
      </c>
      <c r="F99" s="174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74" t="s">
        <v>34</v>
      </c>
      <c r="B100" s="175"/>
      <c r="C100" s="174" t="s">
        <v>116</v>
      </c>
      <c r="D100" s="175"/>
      <c r="E100" s="174"/>
      <c r="F100" s="174" t="s">
        <v>118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6" t="s">
        <v>34</v>
      </c>
      <c r="B101" s="176"/>
      <c r="C101" s="166" t="s">
        <v>121</v>
      </c>
      <c r="D101" s="166" t="s">
        <v>52</v>
      </c>
      <c r="E101" s="166" t="s">
        <v>122</v>
      </c>
      <c r="F101" s="166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9" t="s">
        <v>34</v>
      </c>
      <c r="B102" s="170"/>
      <c r="C102" s="169" t="s">
        <v>121</v>
      </c>
      <c r="D102" s="170"/>
      <c r="E102" s="169"/>
      <c r="F102" s="169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20.25" customHeight="1">
      <c r="A103" s="93" t="s">
        <v>36</v>
      </c>
      <c r="B103" s="94" t="s">
        <v>37</v>
      </c>
      <c r="C103" s="94" t="s">
        <v>38</v>
      </c>
      <c r="D103" s="95"/>
      <c r="E103" s="96" t="s">
        <v>39</v>
      </c>
      <c r="F103" s="94" t="s">
        <v>40</v>
      </c>
      <c r="G103" s="97" t="s">
        <v>41</v>
      </c>
      <c r="H103" s="97" t="s">
        <v>42</v>
      </c>
      <c r="I103" s="97" t="s">
        <v>43</v>
      </c>
      <c r="J103" s="97" t="s">
        <v>12</v>
      </c>
      <c r="K103" s="97" t="s">
        <v>44</v>
      </c>
      <c r="L103" s="97" t="s">
        <v>14</v>
      </c>
      <c r="M103" s="97" t="s">
        <v>9</v>
      </c>
      <c r="N103" s="97" t="s">
        <v>10</v>
      </c>
      <c r="O103" s="97" t="s">
        <v>45</v>
      </c>
      <c r="P103" s="97" t="s">
        <v>5</v>
      </c>
      <c r="Q103" s="97" t="s">
        <v>46</v>
      </c>
      <c r="R103" s="97" t="s">
        <v>47</v>
      </c>
      <c r="S103" s="97" t="s">
        <v>48</v>
      </c>
      <c r="T103" s="97" t="s">
        <v>0</v>
      </c>
      <c r="U103" s="96" t="s">
        <v>49</v>
      </c>
      <c r="V103" s="96" t="s">
        <v>50</v>
      </c>
      <c r="W103" s="98"/>
    </row>
    <row r="104" ht="20.25" customHeight="1">
      <c r="A104" s="111" t="s">
        <v>35</v>
      </c>
      <c r="B104" s="160"/>
      <c r="C104" s="111"/>
      <c r="D104" s="111" t="s">
        <v>52</v>
      </c>
      <c r="E104" s="111" t="s">
        <v>59</v>
      </c>
      <c r="F104" s="111" t="s">
        <v>35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ref="U104:U105" si="12">IFERROR(I104/H104,0)</f>
        <v>0</v>
      </c>
      <c r="V104" s="145">
        <f t="shared" ref="V104:V105" si="13">IFERROR(SUM(H104+L104)/G104,0)</f>
        <v>0</v>
      </c>
      <c r="W104" s="146"/>
    </row>
    <row r="105" ht="20.25" customHeight="1">
      <c r="A105" s="117" t="s">
        <v>35</v>
      </c>
      <c r="B105" s="136"/>
      <c r="C105" s="117" t="s">
        <v>124</v>
      </c>
      <c r="D105" s="117" t="s">
        <v>52</v>
      </c>
      <c r="E105" s="117"/>
      <c r="F105" s="117" t="s">
        <v>124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5">
        <f t="shared" si="12"/>
        <v>0</v>
      </c>
      <c r="V105" s="145">
        <f t="shared" si="13"/>
        <v>0</v>
      </c>
      <c r="W105" s="146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77"/>
      <c r="B619" s="177"/>
      <c r="C619" s="177"/>
      <c r="D619" s="1"/>
      <c r="E619" s="177"/>
      <c r="F619" s="178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80"/>
      <c r="V619" s="180"/>
      <c r="W619" s="180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9" t="s">
        <v>125</v>
      </c>
      <c r="B1" s="189" t="s">
        <v>126</v>
      </c>
      <c r="C1" s="189" t="s">
        <v>36</v>
      </c>
      <c r="D1" s="189" t="s">
        <v>127</v>
      </c>
      <c r="E1" s="189" t="s">
        <v>0</v>
      </c>
      <c r="F1" s="189" t="s">
        <v>128</v>
      </c>
      <c r="G1" s="189" t="s">
        <v>129</v>
      </c>
      <c r="H1" s="189" t="s">
        <v>130</v>
      </c>
      <c r="I1" s="189" t="s">
        <v>131</v>
      </c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</row>
    <row r="2">
      <c r="A2" s="191" t="s">
        <v>132</v>
      </c>
      <c r="B2" s="191" t="s">
        <v>133</v>
      </c>
      <c r="C2" s="191" t="s">
        <v>134</v>
      </c>
      <c r="D2" s="192">
        <v>46074.0</v>
      </c>
      <c r="E2" s="191">
        <v>1569.24</v>
      </c>
      <c r="F2" s="191" t="s">
        <v>135</v>
      </c>
      <c r="G2" s="191" t="s">
        <v>136</v>
      </c>
      <c r="H2" s="191" t="s">
        <v>137</v>
      </c>
      <c r="I2" s="191" t="s">
        <v>117</v>
      </c>
    </row>
    <row r="3">
      <c r="A3" s="191" t="s">
        <v>138</v>
      </c>
      <c r="B3" s="191" t="s">
        <v>133</v>
      </c>
      <c r="C3" s="191" t="s">
        <v>134</v>
      </c>
      <c r="D3" s="192">
        <v>46077.0</v>
      </c>
      <c r="E3" s="191">
        <v>1416.0</v>
      </c>
      <c r="F3" s="191" t="s">
        <v>135</v>
      </c>
      <c r="G3" s="191" t="s">
        <v>139</v>
      </c>
      <c r="H3" s="191" t="s">
        <v>140</v>
      </c>
      <c r="I3" s="191" t="s">
        <v>117</v>
      </c>
    </row>
    <row r="4">
      <c r="A4" s="191" t="s">
        <v>141</v>
      </c>
      <c r="B4" s="191" t="s">
        <v>142</v>
      </c>
      <c r="C4" s="191" t="s">
        <v>134</v>
      </c>
      <c r="D4" s="192">
        <v>46078.0</v>
      </c>
      <c r="E4" s="191">
        <v>1437.0</v>
      </c>
      <c r="F4" s="191" t="s">
        <v>135</v>
      </c>
      <c r="G4" s="191" t="s">
        <v>136</v>
      </c>
      <c r="H4" s="191" t="s">
        <v>143</v>
      </c>
      <c r="I4" s="191" t="s">
        <v>117</v>
      </c>
    </row>
  </sheetData>
  <drawing r:id="rId1"/>
</worksheet>
</file>