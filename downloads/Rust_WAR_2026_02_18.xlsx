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<sst xmlns="http://schemas.openxmlformats.org/spreadsheetml/2006/main" count="3360" uniqueCount="111">
  <si>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</si>
  <si>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</si>
  <si>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</si>
  <si>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</si>
  <si>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</si>
  <si>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</si>
  <si>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</si>
  <si>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</si>
  <si>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</si>
  <si>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</si>
  <si>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</si>
  <si>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</si>
  <si>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</si>
  <si>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</si>
  <si>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</si>
  <si>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</si>
  <si>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</si>
  <si>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</si>
  <si>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</si>
  <si>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</si>
  <si>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</si>
  <si>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</si>
  <si>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</si>
  <si>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</si>
  <si>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</si>
  <si>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</si>
  <si>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</si>
  <si>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</si>
  <si>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</si>
  <si>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</si>
  <si>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</si>
  <si>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</si>
  <si>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</si>
  <si>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</si>
  <si>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</si>
  <si>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</si>
  <si>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</si>
  <si>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</si>
  <si>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</si>
  <si>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</si>
  <si>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</si>
  <si>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</si>
  <si>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</si>
  <si>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</si>
  <si>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</si>
  <si>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</si>
  <si>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</si>
  <si>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</si>
  <si>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</si>
  <si>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</si>
  <si>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</si>
  <si>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Andrea Mulder</t>
  </si>
  <si>
    <t>Bridgett McDaniels Russell</t>
  </si>
  <si>
    <t>Jasmine Marquez</t>
  </si>
  <si>
    <t>Ashley Varner-Warren</t>
  </si>
  <si>
    <t>Kristen Walton</t>
  </si>
  <si>
    <t>Sara Subo</t>
  </si>
  <si>
    <t>Thomas Kirk</t>
  </si>
  <si>
    <t>Isabela Maneiro</t>
  </si>
  <si>
    <t>Marie Miller</t>
  </si>
  <si>
    <t>Ryan Cummings</t>
  </si>
  <si>
    <t>Charlie Hudson</t>
  </si>
  <si>
    <t>Bayle Kizer</t>
  </si>
  <si>
    <t>Dominic Campos</t>
  </si>
  <si>
    <t>Janice Elgedawy</t>
  </si>
  <si>
    <t>Garland Simrel</t>
  </si>
  <si>
    <t xml:space="preserve">Sherita Thompson </t>
  </si>
  <si>
    <t xml:space="preserve">Kay Finch </t>
  </si>
  <si>
    <t>Courtney Morse</t>
  </si>
  <si>
    <t>Shayla Williamson</t>
  </si>
  <si>
    <t>Jared Kelly</t>
  </si>
  <si>
    <t>Martin Austin</t>
  </si>
  <si>
    <t>Ryan Hakes</t>
  </si>
  <si>
    <t>Maria Farley</t>
  </si>
  <si>
    <t>Mariah Ruff</t>
  </si>
  <si>
    <t>Dontae Reeves</t>
  </si>
  <si>
    <t>Lisa Berry</t>
  </si>
  <si>
    <t>Abdur-Rahmaan Yaseen</t>
  </si>
  <si>
    <t>Anthony Golino</t>
  </si>
  <si>
    <t>Christian Nichles</t>
  </si>
  <si>
    <t>Cameron Platt</t>
  </si>
  <si>
    <t>Taylor Waldrip</t>
  </si>
  <si>
    <t>Jeton Ajvazi</t>
  </si>
  <si>
    <t>Bryson Brewer</t>
  </si>
  <si>
    <t>Myles Brantley</t>
  </si>
  <si>
    <t>Olivia Ruble</t>
  </si>
  <si>
    <t>Jaedeen Perez</t>
  </si>
  <si>
    <t>Anya White</t>
  </si>
  <si>
    <t>Deandre Barber</t>
  </si>
  <si>
    <t>Juan Miller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</si>
  <si>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</si>
  <si>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</si>
  <si>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</si>
  <si>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</si>
  <si>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</si>
  <si>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</si>
  <si>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</si>
  <si>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JEFFERY TROUTNER</t>
  </si>
  <si>
    <t>COURTNEY MORSE</t>
  </si>
  <si>
    <t>VANNAUSTIN</t>
  </si>
  <si>
    <t>N/A</t>
  </si>
  <si>
    <t>YES</t>
  </si>
  <si>
    <t xml:space="preserve">REDUCING </t>
  </si>
  <si>
    <t>FL</t>
  </si>
  <si>
    <t>CHLOE COSTELLO</t>
  </si>
  <si>
    <t>-</t>
  </si>
  <si>
    <t>CANCEL PER AGENT NOTE.</t>
  </si>
  <si>
    <t>THEODORE BROWN</t>
  </si>
  <si>
    <t>MARIA VELASQUEZ</t>
  </si>
  <si>
    <t>RUST</t>
  </si>
  <si>
    <t>REWRITING TO DRAFT LATER IN MARCH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</si>
</sst>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4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5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7" fillId="0" fontId="9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0" fontId="9" numFmtId="0" xfId="0" applyAlignment="1" applyBorder="1" applyFont="1">
      <alignment shrinkToFit="0" vertical="bottom" wrapText="1"/>
    </xf>
    <xf borderId="15" fillId="0" fontId="10" numFmtId="0" xfId="0" applyAlignment="1" applyBorder="1" applyFont="1">
      <alignment vertical="bottom"/>
    </xf>
    <xf borderId="15" fillId="0" fontId="11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15" fillId="6" fontId="3" numFmtId="9" xfId="0" applyAlignment="1" applyBorder="1" applyFont="1" applyNumberFormat="1">
      <alignment horizontal="right" readingOrder="0" vertical="center"/>
    </xf>
    <xf borderId="7" fillId="5" fontId="3" numFmtId="3" xfId="0" applyAlignment="1" applyBorder="1" applyFont="1" applyNumberFormat="1">
      <alignment horizontal="right" vertical="center"/>
    </xf>
    <xf borderId="7" fillId="5" fontId="1" numFmtId="3" xfId="0" applyAlignment="1" applyBorder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0" fillId="2" fontId="12" numFmtId="0" xfId="0" applyAlignment="1" applyFont="1">
      <alignment horizontal="center" readingOrder="0" vertical="center"/>
    </xf>
    <xf borderId="0" fillId="2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165" xfId="0" applyAlignment="1" applyFont="1" applyNumberFormat="1">
      <alignment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5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2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3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39062.6</v>
      </c>
      <c r="D2" s="10"/>
      <c r="E2" s="9">
        <f t="shared" ref="E2:R2" si="1">SUM(E5,E14,E17)</f>
        <v>16556</v>
      </c>
      <c r="F2" s="9">
        <f t="shared" si="1"/>
        <v>214</v>
      </c>
      <c r="G2" s="9">
        <f t="shared" si="1"/>
        <v>102</v>
      </c>
      <c r="H2" s="9">
        <f t="shared" si="1"/>
        <v>28</v>
      </c>
      <c r="I2" s="9">
        <f t="shared" si="1"/>
        <v>6</v>
      </c>
      <c r="J2" s="9">
        <f t="shared" si="1"/>
        <v>3</v>
      </c>
      <c r="K2" s="9">
        <f t="shared" si="1"/>
        <v>48</v>
      </c>
      <c r="L2" s="9">
        <f t="shared" si="1"/>
        <v>9</v>
      </c>
      <c r="M2" s="9">
        <f t="shared" si="1"/>
        <v>258</v>
      </c>
      <c r="N2" s="9">
        <f t="shared" si="1"/>
        <v>47</v>
      </c>
      <c r="O2" s="9">
        <f t="shared" si="1"/>
        <v>11</v>
      </c>
      <c r="P2" s="9">
        <f t="shared" si="1"/>
        <v>48</v>
      </c>
      <c r="Q2" s="9">
        <f t="shared" si="1"/>
        <v>11</v>
      </c>
      <c r="R2" s="9">
        <f t="shared" si="1"/>
        <v>24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1395.092857</v>
      </c>
      <c r="F4" s="23">
        <f>IFERROR((G2+R2)/F2,0)</f>
        <v>0.5887850467</v>
      </c>
      <c r="G4" s="23">
        <f>IFERROR(H2/G2,0)</f>
        <v>0.2745098039</v>
      </c>
      <c r="H4" s="22">
        <f>(C2/C4)</f>
        <v>831.1191489</v>
      </c>
      <c r="I4" s="24"/>
      <c r="J4" s="23">
        <f>IFERROR(J2/I2,0)</f>
        <v>0.5</v>
      </c>
      <c r="K4" s="24"/>
      <c r="L4" s="23">
        <f>IFERROR(L2/K2,0)</f>
        <v>0.1875</v>
      </c>
      <c r="M4" s="25">
        <f>IFERROR(M2/G2,0)</f>
        <v>2.529411765</v>
      </c>
      <c r="N4" s="24"/>
      <c r="O4" s="23">
        <f>IFERROR(O2/N2,0)</f>
        <v>0.2340425532</v>
      </c>
      <c r="P4" s="26"/>
      <c r="Q4" s="23">
        <f>IFERROR(Q2/P2,0)</f>
        <v>0.2291666667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17008.6</v>
      </c>
      <c r="D5" s="31"/>
      <c r="E5" s="32">
        <f>SUMIFS(T:T,A:A,B5,D:D,"Y")</f>
        <v>6502</v>
      </c>
      <c r="F5" s="33">
        <f>SUMIF(A:A,B5,G:G)</f>
        <v>56</v>
      </c>
      <c r="G5" s="33">
        <f>SUMIF(A:A,B5,H:H)</f>
        <v>28</v>
      </c>
      <c r="H5" s="33">
        <f>SUMIF(A:A,B5,I:I)</f>
        <v>10</v>
      </c>
      <c r="I5" s="33">
        <f>SUMIF(A:A,B5,P:P)</f>
        <v>0</v>
      </c>
      <c r="J5" s="33">
        <f>SUMIF(A:A,B5,Q:Q)</f>
        <v>0</v>
      </c>
      <c r="K5" s="33">
        <f>SUMIF(A:A,B5,R:R)</f>
        <v>17</v>
      </c>
      <c r="L5" s="33">
        <f>SUMIF(A:A,B5,S:S)</f>
        <v>4</v>
      </c>
      <c r="M5" s="33">
        <f>SUMIF(A:A,B5,M:M)</f>
        <v>72</v>
      </c>
      <c r="N5" s="33">
        <f>SUMIF(A:A,B5,N:N)</f>
        <v>6</v>
      </c>
      <c r="O5" s="33">
        <f>SUMIF(A:A,B5,O:O)</f>
        <v>3</v>
      </c>
      <c r="P5" s="33">
        <f>SUMIF(A:A,B5,J:J)</f>
        <v>7</v>
      </c>
      <c r="Q5" s="33">
        <f>SUMIF(A:A,B5,K:K)</f>
        <v>2</v>
      </c>
      <c r="R5" s="34">
        <f>SUMIF(A:A,B5,L:L)</f>
        <v>8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1700.86</v>
      </c>
      <c r="F7" s="41">
        <f>IFERROR((G5+R5)/F5,0)</f>
        <v>0.6428571429</v>
      </c>
      <c r="G7" s="41">
        <f>IFERROR(H5/G5,0)</f>
        <v>0.3571428571</v>
      </c>
      <c r="H7" s="40">
        <f>(C5/C7)</f>
        <v>809.9333333</v>
      </c>
      <c r="I7" s="42"/>
      <c r="J7" s="41">
        <f>IFERROR(J5/I5,0)</f>
        <v>0</v>
      </c>
      <c r="K7" s="42"/>
      <c r="L7" s="41">
        <f>IFERROR(L5/K5,0)</f>
        <v>0.2352941176</v>
      </c>
      <c r="M7" s="43">
        <f>IFERROR(M5/SUM(R5+G5,0),"")</f>
        <v>2</v>
      </c>
      <c r="N7" s="42"/>
      <c r="O7" s="41">
        <f>IFERROR(O5/N5,0)</f>
        <v>0.5</v>
      </c>
      <c r="P7" s="43"/>
      <c r="Q7" s="41">
        <f>IFERROR(Q5/P5,0)</f>
        <v>0.2857142857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SUMIF(B40:B1068,B8,G40:G1068)</f>
        <v>0</v>
      </c>
      <c r="G8" s="46">
        <f>SUMIF(B40:B1068,B8,H40:H1068)</f>
        <v>0</v>
      </c>
      <c r="H8" s="46">
        <f>SUMIF(B40:B1068,B8,I40:I1068)</f>
        <v>0</v>
      </c>
      <c r="I8" s="46">
        <f>SUMIF(B40:B1068,B8,P40:P1068)</f>
        <v>0</v>
      </c>
      <c r="J8" s="46">
        <f>SUMIF(B40:B1068,B8,Q40:Q1068)</f>
        <v>0</v>
      </c>
      <c r="K8" s="46">
        <f>SUMIF(B40:B1068,B8,R40:R1068)</f>
        <v>0</v>
      </c>
      <c r="L8" s="46">
        <f>SUMIF(B40:B1068,B8,S40:S1068)</f>
        <v>0</v>
      </c>
      <c r="M8" s="46">
        <f>SUMIF(B40:B1068,B8,M40:M1068)</f>
        <v>0</v>
      </c>
      <c r="N8" s="46">
        <f>SUMIF(B40:B1068,B8,N40:N1068)</f>
        <v>0</v>
      </c>
      <c r="O8" s="46">
        <f>SUMIF(B40:B1068,B8,O40:O1068)</f>
        <v>0</v>
      </c>
      <c r="P8" s="46">
        <f>SUMIF(B40:B1068,B8,J40:J1068)</f>
        <v>0</v>
      </c>
      <c r="Q8" s="46">
        <f>SUMIF(B40:B1068,B8,K40:K1068)</f>
        <v>0</v>
      </c>
      <c r="R8" s="50">
        <f>SUMIF(B40:B1068,B8,L40:L1068)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COUNTIFS(B28:B1068,B8)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13312</v>
      </c>
      <c r="D11" s="47"/>
      <c r="E11" s="48">
        <f>SUMIFS(T:T,B:B,B11,D:D,"Y")</f>
        <v>6502</v>
      </c>
      <c r="F11" s="49">
        <f t="shared" ref="F11:R11" si="2">SUMIF(B28:B1068,B11,G28:G1068)</f>
        <v>34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10</v>
      </c>
      <c r="N11" s="49">
        <f t="shared" si="2"/>
        <v>4</v>
      </c>
      <c r="O11" s="49">
        <f t="shared" si="2"/>
        <v>6</v>
      </c>
      <c r="P11" s="49">
        <f t="shared" si="2"/>
        <v>0</v>
      </c>
      <c r="Q11" s="49">
        <f t="shared" si="2"/>
        <v>6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COUNTIFS(B27:B1068,B11)</f>
        <v>13</v>
      </c>
      <c r="D13" s="52"/>
      <c r="E13" s="22">
        <f>IFERROR(C11/H11,0)</f>
        <v>0</v>
      </c>
      <c r="F13" s="23">
        <f>IFERROR((G11+R11)/F11,0)</f>
        <v>0.02941176471</v>
      </c>
      <c r="G13" s="23">
        <f>IFERROR(H11/G11,0)</f>
        <v>0</v>
      </c>
      <c r="H13" s="22">
        <f>(C11/C13)</f>
        <v>1024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10</v>
      </c>
      <c r="N13" s="24"/>
      <c r="O13" s="23">
        <f>IFERROR(O11/N11,0)</f>
        <v>1.5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4713</v>
      </c>
      <c r="D14" s="31"/>
      <c r="E14" s="53">
        <f>SUMIFS(T:T,A:A,B14,D:D,"Y")</f>
        <v>3205</v>
      </c>
      <c r="F14" s="9">
        <f>SUMIF(A:A,B14,G:G)</f>
        <v>18</v>
      </c>
      <c r="G14" s="33">
        <f>SUMIF(A:A,B14,H:H)</f>
        <v>12</v>
      </c>
      <c r="H14" s="33">
        <f>SUMIF(A:A,B14,I:I)</f>
        <v>4</v>
      </c>
      <c r="I14" s="33">
        <f>SUMIF(A:A,B14,P:P)</f>
        <v>0</v>
      </c>
      <c r="J14" s="33">
        <f>SUMIF(A:A,B14,Q:Q)</f>
        <v>0</v>
      </c>
      <c r="K14" s="33">
        <f>SUMIF(A:A,B14,R:R)</f>
        <v>3</v>
      </c>
      <c r="L14" s="33">
        <f>SUMIF(A:A,B14,S:S)</f>
        <v>1</v>
      </c>
      <c r="M14" s="33">
        <f>SUMIF(A:A,B14,M:M)</f>
        <v>15</v>
      </c>
      <c r="N14" s="33">
        <f>SUMIF(A:A,B14,N:N)</f>
        <v>3</v>
      </c>
      <c r="O14" s="33">
        <f>SUMIF(A:A,B14,O:O)</f>
        <v>2</v>
      </c>
      <c r="P14" s="33">
        <f>SUMIF(A:A,B14,J:J)</f>
        <v>2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1178.25</v>
      </c>
      <c r="F16" s="23">
        <f>IFERROR((G14+R14)/F14,0)</f>
        <v>0.7222222222</v>
      </c>
      <c r="G16" s="23">
        <f>IFERROR(H14/G14,0)</f>
        <v>0.3333333333</v>
      </c>
      <c r="H16" s="22">
        <f>(C14/C16)</f>
        <v>1178.25</v>
      </c>
      <c r="I16" s="24"/>
      <c r="J16" s="23">
        <f>IFERROR(J14/I14,0)</f>
        <v>0</v>
      </c>
      <c r="K16" s="24"/>
      <c r="L16" s="23">
        <f>IFERROR(L14/K14,0)</f>
        <v>0.3333333333</v>
      </c>
      <c r="M16" s="26">
        <f>IFERROR(M14/SUM(R14+G14,0),"")</f>
        <v>1.153846154</v>
      </c>
      <c r="N16" s="24"/>
      <c r="O16" s="23">
        <f>IFERROR(O14/N14,0)</f>
        <v>0.6666666667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17341</v>
      </c>
      <c r="D17" s="31"/>
      <c r="E17" s="53">
        <f>SUMIFS(T:T,A:A,B17,D:D,"Y")</f>
        <v>6849</v>
      </c>
      <c r="F17" s="9">
        <f>SUMIF(A:A,B17,G:G)</f>
        <v>140</v>
      </c>
      <c r="G17" s="33">
        <f>SUMIF(A:A,B17,H:H)</f>
        <v>62</v>
      </c>
      <c r="H17" s="33">
        <f>SUMIF(A:A,B17,I:I)</f>
        <v>14</v>
      </c>
      <c r="I17" s="33">
        <f>SUMIF(A:A,B17,P:P)</f>
        <v>6</v>
      </c>
      <c r="J17" s="33">
        <f>SUMIF(A:A,B17,Q:Q)</f>
        <v>3</v>
      </c>
      <c r="K17" s="33">
        <f>SUMIF(A:A,B17,R:R)</f>
        <v>28</v>
      </c>
      <c r="L17" s="33">
        <f>SUMIF(A:A,B17,S:S)</f>
        <v>4</v>
      </c>
      <c r="M17" s="33">
        <f>SUMIF(A:A,B17,M:M)</f>
        <v>171</v>
      </c>
      <c r="N17" s="33">
        <f>SUMIF(A:A,B17,N:N)</f>
        <v>38</v>
      </c>
      <c r="O17" s="33">
        <f>SUMIF(A:A,B17,O:O)</f>
        <v>6</v>
      </c>
      <c r="P17" s="33">
        <f>SUMIF(A:A,B17,J:J)</f>
        <v>39</v>
      </c>
      <c r="Q17" s="33">
        <f>SUMIF(A:A,B17,K:K)</f>
        <v>9</v>
      </c>
      <c r="R17" s="34">
        <f>SUMIF(A:A,B17,L:L)</f>
        <v>15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1238.642857</v>
      </c>
      <c r="F19" s="41">
        <f>IFERROR((G17+R17)/F17,0)</f>
        <v>0.55</v>
      </c>
      <c r="G19" s="41">
        <f>IFERROR(H17/G17,0)</f>
        <v>0.2258064516</v>
      </c>
      <c r="H19" s="40">
        <f>(C17/C19)</f>
        <v>788.2272727</v>
      </c>
      <c r="I19" s="42"/>
      <c r="J19" s="41">
        <f>IFERROR(J17/I17,0)</f>
        <v>0.5</v>
      </c>
      <c r="K19" s="42"/>
      <c r="L19" s="41">
        <f>IFERROR(L17/K17,0)</f>
        <v>0.1428571429</v>
      </c>
      <c r="M19" s="54">
        <f>IFERROR(M17/SUM(G17+R17,0),"")</f>
        <v>2.220779221</v>
      </c>
      <c r="N19" s="42"/>
      <c r="O19" s="41">
        <f>IFERROR(O17/N17,0)</f>
        <v>0.1578947368</v>
      </c>
      <c r="P19" s="43"/>
      <c r="Q19" s="41">
        <f>IFERROR(Q17/P17,0)</f>
        <v>0.2307692308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8310</v>
      </c>
      <c r="D20" s="55"/>
      <c r="E20" s="48">
        <f>SUMIFS(T:T,B:B,B20,D:D,"Y")</f>
        <v>4973</v>
      </c>
      <c r="F20" s="49">
        <f>SUMIF(B49:B1068,B20,G49:G1068)</f>
        <v>92</v>
      </c>
      <c r="G20" s="46">
        <f>SUMIF(B49:B1068,B20,H49:H1068)</f>
        <v>41</v>
      </c>
      <c r="H20" s="46">
        <f>SUMIF(B49:B1068,B20,I49:I1068)</f>
        <v>8</v>
      </c>
      <c r="I20" s="46">
        <f>SUMIF(B49:B1068,B20,P49:P1068)</f>
        <v>0</v>
      </c>
      <c r="J20" s="46">
        <f>SUMIF(B49:B1068,B20,Q49:Q1068)</f>
        <v>0</v>
      </c>
      <c r="K20" s="46">
        <f>SUMIF(B49:B1068,B20,R49:R1068)</f>
        <v>24</v>
      </c>
      <c r="L20" s="46">
        <f>SUMIF(B49:B1068,B20,S49:S1068)</f>
        <v>3</v>
      </c>
      <c r="M20" s="46">
        <f>SUMIF(B49:B1068,B20,M49:M1068)</f>
        <v>130</v>
      </c>
      <c r="N20" s="46">
        <f>SUMIF(B49:B1068,B20,N49:N1068)</f>
        <v>25</v>
      </c>
      <c r="O20" s="46">
        <f>SUMIF(B49:B1068,B20,O49:O1068)</f>
        <v>4</v>
      </c>
      <c r="P20" s="46">
        <f>SUMIF(B49:B1068,B20,J49:J1068)</f>
        <v>25</v>
      </c>
      <c r="Q20" s="46">
        <f>SUMIF(B49:B1068,B20,K49:K1068)</f>
        <v>6</v>
      </c>
      <c r="R20" s="50">
        <f>SUMIF(B49:B1068,B20,L49:L1068)</f>
        <v>11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COUNTIFS(B28:B1068,B20)</f>
        <v>12</v>
      </c>
      <c r="D22" s="39"/>
      <c r="E22" s="40">
        <f>IFERROR(C20/H20,0)</f>
        <v>1038.75</v>
      </c>
      <c r="F22" s="41">
        <f>IFERROR((G20+R20)/F20,0)</f>
        <v>0.5652173913</v>
      </c>
      <c r="G22" s="41">
        <f>IFERROR(H20/G20,0)</f>
        <v>0.1951219512</v>
      </c>
      <c r="H22" s="40">
        <f>(C20/C22)</f>
        <v>692.5</v>
      </c>
      <c r="I22" s="42"/>
      <c r="J22" s="41">
        <f>IFERROR(J20/I20,0)</f>
        <v>0</v>
      </c>
      <c r="K22" s="42"/>
      <c r="L22" s="41">
        <f>IFERROR(L20/K20,0)</f>
        <v>0.125</v>
      </c>
      <c r="M22" s="43">
        <f>IFERROR(M20/SUM(G20+R20,0),"")</f>
        <v>2.5</v>
      </c>
      <c r="N22" s="42"/>
      <c r="O22" s="41">
        <f>IFERROR(O20/N20,0)</f>
        <v>0.16</v>
      </c>
      <c r="P22" s="43"/>
      <c r="Q22" s="41">
        <f>IFERROR(Q20/P20,0)</f>
        <v>0.24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3228</v>
      </c>
      <c r="D23" s="55"/>
      <c r="E23" s="48">
        <f>SUMIFS(T:T,B:B,B23,D:D,"Y")</f>
        <v>0</v>
      </c>
      <c r="F23" s="49">
        <f>SUMIF(B52:B1068,B23,G52:G1068)</f>
        <v>14</v>
      </c>
      <c r="G23" s="46">
        <f>SUMIF(B52:B1068,B23,H52:H1068)</f>
        <v>8</v>
      </c>
      <c r="H23" s="46">
        <f>SUMIF(B52:B1068,B23,I52:I1068)</f>
        <v>2</v>
      </c>
      <c r="I23" s="46">
        <f>SUMIF(B52:B1068,B23,P52:P1068)</f>
        <v>0</v>
      </c>
      <c r="J23" s="46">
        <f>SUMIF(B52:B1068,B23,Q52:Q1068)</f>
        <v>0</v>
      </c>
      <c r="K23" s="46">
        <f>SUMIF(B52:B1068,B23,R52:R1068)</f>
        <v>3</v>
      </c>
      <c r="L23" s="46">
        <f>SUMIF(B52:B1068,B23,S52:S1068)</f>
        <v>1</v>
      </c>
      <c r="M23" s="46">
        <f>SUMIF(B52:B1068,B23,M52:M1068)</f>
        <v>32</v>
      </c>
      <c r="N23" s="46">
        <f>SUMIF(B52:B1068,B23,N52:N1068)</f>
        <v>7</v>
      </c>
      <c r="O23" s="46">
        <f>SUMIF(B52:B1068,B23,O52:O1068)</f>
        <v>1</v>
      </c>
      <c r="P23" s="46">
        <f>SUMIF(B52:B1068,B23,J52:J1068)</f>
        <v>9</v>
      </c>
      <c r="Q23" s="46">
        <f>SUMIF(B52:B1068,B23,K52:K1068)</f>
        <v>2</v>
      </c>
      <c r="R23" s="50">
        <f>SUMIF(B52:B1068,B23,L52:L1068)</f>
        <v>2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COUNTIFS(B33:B1068,B23)</f>
        <v>6</v>
      </c>
      <c r="D25" s="39"/>
      <c r="E25" s="40">
        <f>IFERROR(C23/H23,0)</f>
        <v>1614</v>
      </c>
      <c r="F25" s="41">
        <f>IFERROR((G23+R23)/F23,0)</f>
        <v>0.7142857143</v>
      </c>
      <c r="G25" s="41">
        <f>IFERROR(H23/G23,0)</f>
        <v>0.25</v>
      </c>
      <c r="H25" s="40">
        <f>(C23/C25)</f>
        <v>538</v>
      </c>
      <c r="I25" s="42"/>
      <c r="J25" s="41">
        <f>IFERROR(J23/I23,0)</f>
        <v>0</v>
      </c>
      <c r="K25" s="42"/>
      <c r="L25" s="41">
        <f>IFERROR(L23/K23,0)</f>
        <v>0.3333333333</v>
      </c>
      <c r="M25" s="43">
        <f>IFERROR(M23/SUM(G23+R23,0),"")</f>
        <v>3.2</v>
      </c>
      <c r="N25" s="42"/>
      <c r="O25" s="41">
        <f>IFERROR(O23/N23,0)</f>
        <v>0.1428571429</v>
      </c>
      <c r="P25" s="43"/>
      <c r="Q25" s="41">
        <f>IFERROR(Q23/P23,0)</f>
        <v>0.2222222222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6</v>
      </c>
      <c r="H29" s="70">
        <f>('Thurs (2)'!H29+Thurs!H29+'Tues '!H29+Wed!H29+Fri!H29+'Mon '!H29+'Wed (2)'!H29+Sun!H29+Sat!H29)</f>
        <v>4</v>
      </c>
      <c r="I29" s="70">
        <f>('Thurs (2)'!I29+Thurs!I29+'Tues '!I29+Wed!I29+Fri!I29+'Mon '!I29+'Wed (2)'!I29+Sun!I29+Sat!I29)</f>
        <v>1</v>
      </c>
      <c r="J29" s="70">
        <f>('Thurs (2)'!J29+Thurs!J29+'Tues '!J29+Wed!J29+Fri!J29+'Mon '!J29+'Wed (2)'!J29+Sun!J29+Sat!J29)</f>
        <v>0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0</v>
      </c>
      <c r="M29" s="70">
        <f>('Thurs (2)'!M29+Thurs!M29+'Tues '!M29+Wed!M29+Fri!M29+'Mon '!M29+'Wed (2)'!M29+Sun!M29+Sat!M29)</f>
        <v>6</v>
      </c>
      <c r="N29" s="70">
        <f>('Thurs (2)'!N29+Thurs!N29+'Tues '!N29+Wed!N29+Fri!N29+'Mon '!N29+'Wed (2)'!N29+Sun!N29+Sat!N29)</f>
        <v>2</v>
      </c>
      <c r="O29" s="70">
        <f>('Thurs (2)'!O29+Thurs!O29+'Tues '!O29+Wed!O29+Fri!O29+'Mon '!O29+'Wed (2)'!O29+Sun!O29+Sat!O29)</f>
        <v>1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1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1065</v>
      </c>
      <c r="U29" s="71">
        <f t="shared" si="3"/>
        <v>0.25</v>
      </c>
      <c r="V29" s="71">
        <f t="shared" si="4"/>
        <v>0.6666666667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>
        <f>('Thurs (2)'!G30+Thurs!G30+'Tues '!G30+Wed!G30+Fri!G30+'Mon '!G30+'Wed (2)'!G30+Sun!G30+Sat!G30)</f>
        <v>16</v>
      </c>
      <c r="H30" s="70">
        <f>('Thurs (2)'!H30+Thurs!H30+'Tues '!H30+Wed!H30+Fri!H30+'Mon '!H30+'Wed (2)'!H30+Sun!H30+Sat!H30)</f>
        <v>11</v>
      </c>
      <c r="I30" s="70">
        <f>('Thurs (2)'!I30+Thurs!I30+'Tues '!I30+Wed!I30+Fri!I30+'Mon '!I30+'Wed (2)'!I30+Sun!I30+Sat!I30)</f>
        <v>1</v>
      </c>
      <c r="J30" s="70">
        <f>('Thurs (2)'!J30+Thurs!J30+'Tues '!J30+Wed!J30+Fri!J30+'Mon '!J30+'Wed (2)'!J30+Sun!J30+Sat!J30)</f>
        <v>3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5</v>
      </c>
      <c r="M30" s="70">
        <f>('Thurs (2)'!M30+Thurs!M30+'Tues '!M30+Wed!M30+Fri!M30+'Mon '!M30+'Wed (2)'!M30+Sun!M30+Sat!M30)</f>
        <v>15</v>
      </c>
      <c r="N30" s="70">
        <f>('Thurs (2)'!N30+Thurs!N30+'Tues '!N30+Wed!N30+Fri!N30+'Mon '!N30+'Wed (2)'!N30+Sun!N30+Sat!N30)</f>
        <v>0</v>
      </c>
      <c r="O30" s="70">
        <f>('Thurs (2)'!O30+Thurs!O30+'Tues '!O30+Wed!O30+Fri!O30+'Mon '!O30+'Wed (2)'!O30+Sun!O30+Sat!O30)</f>
        <v>0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11</v>
      </c>
      <c r="S30" s="70">
        <f>('Thurs (2)'!S30+Thurs!S30+'Tues '!S30+Wed!S30+Fri!S30+'Mon '!S30+'Wed (2)'!S30+Sun!S30+Sat!S30)</f>
        <v>1</v>
      </c>
      <c r="T30" s="70">
        <f>('Thurs (2)'!T30+Thurs!T30+'Tues '!T30+Wed!T30+Fri!T30+'Mon '!T30+'Wed (2)'!T30+Sun!T30+Sat!T30)</f>
        <v>2631.6</v>
      </c>
      <c r="U30" s="71">
        <f t="shared" si="3"/>
        <v>0.09090909091</v>
      </c>
      <c r="V30" s="71">
        <f t="shared" si="4"/>
        <v>1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>
        <f>('Thurs (2)'!G31+Thurs!G31+'Tues '!G31+Wed!G31+Fri!G31+'Mon '!G31+'Wed (2)'!G31+Sun!G31+Sat!G31)</f>
        <v>4</v>
      </c>
      <c r="H31" s="70">
        <f>('Thurs (2)'!H31+Thurs!H31+'Tues '!H31+Wed!H31+Fri!H31+'Mon '!H31+'Wed (2)'!H31+Sun!H31+Sat!H31)</f>
        <v>1</v>
      </c>
      <c r="I31" s="70">
        <f>('Thurs (2)'!I31+Thurs!I31+'Tues '!I31+Wed!I31+Fri!I31+'Mon '!I31+'Wed (2)'!I31+Sun!I31+Sat!I31)</f>
        <v>0</v>
      </c>
      <c r="J31" s="70">
        <f>('Thurs (2)'!J31+Thurs!J31+'Tues '!J31+Wed!J31+Fri!J31+'Mon '!J31+'Wed (2)'!J31+Sun!J31+Sat!J31)</f>
        <v>1</v>
      </c>
      <c r="K31" s="70">
        <f>('Thurs (2)'!K31+Thurs!K31+'Tues '!K31+Wed!K31+Fri!K31+'Mon '!K31+'Wed (2)'!K31+Sun!K31+Sat!K31)</f>
        <v>0</v>
      </c>
      <c r="L31" s="70">
        <f>('Thurs (2)'!L31+Thurs!L31+'Tues '!L31+Wed!L31+Fri!L31+'Mon '!L31+'Wed (2)'!L31+Sun!L31+Sat!L31)</f>
        <v>1</v>
      </c>
      <c r="M31" s="70">
        <f>('Thurs (2)'!M31+Thurs!M31+'Tues '!M31+Wed!M31+Fri!M31+'Mon '!M31+'Wed (2)'!M31+Sun!M31+Sat!M31)</f>
        <v>10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1</v>
      </c>
      <c r="S31" s="70">
        <f>('Thurs (2)'!S31+Thurs!S31+'Tues '!S31+Wed!S31+Fri!S31+'Mon '!S31+'Wed (2)'!S31+Sun!S31+Sat!S31)</f>
        <v>0</v>
      </c>
      <c r="T31" s="70">
        <f>('Thurs (2)'!T31+Thurs!T31+'Tues '!T31+Wed!T31+Fri!T31+'Mon '!T31+'Wed (2)'!T31+Sun!T31+Sat!T31)</f>
        <v>0</v>
      </c>
      <c r="U31" s="71">
        <f t="shared" si="3"/>
        <v>0</v>
      </c>
      <c r="V31" s="71">
        <f t="shared" si="4"/>
        <v>0.5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1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531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>
        <f>('Thurs (2)'!G33+Thurs!G33+'Tues '!G33+Wed!G33+Fri!G33+'Mon '!G33+'Wed (2)'!G33+Sun!G33+Sat!G33)</f>
        <v>6</v>
      </c>
      <c r="H33" s="70">
        <f>('Thurs (2)'!H33+Thurs!H33+'Tues '!H33+Wed!H33+Fri!H33+'Mon '!H33+'Wed (2)'!H33+Sun!H33+Sat!H33)</f>
        <v>4</v>
      </c>
      <c r="I33" s="70">
        <f>('Thurs (2)'!I33+Thurs!I33+'Tues '!I33+Wed!I33+Fri!I33+'Mon '!I33+'Wed (2)'!I33+Sun!I33+Sat!I33)</f>
        <v>2</v>
      </c>
      <c r="J33" s="70">
        <f>('Thurs (2)'!J33+Thurs!J33+'Tues '!J33+Wed!J33+Fri!J33+'Mon '!J33+'Wed (2)'!J33+Sun!J33+Sat!J33)</f>
        <v>2</v>
      </c>
      <c r="K33" s="70">
        <f>('Thurs (2)'!K33+Thurs!K33+'Tues '!K33+Wed!K33+Fri!K33+'Mon '!K33+'Wed (2)'!K33+Sun!K33+Sat!K33)</f>
        <v>2</v>
      </c>
      <c r="L33" s="70">
        <f>('Thurs (2)'!L33+Thurs!L33+'Tues '!L33+Wed!L33+Fri!L33+'Mon '!L33+'Wed (2)'!L33+Sun!L33+Sat!L33)</f>
        <v>2</v>
      </c>
      <c r="M33" s="70">
        <f>('Thurs (2)'!M33+Thurs!M33+'Tues '!M33+Wed!M33+Fri!M33+'Mon '!M33+'Wed (2)'!M33+Sun!M33+Sat!M33)</f>
        <v>15</v>
      </c>
      <c r="N33" s="70">
        <f>('Thurs (2)'!N33+Thurs!N33+'Tues '!N33+Wed!N33+Fri!N33+'Mon '!N33+'Wed (2)'!N33+Sun!N33+Sat!N33)</f>
        <v>2</v>
      </c>
      <c r="O33" s="70">
        <f>('Thurs (2)'!O33+Thurs!O33+'Tues '!O33+Wed!O33+Fri!O33+'Mon '!O33+'Wed (2)'!O33+Sun!O33+Sat!O33)</f>
        <v>1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2</v>
      </c>
      <c r="S33" s="70">
        <f>('Thurs (2)'!S33+Thurs!S33+'Tues '!S33+Wed!S33+Fri!S33+'Mon '!S33+'Wed (2)'!S33+Sun!S33+Sat!S33)</f>
        <v>1</v>
      </c>
      <c r="T33" s="70">
        <f>('Thurs (2)'!T33+Thurs!T33+'Tues '!T33+Wed!T33+Fri!T33+'Mon '!T33+'Wed (2)'!T33+Sun!T33+Sat!T33)</f>
        <v>3612</v>
      </c>
      <c r="U33" s="71">
        <f t="shared" si="3"/>
        <v>0.5</v>
      </c>
      <c r="V33" s="71">
        <f t="shared" si="4"/>
        <v>1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>
        <f>('Thurs (2)'!G34+Thurs!G34+'Tues '!G34+Wed!G34+Fri!G34+'Mon '!G34+'Wed (2)'!G34+Sun!G34+Sat!G34)</f>
        <v>5</v>
      </c>
      <c r="H34" s="70">
        <f>('Thurs (2)'!H34+Thurs!H34+'Tues '!H34+Wed!H34+Fri!H34+'Mon '!H34+'Wed (2)'!H34+Sun!H34+Sat!H34)</f>
        <v>3</v>
      </c>
      <c r="I34" s="70">
        <f>('Thurs (2)'!I34+Thurs!I34+'Tues '!I34+Wed!I34+Fri!I34+'Mon '!I34+'Wed (2)'!I34+Sun!I34+Sat!I34)</f>
        <v>2</v>
      </c>
      <c r="J34" s="70">
        <f>('Thurs (2)'!J34+Thurs!J34+'Tues '!J34+Wed!J34+Fri!J34+'Mon '!J34+'Wed (2)'!J34+Sun!J34+Sat!J34)</f>
        <v>1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0</v>
      </c>
      <c r="M34" s="70">
        <f>('Thurs (2)'!M34+Thurs!M34+'Tues '!M34+Wed!M34+Fri!M34+'Mon '!M34+'Wed (2)'!M34+Sun!M34+Sat!M34)</f>
        <v>11</v>
      </c>
      <c r="N34" s="70">
        <f>('Thurs (2)'!N34+Thurs!N34+'Tues '!N34+Wed!N34+Fri!N34+'Mon '!N34+'Wed (2)'!N34+Sun!N34+Sat!N34)</f>
        <v>0</v>
      </c>
      <c r="O34" s="70">
        <f>('Thurs (2)'!O34+Thurs!O34+'Tues '!O34+Wed!O34+Fri!O34+'Mon '!O34+'Wed (2)'!O34+Sun!O34+Sat!O34)</f>
        <v>0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0</v>
      </c>
      <c r="S34" s="70">
        <f>('Thurs (2)'!S34+Thurs!S34+'Tues '!S34+Wed!S34+Fri!S34+'Mon '!S34+'Wed (2)'!S34+Sun!S34+Sat!S34)</f>
        <v>0</v>
      </c>
      <c r="T34" s="70">
        <f>('Thurs (2)'!T34+Thurs!T34+'Tues '!T34+Wed!T34+Fri!T34+'Mon '!T34+'Wed (2)'!T34+Sun!T34+Sat!T34)</f>
        <v>2396</v>
      </c>
      <c r="U34" s="71">
        <f t="shared" si="3"/>
        <v>0.6666666667</v>
      </c>
      <c r="V34" s="71">
        <f t="shared" si="4"/>
        <v>0.6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>
        <f>('Thurs (2)'!G35+Thurs!G35+'Tues '!G35+Wed!G35+Fri!G35+'Mon '!G35+'Wed (2)'!G35+Sun!G35+Sat!G35)</f>
        <v>3</v>
      </c>
      <c r="H35" s="70">
        <f>('Thurs (2)'!H35+Thurs!H35+'Tues '!H35+Wed!H35+Fri!H35+'Mon '!H35+'Wed (2)'!H35+Sun!H35+Sat!H35)</f>
        <v>1</v>
      </c>
      <c r="I35" s="70">
        <f>('Thurs (2)'!I35+Thurs!I35+'Tues '!I35+Wed!I35+Fri!I35+'Mon '!I35+'Wed (2)'!I35+Sun!I35+Sat!I35)</f>
        <v>1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0</v>
      </c>
      <c r="M35" s="70">
        <f>('Thurs (2)'!M35+Thurs!M35+'Tues '!M35+Wed!M35+Fri!M35+'Mon '!M35+'Wed (2)'!M35+Sun!M35+Sat!M35)</f>
        <v>1</v>
      </c>
      <c r="N35" s="70">
        <f>('Thurs (2)'!N35+Thurs!N35+'Tues '!N35+Wed!N35+Fri!N35+'Mon '!N35+'Wed (2)'!N35+Sun!N35+Sat!N35)</f>
        <v>1</v>
      </c>
      <c r="O35" s="70">
        <f>('Thurs (2)'!O35+Thurs!O35+'Tues '!O35+Wed!O35+Fri!O35+'Mon '!O35+'Wed (2)'!O35+Sun!O35+Sat!O35)</f>
        <v>1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1663</v>
      </c>
      <c r="U35" s="71">
        <f t="shared" si="3"/>
        <v>1</v>
      </c>
      <c r="V35" s="71">
        <f t="shared" si="4"/>
        <v>0.3333333333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>
        <f>('Thurs (2)'!G36+Thurs!G36+'Tues '!G36+Wed!G36+Fri!G36+'Mon '!G36+'Wed (2)'!G36+Sun!G36+Sat!G36)</f>
        <v>0</v>
      </c>
      <c r="H36" s="70">
        <f>('Thurs (2)'!H36+Thurs!H36+'Tues '!H36+Wed!H36+Fri!H36+'Mon '!H36+'Wed (2)'!H36+Sun!H36+Sat!H36)</f>
        <v>0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0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>
        <f>('Thurs (2)'!G37+Thurs!G37+'Tues '!G37+Wed!G37+Fri!G37+'Mon '!G37+'Wed (2)'!G37+Sun!G37+Sat!G37)</f>
        <v>0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>
        <f>('Thurs (2)'!G38+Thurs!G38+'Tues '!G38+Wed!G38+Fri!G38+'Mon '!G38+'Wed (2)'!G38+Sun!G38+Sat!G38)</f>
        <v>13</v>
      </c>
      <c r="H38" s="70">
        <f>('Thurs (2)'!H38+Thurs!H38+'Tues '!H38+Wed!H38+Fri!H38+'Mon '!H38+'Wed (2)'!H38+Sun!H38+Sat!H38)</f>
        <v>2</v>
      </c>
      <c r="I38" s="70">
        <f>('Thurs (2)'!I38+Thurs!I38+'Tues '!I38+Wed!I38+Fri!I38+'Mon '!I38+'Wed (2)'!I38+Sun!I38+Sat!I38)</f>
        <v>1</v>
      </c>
      <c r="J38" s="70">
        <f>('Thurs (2)'!J38+Thurs!J38+'Tues '!J38+Wed!J38+Fri!J38+'Mon '!J38+'Wed (2)'!J38+Sun!J38+Sat!J38)</f>
        <v>0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0</v>
      </c>
      <c r="M38" s="70">
        <f>('Thurs (2)'!M38+Thurs!M38+'Tues '!M38+Wed!M38+Fri!M38+'Mon '!M38+'Wed (2)'!M38+Sun!M38+Sat!M38)</f>
        <v>11</v>
      </c>
      <c r="N38" s="70">
        <f>('Thurs (2)'!N38+Thurs!N38+'Tues '!N38+Wed!N38+Fri!N38+'Mon '!N38+'Wed (2)'!N38+Sun!N38+Sat!N38)</f>
        <v>1</v>
      </c>
      <c r="O38" s="70">
        <f>('Thurs (2)'!O38+Thurs!O38+'Tues '!O38+Wed!O38+Fri!O38+'Mon '!O38+'Wed (2)'!O38+Sun!O38+Sat!O38)</f>
        <v>0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1</v>
      </c>
      <c r="S38" s="70">
        <f>('Thurs (2)'!S38+Thurs!S38+'Tues '!S38+Wed!S38+Fri!S38+'Mon '!S38+'Wed (2)'!S38+Sun!S38+Sat!S38)</f>
        <v>1</v>
      </c>
      <c r="T38" s="70">
        <f>('Thurs (2)'!T38+Thurs!T38+'Tues '!T38+Wed!T38+Fri!T38+'Mon '!T38+'Wed (2)'!T38+Sun!T38+Sat!T38)</f>
        <v>1500</v>
      </c>
      <c r="U38" s="71">
        <f t="shared" si="3"/>
        <v>0.5</v>
      </c>
      <c r="V38" s="71">
        <f t="shared" si="4"/>
        <v>0.1538461538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>
        <f>('Thurs (2)'!G39+Thurs!G39+'Tues '!G39+Wed!G39+Fri!G39+'Mon '!G39+'Wed (2)'!G39+Sun!G39+Sat!G39)</f>
        <v>0</v>
      </c>
      <c r="H39" s="70">
        <f>('Thurs (2)'!H39+Thurs!H39+'Tues '!H39+Wed!H39+Fri!H39+'Mon '!H39+'Wed (2)'!H39+Sun!H39+Sat!H39)</f>
        <v>0</v>
      </c>
      <c r="I39" s="70">
        <f>('Thurs (2)'!I39+Thurs!I39+'Tues '!I39+Wed!I39+Fri!I39+'Mon '!I39+'Wed (2)'!I39+Sun!I39+Sat!I39)</f>
        <v>0</v>
      </c>
      <c r="J39" s="70">
        <f>('Thurs (2)'!J39+Thurs!J39+'Tues '!J39+Wed!J39+Fri!J39+'Mon '!J39+'Wed (2)'!J39+Sun!J39+Sat!J39)</f>
        <v>0</v>
      </c>
      <c r="K39" s="70">
        <f>('Thurs (2)'!K39+Thurs!K39+'Tues '!K39+Wed!K39+Fri!K39+'Mon '!K39+'Wed (2)'!K39+Sun!K39+Sat!K39)</f>
        <v>0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0</v>
      </c>
      <c r="N39" s="70">
        <f>('Thurs (2)'!N39+Thurs!N39+'Tues '!N39+Wed!N39+Fri!N39+'Mon '!N39+'Wed (2)'!N39+Sun!N39+Sat!N39)</f>
        <v>0</v>
      </c>
      <c r="O39" s="70">
        <f>('Thurs (2)'!O39+Thurs!O39+'Tues '!O39+Wed!O39+Fri!O39+'Mon '!O39+'Wed (2)'!O39+Sun!O39+Sat!O39)</f>
        <v>0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0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0</v>
      </c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1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2890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>
        <f>('Thurs (2)'!G41+Thurs!G41+'Tues '!G41+Wed!G41+Fri!G41+'Mon '!G41+'Wed (2)'!G41+Sun!G41+Sat!G41)</f>
        <v>1</v>
      </c>
      <c r="H41" s="70">
        <f>('Thurs (2)'!H41+Thurs!H41+'Tues '!H41+Wed!H41+Fri!H41+'Mon '!H41+'Wed (2)'!H41+Sun!H41+Sat!H41)</f>
        <v>0</v>
      </c>
      <c r="I41" s="70">
        <f>('Thurs (2)'!I41+Thurs!I41+'Tues '!I41+Wed!I41+Fri!I41+'Mon '!I41+'Wed (2)'!I41+Sun!I41+Sat!I41)</f>
        <v>0</v>
      </c>
      <c r="J41" s="70">
        <f>('Thurs (2)'!J41+Thurs!J41+'Tues '!J41+Wed!J41+Fri!J41+'Mon '!J41+'Wed (2)'!J41+Sun!J41+Sat!J41)</f>
        <v>0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0</v>
      </c>
      <c r="N41" s="70">
        <f>('Thurs (2)'!N41+Thurs!N41+'Tues '!N41+Wed!N41+Fri!N41+'Mon '!N41+'Wed (2)'!N41+Sun!N41+Sat!N41)</f>
        <v>0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0</v>
      </c>
      <c r="S41" s="70">
        <f>('Thurs (2)'!S41+Thurs!S41+'Tues '!S41+Wed!S41+Fri!S41+'Mon '!S41+'Wed (2)'!S41+Sun!S41+Sat!S41)</f>
        <v>0</v>
      </c>
      <c r="T41" s="70">
        <f>('Thurs (2)'!T41+Thurs!T41+'Tues '!T41+Wed!T41+Fri!T41+'Mon '!T41+'Wed (2)'!T41+Sun!T41+Sat!T41)</f>
        <v>0</v>
      </c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>
        <f>('Thurs (2)'!G42+Thurs!G42+'Tues '!G42+Wed!G42+Fri!G42+'Mon '!G42+'Wed (2)'!G42+Sun!G42+Sat!G42)</f>
        <v>2</v>
      </c>
      <c r="H42" s="70">
        <f>('Thurs (2)'!H42+Thurs!H42+'Tues '!H42+Wed!H42+Fri!H42+'Mon '!H42+'Wed (2)'!H42+Sun!H42+Sat!H42)</f>
        <v>1</v>
      </c>
      <c r="I42" s="70">
        <f>('Thurs (2)'!I42+Thurs!I42+'Tues '!I42+Wed!I42+Fri!I42+'Mon '!I42+'Wed (2)'!I42+Sun!I42+Sat!I42)</f>
        <v>1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3</v>
      </c>
      <c r="N42" s="70">
        <f>('Thurs (2)'!N42+Thurs!N42+'Tues '!N42+Wed!N42+Fri!N42+'Mon '!N42+'Wed (2)'!N42+Sun!N42+Sat!N42)</f>
        <v>0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1</v>
      </c>
      <c r="S42" s="70">
        <f>('Thurs (2)'!S42+Thurs!S42+'Tues '!S42+Wed!S42+Fri!S42+'Mon '!S42+'Wed (2)'!S42+Sun!S42+Sat!S42)</f>
        <v>1</v>
      </c>
      <c r="T42" s="70">
        <f>('Thurs (2)'!T42+Thurs!T42+'Tues '!T42+Wed!T42+Fri!T42+'Mon '!T42+'Wed (2)'!T42+Sun!T42+Sat!T42)</f>
        <v>720</v>
      </c>
      <c r="U42" s="71">
        <f t="shared" si="3"/>
        <v>1</v>
      </c>
      <c r="V42" s="71">
        <f t="shared" si="4"/>
        <v>0.5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70">
        <f>('Thurs (2)'!G43+Thurs!G43+'Tues '!G43+Wed!G43+Fri!G43+'Mon '!G43+'Wed (2)'!G43+Sun!G43+Sat!G43)</f>
        <v>0</v>
      </c>
      <c r="H43" s="70">
        <f>('Thurs (2)'!H43+Thurs!H43+'Tues '!H43+Wed!H43+Fri!H43+'Mon '!H43+'Wed (2)'!H43+Sun!H43+Sat!H43)</f>
        <v>0</v>
      </c>
      <c r="I43" s="70">
        <f>('Thurs (2)'!I43+Thurs!I43+'Tues '!I43+Wed!I43+Fri!I43+'Mon '!I43+'Wed (2)'!I43+Sun!I43+Sat!I43)</f>
        <v>0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0</v>
      </c>
      <c r="N43" s="70">
        <f>('Thurs (2)'!N43+Thurs!N43+'Tues '!N43+Wed!N43+Fri!N43+'Mon '!N43+'Wed (2)'!N43+Sun!N43+Sat!N43)</f>
        <v>0</v>
      </c>
      <c r="O43" s="70">
        <f>('Thurs (2)'!O43+Thurs!O43+'Tues '!O43+Wed!O43+Fri!O43+'Mon '!O43+'Wed (2)'!O43+Sun!O43+Sat!O43)</f>
        <v>0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0</v>
      </c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>
        <f>('Thurs (2)'!G44+Thurs!G44+'Tues '!G44+Wed!G44+Fri!G44+'Mon '!G44+'Wed (2)'!G44+Sun!G44+Sat!G44)</f>
        <v>0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>
        <f>('Thurs (2)'!G47+Thurs!G47+'Tues '!G47+Wed!G47+Fri!G47+'Mon '!G47+'Wed (2)'!G47+Sun!G47+Sat!G47)</f>
        <v>0</v>
      </c>
      <c r="H47" s="70">
        <f>('Thurs (2)'!H47+Thurs!H47+'Tues '!H47+Wed!H47+Fri!H47+'Mon '!H47+'Wed (2)'!H47+Sun!H47+Sat!H47)</f>
        <v>0</v>
      </c>
      <c r="I47" s="70">
        <f>('Thurs (2)'!I47+Thurs!I47+'Tues '!I47+Wed!I47+Fri!I47+'Mon '!I47+'Wed (2)'!I47+Sun!I47+Sat!I47)</f>
        <v>0</v>
      </c>
      <c r="J47" s="70">
        <f>('Thurs (2)'!J47+Thurs!J47+'Tues '!J47+Wed!J47+Fri!J47+'Mon '!J47+'Wed (2)'!J47+Sun!J47+Sat!J47)</f>
        <v>0</v>
      </c>
      <c r="K47" s="70">
        <f>('Thurs (2)'!K47+Thurs!K47+'Tues '!K47+Wed!K47+Fri!K47+'Mon '!K47+'Wed (2)'!K47+Sun!K47+Sat!K47)</f>
        <v>0</v>
      </c>
      <c r="L47" s="70">
        <f>('Thurs (2)'!L47+Thurs!L47+'Tues '!L47+Wed!L47+Fri!L47+'Mon '!L47+'Wed (2)'!L47+Sun!L47+Sat!L47)</f>
        <v>0</v>
      </c>
      <c r="M47" s="70">
        <f>('Thurs (2)'!M47+Thurs!M47+'Tues '!M47+Wed!M47+Fri!M47+'Mon '!M47+'Wed (2)'!M47+Sun!M47+Sat!M47)</f>
        <v>0</v>
      </c>
      <c r="N47" s="70">
        <f>('Thurs (2)'!N47+Thurs!N47+'Tues '!N47+Wed!N47+Fri!N47+'Mon '!N47+'Wed (2)'!N47+Sun!N47+Sat!N47)</f>
        <v>0</v>
      </c>
      <c r="O47" s="70">
        <f>('Thurs (2)'!O47+Thurs!O47+'Tues '!O47+Wed!O47+Fri!O47+'Mon '!O47+'Wed (2)'!O47+Sun!O47+Sat!O47)</f>
        <v>0</v>
      </c>
      <c r="P47" s="70">
        <f>('Thurs (2)'!P47+Thurs!P47+'Tues '!P47+Wed!P47+Fri!P47+'Mon '!P47+'Wed (2)'!P47+Sun!P47+Sat!P47)</f>
        <v>0</v>
      </c>
      <c r="Q47" s="70">
        <f>('Thurs (2)'!Q47+Thurs!Q47+'Tues '!Q47+Wed!Q47+Fri!Q47+'Mon '!Q47+'Wed (2)'!Q47+Sun!Q47+Sat!Q47)</f>
        <v>0</v>
      </c>
      <c r="R47" s="70">
        <f>('Thurs (2)'!R47+Thurs!R47+'Tues '!R47+Wed!R47+Fri!R47+'Mon '!R47+'Wed (2)'!R47+Sun!R47+Sat!R47)</f>
        <v>0</v>
      </c>
      <c r="S47" s="70">
        <f>('Thurs (2)'!S47+Thurs!S47+'Tues '!S47+Wed!S47+Fri!S47+'Mon '!S47+'Wed (2)'!S47+Sun!S47+Sat!S47)</f>
        <v>0</v>
      </c>
      <c r="T47" s="70">
        <f>('Thurs (2)'!T47+Thurs!T47+'Tues '!T47+Wed!T47+Fri!T47+'Mon '!T47+'Wed (2)'!T47+Sun!T47+Sat!T47)</f>
        <v>0</v>
      </c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>
        <f>('Thurs (2)'!G48+Thurs!G48+'Tues '!G48+Wed!G48+Fri!G48+'Mon '!G48+'Wed (2)'!G48+Sun!G48+Sat!G48)</f>
        <v>0</v>
      </c>
      <c r="H48" s="70">
        <f>('Thurs (2)'!H48+Thurs!H48+'Tues '!H48+Wed!H48+Fri!H48+'Mon '!H48+'Wed (2)'!H48+Sun!H48+Sat!H48)</f>
        <v>0</v>
      </c>
      <c r="I48" s="70">
        <f>('Thurs (2)'!I48+Thurs!I48+'Tues '!I48+Wed!I48+Fri!I48+'Mon '!I48+'Wed (2)'!I48+Sun!I48+Sat!I48)</f>
        <v>0</v>
      </c>
      <c r="J48" s="70">
        <f>('Thurs (2)'!J48+Thurs!J48+'Tues '!J48+Wed!J48+Fri!J48+'Mon '!J48+'Wed (2)'!J48+Sun!J48+Sat!J48)</f>
        <v>0</v>
      </c>
      <c r="K48" s="70">
        <f>('Thurs (2)'!K48+Thurs!K48+'Tues '!K48+Wed!K48+Fri!K48+'Mon '!K48+'Wed (2)'!K48+Sun!K48+Sat!K48)</f>
        <v>0</v>
      </c>
      <c r="L48" s="70">
        <f>('Thurs (2)'!L48+Thurs!L48+'Tues '!L48+Wed!L48+Fri!L48+'Mon '!L48+'Wed (2)'!L48+Sun!L48+Sat!L48)</f>
        <v>0</v>
      </c>
      <c r="M48" s="70">
        <f>('Thurs (2)'!M48+Thurs!M48+'Tues '!M48+Wed!M48+Fri!M48+'Mon '!M48+'Wed (2)'!M48+Sun!M48+Sat!M48)</f>
        <v>0</v>
      </c>
      <c r="N48" s="70">
        <f>('Thurs (2)'!N48+Thurs!N48+'Tues '!N48+Wed!N48+Fri!N48+'Mon '!N48+'Wed (2)'!N48+Sun!N48+Sat!N48)</f>
        <v>0</v>
      </c>
      <c r="O48" s="70">
        <f>('Thurs (2)'!O48+Thurs!O48+'Tues '!O48+Wed!O48+Fri!O48+'Mon '!O48+'Wed (2)'!O48+Sun!O48+Sat!O48)</f>
        <v>0</v>
      </c>
      <c r="P48" s="70">
        <f>('Thurs (2)'!P48+Thurs!P48+'Tues '!P48+Wed!P48+Fri!P48+'Mon '!P48+'Wed (2)'!P48+Sun!P48+Sat!P48)</f>
        <v>0</v>
      </c>
      <c r="Q48" s="70">
        <f>('Thurs (2)'!Q48+Thurs!Q48+'Tues '!Q48+Wed!Q48+Fri!Q48+'Mon '!Q48+'Wed (2)'!Q48+Sun!Q48+Sat!Q48)</f>
        <v>0</v>
      </c>
      <c r="R48" s="70">
        <f>('Thurs (2)'!R48+Thurs!R48+'Tues '!R48+Wed!R48+Fri!R48+'Mon '!R48+'Wed (2)'!R48+Sun!R48+Sat!R48)</f>
        <v>0</v>
      </c>
      <c r="S48" s="70">
        <f>('Thurs (2)'!S48+Thurs!S48+'Tues '!S48+Wed!S48+Fri!S48+'Mon '!S48+'Wed (2)'!S48+Sun!S48+Sat!S48)</f>
        <v>0</v>
      </c>
      <c r="T48" s="70">
        <f>('Thurs (2)'!T48+Thurs!T48+'Tues '!T48+Wed!T48+Fri!T48+'Mon '!T48+'Wed (2)'!T48+Sun!T48+Sat!T48)</f>
        <v>0</v>
      </c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>
        <f>('Thurs (2)'!G50+Thurs!G50+'Tues '!G50+Wed!G50+Fri!G50+'Mon '!G50+'Wed (2)'!G50+Sun!G50+Sat!G50)</f>
        <v>3</v>
      </c>
      <c r="H50" s="70">
        <f>('Thurs (2)'!H50+Thurs!H50+'Tues '!H50+Wed!H50+Fri!H50+'Mon '!H50+'Wed (2)'!H50+Sun!H50+Sat!H50)</f>
        <v>2</v>
      </c>
      <c r="I50" s="70">
        <f>('Thurs (2)'!I50+Thurs!I50+'Tues '!I50+Wed!I50+Fri!I50+'Mon '!I50+'Wed (2)'!I50+Sun!I50+Sat!I50)</f>
        <v>0</v>
      </c>
      <c r="J50" s="70">
        <f>('Thurs (2)'!J50+Thurs!J50+'Tues '!J50+Wed!J50+Fri!J50+'Mon '!J50+'Wed (2)'!J50+Sun!J50+Sat!J50)</f>
        <v>0</v>
      </c>
      <c r="K50" s="70">
        <f>('Thurs (2)'!K50+Thurs!K50+'Tues '!K50+Wed!K50+Fri!K50+'Mon '!K50+'Wed (2)'!K50+Sun!K50+Sat!K50)</f>
        <v>0</v>
      </c>
      <c r="L50" s="70">
        <f>('Thurs (2)'!L50+Thurs!L50+'Tues '!L50+Wed!L50+Fri!L50+'Mon '!L50+'Wed (2)'!L50+Sun!L50+Sat!L50)</f>
        <v>0</v>
      </c>
      <c r="M50" s="70">
        <f>('Thurs (2)'!M50+Thurs!M50+'Tues '!M50+Wed!M50+Fri!M50+'Mon '!M50+'Wed (2)'!M50+Sun!M50+Sat!M50)</f>
        <v>0</v>
      </c>
      <c r="N50" s="70">
        <f>('Thurs (2)'!N50+Thurs!N50+'Tues '!N50+Wed!N50+Fri!N50+'Mon '!N50+'Wed (2)'!N50+Sun!N50+Sat!N50)</f>
        <v>1</v>
      </c>
      <c r="O50" s="70">
        <f>('Thurs (2)'!O50+Thurs!O50+'Tues '!O50+Wed!O50+Fri!O50+'Mon '!O50+'Wed (2)'!O50+Sun!O50+Sat!O50)</f>
        <v>1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0</v>
      </c>
      <c r="S50" s="70">
        <f>('Thurs (2)'!S50+Thurs!S50+'Tues '!S50+Wed!S50+Fri!S50+'Mon '!S50+'Wed (2)'!S50+Sun!S50+Sat!S50)</f>
        <v>0</v>
      </c>
      <c r="T50" s="70">
        <f>('Thurs (2)'!T50+Thurs!T50+'Tues '!T50+Wed!T50+Fri!T50+'Mon '!T50+'Wed (2)'!T50+Sun!T50+Sat!T50)</f>
        <v>0</v>
      </c>
      <c r="U50" s="71">
        <f t="shared" ref="U50:U53" si="5">IFERROR(I50/H50,0)</f>
        <v>0</v>
      </c>
      <c r="V50" s="71">
        <f t="shared" ref="V50:V53" si="6">IFERROR(SUM(H50+L50)/G50,0)</f>
        <v>0.6666666667</v>
      </c>
      <c r="W50" s="72"/>
    </row>
    <row r="51">
      <c r="A51" s="73" t="s">
        <v>29</v>
      </c>
      <c r="B51" s="77"/>
      <c r="C51" s="75"/>
      <c r="D51" s="75"/>
      <c r="E51" s="75"/>
      <c r="F51" s="77" t="s">
        <v>68</v>
      </c>
      <c r="G51" s="70">
        <f>('Thurs (2)'!G51+Thurs!G51+'Tues '!G51+Wed!G51+Fri!G51+'Mon '!G51+'Wed (2)'!G51+Sun!G51+Sat!G51)</f>
        <v>5</v>
      </c>
      <c r="H51" s="70">
        <f>('Thurs (2)'!H51+Thurs!H51+'Tues '!H51+Wed!H51+Fri!H51+'Mon '!H51+'Wed (2)'!H51+Sun!H51+Sat!H51)</f>
        <v>2</v>
      </c>
      <c r="I51" s="70">
        <f>('Thurs (2)'!I51+Thurs!I51+'Tues '!I51+Wed!I51+Fri!I51+'Mon '!I51+'Wed (2)'!I51+Sun!I51+Sat!I51)</f>
        <v>2</v>
      </c>
      <c r="J51" s="70">
        <f>('Thurs (2)'!J51+Thurs!J51+'Tues '!J51+Wed!J51+Fri!J51+'Mon '!J51+'Wed (2)'!J51+Sun!J51+Sat!J51)</f>
        <v>0</v>
      </c>
      <c r="K51" s="70">
        <f>('Thurs (2)'!K51+Thurs!K51+'Tues '!K51+Wed!K51+Fri!K51+'Mon '!K51+'Wed (2)'!K51+Sun!K51+Sat!K51)</f>
        <v>0</v>
      </c>
      <c r="L51" s="70">
        <f>('Thurs (2)'!L51+Thurs!L51+'Tues '!L51+Wed!L51+Fri!L51+'Mon '!L51+'Wed (2)'!L51+Sun!L51+Sat!L51)</f>
        <v>0</v>
      </c>
      <c r="M51" s="70">
        <f>('Thurs (2)'!M51+Thurs!M51+'Tues '!M51+Wed!M51+Fri!M51+'Mon '!M51+'Wed (2)'!M51+Sun!M51+Sat!M51)</f>
        <v>2</v>
      </c>
      <c r="N51" s="70">
        <f>('Thurs (2)'!N51+Thurs!N51+'Tues '!N51+Wed!N51+Fri!N51+'Mon '!N51+'Wed (2)'!N51+Sun!N51+Sat!N51)</f>
        <v>1</v>
      </c>
      <c r="O51" s="70">
        <f>('Thurs (2)'!O51+Thurs!O51+'Tues '!O51+Wed!O51+Fri!O51+'Mon '!O51+'Wed (2)'!O51+Sun!O51+Sat!O51)</f>
        <v>1</v>
      </c>
      <c r="P51" s="70">
        <f>('Thurs (2)'!P51+Thurs!P51+'Tues '!P51+Wed!P51+Fri!P51+'Mon '!P51+'Wed (2)'!P51+Sun!P51+Sat!P51)</f>
        <v>0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0</v>
      </c>
      <c r="S51" s="70">
        <f>('Thurs (2)'!S51+Thurs!S51+'Tues '!S51+Wed!S51+Fri!S51+'Mon '!S51+'Wed (2)'!S51+Sun!S51+Sat!S51)</f>
        <v>0</v>
      </c>
      <c r="T51" s="70">
        <f>('Thurs (2)'!T51+Thurs!T51+'Tues '!T51+Wed!T51+Fri!T51+'Mon '!T51+'Wed (2)'!T51+Sun!T51+Sat!T51)</f>
        <v>1508</v>
      </c>
      <c r="U51" s="71">
        <f t="shared" si="5"/>
        <v>1</v>
      </c>
      <c r="V51" s="71">
        <f t="shared" si="6"/>
        <v>0.4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70">
        <f>('Thurs (2)'!G52+Thurs!G52+'Tues '!G52+Wed!G52+Fri!G52+'Mon '!G52+'Wed (2)'!G52+Sun!G52+Sat!G52)</f>
        <v>8</v>
      </c>
      <c r="H52" s="70">
        <f>('Thurs (2)'!H52+Thurs!H52+'Tues '!H52+Wed!H52+Fri!H52+'Mon '!H52+'Wed (2)'!H52+Sun!H52+Sat!H52)</f>
        <v>6</v>
      </c>
      <c r="I52" s="70">
        <f>('Thurs (2)'!I52+Thurs!I52+'Tues '!I52+Wed!I52+Fri!I52+'Mon '!I52+'Wed (2)'!I52+Sun!I52+Sat!I52)</f>
        <v>2</v>
      </c>
      <c r="J52" s="70">
        <f>('Thurs (2)'!J52+Thurs!J52+'Tues '!J52+Wed!J52+Fri!J52+'Mon '!J52+'Wed (2)'!J52+Sun!J52+Sat!J52)</f>
        <v>2</v>
      </c>
      <c r="K52" s="70">
        <f>('Thurs (2)'!K52+Thurs!K52+'Tues '!K52+Wed!K52+Fri!K52+'Mon '!K52+'Wed (2)'!K52+Sun!K52+Sat!K52)</f>
        <v>0</v>
      </c>
      <c r="L52" s="70">
        <f>('Thurs (2)'!L52+Thurs!L52+'Tues '!L52+Wed!L52+Fri!L52+'Mon '!L52+'Wed (2)'!L52+Sun!L52+Sat!L52)</f>
        <v>0</v>
      </c>
      <c r="M52" s="70">
        <f>('Thurs (2)'!M52+Thurs!M52+'Tues '!M52+Wed!M52+Fri!M52+'Mon '!M52+'Wed (2)'!M52+Sun!M52+Sat!M52)</f>
        <v>10</v>
      </c>
      <c r="N52" s="70">
        <f>('Thurs (2)'!N52+Thurs!N52+'Tues '!N52+Wed!N52+Fri!N52+'Mon '!N52+'Wed (2)'!N52+Sun!N52+Sat!N52)</f>
        <v>0</v>
      </c>
      <c r="O52" s="70">
        <f>('Thurs (2)'!O52+Thurs!O52+'Tues '!O52+Wed!O52+Fri!O52+'Mon '!O52+'Wed (2)'!O52+Sun!O52+Sat!O52)</f>
        <v>0</v>
      </c>
      <c r="P52" s="70">
        <f>('Thurs (2)'!P52+Thurs!P52+'Tues '!P52+Wed!P52+Fri!P52+'Mon '!P52+'Wed (2)'!P52+Sun!P52+Sat!P52)</f>
        <v>0</v>
      </c>
      <c r="Q52" s="70">
        <f>('Thurs (2)'!Q52+Thurs!Q52+'Tues '!Q52+Wed!Q52+Fri!Q52+'Mon '!Q52+'Wed (2)'!Q52+Sun!Q52+Sat!Q52)</f>
        <v>0</v>
      </c>
      <c r="R52" s="70">
        <f>('Thurs (2)'!R52+Thurs!R52+'Tues '!R52+Wed!R52+Fri!R52+'Mon '!R52+'Wed (2)'!R52+Sun!R52+Sat!R52)</f>
        <v>3</v>
      </c>
      <c r="S52" s="70">
        <f>('Thurs (2)'!S52+Thurs!S52+'Tues '!S52+Wed!S52+Fri!S52+'Mon '!S52+'Wed (2)'!S52+Sun!S52+Sat!S52)</f>
        <v>1</v>
      </c>
      <c r="T52" s="70">
        <f>('Thurs (2)'!T52+Thurs!T52+'Tues '!T52+Wed!T52+Fri!T52+'Mon '!T52+'Wed (2)'!T52+Sun!T52+Sat!T52)</f>
        <v>3205</v>
      </c>
      <c r="U52" s="71">
        <f t="shared" si="5"/>
        <v>0.3333333333</v>
      </c>
      <c r="V52" s="71">
        <f t="shared" si="6"/>
        <v>0.75</v>
      </c>
      <c r="W52" s="72"/>
    </row>
    <row r="53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>
        <f>('Thurs (2)'!G53+Thurs!G53+'Tues '!G53+Wed!G53+Fri!G53+'Mon '!G53+'Wed (2)'!G53+Sun!G53+Sat!G53)</f>
        <v>2</v>
      </c>
      <c r="H53" s="70">
        <f>('Thurs (2)'!H53+Thurs!H53+'Tues '!H53+Wed!H53+Fri!H53+'Mon '!H53+'Wed (2)'!H53+Sun!H53+Sat!H53)</f>
        <v>2</v>
      </c>
      <c r="I53" s="70">
        <f>('Thurs (2)'!I53+Thurs!I53+'Tues '!I53+Wed!I53+Fri!I53+'Mon '!I53+'Wed (2)'!I53+Sun!I53+Sat!I53)</f>
        <v>0</v>
      </c>
      <c r="J53" s="70">
        <f>('Thurs (2)'!J53+Thurs!J53+'Tues '!J53+Wed!J53+Fri!J53+'Mon '!J53+'Wed (2)'!J53+Sun!J53+Sat!J53)</f>
        <v>0</v>
      </c>
      <c r="K53" s="70">
        <f>('Thurs (2)'!K53+Thurs!K53+'Tues '!K53+Wed!K53+Fri!K53+'Mon '!K53+'Wed (2)'!K53+Sun!K53+Sat!K53)</f>
        <v>0</v>
      </c>
      <c r="L53" s="70">
        <f>('Thurs (2)'!L53+Thurs!L53+'Tues '!L53+Wed!L53+Fri!L53+'Mon '!L53+'Wed (2)'!L53+Sun!L53+Sat!L53)</f>
        <v>1</v>
      </c>
      <c r="M53" s="70">
        <f>('Thurs (2)'!M53+Thurs!M53+'Tues '!M53+Wed!M53+Fri!M53+'Mon '!M53+'Wed (2)'!M53+Sun!M53+Sat!M53)</f>
        <v>3</v>
      </c>
      <c r="N53" s="70">
        <f>('Thurs (2)'!N53+Thurs!N53+'Tues '!N53+Wed!N53+Fri!N53+'Mon '!N53+'Wed (2)'!N53+Sun!N53+Sat!N53)</f>
        <v>1</v>
      </c>
      <c r="O53" s="70">
        <f>('Thurs (2)'!O53+Thurs!O53+'Tues '!O53+Wed!O53+Fri!O53+'Mon '!O53+'Wed (2)'!O53+Sun!O53+Sat!O53)</f>
        <v>0</v>
      </c>
      <c r="P53" s="70">
        <f>('Thurs (2)'!P53+Thurs!P53+'Tues '!P53+Wed!P53+Fri!P53+'Mon '!P53+'Wed (2)'!P53+Sun!P53+Sat!P53)</f>
        <v>0</v>
      </c>
      <c r="Q53" s="70">
        <f>('Thurs (2)'!Q53+Thurs!Q53+'Tues '!Q53+Wed!Q53+Fri!Q53+'Mon '!Q53+'Wed (2)'!Q53+Sun!Q53+Sat!Q53)</f>
        <v>0</v>
      </c>
      <c r="R53" s="70">
        <f>('Thurs (2)'!R53+Thurs!R53+'Tues '!R53+Wed!R53+Fri!R53+'Mon '!R53+'Wed (2)'!R53+Sun!R53+Sat!R53)</f>
        <v>0</v>
      </c>
      <c r="S53" s="70">
        <f>('Thurs (2)'!S53+Thurs!S53+'Tues '!S53+Wed!S53+Fri!S53+'Mon '!S53+'Wed (2)'!S53+Sun!S53+Sat!S53)</f>
        <v>0</v>
      </c>
      <c r="T53" s="70">
        <f>('Thurs (2)'!T53+Thurs!T53+'Tues '!T53+Wed!T53+Fri!T53+'Mon '!T53+'Wed (2)'!T53+Sun!T53+Sat!T53)</f>
        <v>0</v>
      </c>
      <c r="U53" s="71">
        <f t="shared" si="5"/>
        <v>0</v>
      </c>
      <c r="V53" s="71">
        <f t="shared" si="6"/>
        <v>1.5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>
        <f>('Thurs (2)'!G55+Thurs!G55+'Tues '!G55+Wed!G55+Fri!G55+'Mon '!G55+'Wed (2)'!G55+Sun!G55+Sat!G55)</f>
        <v>5</v>
      </c>
      <c r="H55" s="70">
        <f>('Thurs (2)'!H55+Thurs!H55+'Tues '!H55+Wed!H55+Fri!H55+'Mon '!H55+'Wed (2)'!H55+Sun!H55+Sat!H55)</f>
        <v>4</v>
      </c>
      <c r="I55" s="70">
        <f>('Thurs (2)'!I55+Thurs!I55+'Tues '!I55+Wed!I55+Fri!I55+'Mon '!I55+'Wed (2)'!I55+Sun!I55+Sat!I55)</f>
        <v>1</v>
      </c>
      <c r="J55" s="70">
        <f>('Thurs (2)'!J55+Thurs!J55+'Tues '!J55+Wed!J55+Fri!J55+'Mon '!J55+'Wed (2)'!J55+Sun!J55+Sat!J55)</f>
        <v>5</v>
      </c>
      <c r="K55" s="70">
        <f>('Thurs (2)'!K55+Thurs!K55+'Tues '!K55+Wed!K55+Fri!K55+'Mon '!K55+'Wed (2)'!K55+Sun!K55+Sat!K55)</f>
        <v>1</v>
      </c>
      <c r="L55" s="70">
        <f>('Thurs (2)'!L55+Thurs!L55+'Tues '!L55+Wed!L55+Fri!L55+'Mon '!L55+'Wed (2)'!L55+Sun!L55+Sat!L55)</f>
        <v>1</v>
      </c>
      <c r="M55" s="70">
        <f>('Thurs (2)'!M55+Thurs!M55+'Tues '!M55+Wed!M55+Fri!M55+'Mon '!M55+'Wed (2)'!M55+Sun!M55+Sat!M55)</f>
        <v>8</v>
      </c>
      <c r="N55" s="70">
        <f>('Thurs (2)'!N55+Thurs!N55+'Tues '!N55+Wed!N55+Fri!N55+'Mon '!N55+'Wed (2)'!N55+Sun!N55+Sat!N55)</f>
        <v>4</v>
      </c>
      <c r="O55" s="70">
        <f>('Thurs (2)'!O55+Thurs!O55+'Tues '!O55+Wed!O55+Fri!O55+'Mon '!O55+'Wed (2)'!O55+Sun!O55+Sat!O55)</f>
        <v>1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1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1876</v>
      </c>
      <c r="U55" s="71">
        <f t="shared" ref="U55:U76" si="7">IFERROR(I55/H55,0)</f>
        <v>0.25</v>
      </c>
      <c r="V55" s="71">
        <f t="shared" ref="V55:V76" si="8">IFERROR(SUM(H55+L55)/G55,0)</f>
        <v>1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70">
        <f>('Thurs (2)'!G56+Thurs!G56+'Tues '!G56+Wed!G56+Fri!G56+'Mon '!G56+'Wed (2)'!G56+Sun!G56+Sat!G56)</f>
        <v>0</v>
      </c>
      <c r="H56" s="70">
        <f>('Thurs (2)'!H56+Thurs!H56+'Tues '!H56+Wed!H56+Fri!H56+'Mon '!H56+'Wed (2)'!H56+Sun!H56+Sat!H56)</f>
        <v>0</v>
      </c>
      <c r="I56" s="70">
        <f>('Thurs (2)'!I56+Thurs!I56+'Tues '!I56+Wed!I56+Fri!I56+'Mon '!I56+'Wed (2)'!I56+Sun!I56+Sat!I56)</f>
        <v>0</v>
      </c>
      <c r="J56" s="70">
        <f>('Thurs (2)'!J56+Thurs!J56+'Tues '!J56+Wed!J56+Fri!J56+'Mon '!J56+'Wed (2)'!J56+Sun!J56+Sat!J56)</f>
        <v>0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0</v>
      </c>
      <c r="M56" s="70">
        <f>('Thurs (2)'!M56+Thurs!M56+'Tues '!M56+Wed!M56+Fri!M56+'Mon '!M56+'Wed (2)'!M56+Sun!M56+Sat!M56)</f>
        <v>0</v>
      </c>
      <c r="N56" s="70">
        <f>('Thurs (2)'!N56+Thurs!N56+'Tues '!N56+Wed!N56+Fri!N56+'Mon '!N56+'Wed (2)'!N56+Sun!N56+Sat!N56)</f>
        <v>0</v>
      </c>
      <c r="O56" s="70">
        <f>('Thurs (2)'!O56+Thurs!O56+'Tues '!O56+Wed!O56+Fri!O56+'Mon '!O56+'Wed (2)'!O56+Sun!O56+Sat!O56)</f>
        <v>0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0</v>
      </c>
      <c r="S56" s="70">
        <f>('Thurs (2)'!S56+Thurs!S56+'Tues '!S56+Wed!S56+Fri!S56+'Mon '!S56+'Wed (2)'!S56+Sun!S56+Sat!S56)</f>
        <v>0</v>
      </c>
      <c r="T56" s="70">
        <f>('Thurs (2)'!T56+Thurs!T56+'Tues '!T56+Wed!T56+Fri!T56+'Mon '!T56+'Wed (2)'!T56+Sun!T56+Sat!T56)</f>
        <v>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70">
        <f>('Thurs (2)'!G57+Thurs!G57+'Tues '!G57+Wed!G57+Fri!G57+'Mon '!G57+'Wed (2)'!G57+Sun!G57+Sat!G57)</f>
        <v>0</v>
      </c>
      <c r="H57" s="70">
        <f>('Thurs (2)'!H57+Thurs!H57+'Tues '!H57+Wed!H57+Fri!H57+'Mon '!H57+'Wed (2)'!H57+Sun!H57+Sat!H57)</f>
        <v>0</v>
      </c>
      <c r="I57" s="70">
        <f>('Thurs (2)'!I57+Thurs!I57+'Tues '!I57+Wed!I57+Fri!I57+'Mon '!I57+'Wed (2)'!I57+Sun!I57+Sat!I57)</f>
        <v>0</v>
      </c>
      <c r="J57" s="70">
        <f>('Thurs (2)'!J57+Thurs!J57+'Tues '!J57+Wed!J57+Fri!J57+'Mon '!J57+'Wed (2)'!J57+Sun!J57+Sat!J57)</f>
        <v>0</v>
      </c>
      <c r="K57" s="70">
        <f>('Thurs (2)'!K57+Thurs!K57+'Tues '!K57+Wed!K57+Fri!K57+'Mon '!K57+'Wed (2)'!K57+Sun!K57+Sat!K57)</f>
        <v>0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0</v>
      </c>
      <c r="N57" s="70">
        <f>('Thurs (2)'!N57+Thurs!N57+'Tues '!N57+Wed!N57+Fri!N57+'Mon '!N57+'Wed (2)'!N57+Sun!N57+Sat!N57)</f>
        <v>0</v>
      </c>
      <c r="O57" s="70">
        <f>('Thurs (2)'!O57+Thurs!O57+'Tues '!O57+Wed!O57+Fri!O57+'Mon '!O57+'Wed (2)'!O57+Sun!O57+Sat!O57)</f>
        <v>0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0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70">
        <f>('Thurs (2)'!G58+Thurs!G58+'Tues '!G58+Wed!G58+Fri!G58+'Mon '!G58+'Wed (2)'!G58+Sun!G58+Sat!G58)</f>
        <v>29</v>
      </c>
      <c r="H58" s="70">
        <f>('Thurs (2)'!H58+Thurs!H58+'Tues '!H58+Wed!H58+Fri!H58+'Mon '!H58+'Wed (2)'!H58+Sun!H58+Sat!H58)</f>
        <v>9</v>
      </c>
      <c r="I58" s="70">
        <f>('Thurs (2)'!I58+Thurs!I58+'Tues '!I58+Wed!I58+Fri!I58+'Mon '!I58+'Wed (2)'!I58+Sun!I58+Sat!I58)</f>
        <v>3</v>
      </c>
      <c r="J58" s="70">
        <f>('Thurs (2)'!J58+Thurs!J58+'Tues '!J58+Wed!J58+Fri!J58+'Mon '!J58+'Wed (2)'!J58+Sun!J58+Sat!J58)</f>
        <v>0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1</v>
      </c>
      <c r="M58" s="70">
        <f>('Thurs (2)'!M58+Thurs!M58+'Tues '!M58+Wed!M58+Fri!M58+'Mon '!M58+'Wed (2)'!M58+Sun!M58+Sat!M58)</f>
        <v>1</v>
      </c>
      <c r="N58" s="70">
        <f>('Thurs (2)'!N58+Thurs!N58+'Tues '!N58+Wed!N58+Fri!N58+'Mon '!N58+'Wed (2)'!N58+Sun!N58+Sat!N58)</f>
        <v>2</v>
      </c>
      <c r="O58" s="70">
        <f>('Thurs (2)'!O58+Thurs!O58+'Tues '!O58+Wed!O58+Fri!O58+'Mon '!O58+'Wed (2)'!O58+Sun!O58+Sat!O58)</f>
        <v>0</v>
      </c>
      <c r="P58" s="70">
        <f>('Thurs (2)'!P58+Thurs!P58+'Tues '!P58+Wed!P58+Fri!P58+'Mon '!P58+'Wed (2)'!P58+Sun!P58+Sat!P58)</f>
        <v>6</v>
      </c>
      <c r="Q58" s="70">
        <f>('Thurs (2)'!Q58+Thurs!Q58+'Tues '!Q58+Wed!Q58+Fri!Q58+'Mon '!Q58+'Wed (2)'!Q58+Sun!Q58+Sat!Q58)</f>
        <v>3</v>
      </c>
      <c r="R58" s="70">
        <f>('Thurs (2)'!R58+Thurs!R58+'Tues '!R58+Wed!R58+Fri!R58+'Mon '!R58+'Wed (2)'!R58+Sun!R58+Sat!R58)</f>
        <v>0</v>
      </c>
      <c r="S58" s="70">
        <f>('Thurs (2)'!S58+Thurs!S58+'Tues '!S58+Wed!S58+Fri!S58+'Mon '!S58+'Wed (2)'!S58+Sun!S58+Sat!S58)</f>
        <v>0</v>
      </c>
      <c r="T58" s="70">
        <f>('Thurs (2)'!T58+Thurs!T58+'Tues '!T58+Wed!T58+Fri!T58+'Mon '!T58+'Wed (2)'!T58+Sun!T58+Sat!T58)</f>
        <v>3927</v>
      </c>
      <c r="U58" s="71">
        <f t="shared" si="7"/>
        <v>0.3333333333</v>
      </c>
      <c r="V58" s="71">
        <f t="shared" si="8"/>
        <v>0.3448275862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70">
        <f>('Thurs (2)'!G59+Thurs!G59+'Tues '!G59+Wed!G59+Fri!G59+'Mon '!G59+'Wed (2)'!G59+Sun!G59+Sat!G59)</f>
        <v>25</v>
      </c>
      <c r="H59" s="70">
        <f>('Thurs (2)'!H59+Thurs!H59+'Tues '!H59+Wed!H59+Fri!H59+'Mon '!H59+'Wed (2)'!H59+Sun!H59+Sat!H59)</f>
        <v>9</v>
      </c>
      <c r="I59" s="70">
        <f>('Thurs (2)'!I59+Thurs!I59+'Tues '!I59+Wed!I59+Fri!I59+'Mon '!I59+'Wed (2)'!I59+Sun!I59+Sat!I59)</f>
        <v>1</v>
      </c>
      <c r="J59" s="70">
        <f>('Thurs (2)'!J59+Thurs!J59+'Tues '!J59+Wed!J59+Fri!J59+'Mon '!J59+'Wed (2)'!J59+Sun!J59+Sat!J59)</f>
        <v>7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2</v>
      </c>
      <c r="M59" s="70">
        <f>('Thurs (2)'!M59+Thurs!M59+'Tues '!M59+Wed!M59+Fri!M59+'Mon '!M59+'Wed (2)'!M59+Sun!M59+Sat!M59)</f>
        <v>36</v>
      </c>
      <c r="N59" s="70">
        <f>('Thurs (2)'!N59+Thurs!N59+'Tues '!N59+Wed!N59+Fri!N59+'Mon '!N59+'Wed (2)'!N59+Sun!N59+Sat!N59)</f>
        <v>3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8</v>
      </c>
      <c r="S59" s="70">
        <f>('Thurs (2)'!S59+Thurs!S59+'Tues '!S59+Wed!S59+Fri!S59+'Mon '!S59+'Wed (2)'!S59+Sun!S59+Sat!S59)</f>
        <v>1</v>
      </c>
      <c r="T59" s="70">
        <f>('Thurs (2)'!T59+Thurs!T59+'Tues '!T59+Wed!T59+Fri!T59+'Mon '!T59+'Wed (2)'!T59+Sun!T59+Sat!T59)</f>
        <v>1221</v>
      </c>
      <c r="U59" s="71">
        <f t="shared" si="7"/>
        <v>0.1111111111</v>
      </c>
      <c r="V59" s="71">
        <f t="shared" si="8"/>
        <v>0.44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70">
        <f>('Thurs (2)'!G60+Thurs!G60+'Tues '!G60+Wed!G60+Fri!G60+'Mon '!G60+'Wed (2)'!G60+Sun!G60+Sat!G60)</f>
        <v>6</v>
      </c>
      <c r="H60" s="70">
        <f>('Thurs (2)'!H60+Thurs!H60+'Tues '!H60+Wed!H60+Fri!H60+'Mon '!H60+'Wed (2)'!H60+Sun!H60+Sat!H60)</f>
        <v>4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2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1</v>
      </c>
      <c r="M60" s="70">
        <f>('Thurs (2)'!M60+Thurs!M60+'Tues '!M60+Wed!M60+Fri!M60+'Mon '!M60+'Wed (2)'!M60+Sun!M60+Sat!M60)</f>
        <v>2</v>
      </c>
      <c r="N60" s="70">
        <f>('Thurs (2)'!N60+Thurs!N60+'Tues '!N60+Wed!N60+Fri!N60+'Mon '!N60+'Wed (2)'!N60+Sun!N60+Sat!N60)</f>
        <v>3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2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0.8333333333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70">
        <f>('Thurs (2)'!G61+Thurs!G61+'Tues '!G61+Wed!G61+Fri!G61+'Mon '!G61+'Wed (2)'!G61+Sun!G61+Sat!G61)</f>
        <v>0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70">
        <f>('Thurs (2)'!G62+Thurs!G62+'Tues '!G62+Wed!G62+Fri!G62+'Mon '!G62+'Wed (2)'!G62+Sun!G62+Sat!G62)</f>
        <v>2</v>
      </c>
      <c r="H62" s="70">
        <f>('Thurs (2)'!H62+Thurs!H62+'Tues '!H62+Wed!H62+Fri!H62+'Mon '!H62+'Wed (2)'!H62+Sun!H62+Sat!H62)</f>
        <v>0</v>
      </c>
      <c r="I62" s="70">
        <f>('Thurs (2)'!I62+Thurs!I62+'Tues '!I62+Wed!I62+Fri!I62+'Mon '!I62+'Wed (2)'!I62+Sun!I62+Sat!I62)</f>
        <v>0</v>
      </c>
      <c r="J62" s="70">
        <f>('Thurs (2)'!J62+Thurs!J62+'Tues '!J62+Wed!J62+Fri!J62+'Mon '!J62+'Wed (2)'!J62+Sun!J62+Sat!J62)</f>
        <v>0</v>
      </c>
      <c r="K62" s="70">
        <f>('Thurs (2)'!K62+Thurs!K62+'Tues '!K62+Wed!K62+Fri!K62+'Mon '!K62+'Wed (2)'!K62+Sun!K62+Sat!K62)</f>
        <v>0</v>
      </c>
      <c r="L62" s="70">
        <f>('Thurs (2)'!L62+Thurs!L62+'Tues '!L62+Wed!L62+Fri!L62+'Mon '!L62+'Wed (2)'!L62+Sun!L62+Sat!L62)</f>
        <v>0</v>
      </c>
      <c r="M62" s="70">
        <f>('Thurs (2)'!M62+Thurs!M62+'Tues '!M62+Wed!M62+Fri!M62+'Mon '!M62+'Wed (2)'!M62+Sun!M62+Sat!M62)</f>
        <v>0</v>
      </c>
      <c r="N62" s="70">
        <f>('Thurs (2)'!N62+Thurs!N62+'Tues '!N62+Wed!N62+Fri!N62+'Mon '!N62+'Wed (2)'!N62+Sun!N62+Sat!N62)</f>
        <v>0</v>
      </c>
      <c r="O62" s="70">
        <f>('Thurs (2)'!O62+Thurs!O62+'Tues '!O62+Wed!O62+Fri!O62+'Mon '!O62+'Wed (2)'!O62+Sun!O62+Sat!O62)</f>
        <v>0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0</v>
      </c>
      <c r="S62" s="70">
        <f>('Thurs (2)'!S62+Thurs!S62+'Tues '!S62+Wed!S62+Fri!S62+'Mon '!S62+'Wed (2)'!S62+Sun!S62+Sat!S62)</f>
        <v>0</v>
      </c>
      <c r="T62" s="70">
        <f>('Thurs (2)'!T62+Thurs!T62+'Tues '!T62+Wed!T62+Fri!T62+'Mon '!T62+'Wed (2)'!T62+Sun!T62+Sat!T62)</f>
        <v>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70">
        <f>('Thurs (2)'!G63+Thurs!G63+'Tues '!G63+Wed!G63+Fri!G63+'Mon '!G63+'Wed (2)'!G63+Sun!G63+Sat!G63)</f>
        <v>23</v>
      </c>
      <c r="H63" s="70">
        <f>('Thurs (2)'!H63+Thurs!H63+'Tues '!H63+Wed!H63+Fri!H63+'Mon '!H63+'Wed (2)'!H63+Sun!H63+Sat!H63)</f>
        <v>13</v>
      </c>
      <c r="I63" s="70">
        <f>('Thurs (2)'!I63+Thurs!I63+'Tues '!I63+Wed!I63+Fri!I63+'Mon '!I63+'Wed (2)'!I63+Sun!I63+Sat!I63)</f>
        <v>4</v>
      </c>
      <c r="J63" s="70">
        <f>('Thurs (2)'!J63+Thurs!J63+'Tues '!J63+Wed!J63+Fri!J63+'Mon '!J63+'Wed (2)'!J63+Sun!J63+Sat!J63)</f>
        <v>8</v>
      </c>
      <c r="K63" s="70">
        <f>('Thurs (2)'!K63+Thurs!K63+'Tues '!K63+Wed!K63+Fri!K63+'Mon '!K63+'Wed (2)'!K63+Sun!K63+Sat!K63)</f>
        <v>3</v>
      </c>
      <c r="L63" s="70">
        <f>('Thurs (2)'!L63+Thurs!L63+'Tues '!L63+Wed!L63+Fri!L63+'Mon '!L63+'Wed (2)'!L63+Sun!L63+Sat!L63)</f>
        <v>3</v>
      </c>
      <c r="M63" s="70">
        <f>('Thurs (2)'!M63+Thurs!M63+'Tues '!M63+Wed!M63+Fri!M63+'Mon '!M63+'Wed (2)'!M63+Sun!M63+Sat!M63)</f>
        <v>26</v>
      </c>
      <c r="N63" s="70">
        <f>('Thurs (2)'!N63+Thurs!N63+'Tues '!N63+Wed!N63+Fri!N63+'Mon '!N63+'Wed (2)'!N63+Sun!N63+Sat!N63)</f>
        <v>5</v>
      </c>
      <c r="O63" s="70">
        <f>('Thurs (2)'!O63+Thurs!O63+'Tues '!O63+Wed!O63+Fri!O63+'Mon '!O63+'Wed (2)'!O63+Sun!O63+Sat!O63)</f>
        <v>2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8</v>
      </c>
      <c r="S63" s="70">
        <f>('Thurs (2)'!S63+Thurs!S63+'Tues '!S63+Wed!S63+Fri!S63+'Mon '!S63+'Wed (2)'!S63+Sun!S63+Sat!S63)</f>
        <v>2</v>
      </c>
      <c r="T63" s="70">
        <f>('Thurs (2)'!T63+Thurs!T63+'Tues '!T63+Wed!T63+Fri!T63+'Mon '!T63+'Wed (2)'!T63+Sun!T63+Sat!T63)</f>
        <v>3752</v>
      </c>
      <c r="U63" s="71">
        <f t="shared" si="7"/>
        <v>0.3076923077</v>
      </c>
      <c r="V63" s="71">
        <f t="shared" si="8"/>
        <v>0.6956521739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70">
        <f>('Thurs (2)'!G64+Thurs!G64+'Tues '!G64+Wed!G64+Fri!G64+'Mon '!G64+'Wed (2)'!G64+Sun!G64+Sat!G64)</f>
        <v>9</v>
      </c>
      <c r="H64" s="70">
        <f>('Thurs (2)'!H64+Thurs!H64+'Tues '!H64+Wed!H64+Fri!H64+'Mon '!H64+'Wed (2)'!H64+Sun!H64+Sat!H64)</f>
        <v>3</v>
      </c>
      <c r="I64" s="70">
        <f>('Thurs (2)'!I64+Thurs!I64+'Tues '!I64+Wed!I64+Fri!I64+'Mon '!I64+'Wed (2)'!I64+Sun!I64+Sat!I64)</f>
        <v>1</v>
      </c>
      <c r="J64" s="70">
        <f>('Thurs (2)'!J64+Thurs!J64+'Tues '!J64+Wed!J64+Fri!J64+'Mon '!J64+'Wed (2)'!J64+Sun!J64+Sat!J64)</f>
        <v>3</v>
      </c>
      <c r="K64" s="70">
        <f>('Thurs (2)'!K64+Thurs!K64+'Tues '!K64+Wed!K64+Fri!K64+'Mon '!K64+'Wed (2)'!K64+Sun!K64+Sat!K64)</f>
        <v>2</v>
      </c>
      <c r="L64" s="70">
        <f>('Thurs (2)'!L64+Thurs!L64+'Tues '!L64+Wed!L64+Fri!L64+'Mon '!L64+'Wed (2)'!L64+Sun!L64+Sat!L64)</f>
        <v>2</v>
      </c>
      <c r="M64" s="70">
        <f>('Thurs (2)'!M64+Thurs!M64+'Tues '!M64+Wed!M64+Fri!M64+'Mon '!M64+'Wed (2)'!M64+Sun!M64+Sat!M64)</f>
        <v>27</v>
      </c>
      <c r="N64" s="70">
        <f>('Thurs (2)'!N64+Thurs!N64+'Tues '!N64+Wed!N64+Fri!N64+'Mon '!N64+'Wed (2)'!N64+Sun!N64+Sat!N64)</f>
        <v>3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3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1318</v>
      </c>
      <c r="U64" s="71">
        <f t="shared" si="7"/>
        <v>0.3333333333</v>
      </c>
      <c r="V64" s="71">
        <f t="shared" si="8"/>
        <v>0.5555555556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70">
        <f>('Thurs (2)'!G65+Thurs!G65+'Tues '!G65+Wed!G65+Fri!G65+'Mon '!G65+'Wed (2)'!G65+Sun!G65+Sat!G65)</f>
        <v>0</v>
      </c>
      <c r="H65" s="70">
        <f>('Thurs (2)'!H65+Thurs!H65+'Tues '!H65+Wed!H65+Fri!H65+'Mon '!H65+'Wed (2)'!H65+Sun!H65+Sat!H65)</f>
        <v>0</v>
      </c>
      <c r="I65" s="70">
        <f>('Thurs (2)'!I65+Thurs!I65+'Tues '!I65+Wed!I65+Fri!I65+'Mon '!I65+'Wed (2)'!I65+Sun!I65+Sat!I65)</f>
        <v>0</v>
      </c>
      <c r="J65" s="70">
        <f>('Thurs (2)'!J65+Thurs!J65+'Tues '!J65+Wed!J65+Fri!J65+'Mon '!J65+'Wed (2)'!J65+Sun!J65+Sat!J65)</f>
        <v>0</v>
      </c>
      <c r="K65" s="70">
        <f>('Thurs (2)'!K65+Thurs!K65+'Tues '!K65+Wed!K65+Fri!K65+'Mon '!K65+'Wed (2)'!K65+Sun!K65+Sat!K65)</f>
        <v>0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0</v>
      </c>
      <c r="N65" s="70">
        <f>('Thurs (2)'!N65+Thurs!N65+'Tues '!N65+Wed!N65+Fri!N65+'Mon '!N65+'Wed (2)'!N65+Sun!N65+Sat!N65)</f>
        <v>0</v>
      </c>
      <c r="O65" s="70">
        <f>('Thurs (2)'!O65+Thurs!O65+'Tues '!O65+Wed!O65+Fri!O65+'Mon '!O65+'Wed (2)'!O65+Sun!O65+Sat!O65)</f>
        <v>0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0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70">
        <f>('Thurs (2)'!G66+Thurs!G66+'Tues '!G66+Wed!G66+Fri!G66+'Mon '!G66+'Wed (2)'!G66+Sun!G66+Sat!G66)</f>
        <v>17</v>
      </c>
      <c r="H66" s="70">
        <f>('Thurs (2)'!H66+Thurs!H66+'Tues '!H66+Wed!H66+Fri!H66+'Mon '!H66+'Wed (2)'!H66+Sun!H66+Sat!H66)</f>
        <v>6</v>
      </c>
      <c r="I66" s="70">
        <f>('Thurs (2)'!I66+Thurs!I66+'Tues '!I66+Wed!I66+Fri!I66+'Mon '!I66+'Wed (2)'!I66+Sun!I66+Sat!I66)</f>
        <v>1</v>
      </c>
      <c r="J66" s="70">
        <f>('Thurs (2)'!J66+Thurs!J66+'Tues '!J66+Wed!J66+Fri!J66+'Mon '!J66+'Wed (2)'!J66+Sun!J66+Sat!J66)</f>
        <v>1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2</v>
      </c>
      <c r="M66" s="70">
        <f>('Thurs (2)'!M66+Thurs!M66+'Tues '!M66+Wed!M66+Fri!M66+'Mon '!M66+'Wed (2)'!M66+Sun!M66+Sat!M66)</f>
        <v>24</v>
      </c>
      <c r="N66" s="70">
        <f>('Thurs (2)'!N66+Thurs!N66+'Tues '!N66+Wed!N66+Fri!N66+'Mon '!N66+'Wed (2)'!N66+Sun!N66+Sat!N66)</f>
        <v>7</v>
      </c>
      <c r="O66" s="70">
        <f>('Thurs (2)'!O66+Thurs!O66+'Tues '!O66+Wed!O66+Fri!O66+'Mon '!O66+'Wed (2)'!O66+Sun!O66+Sat!O66)</f>
        <v>1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984</v>
      </c>
      <c r="U66" s="71">
        <f t="shared" si="7"/>
        <v>0.1666666667</v>
      </c>
      <c r="V66" s="71">
        <f t="shared" si="8"/>
        <v>0.4705882353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70">
        <f>('Thurs (2)'!G67+Thurs!G67+'Tues '!G67+Wed!G67+Fri!G67+'Mon '!G67+'Wed (2)'!G67+Sun!G67+Sat!G67)</f>
        <v>7</v>
      </c>
      <c r="H67" s="70">
        <f>('Thurs (2)'!H67+Thurs!H67+'Tues '!H67+Wed!H67+Fri!H67+'Mon '!H67+'Wed (2)'!H67+Sun!H67+Sat!H67)</f>
        <v>4</v>
      </c>
      <c r="I67" s="70">
        <f>('Thurs (2)'!I67+Thurs!I67+'Tues '!I67+Wed!I67+Fri!I67+'Mon '!I67+'Wed (2)'!I67+Sun!I67+Sat!I67)</f>
        <v>1</v>
      </c>
      <c r="J67" s="70">
        <f>('Thurs (2)'!J67+Thurs!J67+'Tues '!J67+Wed!J67+Fri!J67+'Mon '!J67+'Wed (2)'!J67+Sun!J67+Sat!J67)</f>
        <v>4</v>
      </c>
      <c r="K67" s="70">
        <f>('Thurs (2)'!K67+Thurs!K67+'Tues '!K67+Wed!K67+Fri!K67+'Mon '!K67+'Wed (2)'!K67+Sun!K67+Sat!K67)</f>
        <v>1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8</v>
      </c>
      <c r="N67" s="70">
        <f>('Thurs (2)'!N67+Thurs!N67+'Tues '!N67+Wed!N67+Fri!N67+'Mon '!N67+'Wed (2)'!N67+Sun!N67+Sat!N67)</f>
        <v>2</v>
      </c>
      <c r="O67" s="70">
        <f>('Thurs (2)'!O67+Thurs!O67+'Tues '!O67+Wed!O67+Fri!O67+'Mon '!O67+'Wed (2)'!O67+Sun!O67+Sat!O67)</f>
        <v>1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2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1035</v>
      </c>
      <c r="U67" s="71">
        <f t="shared" si="7"/>
        <v>0.25</v>
      </c>
      <c r="V67" s="71">
        <f t="shared" si="8"/>
        <v>0.5714285714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70">
        <f>('Thurs (2)'!G68+Thurs!G68+'Tues '!G68+Wed!G68+Fri!G68+'Mon '!G68+'Wed (2)'!G68+Sun!G68+Sat!G68)</f>
        <v>3</v>
      </c>
      <c r="H68" s="70">
        <f>('Thurs (2)'!H68+Thurs!H68+'Tues '!H68+Wed!H68+Fri!H68+'Mon '!H68+'Wed (2)'!H68+Sun!H68+Sat!H68)</f>
        <v>2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1</v>
      </c>
      <c r="M68" s="70">
        <f>('Thurs (2)'!M68+Thurs!M68+'Tues '!M68+Wed!M68+Fri!M68+'Mon '!M68+'Wed (2)'!M68+Sun!M68+Sat!M68)</f>
        <v>7</v>
      </c>
      <c r="N68" s="70">
        <f>('Thurs (2)'!N68+Thurs!N68+'Tues '!N68+Wed!N68+Fri!N68+'Mon '!N68+'Wed (2)'!N68+Sun!N68+Sat!N68)</f>
        <v>2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1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1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70">
        <f>('Thurs (2)'!G70+Thurs!G70+'Tues '!G70+Wed!G70+Fri!G70+'Mon '!G70+'Wed (2)'!G70+Sun!G70+Sat!G70)</f>
        <v>0</v>
      </c>
      <c r="H70" s="70">
        <f>('Thurs (2)'!H70+Thurs!H70+'Tues '!H70+Wed!H70+Fri!H70+'Mon '!H70+'Wed (2)'!H70+Sun!H70+Sat!H70)</f>
        <v>0</v>
      </c>
      <c r="I70" s="70">
        <f>('Thurs (2)'!I70+Thurs!I70+'Tues '!I70+Wed!I70+Fri!I70+'Mon '!I70+'Wed (2)'!I70+Sun!I70+Sat!I70)</f>
        <v>0</v>
      </c>
      <c r="J70" s="70">
        <f>('Thurs (2)'!J70+Thurs!J70+'Tues '!J70+Wed!J70+Fri!J70+'Mon '!J70+'Wed (2)'!J70+Sun!J70+Sat!J70)</f>
        <v>0</v>
      </c>
      <c r="K70" s="70">
        <f>('Thurs (2)'!K70+Thurs!K70+'Tues '!K70+Wed!K70+Fri!K70+'Mon '!K70+'Wed (2)'!K70+Sun!K70+Sat!K70)</f>
        <v>0</v>
      </c>
      <c r="L70" s="70">
        <f>('Thurs (2)'!L70+Thurs!L70+'Tues '!L70+Wed!L70+Fri!L70+'Mon '!L70+'Wed (2)'!L70+Sun!L70+Sat!L70)</f>
        <v>0</v>
      </c>
      <c r="M70" s="70">
        <f>('Thurs (2)'!M70+Thurs!M70+'Tues '!M70+Wed!M70+Fri!M70+'Mon '!M70+'Wed (2)'!M70+Sun!M70+Sat!M70)</f>
        <v>0</v>
      </c>
      <c r="N70" s="70">
        <f>('Thurs (2)'!N70+Thurs!N70+'Tues '!N70+Wed!N70+Fri!N70+'Mon '!N70+'Wed (2)'!N70+Sun!N70+Sat!N70)</f>
        <v>0</v>
      </c>
      <c r="O70" s="70">
        <f>('Thurs (2)'!O70+Thurs!O70+'Tues '!O70+Wed!O70+Fri!O70+'Mon '!O70+'Wed (2)'!O70+Sun!O70+Sat!O70)</f>
        <v>0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70">
        <f>('Thurs (2)'!G71+Thurs!G71+'Tues '!G71+Wed!G71+Fri!G71+'Mon '!G71+'Wed (2)'!G71+Sun!G71+Sat!G71)</f>
        <v>4</v>
      </c>
      <c r="H71" s="70">
        <f>('Thurs (2)'!H71+Thurs!H71+'Tues '!H71+Wed!H71+Fri!H71+'Mon '!H71+'Wed (2)'!H71+Sun!H71+Sat!H71)</f>
        <v>3</v>
      </c>
      <c r="I71" s="70">
        <f>('Thurs (2)'!I71+Thurs!I71+'Tues '!I71+Wed!I71+Fri!I71+'Mon '!I71+'Wed (2)'!I71+Sun!I71+Sat!I71)</f>
        <v>0</v>
      </c>
      <c r="J71" s="70">
        <f>('Thurs (2)'!J71+Thurs!J71+'Tues '!J71+Wed!J71+Fri!J71+'Mon '!J71+'Wed (2)'!J71+Sun!J71+Sat!J71)</f>
        <v>3</v>
      </c>
      <c r="K71" s="70">
        <f>('Thurs (2)'!K71+Thurs!K71+'Tues '!K71+Wed!K71+Fri!K71+'Mon '!K71+'Wed (2)'!K71+Sun!K71+Sat!K71)</f>
        <v>0</v>
      </c>
      <c r="L71" s="70">
        <f>('Thurs (2)'!L71+Thurs!L71+'Tues '!L71+Wed!L71+Fri!L71+'Mon '!L71+'Wed (2)'!L71+Sun!L71+Sat!L71)</f>
        <v>1</v>
      </c>
      <c r="M71" s="70">
        <f>('Thurs (2)'!M71+Thurs!M71+'Tues '!M71+Wed!M71+Fri!M71+'Mon '!M71+'Wed (2)'!M71+Sun!M71+Sat!M71)</f>
        <v>10</v>
      </c>
      <c r="N71" s="70">
        <f>('Thurs (2)'!N71+Thurs!N71+'Tues '!N71+Wed!N71+Fri!N71+'Mon '!N71+'Wed (2)'!N71+Sun!N71+Sat!N71)</f>
        <v>2</v>
      </c>
      <c r="O71" s="70">
        <f>('Thurs (2)'!O71+Thurs!O71+'Tues '!O71+Wed!O71+Fri!O71+'Mon '!O71+'Wed (2)'!O71+Sun!O71+Sat!O71)</f>
        <v>0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2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0</v>
      </c>
      <c r="U71" s="71">
        <f t="shared" si="7"/>
        <v>0</v>
      </c>
      <c r="V71" s="71">
        <f t="shared" si="8"/>
        <v>1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70">
        <f>('Thurs (2)'!G72+Thurs!G72+'Tues '!G72+Wed!G72+Fri!G72+'Mon '!G72+'Wed (2)'!G72+Sun!G72+Sat!G72)</f>
        <v>0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>
        <f>('Thurs (2)'!G73+Thurs!G73+'Tues '!G73+Wed!G73+Fri!G73+'Mon '!G73+'Wed (2)'!G73+Sun!G73+Sat!G73)</f>
        <v>6</v>
      </c>
      <c r="H73" s="70">
        <f>('Thurs (2)'!H73+Thurs!H73+'Tues '!H73+Wed!H73+Fri!H73+'Mon '!H73+'Wed (2)'!H73+Sun!H73+Sat!H73)</f>
        <v>3</v>
      </c>
      <c r="I73" s="70">
        <f>('Thurs (2)'!I73+Thurs!I73+'Tues '!I73+Wed!I73+Fri!I73+'Mon '!I73+'Wed (2)'!I73+Sun!I73+Sat!I73)</f>
        <v>2</v>
      </c>
      <c r="J73" s="70">
        <f>('Thurs (2)'!J73+Thurs!J73+'Tues '!J73+Wed!J73+Fri!J73+'Mon '!J73+'Wed (2)'!J73+Sun!J73+Sat!J73)</f>
        <v>5</v>
      </c>
      <c r="K73" s="70">
        <f>('Thurs (2)'!K73+Thurs!K73+'Tues '!K73+Wed!K73+Fri!K73+'Mon '!K73+'Wed (2)'!K73+Sun!K73+Sat!K73)</f>
        <v>2</v>
      </c>
      <c r="L73" s="70">
        <f>('Thurs (2)'!L73+Thurs!L73+'Tues '!L73+Wed!L73+Fri!L73+'Mon '!L73+'Wed (2)'!L73+Sun!L73+Sat!L73)</f>
        <v>1</v>
      </c>
      <c r="M73" s="70">
        <f>('Thurs (2)'!M73+Thurs!M73+'Tues '!M73+Wed!M73+Fri!M73+'Mon '!M73+'Wed (2)'!M73+Sun!M73+Sat!M73)</f>
        <v>21</v>
      </c>
      <c r="N73" s="70">
        <f>('Thurs (2)'!N73+Thurs!N73+'Tues '!N73+Wed!N73+Fri!N73+'Mon '!N73+'Wed (2)'!N73+Sun!N73+Sat!N73)</f>
        <v>4</v>
      </c>
      <c r="O73" s="70">
        <f>('Thurs (2)'!O73+Thurs!O73+'Tues '!O73+Wed!O73+Fri!O73+'Mon '!O73+'Wed (2)'!O73+Sun!O73+Sat!O73)</f>
        <v>1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1</v>
      </c>
      <c r="S73" s="70">
        <f>('Thurs (2)'!S73+Thurs!S73+'Tues '!S73+Wed!S73+Fri!S73+'Mon '!S73+'Wed (2)'!S73+Sun!S73+Sat!S73)</f>
        <v>1</v>
      </c>
      <c r="T73" s="70">
        <f>('Thurs (2)'!T73+Thurs!T73+'Tues '!T73+Wed!T73+Fri!T73+'Mon '!T73+'Wed (2)'!T73+Sun!T73+Sat!T73)</f>
        <v>3228</v>
      </c>
      <c r="U73" s="71">
        <f t="shared" si="7"/>
        <v>0.6666666667</v>
      </c>
      <c r="V73" s="71">
        <f t="shared" si="8"/>
        <v>0.6666666667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>
        <f>('Thurs (2)'!G74+Thurs!G74+'Tues '!G74+Wed!G74+Fri!G74+'Mon '!G74+'Wed (2)'!G74+Sun!G74+Sat!G74)</f>
        <v>4</v>
      </c>
      <c r="H74" s="70">
        <f>('Thurs (2)'!H74+Thurs!H74+'Tues '!H74+Wed!H74+Fri!H74+'Mon '!H74+'Wed (2)'!H74+Sun!H74+Sat!H74)</f>
        <v>2</v>
      </c>
      <c r="I74" s="70">
        <f>('Thurs (2)'!I74+Thurs!I74+'Tues '!I74+Wed!I74+Fri!I74+'Mon '!I74+'Wed (2)'!I74+Sun!I74+Sat!I74)</f>
        <v>0</v>
      </c>
      <c r="J74" s="70">
        <f>('Thurs (2)'!J74+Thurs!J74+'Tues '!J74+Wed!J74+Fri!J74+'Mon '!J74+'Wed (2)'!J74+Sun!J74+Sat!J74)</f>
        <v>1</v>
      </c>
      <c r="K74" s="70">
        <f>('Thurs (2)'!K74+Thurs!K74+'Tues '!K74+Wed!K74+Fri!K74+'Mon '!K74+'Wed (2)'!K74+Sun!K74+Sat!K74)</f>
        <v>0</v>
      </c>
      <c r="L74" s="70">
        <f>('Thurs (2)'!L74+Thurs!L74+'Tues '!L74+Wed!L74+Fri!L74+'Mon '!L74+'Wed (2)'!L74+Sun!L74+Sat!L74)</f>
        <v>0</v>
      </c>
      <c r="M74" s="70">
        <f>('Thurs (2)'!M74+Thurs!M74+'Tues '!M74+Wed!M74+Fri!M74+'Mon '!M74+'Wed (2)'!M74+Sun!M74+Sat!M74)</f>
        <v>1</v>
      </c>
      <c r="N74" s="70">
        <f>('Thurs (2)'!N74+Thurs!N74+'Tues '!N74+Wed!N74+Fri!N74+'Mon '!N74+'Wed (2)'!N74+Sun!N74+Sat!N74)</f>
        <v>1</v>
      </c>
      <c r="O74" s="70">
        <f>('Thurs (2)'!O74+Thurs!O74+'Tues '!O74+Wed!O74+Fri!O74+'Mon '!O74+'Wed (2)'!O74+Sun!O74+Sat!O74)</f>
        <v>0</v>
      </c>
      <c r="P74" s="70">
        <f>('Thurs (2)'!P74+Thurs!P74+'Tues '!P74+Wed!P74+Fri!P74+'Mon '!P74+'Wed (2)'!P74+Sun!P74+Sat!P74)</f>
        <v>0</v>
      </c>
      <c r="Q74" s="70">
        <f>('Thurs (2)'!Q74+Thurs!Q74+'Tues '!Q74+Wed!Q74+Fri!Q74+'Mon '!Q74+'Wed (2)'!Q74+Sun!Q74+Sat!Q74)</f>
        <v>0</v>
      </c>
      <c r="R74" s="70">
        <f>('Thurs (2)'!R74+Thurs!R74+'Tues '!R74+Wed!R74+Fri!R74+'Mon '!R74+'Wed (2)'!R74+Sun!R74+Sat!R74)</f>
        <v>0</v>
      </c>
      <c r="S74" s="70">
        <f>('Thurs (2)'!S74+Thurs!S74+'Tues '!S74+Wed!S74+Fri!S74+'Mon '!S74+'Wed (2)'!S74+Sun!S74+Sat!S74)</f>
        <v>0</v>
      </c>
      <c r="T74" s="70">
        <f>('Thurs (2)'!T74+Thurs!T74+'Tues '!T74+Wed!T74+Fri!T74+'Mon '!T74+'Wed (2)'!T74+Sun!T74+Sat!T74)</f>
        <v>0</v>
      </c>
      <c r="U74" s="71">
        <f t="shared" si="7"/>
        <v>0</v>
      </c>
      <c r="V74" s="71">
        <f t="shared" si="8"/>
        <v>0.5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70">
        <f>('Thurs (2)'!G75+Thurs!G75+'Tues '!G75+Wed!G75+Fri!G75+'Mon '!G75+'Wed (2)'!G75+Sun!G75+Sat!G75)</f>
        <v>0</v>
      </c>
      <c r="H75" s="70">
        <f>('Thurs (2)'!H75+Thurs!H75+'Tues '!H75+Wed!H75+Fri!H75+'Mon '!H75+'Wed (2)'!H75+Sun!H75+Sat!H75)</f>
        <v>0</v>
      </c>
      <c r="I75" s="70">
        <f>('Thurs (2)'!I75+Thurs!I75+'Tues '!I75+Wed!I75+Fri!I75+'Mon '!I75+'Wed (2)'!I75+Sun!I75+Sat!I75)</f>
        <v>0</v>
      </c>
      <c r="J75" s="70">
        <f>('Thurs (2)'!J75+Thurs!J75+'Tues '!J75+Wed!J75+Fri!J75+'Mon '!J75+'Wed (2)'!J75+Sun!J75+Sat!J75)</f>
        <v>0</v>
      </c>
      <c r="K75" s="70">
        <f>('Thurs (2)'!K75+Thurs!K75+'Tues '!K75+Wed!K75+Fri!K75+'Mon '!K75+'Wed (2)'!K75+Sun!K75+Sat!K75)</f>
        <v>0</v>
      </c>
      <c r="L75" s="70">
        <f>('Thurs (2)'!L75+Thurs!L75+'Tues '!L75+Wed!L75+Fri!L75+'Mon '!L75+'Wed (2)'!L75+Sun!L75+Sat!L75)</f>
        <v>0</v>
      </c>
      <c r="M75" s="70">
        <f>('Thurs (2)'!M75+Thurs!M75+'Tues '!M75+Wed!M75+Fri!M75+'Mon '!M75+'Wed (2)'!M75+Sun!M75+Sat!M75)</f>
        <v>0</v>
      </c>
      <c r="N75" s="70">
        <f>('Thurs (2)'!N75+Thurs!N75+'Tues '!N75+Wed!N75+Fri!N75+'Mon '!N75+'Wed (2)'!N75+Sun!N75+Sat!N75)</f>
        <v>0</v>
      </c>
      <c r="O75" s="70">
        <f>('Thurs (2)'!O75+Thurs!O75+'Tues '!O75+Wed!O75+Fri!O75+'Mon '!O75+'Wed (2)'!O75+Sun!O75+Sat!O75)</f>
        <v>0</v>
      </c>
      <c r="P75" s="70">
        <f>('Thurs (2)'!P75+Thurs!P75+'Tues '!P75+Wed!P75+Fri!P75+'Mon '!P75+'Wed (2)'!P75+Sun!P75+Sat!P75)</f>
        <v>0</v>
      </c>
      <c r="Q75" s="70">
        <f>('Thurs (2)'!Q75+Thurs!Q75+'Tues '!Q75+Wed!Q75+Fri!Q75+'Mon '!Q75+'Wed (2)'!Q75+Sun!Q75+Sat!Q75)</f>
        <v>0</v>
      </c>
      <c r="R75" s="70">
        <f>('Thurs (2)'!R75+Thurs!R75+'Tues '!R75+Wed!R75+Fri!R75+'Mon '!R75+'Wed (2)'!R75+Sun!R75+Sat!R75)</f>
        <v>0</v>
      </c>
      <c r="S75" s="70">
        <f>('Thurs (2)'!S75+Thurs!S75+'Tues '!S75+Wed!S75+Fri!S75+'Mon '!S75+'Wed (2)'!S75+Sun!S75+Sat!S75)</f>
        <v>0</v>
      </c>
      <c r="T75" s="70">
        <f>('Thurs (2)'!T75+Thurs!T75+'Tues '!T75+Wed!T75+Fri!T75+'Mon '!T75+'Wed (2)'!T75+Sun!T75+Sat!T75)</f>
        <v>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70">
        <f>('Thurs (2)'!G76+Thurs!G76+'Tues '!G76+Wed!G76+Fri!G76+'Mon '!G76+'Wed (2)'!G76+Sun!G76+Sat!G76)</f>
        <v>0</v>
      </c>
      <c r="H76" s="70">
        <f>('Thurs (2)'!H76+Thurs!H76+'Tues '!H76+Wed!H76+Fri!H76+'Mon '!H76+'Wed (2)'!H76+Sun!H76+Sat!H76)</f>
        <v>0</v>
      </c>
      <c r="I76" s="70">
        <f>('Thurs (2)'!I76+Thurs!I76+'Tues '!I76+Wed!I76+Fri!I76+'Mon '!I76+'Wed (2)'!I76+Sun!I76+Sat!I76)</f>
        <v>0</v>
      </c>
      <c r="J76" s="70">
        <f>('Thurs (2)'!J76+Thurs!J76+'Tues '!J76+Wed!J76+Fri!J76+'Mon '!J76+'Wed (2)'!J76+Sun!J76+Sat!J76)</f>
        <v>0</v>
      </c>
      <c r="K76" s="70">
        <f>('Thurs (2)'!K76+Thurs!K76+'Tues '!K76+Wed!K76+Fri!K76+'Mon '!K76+'Wed (2)'!K76+Sun!K76+Sat!K76)</f>
        <v>0</v>
      </c>
      <c r="L76" s="70">
        <f>('Thurs (2)'!L76+Thurs!L76+'Tues '!L76+Wed!L76+Fri!L76+'Mon '!L76+'Wed (2)'!L76+Sun!L76+Sat!L76)</f>
        <v>0</v>
      </c>
      <c r="M76" s="70">
        <f>('Thurs (2)'!M76+Thurs!M76+'Tues '!M76+Wed!M76+Fri!M76+'Mon '!M76+'Wed (2)'!M76+Sun!M76+Sat!M76)</f>
        <v>0</v>
      </c>
      <c r="N76" s="70">
        <f>('Thurs (2)'!N76+Thurs!N76+'Tues '!N76+Wed!N76+Fri!N76+'Mon '!N76+'Wed (2)'!N76+Sun!N76+Sat!N76)</f>
        <v>0</v>
      </c>
      <c r="O76" s="70">
        <f>('Thurs (2)'!O76+Thurs!O76+'Tues '!O76+Wed!O76+Fri!O76+'Mon '!O76+'Wed (2)'!O76+Sun!O76+Sat!O76)</f>
        <v>0</v>
      </c>
      <c r="P76" s="70">
        <f>('Thurs (2)'!P76+Thurs!P76+'Tues '!P76+Wed!P76+Fri!P76+'Mon '!P76+'Wed (2)'!P76+Sun!P76+Sat!P76)</f>
        <v>0</v>
      </c>
      <c r="Q76" s="70">
        <f>('Thurs (2)'!Q76+Thurs!Q76+'Tues '!Q76+Wed!Q76+Fri!Q76+'Mon '!Q76+'Wed (2)'!Q76+Sun!Q76+Sat!Q76)</f>
        <v>0</v>
      </c>
      <c r="R76" s="70">
        <f>('Thurs (2)'!R76+Thurs!R76+'Tues '!R76+Wed!R76+Fri!R76+'Mon '!R76+'Wed (2)'!R76+Sun!R76+Sat!R76)</f>
        <v>0</v>
      </c>
      <c r="S76" s="70">
        <f>('Thurs (2)'!S76+Thurs!S76+'Tues '!S76+Wed!S76+Fri!S76+'Mon '!S76+'Wed (2)'!S76+Sun!S76+Sat!S76)</f>
        <v>0</v>
      </c>
      <c r="T76" s="70">
        <f>('Thurs (2)'!T76+Thurs!T76+'Tues '!T76+Wed!T76+Fri!T76+'Mon '!T76+'Wed (2)'!T76+Sun!T76+Sat!T76)</f>
        <v>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7016</v>
      </c>
      <c r="D2" s="10"/>
      <c r="E2" s="9">
        <f t="shared" ref="E2:R2" si="1">SUM(E5,E14,E17)</f>
        <v>5818</v>
      </c>
      <c r="F2" s="9">
        <f t="shared" si="1"/>
        <v>32</v>
      </c>
      <c r="G2" s="9">
        <f t="shared" si="1"/>
        <v>17</v>
      </c>
      <c r="H2" s="9">
        <f t="shared" si="1"/>
        <v>4</v>
      </c>
      <c r="I2" s="9">
        <f t="shared" si="1"/>
        <v>0</v>
      </c>
      <c r="J2" s="9">
        <f t="shared" si="1"/>
        <v>0</v>
      </c>
      <c r="K2" s="9">
        <f t="shared" si="1"/>
        <v>8</v>
      </c>
      <c r="L2" s="9">
        <f t="shared" si="1"/>
        <v>0</v>
      </c>
      <c r="M2" s="9">
        <f t="shared" si="1"/>
        <v>59</v>
      </c>
      <c r="N2" s="9">
        <f t="shared" si="1"/>
        <v>11</v>
      </c>
      <c r="O2" s="9">
        <f t="shared" si="1"/>
        <v>2</v>
      </c>
      <c r="P2" s="9">
        <f t="shared" si="1"/>
        <v>13</v>
      </c>
      <c r="Q2" s="9">
        <f t="shared" si="1"/>
        <v>3</v>
      </c>
      <c r="R2" s="9">
        <f t="shared" si="1"/>
        <v>7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1754</v>
      </c>
      <c r="F4" s="23">
        <f>IFERROR((G2+R2)/F2,0)</f>
        <v>0.75</v>
      </c>
      <c r="G4" s="23">
        <f>IFERROR(H2/G2,0)</f>
        <v>0.2352941176</v>
      </c>
      <c r="H4" s="22">
        <f>(C2/C4)</f>
        <v>149.2765957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3.470588235</v>
      </c>
      <c r="N4" s="24"/>
      <c r="O4" s="23">
        <f>IFERROR(O2/N2,0)</f>
        <v>0.1818181818</v>
      </c>
      <c r="P4" s="26"/>
      <c r="Q4" s="23">
        <f>IFERROR(Q2/P2,0)</f>
        <v>0.2307692308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4088</v>
      </c>
      <c r="D5" s="31"/>
      <c r="E5" s="32">
        <f>SUMIFS(T:T,A:A,B5,D:D,"Y")</f>
        <v>2890</v>
      </c>
      <c r="F5" s="33">
        <f>SUMIF(A:A,B5,G:G)</f>
        <v>10</v>
      </c>
      <c r="G5" s="33">
        <f>SUMIF(A:A,B5,H:H)</f>
        <v>2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3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4088</v>
      </c>
      <c r="F7" s="41">
        <f>IFERROR((G5+R5)/F5,0)</f>
        <v>0.2</v>
      </c>
      <c r="G7" s="41">
        <f>IFERROR(H5/G5,0)</f>
        <v>0.5</v>
      </c>
      <c r="H7" s="40">
        <f>(C5/C7)</f>
        <v>194.6666667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4088</v>
      </c>
      <c r="D11" s="47"/>
      <c r="E11" s="48">
        <f>SUMIFS(T:T,B:B,B11,D:D,"Y")</f>
        <v>2890</v>
      </c>
      <c r="F11" s="49">
        <f t="shared" ref="F11:R11" si="2">SUMIF(B28:B1137,B11,G28:G1137)</f>
        <v>10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3</v>
      </c>
      <c r="M11" s="49">
        <f t="shared" si="2"/>
        <v>5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314.4615385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2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2928</v>
      </c>
      <c r="D17" s="31"/>
      <c r="E17" s="53">
        <f>SUMIFS(T:T,A:A,B17,D:D,"Y")</f>
        <v>2928</v>
      </c>
      <c r="F17" s="9">
        <f>SUMIF(A:A,B17,G:G)</f>
        <v>21</v>
      </c>
      <c r="G17" s="33">
        <f>SUMIF(A:A,B17,H:H)</f>
        <v>14</v>
      </c>
      <c r="H17" s="33">
        <f>SUMIF(A:A,B17,I:I)</f>
        <v>3</v>
      </c>
      <c r="I17" s="33">
        <f>SUMIF(A:A,B17,P:P)</f>
        <v>0</v>
      </c>
      <c r="J17" s="33">
        <f>SUMIF(A:A,B17,Q:Q)</f>
        <v>0</v>
      </c>
      <c r="K17" s="33">
        <f>SUMIF(A:A,B17,R:R)</f>
        <v>8</v>
      </c>
      <c r="L17" s="33">
        <f>SUMIF(A:A,B17,S:S)</f>
        <v>0</v>
      </c>
      <c r="M17" s="33">
        <f>SUMIF(A:A,B17,M:M)</f>
        <v>56</v>
      </c>
      <c r="N17" s="33">
        <f>SUMIF(A:A,B17,N:N)</f>
        <v>11</v>
      </c>
      <c r="O17" s="33">
        <f>SUMIF(A:A,B17,O:O)</f>
        <v>2</v>
      </c>
      <c r="P17" s="33">
        <f>SUMIF(A:A,B17,J:J)</f>
        <v>13</v>
      </c>
      <c r="Q17" s="33">
        <f>SUMIF(A:A,B17,K:K)</f>
        <v>3</v>
      </c>
      <c r="R17" s="34">
        <f>SUMIF(A:A,B17,L:L)</f>
        <v>6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976</v>
      </c>
      <c r="F19" s="41">
        <f>IFERROR((G17+R17)/F17,0)</f>
        <v>0.9523809524</v>
      </c>
      <c r="G19" s="41">
        <f>IFERROR(H17/G17,0)</f>
        <v>0.2142857143</v>
      </c>
      <c r="H19" s="40">
        <f>(C17/C19)</f>
        <v>133.0909091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2.8</v>
      </c>
      <c r="N19" s="42"/>
      <c r="O19" s="41">
        <f>IFERROR(O17/N17,0)</f>
        <v>0.1818181818</v>
      </c>
      <c r="P19" s="43"/>
      <c r="Q19" s="41">
        <f>IFERROR(Q17/P17,0)</f>
        <v>0.2307692308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1052</v>
      </c>
      <c r="D20" s="55"/>
      <c r="E20" s="48">
        <f>SUMIFS(T:T,B:B,B20,D:D,"Y")</f>
        <v>1052</v>
      </c>
      <c r="F20" s="49">
        <f>SUMIF(B49:B1137,B20,G49:G1137)</f>
        <v>12</v>
      </c>
      <c r="G20" s="46">
        <f>SUMIF(B49:B1137,B20,H49:H1137)</f>
        <v>7</v>
      </c>
      <c r="H20" s="46">
        <f>SUMIF(B49:B1137,B20,I49:I1137)</f>
        <v>2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5</v>
      </c>
      <c r="L20" s="46">
        <f>SUMIF(B49:B1137,B20,S49:S1137)</f>
        <v>0</v>
      </c>
      <c r="M20" s="46">
        <f>SUMIF(B49:B1137,B20,M49:M1137)</f>
        <v>38</v>
      </c>
      <c r="N20" s="46">
        <f>SUMIF(B49:B1137,B20,N49:N1137)</f>
        <v>5</v>
      </c>
      <c r="O20" s="46">
        <f>SUMIF(B49:B1137,B20,O49:O1137)</f>
        <v>1</v>
      </c>
      <c r="P20" s="46">
        <f>SUMIF(B49:B1137,B20,J49:J1137)</f>
        <v>5</v>
      </c>
      <c r="Q20" s="46">
        <f>SUMIF(B49:B1137,B20,K49:K1137)</f>
        <v>2</v>
      </c>
      <c r="R20" s="50">
        <f>SUMIF(B49:B1137,B20,L49:L1137)</f>
        <v>4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12</v>
      </c>
      <c r="D22" s="39"/>
      <c r="E22" s="40">
        <f>IFERROR(C20/H20,0)</f>
        <v>526</v>
      </c>
      <c r="F22" s="41">
        <f>IFERROR((G20+R20)/F20,0)</f>
        <v>0.9166666667</v>
      </c>
      <c r="G22" s="41">
        <f>IFERROR(H20/G20,0)</f>
        <v>0.2857142857</v>
      </c>
      <c r="H22" s="40">
        <f>(C20/C22)</f>
        <v>87.66666667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3.454545455</v>
      </c>
      <c r="N22" s="42"/>
      <c r="O22" s="41">
        <f>IFERROR(O20/N20,0)</f>
        <v>0.2</v>
      </c>
      <c r="P22" s="43"/>
      <c r="Q22" s="41">
        <f>IFERROR(Q20/P20,0)</f>
        <v>0.4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4</v>
      </c>
      <c r="G23" s="46">
        <f>SUMIF(B52:B1137,B23,H52:H1137)</f>
        <v>3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2</v>
      </c>
      <c r="L23" s="46">
        <f>SUMIF(B52:B1137,B23,S52:S1137)</f>
        <v>0</v>
      </c>
      <c r="M23" s="46">
        <f>SUMIF(B52:B1137,B23,M52:M1137)</f>
        <v>10</v>
      </c>
      <c r="N23" s="46">
        <f>SUMIF(B52:B1137,B23,N52:N1137)</f>
        <v>2</v>
      </c>
      <c r="O23" s="46">
        <f>SUMIF(B52:B1137,B23,O52:O1137)</f>
        <v>0</v>
      </c>
      <c r="P23" s="46">
        <f>SUMIF(B52:B1137,B23,J52:J1137)</f>
        <v>3</v>
      </c>
      <c r="Q23" s="46">
        <f>SUMIF(B52:B1137,B23,K52:K1137)</f>
        <v>0</v>
      </c>
      <c r="R23" s="50">
        <f>SUMIF(B52:B1137,B23,L52:L1137)</f>
        <v>1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1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2.5</v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1.0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2.0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2.0</v>
      </c>
      <c r="H34" s="122">
        <v>1.0</v>
      </c>
      <c r="I34" s="122">
        <v>1.0</v>
      </c>
      <c r="J34" s="122">
        <v>0.0</v>
      </c>
      <c r="K34" s="122">
        <v>0.0</v>
      </c>
      <c r="L34" s="122">
        <v>0.0</v>
      </c>
      <c r="M34" s="122">
        <v>3.0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1198.0</v>
      </c>
      <c r="U34" s="71">
        <f t="shared" si="3"/>
        <v>1</v>
      </c>
      <c r="V34" s="71">
        <f t="shared" si="4"/>
        <v>0.5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4.0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122">
        <v>0.0</v>
      </c>
      <c r="H40" s="122">
        <v>1.0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2890.0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122">
        <v>1.0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122">
        <v>0.0</v>
      </c>
      <c r="H42" s="122">
        <v>0.0</v>
      </c>
      <c r="I42" s="122">
        <v>0.0</v>
      </c>
      <c r="J42" s="122">
        <v>0.0</v>
      </c>
      <c r="K42" s="122">
        <v>0.0</v>
      </c>
      <c r="L42" s="122">
        <v>0.0</v>
      </c>
      <c r="M42" s="122">
        <v>0.0</v>
      </c>
      <c r="N42" s="122">
        <v>0.0</v>
      </c>
      <c r="O42" s="122">
        <v>0.0</v>
      </c>
      <c r="P42" s="122">
        <v>0.0</v>
      </c>
      <c r="Q42" s="122">
        <v>0.0</v>
      </c>
      <c r="R42" s="122">
        <v>0.0</v>
      </c>
      <c r="S42" s="122">
        <v>0.0</v>
      </c>
      <c r="T42" s="122">
        <v>0.0</v>
      </c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122">
        <v>0.0</v>
      </c>
      <c r="H43" s="122">
        <v>0.0</v>
      </c>
      <c r="I43" s="122">
        <v>0.0</v>
      </c>
      <c r="J43" s="122">
        <v>0.0</v>
      </c>
      <c r="K43" s="122">
        <v>0.0</v>
      </c>
      <c r="L43" s="122">
        <v>0.0</v>
      </c>
      <c r="M43" s="122">
        <v>0.0</v>
      </c>
      <c r="N43" s="122">
        <v>0.0</v>
      </c>
      <c r="O43" s="122">
        <v>0.0</v>
      </c>
      <c r="P43" s="122">
        <v>0.0</v>
      </c>
      <c r="Q43" s="122">
        <v>0.0</v>
      </c>
      <c r="R43" s="122">
        <v>0.0</v>
      </c>
      <c r="S43" s="122">
        <v>0.0</v>
      </c>
      <c r="T43" s="122">
        <v>0.0</v>
      </c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122">
        <v>0.0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122">
        <v>1.0</v>
      </c>
      <c r="H53" s="122">
        <v>1.0</v>
      </c>
      <c r="I53" s="122">
        <v>0.0</v>
      </c>
      <c r="J53" s="122">
        <v>0.0</v>
      </c>
      <c r="K53" s="122">
        <v>0.0</v>
      </c>
      <c r="L53" s="122">
        <v>1.0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si="5"/>
        <v>0</v>
      </c>
      <c r="V53" s="71">
        <f t="shared" si="6"/>
        <v>2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122">
        <v>5.0</v>
      </c>
      <c r="H55" s="122">
        <v>4.0</v>
      </c>
      <c r="I55" s="122">
        <v>1.0</v>
      </c>
      <c r="J55" s="122">
        <v>5.0</v>
      </c>
      <c r="K55" s="122">
        <v>1.0</v>
      </c>
      <c r="L55" s="122">
        <v>1.0</v>
      </c>
      <c r="M55" s="122">
        <v>8.0</v>
      </c>
      <c r="N55" s="122">
        <v>4.0</v>
      </c>
      <c r="O55" s="122">
        <v>1.0</v>
      </c>
      <c r="P55" s="122">
        <v>0.0</v>
      </c>
      <c r="Q55" s="122">
        <v>0.0</v>
      </c>
      <c r="R55" s="122">
        <v>1.0</v>
      </c>
      <c r="S55" s="122">
        <v>0.0</v>
      </c>
      <c r="T55" s="122">
        <v>1876.0</v>
      </c>
      <c r="U55" s="71">
        <f t="shared" ref="U55:U76" si="7">IFERROR(I55/H55,0)</f>
        <v>0.25</v>
      </c>
      <c r="V55" s="71">
        <f t="shared" ref="V55:V76" si="8">IFERROR(SUM(H55+L55)/G55,0)</f>
        <v>1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122">
        <v>2.0</v>
      </c>
      <c r="H59" s="122">
        <v>2.0</v>
      </c>
      <c r="I59" s="122">
        <v>0.0</v>
      </c>
      <c r="J59" s="122">
        <v>1.0</v>
      </c>
      <c r="K59" s="122">
        <v>0.0</v>
      </c>
      <c r="L59" s="122">
        <v>0.0</v>
      </c>
      <c r="M59" s="122">
        <v>6.0</v>
      </c>
      <c r="N59" s="122">
        <v>1.0</v>
      </c>
      <c r="O59" s="122">
        <v>0.0</v>
      </c>
      <c r="P59" s="122">
        <v>0.0</v>
      </c>
      <c r="Q59" s="122">
        <v>0.0</v>
      </c>
      <c r="R59" s="122">
        <v>1.0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1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122">
        <v>2.0</v>
      </c>
      <c r="H63" s="122">
        <v>1.0</v>
      </c>
      <c r="I63" s="122">
        <v>1.0</v>
      </c>
      <c r="J63" s="122">
        <v>1.0</v>
      </c>
      <c r="K63" s="122">
        <v>1.0</v>
      </c>
      <c r="L63" s="122">
        <v>1.0</v>
      </c>
      <c r="M63" s="122">
        <v>2.0</v>
      </c>
      <c r="N63" s="122">
        <v>1.0</v>
      </c>
      <c r="O63" s="122">
        <v>1.0</v>
      </c>
      <c r="P63" s="122">
        <v>0.0</v>
      </c>
      <c r="Q63" s="122">
        <v>0.0</v>
      </c>
      <c r="R63" s="122">
        <v>1.0</v>
      </c>
      <c r="S63" s="122">
        <v>0.0</v>
      </c>
      <c r="T63" s="122">
        <v>1052.0</v>
      </c>
      <c r="U63" s="71">
        <f t="shared" si="7"/>
        <v>1</v>
      </c>
      <c r="V63" s="71">
        <f t="shared" si="8"/>
        <v>1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122">
        <v>3.0</v>
      </c>
      <c r="H64" s="122">
        <v>1.0</v>
      </c>
      <c r="I64" s="122">
        <v>1.0</v>
      </c>
      <c r="J64" s="122">
        <v>1.0</v>
      </c>
      <c r="K64" s="122">
        <v>1.0</v>
      </c>
      <c r="L64" s="122">
        <v>1.0</v>
      </c>
      <c r="M64" s="122">
        <v>18.0</v>
      </c>
      <c r="N64" s="122">
        <v>1.0</v>
      </c>
      <c r="O64" s="122">
        <v>0.0</v>
      </c>
      <c r="P64" s="122">
        <v>0.0</v>
      </c>
      <c r="Q64" s="122">
        <v>0.0</v>
      </c>
      <c r="R64" s="122">
        <v>1.0</v>
      </c>
      <c r="S64" s="122">
        <v>0.0</v>
      </c>
      <c r="T64" s="122">
        <v>0.0</v>
      </c>
      <c r="U64" s="71">
        <f t="shared" si="7"/>
        <v>1</v>
      </c>
      <c r="V64" s="71">
        <f t="shared" si="8"/>
        <v>0.6666666667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122">
        <v>2.0</v>
      </c>
      <c r="H66" s="122">
        <v>1.0</v>
      </c>
      <c r="I66" s="122">
        <v>0.0</v>
      </c>
      <c r="J66" s="122">
        <v>0.0</v>
      </c>
      <c r="K66" s="122">
        <v>0.0</v>
      </c>
      <c r="L66" s="122">
        <v>1.0</v>
      </c>
      <c r="M66" s="122">
        <v>3.0</v>
      </c>
      <c r="N66" s="122">
        <v>1.0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1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122">
        <v>2.0</v>
      </c>
      <c r="H67" s="122">
        <v>2.0</v>
      </c>
      <c r="I67" s="122">
        <v>0.0</v>
      </c>
      <c r="J67" s="122">
        <v>2.0</v>
      </c>
      <c r="K67" s="122">
        <v>0.0</v>
      </c>
      <c r="L67" s="122">
        <v>0.0</v>
      </c>
      <c r="M67" s="122">
        <v>6.0</v>
      </c>
      <c r="N67" s="122">
        <v>1.0</v>
      </c>
      <c r="O67" s="122">
        <v>0.0</v>
      </c>
      <c r="P67" s="122">
        <v>0.0</v>
      </c>
      <c r="Q67" s="122">
        <v>0.0</v>
      </c>
      <c r="R67" s="122">
        <v>1.0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1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122">
        <v>1.0</v>
      </c>
      <c r="H68" s="122">
        <v>0.0</v>
      </c>
      <c r="I68" s="122">
        <v>0.0</v>
      </c>
      <c r="J68" s="122">
        <v>0.0</v>
      </c>
      <c r="K68" s="122">
        <v>0.0</v>
      </c>
      <c r="L68" s="122">
        <v>1.0</v>
      </c>
      <c r="M68" s="122">
        <v>3.0</v>
      </c>
      <c r="N68" s="122">
        <v>0.0</v>
      </c>
      <c r="O68" s="122">
        <v>0.0</v>
      </c>
      <c r="P68" s="122">
        <v>0.0</v>
      </c>
      <c r="Q68" s="122">
        <v>0.0</v>
      </c>
      <c r="R68" s="122">
        <v>1.0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1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122">
        <v>4.0</v>
      </c>
      <c r="H71" s="122">
        <v>3.0</v>
      </c>
      <c r="I71" s="122">
        <v>0.0</v>
      </c>
      <c r="J71" s="122">
        <v>3.0</v>
      </c>
      <c r="K71" s="122">
        <v>0.0</v>
      </c>
      <c r="L71" s="122">
        <v>1.0</v>
      </c>
      <c r="M71" s="122">
        <v>10.0</v>
      </c>
      <c r="N71" s="122">
        <v>2.0</v>
      </c>
      <c r="O71" s="122">
        <v>0.0</v>
      </c>
      <c r="P71" s="122">
        <v>0.0</v>
      </c>
      <c r="Q71" s="122">
        <v>0.0</v>
      </c>
      <c r="R71" s="122">
        <v>2.0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1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122">
        <v>0.0</v>
      </c>
      <c r="H74" s="122">
        <v>0.0</v>
      </c>
      <c r="I74" s="122">
        <v>0.0</v>
      </c>
      <c r="J74" s="122">
        <v>0.0</v>
      </c>
      <c r="K74" s="122">
        <v>0.0</v>
      </c>
      <c r="L74" s="122">
        <v>0.0</v>
      </c>
      <c r="M74" s="122">
        <v>0.0</v>
      </c>
      <c r="N74" s="122">
        <v>0.0</v>
      </c>
      <c r="O74" s="122">
        <v>0.0</v>
      </c>
      <c r="P74" s="122">
        <v>0.0</v>
      </c>
      <c r="Q74" s="122">
        <v>0.0</v>
      </c>
      <c r="R74" s="122">
        <v>0.0</v>
      </c>
      <c r="S74" s="122">
        <v>0.0</v>
      </c>
      <c r="T74" s="122">
        <v>0.0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122">
        <v>0.0</v>
      </c>
      <c r="H75" s="122">
        <v>0.0</v>
      </c>
      <c r="I75" s="122">
        <v>0.0</v>
      </c>
      <c r="J75" s="122">
        <v>0.0</v>
      </c>
      <c r="K75" s="122">
        <v>0.0</v>
      </c>
      <c r="L75" s="122">
        <v>0.0</v>
      </c>
      <c r="M75" s="122">
        <v>0.0</v>
      </c>
      <c r="N75" s="122">
        <v>0.0</v>
      </c>
      <c r="O75" s="122">
        <v>0.0</v>
      </c>
      <c r="P75" s="122">
        <v>0.0</v>
      </c>
      <c r="Q75" s="122">
        <v>0.0</v>
      </c>
      <c r="R75" s="122">
        <v>0.0</v>
      </c>
      <c r="S75" s="122">
        <v>0.0</v>
      </c>
      <c r="T75" s="122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122">
        <v>0.0</v>
      </c>
      <c r="H76" s="122">
        <v>0.0</v>
      </c>
      <c r="I76" s="122">
        <v>0.0</v>
      </c>
      <c r="J76" s="122">
        <v>0.0</v>
      </c>
      <c r="K76" s="122">
        <v>0.0</v>
      </c>
      <c r="L76" s="122">
        <v>0.0</v>
      </c>
      <c r="M76" s="122">
        <v>0.0</v>
      </c>
      <c r="N76" s="122">
        <v>0.0</v>
      </c>
      <c r="O76" s="122">
        <v>0.0</v>
      </c>
      <c r="P76" s="122">
        <v>0.0</v>
      </c>
      <c r="Q76" s="122">
        <v>0.0</v>
      </c>
      <c r="R76" s="122">
        <v>0.0</v>
      </c>
      <c r="S76" s="122">
        <v>0.0</v>
      </c>
      <c r="T76" s="122">
        <v>0.0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2424</v>
      </c>
      <c r="D2" s="10"/>
      <c r="E2" s="9">
        <f t="shared" ref="E2:R2" si="1">SUM(E5,E14,E17)</f>
        <v>0</v>
      </c>
      <c r="F2" s="9">
        <f t="shared" si="1"/>
        <v>49</v>
      </c>
      <c r="G2" s="9">
        <f t="shared" si="1"/>
        <v>16</v>
      </c>
      <c r="H2" s="9">
        <f t="shared" si="1"/>
        <v>3</v>
      </c>
      <c r="I2" s="9">
        <f t="shared" si="1"/>
        <v>2</v>
      </c>
      <c r="J2" s="9">
        <f t="shared" si="1"/>
        <v>0</v>
      </c>
      <c r="K2" s="9">
        <f t="shared" si="1"/>
        <v>9</v>
      </c>
      <c r="L2" s="9">
        <f t="shared" si="1"/>
        <v>0</v>
      </c>
      <c r="M2" s="9">
        <f t="shared" si="1"/>
        <v>41</v>
      </c>
      <c r="N2" s="9">
        <f t="shared" si="1"/>
        <v>8</v>
      </c>
      <c r="O2" s="9">
        <f t="shared" si="1"/>
        <v>1</v>
      </c>
      <c r="P2" s="9">
        <f t="shared" si="1"/>
        <v>11</v>
      </c>
      <c r="Q2" s="9">
        <f t="shared" si="1"/>
        <v>1</v>
      </c>
      <c r="R2" s="9">
        <f t="shared" si="1"/>
        <v>9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808</v>
      </c>
      <c r="F4" s="23">
        <f>IFERROR((G2+R2)/F2,0)</f>
        <v>0.5102040816</v>
      </c>
      <c r="G4" s="23">
        <f>IFERROR(H2/G2,0)</f>
        <v>0.1875</v>
      </c>
      <c r="H4" s="22">
        <f>(C2/C4)</f>
        <v>51.57446809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2.5625</v>
      </c>
      <c r="N4" s="24"/>
      <c r="O4" s="23">
        <f>IFERROR(O2/N2,0)</f>
        <v>0.125</v>
      </c>
      <c r="P4" s="26"/>
      <c r="Q4" s="23">
        <f>IFERROR(Q2/P2,0)</f>
        <v>0.09090909091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531</v>
      </c>
      <c r="D5" s="31"/>
      <c r="E5" s="32">
        <f>SUMIFS(T:T,A:A,B5,D:D,"Y")</f>
        <v>0</v>
      </c>
      <c r="F5" s="33">
        <f>SUMIF(A:A,B5,G:G)</f>
        <v>10</v>
      </c>
      <c r="G5" s="33">
        <f>SUMIF(A:A,B5,H:H)</f>
        <v>4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4</v>
      </c>
      <c r="L5" s="33">
        <f>SUMIF(A:A,B5,S:S)</f>
        <v>0</v>
      </c>
      <c r="M5" s="33">
        <f>SUMIF(A:A,B5,M:M)</f>
        <v>10</v>
      </c>
      <c r="N5" s="33">
        <f>SUMIF(A:A,B5,N:N)</f>
        <v>0</v>
      </c>
      <c r="O5" s="33">
        <f>SUMIF(A:A,B5,O:O)</f>
        <v>0</v>
      </c>
      <c r="P5" s="33">
        <f>SUMIF(A:A,B5,J:J)</f>
        <v>3</v>
      </c>
      <c r="Q5" s="33">
        <f>SUMIF(A:A,B5,K:K)</f>
        <v>0</v>
      </c>
      <c r="R5" s="34">
        <f>SUMIF(A:A,B5,L:L)</f>
        <v>4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531</v>
      </c>
      <c r="F7" s="41">
        <f>IFERROR((G5+R5)/F5,0)</f>
        <v>0.8</v>
      </c>
      <c r="G7" s="41">
        <f>IFERROR(H5/G5,0)</f>
        <v>0.25</v>
      </c>
      <c r="H7" s="40">
        <f>(C5/C7)</f>
        <v>25.28571429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1.25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531</v>
      </c>
      <c r="D11" s="47"/>
      <c r="E11" s="48">
        <f>SUMIFS(T:T,B:B,B11,D:D,"Y")</f>
        <v>0</v>
      </c>
      <c r="F11" s="49">
        <f t="shared" ref="F11:R11" si="2">SUMIF(B28:B1137,B11,G28:G1137)</f>
        <v>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11</v>
      </c>
      <c r="M11" s="49">
        <f t="shared" si="2"/>
        <v>7</v>
      </c>
      <c r="N11" s="49">
        <f t="shared" si="2"/>
        <v>0</v>
      </c>
      <c r="O11" s="49">
        <f t="shared" si="2"/>
        <v>2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40.84615385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858</v>
      </c>
      <c r="D14" s="31"/>
      <c r="E14" s="53">
        <f>SUMIFS(T:T,A:A,B14,D:D,"Y")</f>
        <v>0</v>
      </c>
      <c r="F14" s="9">
        <f>SUMIF(A:A,B14,G:G)</f>
        <v>4</v>
      </c>
      <c r="G14" s="33">
        <f>SUMIF(A:A,B14,H:H)</f>
        <v>2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3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858</v>
      </c>
      <c r="F16" s="23">
        <f>IFERROR((G14+R14)/F14,0)</f>
        <v>0.5</v>
      </c>
      <c r="G16" s="23">
        <f>IFERROR(H14/G14,0)</f>
        <v>0.5</v>
      </c>
      <c r="H16" s="22">
        <f>(C14/C16)</f>
        <v>214.5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1.5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1035</v>
      </c>
      <c r="D17" s="31"/>
      <c r="E17" s="53">
        <f>SUMIFS(T:T,A:A,B17,D:D,"Y")</f>
        <v>0</v>
      </c>
      <c r="F17" s="9">
        <f>SUMIF(A:A,B17,G:G)</f>
        <v>35</v>
      </c>
      <c r="G17" s="33">
        <f>SUMIF(A:A,B17,H:H)</f>
        <v>10</v>
      </c>
      <c r="H17" s="33">
        <f>SUMIF(A:A,B17,I:I)</f>
        <v>1</v>
      </c>
      <c r="I17" s="33">
        <f>SUMIF(A:A,B17,P:P)</f>
        <v>2</v>
      </c>
      <c r="J17" s="33">
        <f>SUMIF(A:A,B17,Q:Q)</f>
        <v>0</v>
      </c>
      <c r="K17" s="33">
        <f>SUMIF(A:A,B17,R:R)</f>
        <v>5</v>
      </c>
      <c r="L17" s="33">
        <f>SUMIF(A:A,B17,S:S)</f>
        <v>0</v>
      </c>
      <c r="M17" s="33">
        <f>SUMIF(A:A,B17,M:M)</f>
        <v>28</v>
      </c>
      <c r="N17" s="33">
        <f>SUMIF(A:A,B17,N:N)</f>
        <v>8</v>
      </c>
      <c r="O17" s="33">
        <f>SUMIF(A:A,B17,O:O)</f>
        <v>1</v>
      </c>
      <c r="P17" s="33">
        <f>SUMIF(A:A,B17,J:J)</f>
        <v>7</v>
      </c>
      <c r="Q17" s="33">
        <f>SUMIF(A:A,B17,K:K)</f>
        <v>1</v>
      </c>
      <c r="R17" s="34">
        <f>SUMIF(A:A,B17,L:L)</f>
        <v>5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1035</v>
      </c>
      <c r="F19" s="41">
        <f>IFERROR((G17+R17)/F17,0)</f>
        <v>0.4285714286</v>
      </c>
      <c r="G19" s="41">
        <f>IFERROR(H17/G17,0)</f>
        <v>0.1</v>
      </c>
      <c r="H19" s="40">
        <f>(C17/C19)</f>
        <v>47.04545455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1.866666667</v>
      </c>
      <c r="N19" s="42"/>
      <c r="O19" s="41">
        <f>IFERROR(O17/N17,0)</f>
        <v>0.125</v>
      </c>
      <c r="P19" s="43"/>
      <c r="Q19" s="41">
        <f>IFERROR(Q17/P17,0)</f>
        <v>0.1428571429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1035</v>
      </c>
      <c r="D20" s="55"/>
      <c r="E20" s="48">
        <f>SUMIFS(T:T,B:B,B20,D:D,"Y")</f>
        <v>0</v>
      </c>
      <c r="F20" s="49">
        <f>SUMIF(B49:B1137,B20,G49:G1137)</f>
        <v>18</v>
      </c>
      <c r="G20" s="46">
        <f>SUMIF(B49:B1137,B20,H49:H1137)</f>
        <v>7</v>
      </c>
      <c r="H20" s="46">
        <f>SUMIF(B49:B1137,B20,I49:I1137)</f>
        <v>1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5</v>
      </c>
      <c r="L20" s="46">
        <f>SUMIF(B49:B1137,B20,S49:S1137)</f>
        <v>0</v>
      </c>
      <c r="M20" s="46">
        <f>SUMIF(B49:B1137,B20,M49:M1137)</f>
        <v>20</v>
      </c>
      <c r="N20" s="46">
        <f>SUMIF(B49:B1137,B20,N49:N1137)</f>
        <v>5</v>
      </c>
      <c r="O20" s="46">
        <f>SUMIF(B49:B1137,B20,O49:O1137)</f>
        <v>1</v>
      </c>
      <c r="P20" s="46">
        <f>SUMIF(B49:B1137,B20,J49:J1137)</f>
        <v>5</v>
      </c>
      <c r="Q20" s="46">
        <f>SUMIF(B49:B1137,B20,K49:K1137)</f>
        <v>1</v>
      </c>
      <c r="R20" s="50">
        <f>SUMIF(B49:B1137,B20,L49:L1137)</f>
        <v>4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12</v>
      </c>
      <c r="D22" s="39"/>
      <c r="E22" s="40">
        <f>IFERROR(C20/H20,0)</f>
        <v>1035</v>
      </c>
      <c r="F22" s="41">
        <f>IFERROR((G20+R20)/F20,0)</f>
        <v>0.6111111111</v>
      </c>
      <c r="G22" s="41">
        <f>IFERROR(H20/G20,0)</f>
        <v>0.1428571429</v>
      </c>
      <c r="H22" s="40">
        <f>(C20/C22)</f>
        <v>86.25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1.818181818</v>
      </c>
      <c r="N22" s="42"/>
      <c r="O22" s="41">
        <f>IFERROR(O20/N20,0)</f>
        <v>0.2</v>
      </c>
      <c r="P22" s="43"/>
      <c r="Q22" s="41">
        <f>IFERROR(Q20/P20,0)</f>
        <v>0.2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3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8</v>
      </c>
      <c r="N23" s="46">
        <f>SUMIF(B52:B1137,B23,N52:N1137)</f>
        <v>2</v>
      </c>
      <c r="O23" s="46">
        <f>SUMIF(B52:B1137,B23,O52:O1137)</f>
        <v>0</v>
      </c>
      <c r="P23" s="46">
        <f>SUMIF(B52:B1137,B23,J52:J1137)</f>
        <v>2</v>
      </c>
      <c r="Q23" s="46">
        <f>SUMIF(B52:B1137,B23,K52:K1137)</f>
        <v>0</v>
      </c>
      <c r="R23" s="50">
        <f>SUMIF(B52:B1137,B23,L52:L1137)</f>
        <v>1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0.3333333333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8</v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2.0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4.0</v>
      </c>
      <c r="H30" s="122">
        <v>3.0</v>
      </c>
      <c r="I30" s="122">
        <v>0.0</v>
      </c>
      <c r="J30" s="122">
        <v>2.0</v>
      </c>
      <c r="K30" s="122">
        <v>0.0</v>
      </c>
      <c r="L30" s="122">
        <v>3.0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3.0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1.5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1.0</v>
      </c>
      <c r="H31" s="122">
        <v>1.0</v>
      </c>
      <c r="I31" s="122">
        <v>0.0</v>
      </c>
      <c r="J31" s="122">
        <v>1.0</v>
      </c>
      <c r="K31" s="122">
        <v>0.0</v>
      </c>
      <c r="L31" s="122">
        <v>1.0</v>
      </c>
      <c r="M31" s="122">
        <v>10.0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1.0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2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122">
        <v>0.0</v>
      </c>
      <c r="H32" s="122">
        <v>0.0</v>
      </c>
      <c r="I32" s="122">
        <v>1.0</v>
      </c>
      <c r="J32" s="122">
        <v>0.0</v>
      </c>
      <c r="K32" s="122">
        <v>0.0</v>
      </c>
      <c r="L32" s="122">
        <v>0.0</v>
      </c>
      <c r="M32" s="122">
        <v>0.0</v>
      </c>
      <c r="N32" s="122">
        <v>0.0</v>
      </c>
      <c r="O32" s="122">
        <v>0.0</v>
      </c>
      <c r="P32" s="122">
        <v>0.0</v>
      </c>
      <c r="Q32" s="122">
        <v>0.0</v>
      </c>
      <c r="R32" s="122">
        <v>0.0</v>
      </c>
      <c r="S32" s="122">
        <v>0.0</v>
      </c>
      <c r="T32" s="122">
        <v>531.0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3.0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127">
        <v>0.0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122">
        <v>0.0</v>
      </c>
      <c r="H40" s="122">
        <v>0.0</v>
      </c>
      <c r="I40" s="122">
        <v>0.0</v>
      </c>
      <c r="J40" s="122">
        <v>0.0</v>
      </c>
      <c r="K40" s="122">
        <v>0.0</v>
      </c>
      <c r="L40" s="122">
        <v>0.0</v>
      </c>
      <c r="M40" s="122">
        <v>0.0</v>
      </c>
      <c r="N40" s="122">
        <v>0.0</v>
      </c>
      <c r="O40" s="122">
        <v>0.0</v>
      </c>
      <c r="P40" s="122">
        <v>0.0</v>
      </c>
      <c r="Q40" s="122">
        <v>0.0</v>
      </c>
      <c r="R40" s="122">
        <v>0.0</v>
      </c>
      <c r="S40" s="122">
        <v>0.0</v>
      </c>
      <c r="T40" s="122">
        <v>0.0</v>
      </c>
      <c r="U40" s="127">
        <v>0.0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122">
        <v>0.0</v>
      </c>
      <c r="H41" s="122">
        <v>0.0</v>
      </c>
      <c r="I41" s="122">
        <v>0.0</v>
      </c>
      <c r="J41" s="122">
        <v>0.0</v>
      </c>
      <c r="K41" s="122">
        <v>0.0</v>
      </c>
      <c r="L41" s="122">
        <v>0.0</v>
      </c>
      <c r="M41" s="122">
        <v>0.0</v>
      </c>
      <c r="N41" s="122">
        <v>0.0</v>
      </c>
      <c r="O41" s="122">
        <v>0.0</v>
      </c>
      <c r="P41" s="122">
        <v>0.0</v>
      </c>
      <c r="Q41" s="122">
        <v>0.0</v>
      </c>
      <c r="R41" s="122">
        <v>0.0</v>
      </c>
      <c r="S41" s="122">
        <v>0.0</v>
      </c>
      <c r="T41" s="122">
        <v>0.0</v>
      </c>
      <c r="U41" s="71">
        <f>IFERROR(I41/H41,0)</f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122">
        <v>0.0</v>
      </c>
      <c r="H42" s="122">
        <v>0.0</v>
      </c>
      <c r="I42" s="122">
        <v>0.0</v>
      </c>
      <c r="J42" s="122">
        <v>0.0</v>
      </c>
      <c r="K42" s="122">
        <v>0.0</v>
      </c>
      <c r="L42" s="122">
        <v>0.0</v>
      </c>
      <c r="M42" s="122">
        <v>0.0</v>
      </c>
      <c r="N42" s="122">
        <v>0.0</v>
      </c>
      <c r="O42" s="122">
        <v>0.0</v>
      </c>
      <c r="P42" s="122">
        <v>0.0</v>
      </c>
      <c r="Q42" s="122">
        <v>0.0</v>
      </c>
      <c r="R42" s="122">
        <v>0.0</v>
      </c>
      <c r="S42" s="122">
        <v>0.0</v>
      </c>
      <c r="T42" s="122">
        <v>0.0</v>
      </c>
      <c r="U42" s="127">
        <v>0.0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122">
        <v>0.0</v>
      </c>
      <c r="H43" s="122">
        <v>0.0</v>
      </c>
      <c r="I43" s="122">
        <v>0.0</v>
      </c>
      <c r="J43" s="122">
        <v>0.0</v>
      </c>
      <c r="K43" s="122">
        <v>0.0</v>
      </c>
      <c r="L43" s="122">
        <v>0.0</v>
      </c>
      <c r="M43" s="122">
        <v>0.0</v>
      </c>
      <c r="N43" s="122">
        <v>0.0</v>
      </c>
      <c r="O43" s="122">
        <v>0.0</v>
      </c>
      <c r="P43" s="122">
        <v>0.0</v>
      </c>
      <c r="Q43" s="122">
        <v>0.0</v>
      </c>
      <c r="R43" s="122">
        <v>0.0</v>
      </c>
      <c r="S43" s="122">
        <v>0.0</v>
      </c>
      <c r="T43" s="122">
        <v>0.0</v>
      </c>
      <c r="U43" s="71">
        <f t="shared" ref="U43:U48" si="5">IFERROR(I43/H43,0)</f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5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122">
        <v>0.0</v>
      </c>
      <c r="H50" s="122">
        <v>0.0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0.0</v>
      </c>
      <c r="O50" s="122">
        <v>0.0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ref="U50:U53" si="6">IFERROR(I50/H50,0)</f>
        <v>0</v>
      </c>
      <c r="V50" s="71">
        <f t="shared" ref="V50:V53" si="7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122">
        <v>2.0</v>
      </c>
      <c r="H51" s="122">
        <v>1.0</v>
      </c>
      <c r="I51" s="122">
        <v>1.0</v>
      </c>
      <c r="J51" s="122">
        <v>0.0</v>
      </c>
      <c r="K51" s="122">
        <v>0.0</v>
      </c>
      <c r="L51" s="122">
        <v>0.0</v>
      </c>
      <c r="M51" s="122">
        <v>2.0</v>
      </c>
      <c r="N51" s="122">
        <v>0.0</v>
      </c>
      <c r="O51" s="122">
        <v>0.0</v>
      </c>
      <c r="P51" s="122">
        <v>0.0</v>
      </c>
      <c r="Q51" s="122">
        <v>0.0</v>
      </c>
      <c r="R51" s="122">
        <v>0.0</v>
      </c>
      <c r="S51" s="122">
        <v>0.0</v>
      </c>
      <c r="T51" s="122">
        <v>858.0</v>
      </c>
      <c r="U51" s="71">
        <f t="shared" si="6"/>
        <v>1</v>
      </c>
      <c r="V51" s="71">
        <f t="shared" si="7"/>
        <v>0.5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2">
        <v>2.0</v>
      </c>
      <c r="H52" s="122">
        <v>1.0</v>
      </c>
      <c r="I52" s="122">
        <v>0.0</v>
      </c>
      <c r="J52" s="122">
        <v>1.0</v>
      </c>
      <c r="K52" s="122">
        <v>0.0</v>
      </c>
      <c r="L52" s="122">
        <v>0.0</v>
      </c>
      <c r="M52" s="122">
        <v>1.0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6"/>
        <v>0</v>
      </c>
      <c r="V52" s="71">
        <f t="shared" si="7"/>
        <v>0.5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si="6"/>
        <v>0</v>
      </c>
      <c r="V53" s="71">
        <f t="shared" si="7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128">
        <v>0.0</v>
      </c>
      <c r="H55" s="128">
        <v>0.0</v>
      </c>
      <c r="I55" s="128">
        <v>0.0</v>
      </c>
      <c r="J55" s="128">
        <v>0.0</v>
      </c>
      <c r="K55" s="128">
        <v>0.0</v>
      </c>
      <c r="L55" s="128">
        <v>0.0</v>
      </c>
      <c r="M55" s="128">
        <v>0.0</v>
      </c>
      <c r="N55" s="128">
        <v>0.0</v>
      </c>
      <c r="O55" s="128">
        <v>0.0</v>
      </c>
      <c r="P55" s="128">
        <v>0.0</v>
      </c>
      <c r="Q55" s="128">
        <v>0.0</v>
      </c>
      <c r="R55" s="128">
        <v>0.0</v>
      </c>
      <c r="S55" s="128">
        <v>0.0</v>
      </c>
      <c r="T55" s="128">
        <v>0.0</v>
      </c>
      <c r="U55" s="71">
        <f t="shared" ref="U55:U76" si="8">IFERROR(I55/H55,0)</f>
        <v>0</v>
      </c>
      <c r="V55" s="71">
        <f t="shared" ref="V55:V76" si="9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8">
        <v>0.0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128">
        <v>0.0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70">
        <v>14.0</v>
      </c>
      <c r="H58" s="70">
        <v>3.0</v>
      </c>
      <c r="I58" s="70">
        <v>0.0</v>
      </c>
      <c r="J58" s="70">
        <v>0.0</v>
      </c>
      <c r="K58" s="70">
        <v>0.0</v>
      </c>
      <c r="L58" s="70">
        <v>0.0</v>
      </c>
      <c r="M58" s="70">
        <v>0.0</v>
      </c>
      <c r="N58" s="70">
        <v>1.0</v>
      </c>
      <c r="O58" s="70">
        <v>0.0</v>
      </c>
      <c r="P58" s="70">
        <v>2.0</v>
      </c>
      <c r="Q58" s="70">
        <v>0.0</v>
      </c>
      <c r="R58" s="70">
        <v>0.0</v>
      </c>
      <c r="S58" s="70">
        <v>0.0</v>
      </c>
      <c r="T58" s="70">
        <v>0.0</v>
      </c>
      <c r="U58" s="71">
        <f t="shared" si="8"/>
        <v>0</v>
      </c>
      <c r="V58" s="71">
        <f t="shared" si="9"/>
        <v>0.2142857143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70">
        <v>3.0</v>
      </c>
      <c r="H59" s="70">
        <v>0.0</v>
      </c>
      <c r="I59" s="70">
        <v>0.0</v>
      </c>
      <c r="J59" s="70">
        <v>1.0</v>
      </c>
      <c r="K59" s="70">
        <v>0.0</v>
      </c>
      <c r="L59" s="70">
        <v>1.0</v>
      </c>
      <c r="M59" s="70">
        <v>3.0</v>
      </c>
      <c r="N59" s="70">
        <v>0.0</v>
      </c>
      <c r="O59" s="70">
        <v>0.0</v>
      </c>
      <c r="P59" s="70">
        <v>0.0</v>
      </c>
      <c r="Q59" s="70">
        <v>0.0</v>
      </c>
      <c r="R59" s="70">
        <v>1.0</v>
      </c>
      <c r="S59" s="70">
        <v>0.0</v>
      </c>
      <c r="T59" s="70">
        <v>0.0</v>
      </c>
      <c r="U59" s="71">
        <f t="shared" si="8"/>
        <v>0</v>
      </c>
      <c r="V59" s="71">
        <f t="shared" si="9"/>
        <v>0.3333333333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70">
        <v>3.0</v>
      </c>
      <c r="H60" s="70">
        <v>2.0</v>
      </c>
      <c r="I60" s="70">
        <v>0.0</v>
      </c>
      <c r="J60" s="70">
        <v>2.0</v>
      </c>
      <c r="K60" s="70">
        <v>0.0</v>
      </c>
      <c r="L60" s="70">
        <v>1.0</v>
      </c>
      <c r="M60" s="70">
        <v>2.0</v>
      </c>
      <c r="N60" s="70">
        <v>1.0</v>
      </c>
      <c r="O60" s="70">
        <v>0.0</v>
      </c>
      <c r="P60" s="70">
        <v>0.0</v>
      </c>
      <c r="Q60" s="70">
        <v>0.0</v>
      </c>
      <c r="R60" s="70">
        <v>2.0</v>
      </c>
      <c r="S60" s="70">
        <v>0.0</v>
      </c>
      <c r="T60" s="70">
        <v>0.0</v>
      </c>
      <c r="U60" s="71">
        <f t="shared" si="8"/>
        <v>0</v>
      </c>
      <c r="V60" s="71">
        <f t="shared" si="9"/>
        <v>1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70">
        <v>5.0</v>
      </c>
      <c r="H63" s="70">
        <v>2.0</v>
      </c>
      <c r="I63" s="70">
        <v>0.0</v>
      </c>
      <c r="J63" s="70">
        <v>1.0</v>
      </c>
      <c r="K63" s="70">
        <v>0.0</v>
      </c>
      <c r="L63" s="70">
        <v>1.0</v>
      </c>
      <c r="M63" s="70">
        <v>3.0</v>
      </c>
      <c r="N63" s="70">
        <v>1.0</v>
      </c>
      <c r="O63" s="70">
        <v>0.0</v>
      </c>
      <c r="P63" s="70">
        <v>0.0</v>
      </c>
      <c r="Q63" s="70">
        <v>0.0</v>
      </c>
      <c r="R63" s="70">
        <v>1.0</v>
      </c>
      <c r="S63" s="70">
        <v>0.0</v>
      </c>
      <c r="T63" s="70">
        <v>0.0</v>
      </c>
      <c r="U63" s="71">
        <f t="shared" si="8"/>
        <v>0</v>
      </c>
      <c r="V63" s="71">
        <f t="shared" si="9"/>
        <v>0.6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70">
        <v>3.0</v>
      </c>
      <c r="H64" s="70">
        <v>1.0</v>
      </c>
      <c r="I64" s="70">
        <v>0.0</v>
      </c>
      <c r="J64" s="70">
        <v>0.0</v>
      </c>
      <c r="K64" s="70">
        <v>0.0</v>
      </c>
      <c r="L64" s="70">
        <v>1.0</v>
      </c>
      <c r="M64" s="70">
        <v>6.0</v>
      </c>
      <c r="N64" s="70">
        <v>1.0</v>
      </c>
      <c r="O64" s="70">
        <v>0.0</v>
      </c>
      <c r="P64" s="70">
        <v>0.0</v>
      </c>
      <c r="Q64" s="70">
        <v>0.0</v>
      </c>
      <c r="R64" s="70">
        <v>1.0</v>
      </c>
      <c r="S64" s="70">
        <v>0.0</v>
      </c>
      <c r="T64" s="70">
        <v>0.0</v>
      </c>
      <c r="U64" s="71">
        <f t="shared" si="8"/>
        <v>0</v>
      </c>
      <c r="V64" s="71">
        <f t="shared" si="9"/>
        <v>0.6666666667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70">
        <v>1.0</v>
      </c>
      <c r="H66" s="70">
        <v>1.0</v>
      </c>
      <c r="I66" s="70">
        <v>0.0</v>
      </c>
      <c r="J66" s="70">
        <v>0.0</v>
      </c>
      <c r="K66" s="70">
        <v>0.0</v>
      </c>
      <c r="L66" s="70">
        <v>0.0</v>
      </c>
      <c r="M66" s="70">
        <v>4.0</v>
      </c>
      <c r="N66" s="70">
        <v>1.0</v>
      </c>
      <c r="O66" s="70">
        <v>0.0</v>
      </c>
      <c r="P66" s="70">
        <v>0.0</v>
      </c>
      <c r="Q66" s="70">
        <v>0.0</v>
      </c>
      <c r="R66" s="70">
        <v>0.0</v>
      </c>
      <c r="S66" s="70">
        <v>0.0</v>
      </c>
      <c r="T66" s="70">
        <v>0.0</v>
      </c>
      <c r="U66" s="71">
        <f t="shared" si="8"/>
        <v>0</v>
      </c>
      <c r="V66" s="71">
        <f t="shared" si="9"/>
        <v>1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70">
        <v>3.0</v>
      </c>
      <c r="H67" s="70">
        <v>1.0</v>
      </c>
      <c r="I67" s="70">
        <v>1.0</v>
      </c>
      <c r="J67" s="70">
        <v>1.0</v>
      </c>
      <c r="K67" s="70">
        <v>1.0</v>
      </c>
      <c r="L67" s="70">
        <v>0.0</v>
      </c>
      <c r="M67" s="70">
        <v>2.0</v>
      </c>
      <c r="N67" s="70">
        <v>1.0</v>
      </c>
      <c r="O67" s="70">
        <v>1.0</v>
      </c>
      <c r="P67" s="70">
        <v>0.0</v>
      </c>
      <c r="Q67" s="70">
        <v>0.0</v>
      </c>
      <c r="R67" s="70">
        <v>0.0</v>
      </c>
      <c r="S67" s="70">
        <v>0.0</v>
      </c>
      <c r="T67" s="70">
        <v>1035.0</v>
      </c>
      <c r="U67" s="71">
        <f t="shared" si="8"/>
        <v>1</v>
      </c>
      <c r="V67" s="71">
        <f t="shared" si="9"/>
        <v>0.3333333333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70">
        <v>0.0</v>
      </c>
      <c r="H68" s="70">
        <v>0.0</v>
      </c>
      <c r="I68" s="70">
        <v>0.0</v>
      </c>
      <c r="J68" s="70">
        <v>0.0</v>
      </c>
      <c r="K68" s="70">
        <v>0.0</v>
      </c>
      <c r="L68" s="70">
        <v>0.0</v>
      </c>
      <c r="M68" s="70">
        <v>0.0</v>
      </c>
      <c r="N68" s="70">
        <v>0.0</v>
      </c>
      <c r="O68" s="70">
        <v>0.0</v>
      </c>
      <c r="P68" s="70">
        <v>0.0</v>
      </c>
      <c r="Q68" s="70">
        <v>0.0</v>
      </c>
      <c r="R68" s="70">
        <v>0.0</v>
      </c>
      <c r="S68" s="70">
        <v>0.0</v>
      </c>
      <c r="T68" s="70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70">
        <v>0.0</v>
      </c>
      <c r="H69" s="70">
        <v>0.0</v>
      </c>
      <c r="I69" s="70">
        <v>0.0</v>
      </c>
      <c r="J69" s="70">
        <v>0.0</v>
      </c>
      <c r="K69" s="70">
        <v>0.0</v>
      </c>
      <c r="L69" s="70">
        <v>0.0</v>
      </c>
      <c r="M69" s="70">
        <v>0.0</v>
      </c>
      <c r="N69" s="70">
        <v>0.0</v>
      </c>
      <c r="O69" s="70">
        <v>0.0</v>
      </c>
      <c r="P69" s="70">
        <v>0.0</v>
      </c>
      <c r="Q69" s="70">
        <v>0.0</v>
      </c>
      <c r="R69" s="70">
        <v>0.0</v>
      </c>
      <c r="S69" s="70">
        <v>0.0</v>
      </c>
      <c r="T69" s="70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>
        <v>3.0</v>
      </c>
      <c r="H73" s="70">
        <v>0.0</v>
      </c>
      <c r="I73" s="70">
        <v>0.0</v>
      </c>
      <c r="J73" s="70">
        <v>2.0</v>
      </c>
      <c r="K73" s="70">
        <v>0.0</v>
      </c>
      <c r="L73" s="70">
        <v>1.0</v>
      </c>
      <c r="M73" s="70">
        <v>8.0</v>
      </c>
      <c r="N73" s="70">
        <v>2.0</v>
      </c>
      <c r="O73" s="70">
        <v>0.0</v>
      </c>
      <c r="P73" s="70">
        <v>0.0</v>
      </c>
      <c r="Q73" s="70">
        <v>0.0</v>
      </c>
      <c r="R73" s="70">
        <v>0.0</v>
      </c>
      <c r="S73" s="70">
        <v>0.0</v>
      </c>
      <c r="T73" s="70">
        <v>0.0</v>
      </c>
      <c r="U73" s="71">
        <f t="shared" si="8"/>
        <v>0</v>
      </c>
      <c r="V73" s="71">
        <f t="shared" si="9"/>
        <v>0.3333333333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122">
        <v>0.0</v>
      </c>
      <c r="H74" s="122">
        <v>0.0</v>
      </c>
      <c r="I74" s="122">
        <v>0.0</v>
      </c>
      <c r="J74" s="122">
        <v>0.0</v>
      </c>
      <c r="K74" s="122">
        <v>0.0</v>
      </c>
      <c r="L74" s="122">
        <v>0.0</v>
      </c>
      <c r="M74" s="122">
        <v>0.0</v>
      </c>
      <c r="N74" s="122">
        <v>0.0</v>
      </c>
      <c r="O74" s="122">
        <v>0.0</v>
      </c>
      <c r="P74" s="122">
        <v>0.0</v>
      </c>
      <c r="Q74" s="122">
        <v>0.0</v>
      </c>
      <c r="R74" s="122">
        <v>0.0</v>
      </c>
      <c r="S74" s="122">
        <v>0.0</v>
      </c>
      <c r="T74" s="122">
        <v>0.0</v>
      </c>
      <c r="U74" s="71">
        <f t="shared" si="8"/>
        <v>0</v>
      </c>
      <c r="V74" s="71">
        <f t="shared" si="9"/>
        <v>0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122">
        <v>0.0</v>
      </c>
      <c r="H75" s="122">
        <v>0.0</v>
      </c>
      <c r="I75" s="122">
        <v>0.0</v>
      </c>
      <c r="J75" s="122">
        <v>0.0</v>
      </c>
      <c r="K75" s="122">
        <v>0.0</v>
      </c>
      <c r="L75" s="122">
        <v>0.0</v>
      </c>
      <c r="M75" s="122">
        <v>0.0</v>
      </c>
      <c r="N75" s="122">
        <v>0.0</v>
      </c>
      <c r="O75" s="122">
        <v>0.0</v>
      </c>
      <c r="P75" s="122">
        <v>0.0</v>
      </c>
      <c r="Q75" s="122">
        <v>0.0</v>
      </c>
      <c r="R75" s="122">
        <v>0.0</v>
      </c>
      <c r="S75" s="122">
        <v>0.0</v>
      </c>
      <c r="T75" s="122">
        <v>0.0</v>
      </c>
      <c r="U75" s="71">
        <f t="shared" si="8"/>
        <v>0</v>
      </c>
      <c r="V75" s="71">
        <f t="shared" si="9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1">
        <f t="shared" si="8"/>
        <v>0</v>
      </c>
      <c r="V76" s="71">
        <f t="shared" si="9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8765.6</v>
      </c>
      <c r="D2" s="10"/>
      <c r="E2" s="9">
        <f t="shared" ref="E2:R2" si="1">SUM(E5,E14,E17)</f>
        <v>1154</v>
      </c>
      <c r="F2" s="9">
        <f t="shared" si="1"/>
        <v>41</v>
      </c>
      <c r="G2" s="9">
        <f t="shared" si="1"/>
        <v>19</v>
      </c>
      <c r="H2" s="9">
        <f t="shared" si="1"/>
        <v>5</v>
      </c>
      <c r="I2" s="9">
        <f t="shared" si="1"/>
        <v>2</v>
      </c>
      <c r="J2" s="9">
        <f t="shared" si="1"/>
        <v>1</v>
      </c>
      <c r="K2" s="9">
        <f t="shared" si="1"/>
        <v>10</v>
      </c>
      <c r="L2" s="9">
        <f t="shared" si="1"/>
        <v>2</v>
      </c>
      <c r="M2" s="9">
        <f t="shared" si="1"/>
        <v>21</v>
      </c>
      <c r="N2" s="9">
        <f t="shared" si="1"/>
        <v>7</v>
      </c>
      <c r="O2" s="9">
        <f t="shared" si="1"/>
        <v>3</v>
      </c>
      <c r="P2" s="9">
        <f t="shared" si="1"/>
        <v>5</v>
      </c>
      <c r="Q2" s="9">
        <f t="shared" si="1"/>
        <v>1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1753.12</v>
      </c>
      <c r="F4" s="23">
        <f>IFERROR((G2+R2)/F2,0)</f>
        <v>0.5365853659</v>
      </c>
      <c r="G4" s="23">
        <f>IFERROR(H2/G2,0)</f>
        <v>0.2631578947</v>
      </c>
      <c r="H4" s="22">
        <f>(C2/C4)</f>
        <v>186.5021277</v>
      </c>
      <c r="I4" s="24"/>
      <c r="J4" s="23">
        <f>IFERROR(J2/I2,0)</f>
        <v>0.5</v>
      </c>
      <c r="K4" s="24"/>
      <c r="L4" s="23">
        <f>IFERROR(L2/K2,0)</f>
        <v>0.2</v>
      </c>
      <c r="M4" s="25">
        <f>IFERROR(M2/G2,0)</f>
        <v>1.105263158</v>
      </c>
      <c r="N4" s="24"/>
      <c r="O4" s="23">
        <f>IFERROR(O2/N2,0)</f>
        <v>0.4285714286</v>
      </c>
      <c r="P4" s="26"/>
      <c r="Q4" s="23">
        <f>IFERROR(Q2/P2,0)</f>
        <v>0.2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3696.6</v>
      </c>
      <c r="D5" s="31"/>
      <c r="E5" s="32">
        <f>SUMIFS(T:T,A:A,B5,D:D,"Y")</f>
        <v>0</v>
      </c>
      <c r="F5" s="33">
        <f>SUMIF(A:A,B5,G:G)</f>
        <v>10</v>
      </c>
      <c r="G5" s="33">
        <f>SUMIF(A:A,B5,H:H)</f>
        <v>5</v>
      </c>
      <c r="H5" s="33">
        <f>SUMIF(A:A,B5,I:I)</f>
        <v>2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1</v>
      </c>
      <c r="M5" s="33">
        <f>SUMIF(A:A,B5,M:M)</f>
        <v>6</v>
      </c>
      <c r="N5" s="33">
        <f>SUMIF(A:A,B5,N:N)</f>
        <v>2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1848.3</v>
      </c>
      <c r="F7" s="41">
        <f>IFERROR((G5+R5)/F5,0)</f>
        <v>0.6</v>
      </c>
      <c r="G7" s="41">
        <f>IFERROR(H5/G5,0)</f>
        <v>0.4</v>
      </c>
      <c r="H7" s="40">
        <f>(C5/C7)</f>
        <v>176.0285714</v>
      </c>
      <c r="I7" s="42"/>
      <c r="J7" s="41">
        <f>IFERROR(J5/I5,0)</f>
        <v>0</v>
      </c>
      <c r="K7" s="42"/>
      <c r="L7" s="41">
        <f>IFERROR(L5/K5,0)</f>
        <v>0.3333333333</v>
      </c>
      <c r="M7" s="43">
        <f>IFERROR(M5/SUM(R5+G5,0),"")</f>
        <v>1</v>
      </c>
      <c r="N7" s="42"/>
      <c r="O7" s="41">
        <f>IFERROR(O5/N5,0)</f>
        <v>0.5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3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3</v>
      </c>
      <c r="N11" s="49">
        <f t="shared" si="2"/>
        <v>3</v>
      </c>
      <c r="O11" s="49">
        <f t="shared" si="2"/>
        <v>2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0.6666666667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1804</v>
      </c>
      <c r="D14" s="31"/>
      <c r="E14" s="53">
        <f>SUMIFS(T:T,A:A,B14,D:D,"Y")</f>
        <v>1154</v>
      </c>
      <c r="F14" s="9">
        <f>SUMIF(A:A,B14,G:G)</f>
        <v>9</v>
      </c>
      <c r="G14" s="33">
        <f>SUMIF(A:A,B14,H:H)</f>
        <v>6</v>
      </c>
      <c r="H14" s="33">
        <f>SUMIF(A:A,B14,I:I)</f>
        <v>2</v>
      </c>
      <c r="I14" s="33">
        <f>SUMIF(A:A,B14,P:P)</f>
        <v>0</v>
      </c>
      <c r="J14" s="33">
        <f>SUMIF(A:A,B14,Q:Q)</f>
        <v>0</v>
      </c>
      <c r="K14" s="33">
        <f>SUMIF(A:A,B14,R:R)</f>
        <v>3</v>
      </c>
      <c r="L14" s="33">
        <f>SUMIF(A:A,B14,S:S)</f>
        <v>1</v>
      </c>
      <c r="M14" s="33">
        <f>SUMIF(A:A,B14,M:M)</f>
        <v>5</v>
      </c>
      <c r="N14" s="33">
        <f>SUMIF(A:A,B14,N:N)</f>
        <v>2</v>
      </c>
      <c r="O14" s="33">
        <f>SUMIF(A:A,B14,O:O)</f>
        <v>2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902</v>
      </c>
      <c r="F16" s="23">
        <f>IFERROR((G14+R14)/F14,0)</f>
        <v>0.6666666667</v>
      </c>
      <c r="G16" s="23">
        <f>IFERROR(H14/G14,0)</f>
        <v>0.3333333333</v>
      </c>
      <c r="H16" s="22">
        <f>(C14/C16)</f>
        <v>451</v>
      </c>
      <c r="I16" s="24"/>
      <c r="J16" s="23">
        <f>IFERROR(J14/I14,0)</f>
        <v>0</v>
      </c>
      <c r="K16" s="24"/>
      <c r="L16" s="23">
        <f>IFERROR(L14/K14,0)</f>
        <v>0.3333333333</v>
      </c>
      <c r="M16" s="26">
        <f>IFERROR(M14/SUM(R14+G14,0),"")</f>
        <v>0.8333333333</v>
      </c>
      <c r="N16" s="24"/>
      <c r="O16" s="23">
        <f>IFERROR(O14/N14,0)</f>
        <v>1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3265</v>
      </c>
      <c r="D17" s="31"/>
      <c r="E17" s="53">
        <f>SUMIFS(T:T,A:A,B17,D:D,"Y")</f>
        <v>0</v>
      </c>
      <c r="F17" s="9">
        <f>SUMIF(A:A,B17,G:G)</f>
        <v>22</v>
      </c>
      <c r="G17" s="33">
        <f>SUMIF(A:A,B17,H:H)</f>
        <v>8</v>
      </c>
      <c r="H17" s="33">
        <f>SUMIF(A:A,B17,I:I)</f>
        <v>1</v>
      </c>
      <c r="I17" s="33">
        <f>SUMIF(A:A,B17,P:P)</f>
        <v>2</v>
      </c>
      <c r="J17" s="33">
        <f>SUMIF(A:A,B17,Q:Q)</f>
        <v>1</v>
      </c>
      <c r="K17" s="33">
        <f>SUMIF(A:A,B17,R:R)</f>
        <v>4</v>
      </c>
      <c r="L17" s="33">
        <f>SUMIF(A:A,B17,S:S)</f>
        <v>0</v>
      </c>
      <c r="M17" s="33">
        <f>SUMIF(A:A,B17,M:M)</f>
        <v>10</v>
      </c>
      <c r="N17" s="33">
        <f>SUMIF(A:A,B17,N:N)</f>
        <v>3</v>
      </c>
      <c r="O17" s="33">
        <f>SUMIF(A:A,B17,O:O)</f>
        <v>0</v>
      </c>
      <c r="P17" s="33">
        <f>SUMIF(A:A,B17,J:J)</f>
        <v>5</v>
      </c>
      <c r="Q17" s="33">
        <f>SUMIF(A:A,B17,K:K)</f>
        <v>1</v>
      </c>
      <c r="R17" s="34">
        <f>SUMIF(A:A,B17,L:L)</f>
        <v>2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3265</v>
      </c>
      <c r="F19" s="41">
        <f>IFERROR((G17+R17)/F17,0)</f>
        <v>0.4545454545</v>
      </c>
      <c r="G19" s="41">
        <f>IFERROR(H17/G17,0)</f>
        <v>0.125</v>
      </c>
      <c r="H19" s="40">
        <f>(C17/C19)</f>
        <v>148.4090909</v>
      </c>
      <c r="I19" s="42"/>
      <c r="J19" s="41">
        <f>IFERROR(J17/I17,0)</f>
        <v>0.5</v>
      </c>
      <c r="K19" s="42"/>
      <c r="L19" s="41">
        <f>IFERROR(L17/K17,0)</f>
        <v>0</v>
      </c>
      <c r="M19" s="54">
        <f>IFERROR(M17/SUM(G17+R17,0),"")</f>
        <v>1</v>
      </c>
      <c r="N19" s="42"/>
      <c r="O19" s="41">
        <f>IFERROR(O17/N17,0)</f>
        <v>0</v>
      </c>
      <c r="P19" s="43"/>
      <c r="Q19" s="41">
        <f>IFERROR(Q17/P17,0)</f>
        <v>0.2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1318</v>
      </c>
      <c r="D20" s="55"/>
      <c r="E20" s="48">
        <f>SUMIFS(T:T,B:B,B20,D:D,"Y")</f>
        <v>0</v>
      </c>
      <c r="F20" s="49">
        <f>SUMIF(B49:B1137,B20,G49:G1137)</f>
        <v>12</v>
      </c>
      <c r="G20" s="46">
        <f>SUMIF(B49:B1137,B20,H49:H1137)</f>
        <v>5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4</v>
      </c>
      <c r="L20" s="46">
        <f>SUMIF(B49:B1137,B20,S49:S1137)</f>
        <v>0</v>
      </c>
      <c r="M20" s="46">
        <f>SUMIF(B49:B1137,B20,M49:M1137)</f>
        <v>10</v>
      </c>
      <c r="N20" s="46">
        <f>SUMIF(B49:B1137,B20,N49:N1137)</f>
        <v>2</v>
      </c>
      <c r="O20" s="46">
        <f>SUMIF(B49:B1137,B20,O49:O1137)</f>
        <v>0</v>
      </c>
      <c r="P20" s="46">
        <f>SUMIF(B49:B1137,B20,J49:J1137)</f>
        <v>5</v>
      </c>
      <c r="Q20" s="46">
        <f>SUMIF(B49:B1137,B20,K49:K1137)</f>
        <v>1</v>
      </c>
      <c r="R20" s="50">
        <f>SUMIF(B49:B1137,B20,L49:L1137)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12</v>
      </c>
      <c r="D22" s="39"/>
      <c r="E22" s="40">
        <f>IFERROR(C20/H20,0)</f>
        <v>0</v>
      </c>
      <c r="F22" s="41">
        <f>IFERROR((G20+R20)/F20,0)</f>
        <v>0.5</v>
      </c>
      <c r="G22" s="41">
        <f>IFERROR(H20/G20,0)</f>
        <v>0</v>
      </c>
      <c r="H22" s="40">
        <f>(C20/C22)</f>
        <v>109.8333333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1.666666667</v>
      </c>
      <c r="N22" s="42"/>
      <c r="O22" s="41">
        <f>IFERROR(O20/N20,0)</f>
        <v>0</v>
      </c>
      <c r="P22" s="43"/>
      <c r="Q22" s="41">
        <f>IFERROR(Q20/P20,0)</f>
        <v>0.2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3.0</v>
      </c>
      <c r="H29" s="122">
        <v>3.0</v>
      </c>
      <c r="I29" s="122">
        <v>1.0</v>
      </c>
      <c r="J29" s="122">
        <v>0.0</v>
      </c>
      <c r="K29" s="122">
        <v>0.0</v>
      </c>
      <c r="L29" s="122">
        <v>0.0</v>
      </c>
      <c r="M29" s="122">
        <v>1.0</v>
      </c>
      <c r="N29" s="122">
        <v>2.0</v>
      </c>
      <c r="O29" s="122">
        <v>1.0</v>
      </c>
      <c r="P29" s="70"/>
      <c r="Q29" s="70"/>
      <c r="R29" s="122">
        <v>1.0</v>
      </c>
      <c r="S29" s="70"/>
      <c r="T29" s="122">
        <v>1065.0</v>
      </c>
      <c r="U29" s="71">
        <f t="shared" si="3"/>
        <v>0.3333333333</v>
      </c>
      <c r="V29" s="71">
        <f t="shared" si="4"/>
        <v>1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4.0</v>
      </c>
      <c r="H30" s="122">
        <v>2.0</v>
      </c>
      <c r="I30" s="122">
        <v>1.0</v>
      </c>
      <c r="J30" s="122">
        <v>0.0</v>
      </c>
      <c r="K30" s="122">
        <v>0.0</v>
      </c>
      <c r="L30" s="122">
        <v>1.0</v>
      </c>
      <c r="M30" s="122">
        <v>5.0</v>
      </c>
      <c r="N30" s="122">
        <v>0.0</v>
      </c>
      <c r="O30" s="122">
        <v>0.0</v>
      </c>
      <c r="P30" s="122">
        <v>0.0</v>
      </c>
      <c r="Q30" s="122">
        <v>0.0</v>
      </c>
      <c r="R30" s="122">
        <v>2.0</v>
      </c>
      <c r="S30" s="122">
        <v>1.0</v>
      </c>
      <c r="T30" s="122">
        <v>2631.6</v>
      </c>
      <c r="U30" s="71">
        <f t="shared" si="3"/>
        <v>0.5</v>
      </c>
      <c r="V30" s="71">
        <f t="shared" si="4"/>
        <v>0.75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3.0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122">
        <v>3.0</v>
      </c>
      <c r="H50" s="122">
        <v>2.0</v>
      </c>
      <c r="I50" s="122">
        <v>0.0</v>
      </c>
      <c r="J50" s="122">
        <v>0.0</v>
      </c>
      <c r="K50" s="122">
        <v>0.0</v>
      </c>
      <c r="L50" s="122">
        <v>0.0</v>
      </c>
      <c r="M50" s="122">
        <v>0.0</v>
      </c>
      <c r="N50" s="122">
        <v>1.0</v>
      </c>
      <c r="O50" s="122">
        <v>1.0</v>
      </c>
      <c r="P50" s="122">
        <v>0.0</v>
      </c>
      <c r="Q50" s="122">
        <v>0.0</v>
      </c>
      <c r="R50" s="122">
        <v>0.0</v>
      </c>
      <c r="S50" s="122">
        <v>0.0</v>
      </c>
      <c r="T50" s="122">
        <v>0.0</v>
      </c>
      <c r="U50" s="71">
        <f t="shared" ref="U50:U53" si="5">IFERROR(I50/H50,0)</f>
        <v>0</v>
      </c>
      <c r="V50" s="71">
        <f t="shared" ref="V50:V53" si="6">IFERROR(SUM(H50+L50)/G50,0)</f>
        <v>0.6666666667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122">
        <v>3.0</v>
      </c>
      <c r="H51" s="122">
        <v>1.0</v>
      </c>
      <c r="I51" s="122">
        <v>1.0</v>
      </c>
      <c r="J51" s="122">
        <v>0.0</v>
      </c>
      <c r="K51" s="122">
        <v>0.0</v>
      </c>
      <c r="L51" s="122">
        <v>0.0</v>
      </c>
      <c r="M51" s="122">
        <v>0.0</v>
      </c>
      <c r="N51" s="122">
        <v>1.0</v>
      </c>
      <c r="O51" s="122">
        <v>1.0</v>
      </c>
      <c r="P51" s="122">
        <v>0.0</v>
      </c>
      <c r="Q51" s="122">
        <v>0.0</v>
      </c>
      <c r="R51" s="122">
        <v>0.0</v>
      </c>
      <c r="S51" s="122">
        <v>0.0</v>
      </c>
      <c r="T51" s="122">
        <v>650.0</v>
      </c>
      <c r="U51" s="71">
        <f t="shared" si="5"/>
        <v>1</v>
      </c>
      <c r="V51" s="71">
        <f t="shared" si="6"/>
        <v>0.3333333333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2">
        <v>3.0</v>
      </c>
      <c r="H52" s="122">
        <v>3.0</v>
      </c>
      <c r="I52" s="122">
        <v>1.0</v>
      </c>
      <c r="J52" s="122">
        <v>0.0</v>
      </c>
      <c r="K52" s="122">
        <v>0.0</v>
      </c>
      <c r="L52" s="122">
        <v>0.0</v>
      </c>
      <c r="M52" s="122">
        <v>5.0</v>
      </c>
      <c r="N52" s="122">
        <v>0.0</v>
      </c>
      <c r="O52" s="122">
        <v>0.0</v>
      </c>
      <c r="P52" s="122">
        <v>0.0</v>
      </c>
      <c r="Q52" s="122">
        <v>0.0</v>
      </c>
      <c r="R52" s="122">
        <v>3.0</v>
      </c>
      <c r="S52" s="122">
        <v>1.0</v>
      </c>
      <c r="T52" s="122">
        <v>1154.0</v>
      </c>
      <c r="U52" s="71">
        <f t="shared" si="5"/>
        <v>0.3333333333</v>
      </c>
      <c r="V52" s="71">
        <f t="shared" si="6"/>
        <v>1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70">
        <v>10.0</v>
      </c>
      <c r="H58" s="70">
        <v>3.0</v>
      </c>
      <c r="I58" s="70">
        <v>1.0</v>
      </c>
      <c r="J58" s="70">
        <v>0.0</v>
      </c>
      <c r="K58" s="70">
        <v>0.0</v>
      </c>
      <c r="L58" s="70">
        <v>1.0</v>
      </c>
      <c r="M58" s="70">
        <v>0.0</v>
      </c>
      <c r="N58" s="70">
        <v>1.0</v>
      </c>
      <c r="O58" s="70">
        <v>0.0</v>
      </c>
      <c r="P58" s="70">
        <v>2.0</v>
      </c>
      <c r="Q58" s="70">
        <v>1.0</v>
      </c>
      <c r="R58" s="70">
        <v>0.0</v>
      </c>
      <c r="S58" s="70">
        <v>0.0</v>
      </c>
      <c r="T58" s="70">
        <v>1947.0</v>
      </c>
      <c r="U58" s="71">
        <f t="shared" si="7"/>
        <v>0.3333333333</v>
      </c>
      <c r="V58" s="71">
        <f t="shared" si="8"/>
        <v>0.4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70">
        <v>3.0</v>
      </c>
      <c r="H59" s="70">
        <v>1.0</v>
      </c>
      <c r="I59" s="70">
        <v>0.0</v>
      </c>
      <c r="J59" s="70">
        <v>2.0</v>
      </c>
      <c r="K59" s="70">
        <v>0.0</v>
      </c>
      <c r="L59" s="70">
        <v>1.0</v>
      </c>
      <c r="M59" s="70">
        <v>6.0</v>
      </c>
      <c r="N59" s="70">
        <v>0.0</v>
      </c>
      <c r="O59" s="70">
        <v>0.0</v>
      </c>
      <c r="P59" s="70">
        <v>0.0</v>
      </c>
      <c r="Q59" s="70">
        <v>0.0</v>
      </c>
      <c r="R59" s="70">
        <v>2.0</v>
      </c>
      <c r="S59" s="70">
        <v>0.0</v>
      </c>
      <c r="T59" s="70">
        <v>0.0</v>
      </c>
      <c r="U59" s="71">
        <f t="shared" si="7"/>
        <v>0</v>
      </c>
      <c r="V59" s="71">
        <f t="shared" si="8"/>
        <v>0.6666666667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70">
        <v>1.0</v>
      </c>
      <c r="H62" s="70">
        <v>0.0</v>
      </c>
      <c r="I62" s="70">
        <v>0.0</v>
      </c>
      <c r="J62" s="70">
        <v>0.0</v>
      </c>
      <c r="K62" s="70">
        <v>0.0</v>
      </c>
      <c r="L62" s="70">
        <v>0.0</v>
      </c>
      <c r="M62" s="70">
        <v>0.0</v>
      </c>
      <c r="N62" s="70">
        <v>0.0</v>
      </c>
      <c r="O62" s="70">
        <v>0.0</v>
      </c>
      <c r="P62" s="70">
        <v>0.0</v>
      </c>
      <c r="Q62" s="70">
        <v>0.0</v>
      </c>
      <c r="R62" s="70">
        <v>0.0</v>
      </c>
      <c r="S62" s="70">
        <v>0.0</v>
      </c>
      <c r="T62" s="70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70">
        <v>5.0</v>
      </c>
      <c r="H63" s="70">
        <v>3.0</v>
      </c>
      <c r="I63" s="70">
        <v>0.0</v>
      </c>
      <c r="J63" s="70">
        <v>2.0</v>
      </c>
      <c r="K63" s="70">
        <v>0.0</v>
      </c>
      <c r="L63" s="70">
        <v>0.0</v>
      </c>
      <c r="M63" s="70">
        <v>0.0</v>
      </c>
      <c r="N63" s="70">
        <v>1.0</v>
      </c>
      <c r="O63" s="70">
        <v>0.0</v>
      </c>
      <c r="P63" s="70">
        <v>0.0</v>
      </c>
      <c r="Q63" s="70">
        <v>0.0</v>
      </c>
      <c r="R63" s="70">
        <v>2.0</v>
      </c>
      <c r="S63" s="70">
        <v>0.0</v>
      </c>
      <c r="T63" s="70">
        <v>0.0</v>
      </c>
      <c r="U63" s="71">
        <f t="shared" si="7"/>
        <v>0</v>
      </c>
      <c r="V63" s="71">
        <f t="shared" si="8"/>
        <v>0.6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129">
        <v>0.0</v>
      </c>
      <c r="H64" s="129">
        <v>0.0</v>
      </c>
      <c r="I64" s="129">
        <v>0.0</v>
      </c>
      <c r="J64" s="129">
        <v>1.0</v>
      </c>
      <c r="K64" s="129">
        <v>1.0</v>
      </c>
      <c r="L64" s="129">
        <v>0.0</v>
      </c>
      <c r="M64" s="129">
        <v>0.0</v>
      </c>
      <c r="N64" s="129">
        <v>0.0</v>
      </c>
      <c r="O64" s="129">
        <v>0.0</v>
      </c>
      <c r="P64" s="129">
        <v>0.0</v>
      </c>
      <c r="Q64" s="129">
        <v>0.0</v>
      </c>
      <c r="R64" s="129">
        <v>0.0</v>
      </c>
      <c r="S64" s="129">
        <v>0.0</v>
      </c>
      <c r="T64" s="129">
        <v>1318.0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128">
        <v>3.0</v>
      </c>
      <c r="H66" s="128">
        <v>1.0</v>
      </c>
      <c r="I66" s="130">
        <v>0.0</v>
      </c>
      <c r="J66" s="128">
        <v>0.0</v>
      </c>
      <c r="K66" s="128">
        <v>0.0</v>
      </c>
      <c r="L66" s="128">
        <v>0.0</v>
      </c>
      <c r="M66" s="128">
        <v>4.0</v>
      </c>
      <c r="N66" s="128">
        <v>1.0</v>
      </c>
      <c r="O66" s="128">
        <v>0.0</v>
      </c>
      <c r="P66" s="128">
        <v>0.0</v>
      </c>
      <c r="Q66" s="128">
        <v>0.0</v>
      </c>
      <c r="R66" s="128">
        <v>0.0</v>
      </c>
      <c r="S66" s="128">
        <v>0.0</v>
      </c>
      <c r="T66" s="128">
        <v>0.0</v>
      </c>
      <c r="U66" s="71">
        <f t="shared" si="7"/>
        <v>0</v>
      </c>
      <c r="V66" s="71">
        <f t="shared" si="8"/>
        <v>0.3333333333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2353</v>
      </c>
      <c r="D2" s="10"/>
      <c r="E2" s="9">
        <f t="shared" ref="E2:R2" si="1">SUM(E5,E14,E17)</f>
        <v>1189</v>
      </c>
      <c r="F2" s="9">
        <f t="shared" si="1"/>
        <v>12</v>
      </c>
      <c r="G2" s="9">
        <f t="shared" si="1"/>
        <v>4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13</v>
      </c>
      <c r="N2" s="9">
        <f t="shared" si="1"/>
        <v>3</v>
      </c>
      <c r="O2" s="9">
        <f t="shared" si="1"/>
        <v>1</v>
      </c>
      <c r="P2" s="9">
        <f t="shared" si="1"/>
        <v>3</v>
      </c>
      <c r="Q2" s="9">
        <f t="shared" si="1"/>
        <v>1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1176.5</v>
      </c>
      <c r="F4" s="23">
        <f>IFERROR((G2+R2)/F2,0)</f>
        <v>0.4166666667</v>
      </c>
      <c r="G4" s="23">
        <f>IFERROR(H2/G2,0)</f>
        <v>0.5</v>
      </c>
      <c r="H4" s="22">
        <f>(C2/C4)</f>
        <v>50.06382979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3.25</v>
      </c>
      <c r="N4" s="24"/>
      <c r="O4" s="23">
        <f>IFERROR(O2/N2,0)</f>
        <v>0.3333333333</v>
      </c>
      <c r="P4" s="26"/>
      <c r="Q4" s="23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4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2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3</v>
      </c>
      <c r="N14" s="33">
        <f>SUMIF(A:A,B14,N:N)</f>
        <v>1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3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2353</v>
      </c>
      <c r="D17" s="31"/>
      <c r="E17" s="53">
        <f>SUMIFS(T:T,A:A,B17,D:D,"Y")</f>
        <v>1189</v>
      </c>
      <c r="F17" s="9">
        <f>SUMIF(A:A,B17,G:G)</f>
        <v>10</v>
      </c>
      <c r="G17" s="33">
        <f>SUMIF(A:A,B17,H:H)</f>
        <v>2</v>
      </c>
      <c r="H17" s="33">
        <f>SUMIF(A:A,B17,I:I)</f>
        <v>2</v>
      </c>
      <c r="I17" s="33">
        <f>SUMIF(A:A,B17,P:P)</f>
        <v>0</v>
      </c>
      <c r="J17" s="33">
        <f>SUMIF(A:A,B17,Q:Q)</f>
        <v>0</v>
      </c>
      <c r="K17" s="33">
        <f>SUMIF(A:A,B17,R:R)</f>
        <v>1</v>
      </c>
      <c r="L17" s="33">
        <f>SUMIF(A:A,B17,S:S)</f>
        <v>1</v>
      </c>
      <c r="M17" s="33">
        <f>SUMIF(A:A,B17,M:M)</f>
        <v>10</v>
      </c>
      <c r="N17" s="33">
        <f>SUMIF(A:A,B17,N:N)</f>
        <v>2</v>
      </c>
      <c r="O17" s="33">
        <f>SUMIF(A:A,B17,O:O)</f>
        <v>1</v>
      </c>
      <c r="P17" s="33">
        <f>SUMIF(A:A,B17,J:J)</f>
        <v>2</v>
      </c>
      <c r="Q17" s="33">
        <f>SUMIF(A:A,B17,K:K)</f>
        <v>1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1176.5</v>
      </c>
      <c r="F19" s="41">
        <f>IFERROR((G17+R17)/F17,0)</f>
        <v>0.3</v>
      </c>
      <c r="G19" s="41">
        <f>IFERROR(H17/G17,0)</f>
        <v>1</v>
      </c>
      <c r="H19" s="40">
        <f>(C17/C19)</f>
        <v>106.9545455</v>
      </c>
      <c r="I19" s="42"/>
      <c r="J19" s="41">
        <f>IFERROR(J17/I17,0)</f>
        <v>0</v>
      </c>
      <c r="K19" s="42"/>
      <c r="L19" s="41">
        <f>IFERROR(L17/K17,0)</f>
        <v>1</v>
      </c>
      <c r="M19" s="54">
        <f>IFERROR(M17/SUM(G17+R17,0),"")</f>
        <v>3.333333333</v>
      </c>
      <c r="N19" s="42"/>
      <c r="O19" s="41">
        <f>IFERROR(O17/N17,0)</f>
        <v>0.5</v>
      </c>
      <c r="P19" s="43"/>
      <c r="Q19" s="41">
        <f>IFERROR(Q17/P17,0)</f>
        <v>0.5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1189</v>
      </c>
      <c r="D20" s="55"/>
      <c r="E20" s="48">
        <f>SUMIFS(T:T,B:B,B20,D:D,"Y")</f>
        <v>1189</v>
      </c>
      <c r="F20" s="49">
        <f>SUMIF(B49:B1137,B20,G49:G1137)</f>
        <v>9</v>
      </c>
      <c r="G20" s="46">
        <f>SUMIF(B49:B1137,B20,H49:H1137)</f>
        <v>1</v>
      </c>
      <c r="H20" s="46">
        <f>SUMIF(B49:B1137,B20,I49:I1137)</f>
        <v>1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1</v>
      </c>
      <c r="L20" s="46">
        <f>SUMIF(B49:B1137,B20,S49:S1137)</f>
        <v>1</v>
      </c>
      <c r="M20" s="46">
        <f>SUMIF(B49:B1137,B20,M49:M1137)</f>
        <v>8</v>
      </c>
      <c r="N20" s="46">
        <f>SUMIF(B49:B1137,B20,N49:N1137)</f>
        <v>1</v>
      </c>
      <c r="O20" s="46">
        <f>SUMIF(B49:B1137,B20,O49:O1137)</f>
        <v>0</v>
      </c>
      <c r="P20" s="46">
        <f>SUMIF(B49:B1137,B20,J49:J1137)</f>
        <v>1</v>
      </c>
      <c r="Q20" s="46">
        <f>SUMIF(B49:B1137,B20,K49:K1137)</f>
        <v>0</v>
      </c>
      <c r="R20" s="50">
        <f>SUMIF(B49:B1137,B20,L49:L1137)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12</v>
      </c>
      <c r="D22" s="39"/>
      <c r="E22" s="40">
        <f>IFERROR(C20/H20,0)</f>
        <v>1189</v>
      </c>
      <c r="F22" s="41">
        <f>IFERROR((G20+R20)/F20,0)</f>
        <v>0.2222222222</v>
      </c>
      <c r="G22" s="41">
        <f>IFERROR(H20/G20,0)</f>
        <v>1</v>
      </c>
      <c r="H22" s="40">
        <f>(C20/C22)</f>
        <v>99.08333333</v>
      </c>
      <c r="I22" s="42"/>
      <c r="J22" s="41">
        <f>IFERROR(J20/I20,0)</f>
        <v>0</v>
      </c>
      <c r="K22" s="42"/>
      <c r="L22" s="41">
        <f>IFERROR(L20/K20,0)</f>
        <v>1</v>
      </c>
      <c r="M22" s="43">
        <f>IFERROR(M20/SUM(G20+R20,0),"")</f>
        <v>4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1164</v>
      </c>
      <c r="D23" s="55"/>
      <c r="E23" s="48">
        <f>SUMIFS(T:T,B:B,B23,D:D,"Y")</f>
        <v>0</v>
      </c>
      <c r="F23" s="49">
        <f>SUMIF(B52:B1137,B23,G52:G1137)</f>
        <v>1</v>
      </c>
      <c r="G23" s="46">
        <f>SUMIF(B52:B1137,B23,H52:H1137)</f>
        <v>1</v>
      </c>
      <c r="H23" s="46">
        <f>SUMIF(B52:B1137,B23,I52:I1137)</f>
        <v>1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2</v>
      </c>
      <c r="N23" s="46">
        <f>SUMIF(B52:B1137,B23,N52:N1137)</f>
        <v>1</v>
      </c>
      <c r="O23" s="46">
        <f>SUMIF(B52:B1137,B23,O52:O1137)</f>
        <v>1</v>
      </c>
      <c r="P23" s="46">
        <f>SUMIF(B52:B1137,B23,J52:J1137)</f>
        <v>1</v>
      </c>
      <c r="Q23" s="46">
        <f>SUMIF(B52:B1137,B23,K52:K1137)</f>
        <v>1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1164</v>
      </c>
      <c r="F25" s="41">
        <f>IFERROR((G23+R23)/F23,0)</f>
        <v>1</v>
      </c>
      <c r="G25" s="41">
        <f>IFERROR(H23/G23,0)</f>
        <v>1</v>
      </c>
      <c r="H25" s="40">
        <f>(C23/C25)</f>
        <v>194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2</v>
      </c>
      <c r="N25" s="42"/>
      <c r="O25" s="41">
        <f>IFERROR(O23/N23,0)</f>
        <v>1</v>
      </c>
      <c r="P25" s="43"/>
      <c r="Q25" s="41">
        <f>IFERROR(Q23/P23,0)</f>
        <v>1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1.0</v>
      </c>
      <c r="H30" s="122">
        <v>1.0</v>
      </c>
      <c r="I30" s="122">
        <v>0.0</v>
      </c>
      <c r="J30" s="122">
        <v>1.0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1.0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1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70"/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122">
        <v>1.0</v>
      </c>
      <c r="H53" s="122">
        <v>1.0</v>
      </c>
      <c r="I53" s="122">
        <v>0.0</v>
      </c>
      <c r="J53" s="122">
        <v>0.0</v>
      </c>
      <c r="K53" s="122">
        <v>0.0</v>
      </c>
      <c r="L53" s="122">
        <v>0.0</v>
      </c>
      <c r="M53" s="122">
        <v>3.0</v>
      </c>
      <c r="N53" s="122">
        <v>1.0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si="5"/>
        <v>0</v>
      </c>
      <c r="V53" s="71">
        <f t="shared" si="6"/>
        <v>1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128">
        <v>0.0</v>
      </c>
      <c r="H55" s="128">
        <v>0.0</v>
      </c>
      <c r="I55" s="128">
        <v>0.0</v>
      </c>
      <c r="J55" s="128">
        <v>0.0</v>
      </c>
      <c r="K55" s="128">
        <v>0.0</v>
      </c>
      <c r="L55" s="128">
        <v>0.0</v>
      </c>
      <c r="M55" s="128">
        <v>0.0</v>
      </c>
      <c r="N55" s="128">
        <v>0.0</v>
      </c>
      <c r="O55" s="128">
        <v>0.0</v>
      </c>
      <c r="P55" s="128">
        <v>0.0</v>
      </c>
      <c r="Q55" s="128">
        <v>0.0</v>
      </c>
      <c r="R55" s="128">
        <v>0.0</v>
      </c>
      <c r="S55" s="128">
        <v>0.0</v>
      </c>
      <c r="T55" s="128">
        <v>0.0</v>
      </c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8">
        <v>0.0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128">
        <v>0.0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128">
        <v>0.0</v>
      </c>
      <c r="H58" s="128">
        <v>0.0</v>
      </c>
      <c r="I58" s="128">
        <v>0.0</v>
      </c>
      <c r="J58" s="128">
        <v>0.0</v>
      </c>
      <c r="K58" s="128">
        <v>0.0</v>
      </c>
      <c r="L58" s="128">
        <v>0.0</v>
      </c>
      <c r="M58" s="128">
        <v>0.0</v>
      </c>
      <c r="N58" s="128">
        <v>0.0</v>
      </c>
      <c r="O58" s="128">
        <v>0.0</v>
      </c>
      <c r="P58" s="128">
        <v>0.0</v>
      </c>
      <c r="Q58" s="128">
        <v>0.0</v>
      </c>
      <c r="R58" s="128">
        <v>0.0</v>
      </c>
      <c r="S58" s="128">
        <v>0.0</v>
      </c>
      <c r="T58" s="128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122">
        <v>4.0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122">
        <v>2.0</v>
      </c>
      <c r="H63" s="122">
        <v>1.0</v>
      </c>
      <c r="I63" s="122">
        <v>1.0</v>
      </c>
      <c r="J63" s="122">
        <v>0.0</v>
      </c>
      <c r="K63" s="122">
        <v>0.0</v>
      </c>
      <c r="L63" s="122">
        <v>0.0</v>
      </c>
      <c r="M63" s="122">
        <v>4.0</v>
      </c>
      <c r="N63" s="122">
        <v>0.0</v>
      </c>
      <c r="O63" s="122">
        <v>0.0</v>
      </c>
      <c r="P63" s="122">
        <v>0.0</v>
      </c>
      <c r="Q63" s="122">
        <v>0.0</v>
      </c>
      <c r="R63" s="122">
        <v>1.0</v>
      </c>
      <c r="S63" s="122">
        <v>1.0</v>
      </c>
      <c r="T63" s="122">
        <v>1189.0</v>
      </c>
      <c r="U63" s="71">
        <f t="shared" si="7"/>
        <v>1</v>
      </c>
      <c r="V63" s="71">
        <f t="shared" si="8"/>
        <v>0.5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122">
        <v>3.0</v>
      </c>
      <c r="H66" s="122">
        <v>0.0</v>
      </c>
      <c r="I66" s="122">
        <v>0.0</v>
      </c>
      <c r="J66" s="122">
        <v>1.0</v>
      </c>
      <c r="K66" s="122">
        <v>0.0</v>
      </c>
      <c r="L66" s="122">
        <v>1.0</v>
      </c>
      <c r="M66" s="122">
        <v>4.0</v>
      </c>
      <c r="N66" s="122">
        <v>1.0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0.3333333333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130">
        <v>1.0</v>
      </c>
      <c r="H73" s="130">
        <v>1.0</v>
      </c>
      <c r="I73" s="130">
        <v>1.0</v>
      </c>
      <c r="J73" s="130">
        <v>1.0</v>
      </c>
      <c r="K73" s="130">
        <v>1.0</v>
      </c>
      <c r="L73" s="130">
        <v>0.0</v>
      </c>
      <c r="M73" s="130">
        <v>2.0</v>
      </c>
      <c r="N73" s="130">
        <v>1.0</v>
      </c>
      <c r="O73" s="130">
        <v>1.0</v>
      </c>
      <c r="P73" s="130">
        <v>0.0</v>
      </c>
      <c r="Q73" s="130">
        <v>0.0</v>
      </c>
      <c r="R73" s="130">
        <v>0.0</v>
      </c>
      <c r="S73" s="130">
        <v>0.0</v>
      </c>
      <c r="T73" s="130">
        <v>1164.0</v>
      </c>
      <c r="U73" s="71">
        <f t="shared" si="7"/>
        <v>1</v>
      </c>
      <c r="V73" s="71">
        <f t="shared" si="8"/>
        <v>1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2064</v>
      </c>
      <c r="D2" s="10"/>
      <c r="E2" s="9">
        <f t="shared" ref="E2:R2" si="1">SUM(E5,E14,E17)</f>
        <v>0</v>
      </c>
      <c r="F2" s="9">
        <f t="shared" si="1"/>
        <v>7</v>
      </c>
      <c r="G2" s="9">
        <f t="shared" si="1"/>
        <v>4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1</v>
      </c>
      <c r="M2" s="9">
        <f t="shared" si="1"/>
        <v>26</v>
      </c>
      <c r="N2" s="9">
        <f t="shared" si="1"/>
        <v>1</v>
      </c>
      <c r="O2" s="9">
        <f t="shared" si="1"/>
        <v>0</v>
      </c>
      <c r="P2" s="9">
        <f t="shared" si="1"/>
        <v>2</v>
      </c>
      <c r="Q2" s="9">
        <f t="shared" si="1"/>
        <v>1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2064</v>
      </c>
      <c r="F4" s="23">
        <f>IFERROR((G2+R2)/F2,0)</f>
        <v>0.5714285714</v>
      </c>
      <c r="G4" s="23">
        <f>IFERROR(H2/G2,0)</f>
        <v>0.25</v>
      </c>
      <c r="H4" s="22">
        <f>(C2/C4)</f>
        <v>43.91489362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6.5</v>
      </c>
      <c r="N4" s="24"/>
      <c r="O4" s="23">
        <f>IFERROR(O2/N2,0)</f>
        <v>0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1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5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2064</v>
      </c>
      <c r="D17" s="31"/>
      <c r="E17" s="53">
        <f>SUMIFS(T:T,A:A,B17,D:D,"Y")</f>
        <v>0</v>
      </c>
      <c r="F17" s="9">
        <f>SUMIF(A:A,B17,G:G)</f>
        <v>6</v>
      </c>
      <c r="G17" s="33">
        <f>SUMIF(A:A,B17,H:H)</f>
        <v>3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2</v>
      </c>
      <c r="L17" s="33">
        <f>SUMIF(A:A,B17,S:S)</f>
        <v>1</v>
      </c>
      <c r="M17" s="33">
        <f>SUMIF(A:A,B17,M:M)</f>
        <v>21</v>
      </c>
      <c r="N17" s="33">
        <f>SUMIF(A:A,B17,N:N)</f>
        <v>1</v>
      </c>
      <c r="O17" s="33">
        <f>SUMIF(A:A,B17,O:O)</f>
        <v>0</v>
      </c>
      <c r="P17" s="33">
        <f>SUMIF(A:A,B17,J:J)</f>
        <v>2</v>
      </c>
      <c r="Q17" s="33">
        <f>SUMIF(A:A,B17,K:K)</f>
        <v>1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2064</v>
      </c>
      <c r="F19" s="41">
        <f>IFERROR((G17+R17)/F17,0)</f>
        <v>0.5</v>
      </c>
      <c r="G19" s="41">
        <f>IFERROR(H17/G17,0)</f>
        <v>0.3333333333</v>
      </c>
      <c r="H19" s="40">
        <f>(C17/C19)</f>
        <v>93.81818182</v>
      </c>
      <c r="I19" s="42"/>
      <c r="J19" s="41">
        <f>IFERROR(J17/I17,0)</f>
        <v>0</v>
      </c>
      <c r="K19" s="42"/>
      <c r="L19" s="41">
        <f>IFERROR(L17/K17,0)</f>
        <v>0.5</v>
      </c>
      <c r="M19" s="54">
        <f>IFERROR(M17/SUM(G17+R17,0),"")</f>
        <v>7</v>
      </c>
      <c r="N19" s="42"/>
      <c r="O19" s="41">
        <f>IFERROR(O17/N17,0)</f>
        <v>0</v>
      </c>
      <c r="P19" s="43"/>
      <c r="Q19" s="41">
        <f>IFERROR(Q17/P17,0)</f>
        <v>0.5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4</v>
      </c>
      <c r="G20" s="46">
        <f>SUMIF(B49:B1137,B20,H49:H1137)</f>
        <v>1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1</v>
      </c>
      <c r="L20" s="46">
        <f>SUMIF(B49:B1137,B20,S49:S1137)</f>
        <v>0</v>
      </c>
      <c r="M20" s="46">
        <f>SUMIF(B49:B1137,B20,M49:M1137)</f>
        <v>10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12</v>
      </c>
      <c r="D22" s="39"/>
      <c r="E22" s="40">
        <f>IFERROR(C20/H20,0)</f>
        <v>0</v>
      </c>
      <c r="F22" s="41">
        <f>IFERROR((G20+R20)/F20,0)</f>
        <v>0.25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10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2064</v>
      </c>
      <c r="D23" s="55"/>
      <c r="E23" s="48">
        <f>SUMIFS(T:T,B:B,B23,D:D,"Y")</f>
        <v>0</v>
      </c>
      <c r="F23" s="49">
        <f>SUMIF(B52:B1137,B23,G52:G1137)</f>
        <v>2</v>
      </c>
      <c r="G23" s="46">
        <f>SUMIF(B52:B1137,B23,H52:H1137)</f>
        <v>2</v>
      </c>
      <c r="H23" s="46">
        <f>SUMIF(B52:B1137,B23,I52:I1137)</f>
        <v>1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1</v>
      </c>
      <c r="L23" s="46">
        <f>SUMIF(B52:B1137,B23,S52:S1137)</f>
        <v>1</v>
      </c>
      <c r="M23" s="46">
        <f>SUMIF(B52:B1137,B23,M52:M1137)</f>
        <v>11</v>
      </c>
      <c r="N23" s="46">
        <f>SUMIF(B52:B1137,B23,N52:N1137)</f>
        <v>1</v>
      </c>
      <c r="O23" s="46">
        <f>SUMIF(B52:B1137,B23,O52:O1137)</f>
        <v>0</v>
      </c>
      <c r="P23" s="46">
        <f>SUMIF(B52:B1137,B23,J52:J1137)</f>
        <v>2</v>
      </c>
      <c r="Q23" s="46">
        <f>SUMIF(B52:B1137,B23,K52:K1137)</f>
        <v>1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2064</v>
      </c>
      <c r="F25" s="41">
        <f>IFERROR((G23+R23)/F23,0)</f>
        <v>1</v>
      </c>
      <c r="G25" s="41">
        <f>IFERROR(H23/G23,0)</f>
        <v>0.5</v>
      </c>
      <c r="H25" s="40">
        <f>(C23/C25)</f>
        <v>344</v>
      </c>
      <c r="I25" s="42"/>
      <c r="J25" s="41">
        <f>IFERROR(J23/I23,0)</f>
        <v>0</v>
      </c>
      <c r="K25" s="42"/>
      <c r="L25" s="41">
        <f>IFERROR(L23/K23,0)</f>
        <v>1</v>
      </c>
      <c r="M25" s="43">
        <f>IFERROR(M23/SUM(G23+R23,0),"")</f>
        <v>5.5</v>
      </c>
      <c r="N25" s="42"/>
      <c r="O25" s="41">
        <f>IFERROR(O23/N23,0)</f>
        <v>0</v>
      </c>
      <c r="P25" s="43"/>
      <c r="Q25" s="41">
        <f>IFERROR(Q23/P23,0)</f>
        <v>0.5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1.0</v>
      </c>
      <c r="H29" s="122">
        <v>1.0</v>
      </c>
      <c r="I29" s="122">
        <v>0.0</v>
      </c>
      <c r="J29" s="122">
        <v>0.0</v>
      </c>
      <c r="K29" s="122">
        <v>0.0</v>
      </c>
      <c r="L29" s="122">
        <v>0.0</v>
      </c>
      <c r="M29" s="122">
        <v>5.0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1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0.0</v>
      </c>
      <c r="H30" s="122">
        <v>0.0</v>
      </c>
      <c r="I30" s="122">
        <v>0.0</v>
      </c>
      <c r="J30" s="122">
        <v>0.0</v>
      </c>
      <c r="K30" s="122">
        <v>0.0</v>
      </c>
      <c r="L30" s="122">
        <v>0.0</v>
      </c>
      <c r="M30" s="122">
        <v>0.0</v>
      </c>
      <c r="N30" s="122">
        <v>0.0</v>
      </c>
      <c r="O30" s="122">
        <v>0.0</v>
      </c>
      <c r="P30" s="122">
        <v>0.0</v>
      </c>
      <c r="Q30" s="122">
        <v>0.0</v>
      </c>
      <c r="R30" s="122">
        <v>0.0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0.0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128">
        <v>0.0</v>
      </c>
      <c r="H55" s="128">
        <v>0.0</v>
      </c>
      <c r="I55" s="128">
        <v>0.0</v>
      </c>
      <c r="J55" s="128">
        <v>0.0</v>
      </c>
      <c r="K55" s="128">
        <v>0.0</v>
      </c>
      <c r="L55" s="128">
        <v>0.0</v>
      </c>
      <c r="M55" s="128">
        <v>0.0</v>
      </c>
      <c r="N55" s="128">
        <v>0.0</v>
      </c>
      <c r="O55" s="128">
        <v>0.0</v>
      </c>
      <c r="P55" s="128">
        <v>0.0</v>
      </c>
      <c r="Q55" s="128">
        <v>0.0</v>
      </c>
      <c r="R55" s="128">
        <v>0.0</v>
      </c>
      <c r="S55" s="128">
        <v>0.0</v>
      </c>
      <c r="T55" s="128">
        <v>0.0</v>
      </c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8">
        <v>0.0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128">
        <v>0.0</v>
      </c>
      <c r="H57" s="128">
        <v>0.0</v>
      </c>
      <c r="I57" s="128">
        <v>0.0</v>
      </c>
      <c r="J57" s="128">
        <v>0.0</v>
      </c>
      <c r="K57" s="128">
        <v>0.0</v>
      </c>
      <c r="L57" s="128">
        <v>0.0</v>
      </c>
      <c r="M57" s="128">
        <v>0.0</v>
      </c>
      <c r="N57" s="128">
        <v>0.0</v>
      </c>
      <c r="O57" s="128">
        <v>0.0</v>
      </c>
      <c r="P57" s="128">
        <v>0.0</v>
      </c>
      <c r="Q57" s="128">
        <v>0.0</v>
      </c>
      <c r="R57" s="128">
        <v>0.0</v>
      </c>
      <c r="S57" s="128">
        <v>0.0</v>
      </c>
      <c r="T57" s="128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128">
        <v>0.0</v>
      </c>
      <c r="H58" s="128">
        <v>0.0</v>
      </c>
      <c r="I58" s="128">
        <v>0.0</v>
      </c>
      <c r="J58" s="128">
        <v>0.0</v>
      </c>
      <c r="K58" s="128">
        <v>0.0</v>
      </c>
      <c r="L58" s="128">
        <v>0.0</v>
      </c>
      <c r="M58" s="128">
        <v>0.0</v>
      </c>
      <c r="N58" s="128">
        <v>0.0</v>
      </c>
      <c r="O58" s="128">
        <v>0.0</v>
      </c>
      <c r="P58" s="128">
        <v>0.0</v>
      </c>
      <c r="Q58" s="128">
        <v>0.0</v>
      </c>
      <c r="R58" s="128">
        <v>0.0</v>
      </c>
      <c r="S58" s="128">
        <v>0.0</v>
      </c>
      <c r="T58" s="128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122">
        <v>3.0</v>
      </c>
      <c r="H59" s="122">
        <v>1.0</v>
      </c>
      <c r="I59" s="122">
        <v>0.0</v>
      </c>
      <c r="J59" s="122">
        <v>0.0</v>
      </c>
      <c r="K59" s="122">
        <v>0.0</v>
      </c>
      <c r="L59" s="122">
        <v>0.0</v>
      </c>
      <c r="M59" s="122">
        <v>10.0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1.0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0.3333333333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128">
        <v>0.0</v>
      </c>
      <c r="H63" s="128">
        <v>0.0</v>
      </c>
      <c r="I63" s="128">
        <v>0.0</v>
      </c>
      <c r="J63" s="128">
        <v>0.0</v>
      </c>
      <c r="K63" s="128">
        <v>0.0</v>
      </c>
      <c r="L63" s="128">
        <v>0.0</v>
      </c>
      <c r="M63" s="128">
        <v>0.0</v>
      </c>
      <c r="N63" s="128">
        <v>0.0</v>
      </c>
      <c r="O63" s="128">
        <v>0.0</v>
      </c>
      <c r="P63" s="128">
        <v>0.0</v>
      </c>
      <c r="Q63" s="128">
        <v>0.0</v>
      </c>
      <c r="R63" s="128">
        <v>0.0</v>
      </c>
      <c r="S63" s="128">
        <v>0.0</v>
      </c>
      <c r="T63" s="128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122">
        <v>1.0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128">
        <v>0.0</v>
      </c>
      <c r="H68" s="128">
        <v>0.0</v>
      </c>
      <c r="I68" s="128">
        <v>0.0</v>
      </c>
      <c r="J68" s="128">
        <v>0.0</v>
      </c>
      <c r="K68" s="128">
        <v>0.0</v>
      </c>
      <c r="L68" s="128">
        <v>0.0</v>
      </c>
      <c r="M68" s="128">
        <v>0.0</v>
      </c>
      <c r="N68" s="128">
        <v>0.0</v>
      </c>
      <c r="O68" s="128">
        <v>0.0</v>
      </c>
      <c r="P68" s="128">
        <v>0.0</v>
      </c>
      <c r="Q68" s="128">
        <v>0.0</v>
      </c>
      <c r="R68" s="128">
        <v>0.0</v>
      </c>
      <c r="S68" s="128">
        <v>0.0</v>
      </c>
      <c r="T68" s="128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128">
        <v>0.0</v>
      </c>
      <c r="H70" s="128">
        <v>0.0</v>
      </c>
      <c r="I70" s="128">
        <v>0.0</v>
      </c>
      <c r="J70" s="128">
        <v>0.0</v>
      </c>
      <c r="K70" s="128">
        <v>0.0</v>
      </c>
      <c r="L70" s="128">
        <v>0.0</v>
      </c>
      <c r="M70" s="128">
        <v>0.0</v>
      </c>
      <c r="N70" s="128">
        <v>0.0</v>
      </c>
      <c r="O70" s="128">
        <v>0.0</v>
      </c>
      <c r="P70" s="128">
        <v>0.0</v>
      </c>
      <c r="Q70" s="128">
        <v>0.0</v>
      </c>
      <c r="R70" s="128">
        <v>0.0</v>
      </c>
      <c r="S70" s="128">
        <v>0.0</v>
      </c>
      <c r="T70" s="128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128">
        <v>0.0</v>
      </c>
      <c r="H72" s="128">
        <v>0.0</v>
      </c>
      <c r="I72" s="128">
        <v>0.0</v>
      </c>
      <c r="J72" s="128">
        <v>0.0</v>
      </c>
      <c r="K72" s="128">
        <v>0.0</v>
      </c>
      <c r="L72" s="128">
        <v>0.0</v>
      </c>
      <c r="M72" s="128">
        <v>0.0</v>
      </c>
      <c r="N72" s="128">
        <v>0.0</v>
      </c>
      <c r="O72" s="128">
        <v>0.0</v>
      </c>
      <c r="P72" s="128">
        <v>0.0</v>
      </c>
      <c r="Q72" s="128">
        <v>0.0</v>
      </c>
      <c r="R72" s="128">
        <v>0.0</v>
      </c>
      <c r="S72" s="128">
        <v>0.0</v>
      </c>
      <c r="T72" s="128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122">
        <v>2.0</v>
      </c>
      <c r="H73" s="122">
        <v>2.0</v>
      </c>
      <c r="I73" s="122">
        <v>1.0</v>
      </c>
      <c r="J73" s="122">
        <v>2.0</v>
      </c>
      <c r="K73" s="122">
        <v>1.0</v>
      </c>
      <c r="L73" s="122">
        <v>0.0</v>
      </c>
      <c r="M73" s="122">
        <v>11.0</v>
      </c>
      <c r="N73" s="122">
        <v>1.0</v>
      </c>
      <c r="O73" s="122">
        <v>0.0</v>
      </c>
      <c r="P73" s="122">
        <v>0.0</v>
      </c>
      <c r="Q73" s="122">
        <v>0.0</v>
      </c>
      <c r="R73" s="122">
        <v>1.0</v>
      </c>
      <c r="S73" s="122">
        <v>1.0</v>
      </c>
      <c r="T73" s="122">
        <v>2064.0</v>
      </c>
      <c r="U73" s="71">
        <f t="shared" si="7"/>
        <v>0.5</v>
      </c>
      <c r="V73" s="71">
        <f t="shared" si="8"/>
        <v>1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128">
        <v>0.0</v>
      </c>
      <c r="H74" s="128">
        <v>0.0</v>
      </c>
      <c r="I74" s="128">
        <v>0.0</v>
      </c>
      <c r="J74" s="128">
        <v>0.0</v>
      </c>
      <c r="K74" s="128">
        <v>0.0</v>
      </c>
      <c r="L74" s="128">
        <v>0.0</v>
      </c>
      <c r="M74" s="128">
        <v>0.0</v>
      </c>
      <c r="N74" s="128">
        <v>0.0</v>
      </c>
      <c r="O74" s="128">
        <v>0.0</v>
      </c>
      <c r="P74" s="128">
        <v>0.0</v>
      </c>
      <c r="Q74" s="128">
        <v>0.0</v>
      </c>
      <c r="R74" s="128">
        <v>0.0</v>
      </c>
      <c r="S74" s="128">
        <v>0.0</v>
      </c>
      <c r="T74" s="128">
        <v>0.0</v>
      </c>
      <c r="U74" s="71">
        <f t="shared" si="7"/>
        <v>0</v>
      </c>
      <c r="V74" s="71">
        <f t="shared" si="8"/>
        <v>0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5214</v>
      </c>
      <c r="D2" s="10"/>
      <c r="E2" s="9">
        <f t="shared" ref="E2:R2" si="1">SUM(E5,E14,E17)</f>
        <v>2036</v>
      </c>
      <c r="F2" s="9">
        <f t="shared" si="1"/>
        <v>33</v>
      </c>
      <c r="G2" s="9">
        <f t="shared" si="1"/>
        <v>17</v>
      </c>
      <c r="H2" s="9">
        <f t="shared" si="1"/>
        <v>5</v>
      </c>
      <c r="I2" s="9">
        <f t="shared" si="1"/>
        <v>2</v>
      </c>
      <c r="J2" s="9">
        <f t="shared" si="1"/>
        <v>2</v>
      </c>
      <c r="K2" s="9">
        <f t="shared" si="1"/>
        <v>5</v>
      </c>
      <c r="L2" s="9">
        <f t="shared" si="1"/>
        <v>2</v>
      </c>
      <c r="M2" s="9">
        <f t="shared" si="1"/>
        <v>32</v>
      </c>
      <c r="N2" s="9">
        <f t="shared" si="1"/>
        <v>6</v>
      </c>
      <c r="O2" s="9">
        <f t="shared" si="1"/>
        <v>0</v>
      </c>
      <c r="P2" s="9">
        <f t="shared" si="1"/>
        <v>4</v>
      </c>
      <c r="Q2" s="9">
        <f t="shared" si="1"/>
        <v>2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1042.8</v>
      </c>
      <c r="F4" s="23">
        <f>IFERROR((G2+R2)/F2,0)</f>
        <v>0.6060606061</v>
      </c>
      <c r="G4" s="23">
        <f>IFERROR(H2/G2,0)</f>
        <v>0.2941176471</v>
      </c>
      <c r="H4" s="22">
        <f>(C2/C4)</f>
        <v>110.9361702</v>
      </c>
      <c r="I4" s="24"/>
      <c r="J4" s="23">
        <f>IFERROR(J2/I2,0)</f>
        <v>1</v>
      </c>
      <c r="K4" s="24"/>
      <c r="L4" s="23">
        <f>IFERROR(L2/K2,0)</f>
        <v>0.4</v>
      </c>
      <c r="M4" s="25">
        <f>IFERROR(M2/G2,0)</f>
        <v>1.882352941</v>
      </c>
      <c r="N4" s="24"/>
      <c r="O4" s="23">
        <f>IFERROR(O2/N2,0)</f>
        <v>0</v>
      </c>
      <c r="P4" s="26"/>
      <c r="Q4" s="23">
        <f>IFERROR(Q2/P2,0)</f>
        <v>0.5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1198</v>
      </c>
      <c r="D5" s="31"/>
      <c r="E5" s="32">
        <f>SUMIFS(T:T,A:A,B5,D:D,"Y")</f>
        <v>0</v>
      </c>
      <c r="F5" s="33">
        <f>SUMIF(A:A,B5,G:G)</f>
        <v>10</v>
      </c>
      <c r="G5" s="33">
        <f>SUMIF(A:A,B5,H:H)</f>
        <v>5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2</v>
      </c>
      <c r="L5" s="33">
        <f>SUMIF(A:A,B5,S:S)</f>
        <v>0</v>
      </c>
      <c r="M5" s="33">
        <f>SUMIF(A:A,B5,M:M)</f>
        <v>14</v>
      </c>
      <c r="N5" s="33">
        <f>SUMIF(A:A,B5,N:N)</f>
        <v>2</v>
      </c>
      <c r="O5" s="33">
        <f>SUMIF(A:A,B5,O:O)</f>
        <v>0</v>
      </c>
      <c r="P5" s="33">
        <f>SUMIF(A:A,B5,J:J)</f>
        <v>1</v>
      </c>
      <c r="Q5" s="33">
        <f>SUMIF(A:A,B5,K:K)</f>
        <v>1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1198</v>
      </c>
      <c r="F7" s="41">
        <f>IFERROR((G5+R5)/F5,0)</f>
        <v>0.7</v>
      </c>
      <c r="G7" s="41">
        <f>IFERROR(H5/G5,0)</f>
        <v>0.2</v>
      </c>
      <c r="H7" s="40">
        <f>(C5/C7)</f>
        <v>57.04761905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0</v>
      </c>
      <c r="P7" s="43"/>
      <c r="Q7" s="41">
        <f>IFERROR(Q5/P5,0)</f>
        <v>1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1198</v>
      </c>
      <c r="D11" s="47"/>
      <c r="E11" s="48">
        <f>SUMIFS(T:T,B:B,B11,D:D,"Y")</f>
        <v>0</v>
      </c>
      <c r="F11" s="49">
        <f t="shared" ref="F11:R11" si="2">SUMIF(B28:B1137,B11,G28:G1137)</f>
        <v>8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3</v>
      </c>
      <c r="N11" s="49">
        <f t="shared" si="2"/>
        <v>0</v>
      </c>
      <c r="O11" s="49">
        <f t="shared" si="2"/>
        <v>2</v>
      </c>
      <c r="P11" s="49">
        <f t="shared" si="2"/>
        <v>2</v>
      </c>
      <c r="Q11" s="49">
        <f t="shared" si="2"/>
        <v>1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92.15384615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0.5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4016</v>
      </c>
      <c r="D17" s="31"/>
      <c r="E17" s="53">
        <f>SUMIFS(T:T,A:A,B17,D:D,"Y")</f>
        <v>2036</v>
      </c>
      <c r="F17" s="9">
        <f>SUMIF(A:A,B17,G:G)</f>
        <v>22</v>
      </c>
      <c r="G17" s="33">
        <f>SUMIF(A:A,B17,H:H)</f>
        <v>12</v>
      </c>
      <c r="H17" s="33">
        <f>SUMIF(A:A,B17,I:I)</f>
        <v>4</v>
      </c>
      <c r="I17" s="33">
        <f>SUMIF(A:A,B17,P:P)</f>
        <v>2</v>
      </c>
      <c r="J17" s="33">
        <f>SUMIF(A:A,B17,Q:Q)</f>
        <v>2</v>
      </c>
      <c r="K17" s="33">
        <f>SUMIF(A:A,B17,R:R)</f>
        <v>3</v>
      </c>
      <c r="L17" s="33">
        <f>SUMIF(A:A,B17,S:S)</f>
        <v>2</v>
      </c>
      <c r="M17" s="33">
        <f>SUMIF(A:A,B17,M:M)</f>
        <v>18</v>
      </c>
      <c r="N17" s="33">
        <f>SUMIF(A:A,B17,N:N)</f>
        <v>4</v>
      </c>
      <c r="O17" s="33">
        <f>SUMIF(A:A,B17,O:O)</f>
        <v>0</v>
      </c>
      <c r="P17" s="33">
        <f>SUMIF(A:A,B17,J:J)</f>
        <v>3</v>
      </c>
      <c r="Q17" s="33">
        <f>SUMIF(A:A,B17,K:K)</f>
        <v>1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1004</v>
      </c>
      <c r="F19" s="41">
        <f>IFERROR((G17+R17)/F17,0)</f>
        <v>0.5909090909</v>
      </c>
      <c r="G19" s="41">
        <f>IFERROR(H17/G17,0)</f>
        <v>0.3333333333</v>
      </c>
      <c r="H19" s="40">
        <f>(C17/C19)</f>
        <v>182.5454545</v>
      </c>
      <c r="I19" s="42"/>
      <c r="J19" s="41">
        <f>IFERROR(J17/I17,0)</f>
        <v>1</v>
      </c>
      <c r="K19" s="42"/>
      <c r="L19" s="41">
        <f>IFERROR(L17/K17,0)</f>
        <v>0.6666666667</v>
      </c>
      <c r="M19" s="54">
        <f>IFERROR(M17/SUM(G17+R17,0),"")</f>
        <v>1.384615385</v>
      </c>
      <c r="N19" s="42"/>
      <c r="O19" s="41">
        <f>IFERROR(O17/N17,0)</f>
        <v>0</v>
      </c>
      <c r="P19" s="43"/>
      <c r="Q19" s="41">
        <f>IFERROR(Q17/P17,0)</f>
        <v>0.3333333333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2036</v>
      </c>
      <c r="D20" s="55"/>
      <c r="E20" s="48">
        <f>SUMIFS(T:T,B:B,B20,D:D,"Y")</f>
        <v>2036</v>
      </c>
      <c r="F20" s="49">
        <f>SUMIF(B49:B1137,B20,G49:G1137)</f>
        <v>14</v>
      </c>
      <c r="G20" s="46">
        <f>SUMIF(B49:B1137,B20,H49:H1137)</f>
        <v>8</v>
      </c>
      <c r="H20" s="46">
        <f>SUMIF(B49:B1137,B20,I49:I1137)</f>
        <v>2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3</v>
      </c>
      <c r="L20" s="46">
        <f>SUMIF(B49:B1137,B20,S49:S1137)</f>
        <v>2</v>
      </c>
      <c r="M20" s="46">
        <f>SUMIF(B49:B1137,B20,M49:M1137)</f>
        <v>16</v>
      </c>
      <c r="N20" s="46">
        <f>SUMIF(B49:B1137,B20,N49:N1137)</f>
        <v>4</v>
      </c>
      <c r="O20" s="46">
        <f>SUMIF(B49:B1137,B20,O49:O1137)</f>
        <v>0</v>
      </c>
      <c r="P20" s="46">
        <f>SUMIF(B49:B1137,B20,J49:J1137)</f>
        <v>3</v>
      </c>
      <c r="Q20" s="46">
        <f>SUMIF(B49:B1137,B20,K49:K1137)</f>
        <v>1</v>
      </c>
      <c r="R20" s="50">
        <f>SUMIF(B49:B1137,B20,L49:L1137)</f>
        <v>1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12</v>
      </c>
      <c r="D22" s="39"/>
      <c r="E22" s="40">
        <f>IFERROR(C20/H20,0)</f>
        <v>1018</v>
      </c>
      <c r="F22" s="41">
        <f>IFERROR((G20+R20)/F20,0)</f>
        <v>0.6428571429</v>
      </c>
      <c r="G22" s="41">
        <f>IFERROR(H20/G20,0)</f>
        <v>0.25</v>
      </c>
      <c r="H22" s="40">
        <f>(C20/C22)</f>
        <v>169.6666667</v>
      </c>
      <c r="I22" s="42"/>
      <c r="J22" s="41">
        <f>IFERROR(J20/I20,0)</f>
        <v>0</v>
      </c>
      <c r="K22" s="42"/>
      <c r="L22" s="41">
        <f>IFERROR(L20/K20,0)</f>
        <v>0.6666666667</v>
      </c>
      <c r="M22" s="43">
        <f>IFERROR(M20/SUM(G20+R20,0),"")</f>
        <v>1.777777778</v>
      </c>
      <c r="N22" s="42"/>
      <c r="O22" s="41">
        <f>IFERROR(O20/N20,0)</f>
        <v>0</v>
      </c>
      <c r="P22" s="43"/>
      <c r="Q22" s="41">
        <f>IFERROR(Q20/P20,0)</f>
        <v>0.3333333333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3</v>
      </c>
      <c r="G23" s="46">
        <f>SUMIF(B52:B1137,B23,H52:H1137)</f>
        <v>1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1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0.3333333333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1</v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2.0</v>
      </c>
      <c r="H30" s="122">
        <v>1.0</v>
      </c>
      <c r="I30" s="122">
        <v>0.0</v>
      </c>
      <c r="J30" s="122">
        <v>0.0</v>
      </c>
      <c r="K30" s="122">
        <v>0.0</v>
      </c>
      <c r="L30" s="122">
        <v>0.0</v>
      </c>
      <c r="M30" s="122">
        <v>4.0</v>
      </c>
      <c r="N30" s="122">
        <v>0.0</v>
      </c>
      <c r="O30" s="122">
        <v>0.0</v>
      </c>
      <c r="P30" s="122">
        <v>0.0</v>
      </c>
      <c r="Q30" s="122">
        <v>0.0</v>
      </c>
      <c r="R30" s="122">
        <v>1.0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0.5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1.0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2.0</v>
      </c>
      <c r="H33" s="122">
        <v>2.0</v>
      </c>
      <c r="I33" s="122">
        <v>0.0</v>
      </c>
      <c r="J33" s="122">
        <v>1.0</v>
      </c>
      <c r="K33" s="122">
        <v>1.0</v>
      </c>
      <c r="L33" s="122">
        <v>2.0</v>
      </c>
      <c r="M33" s="122">
        <v>5.0</v>
      </c>
      <c r="N33" s="122">
        <v>1.0</v>
      </c>
      <c r="O33" s="122">
        <v>0.0</v>
      </c>
      <c r="P33" s="122">
        <v>0.0</v>
      </c>
      <c r="Q33" s="122">
        <v>0.0</v>
      </c>
      <c r="R33" s="122">
        <v>1.0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2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2.0</v>
      </c>
      <c r="H34" s="122">
        <v>1.0</v>
      </c>
      <c r="I34" s="122">
        <v>1.0</v>
      </c>
      <c r="J34" s="122">
        <v>0.0</v>
      </c>
      <c r="K34" s="122">
        <v>0.0</v>
      </c>
      <c r="L34" s="122">
        <v>0.0</v>
      </c>
      <c r="M34" s="122">
        <v>3.0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1198.0</v>
      </c>
      <c r="U34" s="71">
        <f t="shared" si="3"/>
        <v>1</v>
      </c>
      <c r="V34" s="71">
        <f t="shared" si="4"/>
        <v>0.5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1.0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70"/>
      <c r="S37" s="122">
        <v>0.0</v>
      </c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2.0</v>
      </c>
      <c r="H38" s="122">
        <v>1.0</v>
      </c>
      <c r="I38" s="122">
        <v>0.0</v>
      </c>
      <c r="J38" s="122">
        <v>0.0</v>
      </c>
      <c r="K38" s="122">
        <v>0.0</v>
      </c>
      <c r="L38" s="122">
        <v>0.0</v>
      </c>
      <c r="M38" s="122">
        <v>2.0</v>
      </c>
      <c r="N38" s="122">
        <v>1.0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0.5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122">
        <v>0.0</v>
      </c>
      <c r="H39" s="122">
        <v>0.0</v>
      </c>
      <c r="I39" s="122">
        <v>0.0</v>
      </c>
      <c r="J39" s="122">
        <v>0.0</v>
      </c>
      <c r="K39" s="122">
        <v>0.0</v>
      </c>
      <c r="L39" s="122">
        <v>0.0</v>
      </c>
      <c r="M39" s="122">
        <v>0.0</v>
      </c>
      <c r="N39" s="122">
        <v>0.0</v>
      </c>
      <c r="O39" s="122">
        <v>0.0</v>
      </c>
      <c r="P39" s="122">
        <v>0.0</v>
      </c>
      <c r="Q39" s="122">
        <v>0.0</v>
      </c>
      <c r="R39" s="122">
        <v>0.0</v>
      </c>
      <c r="S39" s="122">
        <v>0.0</v>
      </c>
      <c r="T39" s="122">
        <v>0.0</v>
      </c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2">
        <v>1.0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122">
        <v>0.0</v>
      </c>
      <c r="H53" s="122">
        <v>0.0</v>
      </c>
      <c r="I53" s="122">
        <v>0.0</v>
      </c>
      <c r="J53" s="122">
        <v>0.0</v>
      </c>
      <c r="K53" s="122">
        <v>0.0</v>
      </c>
      <c r="L53" s="122">
        <v>0.0</v>
      </c>
      <c r="M53" s="122">
        <v>0.0</v>
      </c>
      <c r="N53" s="122">
        <v>0.0</v>
      </c>
      <c r="O53" s="122">
        <v>0.0</v>
      </c>
      <c r="P53" s="122">
        <v>0.0</v>
      </c>
      <c r="Q53" s="122">
        <v>0.0</v>
      </c>
      <c r="R53" s="122">
        <v>0.0</v>
      </c>
      <c r="S53" s="122">
        <v>0.0</v>
      </c>
      <c r="T53" s="122">
        <v>0.0</v>
      </c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128">
        <v>0.0</v>
      </c>
      <c r="H55" s="128">
        <v>0.0</v>
      </c>
      <c r="I55" s="128">
        <v>0.0</v>
      </c>
      <c r="J55" s="128">
        <v>0.0</v>
      </c>
      <c r="K55" s="128">
        <v>0.0</v>
      </c>
      <c r="L55" s="128">
        <v>0.0</v>
      </c>
      <c r="M55" s="128">
        <v>0.0</v>
      </c>
      <c r="N55" s="128">
        <v>0.0</v>
      </c>
      <c r="O55" s="128">
        <v>0.0</v>
      </c>
      <c r="P55" s="128">
        <v>0.0</v>
      </c>
      <c r="Q55" s="128">
        <v>0.0</v>
      </c>
      <c r="R55" s="128">
        <v>0.0</v>
      </c>
      <c r="S55" s="128">
        <v>0.0</v>
      </c>
      <c r="T55" s="128">
        <v>0.0</v>
      </c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8">
        <v>0.0</v>
      </c>
      <c r="H56" s="128">
        <v>0.0</v>
      </c>
      <c r="I56" s="128">
        <v>0.0</v>
      </c>
      <c r="J56" s="128">
        <v>0.0</v>
      </c>
      <c r="K56" s="128">
        <v>0.0</v>
      </c>
      <c r="L56" s="128">
        <v>0.0</v>
      </c>
      <c r="M56" s="128">
        <v>0.0</v>
      </c>
      <c r="N56" s="128">
        <v>0.0</v>
      </c>
      <c r="O56" s="128">
        <v>0.0</v>
      </c>
      <c r="P56" s="128">
        <v>0.0</v>
      </c>
      <c r="Q56" s="128">
        <v>0.0</v>
      </c>
      <c r="R56" s="128">
        <v>0.0</v>
      </c>
      <c r="S56" s="128">
        <v>0.0</v>
      </c>
      <c r="T56" s="128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130">
        <v>5.0</v>
      </c>
      <c r="H58" s="130">
        <v>3.0</v>
      </c>
      <c r="I58" s="130">
        <v>2.0</v>
      </c>
      <c r="J58" s="128">
        <v>0.0</v>
      </c>
      <c r="K58" s="128">
        <v>0.0</v>
      </c>
      <c r="L58" s="128">
        <v>0.0</v>
      </c>
      <c r="M58" s="130">
        <v>1.0</v>
      </c>
      <c r="N58" s="128">
        <v>0.0</v>
      </c>
      <c r="O58" s="128">
        <v>0.0</v>
      </c>
      <c r="P58" s="130">
        <v>2.0</v>
      </c>
      <c r="Q58" s="130">
        <v>2.0</v>
      </c>
      <c r="R58" s="128">
        <v>0.0</v>
      </c>
      <c r="S58" s="128">
        <v>0.0</v>
      </c>
      <c r="T58" s="130">
        <v>1980.0</v>
      </c>
      <c r="U58" s="71">
        <f t="shared" si="7"/>
        <v>0.6666666667</v>
      </c>
      <c r="V58" s="71">
        <f t="shared" si="8"/>
        <v>0.6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122">
        <v>5.0</v>
      </c>
      <c r="H59" s="122">
        <v>3.0</v>
      </c>
      <c r="I59" s="122">
        <v>1.0</v>
      </c>
      <c r="J59" s="122">
        <v>1.0</v>
      </c>
      <c r="K59" s="122">
        <v>0.0</v>
      </c>
      <c r="L59" s="122">
        <v>0.0</v>
      </c>
      <c r="M59" s="122">
        <v>3.0</v>
      </c>
      <c r="N59" s="122">
        <v>2.0</v>
      </c>
      <c r="O59" s="122">
        <v>0.0</v>
      </c>
      <c r="P59" s="122">
        <v>0.0</v>
      </c>
      <c r="Q59" s="122">
        <v>0.0</v>
      </c>
      <c r="R59" s="122">
        <v>1.0</v>
      </c>
      <c r="S59" s="122">
        <v>1.0</v>
      </c>
      <c r="T59" s="122">
        <v>1221.0</v>
      </c>
      <c r="U59" s="71">
        <f t="shared" si="7"/>
        <v>0.3333333333</v>
      </c>
      <c r="V59" s="71">
        <f t="shared" si="8"/>
        <v>0.6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128">
        <v>0.0</v>
      </c>
      <c r="H60" s="128">
        <v>0.0</v>
      </c>
      <c r="I60" s="128">
        <v>0.0</v>
      </c>
      <c r="J60" s="128">
        <v>0.0</v>
      </c>
      <c r="K60" s="128">
        <v>0.0</v>
      </c>
      <c r="L60" s="128">
        <v>0.0</v>
      </c>
      <c r="M60" s="128">
        <v>0.0</v>
      </c>
      <c r="N60" s="128">
        <v>0.0</v>
      </c>
      <c r="O60" s="128">
        <v>0.0</v>
      </c>
      <c r="P60" s="128">
        <v>0.0</v>
      </c>
      <c r="Q60" s="128">
        <v>0.0</v>
      </c>
      <c r="R60" s="128">
        <v>0.0</v>
      </c>
      <c r="S60" s="128">
        <v>0.0</v>
      </c>
      <c r="T60" s="128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128">
        <v>0.0</v>
      </c>
      <c r="H61" s="128">
        <v>0.0</v>
      </c>
      <c r="I61" s="128">
        <v>0.0</v>
      </c>
      <c r="J61" s="128">
        <v>0.0</v>
      </c>
      <c r="K61" s="128">
        <v>0.0</v>
      </c>
      <c r="L61" s="128">
        <v>0.0</v>
      </c>
      <c r="M61" s="128">
        <v>0.0</v>
      </c>
      <c r="N61" s="128">
        <v>0.0</v>
      </c>
      <c r="O61" s="128">
        <v>0.0</v>
      </c>
      <c r="P61" s="128">
        <v>0.0</v>
      </c>
      <c r="Q61" s="128">
        <v>0.0</v>
      </c>
      <c r="R61" s="128">
        <v>0.0</v>
      </c>
      <c r="S61" s="128">
        <v>0.0</v>
      </c>
      <c r="T61" s="128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128">
        <v>0.0</v>
      </c>
      <c r="H62" s="128">
        <v>0.0</v>
      </c>
      <c r="I62" s="128">
        <v>0.0</v>
      </c>
      <c r="J62" s="128">
        <v>0.0</v>
      </c>
      <c r="K62" s="128">
        <v>0.0</v>
      </c>
      <c r="L62" s="128">
        <v>0.0</v>
      </c>
      <c r="M62" s="128">
        <v>0.0</v>
      </c>
      <c r="N62" s="128">
        <v>0.0</v>
      </c>
      <c r="O62" s="128">
        <v>0.0</v>
      </c>
      <c r="P62" s="128">
        <v>0.0</v>
      </c>
      <c r="Q62" s="128">
        <v>0.0</v>
      </c>
      <c r="R62" s="128">
        <v>0.0</v>
      </c>
      <c r="S62" s="128">
        <v>0.0</v>
      </c>
      <c r="T62" s="128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130">
        <v>5.0</v>
      </c>
      <c r="H63" s="130">
        <v>4.0</v>
      </c>
      <c r="I63" s="130">
        <v>1.0</v>
      </c>
      <c r="J63" s="130">
        <v>2.0</v>
      </c>
      <c r="K63" s="130">
        <v>1.0</v>
      </c>
      <c r="L63" s="130">
        <v>1.0</v>
      </c>
      <c r="M63" s="130">
        <v>11.0</v>
      </c>
      <c r="N63" s="130">
        <v>1.0</v>
      </c>
      <c r="O63" s="128">
        <v>0.0</v>
      </c>
      <c r="P63" s="128">
        <v>0.0</v>
      </c>
      <c r="Q63" s="128">
        <v>0.0</v>
      </c>
      <c r="R63" s="130">
        <v>2.0</v>
      </c>
      <c r="S63" s="130">
        <v>1.0</v>
      </c>
      <c r="T63" s="130">
        <v>815.0</v>
      </c>
      <c r="U63" s="71">
        <f t="shared" si="7"/>
        <v>0.25</v>
      </c>
      <c r="V63" s="71">
        <f t="shared" si="8"/>
        <v>1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128">
        <v>0.0</v>
      </c>
      <c r="H64" s="128">
        <v>0.0</v>
      </c>
      <c r="I64" s="128">
        <v>0.0</v>
      </c>
      <c r="J64" s="128">
        <v>0.0</v>
      </c>
      <c r="K64" s="128">
        <v>0.0</v>
      </c>
      <c r="L64" s="128">
        <v>0.0</v>
      </c>
      <c r="M64" s="128">
        <v>0.0</v>
      </c>
      <c r="N64" s="128">
        <v>0.0</v>
      </c>
      <c r="O64" s="128">
        <v>0.0</v>
      </c>
      <c r="P64" s="128">
        <v>0.0</v>
      </c>
      <c r="Q64" s="128">
        <v>0.0</v>
      </c>
      <c r="R64" s="128">
        <v>0.0</v>
      </c>
      <c r="S64" s="128">
        <v>0.0</v>
      </c>
      <c r="T64" s="128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128">
        <v>0.0</v>
      </c>
      <c r="H65" s="128">
        <v>0.0</v>
      </c>
      <c r="I65" s="128">
        <v>0.0</v>
      </c>
      <c r="J65" s="128">
        <v>0.0</v>
      </c>
      <c r="K65" s="128">
        <v>0.0</v>
      </c>
      <c r="L65" s="128">
        <v>0.0</v>
      </c>
      <c r="M65" s="128">
        <v>0.0</v>
      </c>
      <c r="N65" s="128">
        <v>0.0</v>
      </c>
      <c r="O65" s="128">
        <v>0.0</v>
      </c>
      <c r="P65" s="128">
        <v>0.0</v>
      </c>
      <c r="Q65" s="128">
        <v>0.0</v>
      </c>
      <c r="R65" s="128">
        <v>0.0</v>
      </c>
      <c r="S65" s="128">
        <v>0.0</v>
      </c>
      <c r="T65" s="128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122">
        <v>3.0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128">
        <v>0.0</v>
      </c>
      <c r="H67" s="128">
        <v>0.0</v>
      </c>
      <c r="I67" s="128">
        <v>0.0</v>
      </c>
      <c r="J67" s="128">
        <v>0.0</v>
      </c>
      <c r="K67" s="128">
        <v>0.0</v>
      </c>
      <c r="L67" s="128">
        <v>0.0</v>
      </c>
      <c r="M67" s="128">
        <v>0.0</v>
      </c>
      <c r="N67" s="128">
        <v>0.0</v>
      </c>
      <c r="O67" s="128">
        <v>0.0</v>
      </c>
      <c r="P67" s="128">
        <v>0.0</v>
      </c>
      <c r="Q67" s="128">
        <v>0.0</v>
      </c>
      <c r="R67" s="128">
        <v>0.0</v>
      </c>
      <c r="S67" s="128">
        <v>0.0</v>
      </c>
      <c r="T67" s="128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122">
        <v>1.0</v>
      </c>
      <c r="H68" s="122">
        <v>1.0</v>
      </c>
      <c r="I68" s="122">
        <v>0.0</v>
      </c>
      <c r="J68" s="122">
        <v>0.0</v>
      </c>
      <c r="K68" s="122">
        <v>0.0</v>
      </c>
      <c r="L68" s="122">
        <v>0.0</v>
      </c>
      <c r="M68" s="122">
        <v>2.0</v>
      </c>
      <c r="N68" s="122">
        <v>1.0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1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128">
        <v>0.0</v>
      </c>
      <c r="H69" s="128">
        <v>0.0</v>
      </c>
      <c r="I69" s="128">
        <v>0.0</v>
      </c>
      <c r="J69" s="128">
        <v>0.0</v>
      </c>
      <c r="K69" s="128">
        <v>0.0</v>
      </c>
      <c r="L69" s="128">
        <v>0.0</v>
      </c>
      <c r="M69" s="128">
        <v>0.0</v>
      </c>
      <c r="N69" s="128">
        <v>0.0</v>
      </c>
      <c r="O69" s="128">
        <v>0.0</v>
      </c>
      <c r="P69" s="128">
        <v>0.0</v>
      </c>
      <c r="Q69" s="128">
        <v>0.0</v>
      </c>
      <c r="R69" s="128">
        <v>0.0</v>
      </c>
      <c r="S69" s="128">
        <v>0.0</v>
      </c>
      <c r="T69" s="128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128">
        <v>0.0</v>
      </c>
      <c r="H71" s="128">
        <v>0.0</v>
      </c>
      <c r="I71" s="128">
        <v>0.0</v>
      </c>
      <c r="J71" s="128">
        <v>0.0</v>
      </c>
      <c r="K71" s="128">
        <v>0.0</v>
      </c>
      <c r="L71" s="128">
        <v>0.0</v>
      </c>
      <c r="M71" s="128">
        <v>0.0</v>
      </c>
      <c r="N71" s="128">
        <v>0.0</v>
      </c>
      <c r="O71" s="128">
        <v>0.0</v>
      </c>
      <c r="P71" s="128">
        <v>0.0</v>
      </c>
      <c r="Q71" s="128">
        <v>0.0</v>
      </c>
      <c r="R71" s="128">
        <v>0.0</v>
      </c>
      <c r="S71" s="128">
        <v>0.0</v>
      </c>
      <c r="T71" s="128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128">
        <v>0.0</v>
      </c>
      <c r="H73" s="128">
        <v>0.0</v>
      </c>
      <c r="I73" s="128">
        <v>0.0</v>
      </c>
      <c r="J73" s="128">
        <v>0.0</v>
      </c>
      <c r="K73" s="128">
        <v>0.0</v>
      </c>
      <c r="L73" s="128">
        <v>0.0</v>
      </c>
      <c r="M73" s="128">
        <v>0.0</v>
      </c>
      <c r="N73" s="128">
        <v>0.0</v>
      </c>
      <c r="O73" s="128">
        <v>0.0</v>
      </c>
      <c r="P73" s="128">
        <v>0.0</v>
      </c>
      <c r="Q73" s="128">
        <v>0.0</v>
      </c>
      <c r="R73" s="128">
        <v>0.0</v>
      </c>
      <c r="S73" s="128">
        <v>0.0</v>
      </c>
      <c r="T73" s="128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122">
        <v>3.0</v>
      </c>
      <c r="H74" s="122">
        <v>1.0</v>
      </c>
      <c r="I74" s="122">
        <v>0.0</v>
      </c>
      <c r="J74" s="122">
        <v>0.0</v>
      </c>
      <c r="K74" s="122">
        <v>0.0</v>
      </c>
      <c r="L74" s="122">
        <v>0.0</v>
      </c>
      <c r="M74" s="122">
        <v>1.0</v>
      </c>
      <c r="N74" s="122">
        <v>0.0</v>
      </c>
      <c r="O74" s="122">
        <v>0.0</v>
      </c>
      <c r="P74" s="122">
        <v>0.0</v>
      </c>
      <c r="Q74" s="122">
        <v>0.0</v>
      </c>
      <c r="R74" s="122">
        <v>0.0</v>
      </c>
      <c r="S74" s="122">
        <v>0.0</v>
      </c>
      <c r="T74" s="122">
        <v>0.0</v>
      </c>
      <c r="U74" s="71">
        <f t="shared" si="7"/>
        <v>0</v>
      </c>
      <c r="V74" s="71">
        <f t="shared" si="8"/>
        <v>0.3333333333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128">
        <v>0.0</v>
      </c>
      <c r="H75" s="128">
        <v>0.0</v>
      </c>
      <c r="I75" s="128">
        <v>0.0</v>
      </c>
      <c r="J75" s="128">
        <v>0.0</v>
      </c>
      <c r="K75" s="128">
        <v>0.0</v>
      </c>
      <c r="L75" s="128">
        <v>0.0</v>
      </c>
      <c r="M75" s="128">
        <v>0.0</v>
      </c>
      <c r="N75" s="128">
        <v>0.0</v>
      </c>
      <c r="O75" s="128">
        <v>0.0</v>
      </c>
      <c r="P75" s="128">
        <v>0.0</v>
      </c>
      <c r="Q75" s="128">
        <v>0.0</v>
      </c>
      <c r="R75" s="128">
        <v>0.0</v>
      </c>
      <c r="S75" s="128">
        <v>0.0</v>
      </c>
      <c r="T75" s="128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128">
        <v>0.0</v>
      </c>
      <c r="H76" s="128">
        <v>0.0</v>
      </c>
      <c r="I76" s="128">
        <v>0.0</v>
      </c>
      <c r="J76" s="128">
        <v>0.0</v>
      </c>
      <c r="K76" s="128">
        <v>0.0</v>
      </c>
      <c r="L76" s="128">
        <v>0.0</v>
      </c>
      <c r="M76" s="128">
        <v>0.0</v>
      </c>
      <c r="N76" s="128">
        <v>0.0</v>
      </c>
      <c r="O76" s="128">
        <v>0.0</v>
      </c>
      <c r="P76" s="128">
        <v>0.0</v>
      </c>
      <c r="Q76" s="128">
        <v>0.0</v>
      </c>
      <c r="R76" s="128">
        <v>0.0</v>
      </c>
      <c r="S76" s="128">
        <v>0.0</v>
      </c>
      <c r="T76" s="128">
        <v>0.0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11226</v>
      </c>
      <c r="D2" s="10"/>
      <c r="E2" s="9">
        <f t="shared" ref="E2:R2" si="1">SUM(E5,E14,E17)</f>
        <v>6359</v>
      </c>
      <c r="F2" s="9">
        <f t="shared" si="1"/>
        <v>40</v>
      </c>
      <c r="G2" s="9">
        <f t="shared" si="1"/>
        <v>25</v>
      </c>
      <c r="H2" s="9">
        <f t="shared" si="1"/>
        <v>8</v>
      </c>
      <c r="I2" s="9">
        <f t="shared" si="1"/>
        <v>0</v>
      </c>
      <c r="J2" s="9">
        <f t="shared" si="1"/>
        <v>0</v>
      </c>
      <c r="K2" s="9">
        <f t="shared" si="1"/>
        <v>12</v>
      </c>
      <c r="L2" s="9">
        <f t="shared" si="1"/>
        <v>3</v>
      </c>
      <c r="M2" s="9">
        <f t="shared" si="1"/>
        <v>66</v>
      </c>
      <c r="N2" s="9">
        <f t="shared" si="1"/>
        <v>11</v>
      </c>
      <c r="O2" s="9">
        <f t="shared" si="1"/>
        <v>4</v>
      </c>
      <c r="P2" s="9">
        <f t="shared" si="1"/>
        <v>10</v>
      </c>
      <c r="Q2" s="9">
        <f t="shared" si="1"/>
        <v>2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1403.25</v>
      </c>
      <c r="F4" s="23">
        <f>IFERROR((G2+R2)/F2,0)</f>
        <v>0.65</v>
      </c>
      <c r="G4" s="23">
        <f>IFERROR(H2/G2,0)</f>
        <v>0.32</v>
      </c>
      <c r="H4" s="22">
        <f>(C2/C4)</f>
        <v>238.8510638</v>
      </c>
      <c r="I4" s="24"/>
      <c r="J4" s="23">
        <f>IFERROR(J2/I2,0)</f>
        <v>0</v>
      </c>
      <c r="K4" s="24"/>
      <c r="L4" s="23">
        <f>IFERROR(L2/K2,0)</f>
        <v>0.25</v>
      </c>
      <c r="M4" s="25">
        <f>IFERROR(M2/G2,0)</f>
        <v>2.64</v>
      </c>
      <c r="N4" s="24"/>
      <c r="O4" s="23">
        <f>IFERROR(O2/N2,0)</f>
        <v>0.3636363636</v>
      </c>
      <c r="P4" s="26"/>
      <c r="Q4" s="23">
        <f>IFERROR(Q2/P2,0)</f>
        <v>0.2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7495</v>
      </c>
      <c r="D5" s="31"/>
      <c r="E5" s="32">
        <f>SUMIFS(T:T,A:A,B5,D:D,"Y")</f>
        <v>3612</v>
      </c>
      <c r="F5" s="33">
        <f>SUMIF(A:A,B5,G:G)</f>
        <v>14</v>
      </c>
      <c r="G5" s="33">
        <f>SUMIF(A:A,B5,H:H)</f>
        <v>10</v>
      </c>
      <c r="H5" s="33">
        <f>SUMIF(A:A,B5,I:I)</f>
        <v>5</v>
      </c>
      <c r="I5" s="33">
        <f>SUMIF(A:A,B5,P:P)</f>
        <v>0</v>
      </c>
      <c r="J5" s="33">
        <f>SUMIF(A:A,B5,Q:Q)</f>
        <v>0</v>
      </c>
      <c r="K5" s="33">
        <f>SUMIF(A:A,B5,R:R)</f>
        <v>7</v>
      </c>
      <c r="L5" s="33">
        <f>SUMIF(A:A,B5,S:S)</f>
        <v>3</v>
      </c>
      <c r="M5" s="33">
        <f>SUMIF(A:A,B5,M:M)</f>
        <v>34</v>
      </c>
      <c r="N5" s="33">
        <f>SUMIF(A:A,B5,N:N)</f>
        <v>2</v>
      </c>
      <c r="O5" s="33">
        <f>SUMIF(A:A,B5,O:O)</f>
        <v>2</v>
      </c>
      <c r="P5" s="33">
        <f>SUMIF(A:A,B5,J:J)</f>
        <v>2</v>
      </c>
      <c r="Q5" s="33">
        <f>SUMIF(A:A,B5,K:K)</f>
        <v>1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1499</v>
      </c>
      <c r="F7" s="41">
        <f>IFERROR((G5+R5)/F5,0)</f>
        <v>0.7857142857</v>
      </c>
      <c r="G7" s="41">
        <f>IFERROR(H5/G5,0)</f>
        <v>0.5</v>
      </c>
      <c r="H7" s="40">
        <f>(C5/C7)</f>
        <v>356.9047619</v>
      </c>
      <c r="I7" s="42"/>
      <c r="J7" s="41">
        <f>IFERROR(J5/I5,0)</f>
        <v>0</v>
      </c>
      <c r="K7" s="42"/>
      <c r="L7" s="41">
        <f>IFERROR(L5/K5,0)</f>
        <v>0.4285714286</v>
      </c>
      <c r="M7" s="43">
        <f>IFERROR(M5/SUM(R5+G5,0),"")</f>
        <v>3.090909091</v>
      </c>
      <c r="N7" s="42"/>
      <c r="O7" s="41">
        <f>IFERROR(O5/N5,0)</f>
        <v>1</v>
      </c>
      <c r="P7" s="43"/>
      <c r="Q7" s="41">
        <f>IFERROR(Q5/P5,0)</f>
        <v>0.5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7495</v>
      </c>
      <c r="D11" s="47"/>
      <c r="E11" s="48">
        <f>SUMIFS(T:T,B:B,B11,D:D,"Y")</f>
        <v>3612</v>
      </c>
      <c r="F11" s="49">
        <f t="shared" ref="F11:R11" si="2">SUMIF(B28:B1137,B11,G28:G1137)</f>
        <v>9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5</v>
      </c>
      <c r="N11" s="49">
        <f t="shared" si="2"/>
        <v>1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0.1111111111</v>
      </c>
      <c r="G13" s="23">
        <f>IFERROR(H11/G11,0)</f>
        <v>0</v>
      </c>
      <c r="H13" s="22">
        <f>(C11/C13)</f>
        <v>576.5384615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5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2051</v>
      </c>
      <c r="D14" s="31"/>
      <c r="E14" s="53">
        <f>SUMIFS(T:T,A:A,B14,D:D,"Y")</f>
        <v>2051</v>
      </c>
      <c r="F14" s="9">
        <f>SUMIF(A:A,B14,G:G)</f>
        <v>2</v>
      </c>
      <c r="G14" s="33">
        <f>SUMIF(A:A,B14,H:H)</f>
        <v>2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4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2051</v>
      </c>
      <c r="F16" s="23">
        <f>IFERROR((G14+R14)/F14,0)</f>
        <v>1</v>
      </c>
      <c r="G16" s="23">
        <f>IFERROR(H14/G14,0)</f>
        <v>0.5</v>
      </c>
      <c r="H16" s="22">
        <f>(C14/C16)</f>
        <v>512.75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2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1680</v>
      </c>
      <c r="D17" s="31"/>
      <c r="E17" s="53">
        <f>SUMIFS(T:T,A:A,B17,D:D,"Y")</f>
        <v>696</v>
      </c>
      <c r="F17" s="9">
        <f>SUMIF(A:A,B17,G:G)</f>
        <v>24</v>
      </c>
      <c r="G17" s="33">
        <f>SUMIF(A:A,B17,H:H)</f>
        <v>13</v>
      </c>
      <c r="H17" s="33">
        <f>SUMIF(A:A,B17,I:I)</f>
        <v>2</v>
      </c>
      <c r="I17" s="33">
        <f>SUMIF(A:A,B17,P:P)</f>
        <v>0</v>
      </c>
      <c r="J17" s="33">
        <f>SUMIF(A:A,B17,Q:Q)</f>
        <v>0</v>
      </c>
      <c r="K17" s="33">
        <f>SUMIF(A:A,B17,R:R)</f>
        <v>5</v>
      </c>
      <c r="L17" s="33">
        <f>SUMIF(A:A,B17,S:S)</f>
        <v>0</v>
      </c>
      <c r="M17" s="33">
        <f>SUMIF(A:A,B17,M:M)</f>
        <v>28</v>
      </c>
      <c r="N17" s="33">
        <f>SUMIF(A:A,B17,N:N)</f>
        <v>9</v>
      </c>
      <c r="O17" s="33">
        <f>SUMIF(A:A,B17,O:O)</f>
        <v>2</v>
      </c>
      <c r="P17" s="33">
        <f>SUMIF(A:A,B17,J:J)</f>
        <v>7</v>
      </c>
      <c r="Q17" s="33">
        <f>SUMIF(A:A,B17,K:K)</f>
        <v>1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840</v>
      </c>
      <c r="F19" s="41">
        <f>IFERROR((G17+R17)/F17,0)</f>
        <v>0.5416666667</v>
      </c>
      <c r="G19" s="41">
        <f>IFERROR(H17/G17,0)</f>
        <v>0.1538461538</v>
      </c>
      <c r="H19" s="40">
        <f>(C17/C19)</f>
        <v>76.36363636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2.153846154</v>
      </c>
      <c r="N19" s="42"/>
      <c r="O19" s="41">
        <f>IFERROR(O17/N17,0)</f>
        <v>0.2222222222</v>
      </c>
      <c r="P19" s="43"/>
      <c r="Q19" s="41">
        <f>IFERROR(Q17/P17,0)</f>
        <v>0.1428571429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1680</v>
      </c>
      <c r="D20" s="55"/>
      <c r="E20" s="48">
        <f>SUMIFS(T:T,B:B,B20,D:D,"Y")</f>
        <v>696</v>
      </c>
      <c r="F20" s="49">
        <f>SUMIF(B49:B1137,B20,G49:G1137)</f>
        <v>23</v>
      </c>
      <c r="G20" s="46">
        <f>SUMIF(B49:B1137,B20,H49:H1137)</f>
        <v>12</v>
      </c>
      <c r="H20" s="46">
        <f>SUMIF(B49:B1137,B20,I49:I1137)</f>
        <v>2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5</v>
      </c>
      <c r="L20" s="46">
        <f>SUMIF(B49:B1137,B20,S49:S1137)</f>
        <v>0</v>
      </c>
      <c r="M20" s="46">
        <f>SUMIF(B49:B1137,B20,M49:M1137)</f>
        <v>28</v>
      </c>
      <c r="N20" s="46">
        <f>SUMIF(B49:B1137,B20,N49:N1137)</f>
        <v>8</v>
      </c>
      <c r="O20" s="46">
        <f>SUMIF(B49:B1137,B20,O49:O1137)</f>
        <v>2</v>
      </c>
      <c r="P20" s="46">
        <f>SUMIF(B49:B1137,B20,J49:J1137)</f>
        <v>6</v>
      </c>
      <c r="Q20" s="46">
        <f>SUMIF(B49:B1137,B20,K49:K1137)</f>
        <v>1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12</v>
      </c>
      <c r="D22" s="39"/>
      <c r="E22" s="40">
        <f>IFERROR(C20/H20,0)</f>
        <v>840</v>
      </c>
      <c r="F22" s="41">
        <f>IFERROR((G20+R20)/F20,0)</f>
        <v>0.5217391304</v>
      </c>
      <c r="G22" s="41">
        <f>IFERROR(H20/G20,0)</f>
        <v>0.1666666667</v>
      </c>
      <c r="H22" s="40">
        <f>(C20/C22)</f>
        <v>140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2.333333333</v>
      </c>
      <c r="N22" s="42"/>
      <c r="O22" s="41">
        <f>IFERROR(O20/N20,0)</f>
        <v>0.25</v>
      </c>
      <c r="P22" s="43"/>
      <c r="Q22" s="41">
        <f>IFERROR(Q20/P20,0)</f>
        <v>0.1666666667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1</v>
      </c>
      <c r="G23" s="46">
        <f>SUMIF(B52:B1137,B23,H52:H1137)</f>
        <v>1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1</v>
      </c>
      <c r="O23" s="46">
        <f>SUMIF(B52:B1137,B23,O52:O1137)</f>
        <v>0</v>
      </c>
      <c r="P23" s="46">
        <f>SUMIF(B52:B1137,B23,J52:J1137)</f>
        <v>1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1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0</v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122">
        <v>0.0</v>
      </c>
      <c r="H29" s="122">
        <v>0.0</v>
      </c>
      <c r="I29" s="122">
        <v>0.0</v>
      </c>
      <c r="J29" s="122">
        <v>0.0</v>
      </c>
      <c r="K29" s="122">
        <v>0.0</v>
      </c>
      <c r="L29" s="122">
        <v>0.0</v>
      </c>
      <c r="M29" s="122">
        <v>0.0</v>
      </c>
      <c r="N29" s="122">
        <v>0.0</v>
      </c>
      <c r="O29" s="122">
        <v>0.0</v>
      </c>
      <c r="P29" s="122">
        <v>0.0</v>
      </c>
      <c r="Q29" s="122">
        <v>0.0</v>
      </c>
      <c r="R29" s="122">
        <v>0.0</v>
      </c>
      <c r="S29" s="122">
        <v>0.0</v>
      </c>
      <c r="T29" s="122">
        <v>0.0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122">
        <v>5.0</v>
      </c>
      <c r="H30" s="122">
        <v>4.0</v>
      </c>
      <c r="I30" s="122">
        <v>0.0</v>
      </c>
      <c r="J30" s="122">
        <v>0.0</v>
      </c>
      <c r="K30" s="122">
        <v>0.0</v>
      </c>
      <c r="L30" s="122">
        <v>1.0</v>
      </c>
      <c r="M30" s="122">
        <v>6.0</v>
      </c>
      <c r="N30" s="122">
        <v>0.0</v>
      </c>
      <c r="O30" s="122">
        <v>0.0</v>
      </c>
      <c r="P30" s="122">
        <v>0.0</v>
      </c>
      <c r="Q30" s="122">
        <v>0.0</v>
      </c>
      <c r="R30" s="122">
        <v>4.0</v>
      </c>
      <c r="S30" s="122">
        <v>0.0</v>
      </c>
      <c r="T30" s="122">
        <v>0.0</v>
      </c>
      <c r="U30" s="71">
        <f t="shared" si="3"/>
        <v>0</v>
      </c>
      <c r="V30" s="71">
        <f t="shared" si="4"/>
        <v>1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122">
        <v>1.0</v>
      </c>
      <c r="H31" s="122">
        <v>0.0</v>
      </c>
      <c r="I31" s="122">
        <v>0.0</v>
      </c>
      <c r="J31" s="122">
        <v>0.0</v>
      </c>
      <c r="K31" s="122">
        <v>0.0</v>
      </c>
      <c r="L31" s="122">
        <v>0.0</v>
      </c>
      <c r="M31" s="122">
        <v>0.0</v>
      </c>
      <c r="N31" s="122">
        <v>0.0</v>
      </c>
      <c r="O31" s="122">
        <v>0.0</v>
      </c>
      <c r="P31" s="122">
        <v>0.0</v>
      </c>
      <c r="Q31" s="122">
        <v>0.0</v>
      </c>
      <c r="R31" s="122">
        <v>0.0</v>
      </c>
      <c r="S31" s="122">
        <v>0.0</v>
      </c>
      <c r="T31" s="122">
        <v>0.0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2.0</v>
      </c>
      <c r="H33" s="122">
        <v>2.0</v>
      </c>
      <c r="I33" s="122">
        <v>2.0</v>
      </c>
      <c r="J33" s="122">
        <v>1.0</v>
      </c>
      <c r="K33" s="122">
        <v>1.0</v>
      </c>
      <c r="L33" s="122">
        <v>0.0</v>
      </c>
      <c r="M33" s="122">
        <v>10.0</v>
      </c>
      <c r="N33" s="122">
        <v>1.0</v>
      </c>
      <c r="O33" s="122">
        <v>1.0</v>
      </c>
      <c r="P33" s="122">
        <v>0.0</v>
      </c>
      <c r="Q33" s="122">
        <v>0.0</v>
      </c>
      <c r="R33" s="122">
        <v>1.0</v>
      </c>
      <c r="S33" s="122">
        <v>1.0</v>
      </c>
      <c r="T33" s="122">
        <v>3612.0</v>
      </c>
      <c r="U33" s="71">
        <f t="shared" si="3"/>
        <v>1</v>
      </c>
      <c r="V33" s="71">
        <f t="shared" si="4"/>
        <v>1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1.0</v>
      </c>
      <c r="H34" s="122">
        <v>1.0</v>
      </c>
      <c r="I34" s="122">
        <v>0.0</v>
      </c>
      <c r="J34" s="122">
        <v>1.0</v>
      </c>
      <c r="K34" s="122">
        <v>0.0</v>
      </c>
      <c r="L34" s="122">
        <v>0.0</v>
      </c>
      <c r="M34" s="122">
        <v>5.0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1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2.0</v>
      </c>
      <c r="H35" s="122">
        <v>1.0</v>
      </c>
      <c r="I35" s="122">
        <v>1.0</v>
      </c>
      <c r="J35" s="70"/>
      <c r="K35" s="70"/>
      <c r="L35" s="70"/>
      <c r="M35" s="122">
        <v>1.0</v>
      </c>
      <c r="N35" s="122">
        <v>1.0</v>
      </c>
      <c r="O35" s="122">
        <v>1.0</v>
      </c>
      <c r="P35" s="70"/>
      <c r="Q35" s="70"/>
      <c r="R35" s="70"/>
      <c r="S35" s="70"/>
      <c r="T35" s="122">
        <v>1663.0</v>
      </c>
      <c r="U35" s="71">
        <f t="shared" si="3"/>
        <v>1</v>
      </c>
      <c r="V35" s="71">
        <f t="shared" si="4"/>
        <v>0.5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1.0</v>
      </c>
      <c r="H38" s="122">
        <v>1.0</v>
      </c>
      <c r="I38" s="122">
        <v>1.0</v>
      </c>
      <c r="J38" s="122">
        <v>0.0</v>
      </c>
      <c r="K38" s="122">
        <v>0.0</v>
      </c>
      <c r="L38" s="122">
        <v>0.0</v>
      </c>
      <c r="M38" s="122">
        <v>9.0</v>
      </c>
      <c r="N38" s="122">
        <v>0.0</v>
      </c>
      <c r="O38" s="122">
        <v>0.0</v>
      </c>
      <c r="P38" s="122">
        <v>0.0</v>
      </c>
      <c r="Q38" s="122">
        <v>0.0</v>
      </c>
      <c r="R38" s="122">
        <v>1.0</v>
      </c>
      <c r="S38" s="122">
        <v>1.0</v>
      </c>
      <c r="T38" s="122">
        <v>1500.0</v>
      </c>
      <c r="U38" s="71">
        <f t="shared" si="3"/>
        <v>1</v>
      </c>
      <c r="V38" s="71">
        <f t="shared" si="4"/>
        <v>1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122">
        <v>2.0</v>
      </c>
      <c r="H42" s="122">
        <v>1.0</v>
      </c>
      <c r="I42" s="122">
        <v>1.0</v>
      </c>
      <c r="J42" s="122">
        <v>0.0</v>
      </c>
      <c r="K42" s="122">
        <v>0.0</v>
      </c>
      <c r="L42" s="122">
        <v>0.0</v>
      </c>
      <c r="M42" s="122">
        <v>3.0</v>
      </c>
      <c r="N42" s="122">
        <v>0.0</v>
      </c>
      <c r="O42" s="122">
        <v>0.0</v>
      </c>
      <c r="P42" s="122">
        <v>0.0</v>
      </c>
      <c r="Q42" s="122">
        <v>0.0</v>
      </c>
      <c r="R42" s="122">
        <v>1.0</v>
      </c>
      <c r="S42" s="122">
        <v>1.0</v>
      </c>
      <c r="T42" s="122">
        <v>720.0</v>
      </c>
      <c r="U42" s="71">
        <f t="shared" si="3"/>
        <v>1</v>
      </c>
      <c r="V42" s="71">
        <f t="shared" si="4"/>
        <v>0.5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122">
        <v>2.0</v>
      </c>
      <c r="H52" s="122">
        <v>2.0</v>
      </c>
      <c r="I52" s="122">
        <v>1.0</v>
      </c>
      <c r="J52" s="122">
        <v>1.0</v>
      </c>
      <c r="K52" s="122">
        <v>0.0</v>
      </c>
      <c r="L52" s="122">
        <v>0.0</v>
      </c>
      <c r="M52" s="122">
        <v>4.0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2051.0</v>
      </c>
      <c r="U52" s="71">
        <f t="shared" si="5"/>
        <v>0.5</v>
      </c>
      <c r="V52" s="71">
        <f t="shared" si="6"/>
        <v>1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122">
        <v>0.0</v>
      </c>
      <c r="H55" s="122">
        <v>0.0</v>
      </c>
      <c r="I55" s="70">
        <v>0.0</v>
      </c>
      <c r="J55" s="70">
        <v>0.0</v>
      </c>
      <c r="K55" s="70">
        <v>0.0</v>
      </c>
      <c r="L55" s="70">
        <v>0.0</v>
      </c>
      <c r="M55" s="70">
        <v>0.0</v>
      </c>
      <c r="N55" s="122">
        <v>0.0</v>
      </c>
      <c r="O55" s="70">
        <v>0.0</v>
      </c>
      <c r="P55" s="70">
        <v>0.0</v>
      </c>
      <c r="Q55" s="70">
        <v>0.0</v>
      </c>
      <c r="R55" s="70">
        <v>0.0</v>
      </c>
      <c r="S55" s="70">
        <v>0.0</v>
      </c>
      <c r="T55" s="70">
        <v>0.0</v>
      </c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122">
        <v>0.0</v>
      </c>
      <c r="H56" s="122">
        <v>0.0</v>
      </c>
      <c r="I56" s="70">
        <v>0.0</v>
      </c>
      <c r="J56" s="70">
        <v>0.0</v>
      </c>
      <c r="K56" s="70">
        <v>0.0</v>
      </c>
      <c r="L56" s="70">
        <v>0.0</v>
      </c>
      <c r="M56" s="70">
        <v>0.0</v>
      </c>
      <c r="N56" s="122">
        <v>0.0</v>
      </c>
      <c r="O56" s="70">
        <v>0.0</v>
      </c>
      <c r="P56" s="70">
        <v>0.0</v>
      </c>
      <c r="Q56" s="70">
        <v>0.0</v>
      </c>
      <c r="R56" s="70">
        <v>0.0</v>
      </c>
      <c r="S56" s="70">
        <v>0.0</v>
      </c>
      <c r="T56" s="70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122">
        <v>0.0</v>
      </c>
      <c r="H57" s="122">
        <v>0.0</v>
      </c>
      <c r="I57" s="70">
        <v>0.0</v>
      </c>
      <c r="J57" s="70">
        <v>0.0</v>
      </c>
      <c r="K57" s="70">
        <v>0.0</v>
      </c>
      <c r="L57" s="70">
        <v>0.0</v>
      </c>
      <c r="M57" s="70">
        <v>0.0</v>
      </c>
      <c r="N57" s="122">
        <v>0.0</v>
      </c>
      <c r="O57" s="70">
        <v>0.0</v>
      </c>
      <c r="P57" s="70">
        <v>0.0</v>
      </c>
      <c r="Q57" s="70">
        <v>0.0</v>
      </c>
      <c r="R57" s="70">
        <v>0.0</v>
      </c>
      <c r="S57" s="70">
        <v>0.0</v>
      </c>
      <c r="T57" s="70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122">
        <v>0.0</v>
      </c>
      <c r="H58" s="122">
        <v>0.0</v>
      </c>
      <c r="I58" s="70">
        <v>0.0</v>
      </c>
      <c r="J58" s="70">
        <v>0.0</v>
      </c>
      <c r="K58" s="70">
        <v>0.0</v>
      </c>
      <c r="L58" s="70">
        <v>0.0</v>
      </c>
      <c r="M58" s="70">
        <v>0.0</v>
      </c>
      <c r="N58" s="122">
        <v>0.0</v>
      </c>
      <c r="O58" s="70">
        <v>0.0</v>
      </c>
      <c r="P58" s="70">
        <v>0.0</v>
      </c>
      <c r="Q58" s="70">
        <v>0.0</v>
      </c>
      <c r="R58" s="70">
        <v>0.0</v>
      </c>
      <c r="S58" s="70">
        <v>0.0</v>
      </c>
      <c r="T58" s="70">
        <v>0.0</v>
      </c>
      <c r="U58" s="71">
        <f t="shared" si="7"/>
        <v>0</v>
      </c>
      <c r="V58" s="71">
        <f t="shared" si="8"/>
        <v>0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122">
        <v>5.0</v>
      </c>
      <c r="H59" s="122">
        <v>2.0</v>
      </c>
      <c r="I59" s="122">
        <v>0.0</v>
      </c>
      <c r="J59" s="122">
        <v>2.0</v>
      </c>
      <c r="K59" s="122">
        <v>0.0</v>
      </c>
      <c r="L59" s="122">
        <v>0.0</v>
      </c>
      <c r="M59" s="122">
        <v>8.0</v>
      </c>
      <c r="N59" s="122">
        <v>0.0</v>
      </c>
      <c r="O59" s="122">
        <v>0.0</v>
      </c>
      <c r="P59" s="122">
        <v>0.0</v>
      </c>
      <c r="Q59" s="122">
        <v>0.0</v>
      </c>
      <c r="R59" s="122">
        <v>2.0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0.4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122">
        <v>3.0</v>
      </c>
      <c r="H60" s="122">
        <v>2.0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2.0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0.6666666667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122">
        <v>1.0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122">
        <v>4.0</v>
      </c>
      <c r="H63" s="122">
        <v>2.0</v>
      </c>
      <c r="I63" s="122">
        <v>1.0</v>
      </c>
      <c r="J63" s="122">
        <v>2.0</v>
      </c>
      <c r="K63" s="122">
        <v>1.0</v>
      </c>
      <c r="L63" s="70">
        <v>0.0</v>
      </c>
      <c r="M63" s="122">
        <v>6.0</v>
      </c>
      <c r="N63" s="122">
        <v>1.0</v>
      </c>
      <c r="O63" s="122">
        <v>1.0</v>
      </c>
      <c r="P63" s="70">
        <v>0.0</v>
      </c>
      <c r="Q63" s="70">
        <v>0.0</v>
      </c>
      <c r="R63" s="122">
        <v>1.0</v>
      </c>
      <c r="S63" s="70">
        <v>0.0</v>
      </c>
      <c r="T63" s="122">
        <v>696.0</v>
      </c>
      <c r="U63" s="71">
        <f t="shared" si="7"/>
        <v>0.5</v>
      </c>
      <c r="V63" s="71">
        <f t="shared" si="8"/>
        <v>0.5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122">
        <v>3.0</v>
      </c>
      <c r="H64" s="122">
        <v>1.0</v>
      </c>
      <c r="I64" s="122">
        <v>0.0</v>
      </c>
      <c r="J64" s="122">
        <v>1.0</v>
      </c>
      <c r="K64" s="122">
        <v>0.0</v>
      </c>
      <c r="L64" s="122">
        <v>0.0</v>
      </c>
      <c r="M64" s="122">
        <v>3.0</v>
      </c>
      <c r="N64" s="122">
        <v>1.0</v>
      </c>
      <c r="O64" s="122">
        <v>0.0</v>
      </c>
      <c r="P64" s="122">
        <v>0.0</v>
      </c>
      <c r="Q64" s="122">
        <v>0.0</v>
      </c>
      <c r="R64" s="122">
        <v>1.0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0.3333333333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122">
        <v>0.0</v>
      </c>
      <c r="H65" s="122">
        <v>0.0</v>
      </c>
      <c r="I65" s="70">
        <v>0.0</v>
      </c>
      <c r="J65" s="70">
        <v>0.0</v>
      </c>
      <c r="K65" s="70">
        <v>0.0</v>
      </c>
      <c r="L65" s="70">
        <v>0.0</v>
      </c>
      <c r="M65" s="70">
        <v>0.0</v>
      </c>
      <c r="N65" s="122">
        <v>0.0</v>
      </c>
      <c r="O65" s="70">
        <v>0.0</v>
      </c>
      <c r="P65" s="70">
        <v>0.0</v>
      </c>
      <c r="Q65" s="70">
        <v>0.0</v>
      </c>
      <c r="R65" s="70">
        <v>0.0</v>
      </c>
      <c r="S65" s="70">
        <v>0.0</v>
      </c>
      <c r="T65" s="70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122">
        <v>4.0</v>
      </c>
      <c r="H66" s="122">
        <v>3.0</v>
      </c>
      <c r="I66" s="122">
        <v>1.0</v>
      </c>
      <c r="J66" s="122">
        <v>0.0</v>
      </c>
      <c r="K66" s="122">
        <v>0.0</v>
      </c>
      <c r="L66" s="122">
        <v>0.0</v>
      </c>
      <c r="M66" s="122">
        <v>9.0</v>
      </c>
      <c r="N66" s="122">
        <v>3.0</v>
      </c>
      <c r="O66" s="122">
        <v>1.0</v>
      </c>
      <c r="P66" s="122">
        <v>0.0</v>
      </c>
      <c r="Q66" s="122">
        <v>0.0</v>
      </c>
      <c r="R66" s="122">
        <v>0.0</v>
      </c>
      <c r="S66" s="122">
        <v>0.0</v>
      </c>
      <c r="T66" s="122">
        <v>984.0</v>
      </c>
      <c r="U66" s="71">
        <f t="shared" si="7"/>
        <v>0.3333333333</v>
      </c>
      <c r="V66" s="71">
        <f t="shared" si="8"/>
        <v>0.75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122">
        <v>2.0</v>
      </c>
      <c r="H67" s="122">
        <v>1.0</v>
      </c>
      <c r="I67" s="122">
        <v>0.0</v>
      </c>
      <c r="J67" s="122">
        <v>1.0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1.0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0.5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122">
        <v>1.0</v>
      </c>
      <c r="H68" s="122">
        <v>1.0</v>
      </c>
      <c r="I68" s="122">
        <v>0.0</v>
      </c>
      <c r="J68" s="122">
        <v>0.0</v>
      </c>
      <c r="K68" s="122">
        <v>0.0</v>
      </c>
      <c r="L68" s="122">
        <v>0.0</v>
      </c>
      <c r="M68" s="122">
        <v>2.0</v>
      </c>
      <c r="N68" s="122">
        <v>1.0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1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122">
        <v>0.0</v>
      </c>
      <c r="H69" s="122">
        <v>0.0</v>
      </c>
      <c r="I69" s="70">
        <v>0.0</v>
      </c>
      <c r="J69" s="70">
        <v>0.0</v>
      </c>
      <c r="K69" s="70">
        <v>0.0</v>
      </c>
      <c r="L69" s="70">
        <v>0.0</v>
      </c>
      <c r="M69" s="70">
        <v>0.0</v>
      </c>
      <c r="N69" s="122">
        <v>0.0</v>
      </c>
      <c r="O69" s="70">
        <v>0.0</v>
      </c>
      <c r="P69" s="70">
        <v>0.0</v>
      </c>
      <c r="Q69" s="70">
        <v>0.0</v>
      </c>
      <c r="R69" s="70">
        <v>0.0</v>
      </c>
      <c r="S69" s="70">
        <v>0.0</v>
      </c>
      <c r="T69" s="70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122">
        <v>0.0</v>
      </c>
      <c r="H70" s="122">
        <v>0.0</v>
      </c>
      <c r="I70" s="70">
        <v>0.0</v>
      </c>
      <c r="J70" s="70">
        <v>0.0</v>
      </c>
      <c r="K70" s="70">
        <v>0.0</v>
      </c>
      <c r="L70" s="70">
        <v>0.0</v>
      </c>
      <c r="M70" s="70">
        <v>0.0</v>
      </c>
      <c r="N70" s="122">
        <v>0.0</v>
      </c>
      <c r="O70" s="70">
        <v>0.0</v>
      </c>
      <c r="P70" s="70">
        <v>0.0</v>
      </c>
      <c r="Q70" s="70">
        <v>0.0</v>
      </c>
      <c r="R70" s="70">
        <v>0.0</v>
      </c>
      <c r="S70" s="70">
        <v>0.0</v>
      </c>
      <c r="T70" s="70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122">
        <v>0.0</v>
      </c>
      <c r="H71" s="122">
        <v>0.0</v>
      </c>
      <c r="I71" s="70">
        <v>0.0</v>
      </c>
      <c r="J71" s="70">
        <v>0.0</v>
      </c>
      <c r="K71" s="70">
        <v>0.0</v>
      </c>
      <c r="L71" s="70">
        <v>0.0</v>
      </c>
      <c r="M71" s="70">
        <v>0.0</v>
      </c>
      <c r="N71" s="122">
        <v>0.0</v>
      </c>
      <c r="O71" s="70">
        <v>0.0</v>
      </c>
      <c r="P71" s="70">
        <v>0.0</v>
      </c>
      <c r="Q71" s="70">
        <v>0.0</v>
      </c>
      <c r="R71" s="70">
        <v>0.0</v>
      </c>
      <c r="S71" s="70">
        <v>0.0</v>
      </c>
      <c r="T71" s="70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122">
        <v>0.0</v>
      </c>
      <c r="H72" s="122">
        <v>0.0</v>
      </c>
      <c r="I72" s="70">
        <v>0.0</v>
      </c>
      <c r="J72" s="70">
        <v>0.0</v>
      </c>
      <c r="K72" s="70">
        <v>0.0</v>
      </c>
      <c r="L72" s="70">
        <v>0.0</v>
      </c>
      <c r="M72" s="70">
        <v>0.0</v>
      </c>
      <c r="N72" s="122">
        <v>0.0</v>
      </c>
      <c r="O72" s="70">
        <v>0.0</v>
      </c>
      <c r="P72" s="70">
        <v>0.0</v>
      </c>
      <c r="Q72" s="70">
        <v>0.0</v>
      </c>
      <c r="R72" s="70">
        <v>0.0</v>
      </c>
      <c r="S72" s="70">
        <v>0.0</v>
      </c>
      <c r="T72" s="70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122">
        <v>0.0</v>
      </c>
      <c r="H73" s="122">
        <v>0.0</v>
      </c>
      <c r="I73" s="70">
        <v>0.0</v>
      </c>
      <c r="J73" s="70">
        <v>0.0</v>
      </c>
      <c r="K73" s="70">
        <v>0.0</v>
      </c>
      <c r="L73" s="70">
        <v>0.0</v>
      </c>
      <c r="M73" s="70">
        <v>0.0</v>
      </c>
      <c r="N73" s="122">
        <v>0.0</v>
      </c>
      <c r="O73" s="70">
        <v>0.0</v>
      </c>
      <c r="P73" s="70">
        <v>0.0</v>
      </c>
      <c r="Q73" s="70">
        <v>0.0</v>
      </c>
      <c r="R73" s="70">
        <v>0.0</v>
      </c>
      <c r="S73" s="70">
        <v>0.0</v>
      </c>
      <c r="T73" s="70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122">
        <v>1.0</v>
      </c>
      <c r="H74" s="122">
        <v>1.0</v>
      </c>
      <c r="I74" s="122">
        <v>0.0</v>
      </c>
      <c r="J74" s="122">
        <v>1.0</v>
      </c>
      <c r="K74" s="122">
        <v>0.0</v>
      </c>
      <c r="L74" s="122">
        <v>0.0</v>
      </c>
      <c r="M74" s="122">
        <v>0.0</v>
      </c>
      <c r="N74" s="122">
        <v>1.0</v>
      </c>
      <c r="O74" s="122">
        <v>0.0</v>
      </c>
      <c r="P74" s="122">
        <v>0.0</v>
      </c>
      <c r="Q74" s="122">
        <v>0.0</v>
      </c>
      <c r="R74" s="122">
        <v>0.0</v>
      </c>
      <c r="S74" s="122">
        <v>0.0</v>
      </c>
      <c r="T74" s="122">
        <v>0.0</v>
      </c>
      <c r="U74" s="71">
        <f t="shared" si="7"/>
        <v>0</v>
      </c>
      <c r="V74" s="71">
        <f t="shared" si="8"/>
        <v>1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122">
        <v>0.0</v>
      </c>
      <c r="H75" s="122">
        <v>0.0</v>
      </c>
      <c r="I75" s="70">
        <v>0.0</v>
      </c>
      <c r="J75" s="70">
        <v>0.0</v>
      </c>
      <c r="K75" s="70">
        <v>0.0</v>
      </c>
      <c r="L75" s="70">
        <v>0.0</v>
      </c>
      <c r="M75" s="70">
        <v>0.0</v>
      </c>
      <c r="N75" s="122">
        <v>0.0</v>
      </c>
      <c r="O75" s="70">
        <v>0.0</v>
      </c>
      <c r="P75" s="70">
        <v>0.0</v>
      </c>
      <c r="Q75" s="70">
        <v>0.0</v>
      </c>
      <c r="R75" s="70">
        <v>0.0</v>
      </c>
      <c r="S75" s="70">
        <v>0.0</v>
      </c>
      <c r="T75" s="70">
        <v>0.0</v>
      </c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122">
        <v>0.0</v>
      </c>
      <c r="H76" s="122">
        <v>0.0</v>
      </c>
      <c r="I76" s="70">
        <v>0.0</v>
      </c>
      <c r="J76" s="70">
        <v>0.0</v>
      </c>
      <c r="K76" s="70">
        <v>0.0</v>
      </c>
      <c r="L76" s="70">
        <v>0.0</v>
      </c>
      <c r="M76" s="70">
        <v>0.0</v>
      </c>
      <c r="N76" s="122">
        <v>0.0</v>
      </c>
      <c r="O76" s="70">
        <v>0.0</v>
      </c>
      <c r="P76" s="70">
        <v>0.0</v>
      </c>
      <c r="Q76" s="70">
        <v>0.0</v>
      </c>
      <c r="R76" s="70">
        <v>0.0</v>
      </c>
      <c r="S76" s="70">
        <v>0.0</v>
      </c>
      <c r="T76" s="70">
        <v>0.0</v>
      </c>
      <c r="U76" s="71">
        <f t="shared" si="7"/>
        <v>0</v>
      </c>
      <c r="V76" s="71">
        <f t="shared" si="8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12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47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21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13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22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SUMIF(B49:B1137,B20,G49:G1137)</f>
        <v>0</v>
      </c>
      <c r="G20" s="46">
        <f>SUMIF(B49:B1137,B20,H49:H1137)</f>
        <v>0</v>
      </c>
      <c r="H20" s="46">
        <f>SUMIF(B49:B1137,B20,I49:I1137)</f>
        <v>0</v>
      </c>
      <c r="I20" s="46">
        <f>SUMIF(B49:B1137,B20,P49:P1137)</f>
        <v>0</v>
      </c>
      <c r="J20" s="46">
        <f>SUMIF(B49:B1137,B20,Q49:Q1137)</f>
        <v>0</v>
      </c>
      <c r="K20" s="46">
        <f>SUMIF(B49:B1137,B20,R49:R1137)</f>
        <v>0</v>
      </c>
      <c r="L20" s="46">
        <f>SUMIF(B49:B1137,B20,S49:S1137)</f>
        <v>0</v>
      </c>
      <c r="M20" s="46">
        <f>SUMIF(B49:B1137,B20,M49:M1137)</f>
        <v>0</v>
      </c>
      <c r="N20" s="46">
        <f>SUMIF(B49:B1137,B20,N49:N1137)</f>
        <v>0</v>
      </c>
      <c r="O20" s="46">
        <f>SUMIF(B49:B1137,B20,O49:O1137)</f>
        <v>0</v>
      </c>
      <c r="P20" s="46">
        <f>SUMIF(B49:B1137,B20,J49:J1137)</f>
        <v>0</v>
      </c>
      <c r="Q20" s="46">
        <f>SUMIF(B49:B1137,B20,K49:K1137)</f>
        <v>0</v>
      </c>
      <c r="R20" s="50">
        <f>SUMIF(B49:B1137,B20,L49:L1137)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12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SUMIF(B52:B1137,B23,G52:G1137)</f>
        <v>0</v>
      </c>
      <c r="G23" s="46">
        <f>SUMIF(B52:B1137,B23,H52:H1137)</f>
        <v>0</v>
      </c>
      <c r="H23" s="46">
        <f>SUMIF(B52:B1137,B23,I52:I1137)</f>
        <v>0</v>
      </c>
      <c r="I23" s="46">
        <f>SUMIF(B52:B1137,B23,P52:P1137)</f>
        <v>0</v>
      </c>
      <c r="J23" s="46">
        <f>SUMIF(B52:B1137,B23,Q52:Q1137)</f>
        <v>0</v>
      </c>
      <c r="K23" s="46">
        <f>SUMIF(B52:B1137,B23,R52:R1137)</f>
        <v>0</v>
      </c>
      <c r="L23" s="46">
        <f>SUMIF(B52:B1137,B23,S52:S1137)</f>
        <v>0</v>
      </c>
      <c r="M23" s="46">
        <f>SUMIF(B52:B1137,B23,M52:M1137)</f>
        <v>0</v>
      </c>
      <c r="N23" s="46">
        <f>SUMIF(B52:B1137,B23,N52:N1137)</f>
        <v>0</v>
      </c>
      <c r="O23" s="46">
        <f>SUMIF(B52:B1137,B23,O52:O1137)</f>
        <v>0</v>
      </c>
      <c r="P23" s="46">
        <f>SUMIF(B52:B1137,B23,J52:J1137)</f>
        <v>0</v>
      </c>
      <c r="Q23" s="46">
        <f>SUMIF(B52:B1137,B23,K52:K1137)</f>
        <v>0</v>
      </c>
      <c r="R23" s="50">
        <f>SUMIF(B52:B1137,B23,L52:L1137)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8" si="3">IFERROR(I28/H28,0)</f>
        <v>0</v>
      </c>
      <c r="V28" s="71">
        <f t="shared" ref="V28:V48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3" t="s">
        <v>26</v>
      </c>
      <c r="B43" s="74" t="s">
        <v>28</v>
      </c>
      <c r="C43" s="93" t="s">
        <v>60</v>
      </c>
      <c r="D43" s="75"/>
      <c r="E43" s="75"/>
      <c r="F43" s="74" t="s">
        <v>63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78" t="s">
        <v>26</v>
      </c>
      <c r="B44" s="79" t="s">
        <v>27</v>
      </c>
      <c r="C44" s="94"/>
      <c r="D44" s="79" t="s">
        <v>49</v>
      </c>
      <c r="E44" s="95"/>
      <c r="F44" s="79" t="s">
        <v>27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>
      <c r="A48" s="96" t="s">
        <v>26</v>
      </c>
      <c r="B48" s="77" t="s">
        <v>27</v>
      </c>
      <c r="C48" s="75"/>
      <c r="D48" s="75"/>
      <c r="E48" s="75"/>
      <c r="F48" s="77" t="s">
        <v>67</v>
      </c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1">
        <f t="shared" si="3"/>
        <v>0</v>
      </c>
      <c r="V48" s="71">
        <f t="shared" si="4"/>
        <v>0</v>
      </c>
      <c r="W48" s="72"/>
    </row>
    <row r="49" ht="20.25" customHeight="1">
      <c r="A49" s="61" t="s">
        <v>33</v>
      </c>
      <c r="B49" s="62" t="s">
        <v>34</v>
      </c>
      <c r="C49" s="62" t="s">
        <v>35</v>
      </c>
      <c r="D49" s="63"/>
      <c r="E49" s="62" t="s">
        <v>36</v>
      </c>
      <c r="F49" s="62" t="s">
        <v>37</v>
      </c>
      <c r="G49" s="64" t="s">
        <v>38</v>
      </c>
      <c r="H49" s="64" t="s">
        <v>39</v>
      </c>
      <c r="I49" s="64" t="s">
        <v>40</v>
      </c>
      <c r="J49" s="64" t="s">
        <v>12</v>
      </c>
      <c r="K49" s="64" t="s">
        <v>41</v>
      </c>
      <c r="L49" s="64" t="s">
        <v>14</v>
      </c>
      <c r="M49" s="64" t="s">
        <v>9</v>
      </c>
      <c r="N49" s="64" t="s">
        <v>10</v>
      </c>
      <c r="O49" s="64" t="s">
        <v>42</v>
      </c>
      <c r="P49" s="64" t="s">
        <v>5</v>
      </c>
      <c r="Q49" s="64" t="s">
        <v>43</v>
      </c>
      <c r="R49" s="64" t="s">
        <v>44</v>
      </c>
      <c r="S49" s="64" t="s">
        <v>45</v>
      </c>
      <c r="T49" s="64" t="s">
        <v>0</v>
      </c>
      <c r="U49" s="62" t="s">
        <v>46</v>
      </c>
      <c r="V49" s="62" t="s">
        <v>47</v>
      </c>
      <c r="W49" s="97"/>
    </row>
    <row r="50" ht="12.75" customHeight="1">
      <c r="A50" s="66" t="s">
        <v>29</v>
      </c>
      <c r="B50" s="67"/>
      <c r="C50" s="67"/>
      <c r="D50" s="68" t="s">
        <v>49</v>
      </c>
      <c r="E50" s="69"/>
      <c r="F50" s="68" t="s">
        <v>29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ref="U50:U53" si="5">IFERROR(I50/H50,0)</f>
        <v>0</v>
      </c>
      <c r="V50" s="71">
        <f t="shared" ref="V50:V53" si="6">IFERROR(SUM(H50+L50)/G50,0)</f>
        <v>0</v>
      </c>
      <c r="W50" s="72"/>
    </row>
    <row r="51" ht="12.75" customHeight="1">
      <c r="A51" s="73" t="s">
        <v>29</v>
      </c>
      <c r="B51" s="77"/>
      <c r="C51" s="75"/>
      <c r="D51" s="75"/>
      <c r="E51" s="75"/>
      <c r="F51" s="77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2" t="s">
        <v>29</v>
      </c>
      <c r="B52" s="84"/>
      <c r="C52" s="98" t="s">
        <v>69</v>
      </c>
      <c r="D52" s="99" t="s">
        <v>49</v>
      </c>
      <c r="E52" s="84"/>
      <c r="F52" s="9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12.75" customHeight="1">
      <c r="A53" s="85" t="s">
        <v>29</v>
      </c>
      <c r="B53" s="86"/>
      <c r="C53" s="86" t="s">
        <v>69</v>
      </c>
      <c r="D53" s="84"/>
      <c r="E53" s="84"/>
      <c r="F53" s="88" t="s">
        <v>70</v>
      </c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1">
        <f t="shared" si="5"/>
        <v>0</v>
      </c>
      <c r="V53" s="71">
        <f t="shared" si="6"/>
        <v>0</v>
      </c>
      <c r="W53" s="72"/>
    </row>
    <row r="54" ht="20.25" customHeight="1">
      <c r="A54" s="61" t="s">
        <v>33</v>
      </c>
      <c r="B54" s="62" t="s">
        <v>34</v>
      </c>
      <c r="C54" s="62" t="s">
        <v>35</v>
      </c>
      <c r="D54" s="63"/>
      <c r="E54" s="62" t="s">
        <v>36</v>
      </c>
      <c r="F54" s="62" t="s">
        <v>37</v>
      </c>
      <c r="G54" s="64" t="s">
        <v>38</v>
      </c>
      <c r="H54" s="64" t="s">
        <v>39</v>
      </c>
      <c r="I54" s="64" t="s">
        <v>40</v>
      </c>
      <c r="J54" s="64" t="s">
        <v>12</v>
      </c>
      <c r="K54" s="64" t="s">
        <v>41</v>
      </c>
      <c r="L54" s="64" t="s">
        <v>14</v>
      </c>
      <c r="M54" s="64" t="s">
        <v>9</v>
      </c>
      <c r="N54" s="64" t="s">
        <v>10</v>
      </c>
      <c r="O54" s="64" t="s">
        <v>42</v>
      </c>
      <c r="P54" s="64" t="s">
        <v>5</v>
      </c>
      <c r="Q54" s="64" t="s">
        <v>43</v>
      </c>
      <c r="R54" s="64" t="s">
        <v>44</v>
      </c>
      <c r="S54" s="64" t="s">
        <v>45</v>
      </c>
      <c r="T54" s="64" t="s">
        <v>0</v>
      </c>
      <c r="U54" s="62" t="s">
        <v>46</v>
      </c>
      <c r="V54" s="62" t="s">
        <v>47</v>
      </c>
      <c r="W54" s="97"/>
    </row>
    <row r="55" ht="12.75" customHeight="1">
      <c r="A55" s="100" t="s">
        <v>30</v>
      </c>
      <c r="B55" s="59"/>
      <c r="C55" s="59"/>
      <c r="D55" s="101" t="s">
        <v>49</v>
      </c>
      <c r="E55" s="59"/>
      <c r="F55" s="100" t="s">
        <v>30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ref="U55:U76" si="7">IFERROR(I55/H55,0)</f>
        <v>0</v>
      </c>
      <c r="V55" s="71">
        <f t="shared" ref="V55:V76" si="8">IFERROR(SUM(H55+L55)/G55,0)</f>
        <v>0</v>
      </c>
      <c r="W55" s="72"/>
    </row>
    <row r="56" ht="12.75" customHeight="1">
      <c r="A56" s="102" t="s">
        <v>30</v>
      </c>
      <c r="B56" s="59"/>
      <c r="C56" s="59"/>
      <c r="D56" s="58"/>
      <c r="E56" s="75"/>
      <c r="F56" s="102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2" t="s">
        <v>30</v>
      </c>
      <c r="B57" s="59"/>
      <c r="C57" s="59"/>
      <c r="D57" s="58"/>
      <c r="E57" s="75"/>
      <c r="F57" s="103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4" t="s">
        <v>30</v>
      </c>
      <c r="B58" s="104"/>
      <c r="C58" s="104"/>
      <c r="D58" s="58"/>
      <c r="E58" s="75"/>
      <c r="F58" s="103" t="s">
        <v>73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5" t="s">
        <v>30</v>
      </c>
      <c r="B59" s="105" t="s">
        <v>31</v>
      </c>
      <c r="C59" s="106"/>
      <c r="D59" s="107" t="s">
        <v>49</v>
      </c>
      <c r="E59" s="95"/>
      <c r="F59" s="105" t="s">
        <v>31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4" t="s">
        <v>31</v>
      </c>
      <c r="C60" s="104"/>
      <c r="D60" s="108"/>
      <c r="E60" s="69"/>
      <c r="F60" s="109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59"/>
      <c r="D61" s="59"/>
      <c r="E61" s="75"/>
      <c r="F61" s="102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02" t="s">
        <v>30</v>
      </c>
      <c r="B62" s="102" t="s">
        <v>31</v>
      </c>
      <c r="C62" s="102"/>
      <c r="D62" s="59"/>
      <c r="E62" s="75"/>
      <c r="F62" s="102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0" t="s">
        <v>30</v>
      </c>
      <c r="B63" s="110" t="s">
        <v>31</v>
      </c>
      <c r="C63" s="110" t="s">
        <v>77</v>
      </c>
      <c r="D63" s="99" t="s">
        <v>49</v>
      </c>
      <c r="E63" s="84"/>
      <c r="F63" s="110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77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77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77</v>
      </c>
      <c r="D66" s="112"/>
      <c r="E66" s="84"/>
      <c r="F66" s="111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11" t="s">
        <v>30</v>
      </c>
      <c r="B67" s="111" t="s">
        <v>31</v>
      </c>
      <c r="C67" s="111" t="s">
        <v>77</v>
      </c>
      <c r="D67" s="112"/>
      <c r="E67" s="84"/>
      <c r="F67" s="111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11" t="s">
        <v>30</v>
      </c>
      <c r="B68" s="111" t="s">
        <v>31</v>
      </c>
      <c r="C68" s="111" t="s">
        <v>77</v>
      </c>
      <c r="D68" s="112"/>
      <c r="E68" s="84"/>
      <c r="F68" s="113" t="s">
        <v>82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0" t="s">
        <v>30</v>
      </c>
      <c r="B69" s="100" t="s">
        <v>31</v>
      </c>
      <c r="C69" s="100" t="s">
        <v>83</v>
      </c>
      <c r="D69" s="114" t="s">
        <v>49</v>
      </c>
      <c r="E69" s="75"/>
      <c r="F69" s="100" t="s">
        <v>83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2" t="s">
        <v>30</v>
      </c>
      <c r="B70" s="102" t="s">
        <v>31</v>
      </c>
      <c r="C70" s="102" t="s">
        <v>83</v>
      </c>
      <c r="D70" s="59"/>
      <c r="E70" s="75"/>
      <c r="F70" s="102" t="s">
        <v>84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5" t="s">
        <v>30</v>
      </c>
      <c r="B71" s="105" t="s">
        <v>32</v>
      </c>
      <c r="C71" s="105"/>
      <c r="D71" s="107" t="s">
        <v>49</v>
      </c>
      <c r="E71" s="81"/>
      <c r="F71" s="105" t="s">
        <v>32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04" t="s">
        <v>30</v>
      </c>
      <c r="B72" s="104" t="s">
        <v>32</v>
      </c>
      <c r="C72" s="104"/>
      <c r="D72" s="58"/>
      <c r="E72" s="75"/>
      <c r="F72" s="102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04" t="s">
        <v>30</v>
      </c>
      <c r="B73" s="104" t="s">
        <v>32</v>
      </c>
      <c r="C73" s="104"/>
      <c r="D73" s="58"/>
      <c r="E73" s="75"/>
      <c r="F73" s="103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04" t="s">
        <v>30</v>
      </c>
      <c r="B74" s="104" t="s">
        <v>32</v>
      </c>
      <c r="C74" s="104"/>
      <c r="D74" s="58"/>
      <c r="E74" s="75"/>
      <c r="F74" s="103" t="s">
        <v>87</v>
      </c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1">
        <f t="shared" si="7"/>
        <v>0</v>
      </c>
      <c r="V74" s="71">
        <f t="shared" si="8"/>
        <v>0</v>
      </c>
      <c r="W74" s="72"/>
    </row>
    <row r="75" ht="12.75" customHeight="1">
      <c r="A75" s="110" t="s">
        <v>30</v>
      </c>
      <c r="B75" s="110" t="s">
        <v>32</v>
      </c>
      <c r="C75" s="110" t="s">
        <v>88</v>
      </c>
      <c r="D75" s="99" t="s">
        <v>49</v>
      </c>
      <c r="E75" s="84"/>
      <c r="F75" s="110" t="s">
        <v>88</v>
      </c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1">
        <f t="shared" si="7"/>
        <v>0</v>
      </c>
      <c r="V75" s="71">
        <f t="shared" si="8"/>
        <v>0</v>
      </c>
      <c r="W75" s="72"/>
    </row>
    <row r="76" ht="12.75" customHeight="1">
      <c r="A76" s="111" t="s">
        <v>30</v>
      </c>
      <c r="B76" s="111" t="s">
        <v>32</v>
      </c>
      <c r="C76" s="111" t="s">
        <v>88</v>
      </c>
      <c r="D76" s="112"/>
      <c r="E76" s="84"/>
      <c r="F76" s="111" t="s">
        <v>89</v>
      </c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1">
        <f t="shared" si="7"/>
        <v>0</v>
      </c>
      <c r="V76" s="71">
        <f t="shared" si="8"/>
        <v>0</v>
      </c>
      <c r="W76" s="72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5"/>
      <c r="B593" s="115"/>
      <c r="C593" s="115"/>
      <c r="D593" s="1"/>
      <c r="E593" s="115"/>
      <c r="F593" s="11"/>
      <c r="G593" s="116"/>
      <c r="H593" s="116"/>
      <c r="I593" s="116"/>
      <c r="J593" s="116"/>
      <c r="K593" s="116"/>
      <c r="L593" s="116"/>
      <c r="M593" s="116"/>
      <c r="N593" s="116"/>
      <c r="O593" s="116"/>
      <c r="P593" s="116"/>
      <c r="Q593" s="116"/>
      <c r="R593" s="116"/>
      <c r="S593" s="116"/>
      <c r="T593" s="116"/>
      <c r="U593" s="117"/>
      <c r="V593" s="117"/>
      <c r="W593" s="117"/>
    </row>
    <row r="594" ht="12.75" customHeight="1">
      <c r="A594" s="115"/>
      <c r="B594" s="115"/>
      <c r="C594" s="115"/>
      <c r="D594" s="1"/>
      <c r="E594" s="115"/>
      <c r="F594" s="11"/>
      <c r="G594" s="116"/>
      <c r="H594" s="116"/>
      <c r="I594" s="116"/>
      <c r="J594" s="116"/>
      <c r="K594" s="116"/>
      <c r="L594" s="116"/>
      <c r="M594" s="116"/>
      <c r="N594" s="116"/>
      <c r="O594" s="116"/>
      <c r="P594" s="116"/>
      <c r="Q594" s="116"/>
      <c r="R594" s="116"/>
      <c r="S594" s="116"/>
      <c r="T594" s="116"/>
      <c r="U594" s="117"/>
      <c r="V594" s="117"/>
      <c r="W594" s="117"/>
    </row>
    <row r="595" ht="12.75" customHeight="1">
      <c r="A595" s="115"/>
      <c r="B595" s="115"/>
      <c r="C595" s="115"/>
      <c r="D595" s="1"/>
      <c r="E595" s="115"/>
      <c r="F595" s="11"/>
      <c r="G595" s="116"/>
      <c r="H595" s="116"/>
      <c r="I595" s="116"/>
      <c r="J595" s="116"/>
      <c r="K595" s="116"/>
      <c r="L595" s="116"/>
      <c r="M595" s="116"/>
      <c r="N595" s="116"/>
      <c r="O595" s="116"/>
      <c r="P595" s="116"/>
      <c r="Q595" s="116"/>
      <c r="R595" s="116"/>
      <c r="S595" s="116"/>
      <c r="T595" s="116"/>
      <c r="U595" s="117"/>
      <c r="V595" s="117"/>
      <c r="W595" s="117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3"/>
      <c r="B1069" s="123"/>
      <c r="C1069" s="123"/>
      <c r="D1069" s="119"/>
      <c r="E1069" s="123"/>
      <c r="F1069" s="124"/>
      <c r="G1069" s="125"/>
      <c r="H1069" s="125"/>
      <c r="I1069" s="125"/>
      <c r="J1069" s="125"/>
      <c r="K1069" s="125"/>
      <c r="L1069" s="125"/>
      <c r="M1069" s="125"/>
      <c r="N1069" s="125"/>
      <c r="O1069" s="125"/>
      <c r="P1069" s="125"/>
      <c r="Q1069" s="125"/>
      <c r="R1069" s="125"/>
      <c r="S1069" s="125"/>
      <c r="T1069" s="125"/>
      <c r="U1069" s="126"/>
      <c r="V1069" s="126"/>
      <c r="W1069" s="126"/>
    </row>
    <row r="1070" ht="12.75" customHeight="1">
      <c r="A1070" s="123"/>
      <c r="B1070" s="123"/>
      <c r="C1070" s="123"/>
      <c r="D1070" s="119"/>
      <c r="E1070" s="123"/>
      <c r="F1070" s="124"/>
      <c r="G1070" s="125"/>
      <c r="H1070" s="125"/>
      <c r="I1070" s="125"/>
      <c r="J1070" s="125"/>
      <c r="K1070" s="125"/>
      <c r="L1070" s="125"/>
      <c r="M1070" s="125"/>
      <c r="N1070" s="125"/>
      <c r="O1070" s="125"/>
      <c r="P1070" s="125"/>
      <c r="Q1070" s="125"/>
      <c r="R1070" s="125"/>
      <c r="S1070" s="125"/>
      <c r="T1070" s="125"/>
      <c r="U1070" s="126"/>
      <c r="V1070" s="126"/>
      <c r="W1070" s="126"/>
    </row>
    <row r="1071" ht="12.75" customHeight="1">
      <c r="A1071" s="123"/>
      <c r="B1071" s="123"/>
      <c r="C1071" s="123"/>
      <c r="D1071" s="119"/>
      <c r="E1071" s="123"/>
      <c r="F1071" s="124"/>
      <c r="G1071" s="125"/>
      <c r="H1071" s="125"/>
      <c r="I1071" s="125"/>
      <c r="J1071" s="125"/>
      <c r="K1071" s="125"/>
      <c r="L1071" s="125"/>
      <c r="M1071" s="125"/>
      <c r="N1071" s="125"/>
      <c r="O1071" s="125"/>
      <c r="P1071" s="125"/>
      <c r="Q1071" s="125"/>
      <c r="R1071" s="125"/>
      <c r="S1071" s="125"/>
      <c r="T1071" s="125"/>
      <c r="U1071" s="126"/>
      <c r="V1071" s="126"/>
      <c r="W1071" s="126"/>
    </row>
    <row r="1072" ht="12.75" customHeight="1">
      <c r="A1072" s="123"/>
      <c r="B1072" s="123"/>
      <c r="C1072" s="123"/>
      <c r="D1072" s="119"/>
      <c r="E1072" s="123"/>
      <c r="F1072" s="124"/>
      <c r="G1072" s="125"/>
      <c r="H1072" s="125"/>
      <c r="I1072" s="125"/>
      <c r="J1072" s="125"/>
      <c r="K1072" s="125"/>
      <c r="L1072" s="125"/>
      <c r="M1072" s="125"/>
      <c r="N1072" s="125"/>
      <c r="O1072" s="125"/>
      <c r="P1072" s="125"/>
      <c r="Q1072" s="125"/>
      <c r="R1072" s="125"/>
      <c r="S1072" s="125"/>
      <c r="T1072" s="125"/>
      <c r="U1072" s="126"/>
      <c r="V1072" s="126"/>
      <c r="W1072" s="126"/>
    </row>
    <row r="1073" ht="12.75" customHeight="1">
      <c r="A1073" s="123"/>
      <c r="B1073" s="123"/>
      <c r="C1073" s="123"/>
      <c r="D1073" s="119"/>
      <c r="E1073" s="123"/>
      <c r="F1073" s="124"/>
      <c r="G1073" s="125"/>
      <c r="H1073" s="125"/>
      <c r="I1073" s="125"/>
      <c r="J1073" s="125"/>
      <c r="K1073" s="125"/>
      <c r="L1073" s="125"/>
      <c r="M1073" s="125"/>
      <c r="N1073" s="125"/>
      <c r="O1073" s="125"/>
      <c r="P1073" s="125"/>
      <c r="Q1073" s="125"/>
      <c r="R1073" s="125"/>
      <c r="S1073" s="125"/>
      <c r="T1073" s="125"/>
      <c r="U1073" s="126"/>
      <c r="V1073" s="126"/>
      <c r="W1073" s="126"/>
    </row>
    <row r="1074" ht="12.75" customHeight="1">
      <c r="A1074" s="123"/>
      <c r="B1074" s="123"/>
      <c r="C1074" s="123"/>
      <c r="D1074" s="119"/>
      <c r="E1074" s="123"/>
      <c r="F1074" s="124"/>
      <c r="G1074" s="125"/>
      <c r="H1074" s="125"/>
      <c r="I1074" s="125"/>
      <c r="J1074" s="125"/>
      <c r="K1074" s="125"/>
      <c r="L1074" s="125"/>
      <c r="M1074" s="125"/>
      <c r="N1074" s="125"/>
      <c r="O1074" s="125"/>
      <c r="P1074" s="125"/>
      <c r="Q1074" s="125"/>
      <c r="R1074" s="125"/>
      <c r="S1074" s="125"/>
      <c r="T1074" s="125"/>
      <c r="U1074" s="126"/>
      <c r="V1074" s="126"/>
      <c r="W1074" s="126"/>
    </row>
    <row r="1075" ht="12.75" customHeight="1">
      <c r="A1075" s="123"/>
      <c r="B1075" s="123"/>
      <c r="C1075" s="123"/>
      <c r="D1075" s="119"/>
      <c r="E1075" s="123"/>
      <c r="F1075" s="124"/>
      <c r="G1075" s="125"/>
      <c r="H1075" s="125"/>
      <c r="I1075" s="125"/>
      <c r="J1075" s="125"/>
      <c r="K1075" s="125"/>
      <c r="L1075" s="125"/>
      <c r="M1075" s="125"/>
      <c r="N1075" s="125"/>
      <c r="O1075" s="125"/>
      <c r="P1075" s="125"/>
      <c r="Q1075" s="125"/>
      <c r="R1075" s="125"/>
      <c r="S1075" s="125"/>
      <c r="T1075" s="125"/>
      <c r="U1075" s="126"/>
      <c r="V1075" s="126"/>
      <c r="W1075" s="126"/>
    </row>
    <row r="1076" ht="12.75" customHeight="1">
      <c r="A1076" s="123"/>
      <c r="B1076" s="123"/>
      <c r="C1076" s="123"/>
      <c r="D1076" s="119"/>
      <c r="E1076" s="123"/>
      <c r="F1076" s="124"/>
      <c r="G1076" s="125"/>
      <c r="H1076" s="125"/>
      <c r="I1076" s="125"/>
      <c r="J1076" s="125"/>
      <c r="K1076" s="125"/>
      <c r="L1076" s="125"/>
      <c r="M1076" s="125"/>
      <c r="N1076" s="125"/>
      <c r="O1076" s="125"/>
      <c r="P1076" s="125"/>
      <c r="Q1076" s="125"/>
      <c r="R1076" s="125"/>
      <c r="S1076" s="125"/>
      <c r="T1076" s="125"/>
      <c r="U1076" s="126"/>
      <c r="V1076" s="126"/>
      <c r="W1076" s="126"/>
    </row>
    <row r="1077" ht="12.75" customHeight="1">
      <c r="A1077" s="123"/>
      <c r="B1077" s="123"/>
      <c r="C1077" s="123"/>
      <c r="D1077" s="119"/>
      <c r="E1077" s="123"/>
      <c r="F1077" s="124"/>
      <c r="G1077" s="125"/>
      <c r="H1077" s="125"/>
      <c r="I1077" s="125"/>
      <c r="J1077" s="125"/>
      <c r="K1077" s="125"/>
      <c r="L1077" s="125"/>
      <c r="M1077" s="125"/>
      <c r="N1077" s="125"/>
      <c r="O1077" s="125"/>
      <c r="P1077" s="125"/>
      <c r="Q1077" s="125"/>
      <c r="R1077" s="125"/>
      <c r="S1077" s="125"/>
      <c r="T1077" s="125"/>
      <c r="U1077" s="126"/>
      <c r="V1077" s="126"/>
      <c r="W1077" s="126"/>
    </row>
    <row r="1078" ht="12.75" customHeight="1">
      <c r="A1078" s="123"/>
      <c r="B1078" s="123"/>
      <c r="C1078" s="123"/>
      <c r="D1078" s="119"/>
      <c r="E1078" s="123"/>
      <c r="F1078" s="124"/>
      <c r="G1078" s="125"/>
      <c r="H1078" s="125"/>
      <c r="I1078" s="125"/>
      <c r="J1078" s="125"/>
      <c r="K1078" s="125"/>
      <c r="L1078" s="125"/>
      <c r="M1078" s="125"/>
      <c r="N1078" s="125"/>
      <c r="O1078" s="125"/>
      <c r="P1078" s="125"/>
      <c r="Q1078" s="125"/>
      <c r="R1078" s="125"/>
      <c r="S1078" s="125"/>
      <c r="T1078" s="125"/>
      <c r="U1078" s="126"/>
      <c r="V1078" s="126"/>
      <c r="W1078" s="126"/>
    </row>
    <row r="1079" ht="12.75" customHeight="1">
      <c r="A1079" s="123"/>
      <c r="B1079" s="123"/>
      <c r="C1079" s="123"/>
      <c r="D1079" s="119"/>
      <c r="E1079" s="123"/>
      <c r="F1079" s="124"/>
      <c r="G1079" s="125"/>
      <c r="H1079" s="125"/>
      <c r="I1079" s="125"/>
      <c r="J1079" s="125"/>
      <c r="K1079" s="125"/>
      <c r="L1079" s="125"/>
      <c r="M1079" s="125"/>
      <c r="N1079" s="125"/>
      <c r="O1079" s="125"/>
      <c r="P1079" s="125"/>
      <c r="Q1079" s="125"/>
      <c r="R1079" s="125"/>
      <c r="S1079" s="125"/>
      <c r="T1079" s="125"/>
      <c r="U1079" s="126"/>
      <c r="V1079" s="126"/>
      <c r="W1079" s="126"/>
    </row>
    <row r="1080" ht="12.75" customHeight="1">
      <c r="A1080" s="123"/>
      <c r="B1080" s="123"/>
      <c r="C1080" s="123"/>
      <c r="D1080" s="119"/>
      <c r="E1080" s="123"/>
      <c r="F1080" s="124"/>
      <c r="G1080" s="125"/>
      <c r="H1080" s="125"/>
      <c r="I1080" s="125"/>
      <c r="J1080" s="125"/>
      <c r="K1080" s="125"/>
      <c r="L1080" s="125"/>
      <c r="M1080" s="125"/>
      <c r="N1080" s="125"/>
      <c r="O1080" s="125"/>
      <c r="P1080" s="125"/>
      <c r="Q1080" s="125"/>
      <c r="R1080" s="125"/>
      <c r="S1080" s="125"/>
      <c r="T1080" s="125"/>
      <c r="U1080" s="126"/>
      <c r="V1080" s="126"/>
      <c r="W1080" s="126"/>
    </row>
    <row r="1081" ht="12.75" customHeight="1">
      <c r="A1081" s="123"/>
      <c r="B1081" s="123"/>
      <c r="C1081" s="123"/>
      <c r="D1081" s="119"/>
      <c r="E1081" s="123"/>
      <c r="F1081" s="124"/>
      <c r="G1081" s="125"/>
      <c r="H1081" s="125"/>
      <c r="I1081" s="125"/>
      <c r="J1081" s="125"/>
      <c r="K1081" s="125"/>
      <c r="L1081" s="125"/>
      <c r="M1081" s="125"/>
      <c r="N1081" s="125"/>
      <c r="O1081" s="125"/>
      <c r="P1081" s="125"/>
      <c r="Q1081" s="125"/>
      <c r="R1081" s="125"/>
      <c r="S1081" s="125"/>
      <c r="T1081" s="125"/>
      <c r="U1081" s="126"/>
      <c r="V1081" s="126"/>
      <c r="W1081" s="126"/>
    </row>
    <row r="1082" ht="12.75" customHeight="1">
      <c r="A1082" s="123"/>
      <c r="B1082" s="123"/>
      <c r="C1082" s="123"/>
      <c r="D1082" s="119"/>
      <c r="E1082" s="123"/>
      <c r="F1082" s="124"/>
      <c r="G1082" s="125"/>
      <c r="H1082" s="125"/>
      <c r="I1082" s="125"/>
      <c r="J1082" s="125"/>
      <c r="K1082" s="125"/>
      <c r="L1082" s="125"/>
      <c r="M1082" s="125"/>
      <c r="N1082" s="125"/>
      <c r="O1082" s="125"/>
      <c r="P1082" s="125"/>
      <c r="Q1082" s="125"/>
      <c r="R1082" s="125"/>
      <c r="S1082" s="125"/>
      <c r="T1082" s="125"/>
      <c r="U1082" s="126"/>
      <c r="V1082" s="126"/>
      <c r="W1082" s="126"/>
    </row>
    <row r="1083" ht="12.75" customHeight="1">
      <c r="A1083" s="123"/>
      <c r="B1083" s="123"/>
      <c r="C1083" s="123"/>
      <c r="D1083" s="119"/>
      <c r="E1083" s="123"/>
      <c r="F1083" s="124"/>
      <c r="G1083" s="125"/>
      <c r="H1083" s="125"/>
      <c r="I1083" s="125"/>
      <c r="J1083" s="125"/>
      <c r="K1083" s="125"/>
      <c r="L1083" s="125"/>
      <c r="M1083" s="125"/>
      <c r="N1083" s="125"/>
      <c r="O1083" s="125"/>
      <c r="P1083" s="125"/>
      <c r="Q1083" s="125"/>
      <c r="R1083" s="125"/>
      <c r="S1083" s="125"/>
      <c r="T1083" s="125"/>
      <c r="U1083" s="126"/>
      <c r="V1083" s="126"/>
      <c r="W1083" s="126"/>
    </row>
    <row r="1084" ht="12.75" customHeight="1">
      <c r="A1084" s="123"/>
      <c r="B1084" s="123"/>
      <c r="C1084" s="123"/>
      <c r="D1084" s="119"/>
      <c r="E1084" s="123"/>
      <c r="F1084" s="124"/>
      <c r="G1084" s="125"/>
      <c r="H1084" s="125"/>
      <c r="I1084" s="125"/>
      <c r="J1084" s="125"/>
      <c r="K1084" s="125"/>
      <c r="L1084" s="125"/>
      <c r="M1084" s="125"/>
      <c r="N1084" s="125"/>
      <c r="O1084" s="125"/>
      <c r="P1084" s="125"/>
      <c r="Q1084" s="125"/>
      <c r="R1084" s="125"/>
      <c r="S1084" s="125"/>
      <c r="T1084" s="125"/>
      <c r="U1084" s="126"/>
      <c r="V1084" s="126"/>
      <c r="W1084" s="126"/>
    </row>
    <row r="1085" ht="12.75" customHeight="1">
      <c r="A1085" s="123"/>
      <c r="B1085" s="123"/>
      <c r="C1085" s="123"/>
      <c r="D1085" s="119"/>
      <c r="E1085" s="123"/>
      <c r="F1085" s="124"/>
      <c r="G1085" s="125"/>
      <c r="H1085" s="125"/>
      <c r="I1085" s="125"/>
      <c r="J1085" s="125"/>
      <c r="K1085" s="125"/>
      <c r="L1085" s="125"/>
      <c r="M1085" s="125"/>
      <c r="N1085" s="125"/>
      <c r="O1085" s="125"/>
      <c r="P1085" s="125"/>
      <c r="Q1085" s="125"/>
      <c r="R1085" s="125"/>
      <c r="S1085" s="125"/>
      <c r="T1085" s="125"/>
      <c r="U1085" s="126"/>
      <c r="V1085" s="126"/>
      <c r="W1085" s="126"/>
    </row>
    <row r="1086" ht="12.75" customHeight="1">
      <c r="A1086" s="123"/>
      <c r="B1086" s="123"/>
      <c r="C1086" s="123"/>
      <c r="D1086" s="119"/>
      <c r="E1086" s="123"/>
      <c r="F1086" s="124"/>
      <c r="G1086" s="125"/>
      <c r="H1086" s="125"/>
      <c r="I1086" s="125"/>
      <c r="J1086" s="125"/>
      <c r="K1086" s="125"/>
      <c r="L1086" s="125"/>
      <c r="M1086" s="125"/>
      <c r="N1086" s="125"/>
      <c r="O1086" s="125"/>
      <c r="P1086" s="125"/>
      <c r="Q1086" s="125"/>
      <c r="R1086" s="125"/>
      <c r="S1086" s="125"/>
      <c r="T1086" s="125"/>
      <c r="U1086" s="126"/>
      <c r="V1086" s="126"/>
      <c r="W1086" s="126"/>
    </row>
    <row r="1087" ht="12.75" customHeight="1">
      <c r="A1087" s="123"/>
      <c r="B1087" s="123"/>
      <c r="C1087" s="123"/>
      <c r="D1087" s="119"/>
      <c r="E1087" s="123"/>
      <c r="F1087" s="124"/>
      <c r="G1087" s="125"/>
      <c r="H1087" s="125"/>
      <c r="I1087" s="125"/>
      <c r="J1087" s="125"/>
      <c r="K1087" s="125"/>
      <c r="L1087" s="125"/>
      <c r="M1087" s="125"/>
      <c r="N1087" s="125"/>
      <c r="O1087" s="125"/>
      <c r="P1087" s="125"/>
      <c r="Q1087" s="125"/>
      <c r="R1087" s="125"/>
      <c r="S1087" s="125"/>
      <c r="T1087" s="125"/>
      <c r="U1087" s="126"/>
      <c r="V1087" s="126"/>
      <c r="W1087" s="126"/>
    </row>
    <row r="1088" ht="12.75" customHeight="1">
      <c r="A1088" s="123"/>
      <c r="B1088" s="123"/>
      <c r="C1088" s="123"/>
      <c r="D1088" s="119"/>
      <c r="E1088" s="123"/>
      <c r="F1088" s="124"/>
      <c r="G1088" s="125"/>
      <c r="H1088" s="125"/>
      <c r="I1088" s="125"/>
      <c r="J1088" s="125"/>
      <c r="K1088" s="125"/>
      <c r="L1088" s="125"/>
      <c r="M1088" s="125"/>
      <c r="N1088" s="125"/>
      <c r="O1088" s="125"/>
      <c r="P1088" s="125"/>
      <c r="Q1088" s="125"/>
      <c r="R1088" s="125"/>
      <c r="S1088" s="125"/>
      <c r="T1088" s="125"/>
      <c r="U1088" s="126"/>
      <c r="V1088" s="126"/>
      <c r="W1088" s="126"/>
    </row>
    <row r="1089" ht="12.75" customHeight="1">
      <c r="A1089" s="123"/>
      <c r="B1089" s="123"/>
      <c r="C1089" s="123"/>
      <c r="D1089" s="119"/>
      <c r="E1089" s="123"/>
      <c r="F1089" s="124"/>
      <c r="G1089" s="125"/>
      <c r="H1089" s="125"/>
      <c r="I1089" s="125"/>
      <c r="J1089" s="125"/>
      <c r="K1089" s="125"/>
      <c r="L1089" s="125"/>
      <c r="M1089" s="125"/>
      <c r="N1089" s="125"/>
      <c r="O1089" s="125"/>
      <c r="P1089" s="125"/>
      <c r="Q1089" s="125"/>
      <c r="R1089" s="125"/>
      <c r="S1089" s="125"/>
      <c r="T1089" s="125"/>
      <c r="U1089" s="126"/>
      <c r="V1089" s="126"/>
      <c r="W1089" s="126"/>
    </row>
    <row r="1090" ht="12.75" customHeight="1">
      <c r="A1090" s="123"/>
      <c r="B1090" s="123"/>
      <c r="C1090" s="123"/>
      <c r="D1090" s="119"/>
      <c r="E1090" s="123"/>
      <c r="F1090" s="124"/>
      <c r="G1090" s="125"/>
      <c r="H1090" s="125"/>
      <c r="I1090" s="125"/>
      <c r="J1090" s="125"/>
      <c r="K1090" s="125"/>
      <c r="L1090" s="125"/>
      <c r="M1090" s="125"/>
      <c r="N1090" s="125"/>
      <c r="O1090" s="125"/>
      <c r="P1090" s="125"/>
      <c r="Q1090" s="125"/>
      <c r="R1090" s="125"/>
      <c r="S1090" s="125"/>
      <c r="T1090" s="125"/>
      <c r="U1090" s="126"/>
      <c r="V1090" s="126"/>
      <c r="W1090" s="126"/>
    </row>
    <row r="1091" ht="12.75" customHeight="1">
      <c r="A1091" s="123"/>
      <c r="B1091" s="123"/>
      <c r="C1091" s="123"/>
      <c r="D1091" s="119"/>
      <c r="E1091" s="123"/>
      <c r="F1091" s="124"/>
      <c r="G1091" s="125"/>
      <c r="H1091" s="125"/>
      <c r="I1091" s="125"/>
      <c r="J1091" s="125"/>
      <c r="K1091" s="125"/>
      <c r="L1091" s="125"/>
      <c r="M1091" s="125"/>
      <c r="N1091" s="125"/>
      <c r="O1091" s="125"/>
      <c r="P1091" s="125"/>
      <c r="Q1091" s="125"/>
      <c r="R1091" s="125"/>
      <c r="S1091" s="125"/>
      <c r="T1091" s="125"/>
      <c r="U1091" s="126"/>
      <c r="V1091" s="126"/>
      <c r="W1091" s="126"/>
    </row>
    <row r="1092" ht="12.75" customHeight="1">
      <c r="A1092" s="123"/>
      <c r="B1092" s="123"/>
      <c r="C1092" s="123"/>
      <c r="D1092" s="119"/>
      <c r="E1092" s="123"/>
      <c r="F1092" s="124"/>
      <c r="G1092" s="125"/>
      <c r="H1092" s="125"/>
      <c r="I1092" s="125"/>
      <c r="J1092" s="125"/>
      <c r="K1092" s="125"/>
      <c r="L1092" s="125"/>
      <c r="M1092" s="125"/>
      <c r="N1092" s="125"/>
      <c r="O1092" s="125"/>
      <c r="P1092" s="125"/>
      <c r="Q1092" s="125"/>
      <c r="R1092" s="125"/>
      <c r="S1092" s="125"/>
      <c r="T1092" s="125"/>
      <c r="U1092" s="126"/>
      <c r="V1092" s="126"/>
      <c r="W1092" s="126"/>
    </row>
    <row r="1093" ht="12.75" customHeight="1">
      <c r="A1093" s="123"/>
      <c r="B1093" s="123"/>
      <c r="C1093" s="123"/>
      <c r="D1093" s="119"/>
      <c r="E1093" s="123"/>
      <c r="F1093" s="124"/>
      <c r="G1093" s="125"/>
      <c r="H1093" s="125"/>
      <c r="I1093" s="125"/>
      <c r="J1093" s="125"/>
      <c r="K1093" s="125"/>
      <c r="L1093" s="125"/>
      <c r="M1093" s="125"/>
      <c r="N1093" s="125"/>
      <c r="O1093" s="125"/>
      <c r="P1093" s="125"/>
      <c r="Q1093" s="125"/>
      <c r="R1093" s="125"/>
      <c r="S1093" s="125"/>
      <c r="T1093" s="125"/>
      <c r="U1093" s="126"/>
      <c r="V1093" s="126"/>
      <c r="W1093" s="126"/>
    </row>
    <row r="1094" ht="12.75" customHeight="1">
      <c r="A1094" s="123"/>
      <c r="B1094" s="123"/>
      <c r="C1094" s="123"/>
      <c r="D1094" s="119"/>
      <c r="E1094" s="123"/>
      <c r="F1094" s="124"/>
      <c r="G1094" s="125"/>
      <c r="H1094" s="125"/>
      <c r="I1094" s="125"/>
      <c r="J1094" s="125"/>
      <c r="K1094" s="125"/>
      <c r="L1094" s="125"/>
      <c r="M1094" s="125"/>
      <c r="N1094" s="125"/>
      <c r="O1094" s="125"/>
      <c r="P1094" s="125"/>
      <c r="Q1094" s="125"/>
      <c r="R1094" s="125"/>
      <c r="S1094" s="125"/>
      <c r="T1094" s="125"/>
      <c r="U1094" s="126"/>
      <c r="V1094" s="126"/>
      <c r="W1094" s="126"/>
    </row>
    <row r="1095" ht="12.75" customHeight="1">
      <c r="A1095" s="123"/>
      <c r="B1095" s="123"/>
      <c r="C1095" s="123"/>
      <c r="D1095" s="119"/>
      <c r="E1095" s="123"/>
      <c r="F1095" s="124"/>
      <c r="G1095" s="125"/>
      <c r="H1095" s="125"/>
      <c r="I1095" s="125"/>
      <c r="J1095" s="125"/>
      <c r="K1095" s="125"/>
      <c r="L1095" s="125"/>
      <c r="M1095" s="125"/>
      <c r="N1095" s="125"/>
      <c r="O1095" s="125"/>
      <c r="P1095" s="125"/>
      <c r="Q1095" s="125"/>
      <c r="R1095" s="125"/>
      <c r="S1095" s="125"/>
      <c r="T1095" s="125"/>
      <c r="U1095" s="126"/>
      <c r="V1095" s="126"/>
      <c r="W1095" s="126"/>
    </row>
    <row r="1096" ht="12.75" customHeight="1">
      <c r="A1096" s="123"/>
      <c r="B1096" s="123"/>
      <c r="C1096" s="123"/>
      <c r="D1096" s="119"/>
      <c r="E1096" s="123"/>
      <c r="F1096" s="124"/>
      <c r="G1096" s="125"/>
      <c r="H1096" s="125"/>
      <c r="I1096" s="125"/>
      <c r="J1096" s="125"/>
      <c r="K1096" s="125"/>
      <c r="L1096" s="125"/>
      <c r="M1096" s="125"/>
      <c r="N1096" s="125"/>
      <c r="O1096" s="125"/>
      <c r="P1096" s="125"/>
      <c r="Q1096" s="125"/>
      <c r="R1096" s="125"/>
      <c r="S1096" s="125"/>
      <c r="T1096" s="125"/>
      <c r="U1096" s="126"/>
      <c r="V1096" s="126"/>
      <c r="W1096" s="126"/>
    </row>
    <row r="1097" ht="12.75" customHeight="1">
      <c r="A1097" s="123"/>
      <c r="B1097" s="123"/>
      <c r="C1097" s="123"/>
      <c r="D1097" s="119"/>
      <c r="E1097" s="123"/>
      <c r="F1097" s="124"/>
      <c r="G1097" s="125"/>
      <c r="H1097" s="125"/>
      <c r="I1097" s="125"/>
      <c r="J1097" s="125"/>
      <c r="K1097" s="125"/>
      <c r="L1097" s="125"/>
      <c r="M1097" s="125"/>
      <c r="N1097" s="125"/>
      <c r="O1097" s="125"/>
      <c r="P1097" s="125"/>
      <c r="Q1097" s="125"/>
      <c r="R1097" s="125"/>
      <c r="S1097" s="125"/>
      <c r="T1097" s="125"/>
      <c r="U1097" s="126"/>
      <c r="V1097" s="126"/>
      <c r="W1097" s="126"/>
    </row>
    <row r="1098" ht="12.75" customHeight="1">
      <c r="A1098" s="123"/>
      <c r="B1098" s="123"/>
      <c r="C1098" s="123"/>
      <c r="D1098" s="119"/>
      <c r="E1098" s="123"/>
      <c r="F1098" s="124"/>
      <c r="G1098" s="125"/>
      <c r="H1098" s="125"/>
      <c r="I1098" s="125"/>
      <c r="J1098" s="125"/>
      <c r="K1098" s="125"/>
      <c r="L1098" s="125"/>
      <c r="M1098" s="125"/>
      <c r="N1098" s="125"/>
      <c r="O1098" s="125"/>
      <c r="P1098" s="125"/>
      <c r="Q1098" s="125"/>
      <c r="R1098" s="125"/>
      <c r="S1098" s="125"/>
      <c r="T1098" s="125"/>
      <c r="U1098" s="126"/>
      <c r="V1098" s="126"/>
      <c r="W1098" s="126"/>
    </row>
    <row r="1099" ht="12.75" customHeight="1">
      <c r="A1099" s="123"/>
      <c r="B1099" s="123"/>
      <c r="C1099" s="123"/>
      <c r="D1099" s="119"/>
      <c r="E1099" s="123"/>
      <c r="F1099" s="124"/>
      <c r="G1099" s="125"/>
      <c r="H1099" s="125"/>
      <c r="I1099" s="125"/>
      <c r="J1099" s="125"/>
      <c r="K1099" s="125"/>
      <c r="L1099" s="125"/>
      <c r="M1099" s="125"/>
      <c r="N1099" s="125"/>
      <c r="O1099" s="125"/>
      <c r="P1099" s="125"/>
      <c r="Q1099" s="125"/>
      <c r="R1099" s="125"/>
      <c r="S1099" s="125"/>
      <c r="T1099" s="125"/>
      <c r="U1099" s="126"/>
      <c r="V1099" s="126"/>
      <c r="W1099" s="126"/>
    </row>
    <row r="1100" ht="12.75" customHeight="1">
      <c r="A1100" s="123"/>
      <c r="B1100" s="123"/>
      <c r="C1100" s="123"/>
      <c r="D1100" s="119"/>
      <c r="E1100" s="123"/>
      <c r="F1100" s="124"/>
      <c r="G1100" s="125"/>
      <c r="H1100" s="125"/>
      <c r="I1100" s="125"/>
      <c r="J1100" s="125"/>
      <c r="K1100" s="125"/>
      <c r="L1100" s="125"/>
      <c r="M1100" s="125"/>
      <c r="N1100" s="125"/>
      <c r="O1100" s="125"/>
      <c r="P1100" s="125"/>
      <c r="Q1100" s="125"/>
      <c r="R1100" s="125"/>
      <c r="S1100" s="125"/>
      <c r="T1100" s="125"/>
      <c r="U1100" s="126"/>
      <c r="V1100" s="126"/>
      <c r="W1100" s="126"/>
    </row>
    <row r="1101" ht="12.75" customHeight="1">
      <c r="A1101" s="123"/>
      <c r="B1101" s="123"/>
      <c r="C1101" s="123"/>
      <c r="D1101" s="119"/>
      <c r="E1101" s="123"/>
      <c r="F1101" s="124"/>
      <c r="G1101" s="125"/>
      <c r="H1101" s="125"/>
      <c r="I1101" s="125"/>
      <c r="J1101" s="125"/>
      <c r="K1101" s="125"/>
      <c r="L1101" s="125"/>
      <c r="M1101" s="125"/>
      <c r="N1101" s="125"/>
      <c r="O1101" s="125"/>
      <c r="P1101" s="125"/>
      <c r="Q1101" s="125"/>
      <c r="R1101" s="125"/>
      <c r="S1101" s="125"/>
      <c r="T1101" s="125"/>
      <c r="U1101" s="126"/>
      <c r="V1101" s="126"/>
      <c r="W1101" s="126"/>
    </row>
    <row r="1102" ht="12.75" customHeight="1">
      <c r="A1102" s="123"/>
      <c r="B1102" s="123"/>
      <c r="C1102" s="123"/>
      <c r="D1102" s="119"/>
      <c r="E1102" s="123"/>
      <c r="F1102" s="124"/>
      <c r="G1102" s="125"/>
      <c r="H1102" s="125"/>
      <c r="I1102" s="125"/>
      <c r="J1102" s="125"/>
      <c r="K1102" s="125"/>
      <c r="L1102" s="125"/>
      <c r="M1102" s="125"/>
      <c r="N1102" s="125"/>
      <c r="O1102" s="125"/>
      <c r="P1102" s="125"/>
      <c r="Q1102" s="125"/>
      <c r="R1102" s="125"/>
      <c r="S1102" s="125"/>
      <c r="T1102" s="125"/>
      <c r="U1102" s="126"/>
      <c r="V1102" s="126"/>
      <c r="W1102" s="126"/>
    </row>
    <row r="1103" ht="12.75" customHeight="1">
      <c r="A1103" s="123"/>
      <c r="B1103" s="123"/>
      <c r="C1103" s="123"/>
      <c r="D1103" s="119"/>
      <c r="E1103" s="123"/>
      <c r="F1103" s="124"/>
      <c r="G1103" s="125"/>
      <c r="H1103" s="125"/>
      <c r="I1103" s="125"/>
      <c r="J1103" s="125"/>
      <c r="K1103" s="125"/>
      <c r="L1103" s="125"/>
      <c r="M1103" s="125"/>
      <c r="N1103" s="125"/>
      <c r="O1103" s="125"/>
      <c r="P1103" s="125"/>
      <c r="Q1103" s="125"/>
      <c r="R1103" s="125"/>
      <c r="S1103" s="125"/>
      <c r="T1103" s="125"/>
      <c r="U1103" s="126"/>
      <c r="V1103" s="126"/>
      <c r="W1103" s="126"/>
    </row>
    <row r="1104" ht="12.75" customHeight="1">
      <c r="A1104" s="123"/>
      <c r="B1104" s="123"/>
      <c r="C1104" s="123"/>
      <c r="D1104" s="119"/>
      <c r="E1104" s="123"/>
      <c r="F1104" s="124"/>
      <c r="G1104" s="125"/>
      <c r="H1104" s="125"/>
      <c r="I1104" s="125"/>
      <c r="J1104" s="125"/>
      <c r="K1104" s="125"/>
      <c r="L1104" s="125"/>
      <c r="M1104" s="125"/>
      <c r="N1104" s="125"/>
      <c r="O1104" s="125"/>
      <c r="P1104" s="125"/>
      <c r="Q1104" s="125"/>
      <c r="R1104" s="125"/>
      <c r="S1104" s="125"/>
      <c r="T1104" s="125"/>
      <c r="U1104" s="126"/>
      <c r="V1104" s="126"/>
      <c r="W1104" s="126"/>
    </row>
    <row r="1105" ht="12.75" customHeight="1">
      <c r="A1105" s="123"/>
      <c r="B1105" s="123"/>
      <c r="C1105" s="123"/>
      <c r="D1105" s="119"/>
      <c r="E1105" s="123"/>
      <c r="F1105" s="124"/>
      <c r="G1105" s="125"/>
      <c r="H1105" s="125"/>
      <c r="I1105" s="125"/>
      <c r="J1105" s="125"/>
      <c r="K1105" s="125"/>
      <c r="L1105" s="125"/>
      <c r="M1105" s="125"/>
      <c r="N1105" s="125"/>
      <c r="O1105" s="125"/>
      <c r="P1105" s="125"/>
      <c r="Q1105" s="125"/>
      <c r="R1105" s="125"/>
      <c r="S1105" s="125"/>
      <c r="T1105" s="125"/>
      <c r="U1105" s="126"/>
      <c r="V1105" s="126"/>
      <c r="W1105" s="126"/>
    </row>
    <row r="1106" ht="12.75" customHeight="1">
      <c r="A1106" s="123"/>
      <c r="B1106" s="123"/>
      <c r="C1106" s="123"/>
      <c r="D1106" s="119"/>
      <c r="E1106" s="123"/>
      <c r="F1106" s="124"/>
      <c r="G1106" s="125"/>
      <c r="H1106" s="125"/>
      <c r="I1106" s="125"/>
      <c r="J1106" s="125"/>
      <c r="K1106" s="125"/>
      <c r="L1106" s="125"/>
      <c r="M1106" s="125"/>
      <c r="N1106" s="125"/>
      <c r="O1106" s="125"/>
      <c r="P1106" s="125"/>
      <c r="Q1106" s="125"/>
      <c r="R1106" s="125"/>
      <c r="S1106" s="125"/>
      <c r="T1106" s="125"/>
      <c r="U1106" s="126"/>
      <c r="V1106" s="126"/>
      <c r="W1106" s="126"/>
    </row>
    <row r="1107" ht="12.75" customHeight="1">
      <c r="A1107" s="123"/>
      <c r="B1107" s="123"/>
      <c r="C1107" s="123"/>
      <c r="D1107" s="119"/>
      <c r="E1107" s="123"/>
      <c r="F1107" s="124"/>
      <c r="G1107" s="125"/>
      <c r="H1107" s="125"/>
      <c r="I1107" s="125"/>
      <c r="J1107" s="125"/>
      <c r="K1107" s="125"/>
      <c r="L1107" s="125"/>
      <c r="M1107" s="125"/>
      <c r="N1107" s="125"/>
      <c r="O1107" s="125"/>
      <c r="P1107" s="125"/>
      <c r="Q1107" s="125"/>
      <c r="R1107" s="125"/>
      <c r="S1107" s="125"/>
      <c r="T1107" s="125"/>
      <c r="U1107" s="126"/>
      <c r="V1107" s="126"/>
      <c r="W1107" s="126"/>
    </row>
    <row r="1108" ht="12.75" customHeight="1">
      <c r="A1108" s="123"/>
      <c r="B1108" s="123"/>
      <c r="C1108" s="123"/>
      <c r="D1108" s="119"/>
      <c r="E1108" s="123"/>
      <c r="F1108" s="124"/>
      <c r="G1108" s="125"/>
      <c r="H1108" s="125"/>
      <c r="I1108" s="125"/>
      <c r="J1108" s="125"/>
      <c r="K1108" s="125"/>
      <c r="L1108" s="125"/>
      <c r="M1108" s="125"/>
      <c r="N1108" s="125"/>
      <c r="O1108" s="125"/>
      <c r="P1108" s="125"/>
      <c r="Q1108" s="125"/>
      <c r="R1108" s="125"/>
      <c r="S1108" s="125"/>
      <c r="T1108" s="125"/>
      <c r="U1108" s="126"/>
      <c r="V1108" s="126"/>
      <c r="W1108" s="126"/>
    </row>
    <row r="1109" ht="12.75" customHeight="1">
      <c r="A1109" s="123"/>
      <c r="B1109" s="123"/>
      <c r="C1109" s="123"/>
      <c r="D1109" s="119"/>
      <c r="E1109" s="123"/>
      <c r="F1109" s="124"/>
      <c r="G1109" s="125"/>
      <c r="H1109" s="125"/>
      <c r="I1109" s="125"/>
      <c r="J1109" s="125"/>
      <c r="K1109" s="125"/>
      <c r="L1109" s="125"/>
      <c r="M1109" s="125"/>
      <c r="N1109" s="125"/>
      <c r="O1109" s="125"/>
      <c r="P1109" s="125"/>
      <c r="Q1109" s="125"/>
      <c r="R1109" s="125"/>
      <c r="S1109" s="125"/>
      <c r="T1109" s="125"/>
      <c r="U1109" s="126"/>
      <c r="V1109" s="126"/>
      <c r="W1109" s="126"/>
    </row>
    <row r="1110" ht="12.75" customHeight="1">
      <c r="A1110" s="123"/>
      <c r="B1110" s="123"/>
      <c r="C1110" s="123"/>
      <c r="D1110" s="119"/>
      <c r="E1110" s="123"/>
      <c r="F1110" s="124"/>
      <c r="G1110" s="125"/>
      <c r="H1110" s="125"/>
      <c r="I1110" s="125"/>
      <c r="J1110" s="125"/>
      <c r="K1110" s="125"/>
      <c r="L1110" s="125"/>
      <c r="M1110" s="125"/>
      <c r="N1110" s="125"/>
      <c r="O1110" s="125"/>
      <c r="P1110" s="125"/>
      <c r="Q1110" s="125"/>
      <c r="R1110" s="125"/>
      <c r="S1110" s="125"/>
      <c r="T1110" s="125"/>
      <c r="U1110" s="126"/>
      <c r="V1110" s="126"/>
      <c r="W1110" s="126"/>
    </row>
    <row r="1111" ht="12.75" customHeight="1">
      <c r="A1111" s="123"/>
      <c r="B1111" s="123"/>
      <c r="C1111" s="123"/>
      <c r="D1111" s="119"/>
      <c r="E1111" s="123"/>
      <c r="F1111" s="124"/>
      <c r="G1111" s="125"/>
      <c r="H1111" s="125"/>
      <c r="I1111" s="125"/>
      <c r="J1111" s="125"/>
      <c r="K1111" s="125"/>
      <c r="L1111" s="125"/>
      <c r="M1111" s="125"/>
      <c r="N1111" s="125"/>
      <c r="O1111" s="125"/>
      <c r="P1111" s="125"/>
      <c r="Q1111" s="125"/>
      <c r="R1111" s="125"/>
      <c r="S1111" s="125"/>
      <c r="T1111" s="125"/>
      <c r="U1111" s="126"/>
      <c r="V1111" s="126"/>
      <c r="W1111" s="126"/>
    </row>
    <row r="1112" ht="12.75" customHeight="1">
      <c r="A1112" s="123"/>
      <c r="B1112" s="123"/>
      <c r="C1112" s="123"/>
      <c r="D1112" s="119"/>
      <c r="E1112" s="123"/>
      <c r="F1112" s="124"/>
      <c r="G1112" s="125"/>
      <c r="H1112" s="125"/>
      <c r="I1112" s="125"/>
      <c r="J1112" s="125"/>
      <c r="K1112" s="125"/>
      <c r="L1112" s="125"/>
      <c r="M1112" s="125"/>
      <c r="N1112" s="125"/>
      <c r="O1112" s="125"/>
      <c r="P1112" s="125"/>
      <c r="Q1112" s="125"/>
      <c r="R1112" s="125"/>
      <c r="S1112" s="125"/>
      <c r="T1112" s="125"/>
      <c r="U1112" s="126"/>
      <c r="V1112" s="126"/>
      <c r="W1112" s="126"/>
    </row>
    <row r="1113" ht="12.75" customHeight="1">
      <c r="A1113" s="123"/>
      <c r="B1113" s="123"/>
      <c r="C1113" s="123"/>
      <c r="D1113" s="119"/>
      <c r="E1113" s="123"/>
      <c r="F1113" s="124"/>
      <c r="G1113" s="125"/>
      <c r="H1113" s="125"/>
      <c r="I1113" s="125"/>
      <c r="J1113" s="125"/>
      <c r="K1113" s="125"/>
      <c r="L1113" s="125"/>
      <c r="M1113" s="125"/>
      <c r="N1113" s="125"/>
      <c r="O1113" s="125"/>
      <c r="P1113" s="125"/>
      <c r="Q1113" s="125"/>
      <c r="R1113" s="125"/>
      <c r="S1113" s="125"/>
      <c r="T1113" s="125"/>
      <c r="U1113" s="126"/>
      <c r="V1113" s="126"/>
      <c r="W1113" s="126"/>
    </row>
    <row r="1114" ht="12.75" customHeight="1">
      <c r="A1114" s="123"/>
      <c r="B1114" s="123"/>
      <c r="C1114" s="123"/>
      <c r="D1114" s="119"/>
      <c r="E1114" s="123"/>
      <c r="F1114" s="124"/>
      <c r="G1114" s="125"/>
      <c r="H1114" s="125"/>
      <c r="I1114" s="125"/>
      <c r="J1114" s="125"/>
      <c r="K1114" s="125"/>
      <c r="L1114" s="125"/>
      <c r="M1114" s="125"/>
      <c r="N1114" s="125"/>
      <c r="O1114" s="125"/>
      <c r="P1114" s="125"/>
      <c r="Q1114" s="125"/>
      <c r="R1114" s="125"/>
      <c r="S1114" s="125"/>
      <c r="T1114" s="125"/>
      <c r="U1114" s="126"/>
      <c r="V1114" s="126"/>
      <c r="W1114" s="126"/>
    </row>
    <row r="1115" ht="12.75" customHeight="1">
      <c r="A1115" s="123"/>
      <c r="B1115" s="123"/>
      <c r="C1115" s="123"/>
      <c r="D1115" s="119"/>
      <c r="E1115" s="123"/>
      <c r="F1115" s="124"/>
      <c r="G1115" s="125"/>
      <c r="H1115" s="125"/>
      <c r="I1115" s="125"/>
      <c r="J1115" s="125"/>
      <c r="K1115" s="125"/>
      <c r="L1115" s="125"/>
      <c r="M1115" s="125"/>
      <c r="N1115" s="125"/>
      <c r="O1115" s="125"/>
      <c r="P1115" s="125"/>
      <c r="Q1115" s="125"/>
      <c r="R1115" s="125"/>
      <c r="S1115" s="125"/>
      <c r="T1115" s="125"/>
      <c r="U1115" s="126"/>
      <c r="V1115" s="126"/>
      <c r="W1115" s="126"/>
    </row>
    <row r="1116" ht="12.75" customHeight="1">
      <c r="A1116" s="123"/>
      <c r="B1116" s="123"/>
      <c r="C1116" s="123"/>
      <c r="D1116" s="119"/>
      <c r="E1116" s="123"/>
      <c r="F1116" s="124"/>
      <c r="G1116" s="125"/>
      <c r="H1116" s="125"/>
      <c r="I1116" s="125"/>
      <c r="J1116" s="125"/>
      <c r="K1116" s="125"/>
      <c r="L1116" s="125"/>
      <c r="M1116" s="125"/>
      <c r="N1116" s="125"/>
      <c r="O1116" s="125"/>
      <c r="P1116" s="125"/>
      <c r="Q1116" s="125"/>
      <c r="R1116" s="125"/>
      <c r="S1116" s="125"/>
      <c r="T1116" s="125"/>
      <c r="U1116" s="126"/>
      <c r="V1116" s="126"/>
      <c r="W1116" s="126"/>
    </row>
    <row r="1117" ht="12.75" customHeight="1">
      <c r="A1117" s="123"/>
      <c r="B1117" s="123"/>
      <c r="C1117" s="123"/>
      <c r="D1117" s="119"/>
      <c r="E1117" s="123"/>
      <c r="F1117" s="124"/>
      <c r="G1117" s="125"/>
      <c r="H1117" s="125"/>
      <c r="I1117" s="125"/>
      <c r="J1117" s="125"/>
      <c r="K1117" s="125"/>
      <c r="L1117" s="125"/>
      <c r="M1117" s="125"/>
      <c r="N1117" s="125"/>
      <c r="O1117" s="125"/>
      <c r="P1117" s="125"/>
      <c r="Q1117" s="125"/>
      <c r="R1117" s="125"/>
      <c r="S1117" s="125"/>
      <c r="T1117" s="125"/>
      <c r="U1117" s="126"/>
      <c r="V1117" s="126"/>
      <c r="W1117" s="126"/>
    </row>
    <row r="1118" ht="12.75" customHeight="1">
      <c r="A1118" s="123"/>
      <c r="B1118" s="123"/>
      <c r="C1118" s="123"/>
      <c r="D1118" s="119"/>
      <c r="E1118" s="123"/>
      <c r="F1118" s="124"/>
      <c r="G1118" s="125"/>
      <c r="H1118" s="125"/>
      <c r="I1118" s="125"/>
      <c r="J1118" s="125"/>
      <c r="K1118" s="125"/>
      <c r="L1118" s="125"/>
      <c r="M1118" s="125"/>
      <c r="N1118" s="125"/>
      <c r="O1118" s="125"/>
      <c r="P1118" s="125"/>
      <c r="Q1118" s="125"/>
      <c r="R1118" s="125"/>
      <c r="S1118" s="125"/>
      <c r="T1118" s="125"/>
      <c r="U1118" s="126"/>
      <c r="V1118" s="126"/>
      <c r="W1118" s="126"/>
    </row>
    <row r="1119" ht="12.75" customHeight="1">
      <c r="A1119" s="123"/>
      <c r="B1119" s="123"/>
      <c r="C1119" s="123"/>
      <c r="D1119" s="119"/>
      <c r="E1119" s="123"/>
      <c r="F1119" s="124"/>
      <c r="G1119" s="125"/>
      <c r="H1119" s="125"/>
      <c r="I1119" s="125"/>
      <c r="J1119" s="125"/>
      <c r="K1119" s="125"/>
      <c r="L1119" s="125"/>
      <c r="M1119" s="125"/>
      <c r="N1119" s="125"/>
      <c r="O1119" s="125"/>
      <c r="P1119" s="125"/>
      <c r="Q1119" s="125"/>
      <c r="R1119" s="125"/>
      <c r="S1119" s="125"/>
      <c r="T1119" s="125"/>
      <c r="U1119" s="126"/>
      <c r="V1119" s="126"/>
      <c r="W1119" s="126"/>
    </row>
    <row r="1120" ht="12.75" customHeight="1">
      <c r="A1120" s="123"/>
      <c r="B1120" s="123"/>
      <c r="C1120" s="123"/>
      <c r="D1120" s="119"/>
      <c r="E1120" s="123"/>
      <c r="F1120" s="124"/>
      <c r="G1120" s="125"/>
      <c r="H1120" s="125"/>
      <c r="I1120" s="125"/>
      <c r="J1120" s="125"/>
      <c r="K1120" s="125"/>
      <c r="L1120" s="125"/>
      <c r="M1120" s="125"/>
      <c r="N1120" s="125"/>
      <c r="O1120" s="125"/>
      <c r="P1120" s="125"/>
      <c r="Q1120" s="125"/>
      <c r="R1120" s="125"/>
      <c r="S1120" s="125"/>
      <c r="T1120" s="125"/>
      <c r="U1120" s="126"/>
      <c r="V1120" s="126"/>
      <c r="W1120" s="126"/>
    </row>
    <row r="1121" ht="12.75" customHeight="1">
      <c r="A1121" s="123"/>
      <c r="B1121" s="123"/>
      <c r="C1121" s="123"/>
      <c r="D1121" s="119"/>
      <c r="E1121" s="123"/>
      <c r="F1121" s="124"/>
      <c r="G1121" s="125"/>
      <c r="H1121" s="125"/>
      <c r="I1121" s="125"/>
      <c r="J1121" s="125"/>
      <c r="K1121" s="125"/>
      <c r="L1121" s="125"/>
      <c r="M1121" s="125"/>
      <c r="N1121" s="125"/>
      <c r="O1121" s="125"/>
      <c r="P1121" s="125"/>
      <c r="Q1121" s="125"/>
      <c r="R1121" s="125"/>
      <c r="S1121" s="125"/>
      <c r="T1121" s="125"/>
      <c r="U1121" s="126"/>
      <c r="V1121" s="126"/>
      <c r="W1121" s="126"/>
    </row>
    <row r="1122" ht="12.75" customHeight="1">
      <c r="A1122" s="123"/>
      <c r="B1122" s="123"/>
      <c r="C1122" s="123"/>
      <c r="D1122" s="119"/>
      <c r="E1122" s="123"/>
      <c r="F1122" s="124"/>
      <c r="G1122" s="125"/>
      <c r="H1122" s="125"/>
      <c r="I1122" s="125"/>
      <c r="J1122" s="125"/>
      <c r="K1122" s="125"/>
      <c r="L1122" s="125"/>
      <c r="M1122" s="125"/>
      <c r="N1122" s="125"/>
      <c r="O1122" s="125"/>
      <c r="P1122" s="125"/>
      <c r="Q1122" s="125"/>
      <c r="R1122" s="125"/>
      <c r="S1122" s="125"/>
      <c r="T1122" s="125"/>
      <c r="U1122" s="126"/>
      <c r="V1122" s="126"/>
      <c r="W1122" s="126"/>
    </row>
    <row r="1123" ht="12.75" customHeight="1">
      <c r="A1123" s="123"/>
      <c r="B1123" s="123"/>
      <c r="C1123" s="123"/>
      <c r="D1123" s="119"/>
      <c r="E1123" s="123"/>
      <c r="F1123" s="124"/>
      <c r="G1123" s="125"/>
      <c r="H1123" s="125"/>
      <c r="I1123" s="125"/>
      <c r="J1123" s="125"/>
      <c r="K1123" s="125"/>
      <c r="L1123" s="125"/>
      <c r="M1123" s="125"/>
      <c r="N1123" s="125"/>
      <c r="O1123" s="125"/>
      <c r="P1123" s="125"/>
      <c r="Q1123" s="125"/>
      <c r="R1123" s="125"/>
      <c r="S1123" s="125"/>
      <c r="T1123" s="125"/>
      <c r="U1123" s="126"/>
      <c r="V1123" s="126"/>
      <c r="W1123" s="126"/>
    </row>
    <row r="1124" ht="12.75" customHeight="1">
      <c r="A1124" s="123"/>
      <c r="B1124" s="123"/>
      <c r="C1124" s="123"/>
      <c r="D1124" s="119"/>
      <c r="E1124" s="123"/>
      <c r="F1124" s="124"/>
      <c r="G1124" s="125"/>
      <c r="H1124" s="125"/>
      <c r="I1124" s="125"/>
      <c r="J1124" s="125"/>
      <c r="K1124" s="125"/>
      <c r="L1124" s="125"/>
      <c r="M1124" s="125"/>
      <c r="N1124" s="125"/>
      <c r="O1124" s="125"/>
      <c r="P1124" s="125"/>
      <c r="Q1124" s="125"/>
      <c r="R1124" s="125"/>
      <c r="S1124" s="125"/>
      <c r="T1124" s="125"/>
      <c r="U1124" s="126"/>
      <c r="V1124" s="126"/>
      <c r="W1124" s="126"/>
    </row>
    <row r="1125" ht="12.75" customHeight="1">
      <c r="A1125" s="123"/>
      <c r="B1125" s="123"/>
      <c r="C1125" s="123"/>
      <c r="D1125" s="119"/>
      <c r="E1125" s="123"/>
      <c r="F1125" s="124"/>
      <c r="G1125" s="125"/>
      <c r="H1125" s="125"/>
      <c r="I1125" s="125"/>
      <c r="J1125" s="125"/>
      <c r="K1125" s="125"/>
      <c r="L1125" s="125"/>
      <c r="M1125" s="125"/>
      <c r="N1125" s="125"/>
      <c r="O1125" s="125"/>
      <c r="P1125" s="125"/>
      <c r="Q1125" s="125"/>
      <c r="R1125" s="125"/>
      <c r="S1125" s="125"/>
      <c r="T1125" s="125"/>
      <c r="U1125" s="126"/>
      <c r="V1125" s="126"/>
      <c r="W1125" s="126"/>
    </row>
    <row r="1126" ht="12.75" customHeight="1">
      <c r="A1126" s="123"/>
      <c r="B1126" s="123"/>
      <c r="C1126" s="123"/>
      <c r="D1126" s="119"/>
      <c r="E1126" s="123"/>
      <c r="F1126" s="124"/>
      <c r="G1126" s="125"/>
      <c r="H1126" s="125"/>
      <c r="I1126" s="125"/>
      <c r="J1126" s="125"/>
      <c r="K1126" s="125"/>
      <c r="L1126" s="125"/>
      <c r="M1126" s="125"/>
      <c r="N1126" s="125"/>
      <c r="O1126" s="125"/>
      <c r="P1126" s="125"/>
      <c r="Q1126" s="125"/>
      <c r="R1126" s="125"/>
      <c r="S1126" s="125"/>
      <c r="T1126" s="125"/>
      <c r="U1126" s="126"/>
      <c r="V1126" s="126"/>
      <c r="W1126" s="126"/>
    </row>
    <row r="1127" ht="12.75" customHeight="1">
      <c r="A1127" s="123"/>
      <c r="B1127" s="123"/>
      <c r="C1127" s="123"/>
      <c r="D1127" s="119"/>
      <c r="E1127" s="123"/>
      <c r="F1127" s="124"/>
      <c r="G1127" s="125"/>
      <c r="H1127" s="125"/>
      <c r="I1127" s="125"/>
      <c r="J1127" s="125"/>
      <c r="K1127" s="125"/>
      <c r="L1127" s="125"/>
      <c r="M1127" s="125"/>
      <c r="N1127" s="125"/>
      <c r="O1127" s="125"/>
      <c r="P1127" s="125"/>
      <c r="Q1127" s="125"/>
      <c r="R1127" s="125"/>
      <c r="S1127" s="125"/>
      <c r="T1127" s="125"/>
      <c r="U1127" s="126"/>
      <c r="V1127" s="126"/>
      <c r="W1127" s="126"/>
    </row>
    <row r="1128" ht="12.75" customHeight="1">
      <c r="A1128" s="123"/>
      <c r="B1128" s="123"/>
      <c r="C1128" s="123"/>
      <c r="D1128" s="119"/>
      <c r="E1128" s="123"/>
      <c r="F1128" s="124"/>
      <c r="G1128" s="125"/>
      <c r="H1128" s="125"/>
      <c r="I1128" s="125"/>
      <c r="J1128" s="125"/>
      <c r="K1128" s="125"/>
      <c r="L1128" s="125"/>
      <c r="M1128" s="125"/>
      <c r="N1128" s="125"/>
      <c r="O1128" s="125"/>
      <c r="P1128" s="125"/>
      <c r="Q1128" s="125"/>
      <c r="R1128" s="125"/>
      <c r="S1128" s="125"/>
      <c r="T1128" s="125"/>
      <c r="U1128" s="126"/>
      <c r="V1128" s="126"/>
      <c r="W1128" s="126"/>
    </row>
    <row r="1129" ht="12.75" customHeight="1">
      <c r="A1129" s="123"/>
      <c r="B1129" s="123"/>
      <c r="C1129" s="123"/>
      <c r="D1129" s="119"/>
      <c r="E1129" s="123"/>
      <c r="F1129" s="124"/>
      <c r="G1129" s="125"/>
      <c r="H1129" s="125"/>
      <c r="I1129" s="125"/>
      <c r="J1129" s="125"/>
      <c r="K1129" s="125"/>
      <c r="L1129" s="125"/>
      <c r="M1129" s="125"/>
      <c r="N1129" s="125"/>
      <c r="O1129" s="125"/>
      <c r="P1129" s="125"/>
      <c r="Q1129" s="125"/>
      <c r="R1129" s="125"/>
      <c r="S1129" s="125"/>
      <c r="T1129" s="125"/>
      <c r="U1129" s="126"/>
      <c r="V1129" s="126"/>
      <c r="W1129" s="126"/>
    </row>
    <row r="1130" ht="12.75" customHeight="1">
      <c r="A1130" s="123"/>
      <c r="B1130" s="123"/>
      <c r="C1130" s="123"/>
      <c r="D1130" s="119"/>
      <c r="E1130" s="123"/>
      <c r="F1130" s="124"/>
      <c r="G1130" s="125"/>
      <c r="H1130" s="125"/>
      <c r="I1130" s="125"/>
      <c r="J1130" s="125"/>
      <c r="K1130" s="125"/>
      <c r="L1130" s="125"/>
      <c r="M1130" s="125"/>
      <c r="N1130" s="125"/>
      <c r="O1130" s="125"/>
      <c r="P1130" s="125"/>
      <c r="Q1130" s="125"/>
      <c r="R1130" s="125"/>
      <c r="S1130" s="125"/>
      <c r="T1130" s="125"/>
      <c r="U1130" s="126"/>
      <c r="V1130" s="126"/>
      <c r="W1130" s="126"/>
    </row>
    <row r="1131" ht="12.75" customHeight="1">
      <c r="A1131" s="123"/>
      <c r="B1131" s="123"/>
      <c r="C1131" s="123"/>
      <c r="D1131" s="119"/>
      <c r="E1131" s="123"/>
      <c r="F1131" s="124"/>
      <c r="G1131" s="125"/>
      <c r="H1131" s="125"/>
      <c r="I1131" s="125"/>
      <c r="J1131" s="125"/>
      <c r="K1131" s="125"/>
      <c r="L1131" s="125"/>
      <c r="M1131" s="125"/>
      <c r="N1131" s="125"/>
      <c r="O1131" s="125"/>
      <c r="P1131" s="125"/>
      <c r="Q1131" s="125"/>
      <c r="R1131" s="125"/>
      <c r="S1131" s="125"/>
      <c r="T1131" s="125"/>
      <c r="U1131" s="126"/>
      <c r="V1131" s="126"/>
      <c r="W1131" s="126"/>
    </row>
    <row r="1132" ht="12.75" customHeight="1">
      <c r="A1132" s="123"/>
      <c r="B1132" s="123"/>
      <c r="C1132" s="123"/>
      <c r="D1132" s="119"/>
      <c r="E1132" s="123"/>
      <c r="F1132" s="124"/>
      <c r="G1132" s="125"/>
      <c r="H1132" s="125"/>
      <c r="I1132" s="125"/>
      <c r="J1132" s="125"/>
      <c r="K1132" s="125"/>
      <c r="L1132" s="125"/>
      <c r="M1132" s="125"/>
      <c r="N1132" s="125"/>
      <c r="O1132" s="125"/>
      <c r="P1132" s="125"/>
      <c r="Q1132" s="125"/>
      <c r="R1132" s="125"/>
      <c r="S1132" s="125"/>
      <c r="T1132" s="125"/>
      <c r="U1132" s="126"/>
      <c r="V1132" s="126"/>
      <c r="W1132" s="126"/>
    </row>
    <row r="1133" ht="12.75" customHeight="1">
      <c r="A1133" s="123"/>
      <c r="B1133" s="123"/>
      <c r="C1133" s="123"/>
      <c r="D1133" s="119"/>
      <c r="E1133" s="123"/>
      <c r="F1133" s="124"/>
      <c r="G1133" s="125"/>
      <c r="H1133" s="125"/>
      <c r="I1133" s="125"/>
      <c r="J1133" s="125"/>
      <c r="K1133" s="125"/>
      <c r="L1133" s="125"/>
      <c r="M1133" s="125"/>
      <c r="N1133" s="125"/>
      <c r="O1133" s="125"/>
      <c r="P1133" s="125"/>
      <c r="Q1133" s="125"/>
      <c r="R1133" s="125"/>
      <c r="S1133" s="125"/>
      <c r="T1133" s="125"/>
      <c r="U1133" s="126"/>
      <c r="V1133" s="126"/>
      <c r="W1133" s="126"/>
    </row>
    <row r="1134" ht="12.75" customHeight="1">
      <c r="A1134" s="123"/>
      <c r="B1134" s="123"/>
      <c r="C1134" s="123"/>
      <c r="D1134" s="119"/>
      <c r="E1134" s="123"/>
      <c r="F1134" s="124"/>
      <c r="G1134" s="125"/>
      <c r="H1134" s="125"/>
      <c r="I1134" s="125"/>
      <c r="J1134" s="125"/>
      <c r="K1134" s="125"/>
      <c r="L1134" s="125"/>
      <c r="M1134" s="125"/>
      <c r="N1134" s="125"/>
      <c r="O1134" s="125"/>
      <c r="P1134" s="125"/>
      <c r="Q1134" s="125"/>
      <c r="R1134" s="125"/>
      <c r="S1134" s="125"/>
      <c r="T1134" s="125"/>
      <c r="U1134" s="126"/>
      <c r="V1134" s="126"/>
      <c r="W1134" s="126"/>
    </row>
    <row r="1135" ht="12.75" customHeight="1">
      <c r="A1135" s="123"/>
      <c r="B1135" s="123"/>
      <c r="C1135" s="123"/>
      <c r="D1135" s="119"/>
      <c r="E1135" s="123"/>
      <c r="F1135" s="124"/>
      <c r="G1135" s="125"/>
      <c r="H1135" s="125"/>
      <c r="I1135" s="125"/>
      <c r="J1135" s="125"/>
      <c r="K1135" s="125"/>
      <c r="L1135" s="125"/>
      <c r="M1135" s="125"/>
      <c r="N1135" s="125"/>
      <c r="O1135" s="125"/>
      <c r="P1135" s="125"/>
      <c r="Q1135" s="125"/>
      <c r="R1135" s="125"/>
      <c r="S1135" s="125"/>
      <c r="T1135" s="125"/>
      <c r="U1135" s="126"/>
      <c r="V1135" s="126"/>
      <c r="W1135" s="126"/>
    </row>
    <row r="1136" ht="12.75" customHeight="1">
      <c r="A1136" s="123"/>
      <c r="B1136" s="123"/>
      <c r="C1136" s="123"/>
      <c r="D1136" s="119"/>
      <c r="E1136" s="123"/>
      <c r="F1136" s="124"/>
      <c r="G1136" s="125"/>
      <c r="H1136" s="125"/>
      <c r="I1136" s="125"/>
      <c r="J1136" s="125"/>
      <c r="K1136" s="125"/>
      <c r="L1136" s="125"/>
      <c r="M1136" s="125"/>
      <c r="N1136" s="125"/>
      <c r="O1136" s="125"/>
      <c r="P1136" s="125"/>
      <c r="Q1136" s="125"/>
      <c r="R1136" s="125"/>
      <c r="S1136" s="125"/>
      <c r="T1136" s="125"/>
      <c r="U1136" s="126"/>
      <c r="V1136" s="126"/>
      <c r="W1136" s="126"/>
    </row>
    <row r="1137" ht="12.75" customHeight="1">
      <c r="A1137" s="123"/>
      <c r="B1137" s="123"/>
      <c r="C1137" s="123"/>
      <c r="D1137" s="119"/>
      <c r="E1137" s="123"/>
      <c r="F1137" s="124"/>
      <c r="G1137" s="125"/>
      <c r="H1137" s="125"/>
      <c r="I1137" s="125"/>
      <c r="J1137" s="125"/>
      <c r="K1137" s="125"/>
      <c r="L1137" s="125"/>
      <c r="M1137" s="125"/>
      <c r="N1137" s="125"/>
      <c r="O1137" s="125"/>
      <c r="P1137" s="125"/>
      <c r="Q1137" s="125"/>
      <c r="R1137" s="125"/>
      <c r="S1137" s="125"/>
      <c r="T1137" s="125"/>
      <c r="U1137" s="126"/>
      <c r="V1137" s="126"/>
      <c r="W1137" s="126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31" t="s">
        <v>90</v>
      </c>
      <c r="B1" s="131" t="s">
        <v>91</v>
      </c>
      <c r="C1" s="131" t="s">
        <v>33</v>
      </c>
      <c r="D1" s="131" t="s">
        <v>92</v>
      </c>
      <c r="E1" s="131" t="s">
        <v>0</v>
      </c>
      <c r="F1" s="131" t="s">
        <v>93</v>
      </c>
      <c r="G1" s="131" t="s">
        <v>94</v>
      </c>
      <c r="H1" s="131" t="s">
        <v>95</v>
      </c>
      <c r="I1" s="131" t="s">
        <v>96</v>
      </c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>
      <c r="A2" s="133" t="s">
        <v>97</v>
      </c>
      <c r="B2" s="133" t="s">
        <v>98</v>
      </c>
      <c r="C2" s="133" t="s">
        <v>99</v>
      </c>
      <c r="D2" s="134">
        <v>46072.0</v>
      </c>
      <c r="E2" s="133">
        <v>1496.04</v>
      </c>
      <c r="F2" s="133" t="s">
        <v>100</v>
      </c>
      <c r="G2" s="133" t="s">
        <v>101</v>
      </c>
      <c r="H2" s="133" t="s">
        <v>102</v>
      </c>
      <c r="I2" s="133" t="s">
        <v>103</v>
      </c>
    </row>
    <row r="3">
      <c r="A3" s="133" t="s">
        <v>104</v>
      </c>
      <c r="B3" s="133" t="s">
        <v>98</v>
      </c>
      <c r="C3" s="133" t="s">
        <v>99</v>
      </c>
      <c r="D3" s="134">
        <v>46076.0</v>
      </c>
      <c r="E3" s="133">
        <v>701.4</v>
      </c>
      <c r="F3" s="133" t="s">
        <v>100</v>
      </c>
      <c r="G3" s="133" t="s">
        <v>105</v>
      </c>
      <c r="H3" s="133" t="s">
        <v>106</v>
      </c>
      <c r="I3" s="133" t="s">
        <v>103</v>
      </c>
    </row>
    <row r="4">
      <c r="A4" s="133" t="s">
        <v>107</v>
      </c>
      <c r="B4" s="133" t="s">
        <v>108</v>
      </c>
      <c r="C4" s="133" t="s">
        <v>109</v>
      </c>
      <c r="D4" s="134">
        <v>46074.0</v>
      </c>
      <c r="E4" s="133">
        <v>941.16</v>
      </c>
      <c r="F4" s="133" t="s">
        <v>100</v>
      </c>
      <c r="G4" s="133" t="s">
        <v>101</v>
      </c>
      <c r="H4" s="133" t="s">
        <v>110</v>
      </c>
      <c r="I4" s="133" t="s">
        <v>103</v>
      </c>
    </row>
  </sheetData>
  <drawing r:id="rId1"/>
</worksheet>
</file>