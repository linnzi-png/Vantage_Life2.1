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<sst xmlns="http://schemas.openxmlformats.org/spreadsheetml/2006/main" count="3377" uniqueCount="105">
  <si>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</si>
  <si>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</si>
  <si>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</si>
  <si>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</si>
  <si>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</si>
  <si>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</si>
  <si>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</si>
  <si>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</si>
  <si>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</si>
  <si>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</si>
  <si>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</si>
  <si>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</si>
  <si>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</si>
  <si>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</si>
  <si>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</si>
  <si>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</si>
  <si>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</si>
  <si>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</si>
  <si>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</si>
  <si>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</si>
  <si>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</si>
  <si>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</si>
  <si>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</si>
  <si>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</si>
  <si>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</si>
  <si>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</si>
  <si>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</si>
  <si>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</si>
  <si>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</si>
  <si>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</si>
  <si>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</si>
  <si>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</si>
  <si>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</si>
  <si>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</si>
  <si>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</si>
  <si>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</si>
  <si>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</si>
  <si>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</si>
  <si>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</si>
  <si>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</si>
  <si>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</si>
  <si>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</si>
  <si>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</si>
  <si>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</si>
  <si>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</si>
  <si>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</si>
  <si>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</si>
  <si>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</si>
  <si>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</si>
  <si>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</si>
  <si>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</si>
  <si>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Andrea Mulder</t>
  </si>
  <si>
    <t>Bridgett McDaniels Russell</t>
  </si>
  <si>
    <t>Jasmine Marquez</t>
  </si>
  <si>
    <t>Ashley Varner-Warren</t>
  </si>
  <si>
    <t>Kristen Walton</t>
  </si>
  <si>
    <t>Sara Subo</t>
  </si>
  <si>
    <t>Thomas Kirk</t>
  </si>
  <si>
    <t>Isabela Maneiro</t>
  </si>
  <si>
    <t>Mariah Talicuran</t>
  </si>
  <si>
    <t>Ryan Cummings</t>
  </si>
  <si>
    <t>Charlie Hudson</t>
  </si>
  <si>
    <t>Jaxon Holt</t>
  </si>
  <si>
    <t>Andrew Child</t>
  </si>
  <si>
    <t>Janice Elgedawy</t>
  </si>
  <si>
    <t>Garland Simrel</t>
  </si>
  <si>
    <t xml:space="preserve">Sherita Thompson </t>
  </si>
  <si>
    <t xml:space="preserve">Kay Finch </t>
  </si>
  <si>
    <t>Courtney Morse</t>
  </si>
  <si>
    <t>Shayla Williamson</t>
  </si>
  <si>
    <t>Jared Kelly</t>
  </si>
  <si>
    <t>Martin Austin</t>
  </si>
  <si>
    <t>Harley Negrete</t>
  </si>
  <si>
    <t>Mariah Ruff</t>
  </si>
  <si>
    <t>Dontae Reeves</t>
  </si>
  <si>
    <t>Lisa Berry</t>
  </si>
  <si>
    <t>Abdur-Rahmaan Yaseen</t>
  </si>
  <si>
    <t>Anthony Golino</t>
  </si>
  <si>
    <t>Cameron Platt</t>
  </si>
  <si>
    <t>Taylor Waldrip</t>
  </si>
  <si>
    <t>Jeton Ajvazi</t>
  </si>
  <si>
    <t>Jillian Graham</t>
  </si>
  <si>
    <t>Bryson Brewer</t>
  </si>
  <si>
    <t>Maria Farley</t>
  </si>
  <si>
    <t>Deanna Delgado</t>
  </si>
  <si>
    <t>Anya White</t>
  </si>
  <si>
    <t>Olivia Ruble</t>
  </si>
  <si>
    <t>Jaedeen Perez</t>
  </si>
  <si>
    <t>Kelsey Folcarelli</t>
  </si>
  <si>
    <t>Deandre Barber</t>
  </si>
  <si>
    <t>642.84 + 338.56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</si>
  <si>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</si>
  <si>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</si>
  <si>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</si>
  <si>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</si>
  <si>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</si>
  <si>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</si>
  <si>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</si>
  <si>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 xml:space="preserve">CALVIN BARNES </t>
  </si>
  <si>
    <t>TORIAN FIELDS</t>
  </si>
  <si>
    <t>RUST</t>
  </si>
  <si>
    <t>N/A</t>
  </si>
  <si>
    <t>NO</t>
  </si>
  <si>
    <t>CANCEL PER AGENT REQ.</t>
  </si>
  <si>
    <t>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</si>
</sst>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6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sz val="1.0"/>
      <color theme="1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5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7" fillId="0" fontId="9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0" fontId="9" numFmtId="0" xfId="0" applyAlignment="1" applyBorder="1" applyFont="1">
      <alignment shrinkToFit="0" vertical="bottom" wrapText="1"/>
    </xf>
    <xf borderId="15" fillId="0" fontId="10" numFmtId="0" xfId="0" applyAlignment="1" applyBorder="1" applyFont="1">
      <alignment vertical="bottom"/>
    </xf>
    <xf borderId="15" fillId="0" fontId="11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5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vertical="center"/>
    </xf>
    <xf borderId="15" fillId="3" fontId="7" numFmtId="0" xfId="0" applyAlignment="1" applyBorder="1" applyFont="1">
      <alignment vertical="center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4" fontId="5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shrinkToFit="0" vertical="center" wrapText="1"/>
    </xf>
    <xf borderId="15" fillId="4" fontId="1" numFmtId="0" xfId="0" applyAlignment="1" applyBorder="1" applyFont="1">
      <alignment vertical="center"/>
    </xf>
    <xf borderId="15" fillId="4" fontId="6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vertical="center"/>
    </xf>
    <xf borderId="15" fillId="4" fontId="5" numFmtId="0" xfId="0" applyAlignment="1" applyBorder="1" applyFont="1">
      <alignment readingOrder="0" shrinkToFit="0" vertical="center" wrapText="1"/>
    </xf>
    <xf borderId="15" fillId="4" fontId="12" numFmtId="0" xfId="0" applyAlignment="1" applyBorder="1" applyFont="1">
      <alignment readingOrder="0" vertical="center"/>
    </xf>
    <xf borderId="15" fillId="4" fontId="12" numFmtId="0" xfId="0" applyAlignment="1" applyBorder="1" applyFont="1">
      <alignment vertical="bottom"/>
    </xf>
    <xf borderId="15" fillId="4" fontId="1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15" fillId="6" fontId="3" numFmtId="9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0" fillId="0" fontId="13" numFmtId="0" xfId="0" applyAlignment="1" applyFont="1">
      <alignment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readingOrder="0" vertical="center"/>
    </xf>
    <xf borderId="0" fillId="0" fontId="15" numFmtId="165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6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  <tableStyle count="2" pivot="0" name="Tues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76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76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6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6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4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6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ables/table36.xml><?xml version="1.0" encoding="utf-8"?>
<table xmlns="http://schemas.openxmlformats.org/spreadsheetml/2006/main" headerRowCount="0" ref="G50:T50" displayName="Table_36" name="Table_36" id="3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 t="str">
        <f>SUM(C5,C14,C17)</f>
        <v>#VALUE!</v>
      </c>
      <c r="D2" s="10"/>
      <c r="E2" s="9">
        <f t="shared" ref="E2:R2" si="1">SUM(E5,E14,E17)</f>
        <v>14542</v>
      </c>
      <c r="F2" s="9">
        <f t="shared" si="1"/>
        <v>110</v>
      </c>
      <c r="G2" s="9">
        <f t="shared" si="1"/>
        <v>41</v>
      </c>
      <c r="H2" s="9">
        <f t="shared" si="1"/>
        <v>17</v>
      </c>
      <c r="I2" s="9">
        <f t="shared" si="1"/>
        <v>0</v>
      </c>
      <c r="J2" s="9">
        <f t="shared" si="1"/>
        <v>0</v>
      </c>
      <c r="K2" s="9">
        <f t="shared" si="1"/>
        <v>15</v>
      </c>
      <c r="L2" s="9">
        <f t="shared" si="1"/>
        <v>7</v>
      </c>
      <c r="M2" s="9">
        <f t="shared" si="1"/>
        <v>83</v>
      </c>
      <c r="N2" s="9">
        <f t="shared" si="1"/>
        <v>22</v>
      </c>
      <c r="O2" s="9">
        <f t="shared" si="1"/>
        <v>5</v>
      </c>
      <c r="P2" s="9">
        <f t="shared" si="1"/>
        <v>15</v>
      </c>
      <c r="Q2" s="9">
        <f t="shared" si="1"/>
        <v>6</v>
      </c>
      <c r="R2" s="9">
        <f t="shared" si="1"/>
        <v>11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0</v>
      </c>
      <c r="F4" s="23">
        <f>IFERROR((G2+R2)/F2,0)</f>
        <v>0.4727272727</v>
      </c>
      <c r="G4" s="23">
        <f>IFERROR(H2/G2,0)</f>
        <v>0.4146341463</v>
      </c>
      <c r="H4" s="22" t="str">
        <f>(C2/C4)</f>
        <v>#VALUE!</v>
      </c>
      <c r="I4" s="24"/>
      <c r="J4" s="23">
        <f>IFERROR(J2/I2,0)</f>
        <v>0</v>
      </c>
      <c r="K4" s="24"/>
      <c r="L4" s="23">
        <f>IFERROR(L2/K2,0)</f>
        <v>0.4666666667</v>
      </c>
      <c r="M4" s="25">
        <f>IFERROR(M2/G2,0)</f>
        <v>2.024390244</v>
      </c>
      <c r="N4" s="24"/>
      <c r="O4" s="23">
        <f>IFERROR(O2/N2,0)</f>
        <v>0.2272727273</v>
      </c>
      <c r="P4" s="26"/>
      <c r="Q4" s="23">
        <f>IFERROR(Q2/P2,0)</f>
        <v>0.4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 t="str">
        <f>SUMIF(A:A,B5,T:T)</f>
        <v>#VALUE!</v>
      </c>
      <c r="D5" s="31"/>
      <c r="E5" s="32">
        <f>SUMIFS(T:T,A:A,B5,D:D,"Y")</f>
        <v>2761</v>
      </c>
      <c r="F5" s="33">
        <f>SUMIF(A:A,B5,G:G)</f>
        <v>59</v>
      </c>
      <c r="G5" s="33">
        <f>SUMIF(A:A,B5,H:H)</f>
        <v>27</v>
      </c>
      <c r="H5" s="33">
        <f>SUMIF(A:A,B5,I:I)</f>
        <v>9</v>
      </c>
      <c r="I5" s="33">
        <f>SUMIF(A:A,B5,P:P)</f>
        <v>0</v>
      </c>
      <c r="J5" s="33">
        <f>SUMIF(A:A,B5,Q:Q)</f>
        <v>0</v>
      </c>
      <c r="K5" s="33">
        <f>SUMIF(A:A,B5,R:R)</f>
        <v>6</v>
      </c>
      <c r="L5" s="33">
        <f>SUMIF(A:A,B5,S:S)</f>
        <v>2</v>
      </c>
      <c r="M5" s="33">
        <f>SUMIF(A:A,B5,M:M)</f>
        <v>64</v>
      </c>
      <c r="N5" s="33">
        <f>SUMIF(A:A,B5,N:N)</f>
        <v>18</v>
      </c>
      <c r="O5" s="33">
        <f>SUMIF(A:A,B5,O:O)</f>
        <v>4</v>
      </c>
      <c r="P5" s="33">
        <f>SUMIF(A:A,B5,J:J)</f>
        <v>7</v>
      </c>
      <c r="Q5" s="33">
        <f>SUMIF(A:A,B5,K:K)</f>
        <v>3</v>
      </c>
      <c r="R5" s="34">
        <f>SUMIF(A:A,B5,L:L)</f>
        <v>8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0.593220339</v>
      </c>
      <c r="G7" s="41">
        <f>IFERROR(H5/G5,0)</f>
        <v>0.3333333333</v>
      </c>
      <c r="H7" s="40" t="str">
        <f>(C5/C7)</f>
        <v>#VALUE!</v>
      </c>
      <c r="I7" s="42"/>
      <c r="J7" s="41">
        <f>IFERROR(J5/I5,0)</f>
        <v>0</v>
      </c>
      <c r="K7" s="42"/>
      <c r="L7" s="41">
        <f>IFERROR(L5/K5,0)</f>
        <v>0.3333333333</v>
      </c>
      <c r="M7" s="43">
        <f>IFERROR(M5/SUM(R5+G5,0),"")</f>
        <v>1.828571429</v>
      </c>
      <c r="N7" s="42"/>
      <c r="O7" s="41">
        <f>IFERROR(O5/N5,0)</f>
        <v>0.2222222222</v>
      </c>
      <c r="P7" s="43"/>
      <c r="Q7" s="41">
        <f>IFERROR(Q5/P5,0)</f>
        <v>0.4285714286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SUMIF(B40:B1068,B8,G40:G1068)</f>
        <v>0</v>
      </c>
      <c r="G8" s="46">
        <f>SUMIF(B40:B1068,B8,H40:H1068)</f>
        <v>0</v>
      </c>
      <c r="H8" s="46">
        <f>SUMIF(B40:B1068,B8,I40:I1068)</f>
        <v>0</v>
      </c>
      <c r="I8" s="46">
        <f>SUMIF(B40:B1068,B8,P40:P1068)</f>
        <v>0</v>
      </c>
      <c r="J8" s="46">
        <f>SUMIF(B40:B1068,B8,Q40:Q1068)</f>
        <v>0</v>
      </c>
      <c r="K8" s="46">
        <f>SUMIF(B40:B1068,B8,R40:R1068)</f>
        <v>0</v>
      </c>
      <c r="L8" s="46">
        <f>SUMIF(B40:B1068,B8,S40:S1068)</f>
        <v>0</v>
      </c>
      <c r="M8" s="46">
        <f>SUMIF(B40:B1068,B8,M40:M1068)</f>
        <v>0</v>
      </c>
      <c r="N8" s="46">
        <f>SUMIF(B40:B1068,B8,N40:N1068)</f>
        <v>0</v>
      </c>
      <c r="O8" s="46">
        <f>SUMIF(B40:B1068,B8,O40:O1068)</f>
        <v>0</v>
      </c>
      <c r="P8" s="46">
        <f>SUMIF(B40:B1068,B8,J40:J1068)</f>
        <v>0</v>
      </c>
      <c r="Q8" s="46">
        <f>SUMIF(B40:B1068,B8,K40:K1068)</f>
        <v>0</v>
      </c>
      <c r="R8" s="50">
        <f>SUMIF(B40:B1068,B8,L40:L1068)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COUNTIFS(B28:B1068,B8)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9136</v>
      </c>
      <c r="D11" s="47"/>
      <c r="E11" s="48">
        <f>SUMIFS(T:T,B:B,B11,D:D,"Y")</f>
        <v>2761</v>
      </c>
      <c r="F11" s="49">
        <f t="shared" ref="F11:R11" si="2">SUMIF(B28:B1068,B11,G28:G1068)</f>
        <v>46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2</v>
      </c>
      <c r="O11" s="49">
        <f t="shared" si="2"/>
        <v>0</v>
      </c>
      <c r="P11" s="49">
        <f t="shared" si="2"/>
        <v>0</v>
      </c>
      <c r="Q11" s="49">
        <f t="shared" si="2"/>
        <v>1</v>
      </c>
      <c r="R11" s="49">
        <f t="shared" si="2"/>
        <v>2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COUNTIFS(B27:B1068,B11)</f>
        <v>13</v>
      </c>
      <c r="D13" s="52"/>
      <c r="E13" s="22">
        <f>IFERROR(C11/H11,0)</f>
        <v>0</v>
      </c>
      <c r="F13" s="23">
        <f>IFERROR((G11+R11)/F11,0)</f>
        <v>0.04347826087</v>
      </c>
      <c r="G13" s="23">
        <f>IFERROR(H11/G11,0)</f>
        <v>0</v>
      </c>
      <c r="H13" s="22">
        <f>(C11/C13)</f>
        <v>702.7692308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0.5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2027</v>
      </c>
      <c r="D14" s="31"/>
      <c r="E14" s="53">
        <f>SUMIFS(T:T,A:A,B14,D:D,"Y")</f>
        <v>2027</v>
      </c>
      <c r="F14" s="9">
        <f>SUMIF(A:A,B14,G:G)</f>
        <v>11</v>
      </c>
      <c r="G14" s="33">
        <f>SUMIF(A:A,B14,H:H)</f>
        <v>4</v>
      </c>
      <c r="H14" s="33">
        <f>SUMIF(A:A,B14,I:I)</f>
        <v>2</v>
      </c>
      <c r="I14" s="33">
        <f>SUMIF(A:A,B14,P:P)</f>
        <v>0</v>
      </c>
      <c r="J14" s="33">
        <f>SUMIF(A:A,B14,Q:Q)</f>
        <v>0</v>
      </c>
      <c r="K14" s="33">
        <f>SUMIF(A:A,B14,R:R)</f>
        <v>2</v>
      </c>
      <c r="L14" s="33">
        <f>SUMIF(A:A,B14,S:S)</f>
        <v>1</v>
      </c>
      <c r="M14" s="33">
        <f>SUMIF(A:A,B14,M:M)</f>
        <v>2</v>
      </c>
      <c r="N14" s="33">
        <f>SUMIF(A:A,B14,N:N)</f>
        <v>2</v>
      </c>
      <c r="O14" s="33">
        <f>SUMIF(A:A,B14,O:O)</f>
        <v>1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1013.5</v>
      </c>
      <c r="F16" s="23">
        <f>IFERROR((G14+R14)/F14,0)</f>
        <v>0.3636363636</v>
      </c>
      <c r="G16" s="23">
        <f>IFERROR(H14/G14,0)</f>
        <v>0.5</v>
      </c>
      <c r="H16" s="22">
        <f>(C14/C16)</f>
        <v>506.75</v>
      </c>
      <c r="I16" s="24"/>
      <c r="J16" s="23">
        <f>IFERROR(J14/I14,0)</f>
        <v>0</v>
      </c>
      <c r="K16" s="24"/>
      <c r="L16" s="23">
        <f>IFERROR(L14/K14,0)</f>
        <v>0.5</v>
      </c>
      <c r="M16" s="26">
        <f>IFERROR(M14/SUM(R14+G14,0),"")</f>
        <v>0.5</v>
      </c>
      <c r="N16" s="24"/>
      <c r="O16" s="23">
        <f>IFERROR(O14/N14,0)</f>
        <v>0.5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9754</v>
      </c>
      <c r="D17" s="31"/>
      <c r="E17" s="53">
        <f>SUMIFS(T:T,A:A,B17,D:D,"Y")</f>
        <v>9754</v>
      </c>
      <c r="F17" s="9">
        <f>SUMIF(A:A,B17,G:G)</f>
        <v>40</v>
      </c>
      <c r="G17" s="33">
        <f>SUMIF(A:A,B17,H:H)</f>
        <v>10</v>
      </c>
      <c r="H17" s="33">
        <f>SUMIF(A:A,B17,I:I)</f>
        <v>6</v>
      </c>
      <c r="I17" s="33">
        <f>SUMIF(A:A,B17,P:P)</f>
        <v>0</v>
      </c>
      <c r="J17" s="33">
        <f>SUMIF(A:A,B17,Q:Q)</f>
        <v>0</v>
      </c>
      <c r="K17" s="33">
        <f>SUMIF(A:A,B17,R:R)</f>
        <v>7</v>
      </c>
      <c r="L17" s="33">
        <f>SUMIF(A:A,B17,S:S)</f>
        <v>4</v>
      </c>
      <c r="M17" s="33">
        <f>SUMIF(A:A,B17,M:M)</f>
        <v>17</v>
      </c>
      <c r="N17" s="33">
        <f>SUMIF(A:A,B17,N:N)</f>
        <v>2</v>
      </c>
      <c r="O17" s="33">
        <f>SUMIF(A:A,B17,O:O)</f>
        <v>0</v>
      </c>
      <c r="P17" s="33">
        <f>SUMIF(A:A,B17,J:J)</f>
        <v>8</v>
      </c>
      <c r="Q17" s="33">
        <f>SUMIF(A:A,B17,K:K)</f>
        <v>3</v>
      </c>
      <c r="R17" s="34">
        <f>SUMIF(A:A,B17,L:L)</f>
        <v>3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1625.666667</v>
      </c>
      <c r="F19" s="41">
        <f>IFERROR((G17+R17)/F17,0)</f>
        <v>0.325</v>
      </c>
      <c r="G19" s="41">
        <f>IFERROR(H17/G17,0)</f>
        <v>0.6</v>
      </c>
      <c r="H19" s="40">
        <f>(C17/C19)</f>
        <v>443.3636364</v>
      </c>
      <c r="I19" s="42"/>
      <c r="J19" s="41">
        <f>IFERROR(J17/I17,0)</f>
        <v>0</v>
      </c>
      <c r="K19" s="42"/>
      <c r="L19" s="41">
        <f>IFERROR(L17/K17,0)</f>
        <v>0.5714285714</v>
      </c>
      <c r="M19" s="54">
        <f>IFERROR(M17/SUM(G17+R17,0),"")</f>
        <v>1.307692308</v>
      </c>
      <c r="N19" s="42"/>
      <c r="O19" s="41">
        <f>IFERROR(O17/N17,0)</f>
        <v>0</v>
      </c>
      <c r="P19" s="43"/>
      <c r="Q19" s="41">
        <f>IFERROR(Q17/P17,0)</f>
        <v>0.375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9754</v>
      </c>
      <c r="D20" s="55"/>
      <c r="E20" s="48">
        <f>SUMIFS(T:T,B:B,B20,D:D,"Y")</f>
        <v>9754</v>
      </c>
      <c r="F20" s="49">
        <f>SUMIF(B49:B1068,B20,G49:G1068)</f>
        <v>31</v>
      </c>
      <c r="G20" s="46">
        <f>SUMIF(B49:B1068,B20,H49:H1068)</f>
        <v>10</v>
      </c>
      <c r="H20" s="46">
        <f>SUMIF(B49:B1068,B20,I49:I1068)</f>
        <v>6</v>
      </c>
      <c r="I20" s="46">
        <f>SUMIF(B49:B1068,B20,P49:P1068)</f>
        <v>0</v>
      </c>
      <c r="J20" s="46">
        <f>SUMIF(B49:B1068,B20,Q49:Q1068)</f>
        <v>0</v>
      </c>
      <c r="K20" s="46">
        <f>SUMIF(B49:B1068,B20,R49:R1068)</f>
        <v>7</v>
      </c>
      <c r="L20" s="46">
        <f>SUMIF(B49:B1068,B20,S49:S1068)</f>
        <v>4</v>
      </c>
      <c r="M20" s="46">
        <f>SUMIF(B49:B1068,B20,M49:M1068)</f>
        <v>17</v>
      </c>
      <c r="N20" s="46">
        <f>SUMIF(B49:B1068,B20,N49:N1068)</f>
        <v>2</v>
      </c>
      <c r="O20" s="46">
        <f>SUMIF(B49:B1068,B20,O49:O1068)</f>
        <v>0</v>
      </c>
      <c r="P20" s="46">
        <f>SUMIF(B49:B1068,B20,J49:J1068)</f>
        <v>8</v>
      </c>
      <c r="Q20" s="46">
        <f>SUMIF(B49:B1068,B20,K49:K1068)</f>
        <v>3</v>
      </c>
      <c r="R20" s="50">
        <f>SUMIF(B49:B1068,B20,L49:L1068)</f>
        <v>3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COUNTIFS(B28:B1068,B20)</f>
        <v>14</v>
      </c>
      <c r="D22" s="39"/>
      <c r="E22" s="40">
        <f>IFERROR(C20/H20,0)</f>
        <v>1625.666667</v>
      </c>
      <c r="F22" s="41">
        <f>IFERROR((G20+R20)/F20,0)</f>
        <v>0.4193548387</v>
      </c>
      <c r="G22" s="41">
        <f>IFERROR(H20/G20,0)</f>
        <v>0.6</v>
      </c>
      <c r="H22" s="40">
        <f>(C20/C22)</f>
        <v>696.7142857</v>
      </c>
      <c r="I22" s="42"/>
      <c r="J22" s="41">
        <f>IFERROR(J20/I20,0)</f>
        <v>0</v>
      </c>
      <c r="K22" s="42"/>
      <c r="L22" s="41">
        <f>IFERROR(L20/K20,0)</f>
        <v>0.5714285714</v>
      </c>
      <c r="M22" s="43">
        <f>IFERROR(M20/SUM(G20+R20,0),"")</f>
        <v>1.307692308</v>
      </c>
      <c r="N22" s="42"/>
      <c r="O22" s="41">
        <f>IFERROR(O20/N20,0)</f>
        <v>0</v>
      </c>
      <c r="P22" s="43"/>
      <c r="Q22" s="41">
        <f>IFERROR(Q20/P20,0)</f>
        <v>0.375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SUMIF(B52:B1068,B23,G52:G1068)</f>
        <v>9</v>
      </c>
      <c r="G23" s="46">
        <f>SUMIF(B52:B1068,B23,H52:H1068)</f>
        <v>0</v>
      </c>
      <c r="H23" s="46">
        <f>SUMIF(B52:B1068,B23,I52:I1068)</f>
        <v>0</v>
      </c>
      <c r="I23" s="46">
        <f>SUMIF(B52:B1068,B23,P52:P1068)</f>
        <v>0</v>
      </c>
      <c r="J23" s="46">
        <f>SUMIF(B52:B1068,B23,Q52:Q1068)</f>
        <v>0</v>
      </c>
      <c r="K23" s="46">
        <f>SUMIF(B52:B1068,B23,R52:R1068)</f>
        <v>0</v>
      </c>
      <c r="L23" s="46">
        <f>SUMIF(B52:B1068,B23,S52:S1068)</f>
        <v>0</v>
      </c>
      <c r="M23" s="46">
        <f>SUMIF(B52:B1068,B23,M52:M1068)</f>
        <v>0</v>
      </c>
      <c r="N23" s="46">
        <f>SUMIF(B52:B1068,B23,N52:N1068)</f>
        <v>0</v>
      </c>
      <c r="O23" s="46">
        <f>SUMIF(B52:B1068,B23,O52:O1068)</f>
        <v>0</v>
      </c>
      <c r="P23" s="46">
        <f>SUMIF(B52:B1068,B23,J52:J1068)</f>
        <v>0</v>
      </c>
      <c r="Q23" s="46">
        <f>SUMIF(B52:B1068,B23,K52:K1068)</f>
        <v>0</v>
      </c>
      <c r="R23" s="50">
        <f>SUMIF(B52:B1068,B23,L52:L1068)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COUNTIFS(B33:B1068,B23)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>
        <f>('Thurs (2)'!G28+Thurs!G28+'Tues '!G28+Wed!G28+Fri!G28+'Mon '!G28+'Wed (2)'!G28+Sun!G28+Sat!G28)</f>
        <v>0</v>
      </c>
      <c r="H28" s="70">
        <f>('Thurs (2)'!H28+Thurs!H28+'Tues '!H28+Wed!H28+Fri!H28+'Mon '!H28+'Wed (2)'!H28+Sun!H28+Sat!H28)</f>
        <v>0</v>
      </c>
      <c r="I28" s="70">
        <f>('Thurs (2)'!I28+Thurs!I28+'Tues '!I28+Wed!I28+Fri!I28+'Mon '!I28+'Wed (2)'!I28+Sun!I28+Sat!I28)</f>
        <v>0</v>
      </c>
      <c r="J28" s="70">
        <f>('Thurs (2)'!J28+Thurs!J28+'Tues '!J28+Wed!J28+Fri!J28+'Mon '!J28+'Wed (2)'!J28+Sun!J28+Sat!J28)</f>
        <v>0</v>
      </c>
      <c r="K28" s="70">
        <f>('Thurs (2)'!K28+Thurs!K28+'Tues '!K28+Wed!K28+Fri!K28+'Mon '!K28+'Wed (2)'!K28+Sun!K28+Sat!K28)</f>
        <v>0</v>
      </c>
      <c r="L28" s="70">
        <f>('Thurs (2)'!L28+Thurs!L28+'Tues '!L28+Wed!L28+Fri!L28+'Mon '!L28+'Wed (2)'!L28+Sun!L28+Sat!L28)</f>
        <v>0</v>
      </c>
      <c r="M28" s="70">
        <f>('Thurs (2)'!M28+Thurs!M28+'Tues '!M28+Wed!M28+Fri!M28+'Mon '!M28+'Wed (2)'!M28+Sun!M28+Sat!M28)</f>
        <v>0</v>
      </c>
      <c r="N28" s="70">
        <f>('Thurs (2)'!N28+Thurs!N28+'Tues '!N28+Wed!N28+Fri!N28+'Mon '!N28+'Wed (2)'!N28+Sun!N28+Sat!N28)</f>
        <v>0</v>
      </c>
      <c r="O28" s="70">
        <f>('Thurs (2)'!O28+Thurs!O28+'Tues '!O28+Wed!O28+Fri!O28+'Mon '!O28+'Wed (2)'!O28+Sun!O28+Sat!O28)</f>
        <v>0</v>
      </c>
      <c r="P28" s="70">
        <f>('Thurs (2)'!P28+Thurs!P28+'Tues '!P28+Wed!P28+Fri!P28+'Mon '!P28+'Wed (2)'!P28+Sun!P28+Sat!P28)</f>
        <v>0</v>
      </c>
      <c r="Q28" s="70">
        <f>('Thurs (2)'!Q28+Thurs!Q28+'Tues '!Q28+Wed!Q28+Fri!Q28+'Mon '!Q28+'Wed (2)'!Q28+Sun!Q28+Sat!Q28)</f>
        <v>0</v>
      </c>
      <c r="R28" s="70">
        <f>('Thurs (2)'!R28+Thurs!R28+'Tues '!R28+Wed!R28+Fri!R28+'Mon '!R28+'Wed (2)'!R28+Sun!R28+Sat!R28)</f>
        <v>0</v>
      </c>
      <c r="S28" s="70">
        <f>('Thurs (2)'!S28+Thurs!S28+'Tues '!S28+Wed!S28+Fri!S28+'Mon '!S28+'Wed (2)'!S28+Sun!S28+Sat!S28)</f>
        <v>0</v>
      </c>
      <c r="T28" s="70">
        <f>('Thurs (2)'!T28+Thurs!T28+'Tues '!T28+Wed!T28+Fri!T28+'Mon '!T28+'Wed (2)'!T28+Sun!T28+Sat!T28)</f>
        <v>0</v>
      </c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>
        <f>('Thurs (2)'!G29+Thurs!G29+'Tues '!G29+Wed!G29+Fri!G29+'Mon '!G29+'Wed (2)'!G29+Sun!G29+Sat!G29)</f>
        <v>5</v>
      </c>
      <c r="H29" s="70">
        <f>('Thurs (2)'!H29+Thurs!H29+'Tues '!H29+Wed!H29+Fri!H29+'Mon '!H29+'Wed (2)'!H29+Sun!H29+Sat!H29)</f>
        <v>3</v>
      </c>
      <c r="I29" s="70">
        <f>('Thurs (2)'!I29+Thurs!I29+'Tues '!I29+Wed!I29+Fri!I29+'Mon '!I29+'Wed (2)'!I29+Sun!I29+Sat!I29)</f>
        <v>0</v>
      </c>
      <c r="J29" s="70">
        <f>('Thurs (2)'!J29+Thurs!J29+'Tues '!J29+Wed!J29+Fri!J29+'Mon '!J29+'Wed (2)'!J29+Sun!J29+Sat!J29)</f>
        <v>1</v>
      </c>
      <c r="K29" s="70">
        <f>('Thurs (2)'!K29+Thurs!K29+'Tues '!K29+Wed!K29+Fri!K29+'Mon '!K29+'Wed (2)'!K29+Sun!K29+Sat!K29)</f>
        <v>0</v>
      </c>
      <c r="L29" s="70">
        <f>('Thurs (2)'!L29+Thurs!L29+'Tues '!L29+Wed!L29+Fri!L29+'Mon '!L29+'Wed (2)'!L29+Sun!L29+Sat!L29)</f>
        <v>2</v>
      </c>
      <c r="M29" s="70">
        <f>('Thurs (2)'!M29+Thurs!M29+'Tues '!M29+Wed!M29+Fri!M29+'Mon '!M29+'Wed (2)'!M29+Sun!M29+Sat!M29)</f>
        <v>0</v>
      </c>
      <c r="N29" s="70">
        <f>('Thurs (2)'!N29+Thurs!N29+'Tues '!N29+Wed!N29+Fri!N29+'Mon '!N29+'Wed (2)'!N29+Sun!N29+Sat!N29)</f>
        <v>1</v>
      </c>
      <c r="O29" s="70">
        <f>('Thurs (2)'!O29+Thurs!O29+'Tues '!O29+Wed!O29+Fri!O29+'Mon '!O29+'Wed (2)'!O29+Sun!O29+Sat!O29)</f>
        <v>0</v>
      </c>
      <c r="P29" s="70">
        <f>('Thurs (2)'!P29+Thurs!P29+'Tues '!P29+Wed!P29+Fri!P29+'Mon '!P29+'Wed (2)'!P29+Sun!P29+Sat!P29)</f>
        <v>0</v>
      </c>
      <c r="Q29" s="70">
        <f>('Thurs (2)'!Q29+Thurs!Q29+'Tues '!Q29+Wed!Q29+Fri!Q29+'Mon '!Q29+'Wed (2)'!Q29+Sun!Q29+Sat!Q29)</f>
        <v>0</v>
      </c>
      <c r="R29" s="70">
        <f>('Thurs (2)'!R29+Thurs!R29+'Tues '!R29+Wed!R29+Fri!R29+'Mon '!R29+'Wed (2)'!R29+Sun!R29+Sat!R29)</f>
        <v>0</v>
      </c>
      <c r="S29" s="70">
        <f>('Thurs (2)'!S29+Thurs!S29+'Tues '!S29+Wed!S29+Fri!S29+'Mon '!S29+'Wed (2)'!S29+Sun!S29+Sat!S29)</f>
        <v>0</v>
      </c>
      <c r="T29" s="70">
        <f>('Thurs (2)'!T29+Thurs!T29+'Tues '!T29+Wed!T29+Fri!T29+'Mon '!T29+'Wed (2)'!T29+Sun!T29+Sat!T29)</f>
        <v>0</v>
      </c>
      <c r="U29" s="71">
        <f t="shared" si="3"/>
        <v>0</v>
      </c>
      <c r="V29" s="71">
        <f t="shared" si="4"/>
        <v>1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>
        <f>('Thurs (2)'!G30+Thurs!G30+'Tues '!G30+Wed!G30+Fri!G30+'Mon '!G30+'Wed (2)'!G30+Sun!G30+Sat!G30)</f>
        <v>8</v>
      </c>
      <c r="H30" s="70">
        <f>('Thurs (2)'!H30+Thurs!H30+'Tues '!H30+Wed!H30+Fri!H30+'Mon '!H30+'Wed (2)'!H30+Sun!H30+Sat!H30)</f>
        <v>5</v>
      </c>
      <c r="I30" s="70">
        <f>('Thurs (2)'!I30+Thurs!I30+'Tues '!I30+Wed!I30+Fri!I30+'Mon '!I30+'Wed (2)'!I30+Sun!I30+Sat!I30)</f>
        <v>2</v>
      </c>
      <c r="J30" s="70">
        <f>('Thurs (2)'!J30+Thurs!J30+'Tues '!J30+Wed!J30+Fri!J30+'Mon '!J30+'Wed (2)'!J30+Sun!J30+Sat!J30)</f>
        <v>1</v>
      </c>
      <c r="K30" s="70">
        <f>('Thurs (2)'!K30+Thurs!K30+'Tues '!K30+Wed!K30+Fri!K30+'Mon '!K30+'Wed (2)'!K30+Sun!K30+Sat!K30)</f>
        <v>0</v>
      </c>
      <c r="L30" s="70">
        <f>('Thurs (2)'!L30+Thurs!L30+'Tues '!L30+Wed!L30+Fri!L30+'Mon '!L30+'Wed (2)'!L30+Sun!L30+Sat!L30)</f>
        <v>2</v>
      </c>
      <c r="M30" s="70">
        <f>('Thurs (2)'!M30+Thurs!M30+'Tues '!M30+Wed!M30+Fri!M30+'Mon '!M30+'Wed (2)'!M30+Sun!M30+Sat!M30)</f>
        <v>2</v>
      </c>
      <c r="N30" s="70">
        <f>('Thurs (2)'!N30+Thurs!N30+'Tues '!N30+Wed!N30+Fri!N30+'Mon '!N30+'Wed (2)'!N30+Sun!N30+Sat!N30)</f>
        <v>2</v>
      </c>
      <c r="O30" s="70">
        <f>('Thurs (2)'!O30+Thurs!O30+'Tues '!O30+Wed!O30+Fri!O30+'Mon '!O30+'Wed (2)'!O30+Sun!O30+Sat!O30)</f>
        <v>2</v>
      </c>
      <c r="P30" s="70">
        <f>('Thurs (2)'!P30+Thurs!P30+'Tues '!P30+Wed!P30+Fri!P30+'Mon '!P30+'Wed (2)'!P30+Sun!P30+Sat!P30)</f>
        <v>0</v>
      </c>
      <c r="Q30" s="70">
        <f>('Thurs (2)'!Q30+Thurs!Q30+'Tues '!Q30+Wed!Q30+Fri!Q30+'Mon '!Q30+'Wed (2)'!Q30+Sun!Q30+Sat!Q30)</f>
        <v>0</v>
      </c>
      <c r="R30" s="70">
        <f>('Thurs (2)'!R30+Thurs!R30+'Tues '!R30+Wed!R30+Fri!R30+'Mon '!R30+'Wed (2)'!R30+Sun!R30+Sat!R30)</f>
        <v>1</v>
      </c>
      <c r="S30" s="70">
        <f>('Thurs (2)'!S30+Thurs!S30+'Tues '!S30+Wed!S30+Fri!S30+'Mon '!S30+'Wed (2)'!S30+Sun!S30+Sat!S30)</f>
        <v>0</v>
      </c>
      <c r="T30" s="70" t="str">
        <f>('Thurs (2)'!T30+Thurs!T30+'Tues '!T30+Wed!T30+Fri!T30+'Mon '!T30+'Wed (2)'!T30+Sun!T30+Sat!T30)</f>
        <v>#VALUE!</v>
      </c>
      <c r="U30" s="71">
        <f t="shared" si="3"/>
        <v>0.4</v>
      </c>
      <c r="V30" s="71">
        <f t="shared" si="4"/>
        <v>0.875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>
        <f>('Thurs (2)'!G31+Thurs!G31+'Tues '!G31+Wed!G31+Fri!G31+'Mon '!G31+'Wed (2)'!G31+Sun!G31+Sat!G31)</f>
        <v>0</v>
      </c>
      <c r="H31" s="70">
        <f>('Thurs (2)'!H31+Thurs!H31+'Tues '!H31+Wed!H31+Fri!H31+'Mon '!H31+'Wed (2)'!H31+Sun!H31+Sat!H31)</f>
        <v>0</v>
      </c>
      <c r="I31" s="70">
        <f>('Thurs (2)'!I31+Thurs!I31+'Tues '!I31+Wed!I31+Fri!I31+'Mon '!I31+'Wed (2)'!I31+Sun!I31+Sat!I31)</f>
        <v>0</v>
      </c>
      <c r="J31" s="70">
        <f>('Thurs (2)'!J31+Thurs!J31+'Tues '!J31+Wed!J31+Fri!J31+'Mon '!J31+'Wed (2)'!J31+Sun!J31+Sat!J31)</f>
        <v>0</v>
      </c>
      <c r="K31" s="70">
        <f>('Thurs (2)'!K31+Thurs!K31+'Tues '!K31+Wed!K31+Fri!K31+'Mon '!K31+'Wed (2)'!K31+Sun!K31+Sat!K31)</f>
        <v>0</v>
      </c>
      <c r="L31" s="70">
        <f>('Thurs (2)'!L31+Thurs!L31+'Tues '!L31+Wed!L31+Fri!L31+'Mon '!L31+'Wed (2)'!L31+Sun!L31+Sat!L31)</f>
        <v>0</v>
      </c>
      <c r="M31" s="70">
        <f>('Thurs (2)'!M31+Thurs!M31+'Tues '!M31+Wed!M31+Fri!M31+'Mon '!M31+'Wed (2)'!M31+Sun!M31+Sat!M31)</f>
        <v>0</v>
      </c>
      <c r="N31" s="70">
        <f>('Thurs (2)'!N31+Thurs!N31+'Tues '!N31+Wed!N31+Fri!N31+'Mon '!N31+'Wed (2)'!N31+Sun!N31+Sat!N31)</f>
        <v>0</v>
      </c>
      <c r="O31" s="70">
        <f>('Thurs (2)'!O31+Thurs!O31+'Tues '!O31+Wed!O31+Fri!O31+'Mon '!O31+'Wed (2)'!O31+Sun!O31+Sat!O31)</f>
        <v>0</v>
      </c>
      <c r="P31" s="70">
        <f>('Thurs (2)'!P31+Thurs!P31+'Tues '!P31+Wed!P31+Fri!P31+'Mon '!P31+'Wed (2)'!P31+Sun!P31+Sat!P31)</f>
        <v>0</v>
      </c>
      <c r="Q31" s="70">
        <f>('Thurs (2)'!Q31+Thurs!Q31+'Tues '!Q31+Wed!Q31+Fri!Q31+'Mon '!Q31+'Wed (2)'!Q31+Sun!Q31+Sat!Q31)</f>
        <v>0</v>
      </c>
      <c r="R31" s="70">
        <f>('Thurs (2)'!R31+Thurs!R31+'Tues '!R31+Wed!R31+Fri!R31+'Mon '!R31+'Wed (2)'!R31+Sun!R31+Sat!R31)</f>
        <v>0</v>
      </c>
      <c r="S31" s="70">
        <f>('Thurs (2)'!S31+Thurs!S31+'Tues '!S31+Wed!S31+Fri!S31+'Mon '!S31+'Wed (2)'!S31+Sun!S31+Sat!S31)</f>
        <v>0</v>
      </c>
      <c r="T31" s="70">
        <f>('Thurs (2)'!T31+Thurs!T31+'Tues '!T31+Wed!T31+Fri!T31+'Mon '!T31+'Wed (2)'!T31+Sun!T31+Sat!T31)</f>
        <v>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>
        <f>('Thurs (2)'!G32+Thurs!G32+'Tues '!G32+Wed!G32+Fri!G32+'Mon '!G32+'Wed (2)'!G32+Sun!G32+Sat!G32)</f>
        <v>0</v>
      </c>
      <c r="H32" s="70">
        <f>('Thurs (2)'!H32+Thurs!H32+'Tues '!H32+Wed!H32+Fri!H32+'Mon '!H32+'Wed (2)'!H32+Sun!H32+Sat!H32)</f>
        <v>0</v>
      </c>
      <c r="I32" s="70">
        <f>('Thurs (2)'!I32+Thurs!I32+'Tues '!I32+Wed!I32+Fri!I32+'Mon '!I32+'Wed (2)'!I32+Sun!I32+Sat!I32)</f>
        <v>0</v>
      </c>
      <c r="J32" s="70">
        <f>('Thurs (2)'!J32+Thurs!J32+'Tues '!J32+Wed!J32+Fri!J32+'Mon '!J32+'Wed (2)'!J32+Sun!J32+Sat!J32)</f>
        <v>0</v>
      </c>
      <c r="K32" s="70">
        <f>('Thurs (2)'!K32+Thurs!K32+'Tues '!K32+Wed!K32+Fri!K32+'Mon '!K32+'Wed (2)'!K32+Sun!K32+Sat!K32)</f>
        <v>0</v>
      </c>
      <c r="L32" s="70">
        <f>('Thurs (2)'!L32+Thurs!L32+'Tues '!L32+Wed!L32+Fri!L32+'Mon '!L32+'Wed (2)'!L32+Sun!L32+Sat!L32)</f>
        <v>0</v>
      </c>
      <c r="M32" s="70">
        <f>('Thurs (2)'!M32+Thurs!M32+'Tues '!M32+Wed!M32+Fri!M32+'Mon '!M32+'Wed (2)'!M32+Sun!M32+Sat!M32)</f>
        <v>0</v>
      </c>
      <c r="N32" s="70">
        <f>('Thurs (2)'!N32+Thurs!N32+'Tues '!N32+Wed!N32+Fri!N32+'Mon '!N32+'Wed (2)'!N32+Sun!N32+Sat!N32)</f>
        <v>0</v>
      </c>
      <c r="O32" s="70">
        <f>('Thurs (2)'!O32+Thurs!O32+'Tues '!O32+Wed!O32+Fri!O32+'Mon '!O32+'Wed (2)'!O32+Sun!O32+Sat!O32)</f>
        <v>0</v>
      </c>
      <c r="P32" s="70">
        <f>('Thurs (2)'!P32+Thurs!P32+'Tues '!P32+Wed!P32+Fri!P32+'Mon '!P32+'Wed (2)'!P32+Sun!P32+Sat!P32)</f>
        <v>0</v>
      </c>
      <c r="Q32" s="70">
        <f>('Thurs (2)'!Q32+Thurs!Q32+'Tues '!Q32+Wed!Q32+Fri!Q32+'Mon '!Q32+'Wed (2)'!Q32+Sun!Q32+Sat!Q32)</f>
        <v>0</v>
      </c>
      <c r="R32" s="70">
        <f>('Thurs (2)'!R32+Thurs!R32+'Tues '!R32+Wed!R32+Fri!R32+'Mon '!R32+'Wed (2)'!R32+Sun!R32+Sat!R32)</f>
        <v>0</v>
      </c>
      <c r="S32" s="70">
        <f>('Thurs (2)'!S32+Thurs!S32+'Tues '!S32+Wed!S32+Fri!S32+'Mon '!S32+'Wed (2)'!S32+Sun!S32+Sat!S32)</f>
        <v>0</v>
      </c>
      <c r="T32" s="70">
        <f>('Thurs (2)'!T32+Thurs!T32+'Tues '!T32+Wed!T32+Fri!T32+'Mon '!T32+'Wed (2)'!T32+Sun!T32+Sat!T32)</f>
        <v>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>
        <f>('Thurs (2)'!G33+Thurs!G33+'Tues '!G33+Wed!G33+Fri!G33+'Mon '!G33+'Wed (2)'!G33+Sun!G33+Sat!G33)</f>
        <v>13</v>
      </c>
      <c r="H33" s="70">
        <f>('Thurs (2)'!H33+Thurs!H33+'Tues '!H33+Wed!H33+Fri!H33+'Mon '!H33+'Wed (2)'!H33+Sun!H33+Sat!H33)</f>
        <v>6</v>
      </c>
      <c r="I33" s="70">
        <f>('Thurs (2)'!I33+Thurs!I33+'Tues '!I33+Wed!I33+Fri!I33+'Mon '!I33+'Wed (2)'!I33+Sun!I33+Sat!I33)</f>
        <v>1</v>
      </c>
      <c r="J33" s="70">
        <f>('Thurs (2)'!J33+Thurs!J33+'Tues '!J33+Wed!J33+Fri!J33+'Mon '!J33+'Wed (2)'!J33+Sun!J33+Sat!J33)</f>
        <v>0</v>
      </c>
      <c r="K33" s="70">
        <f>('Thurs (2)'!K33+Thurs!K33+'Tues '!K33+Wed!K33+Fri!K33+'Mon '!K33+'Wed (2)'!K33+Sun!K33+Sat!K33)</f>
        <v>0</v>
      </c>
      <c r="L33" s="70">
        <f>('Thurs (2)'!L33+Thurs!L33+'Tues '!L33+Wed!L33+Fri!L33+'Mon '!L33+'Wed (2)'!L33+Sun!L33+Sat!L33)</f>
        <v>1</v>
      </c>
      <c r="M33" s="70">
        <f>('Thurs (2)'!M33+Thurs!M33+'Tues '!M33+Wed!M33+Fri!M33+'Mon '!M33+'Wed (2)'!M33+Sun!M33+Sat!M33)</f>
        <v>18</v>
      </c>
      <c r="N33" s="70">
        <f>('Thurs (2)'!N33+Thurs!N33+'Tues '!N33+Wed!N33+Fri!N33+'Mon '!N33+'Wed (2)'!N33+Sun!N33+Sat!N33)</f>
        <v>4</v>
      </c>
      <c r="O33" s="70">
        <f>('Thurs (2)'!O33+Thurs!O33+'Tues '!O33+Wed!O33+Fri!O33+'Mon '!O33+'Wed (2)'!O33+Sun!O33+Sat!O33)</f>
        <v>0</v>
      </c>
      <c r="P33" s="70">
        <f>('Thurs (2)'!P33+Thurs!P33+'Tues '!P33+Wed!P33+Fri!P33+'Mon '!P33+'Wed (2)'!P33+Sun!P33+Sat!P33)</f>
        <v>0</v>
      </c>
      <c r="Q33" s="70">
        <f>('Thurs (2)'!Q33+Thurs!Q33+'Tues '!Q33+Wed!Q33+Fri!Q33+'Mon '!Q33+'Wed (2)'!Q33+Sun!Q33+Sat!Q33)</f>
        <v>0</v>
      </c>
      <c r="R33" s="70">
        <f>('Thurs (2)'!R33+Thurs!R33+'Tues '!R33+Wed!R33+Fri!R33+'Mon '!R33+'Wed (2)'!R33+Sun!R33+Sat!R33)</f>
        <v>1</v>
      </c>
      <c r="S33" s="70">
        <f>('Thurs (2)'!S33+Thurs!S33+'Tues '!S33+Wed!S33+Fri!S33+'Mon '!S33+'Wed (2)'!S33+Sun!S33+Sat!S33)</f>
        <v>1</v>
      </c>
      <c r="T33" s="70">
        <f>('Thurs (2)'!T33+Thurs!T33+'Tues '!T33+Wed!T33+Fri!T33+'Mon '!T33+'Wed (2)'!T33+Sun!T33+Sat!T33)</f>
        <v>2761</v>
      </c>
      <c r="U33" s="71">
        <f t="shared" si="3"/>
        <v>0.1666666667</v>
      </c>
      <c r="V33" s="71">
        <f t="shared" si="4"/>
        <v>0.5384615385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>
        <f>('Thurs (2)'!G34+Thurs!G34+'Tues '!G34+Wed!G34+Fri!G34+'Mon '!G34+'Wed (2)'!G34+Sun!G34+Sat!G34)</f>
        <v>8</v>
      </c>
      <c r="H34" s="70">
        <f>('Thurs (2)'!H34+Thurs!H34+'Tues '!H34+Wed!H34+Fri!H34+'Mon '!H34+'Wed (2)'!H34+Sun!H34+Sat!H34)</f>
        <v>1</v>
      </c>
      <c r="I34" s="70">
        <f>('Thurs (2)'!I34+Thurs!I34+'Tues '!I34+Wed!I34+Fri!I34+'Mon '!I34+'Wed (2)'!I34+Sun!I34+Sat!I34)</f>
        <v>0</v>
      </c>
      <c r="J34" s="70">
        <f>('Thurs (2)'!J34+Thurs!J34+'Tues '!J34+Wed!J34+Fri!J34+'Mon '!J34+'Wed (2)'!J34+Sun!J34+Sat!J34)</f>
        <v>0</v>
      </c>
      <c r="K34" s="70">
        <f>('Thurs (2)'!K34+Thurs!K34+'Tues '!K34+Wed!K34+Fri!K34+'Mon '!K34+'Wed (2)'!K34+Sun!K34+Sat!K34)</f>
        <v>0</v>
      </c>
      <c r="L34" s="70">
        <f>('Thurs (2)'!L34+Thurs!L34+'Tues '!L34+Wed!L34+Fri!L34+'Mon '!L34+'Wed (2)'!L34+Sun!L34+Sat!L34)</f>
        <v>1</v>
      </c>
      <c r="M34" s="70">
        <f>('Thurs (2)'!M34+Thurs!M34+'Tues '!M34+Wed!M34+Fri!M34+'Mon '!M34+'Wed (2)'!M34+Sun!M34+Sat!M34)</f>
        <v>1</v>
      </c>
      <c r="N34" s="70">
        <f>('Thurs (2)'!N34+Thurs!N34+'Tues '!N34+Wed!N34+Fri!N34+'Mon '!N34+'Wed (2)'!N34+Sun!N34+Sat!N34)</f>
        <v>0</v>
      </c>
      <c r="O34" s="70">
        <f>('Thurs (2)'!O34+Thurs!O34+'Tues '!O34+Wed!O34+Fri!O34+'Mon '!O34+'Wed (2)'!O34+Sun!O34+Sat!O34)</f>
        <v>0</v>
      </c>
      <c r="P34" s="70">
        <f>('Thurs (2)'!P34+Thurs!P34+'Tues '!P34+Wed!P34+Fri!P34+'Mon '!P34+'Wed (2)'!P34+Sun!P34+Sat!P34)</f>
        <v>0</v>
      </c>
      <c r="Q34" s="70">
        <f>('Thurs (2)'!Q34+Thurs!Q34+'Tues '!Q34+Wed!Q34+Fri!Q34+'Mon '!Q34+'Wed (2)'!Q34+Sun!Q34+Sat!Q34)</f>
        <v>0</v>
      </c>
      <c r="R34" s="70">
        <f>('Thurs (2)'!R34+Thurs!R34+'Tues '!R34+Wed!R34+Fri!R34+'Mon '!R34+'Wed (2)'!R34+Sun!R34+Sat!R34)</f>
        <v>1</v>
      </c>
      <c r="S34" s="70">
        <f>('Thurs (2)'!S34+Thurs!S34+'Tues '!S34+Wed!S34+Fri!S34+'Mon '!S34+'Wed (2)'!S34+Sun!S34+Sat!S34)</f>
        <v>0</v>
      </c>
      <c r="T34" s="70">
        <f>('Thurs (2)'!T34+Thurs!T34+'Tues '!T34+Wed!T34+Fri!T34+'Mon '!T34+'Wed (2)'!T34+Sun!T34+Sat!T34)</f>
        <v>0</v>
      </c>
      <c r="U34" s="71">
        <f t="shared" si="3"/>
        <v>0</v>
      </c>
      <c r="V34" s="71">
        <f t="shared" si="4"/>
        <v>0.25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>
        <f>('Thurs (2)'!G35+Thurs!G35+'Tues '!G35+Wed!G35+Fri!G35+'Mon '!G35+'Wed (2)'!G35+Sun!G35+Sat!G35)</f>
        <v>8</v>
      </c>
      <c r="H35" s="70">
        <f>('Thurs (2)'!H35+Thurs!H35+'Tues '!H35+Wed!H35+Fri!H35+'Mon '!H35+'Wed (2)'!H35+Sun!H35+Sat!H35)</f>
        <v>4</v>
      </c>
      <c r="I35" s="70">
        <f>('Thurs (2)'!I35+Thurs!I35+'Tues '!I35+Wed!I35+Fri!I35+'Mon '!I35+'Wed (2)'!I35+Sun!I35+Sat!I35)</f>
        <v>1</v>
      </c>
      <c r="J35" s="70">
        <f>('Thurs (2)'!J35+Thurs!J35+'Tues '!J35+Wed!J35+Fri!J35+'Mon '!J35+'Wed (2)'!J35+Sun!J35+Sat!J35)</f>
        <v>0</v>
      </c>
      <c r="K35" s="70">
        <f>('Thurs (2)'!K35+Thurs!K35+'Tues '!K35+Wed!K35+Fri!K35+'Mon '!K35+'Wed (2)'!K35+Sun!K35+Sat!K35)</f>
        <v>0</v>
      </c>
      <c r="L35" s="70">
        <f>('Thurs (2)'!L35+Thurs!L35+'Tues '!L35+Wed!L35+Fri!L35+'Mon '!L35+'Wed (2)'!L35+Sun!L35+Sat!L35)</f>
        <v>0</v>
      </c>
      <c r="M35" s="70">
        <f>('Thurs (2)'!M35+Thurs!M35+'Tues '!M35+Wed!M35+Fri!M35+'Mon '!M35+'Wed (2)'!M35+Sun!M35+Sat!M35)</f>
        <v>14</v>
      </c>
      <c r="N35" s="70">
        <f>('Thurs (2)'!N35+Thurs!N35+'Tues '!N35+Wed!N35+Fri!N35+'Mon '!N35+'Wed (2)'!N35+Sun!N35+Sat!N35)</f>
        <v>4</v>
      </c>
      <c r="O35" s="70">
        <f>('Thurs (2)'!O35+Thurs!O35+'Tues '!O35+Wed!O35+Fri!O35+'Mon '!O35+'Wed (2)'!O35+Sun!O35+Sat!O35)</f>
        <v>1</v>
      </c>
      <c r="P35" s="70">
        <f>('Thurs (2)'!P35+Thurs!P35+'Tues '!P35+Wed!P35+Fri!P35+'Mon '!P35+'Wed (2)'!P35+Sun!P35+Sat!P35)</f>
        <v>0</v>
      </c>
      <c r="Q35" s="70">
        <f>('Thurs (2)'!Q35+Thurs!Q35+'Tues '!Q35+Wed!Q35+Fri!Q35+'Mon '!Q35+'Wed (2)'!Q35+Sun!Q35+Sat!Q35)</f>
        <v>0</v>
      </c>
      <c r="R35" s="70">
        <f>('Thurs (2)'!R35+Thurs!R35+'Tues '!R35+Wed!R35+Fri!R35+'Mon '!R35+'Wed (2)'!R35+Sun!R35+Sat!R35)</f>
        <v>0</v>
      </c>
      <c r="S35" s="70">
        <f>('Thurs (2)'!S35+Thurs!S35+'Tues '!S35+Wed!S35+Fri!S35+'Mon '!S35+'Wed (2)'!S35+Sun!S35+Sat!S35)</f>
        <v>0</v>
      </c>
      <c r="T35" s="70">
        <f>('Thurs (2)'!T35+Thurs!T35+'Tues '!T35+Wed!T35+Fri!T35+'Mon '!T35+'Wed (2)'!T35+Sun!T35+Sat!T35)</f>
        <v>1156</v>
      </c>
      <c r="U35" s="71">
        <f t="shared" si="3"/>
        <v>0.25</v>
      </c>
      <c r="V35" s="71">
        <f t="shared" si="4"/>
        <v>0.5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>
        <f>('Thurs (2)'!G36+Thurs!G36+'Tues '!G36+Wed!G36+Fri!G36+'Mon '!G36+'Wed (2)'!G36+Sun!G36+Sat!G36)</f>
        <v>0</v>
      </c>
      <c r="H36" s="70">
        <f>('Thurs (2)'!H36+Thurs!H36+'Tues '!H36+Wed!H36+Fri!H36+'Mon '!H36+'Wed (2)'!H36+Sun!H36+Sat!H36)</f>
        <v>0</v>
      </c>
      <c r="I36" s="70">
        <f>('Thurs (2)'!I36+Thurs!I36+'Tues '!I36+Wed!I36+Fri!I36+'Mon '!I36+'Wed (2)'!I36+Sun!I36+Sat!I36)</f>
        <v>0</v>
      </c>
      <c r="J36" s="70">
        <f>('Thurs (2)'!J36+Thurs!J36+'Tues '!J36+Wed!J36+Fri!J36+'Mon '!J36+'Wed (2)'!J36+Sun!J36+Sat!J36)</f>
        <v>0</v>
      </c>
      <c r="K36" s="70">
        <f>('Thurs (2)'!K36+Thurs!K36+'Tues '!K36+Wed!K36+Fri!K36+'Mon '!K36+'Wed (2)'!K36+Sun!K36+Sat!K36)</f>
        <v>0</v>
      </c>
      <c r="L36" s="70">
        <f>('Thurs (2)'!L36+Thurs!L36+'Tues '!L36+Wed!L36+Fri!L36+'Mon '!L36+'Wed (2)'!L36+Sun!L36+Sat!L36)</f>
        <v>0</v>
      </c>
      <c r="M36" s="70">
        <f>('Thurs (2)'!M36+Thurs!M36+'Tues '!M36+Wed!M36+Fri!M36+'Mon '!M36+'Wed (2)'!M36+Sun!M36+Sat!M36)</f>
        <v>0</v>
      </c>
      <c r="N36" s="70">
        <f>('Thurs (2)'!N36+Thurs!N36+'Tues '!N36+Wed!N36+Fri!N36+'Mon '!N36+'Wed (2)'!N36+Sun!N36+Sat!N36)</f>
        <v>0</v>
      </c>
      <c r="O36" s="70">
        <f>('Thurs (2)'!O36+Thurs!O36+'Tues '!O36+Wed!O36+Fri!O36+'Mon '!O36+'Wed (2)'!O36+Sun!O36+Sat!O36)</f>
        <v>0</v>
      </c>
      <c r="P36" s="70">
        <f>('Thurs (2)'!P36+Thurs!P36+'Tues '!P36+Wed!P36+Fri!P36+'Mon '!P36+'Wed (2)'!P36+Sun!P36+Sat!P36)</f>
        <v>0</v>
      </c>
      <c r="Q36" s="70">
        <f>('Thurs (2)'!Q36+Thurs!Q36+'Tues '!Q36+Wed!Q36+Fri!Q36+'Mon '!Q36+'Wed (2)'!Q36+Sun!Q36+Sat!Q36)</f>
        <v>0</v>
      </c>
      <c r="R36" s="70">
        <f>('Thurs (2)'!R36+Thurs!R36+'Tues '!R36+Wed!R36+Fri!R36+'Mon '!R36+'Wed (2)'!R36+Sun!R36+Sat!R36)</f>
        <v>0</v>
      </c>
      <c r="S36" s="70">
        <f>('Thurs (2)'!S36+Thurs!S36+'Tues '!S36+Wed!S36+Fri!S36+'Mon '!S36+'Wed (2)'!S36+Sun!S36+Sat!S36)</f>
        <v>0</v>
      </c>
      <c r="T36" s="70">
        <f>('Thurs (2)'!T36+Thurs!T36+'Tues '!T36+Wed!T36+Fri!T36+'Mon '!T36+'Wed (2)'!T36+Sun!T36+Sat!T36)</f>
        <v>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>
        <f>('Thurs (2)'!G37+Thurs!G37+'Tues '!G37+Wed!G37+Fri!G37+'Mon '!G37+'Wed (2)'!G37+Sun!G37+Sat!G37)</f>
        <v>1</v>
      </c>
      <c r="H37" s="70">
        <f>('Thurs (2)'!H37+Thurs!H37+'Tues '!H37+Wed!H37+Fri!H37+'Mon '!H37+'Wed (2)'!H37+Sun!H37+Sat!H37)</f>
        <v>0</v>
      </c>
      <c r="I37" s="70">
        <f>('Thurs (2)'!I37+Thurs!I37+'Tues '!I37+Wed!I37+Fri!I37+'Mon '!I37+'Wed (2)'!I37+Sun!I37+Sat!I37)</f>
        <v>0</v>
      </c>
      <c r="J37" s="70">
        <f>('Thurs (2)'!J37+Thurs!J37+'Tues '!J37+Wed!J37+Fri!J37+'Mon '!J37+'Wed (2)'!J37+Sun!J37+Sat!J37)</f>
        <v>0</v>
      </c>
      <c r="K37" s="70">
        <f>('Thurs (2)'!K37+Thurs!K37+'Tues '!K37+Wed!K37+Fri!K37+'Mon '!K37+'Wed (2)'!K37+Sun!K37+Sat!K37)</f>
        <v>0</v>
      </c>
      <c r="L37" s="70">
        <f>('Thurs (2)'!L37+Thurs!L37+'Tues '!L37+Wed!L37+Fri!L37+'Mon '!L37+'Wed (2)'!L37+Sun!L37+Sat!L37)</f>
        <v>0</v>
      </c>
      <c r="M37" s="70">
        <f>('Thurs (2)'!M37+Thurs!M37+'Tues '!M37+Wed!M37+Fri!M37+'Mon '!M37+'Wed (2)'!M37+Sun!M37+Sat!M37)</f>
        <v>0</v>
      </c>
      <c r="N37" s="70">
        <f>('Thurs (2)'!N37+Thurs!N37+'Tues '!N37+Wed!N37+Fri!N37+'Mon '!N37+'Wed (2)'!N37+Sun!N37+Sat!N37)</f>
        <v>0</v>
      </c>
      <c r="O37" s="70">
        <f>('Thurs (2)'!O37+Thurs!O37+'Tues '!O37+Wed!O37+Fri!O37+'Mon '!O37+'Wed (2)'!O37+Sun!O37+Sat!O37)</f>
        <v>0</v>
      </c>
      <c r="P37" s="70">
        <f>('Thurs (2)'!P37+Thurs!P37+'Tues '!P37+Wed!P37+Fri!P37+'Mon '!P37+'Wed (2)'!P37+Sun!P37+Sat!P37)</f>
        <v>0</v>
      </c>
      <c r="Q37" s="70">
        <f>('Thurs (2)'!Q37+Thurs!Q37+'Tues '!Q37+Wed!Q37+Fri!Q37+'Mon '!Q37+'Wed (2)'!Q37+Sun!Q37+Sat!Q37)</f>
        <v>0</v>
      </c>
      <c r="R37" s="70">
        <f>('Thurs (2)'!R37+Thurs!R37+'Tues '!R37+Wed!R37+Fri!R37+'Mon '!R37+'Wed (2)'!R37+Sun!R37+Sat!R37)</f>
        <v>0</v>
      </c>
      <c r="S37" s="70">
        <f>('Thurs (2)'!S37+Thurs!S37+'Tues '!S37+Wed!S37+Fri!S37+'Mon '!S37+'Wed (2)'!S37+Sun!S37+Sat!S37)</f>
        <v>0</v>
      </c>
      <c r="T37" s="70">
        <f>('Thurs (2)'!T37+Thurs!T37+'Tues '!T37+Wed!T37+Fri!T37+'Mon '!T37+'Wed (2)'!T37+Sun!T37+Sat!T37)</f>
        <v>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>
        <f>('Thurs (2)'!G38+Thurs!G38+'Tues '!G38+Wed!G38+Fri!G38+'Mon '!G38+'Wed (2)'!G38+Sun!G38+Sat!G38)</f>
        <v>3</v>
      </c>
      <c r="H38" s="70">
        <f>('Thurs (2)'!H38+Thurs!H38+'Tues '!H38+Wed!H38+Fri!H38+'Mon '!H38+'Wed (2)'!H38+Sun!H38+Sat!H38)</f>
        <v>1</v>
      </c>
      <c r="I38" s="70">
        <f>('Thurs (2)'!I38+Thurs!I38+'Tues '!I38+Wed!I38+Fri!I38+'Mon '!I38+'Wed (2)'!I38+Sun!I38+Sat!I38)</f>
        <v>1</v>
      </c>
      <c r="J38" s="70">
        <f>('Thurs (2)'!J38+Thurs!J38+'Tues '!J38+Wed!J38+Fri!J38+'Mon '!J38+'Wed (2)'!J38+Sun!J38+Sat!J38)</f>
        <v>1</v>
      </c>
      <c r="K38" s="70">
        <f>('Thurs (2)'!K38+Thurs!K38+'Tues '!K38+Wed!K38+Fri!K38+'Mon '!K38+'Wed (2)'!K38+Sun!K38+Sat!K38)</f>
        <v>1</v>
      </c>
      <c r="L38" s="70">
        <f>('Thurs (2)'!L38+Thurs!L38+'Tues '!L38+Wed!L38+Fri!L38+'Mon '!L38+'Wed (2)'!L38+Sun!L38+Sat!L38)</f>
        <v>0</v>
      </c>
      <c r="M38" s="70">
        <f>('Thurs (2)'!M38+Thurs!M38+'Tues '!M38+Wed!M38+Fri!M38+'Mon '!M38+'Wed (2)'!M38+Sun!M38+Sat!M38)</f>
        <v>0</v>
      </c>
      <c r="N38" s="70">
        <f>('Thurs (2)'!N38+Thurs!N38+'Tues '!N38+Wed!N38+Fri!N38+'Mon '!N38+'Wed (2)'!N38+Sun!N38+Sat!N38)</f>
        <v>3</v>
      </c>
      <c r="O38" s="70">
        <f>('Thurs (2)'!O38+Thurs!O38+'Tues '!O38+Wed!O38+Fri!O38+'Mon '!O38+'Wed (2)'!O38+Sun!O38+Sat!O38)</f>
        <v>0</v>
      </c>
      <c r="P38" s="70">
        <f>('Thurs (2)'!P38+Thurs!P38+'Tues '!P38+Wed!P38+Fri!P38+'Mon '!P38+'Wed (2)'!P38+Sun!P38+Sat!P38)</f>
        <v>0</v>
      </c>
      <c r="Q38" s="70">
        <f>('Thurs (2)'!Q38+Thurs!Q38+'Tues '!Q38+Wed!Q38+Fri!Q38+'Mon '!Q38+'Wed (2)'!Q38+Sun!Q38+Sat!Q38)</f>
        <v>0</v>
      </c>
      <c r="R38" s="70">
        <f>('Thurs (2)'!R38+Thurs!R38+'Tues '!R38+Wed!R38+Fri!R38+'Mon '!R38+'Wed (2)'!R38+Sun!R38+Sat!R38)</f>
        <v>1</v>
      </c>
      <c r="S38" s="70">
        <f>('Thurs (2)'!S38+Thurs!S38+'Tues '!S38+Wed!S38+Fri!S38+'Mon '!S38+'Wed (2)'!S38+Sun!S38+Sat!S38)</f>
        <v>1</v>
      </c>
      <c r="T38" s="70">
        <f>('Thurs (2)'!T38+Thurs!T38+'Tues '!T38+Wed!T38+Fri!T38+'Mon '!T38+'Wed (2)'!T38+Sun!T38+Sat!T38)</f>
        <v>1584</v>
      </c>
      <c r="U38" s="71">
        <f t="shared" si="3"/>
        <v>1</v>
      </c>
      <c r="V38" s="71">
        <f t="shared" si="4"/>
        <v>0.3333333333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>
        <f>('Thurs (2)'!G39+Thurs!G39+'Tues '!G39+Wed!G39+Fri!G39+'Mon '!G39+'Wed (2)'!G39+Sun!G39+Sat!G39)</f>
        <v>13</v>
      </c>
      <c r="H39" s="70">
        <f>('Thurs (2)'!H39+Thurs!H39+'Tues '!H39+Wed!H39+Fri!H39+'Mon '!H39+'Wed (2)'!H39+Sun!H39+Sat!H39)</f>
        <v>7</v>
      </c>
      <c r="I39" s="70">
        <f>('Thurs (2)'!I39+Thurs!I39+'Tues '!I39+Wed!I39+Fri!I39+'Mon '!I39+'Wed (2)'!I39+Sun!I39+Sat!I39)</f>
        <v>4</v>
      </c>
      <c r="J39" s="70">
        <f>('Thurs (2)'!J39+Thurs!J39+'Tues '!J39+Wed!J39+Fri!J39+'Mon '!J39+'Wed (2)'!J39+Sun!J39+Sat!J39)</f>
        <v>4</v>
      </c>
      <c r="K39" s="70">
        <f>('Thurs (2)'!K39+Thurs!K39+'Tues '!K39+Wed!K39+Fri!K39+'Mon '!K39+'Wed (2)'!K39+Sun!K39+Sat!K39)</f>
        <v>2</v>
      </c>
      <c r="L39" s="70">
        <f>('Thurs (2)'!L39+Thurs!L39+'Tues '!L39+Wed!L39+Fri!L39+'Mon '!L39+'Wed (2)'!L39+Sun!L39+Sat!L39)</f>
        <v>2</v>
      </c>
      <c r="M39" s="70">
        <f>('Thurs (2)'!M39+Thurs!M39+'Tues '!M39+Wed!M39+Fri!M39+'Mon '!M39+'Wed (2)'!M39+Sun!M39+Sat!M39)</f>
        <v>29</v>
      </c>
      <c r="N39" s="70">
        <f>('Thurs (2)'!N39+Thurs!N39+'Tues '!N39+Wed!N39+Fri!N39+'Mon '!N39+'Wed (2)'!N39+Sun!N39+Sat!N39)</f>
        <v>4</v>
      </c>
      <c r="O39" s="70">
        <f>('Thurs (2)'!O39+Thurs!O39+'Tues '!O39+Wed!O39+Fri!O39+'Mon '!O39+'Wed (2)'!O39+Sun!O39+Sat!O39)</f>
        <v>1</v>
      </c>
      <c r="P39" s="70">
        <f>('Thurs (2)'!P39+Thurs!P39+'Tues '!P39+Wed!P39+Fri!P39+'Mon '!P39+'Wed (2)'!P39+Sun!P39+Sat!P39)</f>
        <v>0</v>
      </c>
      <c r="Q39" s="70">
        <f>('Thurs (2)'!Q39+Thurs!Q39+'Tues '!Q39+Wed!Q39+Fri!Q39+'Mon '!Q39+'Wed (2)'!Q39+Sun!Q39+Sat!Q39)</f>
        <v>0</v>
      </c>
      <c r="R39" s="70">
        <f>('Thurs (2)'!R39+Thurs!R39+'Tues '!R39+Wed!R39+Fri!R39+'Mon '!R39+'Wed (2)'!R39+Sun!R39+Sat!R39)</f>
        <v>2</v>
      </c>
      <c r="S39" s="70">
        <f>('Thurs (2)'!S39+Thurs!S39+'Tues '!S39+Wed!S39+Fri!S39+'Mon '!S39+'Wed (2)'!S39+Sun!S39+Sat!S39)</f>
        <v>0</v>
      </c>
      <c r="T39" s="70">
        <f>('Thurs (2)'!T39+Thurs!T39+'Tues '!T39+Wed!T39+Fri!T39+'Mon '!T39+'Wed (2)'!T39+Sun!T39+Sat!T39)</f>
        <v>3635</v>
      </c>
      <c r="U39" s="71">
        <f t="shared" si="3"/>
        <v>0.5714285714</v>
      </c>
      <c r="V39" s="71">
        <f t="shared" si="4"/>
        <v>0.6923076923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>
        <f>('Thurs (2)'!G40+Thurs!G40+'Tues '!G40+Wed!G40+Fri!G40+'Mon '!G40+'Wed (2)'!G40+Sun!G40+Sat!G40)</f>
        <v>0</v>
      </c>
      <c r="H40" s="70">
        <f>('Thurs (2)'!H40+Thurs!H40+'Tues '!H40+Wed!H40+Fri!H40+'Mon '!H40+'Wed (2)'!H40+Sun!H40+Sat!H40)</f>
        <v>0</v>
      </c>
      <c r="I40" s="70">
        <f>('Thurs (2)'!I40+Thurs!I40+'Tues '!I40+Wed!I40+Fri!I40+'Mon '!I40+'Wed (2)'!I40+Sun!I40+Sat!I40)</f>
        <v>0</v>
      </c>
      <c r="J40" s="70">
        <f>('Thurs (2)'!J40+Thurs!J40+'Tues '!J40+Wed!J40+Fri!J40+'Mon '!J40+'Wed (2)'!J40+Sun!J40+Sat!J40)</f>
        <v>0</v>
      </c>
      <c r="K40" s="70">
        <f>('Thurs (2)'!K40+Thurs!K40+'Tues '!K40+Wed!K40+Fri!K40+'Mon '!K40+'Wed (2)'!K40+Sun!K40+Sat!K40)</f>
        <v>0</v>
      </c>
      <c r="L40" s="70">
        <f>('Thurs (2)'!L40+Thurs!L40+'Tues '!L40+Wed!L40+Fri!L40+'Mon '!L40+'Wed (2)'!L40+Sun!L40+Sat!L40)</f>
        <v>0</v>
      </c>
      <c r="M40" s="70">
        <f>('Thurs (2)'!M40+Thurs!M40+'Tues '!M40+Wed!M40+Fri!M40+'Mon '!M40+'Wed (2)'!M40+Sun!M40+Sat!M40)</f>
        <v>0</v>
      </c>
      <c r="N40" s="70">
        <f>('Thurs (2)'!N40+Thurs!N40+'Tues '!N40+Wed!N40+Fri!N40+'Mon '!N40+'Wed (2)'!N40+Sun!N40+Sat!N40)</f>
        <v>0</v>
      </c>
      <c r="O40" s="70">
        <f>('Thurs (2)'!O40+Thurs!O40+'Tues '!O40+Wed!O40+Fri!O40+'Mon '!O40+'Wed (2)'!O40+Sun!O40+Sat!O40)</f>
        <v>0</v>
      </c>
      <c r="P40" s="70">
        <f>('Thurs (2)'!P40+Thurs!P40+'Tues '!P40+Wed!P40+Fri!P40+'Mon '!P40+'Wed (2)'!P40+Sun!P40+Sat!P40)</f>
        <v>0</v>
      </c>
      <c r="Q40" s="70">
        <f>('Thurs (2)'!Q40+Thurs!Q40+'Tues '!Q40+Wed!Q40+Fri!Q40+'Mon '!Q40+'Wed (2)'!Q40+Sun!Q40+Sat!Q40)</f>
        <v>0</v>
      </c>
      <c r="R40" s="70">
        <f>('Thurs (2)'!R40+Thurs!R40+'Tues '!R40+Wed!R40+Fri!R40+'Mon '!R40+'Wed (2)'!R40+Sun!R40+Sat!R40)</f>
        <v>0</v>
      </c>
      <c r="S40" s="70">
        <f>('Thurs (2)'!S40+Thurs!S40+'Tues '!S40+Wed!S40+Fri!S40+'Mon '!S40+'Wed (2)'!S40+Sun!S40+Sat!S40)</f>
        <v>0</v>
      </c>
      <c r="T40" s="70">
        <f>('Thurs (2)'!T40+Thurs!T40+'Tues '!T40+Wed!T40+Fri!T40+'Mon '!T40+'Wed (2)'!T40+Sun!T40+Sat!T40)</f>
        <v>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>
        <f>('Thurs (2)'!G41+Thurs!G41+'Tues '!G41+Wed!G41+Fri!G41+'Mon '!G41+'Wed (2)'!G41+Sun!G41+Sat!G41)</f>
        <v>0</v>
      </c>
      <c r="H41" s="70">
        <f>('Thurs (2)'!H41+Thurs!H41+'Tues '!H41+Wed!H41+Fri!H41+'Mon '!H41+'Wed (2)'!H41+Sun!H41+Sat!H41)</f>
        <v>0</v>
      </c>
      <c r="I41" s="70">
        <f>('Thurs (2)'!I41+Thurs!I41+'Tues '!I41+Wed!I41+Fri!I41+'Mon '!I41+'Wed (2)'!I41+Sun!I41+Sat!I41)</f>
        <v>0</v>
      </c>
      <c r="J41" s="70">
        <f>('Thurs (2)'!J41+Thurs!J41+'Tues '!J41+Wed!J41+Fri!J41+'Mon '!J41+'Wed (2)'!J41+Sun!J41+Sat!J41)</f>
        <v>0</v>
      </c>
      <c r="K41" s="70">
        <f>('Thurs (2)'!K41+Thurs!K41+'Tues '!K41+Wed!K41+Fri!K41+'Mon '!K41+'Wed (2)'!K41+Sun!K41+Sat!K41)</f>
        <v>0</v>
      </c>
      <c r="L41" s="70">
        <f>('Thurs (2)'!L41+Thurs!L41+'Tues '!L41+Wed!L41+Fri!L41+'Mon '!L41+'Wed (2)'!L41+Sun!L41+Sat!L41)</f>
        <v>0</v>
      </c>
      <c r="M41" s="70">
        <f>('Thurs (2)'!M41+Thurs!M41+'Tues '!M41+Wed!M41+Fri!M41+'Mon '!M41+'Wed (2)'!M41+Sun!M41+Sat!M41)</f>
        <v>0</v>
      </c>
      <c r="N41" s="70">
        <f>('Thurs (2)'!N41+Thurs!N41+'Tues '!N41+Wed!N41+Fri!N41+'Mon '!N41+'Wed (2)'!N41+Sun!N41+Sat!N41)</f>
        <v>0</v>
      </c>
      <c r="O41" s="70">
        <f>('Thurs (2)'!O41+Thurs!O41+'Tues '!O41+Wed!O41+Fri!O41+'Mon '!O41+'Wed (2)'!O41+Sun!O41+Sat!O41)</f>
        <v>0</v>
      </c>
      <c r="P41" s="70">
        <f>('Thurs (2)'!P41+Thurs!P41+'Tues '!P41+Wed!P41+Fri!P41+'Mon '!P41+'Wed (2)'!P41+Sun!P41+Sat!P41)</f>
        <v>0</v>
      </c>
      <c r="Q41" s="70">
        <f>('Thurs (2)'!Q41+Thurs!Q41+'Tues '!Q41+Wed!Q41+Fri!Q41+'Mon '!Q41+'Wed (2)'!Q41+Sun!Q41+Sat!Q41)</f>
        <v>0</v>
      </c>
      <c r="R41" s="70">
        <f>('Thurs (2)'!R41+Thurs!R41+'Tues '!R41+Wed!R41+Fri!R41+'Mon '!R41+'Wed (2)'!R41+Sun!R41+Sat!R41)</f>
        <v>0</v>
      </c>
      <c r="S41" s="70">
        <f>('Thurs (2)'!S41+Thurs!S41+'Tues '!S41+Wed!S41+Fri!S41+'Mon '!S41+'Wed (2)'!S41+Sun!S41+Sat!S41)</f>
        <v>0</v>
      </c>
      <c r="T41" s="70">
        <f>('Thurs (2)'!T41+Thurs!T41+'Tues '!T41+Wed!T41+Fri!T41+'Mon '!T41+'Wed (2)'!T41+Sun!T41+Sat!T41)</f>
        <v>0</v>
      </c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7" t="s">
        <v>62</v>
      </c>
      <c r="G42" s="70">
        <f>('Thurs (2)'!G42+Thurs!G42+'Tues '!G42+Wed!G42+Fri!G42+'Mon '!G42+'Wed (2)'!G42+Sun!G42+Sat!G42)</f>
        <v>0</v>
      </c>
      <c r="H42" s="70">
        <f>('Thurs (2)'!H42+Thurs!H42+'Tues '!H42+Wed!H42+Fri!H42+'Mon '!H42+'Wed (2)'!H42+Sun!H42+Sat!H42)</f>
        <v>0</v>
      </c>
      <c r="I42" s="70">
        <f>('Thurs (2)'!I42+Thurs!I42+'Tues '!I42+Wed!I42+Fri!I42+'Mon '!I42+'Wed (2)'!I42+Sun!I42+Sat!I42)</f>
        <v>0</v>
      </c>
      <c r="J42" s="70">
        <f>('Thurs (2)'!J42+Thurs!J42+'Tues '!J42+Wed!J42+Fri!J42+'Mon '!J42+'Wed (2)'!J42+Sun!J42+Sat!J42)</f>
        <v>0</v>
      </c>
      <c r="K42" s="70">
        <f>('Thurs (2)'!K42+Thurs!K42+'Tues '!K42+Wed!K42+Fri!K42+'Mon '!K42+'Wed (2)'!K42+Sun!K42+Sat!K42)</f>
        <v>0</v>
      </c>
      <c r="L42" s="70">
        <f>('Thurs (2)'!L42+Thurs!L42+'Tues '!L42+Wed!L42+Fri!L42+'Mon '!L42+'Wed (2)'!L42+Sun!L42+Sat!L42)</f>
        <v>0</v>
      </c>
      <c r="M42" s="70">
        <f>('Thurs (2)'!M42+Thurs!M42+'Tues '!M42+Wed!M42+Fri!M42+'Mon '!M42+'Wed (2)'!M42+Sun!M42+Sat!M42)</f>
        <v>0</v>
      </c>
      <c r="N42" s="70">
        <f>('Thurs (2)'!N42+Thurs!N42+'Tues '!N42+Wed!N42+Fri!N42+'Mon '!N42+'Wed (2)'!N42+Sun!N42+Sat!N42)</f>
        <v>0</v>
      </c>
      <c r="O42" s="70">
        <f>('Thurs (2)'!O42+Thurs!O42+'Tues '!O42+Wed!O42+Fri!O42+'Mon '!O42+'Wed (2)'!O42+Sun!O42+Sat!O42)</f>
        <v>0</v>
      </c>
      <c r="P42" s="70">
        <f>('Thurs (2)'!P42+Thurs!P42+'Tues '!P42+Wed!P42+Fri!P42+'Mon '!P42+'Wed (2)'!P42+Sun!P42+Sat!P42)</f>
        <v>0</v>
      </c>
      <c r="Q42" s="70">
        <f>('Thurs (2)'!Q42+Thurs!Q42+'Tues '!Q42+Wed!Q42+Fri!Q42+'Mon '!Q42+'Wed (2)'!Q42+Sun!Q42+Sat!Q42)</f>
        <v>0</v>
      </c>
      <c r="R42" s="70">
        <f>('Thurs (2)'!R42+Thurs!R42+'Tues '!R42+Wed!R42+Fri!R42+'Mon '!R42+'Wed (2)'!R42+Sun!R42+Sat!R42)</f>
        <v>0</v>
      </c>
      <c r="S42" s="70">
        <f>('Thurs (2)'!S42+Thurs!S42+'Tues '!S42+Wed!S42+Fri!S42+'Mon '!S42+'Wed (2)'!S42+Sun!S42+Sat!S42)</f>
        <v>0</v>
      </c>
      <c r="T42" s="70">
        <f>('Thurs (2)'!T42+Thurs!T42+'Tues '!T42+Wed!T42+Fri!T42+'Mon '!T42+'Wed (2)'!T42+Sun!T42+Sat!T42)</f>
        <v>0</v>
      </c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7" t="s">
        <v>63</v>
      </c>
      <c r="G43" s="70">
        <f>('Thurs (2)'!G43+Thurs!G43+'Tues '!G43+Wed!G43+Fri!G43+'Mon '!G43+'Wed (2)'!G43+Sun!G43+Sat!G43)</f>
        <v>0</v>
      </c>
      <c r="H43" s="70">
        <f>('Thurs (2)'!H43+Thurs!H43+'Tues '!H43+Wed!H43+Fri!H43+'Mon '!H43+'Wed (2)'!H43+Sun!H43+Sat!H43)</f>
        <v>0</v>
      </c>
      <c r="I43" s="70">
        <f>('Thurs (2)'!I43+Thurs!I43+'Tues '!I43+Wed!I43+Fri!I43+'Mon '!I43+'Wed (2)'!I43+Sun!I43+Sat!I43)</f>
        <v>0</v>
      </c>
      <c r="J43" s="70">
        <f>('Thurs (2)'!J43+Thurs!J43+'Tues '!J43+Wed!J43+Fri!J43+'Mon '!J43+'Wed (2)'!J43+Sun!J43+Sat!J43)</f>
        <v>0</v>
      </c>
      <c r="K43" s="70">
        <f>('Thurs (2)'!K43+Thurs!K43+'Tues '!K43+Wed!K43+Fri!K43+'Mon '!K43+'Wed (2)'!K43+Sun!K43+Sat!K43)</f>
        <v>0</v>
      </c>
      <c r="L43" s="70">
        <f>('Thurs (2)'!L43+Thurs!L43+'Tues '!L43+Wed!L43+Fri!L43+'Mon '!L43+'Wed (2)'!L43+Sun!L43+Sat!L43)</f>
        <v>0</v>
      </c>
      <c r="M43" s="70">
        <f>('Thurs (2)'!M43+Thurs!M43+'Tues '!M43+Wed!M43+Fri!M43+'Mon '!M43+'Wed (2)'!M43+Sun!M43+Sat!M43)</f>
        <v>0</v>
      </c>
      <c r="N43" s="70">
        <f>('Thurs (2)'!N43+Thurs!N43+'Tues '!N43+Wed!N43+Fri!N43+'Mon '!N43+'Wed (2)'!N43+Sun!N43+Sat!N43)</f>
        <v>0</v>
      </c>
      <c r="O43" s="70">
        <f>('Thurs (2)'!O43+Thurs!O43+'Tues '!O43+Wed!O43+Fri!O43+'Mon '!O43+'Wed (2)'!O43+Sun!O43+Sat!O43)</f>
        <v>0</v>
      </c>
      <c r="P43" s="70">
        <f>('Thurs (2)'!P43+Thurs!P43+'Tues '!P43+Wed!P43+Fri!P43+'Mon '!P43+'Wed (2)'!P43+Sun!P43+Sat!P43)</f>
        <v>0</v>
      </c>
      <c r="Q43" s="70">
        <f>('Thurs (2)'!Q43+Thurs!Q43+'Tues '!Q43+Wed!Q43+Fri!Q43+'Mon '!Q43+'Wed (2)'!Q43+Sun!Q43+Sat!Q43)</f>
        <v>0</v>
      </c>
      <c r="R43" s="70">
        <f>('Thurs (2)'!R43+Thurs!R43+'Tues '!R43+Wed!R43+Fri!R43+'Mon '!R43+'Wed (2)'!R43+Sun!R43+Sat!R43)</f>
        <v>0</v>
      </c>
      <c r="S43" s="70">
        <f>('Thurs (2)'!S43+Thurs!S43+'Tues '!S43+Wed!S43+Fri!S43+'Mon '!S43+'Wed (2)'!S43+Sun!S43+Sat!S43)</f>
        <v>0</v>
      </c>
      <c r="T43" s="70">
        <f>('Thurs (2)'!T43+Thurs!T43+'Tues '!T43+Wed!T43+Fri!T43+'Mon '!T43+'Wed (2)'!T43+Sun!T43+Sat!T43)</f>
        <v>0</v>
      </c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>
        <f>('Thurs (2)'!G44+Thurs!G44+'Tues '!G44+Wed!G44+Fri!G44+'Mon '!G44+'Wed (2)'!G44+Sun!G44+Sat!G44)</f>
        <v>0</v>
      </c>
      <c r="H44" s="70">
        <f>('Thurs (2)'!H44+Thurs!H44+'Tues '!H44+Wed!H44+Fri!H44+'Mon '!H44+'Wed (2)'!H44+Sun!H44+Sat!H44)</f>
        <v>0</v>
      </c>
      <c r="I44" s="70">
        <f>('Thurs (2)'!I44+Thurs!I44+'Tues '!I44+Wed!I44+Fri!I44+'Mon '!I44+'Wed (2)'!I44+Sun!I44+Sat!I44)</f>
        <v>0</v>
      </c>
      <c r="J44" s="70">
        <f>('Thurs (2)'!J44+Thurs!J44+'Tues '!J44+Wed!J44+Fri!J44+'Mon '!J44+'Wed (2)'!J44+Sun!J44+Sat!J44)</f>
        <v>0</v>
      </c>
      <c r="K44" s="70">
        <f>('Thurs (2)'!K44+Thurs!K44+'Tues '!K44+Wed!K44+Fri!K44+'Mon '!K44+'Wed (2)'!K44+Sun!K44+Sat!K44)</f>
        <v>0</v>
      </c>
      <c r="L44" s="70">
        <f>('Thurs (2)'!L44+Thurs!L44+'Tues '!L44+Wed!L44+Fri!L44+'Mon '!L44+'Wed (2)'!L44+Sun!L44+Sat!L44)</f>
        <v>0</v>
      </c>
      <c r="M44" s="70">
        <f>('Thurs (2)'!M44+Thurs!M44+'Tues '!M44+Wed!M44+Fri!M44+'Mon '!M44+'Wed (2)'!M44+Sun!M44+Sat!M44)</f>
        <v>0</v>
      </c>
      <c r="N44" s="70">
        <f>('Thurs (2)'!N44+Thurs!N44+'Tues '!N44+Wed!N44+Fri!N44+'Mon '!N44+'Wed (2)'!N44+Sun!N44+Sat!N44)</f>
        <v>0</v>
      </c>
      <c r="O44" s="70">
        <f>('Thurs (2)'!O44+Thurs!O44+'Tues '!O44+Wed!O44+Fri!O44+'Mon '!O44+'Wed (2)'!O44+Sun!O44+Sat!O44)</f>
        <v>0</v>
      </c>
      <c r="P44" s="70">
        <f>('Thurs (2)'!P44+Thurs!P44+'Tues '!P44+Wed!P44+Fri!P44+'Mon '!P44+'Wed (2)'!P44+Sun!P44+Sat!P44)</f>
        <v>0</v>
      </c>
      <c r="Q44" s="70">
        <f>('Thurs (2)'!Q44+Thurs!Q44+'Tues '!Q44+Wed!Q44+Fri!Q44+'Mon '!Q44+'Wed (2)'!Q44+Sun!Q44+Sat!Q44)</f>
        <v>0</v>
      </c>
      <c r="R44" s="70">
        <f>('Thurs (2)'!R44+Thurs!R44+'Tues '!R44+Wed!R44+Fri!R44+'Mon '!R44+'Wed (2)'!R44+Sun!R44+Sat!R44)</f>
        <v>0</v>
      </c>
      <c r="S44" s="70">
        <f>('Thurs (2)'!S44+Thurs!S44+'Tues '!S44+Wed!S44+Fri!S44+'Mon '!S44+'Wed (2)'!S44+Sun!S44+Sat!S44)</f>
        <v>0</v>
      </c>
      <c r="T44" s="70">
        <f>('Thurs (2)'!T44+Thurs!T44+'Tues '!T44+Wed!T44+Fri!T44+'Mon '!T44+'Wed (2)'!T44+Sun!T44+Sat!T44)</f>
        <v>0</v>
      </c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>
        <f>('Thurs (2)'!G45+Thurs!G45+'Tues '!G45+Wed!G45+Fri!G45+'Mon '!G45+'Wed (2)'!G45+Sun!G45+Sat!G45)</f>
        <v>0</v>
      </c>
      <c r="H45" s="70">
        <f>('Thurs (2)'!H45+Thurs!H45+'Tues '!H45+Wed!H45+Fri!H45+'Mon '!H45+'Wed (2)'!H45+Sun!H45+Sat!H45)</f>
        <v>0</v>
      </c>
      <c r="I45" s="70">
        <f>('Thurs (2)'!I45+Thurs!I45+'Tues '!I45+Wed!I45+Fri!I45+'Mon '!I45+'Wed (2)'!I45+Sun!I45+Sat!I45)</f>
        <v>0</v>
      </c>
      <c r="J45" s="70">
        <f>('Thurs (2)'!J45+Thurs!J45+'Tues '!J45+Wed!J45+Fri!J45+'Mon '!J45+'Wed (2)'!J45+Sun!J45+Sat!J45)</f>
        <v>0</v>
      </c>
      <c r="K45" s="70">
        <f>('Thurs (2)'!K45+Thurs!K45+'Tues '!K45+Wed!K45+Fri!K45+'Mon '!K45+'Wed (2)'!K45+Sun!K45+Sat!K45)</f>
        <v>0</v>
      </c>
      <c r="L45" s="70">
        <f>('Thurs (2)'!L45+Thurs!L45+'Tues '!L45+Wed!L45+Fri!L45+'Mon '!L45+'Wed (2)'!L45+Sun!L45+Sat!L45)</f>
        <v>0</v>
      </c>
      <c r="M45" s="70">
        <f>('Thurs (2)'!M45+Thurs!M45+'Tues '!M45+Wed!M45+Fri!M45+'Mon '!M45+'Wed (2)'!M45+Sun!M45+Sat!M45)</f>
        <v>0</v>
      </c>
      <c r="N45" s="70">
        <f>('Thurs (2)'!N45+Thurs!N45+'Tues '!N45+Wed!N45+Fri!N45+'Mon '!N45+'Wed (2)'!N45+Sun!N45+Sat!N45)</f>
        <v>0</v>
      </c>
      <c r="O45" s="70">
        <f>('Thurs (2)'!O45+Thurs!O45+'Tues '!O45+Wed!O45+Fri!O45+'Mon '!O45+'Wed (2)'!O45+Sun!O45+Sat!O45)</f>
        <v>0</v>
      </c>
      <c r="P45" s="70">
        <f>('Thurs (2)'!P45+Thurs!P45+'Tues '!P45+Wed!P45+Fri!P45+'Mon '!P45+'Wed (2)'!P45+Sun!P45+Sat!P45)</f>
        <v>0</v>
      </c>
      <c r="Q45" s="70">
        <f>('Thurs (2)'!Q45+Thurs!Q45+'Tues '!Q45+Wed!Q45+Fri!Q45+'Mon '!Q45+'Wed (2)'!Q45+Sun!Q45+Sat!Q45)</f>
        <v>0</v>
      </c>
      <c r="R45" s="70">
        <f>('Thurs (2)'!R45+Thurs!R45+'Tues '!R45+Wed!R45+Fri!R45+'Mon '!R45+'Wed (2)'!R45+Sun!R45+Sat!R45)</f>
        <v>0</v>
      </c>
      <c r="S45" s="70">
        <f>('Thurs (2)'!S45+Thurs!S45+'Tues '!S45+Wed!S45+Fri!S45+'Mon '!S45+'Wed (2)'!S45+Sun!S45+Sat!S45)</f>
        <v>0</v>
      </c>
      <c r="T45" s="70">
        <f>('Thurs (2)'!T45+Thurs!T45+'Tues '!T45+Wed!T45+Fri!T45+'Mon '!T45+'Wed (2)'!T45+Sun!T45+Sat!T45)</f>
        <v>0</v>
      </c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>
        <f>('Thurs (2)'!G46+Thurs!G46+'Tues '!G46+Wed!G46+Fri!G46+'Mon '!G46+'Wed (2)'!G46+Sun!G46+Sat!G46)</f>
        <v>0</v>
      </c>
      <c r="H46" s="70">
        <f>('Thurs (2)'!H46+Thurs!H46+'Tues '!H46+Wed!H46+Fri!H46+'Mon '!H46+'Wed (2)'!H46+Sun!H46+Sat!H46)</f>
        <v>0</v>
      </c>
      <c r="I46" s="70">
        <f>('Thurs (2)'!I46+Thurs!I46+'Tues '!I46+Wed!I46+Fri!I46+'Mon '!I46+'Wed (2)'!I46+Sun!I46+Sat!I46)</f>
        <v>0</v>
      </c>
      <c r="J46" s="70">
        <f>('Thurs (2)'!J46+Thurs!J46+'Tues '!J46+Wed!J46+Fri!J46+'Mon '!J46+'Wed (2)'!J46+Sun!J46+Sat!J46)</f>
        <v>0</v>
      </c>
      <c r="K46" s="70">
        <f>('Thurs (2)'!K46+Thurs!K46+'Tues '!K46+Wed!K46+Fri!K46+'Mon '!K46+'Wed (2)'!K46+Sun!K46+Sat!K46)</f>
        <v>0</v>
      </c>
      <c r="L46" s="70">
        <f>('Thurs (2)'!L46+Thurs!L46+'Tues '!L46+Wed!L46+Fri!L46+'Mon '!L46+'Wed (2)'!L46+Sun!L46+Sat!L46)</f>
        <v>0</v>
      </c>
      <c r="M46" s="70">
        <f>('Thurs (2)'!M46+Thurs!M46+'Tues '!M46+Wed!M46+Fri!M46+'Mon '!M46+'Wed (2)'!M46+Sun!M46+Sat!M46)</f>
        <v>0</v>
      </c>
      <c r="N46" s="70">
        <f>('Thurs (2)'!N46+Thurs!N46+'Tues '!N46+Wed!N46+Fri!N46+'Mon '!N46+'Wed (2)'!N46+Sun!N46+Sat!N46)</f>
        <v>0</v>
      </c>
      <c r="O46" s="70">
        <f>('Thurs (2)'!O46+Thurs!O46+'Tues '!O46+Wed!O46+Fri!O46+'Mon '!O46+'Wed (2)'!O46+Sun!O46+Sat!O46)</f>
        <v>0</v>
      </c>
      <c r="P46" s="70">
        <f>('Thurs (2)'!P46+Thurs!P46+'Tues '!P46+Wed!P46+Fri!P46+'Mon '!P46+'Wed (2)'!P46+Sun!P46+Sat!P46)</f>
        <v>0</v>
      </c>
      <c r="Q46" s="70">
        <f>('Thurs (2)'!Q46+Thurs!Q46+'Tues '!Q46+Wed!Q46+Fri!Q46+'Mon '!Q46+'Wed (2)'!Q46+Sun!Q46+Sat!Q46)</f>
        <v>0</v>
      </c>
      <c r="R46" s="70">
        <f>('Thurs (2)'!R46+Thurs!R46+'Tues '!R46+Wed!R46+Fri!R46+'Mon '!R46+'Wed (2)'!R46+Sun!R46+Sat!R46)</f>
        <v>0</v>
      </c>
      <c r="S46" s="70">
        <f>('Thurs (2)'!S46+Thurs!S46+'Tues '!S46+Wed!S46+Fri!S46+'Mon '!S46+'Wed (2)'!S46+Sun!S46+Sat!S46)</f>
        <v>0</v>
      </c>
      <c r="T46" s="70">
        <f>('Thurs (2)'!T46+Thurs!T46+'Tues '!T46+Wed!T46+Fri!T46+'Mon '!T46+'Wed (2)'!T46+Sun!T46+Sat!T46)</f>
        <v>0</v>
      </c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>
        <f>('Thurs (2)'!G47+Thurs!G47+'Tues '!G47+Wed!G47+Fri!G47+'Mon '!G47+'Wed (2)'!G47+Sun!G47+Sat!G47)</f>
        <v>0</v>
      </c>
      <c r="H47" s="70">
        <f>('Thurs (2)'!H47+Thurs!H47+'Tues '!H47+Wed!H47+Fri!H47+'Mon '!H47+'Wed (2)'!H47+Sun!H47+Sat!H47)</f>
        <v>0</v>
      </c>
      <c r="I47" s="70">
        <f>('Thurs (2)'!I47+Thurs!I47+'Tues '!I47+Wed!I47+Fri!I47+'Mon '!I47+'Wed (2)'!I47+Sun!I47+Sat!I47)</f>
        <v>0</v>
      </c>
      <c r="J47" s="70">
        <f>('Thurs (2)'!J47+Thurs!J47+'Tues '!J47+Wed!J47+Fri!J47+'Mon '!J47+'Wed (2)'!J47+Sun!J47+Sat!J47)</f>
        <v>0</v>
      </c>
      <c r="K47" s="70">
        <f>('Thurs (2)'!K47+Thurs!K47+'Tues '!K47+Wed!K47+Fri!K47+'Mon '!K47+'Wed (2)'!K47+Sun!K47+Sat!K47)</f>
        <v>0</v>
      </c>
      <c r="L47" s="70">
        <f>('Thurs (2)'!L47+Thurs!L47+'Tues '!L47+Wed!L47+Fri!L47+'Mon '!L47+'Wed (2)'!L47+Sun!L47+Sat!L47)</f>
        <v>0</v>
      </c>
      <c r="M47" s="70">
        <f>('Thurs (2)'!M47+Thurs!M47+'Tues '!M47+Wed!M47+Fri!M47+'Mon '!M47+'Wed (2)'!M47+Sun!M47+Sat!M47)</f>
        <v>0</v>
      </c>
      <c r="N47" s="70">
        <f>('Thurs (2)'!N47+Thurs!N47+'Tues '!N47+Wed!N47+Fri!N47+'Mon '!N47+'Wed (2)'!N47+Sun!N47+Sat!N47)</f>
        <v>0</v>
      </c>
      <c r="O47" s="70">
        <f>('Thurs (2)'!O47+Thurs!O47+'Tues '!O47+Wed!O47+Fri!O47+'Mon '!O47+'Wed (2)'!O47+Sun!O47+Sat!O47)</f>
        <v>0</v>
      </c>
      <c r="P47" s="70">
        <f>('Thurs (2)'!P47+Thurs!P47+'Tues '!P47+Wed!P47+Fri!P47+'Mon '!P47+'Wed (2)'!P47+Sun!P47+Sat!P47)</f>
        <v>0</v>
      </c>
      <c r="Q47" s="70">
        <f>('Thurs (2)'!Q47+Thurs!Q47+'Tues '!Q47+Wed!Q47+Fri!Q47+'Mon '!Q47+'Wed (2)'!Q47+Sun!Q47+Sat!Q47)</f>
        <v>0</v>
      </c>
      <c r="R47" s="70">
        <f>('Thurs (2)'!R47+Thurs!R47+'Tues '!R47+Wed!R47+Fri!R47+'Mon '!R47+'Wed (2)'!R47+Sun!R47+Sat!R47)</f>
        <v>0</v>
      </c>
      <c r="S47" s="70">
        <f>('Thurs (2)'!S47+Thurs!S47+'Tues '!S47+Wed!S47+Fri!S47+'Mon '!S47+'Wed (2)'!S47+Sun!S47+Sat!S47)</f>
        <v>0</v>
      </c>
      <c r="T47" s="70">
        <f>('Thurs (2)'!T47+Thurs!T47+'Tues '!T47+Wed!T47+Fri!T47+'Mon '!T47+'Wed (2)'!T47+Sun!T47+Sat!T47)</f>
        <v>0</v>
      </c>
      <c r="U47" s="71">
        <f t="shared" si="3"/>
        <v>0</v>
      </c>
      <c r="V47" s="71">
        <f t="shared" si="4"/>
        <v>0</v>
      </c>
      <c r="W47" s="72"/>
    </row>
    <row r="48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>
        <f>('Thurs (2)'!G48+Thurs!G48+'Tues '!G48+Wed!G48+Fri!G48+'Mon '!G48+'Wed (2)'!G48+Sun!G48+Sat!G48)</f>
        <v>0</v>
      </c>
      <c r="H48" s="70">
        <f>('Thurs (2)'!H48+Thurs!H48+'Tues '!H48+Wed!H48+Fri!H48+'Mon '!H48+'Wed (2)'!H48+Sun!H48+Sat!H48)</f>
        <v>0</v>
      </c>
      <c r="I48" s="70">
        <f>('Thurs (2)'!I48+Thurs!I48+'Tues '!I48+Wed!I48+Fri!I48+'Mon '!I48+'Wed (2)'!I48+Sun!I48+Sat!I48)</f>
        <v>0</v>
      </c>
      <c r="J48" s="70">
        <f>('Thurs (2)'!J48+Thurs!J48+'Tues '!J48+Wed!J48+Fri!J48+'Mon '!J48+'Wed (2)'!J48+Sun!J48+Sat!J48)</f>
        <v>0</v>
      </c>
      <c r="K48" s="70">
        <f>('Thurs (2)'!K48+Thurs!K48+'Tues '!K48+Wed!K48+Fri!K48+'Mon '!K48+'Wed (2)'!K48+Sun!K48+Sat!K48)</f>
        <v>0</v>
      </c>
      <c r="L48" s="70">
        <f>('Thurs (2)'!L48+Thurs!L48+'Tues '!L48+Wed!L48+Fri!L48+'Mon '!L48+'Wed (2)'!L48+Sun!L48+Sat!L48)</f>
        <v>0</v>
      </c>
      <c r="M48" s="70">
        <f>('Thurs (2)'!M48+Thurs!M48+'Tues '!M48+Wed!M48+Fri!M48+'Mon '!M48+'Wed (2)'!M48+Sun!M48+Sat!M48)</f>
        <v>0</v>
      </c>
      <c r="N48" s="70">
        <f>('Thurs (2)'!N48+Thurs!N48+'Tues '!N48+Wed!N48+Fri!N48+'Mon '!N48+'Wed (2)'!N48+Sun!N48+Sat!N48)</f>
        <v>0</v>
      </c>
      <c r="O48" s="70">
        <f>('Thurs (2)'!O48+Thurs!O48+'Tues '!O48+Wed!O48+Fri!O48+'Mon '!O48+'Wed (2)'!O48+Sun!O48+Sat!O48)</f>
        <v>0</v>
      </c>
      <c r="P48" s="70">
        <f>('Thurs (2)'!P48+Thurs!P48+'Tues '!P48+Wed!P48+Fri!P48+'Mon '!P48+'Wed (2)'!P48+Sun!P48+Sat!P48)</f>
        <v>0</v>
      </c>
      <c r="Q48" s="70">
        <f>('Thurs (2)'!Q48+Thurs!Q48+'Tues '!Q48+Wed!Q48+Fri!Q48+'Mon '!Q48+'Wed (2)'!Q48+Sun!Q48+Sat!Q48)</f>
        <v>0</v>
      </c>
      <c r="R48" s="70">
        <f>('Thurs (2)'!R48+Thurs!R48+'Tues '!R48+Wed!R48+Fri!R48+'Mon '!R48+'Wed (2)'!R48+Sun!R48+Sat!R48)</f>
        <v>0</v>
      </c>
      <c r="S48" s="70">
        <f>('Thurs (2)'!S48+Thurs!S48+'Tues '!S48+Wed!S48+Fri!S48+'Mon '!S48+'Wed (2)'!S48+Sun!S48+Sat!S48)</f>
        <v>0</v>
      </c>
      <c r="T48" s="70">
        <f>('Thurs (2)'!T48+Thurs!T48+'Tues '!T48+Wed!T48+Fri!T48+'Mon '!T48+'Wed (2)'!T48+Sun!T48+Sat!T48)</f>
        <v>0</v>
      </c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>
        <f>('Thurs (2)'!G50+Thurs!G50+'Tues '!G50+Wed!G50+Fri!G50+'Mon '!G50+'Wed (2)'!G50+Sun!G50+Sat!G50)</f>
        <v>0</v>
      </c>
      <c r="H50" s="70">
        <f>('Thurs (2)'!H50+Thurs!H50+'Tues '!H50+Wed!H50+Fri!H50+'Mon '!H50+'Wed (2)'!H50+Sun!H50+Sat!H50)</f>
        <v>0</v>
      </c>
      <c r="I50" s="70">
        <f>('Thurs (2)'!I50+Thurs!I50+'Tues '!I50+Wed!I50+Fri!I50+'Mon '!I50+'Wed (2)'!I50+Sun!I50+Sat!I50)</f>
        <v>0</v>
      </c>
      <c r="J50" s="70">
        <f>('Thurs (2)'!J50+Thurs!J50+'Tues '!J50+Wed!J50+Fri!J50+'Mon '!J50+'Wed (2)'!J50+Sun!J50+Sat!J50)</f>
        <v>0</v>
      </c>
      <c r="K50" s="70">
        <f>('Thurs (2)'!K50+Thurs!K50+'Tues '!K50+Wed!K50+Fri!K50+'Mon '!K50+'Wed (2)'!K50+Sun!K50+Sat!K50)</f>
        <v>0</v>
      </c>
      <c r="L50" s="70">
        <f>('Thurs (2)'!L50+Thurs!L50+'Tues '!L50+Wed!L50+Fri!L50+'Mon '!L50+'Wed (2)'!L50+Sun!L50+Sat!L50)</f>
        <v>0</v>
      </c>
      <c r="M50" s="70">
        <f>('Thurs (2)'!M50+Thurs!M50+'Tues '!M50+Wed!M50+Fri!M50+'Mon '!M50+'Wed (2)'!M50+Sun!M50+Sat!M50)</f>
        <v>0</v>
      </c>
      <c r="N50" s="70">
        <f>('Thurs (2)'!N50+Thurs!N50+'Tues '!N50+Wed!N50+Fri!N50+'Mon '!N50+'Wed (2)'!N50+Sun!N50+Sat!N50)</f>
        <v>0</v>
      </c>
      <c r="O50" s="70">
        <f>('Thurs (2)'!O50+Thurs!O50+'Tues '!O50+Wed!O50+Fri!O50+'Mon '!O50+'Wed (2)'!O50+Sun!O50+Sat!O50)</f>
        <v>0</v>
      </c>
      <c r="P50" s="70">
        <f>('Thurs (2)'!P50+Thurs!P50+'Tues '!P50+Wed!P50+Fri!P50+'Mon '!P50+'Wed (2)'!P50+Sun!P50+Sat!P50)</f>
        <v>0</v>
      </c>
      <c r="Q50" s="70">
        <f>('Thurs (2)'!Q50+Thurs!Q50+'Tues '!Q50+Wed!Q50+Fri!Q50+'Mon '!Q50+'Wed (2)'!Q50+Sun!Q50+Sat!Q50)</f>
        <v>0</v>
      </c>
      <c r="R50" s="70">
        <f>('Thurs (2)'!R50+Thurs!R50+'Tues '!R50+Wed!R50+Fri!R50+'Mon '!R50+'Wed (2)'!R50+Sun!R50+Sat!R50)</f>
        <v>0</v>
      </c>
      <c r="S50" s="70">
        <f>('Thurs (2)'!S50+Thurs!S50+'Tues '!S50+Wed!S50+Fri!S50+'Mon '!S50+'Wed (2)'!S50+Sun!S50+Sat!S50)</f>
        <v>0</v>
      </c>
      <c r="T50" s="70">
        <f>('Thurs (2)'!T50+Thurs!T50+'Tues '!T50+Wed!T50+Fri!T50+'Mon '!T50+'Wed (2)'!T50+Sun!T50+Sat!T50)</f>
        <v>0</v>
      </c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>
      <c r="A51" s="73" t="s">
        <v>29</v>
      </c>
      <c r="B51" s="77"/>
      <c r="C51" s="75"/>
      <c r="D51" s="75"/>
      <c r="E51" s="75"/>
      <c r="F51" s="77" t="s">
        <v>68</v>
      </c>
      <c r="G51" s="70">
        <f>('Thurs (2)'!G51+Thurs!G51+'Tues '!G51+Wed!G51+Fri!G51+'Mon '!G51+'Wed (2)'!G51+Sun!G51+Sat!G51)</f>
        <v>0</v>
      </c>
      <c r="H51" s="70">
        <f>('Thurs (2)'!H51+Thurs!H51+'Tues '!H51+Wed!H51+Fri!H51+'Mon '!H51+'Wed (2)'!H51+Sun!H51+Sat!H51)</f>
        <v>0</v>
      </c>
      <c r="I51" s="70">
        <f>('Thurs (2)'!I51+Thurs!I51+'Tues '!I51+Wed!I51+Fri!I51+'Mon '!I51+'Wed (2)'!I51+Sun!I51+Sat!I51)</f>
        <v>0</v>
      </c>
      <c r="J51" s="70">
        <f>('Thurs (2)'!J51+Thurs!J51+'Tues '!J51+Wed!J51+Fri!J51+'Mon '!J51+'Wed (2)'!J51+Sun!J51+Sat!J51)</f>
        <v>0</v>
      </c>
      <c r="K51" s="70">
        <f>('Thurs (2)'!K51+Thurs!K51+'Tues '!K51+Wed!K51+Fri!K51+'Mon '!K51+'Wed (2)'!K51+Sun!K51+Sat!K51)</f>
        <v>0</v>
      </c>
      <c r="L51" s="70">
        <f>('Thurs (2)'!L51+Thurs!L51+'Tues '!L51+Wed!L51+Fri!L51+'Mon '!L51+'Wed (2)'!L51+Sun!L51+Sat!L51)</f>
        <v>0</v>
      </c>
      <c r="M51" s="70">
        <f>('Thurs (2)'!M51+Thurs!M51+'Tues '!M51+Wed!M51+Fri!M51+'Mon '!M51+'Wed (2)'!M51+Sun!M51+Sat!M51)</f>
        <v>0</v>
      </c>
      <c r="N51" s="70">
        <f>('Thurs (2)'!N51+Thurs!N51+'Tues '!N51+Wed!N51+Fri!N51+'Mon '!N51+'Wed (2)'!N51+Sun!N51+Sat!N51)</f>
        <v>0</v>
      </c>
      <c r="O51" s="70">
        <f>('Thurs (2)'!O51+Thurs!O51+'Tues '!O51+Wed!O51+Fri!O51+'Mon '!O51+'Wed (2)'!O51+Sun!O51+Sat!O51)</f>
        <v>0</v>
      </c>
      <c r="P51" s="70">
        <f>('Thurs (2)'!P51+Thurs!P51+'Tues '!P51+Wed!P51+Fri!P51+'Mon '!P51+'Wed (2)'!P51+Sun!P51+Sat!P51)</f>
        <v>0</v>
      </c>
      <c r="Q51" s="70">
        <f>('Thurs (2)'!Q51+Thurs!Q51+'Tues '!Q51+Wed!Q51+Fri!Q51+'Mon '!Q51+'Wed (2)'!Q51+Sun!Q51+Sat!Q51)</f>
        <v>0</v>
      </c>
      <c r="R51" s="70">
        <f>('Thurs (2)'!R51+Thurs!R51+'Tues '!R51+Wed!R51+Fri!R51+'Mon '!R51+'Wed (2)'!R51+Sun!R51+Sat!R51)</f>
        <v>0</v>
      </c>
      <c r="S51" s="70">
        <f>('Thurs (2)'!S51+Thurs!S51+'Tues '!S51+Wed!S51+Fri!S51+'Mon '!S51+'Wed (2)'!S51+Sun!S51+Sat!S51)</f>
        <v>0</v>
      </c>
      <c r="T51" s="70">
        <f>('Thurs (2)'!T51+Thurs!T51+'Tues '!T51+Wed!T51+Fri!T51+'Mon '!T51+'Wed (2)'!T51+Sun!T51+Sat!T51)</f>
        <v>0</v>
      </c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70">
        <f>('Thurs (2)'!G52+Thurs!G52+'Tues '!G52+Wed!G52+Fri!G52+'Mon '!G52+'Wed (2)'!G52+Sun!G52+Sat!G52)</f>
        <v>11</v>
      </c>
      <c r="H52" s="70">
        <f>('Thurs (2)'!H52+Thurs!H52+'Tues '!H52+Wed!H52+Fri!H52+'Mon '!H52+'Wed (2)'!H52+Sun!H52+Sat!H52)</f>
        <v>4</v>
      </c>
      <c r="I52" s="70">
        <f>('Thurs (2)'!I52+Thurs!I52+'Tues '!I52+Wed!I52+Fri!I52+'Mon '!I52+'Wed (2)'!I52+Sun!I52+Sat!I52)</f>
        <v>2</v>
      </c>
      <c r="J52" s="70">
        <f>('Thurs (2)'!J52+Thurs!J52+'Tues '!J52+Wed!J52+Fri!J52+'Mon '!J52+'Wed (2)'!J52+Sun!J52+Sat!J52)</f>
        <v>0</v>
      </c>
      <c r="K52" s="70">
        <f>('Thurs (2)'!K52+Thurs!K52+'Tues '!K52+Wed!K52+Fri!K52+'Mon '!K52+'Wed (2)'!K52+Sun!K52+Sat!K52)</f>
        <v>0</v>
      </c>
      <c r="L52" s="70">
        <f>('Thurs (2)'!L52+Thurs!L52+'Tues '!L52+Wed!L52+Fri!L52+'Mon '!L52+'Wed (2)'!L52+Sun!L52+Sat!L52)</f>
        <v>0</v>
      </c>
      <c r="M52" s="70">
        <f>('Thurs (2)'!M52+Thurs!M52+'Tues '!M52+Wed!M52+Fri!M52+'Mon '!M52+'Wed (2)'!M52+Sun!M52+Sat!M52)</f>
        <v>2</v>
      </c>
      <c r="N52" s="70">
        <f>('Thurs (2)'!N52+Thurs!N52+'Tues '!N52+Wed!N52+Fri!N52+'Mon '!N52+'Wed (2)'!N52+Sun!N52+Sat!N52)</f>
        <v>2</v>
      </c>
      <c r="O52" s="70">
        <f>('Thurs (2)'!O52+Thurs!O52+'Tues '!O52+Wed!O52+Fri!O52+'Mon '!O52+'Wed (2)'!O52+Sun!O52+Sat!O52)</f>
        <v>1</v>
      </c>
      <c r="P52" s="70">
        <f>('Thurs (2)'!P52+Thurs!P52+'Tues '!P52+Wed!P52+Fri!P52+'Mon '!P52+'Wed (2)'!P52+Sun!P52+Sat!P52)</f>
        <v>0</v>
      </c>
      <c r="Q52" s="70">
        <f>('Thurs (2)'!Q52+Thurs!Q52+'Tues '!Q52+Wed!Q52+Fri!Q52+'Mon '!Q52+'Wed (2)'!Q52+Sun!Q52+Sat!Q52)</f>
        <v>0</v>
      </c>
      <c r="R52" s="70">
        <f>('Thurs (2)'!R52+Thurs!R52+'Tues '!R52+Wed!R52+Fri!R52+'Mon '!R52+'Wed (2)'!R52+Sun!R52+Sat!R52)</f>
        <v>2</v>
      </c>
      <c r="S52" s="70">
        <f>('Thurs (2)'!S52+Thurs!S52+'Tues '!S52+Wed!S52+Fri!S52+'Mon '!S52+'Wed (2)'!S52+Sun!S52+Sat!S52)</f>
        <v>1</v>
      </c>
      <c r="T52" s="70">
        <f>('Thurs (2)'!T52+Thurs!T52+'Tues '!T52+Wed!T52+Fri!T52+'Mon '!T52+'Wed (2)'!T52+Sun!T52+Sat!T52)</f>
        <v>2027</v>
      </c>
      <c r="U52" s="71">
        <f t="shared" si="5"/>
        <v>0.5</v>
      </c>
      <c r="V52" s="71">
        <f t="shared" si="6"/>
        <v>0.3636363636</v>
      </c>
      <c r="W52" s="72"/>
    </row>
    <row r="53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70">
        <f>('Thurs (2)'!G53+Thurs!G53+'Tues '!G53+Wed!G53+Fri!G53+'Mon '!G53+'Wed (2)'!G53+Sun!G53+Sat!G53)</f>
        <v>0</v>
      </c>
      <c r="H53" s="70">
        <f>('Thurs (2)'!H53+Thurs!H53+'Tues '!H53+Wed!H53+Fri!H53+'Mon '!H53+'Wed (2)'!H53+Sun!H53+Sat!H53)</f>
        <v>0</v>
      </c>
      <c r="I53" s="70">
        <f>('Thurs (2)'!I53+Thurs!I53+'Tues '!I53+Wed!I53+Fri!I53+'Mon '!I53+'Wed (2)'!I53+Sun!I53+Sat!I53)</f>
        <v>0</v>
      </c>
      <c r="J53" s="70">
        <f>('Thurs (2)'!J53+Thurs!J53+'Tues '!J53+Wed!J53+Fri!J53+'Mon '!J53+'Wed (2)'!J53+Sun!J53+Sat!J53)</f>
        <v>0</v>
      </c>
      <c r="K53" s="70">
        <f>('Thurs (2)'!K53+Thurs!K53+'Tues '!K53+Wed!K53+Fri!K53+'Mon '!K53+'Wed (2)'!K53+Sun!K53+Sat!K53)</f>
        <v>0</v>
      </c>
      <c r="L53" s="70">
        <f>('Thurs (2)'!L53+Thurs!L53+'Tues '!L53+Wed!L53+Fri!L53+'Mon '!L53+'Wed (2)'!L53+Sun!L53+Sat!L53)</f>
        <v>0</v>
      </c>
      <c r="M53" s="70">
        <f>('Thurs (2)'!M53+Thurs!M53+'Tues '!M53+Wed!M53+Fri!M53+'Mon '!M53+'Wed (2)'!M53+Sun!M53+Sat!M53)</f>
        <v>0</v>
      </c>
      <c r="N53" s="70">
        <f>('Thurs (2)'!N53+Thurs!N53+'Tues '!N53+Wed!N53+Fri!N53+'Mon '!N53+'Wed (2)'!N53+Sun!N53+Sat!N53)</f>
        <v>0</v>
      </c>
      <c r="O53" s="70">
        <f>('Thurs (2)'!O53+Thurs!O53+'Tues '!O53+Wed!O53+Fri!O53+'Mon '!O53+'Wed (2)'!O53+Sun!O53+Sat!O53)</f>
        <v>0</v>
      </c>
      <c r="P53" s="70">
        <f>('Thurs (2)'!P53+Thurs!P53+'Tues '!P53+Wed!P53+Fri!P53+'Mon '!P53+'Wed (2)'!P53+Sun!P53+Sat!P53)</f>
        <v>0</v>
      </c>
      <c r="Q53" s="70">
        <f>('Thurs (2)'!Q53+Thurs!Q53+'Tues '!Q53+Wed!Q53+Fri!Q53+'Mon '!Q53+'Wed (2)'!Q53+Sun!Q53+Sat!Q53)</f>
        <v>0</v>
      </c>
      <c r="R53" s="70">
        <f>('Thurs (2)'!R53+Thurs!R53+'Tues '!R53+Wed!R53+Fri!R53+'Mon '!R53+'Wed (2)'!R53+Sun!R53+Sat!R53)</f>
        <v>0</v>
      </c>
      <c r="S53" s="70">
        <f>('Thurs (2)'!S53+Thurs!S53+'Tues '!S53+Wed!S53+Fri!S53+'Mon '!S53+'Wed (2)'!S53+Sun!S53+Sat!S53)</f>
        <v>0</v>
      </c>
      <c r="T53" s="70">
        <f>('Thurs (2)'!T53+Thurs!T53+'Tues '!T53+Wed!T53+Fri!T53+'Mon '!T53+'Wed (2)'!T53+Sun!T53+Sat!T53)</f>
        <v>0</v>
      </c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70">
        <f>('Thurs (2)'!G55+Thurs!G55+'Tues '!G55+Wed!G55+Fri!G55+'Mon '!G55+'Wed (2)'!G55+Sun!G55+Sat!G55)</f>
        <v>0</v>
      </c>
      <c r="H55" s="70">
        <f>('Thurs (2)'!H55+Thurs!H55+'Tues '!H55+Wed!H55+Fri!H55+'Mon '!H55+'Wed (2)'!H55+Sun!H55+Sat!H55)</f>
        <v>0</v>
      </c>
      <c r="I55" s="70">
        <f>('Thurs (2)'!I55+Thurs!I55+'Tues '!I55+Wed!I55+Fri!I55+'Mon '!I55+'Wed (2)'!I55+Sun!I55+Sat!I55)</f>
        <v>0</v>
      </c>
      <c r="J55" s="70">
        <f>('Thurs (2)'!J55+Thurs!J55+'Tues '!J55+Wed!J55+Fri!J55+'Mon '!J55+'Wed (2)'!J55+Sun!J55+Sat!J55)</f>
        <v>0</v>
      </c>
      <c r="K55" s="70">
        <f>('Thurs (2)'!K55+Thurs!K55+'Tues '!K55+Wed!K55+Fri!K55+'Mon '!K55+'Wed (2)'!K55+Sun!K55+Sat!K55)</f>
        <v>0</v>
      </c>
      <c r="L55" s="70">
        <f>('Thurs (2)'!L55+Thurs!L55+'Tues '!L55+Wed!L55+Fri!L55+'Mon '!L55+'Wed (2)'!L55+Sun!L55+Sat!L55)</f>
        <v>0</v>
      </c>
      <c r="M55" s="70">
        <f>('Thurs (2)'!M55+Thurs!M55+'Tues '!M55+Wed!M55+Fri!M55+'Mon '!M55+'Wed (2)'!M55+Sun!M55+Sat!M55)</f>
        <v>0</v>
      </c>
      <c r="N55" s="70">
        <f>('Thurs (2)'!N55+Thurs!N55+'Tues '!N55+Wed!N55+Fri!N55+'Mon '!N55+'Wed (2)'!N55+Sun!N55+Sat!N55)</f>
        <v>0</v>
      </c>
      <c r="O55" s="70">
        <f>('Thurs (2)'!O55+Thurs!O55+'Tues '!O55+Wed!O55+Fri!O55+'Mon '!O55+'Wed (2)'!O55+Sun!O55+Sat!O55)</f>
        <v>0</v>
      </c>
      <c r="P55" s="70">
        <f>('Thurs (2)'!P55+Thurs!P55+'Tues '!P55+Wed!P55+Fri!P55+'Mon '!P55+'Wed (2)'!P55+Sun!P55+Sat!P55)</f>
        <v>0</v>
      </c>
      <c r="Q55" s="70">
        <f>('Thurs (2)'!Q55+Thurs!Q55+'Tues '!Q55+Wed!Q55+Fri!Q55+'Mon '!Q55+'Wed (2)'!Q55+Sun!Q55+Sat!Q55)</f>
        <v>0</v>
      </c>
      <c r="R55" s="70">
        <f>('Thurs (2)'!R55+Thurs!R55+'Tues '!R55+Wed!R55+Fri!R55+'Mon '!R55+'Wed (2)'!R55+Sun!R55+Sat!R55)</f>
        <v>0</v>
      </c>
      <c r="S55" s="70">
        <f>('Thurs (2)'!S55+Thurs!S55+'Tues '!S55+Wed!S55+Fri!S55+'Mon '!S55+'Wed (2)'!S55+Sun!S55+Sat!S55)</f>
        <v>0</v>
      </c>
      <c r="T55" s="70">
        <f>('Thurs (2)'!T55+Thurs!T55+'Tues '!T55+Wed!T55+Fri!T55+'Mon '!T55+'Wed (2)'!T55+Sun!T55+Sat!T55)</f>
        <v>0</v>
      </c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70">
        <f>('Thurs (2)'!G56+Thurs!G56+'Tues '!G56+Wed!G56+Fri!G56+'Mon '!G56+'Wed (2)'!G56+Sun!G56+Sat!G56)</f>
        <v>0</v>
      </c>
      <c r="H56" s="70">
        <f>('Thurs (2)'!H56+Thurs!H56+'Tues '!H56+Wed!H56+Fri!H56+'Mon '!H56+'Wed (2)'!H56+Sun!H56+Sat!H56)</f>
        <v>0</v>
      </c>
      <c r="I56" s="70">
        <f>('Thurs (2)'!I56+Thurs!I56+'Tues '!I56+Wed!I56+Fri!I56+'Mon '!I56+'Wed (2)'!I56+Sun!I56+Sat!I56)</f>
        <v>0</v>
      </c>
      <c r="J56" s="70">
        <f>('Thurs (2)'!J56+Thurs!J56+'Tues '!J56+Wed!J56+Fri!J56+'Mon '!J56+'Wed (2)'!J56+Sun!J56+Sat!J56)</f>
        <v>0</v>
      </c>
      <c r="K56" s="70">
        <f>('Thurs (2)'!K56+Thurs!K56+'Tues '!K56+Wed!K56+Fri!K56+'Mon '!K56+'Wed (2)'!K56+Sun!K56+Sat!K56)</f>
        <v>0</v>
      </c>
      <c r="L56" s="70">
        <f>('Thurs (2)'!L56+Thurs!L56+'Tues '!L56+Wed!L56+Fri!L56+'Mon '!L56+'Wed (2)'!L56+Sun!L56+Sat!L56)</f>
        <v>0</v>
      </c>
      <c r="M56" s="70">
        <f>('Thurs (2)'!M56+Thurs!M56+'Tues '!M56+Wed!M56+Fri!M56+'Mon '!M56+'Wed (2)'!M56+Sun!M56+Sat!M56)</f>
        <v>0</v>
      </c>
      <c r="N56" s="70">
        <f>('Thurs (2)'!N56+Thurs!N56+'Tues '!N56+Wed!N56+Fri!N56+'Mon '!N56+'Wed (2)'!N56+Sun!N56+Sat!N56)</f>
        <v>0</v>
      </c>
      <c r="O56" s="70">
        <f>('Thurs (2)'!O56+Thurs!O56+'Tues '!O56+Wed!O56+Fri!O56+'Mon '!O56+'Wed (2)'!O56+Sun!O56+Sat!O56)</f>
        <v>0</v>
      </c>
      <c r="P56" s="70">
        <f>('Thurs (2)'!P56+Thurs!P56+'Tues '!P56+Wed!P56+Fri!P56+'Mon '!P56+'Wed (2)'!P56+Sun!P56+Sat!P56)</f>
        <v>0</v>
      </c>
      <c r="Q56" s="70">
        <f>('Thurs (2)'!Q56+Thurs!Q56+'Tues '!Q56+Wed!Q56+Fri!Q56+'Mon '!Q56+'Wed (2)'!Q56+Sun!Q56+Sat!Q56)</f>
        <v>0</v>
      </c>
      <c r="R56" s="70">
        <f>('Thurs (2)'!R56+Thurs!R56+'Tues '!R56+Wed!R56+Fri!R56+'Mon '!R56+'Wed (2)'!R56+Sun!R56+Sat!R56)</f>
        <v>0</v>
      </c>
      <c r="S56" s="70">
        <f>('Thurs (2)'!S56+Thurs!S56+'Tues '!S56+Wed!S56+Fri!S56+'Mon '!S56+'Wed (2)'!S56+Sun!S56+Sat!S56)</f>
        <v>0</v>
      </c>
      <c r="T56" s="70">
        <f>('Thurs (2)'!T56+Thurs!T56+'Tues '!T56+Wed!T56+Fri!T56+'Mon '!T56+'Wed (2)'!T56+Sun!T56+Sat!T56)</f>
        <v>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70">
        <f>('Thurs (2)'!G57+Thurs!G57+'Tues '!G57+Wed!G57+Fri!G57+'Mon '!G57+'Wed (2)'!G57+Sun!G57+Sat!G57)</f>
        <v>0</v>
      </c>
      <c r="H57" s="70">
        <f>('Thurs (2)'!H57+Thurs!H57+'Tues '!H57+Wed!H57+Fri!H57+'Mon '!H57+'Wed (2)'!H57+Sun!H57+Sat!H57)</f>
        <v>0</v>
      </c>
      <c r="I57" s="70">
        <f>('Thurs (2)'!I57+Thurs!I57+'Tues '!I57+Wed!I57+Fri!I57+'Mon '!I57+'Wed (2)'!I57+Sun!I57+Sat!I57)</f>
        <v>0</v>
      </c>
      <c r="J57" s="70">
        <f>('Thurs (2)'!J57+Thurs!J57+'Tues '!J57+Wed!J57+Fri!J57+'Mon '!J57+'Wed (2)'!J57+Sun!J57+Sat!J57)</f>
        <v>0</v>
      </c>
      <c r="K57" s="70">
        <f>('Thurs (2)'!K57+Thurs!K57+'Tues '!K57+Wed!K57+Fri!K57+'Mon '!K57+'Wed (2)'!K57+Sun!K57+Sat!K57)</f>
        <v>0</v>
      </c>
      <c r="L57" s="70">
        <f>('Thurs (2)'!L57+Thurs!L57+'Tues '!L57+Wed!L57+Fri!L57+'Mon '!L57+'Wed (2)'!L57+Sun!L57+Sat!L57)</f>
        <v>0</v>
      </c>
      <c r="M57" s="70">
        <f>('Thurs (2)'!M57+Thurs!M57+'Tues '!M57+Wed!M57+Fri!M57+'Mon '!M57+'Wed (2)'!M57+Sun!M57+Sat!M57)</f>
        <v>0</v>
      </c>
      <c r="N57" s="70">
        <f>('Thurs (2)'!N57+Thurs!N57+'Tues '!N57+Wed!N57+Fri!N57+'Mon '!N57+'Wed (2)'!N57+Sun!N57+Sat!N57)</f>
        <v>0</v>
      </c>
      <c r="O57" s="70">
        <f>('Thurs (2)'!O57+Thurs!O57+'Tues '!O57+Wed!O57+Fri!O57+'Mon '!O57+'Wed (2)'!O57+Sun!O57+Sat!O57)</f>
        <v>0</v>
      </c>
      <c r="P57" s="70">
        <f>('Thurs (2)'!P57+Thurs!P57+'Tues '!P57+Wed!P57+Fri!P57+'Mon '!P57+'Wed (2)'!P57+Sun!P57+Sat!P57)</f>
        <v>0</v>
      </c>
      <c r="Q57" s="70">
        <f>('Thurs (2)'!Q57+Thurs!Q57+'Tues '!Q57+Wed!Q57+Fri!Q57+'Mon '!Q57+'Wed (2)'!Q57+Sun!Q57+Sat!Q57)</f>
        <v>0</v>
      </c>
      <c r="R57" s="70">
        <f>('Thurs (2)'!R57+Thurs!R57+'Tues '!R57+Wed!R57+Fri!R57+'Mon '!R57+'Wed (2)'!R57+Sun!R57+Sat!R57)</f>
        <v>0</v>
      </c>
      <c r="S57" s="70">
        <f>('Thurs (2)'!S57+Thurs!S57+'Tues '!S57+Wed!S57+Fri!S57+'Mon '!S57+'Wed (2)'!S57+Sun!S57+Sat!S57)</f>
        <v>0</v>
      </c>
      <c r="T57" s="70">
        <f>('Thurs (2)'!T57+Thurs!T57+'Tues '!T57+Wed!T57+Fri!T57+'Mon '!T57+'Wed (2)'!T57+Sun!T57+Sat!T57)</f>
        <v>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70">
        <f>('Thurs (2)'!G58+Thurs!G58+'Tues '!G58+Wed!G58+Fri!G58+'Mon '!G58+'Wed (2)'!G58+Sun!G58+Sat!G58)</f>
        <v>14</v>
      </c>
      <c r="H58" s="70">
        <f>('Thurs (2)'!H58+Thurs!H58+'Tues '!H58+Wed!H58+Fri!H58+'Mon '!H58+'Wed (2)'!H58+Sun!H58+Sat!H58)</f>
        <v>5</v>
      </c>
      <c r="I58" s="70">
        <f>('Thurs (2)'!I58+Thurs!I58+'Tues '!I58+Wed!I58+Fri!I58+'Mon '!I58+'Wed (2)'!I58+Sun!I58+Sat!I58)</f>
        <v>3</v>
      </c>
      <c r="J58" s="70">
        <f>('Thurs (2)'!J58+Thurs!J58+'Tues '!J58+Wed!J58+Fri!J58+'Mon '!J58+'Wed (2)'!J58+Sun!J58+Sat!J58)</f>
        <v>3</v>
      </c>
      <c r="K58" s="70">
        <f>('Thurs (2)'!K58+Thurs!K58+'Tues '!K58+Wed!K58+Fri!K58+'Mon '!K58+'Wed (2)'!K58+Sun!K58+Sat!K58)</f>
        <v>2</v>
      </c>
      <c r="L58" s="70">
        <f>('Thurs (2)'!L58+Thurs!L58+'Tues '!L58+Wed!L58+Fri!L58+'Mon '!L58+'Wed (2)'!L58+Sun!L58+Sat!L58)</f>
        <v>0</v>
      </c>
      <c r="M58" s="70">
        <f>('Thurs (2)'!M58+Thurs!M58+'Tues '!M58+Wed!M58+Fri!M58+'Mon '!M58+'Wed (2)'!M58+Sun!M58+Sat!M58)</f>
        <v>9</v>
      </c>
      <c r="N58" s="70">
        <f>('Thurs (2)'!N58+Thurs!N58+'Tues '!N58+Wed!N58+Fri!N58+'Mon '!N58+'Wed (2)'!N58+Sun!N58+Sat!N58)</f>
        <v>0</v>
      </c>
      <c r="O58" s="70">
        <f>('Thurs (2)'!O58+Thurs!O58+'Tues '!O58+Wed!O58+Fri!O58+'Mon '!O58+'Wed (2)'!O58+Sun!O58+Sat!O58)</f>
        <v>0</v>
      </c>
      <c r="P58" s="70">
        <f>('Thurs (2)'!P58+Thurs!P58+'Tues '!P58+Wed!P58+Fri!P58+'Mon '!P58+'Wed (2)'!P58+Sun!P58+Sat!P58)</f>
        <v>0</v>
      </c>
      <c r="Q58" s="70">
        <f>('Thurs (2)'!Q58+Thurs!Q58+'Tues '!Q58+Wed!Q58+Fri!Q58+'Mon '!Q58+'Wed (2)'!Q58+Sun!Q58+Sat!Q58)</f>
        <v>0</v>
      </c>
      <c r="R58" s="70">
        <f>('Thurs (2)'!R58+Thurs!R58+'Tues '!R58+Wed!R58+Fri!R58+'Mon '!R58+'Wed (2)'!R58+Sun!R58+Sat!R58)</f>
        <v>4</v>
      </c>
      <c r="S58" s="70">
        <f>('Thurs (2)'!S58+Thurs!S58+'Tues '!S58+Wed!S58+Fri!S58+'Mon '!S58+'Wed (2)'!S58+Sun!S58+Sat!S58)</f>
        <v>3</v>
      </c>
      <c r="T58" s="70">
        <f>('Thurs (2)'!T58+Thurs!T58+'Tues '!T58+Wed!T58+Fri!T58+'Mon '!T58+'Wed (2)'!T58+Sun!T58+Sat!T58)</f>
        <v>5137</v>
      </c>
      <c r="U58" s="71">
        <f t="shared" si="7"/>
        <v>0.6</v>
      </c>
      <c r="V58" s="71">
        <f t="shared" si="8"/>
        <v>0.3571428571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70">
        <f>('Thurs (2)'!G59+Thurs!G59+'Tues '!G59+Wed!G59+Fri!G59+'Mon '!G59+'Wed (2)'!G59+Sun!G59+Sat!G59)</f>
        <v>0</v>
      </c>
      <c r="H59" s="70">
        <f>('Thurs (2)'!H59+Thurs!H59+'Tues '!H59+Wed!H59+Fri!H59+'Mon '!H59+'Wed (2)'!H59+Sun!H59+Sat!H59)</f>
        <v>0</v>
      </c>
      <c r="I59" s="70">
        <f>('Thurs (2)'!I59+Thurs!I59+'Tues '!I59+Wed!I59+Fri!I59+'Mon '!I59+'Wed (2)'!I59+Sun!I59+Sat!I59)</f>
        <v>0</v>
      </c>
      <c r="J59" s="70">
        <f>('Thurs (2)'!J59+Thurs!J59+'Tues '!J59+Wed!J59+Fri!J59+'Mon '!J59+'Wed (2)'!J59+Sun!J59+Sat!J59)</f>
        <v>0</v>
      </c>
      <c r="K59" s="70">
        <f>('Thurs (2)'!K59+Thurs!K59+'Tues '!K59+Wed!K59+Fri!K59+'Mon '!K59+'Wed (2)'!K59+Sun!K59+Sat!K59)</f>
        <v>0</v>
      </c>
      <c r="L59" s="70">
        <f>('Thurs (2)'!L59+Thurs!L59+'Tues '!L59+Wed!L59+Fri!L59+'Mon '!L59+'Wed (2)'!L59+Sun!L59+Sat!L59)</f>
        <v>0</v>
      </c>
      <c r="M59" s="70">
        <f>('Thurs (2)'!M59+Thurs!M59+'Tues '!M59+Wed!M59+Fri!M59+'Mon '!M59+'Wed (2)'!M59+Sun!M59+Sat!M59)</f>
        <v>0</v>
      </c>
      <c r="N59" s="70">
        <f>('Thurs (2)'!N59+Thurs!N59+'Tues '!N59+Wed!N59+Fri!N59+'Mon '!N59+'Wed (2)'!N59+Sun!N59+Sat!N59)</f>
        <v>0</v>
      </c>
      <c r="O59" s="70">
        <f>('Thurs (2)'!O59+Thurs!O59+'Tues '!O59+Wed!O59+Fri!O59+'Mon '!O59+'Wed (2)'!O59+Sun!O59+Sat!O59)</f>
        <v>0</v>
      </c>
      <c r="P59" s="70">
        <f>('Thurs (2)'!P59+Thurs!P59+'Tues '!P59+Wed!P59+Fri!P59+'Mon '!P59+'Wed (2)'!P59+Sun!P59+Sat!P59)</f>
        <v>0</v>
      </c>
      <c r="Q59" s="70">
        <f>('Thurs (2)'!Q59+Thurs!Q59+'Tues '!Q59+Wed!Q59+Fri!Q59+'Mon '!Q59+'Wed (2)'!Q59+Sun!Q59+Sat!Q59)</f>
        <v>0</v>
      </c>
      <c r="R59" s="70">
        <f>('Thurs (2)'!R59+Thurs!R59+'Tues '!R59+Wed!R59+Fri!R59+'Mon '!R59+'Wed (2)'!R59+Sun!R59+Sat!R59)</f>
        <v>0</v>
      </c>
      <c r="S59" s="70">
        <f>('Thurs (2)'!S59+Thurs!S59+'Tues '!S59+Wed!S59+Fri!S59+'Mon '!S59+'Wed (2)'!S59+Sun!S59+Sat!S59)</f>
        <v>0</v>
      </c>
      <c r="T59" s="70">
        <f>('Thurs (2)'!T59+Thurs!T59+'Tues '!T59+Wed!T59+Fri!T59+'Mon '!T59+'Wed (2)'!T59+Sun!T59+Sat!T59)</f>
        <v>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70">
        <f>('Thurs (2)'!G60+Thurs!G60+'Tues '!G60+Wed!G60+Fri!G60+'Mon '!G60+'Wed (2)'!G60+Sun!G60+Sat!G60)</f>
        <v>0</v>
      </c>
      <c r="H60" s="70">
        <f>('Thurs (2)'!H60+Thurs!H60+'Tues '!H60+Wed!H60+Fri!H60+'Mon '!H60+'Wed (2)'!H60+Sun!H60+Sat!H60)</f>
        <v>0</v>
      </c>
      <c r="I60" s="70">
        <f>('Thurs (2)'!I60+Thurs!I60+'Tues '!I60+Wed!I60+Fri!I60+'Mon '!I60+'Wed (2)'!I60+Sun!I60+Sat!I60)</f>
        <v>0</v>
      </c>
      <c r="J60" s="70">
        <f>('Thurs (2)'!J60+Thurs!J60+'Tues '!J60+Wed!J60+Fri!J60+'Mon '!J60+'Wed (2)'!J60+Sun!J60+Sat!J60)</f>
        <v>0</v>
      </c>
      <c r="K60" s="70">
        <f>('Thurs (2)'!K60+Thurs!K60+'Tues '!K60+Wed!K60+Fri!K60+'Mon '!K60+'Wed (2)'!K60+Sun!K60+Sat!K60)</f>
        <v>0</v>
      </c>
      <c r="L60" s="70">
        <f>('Thurs (2)'!L60+Thurs!L60+'Tues '!L60+Wed!L60+Fri!L60+'Mon '!L60+'Wed (2)'!L60+Sun!L60+Sat!L60)</f>
        <v>0</v>
      </c>
      <c r="M60" s="70">
        <f>('Thurs (2)'!M60+Thurs!M60+'Tues '!M60+Wed!M60+Fri!M60+'Mon '!M60+'Wed (2)'!M60+Sun!M60+Sat!M60)</f>
        <v>0</v>
      </c>
      <c r="N60" s="70">
        <f>('Thurs (2)'!N60+Thurs!N60+'Tues '!N60+Wed!N60+Fri!N60+'Mon '!N60+'Wed (2)'!N60+Sun!N60+Sat!N60)</f>
        <v>0</v>
      </c>
      <c r="O60" s="70">
        <f>('Thurs (2)'!O60+Thurs!O60+'Tues '!O60+Wed!O60+Fri!O60+'Mon '!O60+'Wed (2)'!O60+Sun!O60+Sat!O60)</f>
        <v>0</v>
      </c>
      <c r="P60" s="70">
        <f>('Thurs (2)'!P60+Thurs!P60+'Tues '!P60+Wed!P60+Fri!P60+'Mon '!P60+'Wed (2)'!P60+Sun!P60+Sat!P60)</f>
        <v>0</v>
      </c>
      <c r="Q60" s="70">
        <f>('Thurs (2)'!Q60+Thurs!Q60+'Tues '!Q60+Wed!Q60+Fri!Q60+'Mon '!Q60+'Wed (2)'!Q60+Sun!Q60+Sat!Q60)</f>
        <v>0</v>
      </c>
      <c r="R60" s="70">
        <f>('Thurs (2)'!R60+Thurs!R60+'Tues '!R60+Wed!R60+Fri!R60+'Mon '!R60+'Wed (2)'!R60+Sun!R60+Sat!R60)</f>
        <v>0</v>
      </c>
      <c r="S60" s="70">
        <f>('Thurs (2)'!S60+Thurs!S60+'Tues '!S60+Wed!S60+Fri!S60+'Mon '!S60+'Wed (2)'!S60+Sun!S60+Sat!S60)</f>
        <v>0</v>
      </c>
      <c r="T60" s="70">
        <f>('Thurs (2)'!T60+Thurs!T60+'Tues '!T60+Wed!T60+Fri!T60+'Mon '!T60+'Wed (2)'!T60+Sun!T60+Sat!T60)</f>
        <v>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70">
        <f>('Thurs (2)'!G61+Thurs!G61+'Tues '!G61+Wed!G61+Fri!G61+'Mon '!G61+'Wed (2)'!G61+Sun!G61+Sat!G61)</f>
        <v>4</v>
      </c>
      <c r="H61" s="70">
        <f>('Thurs (2)'!H61+Thurs!H61+'Tues '!H61+Wed!H61+Fri!H61+'Mon '!H61+'Wed (2)'!H61+Sun!H61+Sat!H61)</f>
        <v>0</v>
      </c>
      <c r="I61" s="70">
        <f>('Thurs (2)'!I61+Thurs!I61+'Tues '!I61+Wed!I61+Fri!I61+'Mon '!I61+'Wed (2)'!I61+Sun!I61+Sat!I61)</f>
        <v>0</v>
      </c>
      <c r="J61" s="70">
        <f>('Thurs (2)'!J61+Thurs!J61+'Tues '!J61+Wed!J61+Fri!J61+'Mon '!J61+'Wed (2)'!J61+Sun!J61+Sat!J61)</f>
        <v>0</v>
      </c>
      <c r="K61" s="70">
        <f>('Thurs (2)'!K61+Thurs!K61+'Tues '!K61+Wed!K61+Fri!K61+'Mon '!K61+'Wed (2)'!K61+Sun!K61+Sat!K61)</f>
        <v>0</v>
      </c>
      <c r="L61" s="70">
        <f>('Thurs (2)'!L61+Thurs!L61+'Tues '!L61+Wed!L61+Fri!L61+'Mon '!L61+'Wed (2)'!L61+Sun!L61+Sat!L61)</f>
        <v>0</v>
      </c>
      <c r="M61" s="70">
        <f>('Thurs (2)'!M61+Thurs!M61+'Tues '!M61+Wed!M61+Fri!M61+'Mon '!M61+'Wed (2)'!M61+Sun!M61+Sat!M61)</f>
        <v>0</v>
      </c>
      <c r="N61" s="70">
        <f>('Thurs (2)'!N61+Thurs!N61+'Tues '!N61+Wed!N61+Fri!N61+'Mon '!N61+'Wed (2)'!N61+Sun!N61+Sat!N61)</f>
        <v>0</v>
      </c>
      <c r="O61" s="70">
        <f>('Thurs (2)'!O61+Thurs!O61+'Tues '!O61+Wed!O61+Fri!O61+'Mon '!O61+'Wed (2)'!O61+Sun!O61+Sat!O61)</f>
        <v>0</v>
      </c>
      <c r="P61" s="70">
        <f>('Thurs (2)'!P61+Thurs!P61+'Tues '!P61+Wed!P61+Fri!P61+'Mon '!P61+'Wed (2)'!P61+Sun!P61+Sat!P61)</f>
        <v>0</v>
      </c>
      <c r="Q61" s="70">
        <f>('Thurs (2)'!Q61+Thurs!Q61+'Tues '!Q61+Wed!Q61+Fri!Q61+'Mon '!Q61+'Wed (2)'!Q61+Sun!Q61+Sat!Q61)</f>
        <v>0</v>
      </c>
      <c r="R61" s="70">
        <f>('Thurs (2)'!R61+Thurs!R61+'Tues '!R61+Wed!R61+Fri!R61+'Mon '!R61+'Wed (2)'!R61+Sun!R61+Sat!R61)</f>
        <v>0</v>
      </c>
      <c r="S61" s="70">
        <f>('Thurs (2)'!S61+Thurs!S61+'Tues '!S61+Wed!S61+Fri!S61+'Mon '!S61+'Wed (2)'!S61+Sun!S61+Sat!S61)</f>
        <v>0</v>
      </c>
      <c r="T61" s="70">
        <f>('Thurs (2)'!T61+Thurs!T61+'Tues '!T61+Wed!T61+Fri!T61+'Mon '!T61+'Wed (2)'!T61+Sun!T61+Sat!T61)</f>
        <v>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>
        <f>('Thurs (2)'!G62+Thurs!G62+'Tues '!G62+Wed!G62+Fri!G62+'Mon '!G62+'Wed (2)'!G62+Sun!G62+Sat!G62)</f>
        <v>13</v>
      </c>
      <c r="H62" s="70">
        <f>('Thurs (2)'!H62+Thurs!H62+'Tues '!H62+Wed!H62+Fri!H62+'Mon '!H62+'Wed (2)'!H62+Sun!H62+Sat!H62)</f>
        <v>5</v>
      </c>
      <c r="I62" s="70">
        <f>('Thurs (2)'!I62+Thurs!I62+'Tues '!I62+Wed!I62+Fri!I62+'Mon '!I62+'Wed (2)'!I62+Sun!I62+Sat!I62)</f>
        <v>3</v>
      </c>
      <c r="J62" s="70">
        <f>('Thurs (2)'!J62+Thurs!J62+'Tues '!J62+Wed!J62+Fri!J62+'Mon '!J62+'Wed (2)'!J62+Sun!J62+Sat!J62)</f>
        <v>5</v>
      </c>
      <c r="K62" s="70">
        <f>('Thurs (2)'!K62+Thurs!K62+'Tues '!K62+Wed!K62+Fri!K62+'Mon '!K62+'Wed (2)'!K62+Sun!K62+Sat!K62)</f>
        <v>1</v>
      </c>
      <c r="L62" s="70">
        <f>('Thurs (2)'!L62+Thurs!L62+'Tues '!L62+Wed!L62+Fri!L62+'Mon '!L62+'Wed (2)'!L62+Sun!L62+Sat!L62)</f>
        <v>3</v>
      </c>
      <c r="M62" s="70">
        <f>('Thurs (2)'!M62+Thurs!M62+'Tues '!M62+Wed!M62+Fri!M62+'Mon '!M62+'Wed (2)'!M62+Sun!M62+Sat!M62)</f>
        <v>8</v>
      </c>
      <c r="N62" s="70">
        <f>('Thurs (2)'!N62+Thurs!N62+'Tues '!N62+Wed!N62+Fri!N62+'Mon '!N62+'Wed (2)'!N62+Sun!N62+Sat!N62)</f>
        <v>2</v>
      </c>
      <c r="O62" s="70">
        <f>('Thurs (2)'!O62+Thurs!O62+'Tues '!O62+Wed!O62+Fri!O62+'Mon '!O62+'Wed (2)'!O62+Sun!O62+Sat!O62)</f>
        <v>0</v>
      </c>
      <c r="P62" s="70">
        <f>('Thurs (2)'!P62+Thurs!P62+'Tues '!P62+Wed!P62+Fri!P62+'Mon '!P62+'Wed (2)'!P62+Sun!P62+Sat!P62)</f>
        <v>0</v>
      </c>
      <c r="Q62" s="70">
        <f>('Thurs (2)'!Q62+Thurs!Q62+'Tues '!Q62+Wed!Q62+Fri!Q62+'Mon '!Q62+'Wed (2)'!Q62+Sun!Q62+Sat!Q62)</f>
        <v>0</v>
      </c>
      <c r="R62" s="70">
        <f>('Thurs (2)'!R62+Thurs!R62+'Tues '!R62+Wed!R62+Fri!R62+'Mon '!R62+'Wed (2)'!R62+Sun!R62+Sat!R62)</f>
        <v>3</v>
      </c>
      <c r="S62" s="70">
        <f>('Thurs (2)'!S62+Thurs!S62+'Tues '!S62+Wed!S62+Fri!S62+'Mon '!S62+'Wed (2)'!S62+Sun!S62+Sat!S62)</f>
        <v>1</v>
      </c>
      <c r="T62" s="70">
        <f>('Thurs (2)'!T62+Thurs!T62+'Tues '!T62+Wed!T62+Fri!T62+'Mon '!T62+'Wed (2)'!T62+Sun!T62+Sat!T62)</f>
        <v>4617</v>
      </c>
      <c r="U62" s="71">
        <f t="shared" si="7"/>
        <v>0.6</v>
      </c>
      <c r="V62" s="71">
        <f t="shared" si="8"/>
        <v>0.6153846154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>
        <f>('Thurs (2)'!G63+Thurs!G63+'Tues '!G63+Wed!G63+Fri!G63+'Mon '!G63+'Wed (2)'!G63+Sun!G63+Sat!G63)</f>
        <v>0</v>
      </c>
      <c r="H63" s="70">
        <f>('Thurs (2)'!H63+Thurs!H63+'Tues '!H63+Wed!H63+Fri!H63+'Mon '!H63+'Wed (2)'!H63+Sun!H63+Sat!H63)</f>
        <v>0</v>
      </c>
      <c r="I63" s="70">
        <f>('Thurs (2)'!I63+Thurs!I63+'Tues '!I63+Wed!I63+Fri!I63+'Mon '!I63+'Wed (2)'!I63+Sun!I63+Sat!I63)</f>
        <v>0</v>
      </c>
      <c r="J63" s="70">
        <f>('Thurs (2)'!J63+Thurs!J63+'Tues '!J63+Wed!J63+Fri!J63+'Mon '!J63+'Wed (2)'!J63+Sun!J63+Sat!J63)</f>
        <v>0</v>
      </c>
      <c r="K63" s="70">
        <f>('Thurs (2)'!K63+Thurs!K63+'Tues '!K63+Wed!K63+Fri!K63+'Mon '!K63+'Wed (2)'!K63+Sun!K63+Sat!K63)</f>
        <v>0</v>
      </c>
      <c r="L63" s="70">
        <f>('Thurs (2)'!L63+Thurs!L63+'Tues '!L63+Wed!L63+Fri!L63+'Mon '!L63+'Wed (2)'!L63+Sun!L63+Sat!L63)</f>
        <v>0</v>
      </c>
      <c r="M63" s="70">
        <f>('Thurs (2)'!M63+Thurs!M63+'Tues '!M63+Wed!M63+Fri!M63+'Mon '!M63+'Wed (2)'!M63+Sun!M63+Sat!M63)</f>
        <v>0</v>
      </c>
      <c r="N63" s="70">
        <f>('Thurs (2)'!N63+Thurs!N63+'Tues '!N63+Wed!N63+Fri!N63+'Mon '!N63+'Wed (2)'!N63+Sun!N63+Sat!N63)</f>
        <v>0</v>
      </c>
      <c r="O63" s="70">
        <f>('Thurs (2)'!O63+Thurs!O63+'Tues '!O63+Wed!O63+Fri!O63+'Mon '!O63+'Wed (2)'!O63+Sun!O63+Sat!O63)</f>
        <v>0</v>
      </c>
      <c r="P63" s="70">
        <f>('Thurs (2)'!P63+Thurs!P63+'Tues '!P63+Wed!P63+Fri!P63+'Mon '!P63+'Wed (2)'!P63+Sun!P63+Sat!P63)</f>
        <v>0</v>
      </c>
      <c r="Q63" s="70">
        <f>('Thurs (2)'!Q63+Thurs!Q63+'Tues '!Q63+Wed!Q63+Fri!Q63+'Mon '!Q63+'Wed (2)'!Q63+Sun!Q63+Sat!Q63)</f>
        <v>0</v>
      </c>
      <c r="R63" s="70">
        <f>('Thurs (2)'!R63+Thurs!R63+'Tues '!R63+Wed!R63+Fri!R63+'Mon '!R63+'Wed (2)'!R63+Sun!R63+Sat!R63)</f>
        <v>0</v>
      </c>
      <c r="S63" s="70">
        <f>('Thurs (2)'!S63+Thurs!S63+'Tues '!S63+Wed!S63+Fri!S63+'Mon '!S63+'Wed (2)'!S63+Sun!S63+Sat!S63)</f>
        <v>0</v>
      </c>
      <c r="T63" s="70">
        <f>('Thurs (2)'!T63+Thurs!T63+'Tues '!T63+Wed!T63+Fri!T63+'Mon '!T63+'Wed (2)'!T63+Sun!T63+Sat!T63)</f>
        <v>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70">
        <f>('Thurs (2)'!G64+Thurs!G64+'Tues '!G64+Wed!G64+Fri!G64+'Mon '!G64+'Wed (2)'!G64+Sun!G64+Sat!G64)</f>
        <v>0</v>
      </c>
      <c r="H64" s="70">
        <f>('Thurs (2)'!H64+Thurs!H64+'Tues '!H64+Wed!H64+Fri!H64+'Mon '!H64+'Wed (2)'!H64+Sun!H64+Sat!H64)</f>
        <v>0</v>
      </c>
      <c r="I64" s="70">
        <f>('Thurs (2)'!I64+Thurs!I64+'Tues '!I64+Wed!I64+Fri!I64+'Mon '!I64+'Wed (2)'!I64+Sun!I64+Sat!I64)</f>
        <v>0</v>
      </c>
      <c r="J64" s="70">
        <f>('Thurs (2)'!J64+Thurs!J64+'Tues '!J64+Wed!J64+Fri!J64+'Mon '!J64+'Wed (2)'!J64+Sun!J64+Sat!J64)</f>
        <v>0</v>
      </c>
      <c r="K64" s="70">
        <f>('Thurs (2)'!K64+Thurs!K64+'Tues '!K64+Wed!K64+Fri!K64+'Mon '!K64+'Wed (2)'!K64+Sun!K64+Sat!K64)</f>
        <v>0</v>
      </c>
      <c r="L64" s="70">
        <f>('Thurs (2)'!L64+Thurs!L64+'Tues '!L64+Wed!L64+Fri!L64+'Mon '!L64+'Wed (2)'!L64+Sun!L64+Sat!L64)</f>
        <v>0</v>
      </c>
      <c r="M64" s="70">
        <f>('Thurs (2)'!M64+Thurs!M64+'Tues '!M64+Wed!M64+Fri!M64+'Mon '!M64+'Wed (2)'!M64+Sun!M64+Sat!M64)</f>
        <v>0</v>
      </c>
      <c r="N64" s="70">
        <f>('Thurs (2)'!N64+Thurs!N64+'Tues '!N64+Wed!N64+Fri!N64+'Mon '!N64+'Wed (2)'!N64+Sun!N64+Sat!N64)</f>
        <v>0</v>
      </c>
      <c r="O64" s="70">
        <f>('Thurs (2)'!O64+Thurs!O64+'Tues '!O64+Wed!O64+Fri!O64+'Mon '!O64+'Wed (2)'!O64+Sun!O64+Sat!O64)</f>
        <v>0</v>
      </c>
      <c r="P64" s="70">
        <f>('Thurs (2)'!P64+Thurs!P64+'Tues '!P64+Wed!P64+Fri!P64+'Mon '!P64+'Wed (2)'!P64+Sun!P64+Sat!P64)</f>
        <v>0</v>
      </c>
      <c r="Q64" s="70">
        <f>('Thurs (2)'!Q64+Thurs!Q64+'Tues '!Q64+Wed!Q64+Fri!Q64+'Mon '!Q64+'Wed (2)'!Q64+Sun!Q64+Sat!Q64)</f>
        <v>0</v>
      </c>
      <c r="R64" s="70">
        <f>('Thurs (2)'!R64+Thurs!R64+'Tues '!R64+Wed!R64+Fri!R64+'Mon '!R64+'Wed (2)'!R64+Sun!R64+Sat!R64)</f>
        <v>0</v>
      </c>
      <c r="S64" s="70">
        <f>('Thurs (2)'!S64+Thurs!S64+'Tues '!S64+Wed!S64+Fri!S64+'Mon '!S64+'Wed (2)'!S64+Sun!S64+Sat!S64)</f>
        <v>0</v>
      </c>
      <c r="T64" s="70">
        <f>('Thurs (2)'!T64+Thurs!T64+'Tues '!T64+Wed!T64+Fri!T64+'Mon '!T64+'Wed (2)'!T64+Sun!T64+Sat!T64)</f>
        <v>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70">
        <f>('Thurs (2)'!G65+Thurs!G65+'Tues '!G65+Wed!G65+Fri!G65+'Mon '!G65+'Wed (2)'!G65+Sun!G65+Sat!G65)</f>
        <v>0</v>
      </c>
      <c r="H65" s="70">
        <f>('Thurs (2)'!H65+Thurs!H65+'Tues '!H65+Wed!H65+Fri!H65+'Mon '!H65+'Wed (2)'!H65+Sun!H65+Sat!H65)</f>
        <v>0</v>
      </c>
      <c r="I65" s="70">
        <f>('Thurs (2)'!I65+Thurs!I65+'Tues '!I65+Wed!I65+Fri!I65+'Mon '!I65+'Wed (2)'!I65+Sun!I65+Sat!I65)</f>
        <v>0</v>
      </c>
      <c r="J65" s="70">
        <f>('Thurs (2)'!J65+Thurs!J65+'Tues '!J65+Wed!J65+Fri!J65+'Mon '!J65+'Wed (2)'!J65+Sun!J65+Sat!J65)</f>
        <v>0</v>
      </c>
      <c r="K65" s="70">
        <f>('Thurs (2)'!K65+Thurs!K65+'Tues '!K65+Wed!K65+Fri!K65+'Mon '!K65+'Wed (2)'!K65+Sun!K65+Sat!K65)</f>
        <v>0</v>
      </c>
      <c r="L65" s="70">
        <f>('Thurs (2)'!L65+Thurs!L65+'Tues '!L65+Wed!L65+Fri!L65+'Mon '!L65+'Wed (2)'!L65+Sun!L65+Sat!L65)</f>
        <v>0</v>
      </c>
      <c r="M65" s="70">
        <f>('Thurs (2)'!M65+Thurs!M65+'Tues '!M65+Wed!M65+Fri!M65+'Mon '!M65+'Wed (2)'!M65+Sun!M65+Sat!M65)</f>
        <v>0</v>
      </c>
      <c r="N65" s="70">
        <f>('Thurs (2)'!N65+Thurs!N65+'Tues '!N65+Wed!N65+Fri!N65+'Mon '!N65+'Wed (2)'!N65+Sun!N65+Sat!N65)</f>
        <v>0</v>
      </c>
      <c r="O65" s="70">
        <f>('Thurs (2)'!O65+Thurs!O65+'Tues '!O65+Wed!O65+Fri!O65+'Mon '!O65+'Wed (2)'!O65+Sun!O65+Sat!O65)</f>
        <v>0</v>
      </c>
      <c r="P65" s="70">
        <f>('Thurs (2)'!P65+Thurs!P65+'Tues '!P65+Wed!P65+Fri!P65+'Mon '!P65+'Wed (2)'!P65+Sun!P65+Sat!P65)</f>
        <v>0</v>
      </c>
      <c r="Q65" s="70">
        <f>('Thurs (2)'!Q65+Thurs!Q65+'Tues '!Q65+Wed!Q65+Fri!Q65+'Mon '!Q65+'Wed (2)'!Q65+Sun!Q65+Sat!Q65)</f>
        <v>0</v>
      </c>
      <c r="R65" s="70">
        <f>('Thurs (2)'!R65+Thurs!R65+'Tues '!R65+Wed!R65+Fri!R65+'Mon '!R65+'Wed (2)'!R65+Sun!R65+Sat!R65)</f>
        <v>0</v>
      </c>
      <c r="S65" s="70">
        <f>('Thurs (2)'!S65+Thurs!S65+'Tues '!S65+Wed!S65+Fri!S65+'Mon '!S65+'Wed (2)'!S65+Sun!S65+Sat!S65)</f>
        <v>0</v>
      </c>
      <c r="T65" s="70">
        <f>('Thurs (2)'!T65+Thurs!T65+'Tues '!T65+Wed!T65+Fri!T65+'Mon '!T65+'Wed (2)'!T65+Sun!T65+Sat!T65)</f>
        <v>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70">
        <f>('Thurs (2)'!G66+Thurs!G66+'Tues '!G66+Wed!G66+Fri!G66+'Mon '!G66+'Wed (2)'!G66+Sun!G66+Sat!G66)</f>
        <v>0</v>
      </c>
      <c r="H66" s="70">
        <f>('Thurs (2)'!H66+Thurs!H66+'Tues '!H66+Wed!H66+Fri!H66+'Mon '!H66+'Wed (2)'!H66+Sun!H66+Sat!H66)</f>
        <v>0</v>
      </c>
      <c r="I66" s="70">
        <f>('Thurs (2)'!I66+Thurs!I66+'Tues '!I66+Wed!I66+Fri!I66+'Mon '!I66+'Wed (2)'!I66+Sun!I66+Sat!I66)</f>
        <v>0</v>
      </c>
      <c r="J66" s="70">
        <f>('Thurs (2)'!J66+Thurs!J66+'Tues '!J66+Wed!J66+Fri!J66+'Mon '!J66+'Wed (2)'!J66+Sun!J66+Sat!J66)</f>
        <v>0</v>
      </c>
      <c r="K66" s="70">
        <f>('Thurs (2)'!K66+Thurs!K66+'Tues '!K66+Wed!K66+Fri!K66+'Mon '!K66+'Wed (2)'!K66+Sun!K66+Sat!K66)</f>
        <v>0</v>
      </c>
      <c r="L66" s="70">
        <f>('Thurs (2)'!L66+Thurs!L66+'Tues '!L66+Wed!L66+Fri!L66+'Mon '!L66+'Wed (2)'!L66+Sun!L66+Sat!L66)</f>
        <v>0</v>
      </c>
      <c r="M66" s="70">
        <f>('Thurs (2)'!M66+Thurs!M66+'Tues '!M66+Wed!M66+Fri!M66+'Mon '!M66+'Wed (2)'!M66+Sun!M66+Sat!M66)</f>
        <v>0</v>
      </c>
      <c r="N66" s="70">
        <f>('Thurs (2)'!N66+Thurs!N66+'Tues '!N66+Wed!N66+Fri!N66+'Mon '!N66+'Wed (2)'!N66+Sun!N66+Sat!N66)</f>
        <v>0</v>
      </c>
      <c r="O66" s="70">
        <f>('Thurs (2)'!O66+Thurs!O66+'Tues '!O66+Wed!O66+Fri!O66+'Mon '!O66+'Wed (2)'!O66+Sun!O66+Sat!O66)</f>
        <v>0</v>
      </c>
      <c r="P66" s="70">
        <f>('Thurs (2)'!P66+Thurs!P66+'Tues '!P66+Wed!P66+Fri!P66+'Mon '!P66+'Wed (2)'!P66+Sun!P66+Sat!P66)</f>
        <v>0</v>
      </c>
      <c r="Q66" s="70">
        <f>('Thurs (2)'!Q66+Thurs!Q66+'Tues '!Q66+Wed!Q66+Fri!Q66+'Mon '!Q66+'Wed (2)'!Q66+Sun!Q66+Sat!Q66)</f>
        <v>0</v>
      </c>
      <c r="R66" s="70">
        <f>('Thurs (2)'!R66+Thurs!R66+'Tues '!R66+Wed!R66+Fri!R66+'Mon '!R66+'Wed (2)'!R66+Sun!R66+Sat!R66)</f>
        <v>0</v>
      </c>
      <c r="S66" s="70">
        <f>('Thurs (2)'!S66+Thurs!S66+'Tues '!S66+Wed!S66+Fri!S66+'Mon '!S66+'Wed (2)'!S66+Sun!S66+Sat!S66)</f>
        <v>0</v>
      </c>
      <c r="T66" s="70">
        <f>('Thurs (2)'!T66+Thurs!T66+'Tues '!T66+Wed!T66+Fri!T66+'Mon '!T66+'Wed (2)'!T66+Sun!T66+Sat!T66)</f>
        <v>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1" t="s">
        <v>76</v>
      </c>
      <c r="D67" s="112"/>
      <c r="E67" s="84"/>
      <c r="F67" s="113" t="s">
        <v>81</v>
      </c>
      <c r="G67" s="70">
        <f>('Thurs (2)'!G67+Thurs!G67+'Tues '!G67+Wed!G67+Fri!G67+'Mon '!G67+'Wed (2)'!G67+Sun!G67+Sat!G67)</f>
        <v>0</v>
      </c>
      <c r="H67" s="70">
        <f>('Thurs (2)'!H67+Thurs!H67+'Tues '!H67+Wed!H67+Fri!H67+'Mon '!H67+'Wed (2)'!H67+Sun!H67+Sat!H67)</f>
        <v>0</v>
      </c>
      <c r="I67" s="70">
        <f>('Thurs (2)'!I67+Thurs!I67+'Tues '!I67+Wed!I67+Fri!I67+'Mon '!I67+'Wed (2)'!I67+Sun!I67+Sat!I67)</f>
        <v>0</v>
      </c>
      <c r="J67" s="70">
        <f>('Thurs (2)'!J67+Thurs!J67+'Tues '!J67+Wed!J67+Fri!J67+'Mon '!J67+'Wed (2)'!J67+Sun!J67+Sat!J67)</f>
        <v>0</v>
      </c>
      <c r="K67" s="70">
        <f>('Thurs (2)'!K67+Thurs!K67+'Tues '!K67+Wed!K67+Fri!K67+'Mon '!K67+'Wed (2)'!K67+Sun!K67+Sat!K67)</f>
        <v>0</v>
      </c>
      <c r="L67" s="70">
        <f>('Thurs (2)'!L67+Thurs!L67+'Tues '!L67+Wed!L67+Fri!L67+'Mon '!L67+'Wed (2)'!L67+Sun!L67+Sat!L67)</f>
        <v>0</v>
      </c>
      <c r="M67" s="70">
        <f>('Thurs (2)'!M67+Thurs!M67+'Tues '!M67+Wed!M67+Fri!M67+'Mon '!M67+'Wed (2)'!M67+Sun!M67+Sat!M67)</f>
        <v>0</v>
      </c>
      <c r="N67" s="70">
        <f>('Thurs (2)'!N67+Thurs!N67+'Tues '!N67+Wed!N67+Fri!N67+'Mon '!N67+'Wed (2)'!N67+Sun!N67+Sat!N67)</f>
        <v>0</v>
      </c>
      <c r="O67" s="70">
        <f>('Thurs (2)'!O67+Thurs!O67+'Tues '!O67+Wed!O67+Fri!O67+'Mon '!O67+'Wed (2)'!O67+Sun!O67+Sat!O67)</f>
        <v>0</v>
      </c>
      <c r="P67" s="70">
        <f>('Thurs (2)'!P67+Thurs!P67+'Tues '!P67+Wed!P67+Fri!P67+'Mon '!P67+'Wed (2)'!P67+Sun!P67+Sat!P67)</f>
        <v>0</v>
      </c>
      <c r="Q67" s="70">
        <f>('Thurs (2)'!Q67+Thurs!Q67+'Tues '!Q67+Wed!Q67+Fri!Q67+'Mon '!Q67+'Wed (2)'!Q67+Sun!Q67+Sat!Q67)</f>
        <v>0</v>
      </c>
      <c r="R67" s="70">
        <f>('Thurs (2)'!R67+Thurs!R67+'Tues '!R67+Wed!R67+Fri!R67+'Mon '!R67+'Wed (2)'!R67+Sun!R67+Sat!R67)</f>
        <v>0</v>
      </c>
      <c r="S67" s="70">
        <f>('Thurs (2)'!S67+Thurs!S67+'Tues '!S67+Wed!S67+Fri!S67+'Mon '!S67+'Wed (2)'!S67+Sun!S67+Sat!S67)</f>
        <v>0</v>
      </c>
      <c r="T67" s="70">
        <f>('Thurs (2)'!T67+Thurs!T67+'Tues '!T67+Wed!T67+Fri!T67+'Mon '!T67+'Wed (2)'!T67+Sun!T67+Sat!T67)</f>
        <v>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0" t="s">
        <v>30</v>
      </c>
      <c r="B68" s="100" t="s">
        <v>31</v>
      </c>
      <c r="C68" s="100" t="s">
        <v>82</v>
      </c>
      <c r="D68" s="114" t="s">
        <v>49</v>
      </c>
      <c r="E68" s="75"/>
      <c r="F68" s="100" t="s">
        <v>82</v>
      </c>
      <c r="G68" s="70">
        <f>('Thurs (2)'!G68+Thurs!G68+'Tues '!G68+Wed!G68+Fri!G68+'Mon '!G68+'Wed (2)'!G68+Sun!G68+Sat!G68)</f>
        <v>0</v>
      </c>
      <c r="H68" s="70">
        <f>('Thurs (2)'!H68+Thurs!H68+'Tues '!H68+Wed!H68+Fri!H68+'Mon '!H68+'Wed (2)'!H68+Sun!H68+Sat!H68)</f>
        <v>0</v>
      </c>
      <c r="I68" s="70">
        <f>('Thurs (2)'!I68+Thurs!I68+'Tues '!I68+Wed!I68+Fri!I68+'Mon '!I68+'Wed (2)'!I68+Sun!I68+Sat!I68)</f>
        <v>0</v>
      </c>
      <c r="J68" s="70">
        <f>('Thurs (2)'!J68+Thurs!J68+'Tues '!J68+Wed!J68+Fri!J68+'Mon '!J68+'Wed (2)'!J68+Sun!J68+Sat!J68)</f>
        <v>0</v>
      </c>
      <c r="K68" s="70">
        <f>('Thurs (2)'!K68+Thurs!K68+'Tues '!K68+Wed!K68+Fri!K68+'Mon '!K68+'Wed (2)'!K68+Sun!K68+Sat!K68)</f>
        <v>0</v>
      </c>
      <c r="L68" s="70">
        <f>('Thurs (2)'!L68+Thurs!L68+'Tues '!L68+Wed!L68+Fri!L68+'Mon '!L68+'Wed (2)'!L68+Sun!L68+Sat!L68)</f>
        <v>0</v>
      </c>
      <c r="M68" s="70">
        <f>('Thurs (2)'!M68+Thurs!M68+'Tues '!M68+Wed!M68+Fri!M68+'Mon '!M68+'Wed (2)'!M68+Sun!M68+Sat!M68)</f>
        <v>0</v>
      </c>
      <c r="N68" s="70">
        <f>('Thurs (2)'!N68+Thurs!N68+'Tues '!N68+Wed!N68+Fri!N68+'Mon '!N68+'Wed (2)'!N68+Sun!N68+Sat!N68)</f>
        <v>0</v>
      </c>
      <c r="O68" s="70">
        <f>('Thurs (2)'!O68+Thurs!O68+'Tues '!O68+Wed!O68+Fri!O68+'Mon '!O68+'Wed (2)'!O68+Sun!O68+Sat!O68)</f>
        <v>0</v>
      </c>
      <c r="P68" s="70">
        <f>('Thurs (2)'!P68+Thurs!P68+'Tues '!P68+Wed!P68+Fri!P68+'Mon '!P68+'Wed (2)'!P68+Sun!P68+Sat!P68)</f>
        <v>0</v>
      </c>
      <c r="Q68" s="70">
        <f>('Thurs (2)'!Q68+Thurs!Q68+'Tues '!Q68+Wed!Q68+Fri!Q68+'Mon '!Q68+'Wed (2)'!Q68+Sun!Q68+Sat!Q68)</f>
        <v>0</v>
      </c>
      <c r="R68" s="70">
        <f>('Thurs (2)'!R68+Thurs!R68+'Tues '!R68+Wed!R68+Fri!R68+'Mon '!R68+'Wed (2)'!R68+Sun!R68+Sat!R68)</f>
        <v>0</v>
      </c>
      <c r="S68" s="70">
        <f>('Thurs (2)'!S68+Thurs!S68+'Tues '!S68+Wed!S68+Fri!S68+'Mon '!S68+'Wed (2)'!S68+Sun!S68+Sat!S68)</f>
        <v>0</v>
      </c>
      <c r="T68" s="70">
        <f>('Thurs (2)'!T68+Thurs!T68+'Tues '!T68+Wed!T68+Fri!T68+'Mon '!T68+'Wed (2)'!T68+Sun!T68+Sat!T68)</f>
        <v>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10" t="s">
        <v>30</v>
      </c>
      <c r="B69" s="110" t="s">
        <v>31</v>
      </c>
      <c r="C69" s="115" t="s">
        <v>83</v>
      </c>
      <c r="D69" s="116" t="s">
        <v>49</v>
      </c>
      <c r="E69" s="117"/>
      <c r="F69" s="115" t="s">
        <v>83</v>
      </c>
      <c r="G69" s="70">
        <f>('Thurs (2)'!G69+Thurs!G69+'Tues '!G69+Wed!G69+Fri!G69+'Mon '!G69+'Wed (2)'!G69+Sun!G69+Sat!G69)</f>
        <v>0</v>
      </c>
      <c r="H69" s="70">
        <f>('Thurs (2)'!H69+Thurs!H69+'Tues '!H69+Wed!H69+Fri!H69+'Mon '!H69+'Wed (2)'!H69+Sun!H69+Sat!H69)</f>
        <v>0</v>
      </c>
      <c r="I69" s="70">
        <f>('Thurs (2)'!I69+Thurs!I69+'Tues '!I69+Wed!I69+Fri!I69+'Mon '!I69+'Wed (2)'!I69+Sun!I69+Sat!I69)</f>
        <v>0</v>
      </c>
      <c r="J69" s="70">
        <f>('Thurs (2)'!J69+Thurs!J69+'Tues '!J69+Wed!J69+Fri!J69+'Mon '!J69+'Wed (2)'!J69+Sun!J69+Sat!J69)</f>
        <v>0</v>
      </c>
      <c r="K69" s="70">
        <f>('Thurs (2)'!K69+Thurs!K69+'Tues '!K69+Wed!K69+Fri!K69+'Mon '!K69+'Wed (2)'!K69+Sun!K69+Sat!K69)</f>
        <v>0</v>
      </c>
      <c r="L69" s="70">
        <f>('Thurs (2)'!L69+Thurs!L69+'Tues '!L69+Wed!L69+Fri!L69+'Mon '!L69+'Wed (2)'!L69+Sun!L69+Sat!L69)</f>
        <v>0</v>
      </c>
      <c r="M69" s="70">
        <f>('Thurs (2)'!M69+Thurs!M69+'Tues '!M69+Wed!M69+Fri!M69+'Mon '!M69+'Wed (2)'!M69+Sun!M69+Sat!M69)</f>
        <v>0</v>
      </c>
      <c r="N69" s="70">
        <f>('Thurs (2)'!N69+Thurs!N69+'Tues '!N69+Wed!N69+Fri!N69+'Mon '!N69+'Wed (2)'!N69+Sun!N69+Sat!N69)</f>
        <v>0</v>
      </c>
      <c r="O69" s="70">
        <f>('Thurs (2)'!O69+Thurs!O69+'Tues '!O69+Wed!O69+Fri!O69+'Mon '!O69+'Wed (2)'!O69+Sun!O69+Sat!O69)</f>
        <v>0</v>
      </c>
      <c r="P69" s="70">
        <f>('Thurs (2)'!P69+Thurs!P69+'Tues '!P69+Wed!P69+Fri!P69+'Mon '!P69+'Wed (2)'!P69+Sun!P69+Sat!P69)</f>
        <v>0</v>
      </c>
      <c r="Q69" s="70">
        <f>('Thurs (2)'!Q69+Thurs!Q69+'Tues '!Q69+Wed!Q69+Fri!Q69+'Mon '!Q69+'Wed (2)'!Q69+Sun!Q69+Sat!Q69)</f>
        <v>0</v>
      </c>
      <c r="R69" s="70">
        <f>('Thurs (2)'!R69+Thurs!R69+'Tues '!R69+Wed!R69+Fri!R69+'Mon '!R69+'Wed (2)'!R69+Sun!R69+Sat!R69)</f>
        <v>0</v>
      </c>
      <c r="S69" s="70">
        <f>('Thurs (2)'!S69+Thurs!S69+'Tues '!S69+Wed!S69+Fri!S69+'Mon '!S69+'Wed (2)'!S69+Sun!S69+Sat!S69)</f>
        <v>0</v>
      </c>
      <c r="T69" s="70">
        <f>('Thurs (2)'!T69+Thurs!T69+'Tues '!T69+Wed!T69+Fri!T69+'Mon '!T69+'Wed (2)'!T69+Sun!T69+Sat!T69)</f>
        <v>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3" t="s">
        <v>83</v>
      </c>
      <c r="D70" s="112"/>
      <c r="E70" s="84"/>
      <c r="F70" s="113" t="s">
        <v>84</v>
      </c>
      <c r="G70" s="70">
        <f>('Thurs (2)'!G70+Thurs!G70+'Tues '!G70+Wed!G70+Fri!G70+'Mon '!G70+'Wed (2)'!G70+Sun!G70+Sat!G70)</f>
        <v>0</v>
      </c>
      <c r="H70" s="70">
        <f>('Thurs (2)'!H70+Thurs!H70+'Tues '!H70+Wed!H70+Fri!H70+'Mon '!H70+'Wed (2)'!H70+Sun!H70+Sat!H70)</f>
        <v>0</v>
      </c>
      <c r="I70" s="70">
        <f>('Thurs (2)'!I70+Thurs!I70+'Tues '!I70+Wed!I70+Fri!I70+'Mon '!I70+'Wed (2)'!I70+Sun!I70+Sat!I70)</f>
        <v>0</v>
      </c>
      <c r="J70" s="70">
        <f>('Thurs (2)'!J70+Thurs!J70+'Tues '!J70+Wed!J70+Fri!J70+'Mon '!J70+'Wed (2)'!J70+Sun!J70+Sat!J70)</f>
        <v>0</v>
      </c>
      <c r="K70" s="70">
        <f>('Thurs (2)'!K70+Thurs!K70+'Tues '!K70+Wed!K70+Fri!K70+'Mon '!K70+'Wed (2)'!K70+Sun!K70+Sat!K70)</f>
        <v>0</v>
      </c>
      <c r="L70" s="70">
        <f>('Thurs (2)'!L70+Thurs!L70+'Tues '!L70+Wed!L70+Fri!L70+'Mon '!L70+'Wed (2)'!L70+Sun!L70+Sat!L70)</f>
        <v>0</v>
      </c>
      <c r="M70" s="70">
        <f>('Thurs (2)'!M70+Thurs!M70+'Tues '!M70+Wed!M70+Fri!M70+'Mon '!M70+'Wed (2)'!M70+Sun!M70+Sat!M70)</f>
        <v>0</v>
      </c>
      <c r="N70" s="70">
        <f>('Thurs (2)'!N70+Thurs!N70+'Tues '!N70+Wed!N70+Fri!N70+'Mon '!N70+'Wed (2)'!N70+Sun!N70+Sat!N70)</f>
        <v>0</v>
      </c>
      <c r="O70" s="70">
        <f>('Thurs (2)'!O70+Thurs!O70+'Tues '!O70+Wed!O70+Fri!O70+'Mon '!O70+'Wed (2)'!O70+Sun!O70+Sat!O70)</f>
        <v>0</v>
      </c>
      <c r="P70" s="70">
        <f>('Thurs (2)'!P70+Thurs!P70+'Tues '!P70+Wed!P70+Fri!P70+'Mon '!P70+'Wed (2)'!P70+Sun!P70+Sat!P70)</f>
        <v>0</v>
      </c>
      <c r="Q70" s="70">
        <f>('Thurs (2)'!Q70+Thurs!Q70+'Tues '!Q70+Wed!Q70+Fri!Q70+'Mon '!Q70+'Wed (2)'!Q70+Sun!Q70+Sat!Q70)</f>
        <v>0</v>
      </c>
      <c r="R70" s="70">
        <f>('Thurs (2)'!R70+Thurs!R70+'Tues '!R70+Wed!R70+Fri!R70+'Mon '!R70+'Wed (2)'!R70+Sun!R70+Sat!R70)</f>
        <v>0</v>
      </c>
      <c r="S70" s="70">
        <f>('Thurs (2)'!S70+Thurs!S70+'Tues '!S70+Wed!S70+Fri!S70+'Mon '!S70+'Wed (2)'!S70+Sun!S70+Sat!S70)</f>
        <v>0</v>
      </c>
      <c r="T70" s="70">
        <f>('Thurs (2)'!T70+Thurs!T70+'Tues '!T70+Wed!T70+Fri!T70+'Mon '!T70+'Wed (2)'!T70+Sun!T70+Sat!T70)</f>
        <v>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3" t="s">
        <v>83</v>
      </c>
      <c r="D71" s="118"/>
      <c r="E71" s="84"/>
      <c r="F71" s="113" t="s">
        <v>85</v>
      </c>
      <c r="G71" s="70">
        <f>('Thurs (2)'!G71+Thurs!G71+'Tues '!G71+Wed!G71+Fri!G71+'Mon '!G71+'Wed (2)'!G71+Sun!G71+Sat!G71)</f>
        <v>0</v>
      </c>
      <c r="H71" s="70">
        <f>('Thurs (2)'!H71+Thurs!H71+'Tues '!H71+Wed!H71+Fri!H71+'Mon '!H71+'Wed (2)'!H71+Sun!H71+Sat!H71)</f>
        <v>0</v>
      </c>
      <c r="I71" s="70">
        <f>('Thurs (2)'!I71+Thurs!I71+'Tues '!I71+Wed!I71+Fri!I71+'Mon '!I71+'Wed (2)'!I71+Sun!I71+Sat!I71)</f>
        <v>0</v>
      </c>
      <c r="J71" s="70">
        <f>('Thurs (2)'!J71+Thurs!J71+'Tues '!J71+Wed!J71+Fri!J71+'Mon '!J71+'Wed (2)'!J71+Sun!J71+Sat!J71)</f>
        <v>0</v>
      </c>
      <c r="K71" s="70">
        <f>('Thurs (2)'!K71+Thurs!K71+'Tues '!K71+Wed!K71+Fri!K71+'Mon '!K71+'Wed (2)'!K71+Sun!K71+Sat!K71)</f>
        <v>0</v>
      </c>
      <c r="L71" s="70">
        <f>('Thurs (2)'!L71+Thurs!L71+'Tues '!L71+Wed!L71+Fri!L71+'Mon '!L71+'Wed (2)'!L71+Sun!L71+Sat!L71)</f>
        <v>0</v>
      </c>
      <c r="M71" s="70">
        <f>('Thurs (2)'!M71+Thurs!M71+'Tues '!M71+Wed!M71+Fri!M71+'Mon '!M71+'Wed (2)'!M71+Sun!M71+Sat!M71)</f>
        <v>0</v>
      </c>
      <c r="N71" s="70">
        <f>('Thurs (2)'!N71+Thurs!N71+'Tues '!N71+Wed!N71+Fri!N71+'Mon '!N71+'Wed (2)'!N71+Sun!N71+Sat!N71)</f>
        <v>0</v>
      </c>
      <c r="O71" s="70">
        <f>('Thurs (2)'!O71+Thurs!O71+'Tues '!O71+Wed!O71+Fri!O71+'Mon '!O71+'Wed (2)'!O71+Sun!O71+Sat!O71)</f>
        <v>0</v>
      </c>
      <c r="P71" s="70">
        <f>('Thurs (2)'!P71+Thurs!P71+'Tues '!P71+Wed!P71+Fri!P71+'Mon '!P71+'Wed (2)'!P71+Sun!P71+Sat!P71)</f>
        <v>0</v>
      </c>
      <c r="Q71" s="70">
        <f>('Thurs (2)'!Q71+Thurs!Q71+'Tues '!Q71+Wed!Q71+Fri!Q71+'Mon '!Q71+'Wed (2)'!Q71+Sun!Q71+Sat!Q71)</f>
        <v>0</v>
      </c>
      <c r="R71" s="70">
        <f>('Thurs (2)'!R71+Thurs!R71+'Tues '!R71+Wed!R71+Fri!R71+'Mon '!R71+'Wed (2)'!R71+Sun!R71+Sat!R71)</f>
        <v>0</v>
      </c>
      <c r="S71" s="70">
        <f>('Thurs (2)'!S71+Thurs!S71+'Tues '!S71+Wed!S71+Fri!S71+'Mon '!S71+'Wed (2)'!S71+Sun!S71+Sat!S71)</f>
        <v>0</v>
      </c>
      <c r="T71" s="70">
        <f>('Thurs (2)'!T71+Thurs!T71+'Tues '!T71+Wed!T71+Fri!T71+'Mon '!T71+'Wed (2)'!T71+Sun!T71+Sat!T71)</f>
        <v>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5" t="s">
        <v>30</v>
      </c>
      <c r="B72" s="105" t="s">
        <v>32</v>
      </c>
      <c r="C72" s="105"/>
      <c r="D72" s="107" t="s">
        <v>49</v>
      </c>
      <c r="E72" s="81"/>
      <c r="F72" s="105" t="s">
        <v>32</v>
      </c>
      <c r="G72" s="70">
        <f>('Thurs (2)'!G72+Thurs!G72+'Tues '!G72+Wed!G72+Fri!G72+'Mon '!G72+'Wed (2)'!G72+Sun!G72+Sat!G72)</f>
        <v>3</v>
      </c>
      <c r="H72" s="70">
        <f>('Thurs (2)'!H72+Thurs!H72+'Tues '!H72+Wed!H72+Fri!H72+'Mon '!H72+'Wed (2)'!H72+Sun!H72+Sat!H72)</f>
        <v>0</v>
      </c>
      <c r="I72" s="70">
        <f>('Thurs (2)'!I72+Thurs!I72+'Tues '!I72+Wed!I72+Fri!I72+'Mon '!I72+'Wed (2)'!I72+Sun!I72+Sat!I72)</f>
        <v>0</v>
      </c>
      <c r="J72" s="70">
        <f>('Thurs (2)'!J72+Thurs!J72+'Tues '!J72+Wed!J72+Fri!J72+'Mon '!J72+'Wed (2)'!J72+Sun!J72+Sat!J72)</f>
        <v>0</v>
      </c>
      <c r="K72" s="70">
        <f>('Thurs (2)'!K72+Thurs!K72+'Tues '!K72+Wed!K72+Fri!K72+'Mon '!K72+'Wed (2)'!K72+Sun!K72+Sat!K72)</f>
        <v>0</v>
      </c>
      <c r="L72" s="70">
        <f>('Thurs (2)'!L72+Thurs!L72+'Tues '!L72+Wed!L72+Fri!L72+'Mon '!L72+'Wed (2)'!L72+Sun!L72+Sat!L72)</f>
        <v>0</v>
      </c>
      <c r="M72" s="70">
        <f>('Thurs (2)'!M72+Thurs!M72+'Tues '!M72+Wed!M72+Fri!M72+'Mon '!M72+'Wed (2)'!M72+Sun!M72+Sat!M72)</f>
        <v>0</v>
      </c>
      <c r="N72" s="70">
        <f>('Thurs (2)'!N72+Thurs!N72+'Tues '!N72+Wed!N72+Fri!N72+'Mon '!N72+'Wed (2)'!N72+Sun!N72+Sat!N72)</f>
        <v>0</v>
      </c>
      <c r="O72" s="70">
        <f>('Thurs (2)'!O72+Thurs!O72+'Tues '!O72+Wed!O72+Fri!O72+'Mon '!O72+'Wed (2)'!O72+Sun!O72+Sat!O72)</f>
        <v>0</v>
      </c>
      <c r="P72" s="70">
        <f>('Thurs (2)'!P72+Thurs!P72+'Tues '!P72+Wed!P72+Fri!P72+'Mon '!P72+'Wed (2)'!P72+Sun!P72+Sat!P72)</f>
        <v>0</v>
      </c>
      <c r="Q72" s="70">
        <f>('Thurs (2)'!Q72+Thurs!Q72+'Tues '!Q72+Wed!Q72+Fri!Q72+'Mon '!Q72+'Wed (2)'!Q72+Sun!Q72+Sat!Q72)</f>
        <v>0</v>
      </c>
      <c r="R72" s="70">
        <f>('Thurs (2)'!R72+Thurs!R72+'Tues '!R72+Wed!R72+Fri!R72+'Mon '!R72+'Wed (2)'!R72+Sun!R72+Sat!R72)</f>
        <v>0</v>
      </c>
      <c r="S72" s="70">
        <f>('Thurs (2)'!S72+Thurs!S72+'Tues '!S72+Wed!S72+Fri!S72+'Mon '!S72+'Wed (2)'!S72+Sun!S72+Sat!S72)</f>
        <v>0</v>
      </c>
      <c r="T72" s="70">
        <f>('Thurs (2)'!T72+Thurs!T72+'Tues '!T72+Wed!T72+Fri!T72+'Mon '!T72+'Wed (2)'!T72+Sun!T72+Sat!T72)</f>
        <v>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2" t="s">
        <v>86</v>
      </c>
      <c r="G73" s="70">
        <f>('Thurs (2)'!G73+Thurs!G73+'Tues '!G73+Wed!G73+Fri!G73+'Mon '!G73+'Wed (2)'!G73+Sun!G73+Sat!G73)</f>
        <v>0</v>
      </c>
      <c r="H73" s="70">
        <f>('Thurs (2)'!H73+Thurs!H73+'Tues '!H73+Wed!H73+Fri!H73+'Mon '!H73+'Wed (2)'!H73+Sun!H73+Sat!H73)</f>
        <v>0</v>
      </c>
      <c r="I73" s="70">
        <f>('Thurs (2)'!I73+Thurs!I73+'Tues '!I73+Wed!I73+Fri!I73+'Mon '!I73+'Wed (2)'!I73+Sun!I73+Sat!I73)</f>
        <v>0</v>
      </c>
      <c r="J73" s="70">
        <f>('Thurs (2)'!J73+Thurs!J73+'Tues '!J73+Wed!J73+Fri!J73+'Mon '!J73+'Wed (2)'!J73+Sun!J73+Sat!J73)</f>
        <v>0</v>
      </c>
      <c r="K73" s="70">
        <f>('Thurs (2)'!K73+Thurs!K73+'Tues '!K73+Wed!K73+Fri!K73+'Mon '!K73+'Wed (2)'!K73+Sun!K73+Sat!K73)</f>
        <v>0</v>
      </c>
      <c r="L73" s="70">
        <f>('Thurs (2)'!L73+Thurs!L73+'Tues '!L73+Wed!L73+Fri!L73+'Mon '!L73+'Wed (2)'!L73+Sun!L73+Sat!L73)</f>
        <v>0</v>
      </c>
      <c r="M73" s="70">
        <f>('Thurs (2)'!M73+Thurs!M73+'Tues '!M73+Wed!M73+Fri!M73+'Mon '!M73+'Wed (2)'!M73+Sun!M73+Sat!M73)</f>
        <v>0</v>
      </c>
      <c r="N73" s="70">
        <f>('Thurs (2)'!N73+Thurs!N73+'Tues '!N73+Wed!N73+Fri!N73+'Mon '!N73+'Wed (2)'!N73+Sun!N73+Sat!N73)</f>
        <v>0</v>
      </c>
      <c r="O73" s="70">
        <f>('Thurs (2)'!O73+Thurs!O73+'Tues '!O73+Wed!O73+Fri!O73+'Mon '!O73+'Wed (2)'!O73+Sun!O73+Sat!O73)</f>
        <v>0</v>
      </c>
      <c r="P73" s="70">
        <f>('Thurs (2)'!P73+Thurs!P73+'Tues '!P73+Wed!P73+Fri!P73+'Mon '!P73+'Wed (2)'!P73+Sun!P73+Sat!P73)</f>
        <v>0</v>
      </c>
      <c r="Q73" s="70">
        <f>('Thurs (2)'!Q73+Thurs!Q73+'Tues '!Q73+Wed!Q73+Fri!Q73+'Mon '!Q73+'Wed (2)'!Q73+Sun!Q73+Sat!Q73)</f>
        <v>0</v>
      </c>
      <c r="R73" s="70">
        <f>('Thurs (2)'!R73+Thurs!R73+'Tues '!R73+Wed!R73+Fri!R73+'Mon '!R73+'Wed (2)'!R73+Sun!R73+Sat!R73)</f>
        <v>0</v>
      </c>
      <c r="S73" s="70">
        <f>('Thurs (2)'!S73+Thurs!S73+'Tues '!S73+Wed!S73+Fri!S73+'Mon '!S73+'Wed (2)'!S73+Sun!S73+Sat!S73)</f>
        <v>0</v>
      </c>
      <c r="T73" s="70">
        <f>('Thurs (2)'!T73+Thurs!T73+'Tues '!T73+Wed!T73+Fri!T73+'Mon '!T73+'Wed (2)'!T73+Sun!T73+Sat!T73)</f>
        <v>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03" t="s">
        <v>30</v>
      </c>
      <c r="B74" s="103" t="s">
        <v>32</v>
      </c>
      <c r="C74" s="103"/>
      <c r="D74" s="58"/>
      <c r="E74" s="75"/>
      <c r="F74" s="104" t="s">
        <v>87</v>
      </c>
      <c r="G74" s="70">
        <f>('Thurs (2)'!G74+Thurs!G74+'Tues '!G74+Wed!G74+Fri!G74+'Mon '!G74+'Wed (2)'!G74+Sun!G74+Sat!G74)</f>
        <v>0</v>
      </c>
      <c r="H74" s="70">
        <f>('Thurs (2)'!H74+Thurs!H74+'Tues '!H74+Wed!H74+Fri!H74+'Mon '!H74+'Wed (2)'!H74+Sun!H74+Sat!H74)</f>
        <v>0</v>
      </c>
      <c r="I74" s="70">
        <f>('Thurs (2)'!I74+Thurs!I74+'Tues '!I74+Wed!I74+Fri!I74+'Mon '!I74+'Wed (2)'!I74+Sun!I74+Sat!I74)</f>
        <v>0</v>
      </c>
      <c r="J74" s="70">
        <f>('Thurs (2)'!J74+Thurs!J74+'Tues '!J74+Wed!J74+Fri!J74+'Mon '!J74+'Wed (2)'!J74+Sun!J74+Sat!J74)</f>
        <v>0</v>
      </c>
      <c r="K74" s="70">
        <f>('Thurs (2)'!K74+Thurs!K74+'Tues '!K74+Wed!K74+Fri!K74+'Mon '!K74+'Wed (2)'!K74+Sun!K74+Sat!K74)</f>
        <v>0</v>
      </c>
      <c r="L74" s="70">
        <f>('Thurs (2)'!L74+Thurs!L74+'Tues '!L74+Wed!L74+Fri!L74+'Mon '!L74+'Wed (2)'!L74+Sun!L74+Sat!L74)</f>
        <v>0</v>
      </c>
      <c r="M74" s="70">
        <f>('Thurs (2)'!M74+Thurs!M74+'Tues '!M74+Wed!M74+Fri!M74+'Mon '!M74+'Wed (2)'!M74+Sun!M74+Sat!M74)</f>
        <v>0</v>
      </c>
      <c r="N74" s="70">
        <f>('Thurs (2)'!N74+Thurs!N74+'Tues '!N74+Wed!N74+Fri!N74+'Mon '!N74+'Wed (2)'!N74+Sun!N74+Sat!N74)</f>
        <v>0</v>
      </c>
      <c r="O74" s="70">
        <f>('Thurs (2)'!O74+Thurs!O74+'Tues '!O74+Wed!O74+Fri!O74+'Mon '!O74+'Wed (2)'!O74+Sun!O74+Sat!O74)</f>
        <v>0</v>
      </c>
      <c r="P74" s="70">
        <f>('Thurs (2)'!P74+Thurs!P74+'Tues '!P74+Wed!P74+Fri!P74+'Mon '!P74+'Wed (2)'!P74+Sun!P74+Sat!P74)</f>
        <v>0</v>
      </c>
      <c r="Q74" s="70">
        <f>('Thurs (2)'!Q74+Thurs!Q74+'Tues '!Q74+Wed!Q74+Fri!Q74+'Mon '!Q74+'Wed (2)'!Q74+Sun!Q74+Sat!Q74)</f>
        <v>0</v>
      </c>
      <c r="R74" s="70">
        <f>('Thurs (2)'!R74+Thurs!R74+'Tues '!R74+Wed!R74+Fri!R74+'Mon '!R74+'Wed (2)'!R74+Sun!R74+Sat!R74)</f>
        <v>0</v>
      </c>
      <c r="S74" s="70">
        <f>('Thurs (2)'!S74+Thurs!S74+'Tues '!S74+Wed!S74+Fri!S74+'Mon '!S74+'Wed (2)'!S74+Sun!S74+Sat!S74)</f>
        <v>0</v>
      </c>
      <c r="T74" s="70">
        <f>('Thurs (2)'!T74+Thurs!T74+'Tues '!T74+Wed!T74+Fri!T74+'Mon '!T74+'Wed (2)'!T74+Sun!T74+Sat!T74)</f>
        <v>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03" t="s">
        <v>30</v>
      </c>
      <c r="B75" s="103" t="s">
        <v>32</v>
      </c>
      <c r="C75" s="103"/>
      <c r="D75" s="58"/>
      <c r="E75" s="75"/>
      <c r="F75" s="104" t="s">
        <v>88</v>
      </c>
      <c r="G75" s="70">
        <f>('Thurs (2)'!G75+Thurs!G75+'Tues '!G75+Wed!G75+Fri!G75+'Mon '!G75+'Wed (2)'!G75+Sun!G75+Sat!G75)</f>
        <v>6</v>
      </c>
      <c r="H75" s="70">
        <f>('Thurs (2)'!H75+Thurs!H75+'Tues '!H75+Wed!H75+Fri!H75+'Mon '!H75+'Wed (2)'!H75+Sun!H75+Sat!H75)</f>
        <v>0</v>
      </c>
      <c r="I75" s="70">
        <f>('Thurs (2)'!I75+Thurs!I75+'Tues '!I75+Wed!I75+Fri!I75+'Mon '!I75+'Wed (2)'!I75+Sun!I75+Sat!I75)</f>
        <v>0</v>
      </c>
      <c r="J75" s="70">
        <f>('Thurs (2)'!J75+Thurs!J75+'Tues '!J75+Wed!J75+Fri!J75+'Mon '!J75+'Wed (2)'!J75+Sun!J75+Sat!J75)</f>
        <v>0</v>
      </c>
      <c r="K75" s="70">
        <f>('Thurs (2)'!K75+Thurs!K75+'Tues '!K75+Wed!K75+Fri!K75+'Mon '!K75+'Wed (2)'!K75+Sun!K75+Sat!K75)</f>
        <v>0</v>
      </c>
      <c r="L75" s="70">
        <f>('Thurs (2)'!L75+Thurs!L75+'Tues '!L75+Wed!L75+Fri!L75+'Mon '!L75+'Wed (2)'!L75+Sun!L75+Sat!L75)</f>
        <v>0</v>
      </c>
      <c r="M75" s="70">
        <f>('Thurs (2)'!M75+Thurs!M75+'Tues '!M75+Wed!M75+Fri!M75+'Mon '!M75+'Wed (2)'!M75+Sun!M75+Sat!M75)</f>
        <v>0</v>
      </c>
      <c r="N75" s="70">
        <f>('Thurs (2)'!N75+Thurs!N75+'Tues '!N75+Wed!N75+Fri!N75+'Mon '!N75+'Wed (2)'!N75+Sun!N75+Sat!N75)</f>
        <v>0</v>
      </c>
      <c r="O75" s="70">
        <f>('Thurs (2)'!O75+Thurs!O75+'Tues '!O75+Wed!O75+Fri!O75+'Mon '!O75+'Wed (2)'!O75+Sun!O75+Sat!O75)</f>
        <v>0</v>
      </c>
      <c r="P75" s="70">
        <f>('Thurs (2)'!P75+Thurs!P75+'Tues '!P75+Wed!P75+Fri!P75+'Mon '!P75+'Wed (2)'!P75+Sun!P75+Sat!P75)</f>
        <v>0</v>
      </c>
      <c r="Q75" s="70">
        <f>('Thurs (2)'!Q75+Thurs!Q75+'Tues '!Q75+Wed!Q75+Fri!Q75+'Mon '!Q75+'Wed (2)'!Q75+Sun!Q75+Sat!Q75)</f>
        <v>0</v>
      </c>
      <c r="R75" s="70">
        <f>('Thurs (2)'!R75+Thurs!R75+'Tues '!R75+Wed!R75+Fri!R75+'Mon '!R75+'Wed (2)'!R75+Sun!R75+Sat!R75)</f>
        <v>0</v>
      </c>
      <c r="S75" s="70">
        <f>('Thurs (2)'!S75+Thurs!S75+'Tues '!S75+Wed!S75+Fri!S75+'Mon '!S75+'Wed (2)'!S75+Sun!S75+Sat!S75)</f>
        <v>0</v>
      </c>
      <c r="T75" s="70">
        <f>('Thurs (2)'!T75+Thurs!T75+'Tues '!T75+Wed!T75+Fri!T75+'Mon '!T75+'Wed (2)'!T75+Sun!T75+Sat!T75)</f>
        <v>0</v>
      </c>
      <c r="U75" s="71">
        <f t="shared" si="7"/>
        <v>0</v>
      </c>
      <c r="V75" s="71">
        <f t="shared" si="8"/>
        <v>0</v>
      </c>
      <c r="W75" s="72"/>
    </row>
    <row r="76" ht="12.75" customHeight="1">
      <c r="A76" s="110" t="s">
        <v>30</v>
      </c>
      <c r="B76" s="110" t="s">
        <v>32</v>
      </c>
      <c r="C76" s="110" t="s">
        <v>89</v>
      </c>
      <c r="D76" s="99" t="s">
        <v>49</v>
      </c>
      <c r="E76" s="84"/>
      <c r="F76" s="110" t="s">
        <v>89</v>
      </c>
      <c r="G76" s="70">
        <f>('Thurs (2)'!G74+Thurs!G74+'Tues '!G74+Wed!G74+Fri!G74+'Mon '!G74+'Wed (2)'!G74+Sun!G74+Sat!G74)</f>
        <v>0</v>
      </c>
      <c r="H76" s="70">
        <f>('Thurs (2)'!H74+Thurs!H74+'Tues '!H74+Wed!H74+Fri!H74+'Mon '!H74+'Wed (2)'!H74+Sun!H74+Sat!H74)</f>
        <v>0</v>
      </c>
      <c r="I76" s="70">
        <f>('Thurs (2)'!I74+Thurs!I74+'Tues '!I74+Wed!I74+Fri!I74+'Mon '!I74+'Wed (2)'!I74+Sun!I74+Sat!I74)</f>
        <v>0</v>
      </c>
      <c r="J76" s="70">
        <f>('Thurs (2)'!J74+Thurs!J74+'Tues '!J74+Wed!J74+Fri!J74+'Mon '!J74+'Wed (2)'!J74+Sun!J74+Sat!J74)</f>
        <v>0</v>
      </c>
      <c r="K76" s="70">
        <f>('Thurs (2)'!K74+Thurs!K74+'Tues '!K74+Wed!K74+Fri!K74+'Mon '!K74+'Wed (2)'!K74+Sun!K74+Sat!K74)</f>
        <v>0</v>
      </c>
      <c r="L76" s="70">
        <f>('Thurs (2)'!L74+Thurs!L74+'Tues '!L74+Wed!L74+Fri!L74+'Mon '!L74+'Wed (2)'!L74+Sun!L74+Sat!L74)</f>
        <v>0</v>
      </c>
      <c r="M76" s="70">
        <f>('Thurs (2)'!M74+Thurs!M74+'Tues '!M74+Wed!M74+Fri!M74+'Mon '!M74+'Wed (2)'!M74+Sun!M74+Sat!M74)</f>
        <v>0</v>
      </c>
      <c r="N76" s="70">
        <f>('Thurs (2)'!N74+Thurs!N74+'Tues '!N74+Wed!N74+Fri!N74+'Mon '!N74+'Wed (2)'!N74+Sun!N74+Sat!N74)</f>
        <v>0</v>
      </c>
      <c r="O76" s="70">
        <f>('Thurs (2)'!O74+Thurs!O74+'Tues '!O74+Wed!O74+Fri!O74+'Mon '!O74+'Wed (2)'!O74+Sun!O74+Sat!O74)</f>
        <v>0</v>
      </c>
      <c r="P76" s="70">
        <f>('Thurs (2)'!P74+Thurs!P74+'Tues '!P74+Wed!P74+Fri!P74+'Mon '!P74+'Wed (2)'!P74+Sun!P74+Sat!P74)</f>
        <v>0</v>
      </c>
      <c r="Q76" s="70">
        <f>('Thurs (2)'!Q74+Thurs!Q74+'Tues '!Q74+Wed!Q74+Fri!Q74+'Mon '!Q74+'Wed (2)'!Q74+Sun!Q74+Sat!Q74)</f>
        <v>0</v>
      </c>
      <c r="R76" s="70">
        <f>('Thurs (2)'!R74+Thurs!R74+'Tues '!R74+Wed!R74+Fri!R74+'Mon '!R74+'Wed (2)'!R74+Sun!R74+Sat!R74)</f>
        <v>0</v>
      </c>
      <c r="S76" s="70">
        <f>('Thurs (2)'!S74+Thurs!S74+'Tues '!S74+Wed!S74+Fri!S74+'Mon '!S74+'Wed (2)'!S74+Sun!S74+Sat!S74)</f>
        <v>0</v>
      </c>
      <c r="T76" s="70">
        <f>('Thurs (2)'!T74+Thurs!T74+'Tues '!T74+Wed!T74+Fri!T74+'Mon '!T74+'Wed (2)'!T74+Sun!T74+Sat!T74)</f>
        <v>0</v>
      </c>
      <c r="U76" s="71">
        <f t="shared" si="7"/>
        <v>0</v>
      </c>
      <c r="V76" s="71">
        <f t="shared" si="8"/>
        <v>0</v>
      </c>
      <c r="W76" s="72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19"/>
      <c r="B594" s="119"/>
      <c r="C594" s="119"/>
      <c r="D594" s="1"/>
      <c r="E594" s="119"/>
      <c r="F594" s="11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1"/>
      <c r="V594" s="121"/>
      <c r="W594" s="121"/>
    </row>
    <row r="595" ht="12.75" customHeight="1">
      <c r="A595" s="119"/>
      <c r="B595" s="119"/>
      <c r="C595" s="119"/>
      <c r="D595" s="1"/>
      <c r="E595" s="119"/>
      <c r="F595" s="11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1"/>
      <c r="V595" s="121"/>
      <c r="W595" s="121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2710</v>
      </c>
      <c r="D2" s="10"/>
      <c r="E2" s="9">
        <f t="shared" ref="E2:R2" si="1">SUM(E5,E14,E17)</f>
        <v>1401</v>
      </c>
      <c r="F2" s="9">
        <f t="shared" si="1"/>
        <v>18</v>
      </c>
      <c r="G2" s="9">
        <f t="shared" si="1"/>
        <v>6</v>
      </c>
      <c r="H2" s="9">
        <f t="shared" si="1"/>
        <v>3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0</v>
      </c>
      <c r="M2" s="9">
        <f t="shared" si="1"/>
        <v>10</v>
      </c>
      <c r="N2" s="9">
        <f t="shared" si="1"/>
        <v>2</v>
      </c>
      <c r="O2" s="9">
        <f t="shared" si="1"/>
        <v>2</v>
      </c>
      <c r="P2" s="9">
        <f t="shared" si="1"/>
        <v>2</v>
      </c>
      <c r="Q2" s="9">
        <f t="shared" si="1"/>
        <v>1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903.3333333</v>
      </c>
      <c r="F4" s="23">
        <f>IFERROR((G2+R2)/F2,0)</f>
        <v>0.3888888889</v>
      </c>
      <c r="G4" s="23">
        <f>IFERROR(H2/G2,0)</f>
        <v>0.5</v>
      </c>
      <c r="H4" s="22">
        <f>(C2/C4)</f>
        <v>57.65957447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1.666666667</v>
      </c>
      <c r="N4" s="24"/>
      <c r="O4" s="23">
        <f>IFERROR(O2/N2,0)</f>
        <v>1</v>
      </c>
      <c r="P4" s="26"/>
      <c r="Q4" s="23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1309</v>
      </c>
      <c r="D5" s="31"/>
      <c r="E5" s="32">
        <f>SUMIFS(T:T,A:A,B5,D:D,"Y")</f>
        <v>0</v>
      </c>
      <c r="F5" s="33">
        <f>SUMIF(A:A,B5,G:G)</f>
        <v>13</v>
      </c>
      <c r="G5" s="33">
        <f>SUMIF(A:A,B5,H:H)</f>
        <v>4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2</v>
      </c>
      <c r="L5" s="33">
        <f>SUMIF(A:A,B5,S:S)</f>
        <v>0</v>
      </c>
      <c r="M5" s="33">
        <f>SUMIF(A:A,B5,M:M)</f>
        <v>7</v>
      </c>
      <c r="N5" s="33">
        <f>SUMIF(A:A,B5,N:N)</f>
        <v>1</v>
      </c>
      <c r="O5" s="33">
        <f>SUMIF(A:A,B5,O:O)</f>
        <v>1</v>
      </c>
      <c r="P5" s="33">
        <f>SUMIF(A:A,B5,J:J)</f>
        <v>1</v>
      </c>
      <c r="Q5" s="33">
        <f>SUMIF(A:A,B5,K:K)</f>
        <v>1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654.5</v>
      </c>
      <c r="F7" s="41">
        <f>IFERROR((G5+R5)/F5,0)</f>
        <v>0.3846153846</v>
      </c>
      <c r="G7" s="41">
        <f>IFERROR(H5/G5,0)</f>
        <v>0.5</v>
      </c>
      <c r="H7" s="40">
        <f>(C5/C7)</f>
        <v>62.33333333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1.4</v>
      </c>
      <c r="N7" s="42"/>
      <c r="O7" s="41">
        <f>IFERROR(O5/N5,0)</f>
        <v>1</v>
      </c>
      <c r="P7" s="43"/>
      <c r="Q7" s="41">
        <f>IFERROR(Q5/P5,0)</f>
        <v>1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1309</v>
      </c>
      <c r="D11" s="47"/>
      <c r="E11" s="48">
        <f>SUMIFS(T:T,B:B,B11,D:D,"Y")</f>
        <v>0</v>
      </c>
      <c r="F11" s="49">
        <f t="shared" ref="F11:R11" si="2">SUMIF(B28:B1137,B11,G28:G1137)</f>
        <v>10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2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100.6923077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1401</v>
      </c>
      <c r="D14" s="31"/>
      <c r="E14" s="53">
        <f>SUMIFS(T:T,A:A,B14,D:D,"Y")</f>
        <v>1401</v>
      </c>
      <c r="F14" s="9">
        <f>SUMIF(A:A,B14,G:G)</f>
        <v>1</v>
      </c>
      <c r="G14" s="33">
        <f>SUMIF(A:A,B14,H:H)</f>
        <v>1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1</v>
      </c>
      <c r="O14" s="33">
        <f>SUMIF(A:A,B14,O:O)</f>
        <v>1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1401</v>
      </c>
      <c r="F16" s="23">
        <f>IFERROR((G14+R14)/F14,0)</f>
        <v>1</v>
      </c>
      <c r="G16" s="23">
        <f>IFERROR(H14/G14,0)</f>
        <v>1</v>
      </c>
      <c r="H16" s="22">
        <f>(C14/C16)</f>
        <v>350.25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0</v>
      </c>
      <c r="N16" s="24"/>
      <c r="O16" s="23">
        <f>IFERROR(O14/N14,0)</f>
        <v>1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4</v>
      </c>
      <c r="G17" s="33">
        <f>SUMIF(A:A,B17,H:H)</f>
        <v>1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3</v>
      </c>
      <c r="N17" s="33">
        <f>SUMIF(A:A,B17,N:N)</f>
        <v>0</v>
      </c>
      <c r="O17" s="33">
        <f>SUMIF(A:A,B17,O:O)</f>
        <v>0</v>
      </c>
      <c r="P17" s="33">
        <f>SUMIF(A:A,B17,J:J)</f>
        <v>1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0.25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3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4</v>
      </c>
      <c r="G20" s="46">
        <f>SUMIF(B49:B1137,B20,H49:H1137)</f>
        <v>1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3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1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0.25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3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>IFERROR(I28/H28,0)</f>
        <v>0</v>
      </c>
      <c r="V28" s="71">
        <f t="shared" ref="V28:V48" si="3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127">
        <v>0.0</v>
      </c>
      <c r="V29" s="71">
        <f t="shared" si="3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3.0</v>
      </c>
      <c r="H30" s="126">
        <v>1.0</v>
      </c>
      <c r="I30" s="126">
        <v>1.0</v>
      </c>
      <c r="J30" s="126">
        <v>0.0</v>
      </c>
      <c r="K30" s="126">
        <v>0.0</v>
      </c>
      <c r="L30" s="126">
        <v>0.0</v>
      </c>
      <c r="M30" s="126">
        <v>0.0</v>
      </c>
      <c r="N30" s="126">
        <v>1.0</v>
      </c>
      <c r="O30" s="126">
        <v>1.0</v>
      </c>
      <c r="P30" s="126">
        <v>0.0</v>
      </c>
      <c r="Q30" s="126">
        <v>0.0</v>
      </c>
      <c r="R30" s="126">
        <v>0.0</v>
      </c>
      <c r="S30" s="126">
        <v>0.0</v>
      </c>
      <c r="T30" s="126" t="s">
        <v>90</v>
      </c>
      <c r="U30" s="71">
        <f t="shared" ref="U30:U48" si="4">IFERROR(I30/H30,0)</f>
        <v>1</v>
      </c>
      <c r="V30" s="71">
        <f t="shared" si="3"/>
        <v>0.3333333333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4"/>
        <v>0</v>
      </c>
      <c r="V31" s="71">
        <f t="shared" si="3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4"/>
        <v>0</v>
      </c>
      <c r="V32" s="71">
        <f t="shared" si="3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2.0</v>
      </c>
      <c r="H33" s="126">
        <v>1.0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4"/>
        <v>0</v>
      </c>
      <c r="V33" s="71">
        <f t="shared" si="3"/>
        <v>0.5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3.0</v>
      </c>
      <c r="H34" s="126">
        <v>1.0</v>
      </c>
      <c r="I34" s="126">
        <v>0.0</v>
      </c>
      <c r="J34" s="126">
        <v>0.0</v>
      </c>
      <c r="K34" s="126">
        <v>0.0</v>
      </c>
      <c r="L34" s="126">
        <v>1.0</v>
      </c>
      <c r="M34" s="126">
        <v>1.0</v>
      </c>
      <c r="N34" s="126">
        <v>0.0</v>
      </c>
      <c r="O34" s="126">
        <v>0.0</v>
      </c>
      <c r="P34" s="126">
        <v>0.0</v>
      </c>
      <c r="Q34" s="126">
        <v>0.0</v>
      </c>
      <c r="R34" s="126">
        <v>1.0</v>
      </c>
      <c r="S34" s="126">
        <v>0.0</v>
      </c>
      <c r="T34" s="126">
        <v>0.0</v>
      </c>
      <c r="U34" s="71">
        <f t="shared" si="4"/>
        <v>0</v>
      </c>
      <c r="V34" s="71">
        <f t="shared" si="3"/>
        <v>0.6666666667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1.0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4"/>
        <v>0</v>
      </c>
      <c r="V35" s="71">
        <f t="shared" si="3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126">
        <v>0.0</v>
      </c>
      <c r="H36" s="126">
        <v>0.0</v>
      </c>
      <c r="I36" s="126">
        <v>0.0</v>
      </c>
      <c r="J36" s="126">
        <v>0.0</v>
      </c>
      <c r="K36" s="126">
        <v>0.0</v>
      </c>
      <c r="L36" s="126">
        <v>0.0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71">
        <f t="shared" si="4"/>
        <v>0</v>
      </c>
      <c r="V36" s="71">
        <f t="shared" si="3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4"/>
        <v>0</v>
      </c>
      <c r="V37" s="71">
        <f t="shared" si="3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2.0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4"/>
        <v>0</v>
      </c>
      <c r="V38" s="71">
        <f t="shared" si="3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126">
        <v>2.0</v>
      </c>
      <c r="H39" s="126">
        <v>1.0</v>
      </c>
      <c r="I39" s="126">
        <v>1.0</v>
      </c>
      <c r="J39" s="126">
        <v>1.0</v>
      </c>
      <c r="K39" s="126">
        <v>1.0</v>
      </c>
      <c r="L39" s="126">
        <v>0.0</v>
      </c>
      <c r="M39" s="126">
        <v>6.0</v>
      </c>
      <c r="N39" s="126">
        <v>0.0</v>
      </c>
      <c r="O39" s="126">
        <v>0.0</v>
      </c>
      <c r="P39" s="126">
        <v>0.0</v>
      </c>
      <c r="Q39" s="126">
        <v>0.0</v>
      </c>
      <c r="R39" s="126">
        <v>1.0</v>
      </c>
      <c r="S39" s="126">
        <v>0.0</v>
      </c>
      <c r="T39" s="126">
        <v>1309.0</v>
      </c>
      <c r="U39" s="71">
        <f t="shared" si="4"/>
        <v>1</v>
      </c>
      <c r="V39" s="71">
        <f t="shared" si="3"/>
        <v>0.5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4"/>
        <v>0</v>
      </c>
      <c r="V40" s="71">
        <f t="shared" si="3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4"/>
        <v>0</v>
      </c>
      <c r="V41" s="71">
        <f t="shared" si="3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4"/>
        <v>0</v>
      </c>
      <c r="V42" s="71">
        <f t="shared" si="3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7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4"/>
        <v>0</v>
      </c>
      <c r="V43" s="71">
        <f t="shared" si="3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4"/>
        <v>0</v>
      </c>
      <c r="V44" s="71">
        <f t="shared" si="3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4"/>
        <v>0</v>
      </c>
      <c r="V45" s="71">
        <f t="shared" si="3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4"/>
        <v>0</v>
      </c>
      <c r="V46" s="71">
        <f t="shared" si="3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4"/>
        <v>0</v>
      </c>
      <c r="V47" s="71">
        <f t="shared" si="3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4"/>
        <v>0</v>
      </c>
      <c r="V48" s="71">
        <f t="shared" si="3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126">
        <v>1.0</v>
      </c>
      <c r="H52" s="126">
        <v>1.0</v>
      </c>
      <c r="I52" s="126">
        <v>1.0</v>
      </c>
      <c r="J52" s="126">
        <v>0.0</v>
      </c>
      <c r="K52" s="126">
        <v>0.0</v>
      </c>
      <c r="L52" s="126">
        <v>0.0</v>
      </c>
      <c r="M52" s="126">
        <v>0.0</v>
      </c>
      <c r="N52" s="126">
        <v>1.0</v>
      </c>
      <c r="O52" s="126">
        <v>1.0</v>
      </c>
      <c r="P52" s="126">
        <v>0.0</v>
      </c>
      <c r="Q52" s="126">
        <v>0.0</v>
      </c>
      <c r="R52" s="126">
        <v>0.0</v>
      </c>
      <c r="S52" s="126">
        <v>0.0</v>
      </c>
      <c r="T52" s="126">
        <v>1401.0</v>
      </c>
      <c r="U52" s="71">
        <f t="shared" si="5"/>
        <v>1</v>
      </c>
      <c r="V52" s="71">
        <f t="shared" si="6"/>
        <v>1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126">
        <v>0.0</v>
      </c>
      <c r="H56" s="126">
        <v>0.0</v>
      </c>
      <c r="I56" s="126">
        <v>0.0</v>
      </c>
      <c r="J56" s="126">
        <v>0.0</v>
      </c>
      <c r="K56" s="126">
        <v>0.0</v>
      </c>
      <c r="L56" s="126">
        <v>0.0</v>
      </c>
      <c r="M56" s="126">
        <v>0.0</v>
      </c>
      <c r="N56" s="126">
        <v>0.0</v>
      </c>
      <c r="O56" s="126">
        <v>0.0</v>
      </c>
      <c r="P56" s="126">
        <v>0.0</v>
      </c>
      <c r="Q56" s="126">
        <v>0.0</v>
      </c>
      <c r="R56" s="126">
        <v>0.0</v>
      </c>
      <c r="S56" s="126">
        <v>0.0</v>
      </c>
      <c r="T56" s="126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6">
        <v>4.0</v>
      </c>
      <c r="H58" s="126">
        <v>1.0</v>
      </c>
      <c r="I58" s="126">
        <v>0.0</v>
      </c>
      <c r="J58" s="126">
        <v>1.0</v>
      </c>
      <c r="K58" s="126">
        <v>0.0</v>
      </c>
      <c r="L58" s="126">
        <v>0.0</v>
      </c>
      <c r="M58" s="126">
        <v>3.0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7"/>
        <v>0</v>
      </c>
      <c r="V58" s="71">
        <f t="shared" si="8"/>
        <v>0.25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1" t="s">
        <v>76</v>
      </c>
      <c r="D67" s="112"/>
      <c r="E67" s="84"/>
      <c r="F67" s="113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0" t="s">
        <v>30</v>
      </c>
      <c r="B68" s="100" t="s">
        <v>31</v>
      </c>
      <c r="C68" s="100" t="s">
        <v>82</v>
      </c>
      <c r="D68" s="114" t="s">
        <v>49</v>
      </c>
      <c r="E68" s="75"/>
      <c r="F68" s="100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10" t="s">
        <v>30</v>
      </c>
      <c r="B69" s="110" t="s">
        <v>31</v>
      </c>
      <c r="C69" s="115" t="s">
        <v>83</v>
      </c>
      <c r="D69" s="116" t="s">
        <v>49</v>
      </c>
      <c r="E69" s="117"/>
      <c r="F69" s="115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3" t="s">
        <v>83</v>
      </c>
      <c r="D70" s="112"/>
      <c r="E70" s="84"/>
      <c r="F70" s="113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3" t="s">
        <v>83</v>
      </c>
      <c r="D71" s="118"/>
      <c r="E71" s="84"/>
      <c r="F71" s="113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5" t="s">
        <v>30</v>
      </c>
      <c r="B72" s="105" t="s">
        <v>32</v>
      </c>
      <c r="C72" s="105"/>
      <c r="D72" s="107" t="s">
        <v>49</v>
      </c>
      <c r="E72" s="81"/>
      <c r="F72" s="105" t="s">
        <v>32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2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03" t="s">
        <v>30</v>
      </c>
      <c r="B74" s="103" t="s">
        <v>32</v>
      </c>
      <c r="C74" s="103"/>
      <c r="D74" s="58"/>
      <c r="E74" s="75"/>
      <c r="F74" s="104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3" t="s">
        <v>30</v>
      </c>
      <c r="B75" s="103" t="s">
        <v>32</v>
      </c>
      <c r="C75" s="103"/>
      <c r="D75" s="58"/>
      <c r="E75" s="75"/>
      <c r="F75" s="104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10" t="s">
        <v>30</v>
      </c>
      <c r="B76" s="110" t="s">
        <v>32</v>
      </c>
      <c r="C76" s="110" t="s">
        <v>89</v>
      </c>
      <c r="D76" s="99" t="s">
        <v>49</v>
      </c>
      <c r="E76" s="84"/>
      <c r="F76" s="110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19"/>
      <c r="B594" s="119"/>
      <c r="C594" s="119"/>
      <c r="D594" s="1"/>
      <c r="E594" s="119"/>
      <c r="F594" s="11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1"/>
      <c r="V594" s="121"/>
      <c r="W594" s="121"/>
    </row>
    <row r="595" ht="12.75" customHeight="1">
      <c r="A595" s="119"/>
      <c r="B595" s="119"/>
      <c r="C595" s="119"/>
      <c r="D595" s="1"/>
      <c r="E595" s="119"/>
      <c r="F595" s="11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1"/>
      <c r="V595" s="121"/>
      <c r="W595" s="121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2158</v>
      </c>
      <c r="D2" s="10"/>
      <c r="E2" s="9">
        <f t="shared" ref="E2:R2" si="1">SUM(E5,E14,E17)</f>
        <v>2158</v>
      </c>
      <c r="F2" s="9">
        <f t="shared" si="1"/>
        <v>8</v>
      </c>
      <c r="G2" s="9">
        <f t="shared" si="1"/>
        <v>2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1</v>
      </c>
      <c r="M2" s="9">
        <f t="shared" si="1"/>
        <v>1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2158</v>
      </c>
      <c r="F4" s="23">
        <f>IFERROR((G2+R2)/F2,0)</f>
        <v>0.375</v>
      </c>
      <c r="G4" s="23">
        <f>IFERROR(H2/G2,0)</f>
        <v>0.5</v>
      </c>
      <c r="H4" s="22">
        <f>(C2/C4)</f>
        <v>45.91489362</v>
      </c>
      <c r="I4" s="24"/>
      <c r="J4" s="23">
        <f>IFERROR(J2/I2,0)</f>
        <v>0</v>
      </c>
      <c r="K4" s="24"/>
      <c r="L4" s="23">
        <f>IFERROR(L2/K2,0)</f>
        <v>0.5</v>
      </c>
      <c r="M4" s="25">
        <f>IFERROR(M2/G2,0)</f>
        <v>0.5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5</v>
      </c>
      <c r="G5" s="33">
        <f>SUMIF(A:A,B5,H:H)</f>
        <v>1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0.4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4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1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0.25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2158</v>
      </c>
      <c r="D17" s="31"/>
      <c r="E17" s="53">
        <f>SUMIFS(T:T,A:A,B17,D:D,"Y")</f>
        <v>2158</v>
      </c>
      <c r="F17" s="9">
        <f>SUMIF(A:A,B17,G:G)</f>
        <v>2</v>
      </c>
      <c r="G17" s="33">
        <f>SUMIF(A:A,B17,H:H)</f>
        <v>1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1</v>
      </c>
      <c r="L17" s="33">
        <f>SUMIF(A:A,B17,S:S)</f>
        <v>1</v>
      </c>
      <c r="M17" s="33">
        <f>SUMIF(A:A,B17,M:M)</f>
        <v>1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2158</v>
      </c>
      <c r="F19" s="41">
        <f>IFERROR((G17+R17)/F17,0)</f>
        <v>0.5</v>
      </c>
      <c r="G19" s="41">
        <f>IFERROR(H17/G17,0)</f>
        <v>1</v>
      </c>
      <c r="H19" s="40">
        <f>(C17/C19)</f>
        <v>98.09090909</v>
      </c>
      <c r="I19" s="42"/>
      <c r="J19" s="41">
        <f>IFERROR(J17/I17,0)</f>
        <v>0</v>
      </c>
      <c r="K19" s="42"/>
      <c r="L19" s="41">
        <f>IFERROR(L17/K17,0)</f>
        <v>1</v>
      </c>
      <c r="M19" s="54">
        <f>IFERROR(M17/SUM(G17+R17,0),"")</f>
        <v>1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2158</v>
      </c>
      <c r="D20" s="55"/>
      <c r="E20" s="48">
        <f>SUMIFS(T:T,B:B,B20,D:D,"Y")</f>
        <v>2158</v>
      </c>
      <c r="F20" s="49">
        <f>SUMIF(B49:B1137,B20,G49:G1137)</f>
        <v>2</v>
      </c>
      <c r="G20" s="46">
        <f>SUMIF(B49:B1137,B20,H49:H1137)</f>
        <v>1</v>
      </c>
      <c r="H20" s="46">
        <f>SUMIF(B49:B1137,B20,I49:I1137)</f>
        <v>1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1</v>
      </c>
      <c r="L20" s="46">
        <f>SUMIF(B49:B1137,B20,S49:S1137)</f>
        <v>1</v>
      </c>
      <c r="M20" s="46">
        <f>SUMIF(B49:B1137,B20,M49:M1137)</f>
        <v>1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2158</v>
      </c>
      <c r="F22" s="41">
        <f>IFERROR((G20+R20)/F20,0)</f>
        <v>0.5</v>
      </c>
      <c r="G22" s="41">
        <f>IFERROR(H20/G20,0)</f>
        <v>1</v>
      </c>
      <c r="H22" s="40">
        <f>(C20/C22)</f>
        <v>154.1428571</v>
      </c>
      <c r="I22" s="42"/>
      <c r="J22" s="41">
        <f>IFERROR(J20/I20,0)</f>
        <v>0</v>
      </c>
      <c r="K22" s="42"/>
      <c r="L22" s="41">
        <f>IFERROR(L20/K20,0)</f>
        <v>1</v>
      </c>
      <c r="M22" s="43">
        <f>IFERROR(M20/SUM(G20+R20,0),"")</f>
        <v>1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>IFERROR(I28/H28,0)</f>
        <v>0</v>
      </c>
      <c r="V28" s="71">
        <f t="shared" ref="V28:V48" si="3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127">
        <v>0.0</v>
      </c>
      <c r="V29" s="71">
        <f t="shared" si="3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1.0</v>
      </c>
      <c r="H30" s="126">
        <v>1.0</v>
      </c>
      <c r="I30" s="126">
        <v>0.0</v>
      </c>
      <c r="J30" s="126">
        <v>0.0</v>
      </c>
      <c r="K30" s="126">
        <v>0.0</v>
      </c>
      <c r="L30" s="126">
        <v>1.0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1.0</v>
      </c>
      <c r="S30" s="126">
        <v>0.0</v>
      </c>
      <c r="T30" s="70"/>
      <c r="U30" s="71">
        <f t="shared" ref="U30:U48" si="4">IFERROR(I30/H30,0)</f>
        <v>0</v>
      </c>
      <c r="V30" s="71">
        <f t="shared" si="3"/>
        <v>2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4"/>
        <v>0</v>
      </c>
      <c r="V31" s="71">
        <f t="shared" si="3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4"/>
        <v>0</v>
      </c>
      <c r="V32" s="71">
        <f t="shared" si="3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2.0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4"/>
        <v>0</v>
      </c>
      <c r="V33" s="71">
        <f t="shared" si="3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4"/>
        <v>0</v>
      </c>
      <c r="V34" s="71">
        <f t="shared" si="3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4"/>
        <v>0</v>
      </c>
      <c r="V35" s="71">
        <f t="shared" si="3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4"/>
        <v>0</v>
      </c>
      <c r="V36" s="71">
        <f t="shared" si="3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4"/>
        <v>0</v>
      </c>
      <c r="V37" s="71">
        <f t="shared" si="3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4"/>
        <v>0</v>
      </c>
      <c r="V38" s="71">
        <f t="shared" si="3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126">
        <v>2.0</v>
      </c>
      <c r="H39" s="126">
        <v>0.0</v>
      </c>
      <c r="I39" s="126">
        <v>0.0</v>
      </c>
      <c r="J39" s="126">
        <v>0.0</v>
      </c>
      <c r="K39" s="126">
        <v>0.0</v>
      </c>
      <c r="L39" s="126">
        <v>0.0</v>
      </c>
      <c r="M39" s="126">
        <v>0.0</v>
      </c>
      <c r="N39" s="126">
        <v>0.0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71">
        <f t="shared" si="4"/>
        <v>0</v>
      </c>
      <c r="V39" s="71">
        <f t="shared" si="3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4"/>
        <v>0</v>
      </c>
      <c r="V40" s="71">
        <f t="shared" si="3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4"/>
        <v>0</v>
      </c>
      <c r="V41" s="71">
        <f t="shared" si="3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4"/>
        <v>0</v>
      </c>
      <c r="V42" s="71">
        <f t="shared" si="3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7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4"/>
        <v>0</v>
      </c>
      <c r="V43" s="71">
        <f t="shared" si="3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4"/>
        <v>0</v>
      </c>
      <c r="V44" s="71">
        <f t="shared" si="3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4"/>
        <v>0</v>
      </c>
      <c r="V45" s="71">
        <f t="shared" si="3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4"/>
        <v>0</v>
      </c>
      <c r="V46" s="71">
        <f t="shared" si="3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4"/>
        <v>0</v>
      </c>
      <c r="V47" s="71">
        <f t="shared" si="3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4"/>
        <v>0</v>
      </c>
      <c r="V48" s="71">
        <f t="shared" si="3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 ht="20.2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126">
        <v>1.0</v>
      </c>
      <c r="H52" s="126">
        <v>0.0</v>
      </c>
      <c r="I52" s="126">
        <v>0.0</v>
      </c>
      <c r="J52" s="126">
        <v>0.0</v>
      </c>
      <c r="K52" s="126">
        <v>0.0</v>
      </c>
      <c r="L52" s="126">
        <v>0.0</v>
      </c>
      <c r="M52" s="126">
        <v>0.0</v>
      </c>
      <c r="N52" s="126">
        <v>0.0</v>
      </c>
      <c r="O52" s="126">
        <v>0.0</v>
      </c>
      <c r="P52" s="126">
        <v>0.0</v>
      </c>
      <c r="Q52" s="126">
        <v>0.0</v>
      </c>
      <c r="R52" s="126">
        <v>0.0</v>
      </c>
      <c r="S52" s="126">
        <v>0.0</v>
      </c>
      <c r="T52" s="126">
        <v>0.0</v>
      </c>
      <c r="U52" s="71">
        <f t="shared" si="5"/>
        <v>0</v>
      </c>
      <c r="V52" s="71">
        <f t="shared" si="6"/>
        <v>0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126">
        <v>0.0</v>
      </c>
      <c r="H56" s="126">
        <v>0.0</v>
      </c>
      <c r="I56" s="126">
        <v>0.0</v>
      </c>
      <c r="J56" s="126">
        <v>0.0</v>
      </c>
      <c r="K56" s="126">
        <v>0.0</v>
      </c>
      <c r="L56" s="126">
        <v>0.0</v>
      </c>
      <c r="M56" s="126">
        <v>0.0</v>
      </c>
      <c r="N56" s="126">
        <v>0.0</v>
      </c>
      <c r="O56" s="126">
        <v>0.0</v>
      </c>
      <c r="P56" s="126">
        <v>0.0</v>
      </c>
      <c r="Q56" s="126">
        <v>0.0</v>
      </c>
      <c r="R56" s="126">
        <v>0.0</v>
      </c>
      <c r="S56" s="126">
        <v>0.0</v>
      </c>
      <c r="T56" s="126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6">
        <v>2.0</v>
      </c>
      <c r="H58" s="126">
        <v>1.0</v>
      </c>
      <c r="I58" s="126">
        <v>1.0</v>
      </c>
      <c r="J58" s="126">
        <v>0.0</v>
      </c>
      <c r="K58" s="126">
        <v>0.0</v>
      </c>
      <c r="L58" s="126">
        <v>0.0</v>
      </c>
      <c r="M58" s="126">
        <v>1.0</v>
      </c>
      <c r="N58" s="126">
        <v>0.0</v>
      </c>
      <c r="O58" s="126">
        <v>0.0</v>
      </c>
      <c r="P58" s="126">
        <v>0.0</v>
      </c>
      <c r="Q58" s="126">
        <v>0.0</v>
      </c>
      <c r="R58" s="126">
        <v>1.0</v>
      </c>
      <c r="S58" s="126">
        <v>1.0</v>
      </c>
      <c r="T58" s="126">
        <v>2158.0</v>
      </c>
      <c r="U58" s="71">
        <f t="shared" si="7"/>
        <v>1</v>
      </c>
      <c r="V58" s="71">
        <f t="shared" si="8"/>
        <v>0.5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1" t="s">
        <v>76</v>
      </c>
      <c r="D67" s="112"/>
      <c r="E67" s="84"/>
      <c r="F67" s="113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0" t="s">
        <v>30</v>
      </c>
      <c r="B68" s="100" t="s">
        <v>31</v>
      </c>
      <c r="C68" s="100" t="s">
        <v>82</v>
      </c>
      <c r="D68" s="114" t="s">
        <v>49</v>
      </c>
      <c r="E68" s="75"/>
      <c r="F68" s="100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10" t="s">
        <v>30</v>
      </c>
      <c r="B69" s="110" t="s">
        <v>31</v>
      </c>
      <c r="C69" s="115" t="s">
        <v>83</v>
      </c>
      <c r="D69" s="116" t="s">
        <v>49</v>
      </c>
      <c r="E69" s="117"/>
      <c r="F69" s="115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3" t="s">
        <v>83</v>
      </c>
      <c r="D70" s="112"/>
      <c r="E70" s="84"/>
      <c r="F70" s="113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3" t="s">
        <v>83</v>
      </c>
      <c r="D71" s="118"/>
      <c r="E71" s="84"/>
      <c r="F71" s="113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5" t="s">
        <v>30</v>
      </c>
      <c r="B72" s="105" t="s">
        <v>32</v>
      </c>
      <c r="C72" s="105"/>
      <c r="D72" s="107" t="s">
        <v>49</v>
      </c>
      <c r="E72" s="81"/>
      <c r="F72" s="105" t="s">
        <v>32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2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03" t="s">
        <v>30</v>
      </c>
      <c r="B74" s="103" t="s">
        <v>32</v>
      </c>
      <c r="C74" s="103"/>
      <c r="D74" s="58"/>
      <c r="E74" s="75"/>
      <c r="F74" s="104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3" t="s">
        <v>30</v>
      </c>
      <c r="B75" s="103" t="s">
        <v>32</v>
      </c>
      <c r="C75" s="103"/>
      <c r="D75" s="58"/>
      <c r="E75" s="75"/>
      <c r="F75" s="104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10" t="s">
        <v>30</v>
      </c>
      <c r="B76" s="110" t="s">
        <v>32</v>
      </c>
      <c r="C76" s="110" t="s">
        <v>89</v>
      </c>
      <c r="D76" s="99" t="s">
        <v>49</v>
      </c>
      <c r="E76" s="84"/>
      <c r="F76" s="110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19"/>
      <c r="B594" s="119"/>
      <c r="C594" s="119"/>
      <c r="D594" s="1"/>
      <c r="E594" s="119"/>
      <c r="F594" s="11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1"/>
      <c r="V594" s="121"/>
      <c r="W594" s="121"/>
    </row>
    <row r="595" ht="12.75" customHeight="1">
      <c r="A595" s="119"/>
      <c r="B595" s="119"/>
      <c r="C595" s="119"/>
      <c r="D595" s="1"/>
      <c r="E595" s="119"/>
      <c r="F595" s="11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1"/>
      <c r="V595" s="121"/>
      <c r="W595" s="121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32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2414</v>
      </c>
      <c r="D2" s="10"/>
      <c r="E2" s="9">
        <f t="shared" ref="E2:R2" si="1">SUM(E5,E14,E17)</f>
        <v>0</v>
      </c>
      <c r="F2" s="9">
        <f t="shared" si="1"/>
        <v>7</v>
      </c>
      <c r="G2" s="9">
        <f t="shared" si="1"/>
        <v>4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1</v>
      </c>
      <c r="M2" s="9">
        <f t="shared" si="1"/>
        <v>3</v>
      </c>
      <c r="N2" s="9">
        <f t="shared" si="1"/>
        <v>5</v>
      </c>
      <c r="O2" s="9">
        <f t="shared" si="1"/>
        <v>1</v>
      </c>
      <c r="P2" s="9">
        <f t="shared" si="1"/>
        <v>2</v>
      </c>
      <c r="Q2" s="9">
        <f t="shared" si="1"/>
        <v>1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1207</v>
      </c>
      <c r="F4" s="23">
        <f>IFERROR((G2+R2)/F2,0)</f>
        <v>0.5714285714</v>
      </c>
      <c r="G4" s="23">
        <f>IFERROR(H2/G2,0)</f>
        <v>0.5</v>
      </c>
      <c r="H4" s="22">
        <f>(C2/C4)</f>
        <v>51.36170213</v>
      </c>
      <c r="I4" s="24"/>
      <c r="J4" s="23">
        <f>IFERROR(J2/I2,0)</f>
        <v>0</v>
      </c>
      <c r="K4" s="24"/>
      <c r="L4" s="23">
        <f>IFERROR(L2/K2,0)</f>
        <v>0.5</v>
      </c>
      <c r="M4" s="25">
        <f>IFERROR(M2/G2,0)</f>
        <v>0.75</v>
      </c>
      <c r="N4" s="24"/>
      <c r="O4" s="23">
        <f>IFERROR(O2/N2,0)</f>
        <v>0.2</v>
      </c>
      <c r="P4" s="26"/>
      <c r="Q4" s="23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2414</v>
      </c>
      <c r="D5" s="31"/>
      <c r="E5" s="32">
        <f>SUMIFS(T:T,A:A,B5,D:D,"Y")</f>
        <v>0</v>
      </c>
      <c r="F5" s="33">
        <f>SUMIF(A:A,B5,G:G)</f>
        <v>5</v>
      </c>
      <c r="G5" s="33">
        <f>SUMIF(A:A,B5,H:H)</f>
        <v>3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1</v>
      </c>
      <c r="M5" s="33">
        <f>SUMIF(A:A,B5,M:M)</f>
        <v>2</v>
      </c>
      <c r="N5" s="33">
        <f>SUMIF(A:A,B5,N:N)</f>
        <v>5</v>
      </c>
      <c r="O5" s="33">
        <f>SUMIF(A:A,B5,O:O)</f>
        <v>1</v>
      </c>
      <c r="P5" s="33">
        <f>SUMIF(A:A,B5,J:J)</f>
        <v>2</v>
      </c>
      <c r="Q5" s="33">
        <f>SUMIF(A:A,B5,K:K)</f>
        <v>1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1207</v>
      </c>
      <c r="F7" s="41">
        <f>IFERROR((G5+R5)/F5,0)</f>
        <v>0.6</v>
      </c>
      <c r="G7" s="41">
        <f>IFERROR(H5/G5,0)</f>
        <v>0.6666666667</v>
      </c>
      <c r="H7" s="40">
        <f>(C5/C7)</f>
        <v>114.952381</v>
      </c>
      <c r="I7" s="42"/>
      <c r="J7" s="41">
        <f>IFERROR(J5/I5,0)</f>
        <v>0</v>
      </c>
      <c r="K7" s="42"/>
      <c r="L7" s="41">
        <f>IFERROR(L5/K5,0)</f>
        <v>1</v>
      </c>
      <c r="M7" s="43">
        <f>IFERROR(M5/SUM(R5+G5,0),"")</f>
        <v>0.6666666667</v>
      </c>
      <c r="N7" s="42"/>
      <c r="O7" s="41">
        <f>IFERROR(O5/N5,0)</f>
        <v>0.2</v>
      </c>
      <c r="P7" s="43"/>
      <c r="Q7" s="41">
        <f>IFERROR(Q5/P5,0)</f>
        <v>0.5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1584</v>
      </c>
      <c r="D11" s="47"/>
      <c r="E11" s="48">
        <f>SUMIFS(T:T,B:B,B11,D:D,"Y")</f>
        <v>0</v>
      </c>
      <c r="F11" s="49">
        <f t="shared" ref="F11:R11" si="2">SUMIF(B28:B1137,B11,G28:G1137)</f>
        <v>2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1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121.8461538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1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1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1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6">
        <v>2.0</v>
      </c>
      <c r="H29" s="126">
        <v>1.0</v>
      </c>
      <c r="I29" s="126">
        <v>0.0</v>
      </c>
      <c r="J29" s="126">
        <v>1.0</v>
      </c>
      <c r="K29" s="126">
        <v>0.0</v>
      </c>
      <c r="L29" s="126">
        <v>0.0</v>
      </c>
      <c r="M29" s="126">
        <v>0.0</v>
      </c>
      <c r="N29" s="126">
        <v>1.0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71">
        <f t="shared" si="3"/>
        <v>0</v>
      </c>
      <c r="V29" s="71">
        <f t="shared" si="4"/>
        <v>0.5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1.0</v>
      </c>
      <c r="H30" s="126">
        <v>1.0</v>
      </c>
      <c r="I30" s="126">
        <v>1.0</v>
      </c>
      <c r="J30" s="126">
        <v>0.0</v>
      </c>
      <c r="K30" s="126">
        <v>0.0</v>
      </c>
      <c r="L30" s="126">
        <v>0.0</v>
      </c>
      <c r="M30" s="126">
        <v>2.0</v>
      </c>
      <c r="N30" s="126">
        <v>1.0</v>
      </c>
      <c r="O30" s="126">
        <v>1.0</v>
      </c>
      <c r="P30" s="126">
        <v>0.0</v>
      </c>
      <c r="Q30" s="126">
        <v>0.0</v>
      </c>
      <c r="R30" s="126">
        <v>0.0</v>
      </c>
      <c r="S30" s="126">
        <v>0.0</v>
      </c>
      <c r="T30" s="126">
        <v>830.0</v>
      </c>
      <c r="U30" s="71">
        <f t="shared" si="3"/>
        <v>1</v>
      </c>
      <c r="V30" s="71">
        <f t="shared" si="4"/>
        <v>1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1.0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1.0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0.0</v>
      </c>
      <c r="H38" s="126">
        <v>1.0</v>
      </c>
      <c r="I38" s="126">
        <v>1.0</v>
      </c>
      <c r="J38" s="126">
        <v>1.0</v>
      </c>
      <c r="K38" s="126">
        <v>1.0</v>
      </c>
      <c r="L38" s="126">
        <v>0.0</v>
      </c>
      <c r="M38" s="126">
        <v>0.0</v>
      </c>
      <c r="N38" s="126">
        <v>3.0</v>
      </c>
      <c r="O38" s="126">
        <v>0.0</v>
      </c>
      <c r="P38" s="126">
        <v>0.0</v>
      </c>
      <c r="Q38" s="126">
        <v>0.0</v>
      </c>
      <c r="R38" s="126">
        <v>1.0</v>
      </c>
      <c r="S38" s="126">
        <v>1.0</v>
      </c>
      <c r="T38" s="126">
        <v>1584.0</v>
      </c>
      <c r="U38" s="71">
        <f t="shared" si="3"/>
        <v>1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7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 ht="20.2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126">
        <v>1.0</v>
      </c>
      <c r="H52" s="126">
        <v>1.0</v>
      </c>
      <c r="I52" s="126">
        <v>0.0</v>
      </c>
      <c r="J52" s="126">
        <v>0.0</v>
      </c>
      <c r="K52" s="126">
        <v>0.0</v>
      </c>
      <c r="L52" s="126">
        <v>0.0</v>
      </c>
      <c r="M52" s="126">
        <v>1.0</v>
      </c>
      <c r="N52" s="126">
        <v>0.0</v>
      </c>
      <c r="O52" s="126">
        <v>0.0</v>
      </c>
      <c r="P52" s="126">
        <v>0.0</v>
      </c>
      <c r="Q52" s="126">
        <v>0.0</v>
      </c>
      <c r="R52" s="126">
        <v>1.0</v>
      </c>
      <c r="S52" s="126">
        <v>0.0</v>
      </c>
      <c r="T52" s="126">
        <v>0.0</v>
      </c>
      <c r="U52" s="71">
        <f t="shared" si="5"/>
        <v>0</v>
      </c>
      <c r="V52" s="71">
        <f t="shared" si="6"/>
        <v>1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6">
        <v>1.0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1" t="s">
        <v>76</v>
      </c>
      <c r="D67" s="112"/>
      <c r="E67" s="84"/>
      <c r="F67" s="113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0" t="s">
        <v>30</v>
      </c>
      <c r="B68" s="100" t="s">
        <v>31</v>
      </c>
      <c r="C68" s="100" t="s">
        <v>82</v>
      </c>
      <c r="D68" s="114" t="s">
        <v>49</v>
      </c>
      <c r="E68" s="75"/>
      <c r="F68" s="100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10" t="s">
        <v>30</v>
      </c>
      <c r="B69" s="110" t="s">
        <v>31</v>
      </c>
      <c r="C69" s="115" t="s">
        <v>83</v>
      </c>
      <c r="D69" s="116" t="s">
        <v>49</v>
      </c>
      <c r="E69" s="117"/>
      <c r="F69" s="115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3" t="s">
        <v>83</v>
      </c>
      <c r="D70" s="112"/>
      <c r="E70" s="84"/>
      <c r="F70" s="113" t="s">
        <v>84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3" t="s">
        <v>83</v>
      </c>
      <c r="D71" s="118"/>
      <c r="E71" s="84"/>
      <c r="F71" s="113" t="s">
        <v>85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5" t="s">
        <v>30</v>
      </c>
      <c r="B72" s="105" t="s">
        <v>32</v>
      </c>
      <c r="C72" s="105"/>
      <c r="D72" s="107" t="s">
        <v>49</v>
      </c>
      <c r="E72" s="81"/>
      <c r="F72" s="105" t="s">
        <v>32</v>
      </c>
      <c r="G72" s="126">
        <v>0.0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2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03" t="s">
        <v>30</v>
      </c>
      <c r="B74" s="103" t="s">
        <v>32</v>
      </c>
      <c r="C74" s="103"/>
      <c r="D74" s="58"/>
      <c r="E74" s="75"/>
      <c r="F74" s="104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3" t="s">
        <v>30</v>
      </c>
      <c r="B75" s="103" t="s">
        <v>32</v>
      </c>
      <c r="C75" s="103"/>
      <c r="D75" s="58"/>
      <c r="E75" s="75"/>
      <c r="F75" s="104" t="s">
        <v>88</v>
      </c>
      <c r="G75" s="126">
        <v>0.0</v>
      </c>
      <c r="H75" s="126">
        <v>0.0</v>
      </c>
      <c r="I75" s="126">
        <v>0.0</v>
      </c>
      <c r="J75" s="126">
        <v>0.0</v>
      </c>
      <c r="K75" s="126">
        <v>0.0</v>
      </c>
      <c r="L75" s="126">
        <v>0.0</v>
      </c>
      <c r="M75" s="126">
        <v>0.0</v>
      </c>
      <c r="N75" s="126">
        <v>0.0</v>
      </c>
      <c r="O75" s="126">
        <v>0.0</v>
      </c>
      <c r="P75" s="126">
        <v>0.0</v>
      </c>
      <c r="Q75" s="126">
        <v>0.0</v>
      </c>
      <c r="R75" s="126">
        <v>0.0</v>
      </c>
      <c r="S75" s="126">
        <v>0.0</v>
      </c>
      <c r="T75" s="126">
        <v>0.0</v>
      </c>
      <c r="U75" s="71">
        <f t="shared" si="7"/>
        <v>0</v>
      </c>
      <c r="V75" s="71">
        <f t="shared" si="8"/>
        <v>0</v>
      </c>
      <c r="W75" s="72"/>
    </row>
    <row r="76" ht="12.75" customHeight="1">
      <c r="A76" s="110" t="s">
        <v>30</v>
      </c>
      <c r="B76" s="110" t="s">
        <v>32</v>
      </c>
      <c r="C76" s="110" t="s">
        <v>89</v>
      </c>
      <c r="D76" s="99" t="s">
        <v>49</v>
      </c>
      <c r="E76" s="84"/>
      <c r="F76" s="110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19"/>
      <c r="B594" s="119"/>
      <c r="C594" s="119"/>
      <c r="D594" s="1"/>
      <c r="E594" s="119"/>
      <c r="F594" s="11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1"/>
      <c r="V594" s="121"/>
      <c r="W594" s="121"/>
    </row>
    <row r="595" ht="12.75" customHeight="1">
      <c r="A595" s="119"/>
      <c r="B595" s="119"/>
      <c r="C595" s="119"/>
      <c r="D595" s="1"/>
      <c r="E595" s="119"/>
      <c r="F595" s="11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1"/>
      <c r="V595" s="121"/>
      <c r="W595" s="121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3967</v>
      </c>
      <c r="D2" s="10"/>
      <c r="E2" s="9">
        <f t="shared" ref="E2:R2" si="1">SUM(E5,E14,E17)</f>
        <v>3967</v>
      </c>
      <c r="F2" s="9">
        <f t="shared" si="1"/>
        <v>14</v>
      </c>
      <c r="G2" s="9">
        <f t="shared" si="1"/>
        <v>7</v>
      </c>
      <c r="H2" s="9">
        <f t="shared" si="1"/>
        <v>3</v>
      </c>
      <c r="I2" s="9">
        <f t="shared" si="1"/>
        <v>0</v>
      </c>
      <c r="J2" s="9">
        <f t="shared" si="1"/>
        <v>0</v>
      </c>
      <c r="K2" s="9">
        <f t="shared" si="1"/>
        <v>3</v>
      </c>
      <c r="L2" s="9">
        <f t="shared" si="1"/>
        <v>2</v>
      </c>
      <c r="M2" s="9">
        <f t="shared" si="1"/>
        <v>18</v>
      </c>
      <c r="N2" s="9">
        <f t="shared" si="1"/>
        <v>2</v>
      </c>
      <c r="O2" s="9">
        <f t="shared" si="1"/>
        <v>0</v>
      </c>
      <c r="P2" s="9">
        <f t="shared" si="1"/>
        <v>1</v>
      </c>
      <c r="Q2" s="9">
        <f t="shared" si="1"/>
        <v>1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1322.333333</v>
      </c>
      <c r="F4" s="23">
        <f>IFERROR((G2+R2)/F2,0)</f>
        <v>0.5714285714</v>
      </c>
      <c r="G4" s="23">
        <f>IFERROR(H2/G2,0)</f>
        <v>0.4285714286</v>
      </c>
      <c r="H4" s="22">
        <f>(C2/C4)</f>
        <v>84.40425532</v>
      </c>
      <c r="I4" s="24"/>
      <c r="J4" s="23">
        <f>IFERROR(J2/I2,0)</f>
        <v>0</v>
      </c>
      <c r="K4" s="24"/>
      <c r="L4" s="23">
        <f>IFERROR(L2/K2,0)</f>
        <v>0.6666666667</v>
      </c>
      <c r="M4" s="25">
        <f>IFERROR(M2/G2,0)</f>
        <v>2.571428571</v>
      </c>
      <c r="N4" s="24"/>
      <c r="O4" s="23">
        <f>IFERROR(O2/N2,0)</f>
        <v>0</v>
      </c>
      <c r="P4" s="26"/>
      <c r="Q4" s="23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2761</v>
      </c>
      <c r="D5" s="31"/>
      <c r="E5" s="32">
        <f>SUMIFS(T:T,A:A,B5,D:D,"Y")</f>
        <v>2761</v>
      </c>
      <c r="F5" s="33">
        <f>SUMIF(A:A,B5,G:G)</f>
        <v>10</v>
      </c>
      <c r="G5" s="33">
        <f>SUMIF(A:A,B5,H:H)</f>
        <v>5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1</v>
      </c>
      <c r="M5" s="33">
        <f>SUMIF(A:A,B5,M:M)</f>
        <v>13</v>
      </c>
      <c r="N5" s="33">
        <f>SUMIF(A:A,B5,N:N)</f>
        <v>2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1380.5</v>
      </c>
      <c r="F7" s="41">
        <f>IFERROR((G5+R5)/F5,0)</f>
        <v>0.6</v>
      </c>
      <c r="G7" s="41">
        <f>IFERROR(H5/G5,0)</f>
        <v>0.4</v>
      </c>
      <c r="H7" s="40">
        <f>(C5/C7)</f>
        <v>131.4761905</v>
      </c>
      <c r="I7" s="42"/>
      <c r="J7" s="41">
        <f>IFERROR(J5/I5,0)</f>
        <v>0</v>
      </c>
      <c r="K7" s="42"/>
      <c r="L7" s="41">
        <f>IFERROR(L5/K5,0)</f>
        <v>1</v>
      </c>
      <c r="M7" s="43">
        <f>IFERROR(M5/SUM(R5+G5,0),"")</f>
        <v>2.166666667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2761</v>
      </c>
      <c r="D11" s="47"/>
      <c r="E11" s="48">
        <f>SUMIFS(T:T,B:B,B11,D:D,"Y")</f>
        <v>2761</v>
      </c>
      <c r="F11" s="49">
        <f t="shared" ref="F11:R11" si="2">SUMIF(B28:B1137,B11,G28:G1137)</f>
        <v>8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0.125</v>
      </c>
      <c r="G13" s="23">
        <f>IFERROR(H11/G11,0)</f>
        <v>0</v>
      </c>
      <c r="H13" s="22">
        <f>(C11/C13)</f>
        <v>212.3846154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1206</v>
      </c>
      <c r="D17" s="31"/>
      <c r="E17" s="53">
        <f>SUMIFS(T:T,A:A,B17,D:D,"Y")</f>
        <v>1206</v>
      </c>
      <c r="F17" s="9">
        <f>SUMIF(A:A,B17,G:G)</f>
        <v>3</v>
      </c>
      <c r="G17" s="33">
        <f>SUMIF(A:A,B17,H:H)</f>
        <v>2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2</v>
      </c>
      <c r="L17" s="33">
        <f>SUMIF(A:A,B17,S:S)</f>
        <v>1</v>
      </c>
      <c r="M17" s="33">
        <f>SUMIF(A:A,B17,M:M)</f>
        <v>5</v>
      </c>
      <c r="N17" s="33">
        <f>SUMIF(A:A,B17,N:N)</f>
        <v>0</v>
      </c>
      <c r="O17" s="33">
        <f>SUMIF(A:A,B17,O:O)</f>
        <v>0</v>
      </c>
      <c r="P17" s="33">
        <f>SUMIF(A:A,B17,J:J)</f>
        <v>1</v>
      </c>
      <c r="Q17" s="33">
        <f>SUMIF(A:A,B17,K:K)</f>
        <v>1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1206</v>
      </c>
      <c r="F19" s="41">
        <f>IFERROR((G17+R17)/F17,0)</f>
        <v>0.6666666667</v>
      </c>
      <c r="G19" s="41">
        <f>IFERROR(H17/G17,0)</f>
        <v>0.5</v>
      </c>
      <c r="H19" s="40">
        <f>(C17/C19)</f>
        <v>54.81818182</v>
      </c>
      <c r="I19" s="42"/>
      <c r="J19" s="41">
        <f>IFERROR(J17/I17,0)</f>
        <v>0</v>
      </c>
      <c r="K19" s="42"/>
      <c r="L19" s="41">
        <f>IFERROR(L17/K17,0)</f>
        <v>0.5</v>
      </c>
      <c r="M19" s="54">
        <f>IFERROR(M17/SUM(G17+R17,0),"")</f>
        <v>2.5</v>
      </c>
      <c r="N19" s="42"/>
      <c r="O19" s="41">
        <f>IFERROR(O17/N17,0)</f>
        <v>0</v>
      </c>
      <c r="P19" s="43"/>
      <c r="Q19" s="41">
        <f>IFERROR(Q17/P17,0)</f>
        <v>1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1206</v>
      </c>
      <c r="D20" s="55"/>
      <c r="E20" s="48">
        <f>SUMIFS(T:T,B:B,B20,D:D,"Y")</f>
        <v>1206</v>
      </c>
      <c r="F20" s="49">
        <f>SUMIF(B49:B1137,B20,G49:G1137)</f>
        <v>3</v>
      </c>
      <c r="G20" s="46">
        <f>SUMIF(B49:B1137,B20,H49:H1137)</f>
        <v>2</v>
      </c>
      <c r="H20" s="46">
        <f>SUMIF(B49:B1137,B20,I49:I1137)</f>
        <v>1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2</v>
      </c>
      <c r="L20" s="46">
        <f>SUMIF(B49:B1137,B20,S49:S1137)</f>
        <v>1</v>
      </c>
      <c r="M20" s="46">
        <f>SUMIF(B49:B1137,B20,M49:M1137)</f>
        <v>5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1</v>
      </c>
      <c r="Q20" s="46">
        <f>SUMIF(B49:B1137,B20,K49:K1137)</f>
        <v>1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1206</v>
      </c>
      <c r="F22" s="41">
        <f>IFERROR((G20+R20)/F20,0)</f>
        <v>0.6666666667</v>
      </c>
      <c r="G22" s="41">
        <f>IFERROR(H20/G20,0)</f>
        <v>0.5</v>
      </c>
      <c r="H22" s="40">
        <f>(C20/C22)</f>
        <v>86.14285714</v>
      </c>
      <c r="I22" s="42"/>
      <c r="J22" s="41">
        <f>IFERROR(J20/I20,0)</f>
        <v>0</v>
      </c>
      <c r="K22" s="42"/>
      <c r="L22" s="41">
        <f>IFERROR(L20/K20,0)</f>
        <v>0.5</v>
      </c>
      <c r="M22" s="43">
        <f>IFERROR(M20/SUM(G20+R20,0),"")</f>
        <v>2.5</v>
      </c>
      <c r="N22" s="42"/>
      <c r="O22" s="41">
        <f>IFERROR(O20/N20,0)</f>
        <v>0</v>
      </c>
      <c r="P22" s="43"/>
      <c r="Q22" s="41">
        <f>IFERROR(Q20/P20,0)</f>
        <v>1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6">
        <v>2.0</v>
      </c>
      <c r="H29" s="126">
        <v>1.0</v>
      </c>
      <c r="I29" s="126">
        <v>0.0</v>
      </c>
      <c r="J29" s="126">
        <v>0.0</v>
      </c>
      <c r="K29" s="126">
        <v>0.0</v>
      </c>
      <c r="L29" s="126">
        <v>1.0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71">
        <f t="shared" si="3"/>
        <v>0</v>
      </c>
      <c r="V29" s="71">
        <f t="shared" si="4"/>
        <v>1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0.0</v>
      </c>
      <c r="H30" s="126">
        <v>1.0</v>
      </c>
      <c r="I30" s="126">
        <v>0.0</v>
      </c>
      <c r="J30" s="126">
        <v>0.0</v>
      </c>
      <c r="K30" s="126">
        <v>0.0</v>
      </c>
      <c r="L30" s="126">
        <v>0.0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3.0</v>
      </c>
      <c r="H33" s="126">
        <v>2.0</v>
      </c>
      <c r="I33" s="126">
        <v>1.0</v>
      </c>
      <c r="J33" s="126">
        <v>0.0</v>
      </c>
      <c r="K33" s="126">
        <v>0.0</v>
      </c>
      <c r="L33" s="126">
        <v>0.0</v>
      </c>
      <c r="M33" s="126">
        <v>13.0</v>
      </c>
      <c r="N33" s="126">
        <v>1.0</v>
      </c>
      <c r="O33" s="126">
        <v>0.0</v>
      </c>
      <c r="P33" s="126">
        <v>0.0</v>
      </c>
      <c r="Q33" s="126">
        <v>0.0</v>
      </c>
      <c r="R33" s="126">
        <v>1.0</v>
      </c>
      <c r="S33" s="126">
        <v>1.0</v>
      </c>
      <c r="T33" s="126">
        <v>2761.0</v>
      </c>
      <c r="U33" s="71">
        <f t="shared" si="3"/>
        <v>0.5</v>
      </c>
      <c r="V33" s="71">
        <f t="shared" si="4"/>
        <v>0.6666666667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1.0</v>
      </c>
      <c r="H35" s="126">
        <v>0.0</v>
      </c>
      <c r="I35" s="126">
        <v>0.0</v>
      </c>
      <c r="J35" s="126">
        <v>0.0</v>
      </c>
      <c r="K35" s="126">
        <v>0.0</v>
      </c>
      <c r="L35" s="126">
        <v>0.0</v>
      </c>
      <c r="M35" s="126">
        <v>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126">
        <v>4.0</v>
      </c>
      <c r="H39" s="126">
        <v>1.0</v>
      </c>
      <c r="I39" s="126">
        <v>1.0</v>
      </c>
      <c r="J39" s="126">
        <v>0.0</v>
      </c>
      <c r="K39" s="126">
        <v>0.0</v>
      </c>
      <c r="L39" s="126">
        <v>0.0</v>
      </c>
      <c r="M39" s="126">
        <v>0.0</v>
      </c>
      <c r="N39" s="126">
        <v>1.0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71">
        <f t="shared" si="3"/>
        <v>1</v>
      </c>
      <c r="V39" s="71">
        <f t="shared" si="4"/>
        <v>0.25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7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 ht="20.2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126">
        <v>1.0</v>
      </c>
      <c r="H52" s="126">
        <v>0.0</v>
      </c>
      <c r="I52" s="126">
        <v>0.0</v>
      </c>
      <c r="J52" s="126">
        <v>0.0</v>
      </c>
      <c r="K52" s="126">
        <v>0.0</v>
      </c>
      <c r="L52" s="126">
        <v>0.0</v>
      </c>
      <c r="M52" s="126">
        <v>0.0</v>
      </c>
      <c r="N52" s="126">
        <v>0.0</v>
      </c>
      <c r="O52" s="126">
        <v>0.0</v>
      </c>
      <c r="P52" s="126">
        <v>0.0</v>
      </c>
      <c r="Q52" s="126">
        <v>0.0</v>
      </c>
      <c r="R52" s="126">
        <v>0.0</v>
      </c>
      <c r="S52" s="126">
        <v>0.0</v>
      </c>
      <c r="T52" s="126">
        <v>0.0</v>
      </c>
      <c r="U52" s="71">
        <f t="shared" si="5"/>
        <v>0</v>
      </c>
      <c r="V52" s="71">
        <f t="shared" si="6"/>
        <v>0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6">
        <v>3.0</v>
      </c>
      <c r="H58" s="126">
        <v>2.0</v>
      </c>
      <c r="I58" s="126">
        <v>1.0</v>
      </c>
      <c r="J58" s="126">
        <v>1.0</v>
      </c>
      <c r="K58" s="126">
        <v>1.0</v>
      </c>
      <c r="L58" s="126">
        <v>0.0</v>
      </c>
      <c r="M58" s="126">
        <v>5.0</v>
      </c>
      <c r="N58" s="126">
        <v>0.0</v>
      </c>
      <c r="O58" s="126">
        <v>0.0</v>
      </c>
      <c r="P58" s="126">
        <v>0.0</v>
      </c>
      <c r="Q58" s="126">
        <v>0.0</v>
      </c>
      <c r="R58" s="126">
        <v>2.0</v>
      </c>
      <c r="S58" s="126">
        <v>1.0</v>
      </c>
      <c r="T58" s="126">
        <v>1206.0</v>
      </c>
      <c r="U58" s="71">
        <f t="shared" si="7"/>
        <v>0.5</v>
      </c>
      <c r="V58" s="71">
        <f t="shared" si="8"/>
        <v>0.6666666667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1" t="s">
        <v>76</v>
      </c>
      <c r="D67" s="112"/>
      <c r="E67" s="84"/>
      <c r="F67" s="113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0" t="s">
        <v>30</v>
      </c>
      <c r="B68" s="100" t="s">
        <v>31</v>
      </c>
      <c r="C68" s="100" t="s">
        <v>82</v>
      </c>
      <c r="D68" s="114" t="s">
        <v>49</v>
      </c>
      <c r="E68" s="75"/>
      <c r="F68" s="100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10" t="s">
        <v>30</v>
      </c>
      <c r="B69" s="110" t="s">
        <v>31</v>
      </c>
      <c r="C69" s="115" t="s">
        <v>83</v>
      </c>
      <c r="D69" s="116" t="s">
        <v>49</v>
      </c>
      <c r="E69" s="117"/>
      <c r="F69" s="115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3" t="s">
        <v>83</v>
      </c>
      <c r="D70" s="112"/>
      <c r="E70" s="84"/>
      <c r="F70" s="113" t="s">
        <v>84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3" t="s">
        <v>83</v>
      </c>
      <c r="D71" s="118"/>
      <c r="E71" s="84"/>
      <c r="F71" s="113" t="s">
        <v>85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5" t="s">
        <v>30</v>
      </c>
      <c r="B72" s="105" t="s">
        <v>32</v>
      </c>
      <c r="C72" s="105"/>
      <c r="D72" s="107" t="s">
        <v>49</v>
      </c>
      <c r="E72" s="81"/>
      <c r="F72" s="105" t="s">
        <v>32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2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03" t="s">
        <v>30</v>
      </c>
      <c r="B74" s="103" t="s">
        <v>32</v>
      </c>
      <c r="C74" s="103"/>
      <c r="D74" s="58"/>
      <c r="E74" s="75"/>
      <c r="F74" s="104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3" t="s">
        <v>30</v>
      </c>
      <c r="B75" s="103" t="s">
        <v>32</v>
      </c>
      <c r="C75" s="103"/>
      <c r="D75" s="58"/>
      <c r="E75" s="75"/>
      <c r="F75" s="104" t="s">
        <v>88</v>
      </c>
      <c r="G75" s="126">
        <v>0.0</v>
      </c>
      <c r="H75" s="126">
        <v>0.0</v>
      </c>
      <c r="I75" s="126">
        <v>0.0</v>
      </c>
      <c r="J75" s="126">
        <v>0.0</v>
      </c>
      <c r="K75" s="126">
        <v>0.0</v>
      </c>
      <c r="L75" s="126">
        <v>0.0</v>
      </c>
      <c r="M75" s="126">
        <v>0.0</v>
      </c>
      <c r="N75" s="126">
        <v>0.0</v>
      </c>
      <c r="O75" s="126">
        <v>0.0</v>
      </c>
      <c r="P75" s="126">
        <v>0.0</v>
      </c>
      <c r="Q75" s="126">
        <v>0.0</v>
      </c>
      <c r="R75" s="126">
        <v>0.0</v>
      </c>
      <c r="S75" s="126">
        <v>0.0</v>
      </c>
      <c r="T75" s="126">
        <v>0.0</v>
      </c>
      <c r="U75" s="71">
        <f t="shared" si="7"/>
        <v>0</v>
      </c>
      <c r="V75" s="71">
        <f t="shared" si="8"/>
        <v>0</v>
      </c>
      <c r="W75" s="72"/>
    </row>
    <row r="76" ht="12.75" customHeight="1">
      <c r="A76" s="110" t="s">
        <v>30</v>
      </c>
      <c r="B76" s="110" t="s">
        <v>32</v>
      </c>
      <c r="C76" s="110" t="s">
        <v>89</v>
      </c>
      <c r="D76" s="99" t="s">
        <v>49</v>
      </c>
      <c r="E76" s="84"/>
      <c r="F76" s="110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19"/>
      <c r="B594" s="119"/>
      <c r="C594" s="119"/>
      <c r="D594" s="1"/>
      <c r="E594" s="119"/>
      <c r="F594" s="11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1"/>
      <c r="V594" s="121"/>
      <c r="W594" s="121"/>
    </row>
    <row r="595" ht="12.75" customHeight="1">
      <c r="A595" s="119"/>
      <c r="B595" s="119"/>
      <c r="C595" s="119"/>
      <c r="D595" s="1"/>
      <c r="E595" s="119"/>
      <c r="F595" s="11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1"/>
      <c r="V595" s="121"/>
      <c r="W595" s="121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9</v>
      </c>
      <c r="G2" s="9">
        <f t="shared" si="1"/>
        <v>4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11</v>
      </c>
      <c r="N2" s="9">
        <f t="shared" si="1"/>
        <v>3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0</v>
      </c>
      <c r="F4" s="23">
        <f>IFERROR((G2+R2)/F2,0)</f>
        <v>0.5555555556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2.75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6</v>
      </c>
      <c r="G5" s="33">
        <f>SUMIF(A:A,B5,H:H)</f>
        <v>4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11</v>
      </c>
      <c r="N5" s="33">
        <f>SUMIF(A:A,B5,N:N)</f>
        <v>3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0.8333333333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2.2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5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3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2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1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1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6">
        <v>1.0</v>
      </c>
      <c r="H29" s="126">
        <v>1.0</v>
      </c>
      <c r="I29" s="126">
        <v>0.0</v>
      </c>
      <c r="J29" s="126">
        <v>0.0</v>
      </c>
      <c r="K29" s="126">
        <v>0.0</v>
      </c>
      <c r="L29" s="126">
        <v>1.0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71">
        <f t="shared" si="3"/>
        <v>0</v>
      </c>
      <c r="V29" s="71">
        <f t="shared" si="4"/>
        <v>2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1.0</v>
      </c>
      <c r="H33" s="126">
        <v>1.0</v>
      </c>
      <c r="I33" s="126">
        <v>0.0</v>
      </c>
      <c r="J33" s="126">
        <v>0.0</v>
      </c>
      <c r="K33" s="126">
        <v>0.0</v>
      </c>
      <c r="L33" s="126">
        <v>0.0</v>
      </c>
      <c r="M33" s="126">
        <v>5.0</v>
      </c>
      <c r="N33" s="126">
        <v>1.0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1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1.0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70"/>
      <c r="S34" s="126">
        <v>0.0</v>
      </c>
      <c r="T34" s="126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3.0</v>
      </c>
      <c r="H35" s="126">
        <v>2.0</v>
      </c>
      <c r="I35" s="126">
        <v>0.0</v>
      </c>
      <c r="J35" s="126">
        <v>0.0</v>
      </c>
      <c r="K35" s="126">
        <v>0.0</v>
      </c>
      <c r="L35" s="126">
        <v>0.0</v>
      </c>
      <c r="M35" s="126">
        <v>6.0</v>
      </c>
      <c r="N35" s="126">
        <v>2.0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0.6666666667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7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 ht="20.2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126">
        <v>2.0</v>
      </c>
      <c r="H52" s="126">
        <v>0.0</v>
      </c>
      <c r="I52" s="126">
        <v>0.0</v>
      </c>
      <c r="J52" s="126">
        <v>0.0</v>
      </c>
      <c r="K52" s="126">
        <v>0.0</v>
      </c>
      <c r="L52" s="126">
        <v>0.0</v>
      </c>
      <c r="M52" s="126">
        <v>0.0</v>
      </c>
      <c r="N52" s="126">
        <v>0.0</v>
      </c>
      <c r="O52" s="126">
        <v>0.0</v>
      </c>
      <c r="P52" s="126">
        <v>0.0</v>
      </c>
      <c r="Q52" s="126">
        <v>0.0</v>
      </c>
      <c r="R52" s="126">
        <v>0.0</v>
      </c>
      <c r="S52" s="126">
        <v>0.0</v>
      </c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126">
        <v>0.0</v>
      </c>
      <c r="H56" s="126">
        <v>0.0</v>
      </c>
      <c r="I56" s="126">
        <v>0.0</v>
      </c>
      <c r="J56" s="126">
        <v>0.0</v>
      </c>
      <c r="K56" s="126">
        <v>0.0</v>
      </c>
      <c r="L56" s="126">
        <v>0.0</v>
      </c>
      <c r="M56" s="126">
        <v>0.0</v>
      </c>
      <c r="N56" s="126">
        <v>0.0</v>
      </c>
      <c r="O56" s="126">
        <v>0.0</v>
      </c>
      <c r="P56" s="126">
        <v>0.0</v>
      </c>
      <c r="Q56" s="126">
        <v>0.0</v>
      </c>
      <c r="R56" s="126">
        <v>0.0</v>
      </c>
      <c r="S56" s="126">
        <v>0.0</v>
      </c>
      <c r="T56" s="126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6">
        <v>1.0</v>
      </c>
      <c r="H58" s="126">
        <v>0.0</v>
      </c>
      <c r="I58" s="126">
        <v>0.0</v>
      </c>
      <c r="J58" s="126">
        <v>0.0</v>
      </c>
      <c r="K58" s="126">
        <v>0.0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0.0</v>
      </c>
      <c r="S58" s="126">
        <v>0.0</v>
      </c>
      <c r="T58" s="126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6">
        <v>0.0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1" t="s">
        <v>76</v>
      </c>
      <c r="D67" s="112"/>
      <c r="E67" s="84"/>
      <c r="F67" s="113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0" t="s">
        <v>30</v>
      </c>
      <c r="B68" s="100" t="s">
        <v>31</v>
      </c>
      <c r="C68" s="100" t="s">
        <v>82</v>
      </c>
      <c r="D68" s="114" t="s">
        <v>49</v>
      </c>
      <c r="E68" s="75"/>
      <c r="F68" s="100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10" t="s">
        <v>30</v>
      </c>
      <c r="B69" s="110" t="s">
        <v>31</v>
      </c>
      <c r="C69" s="115" t="s">
        <v>83</v>
      </c>
      <c r="D69" s="116" t="s">
        <v>49</v>
      </c>
      <c r="E69" s="117"/>
      <c r="F69" s="115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3" t="s">
        <v>83</v>
      </c>
      <c r="D70" s="112"/>
      <c r="E70" s="84"/>
      <c r="F70" s="113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3" t="s">
        <v>83</v>
      </c>
      <c r="D71" s="118"/>
      <c r="E71" s="84"/>
      <c r="F71" s="113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5" t="s">
        <v>30</v>
      </c>
      <c r="B72" s="105" t="s">
        <v>32</v>
      </c>
      <c r="C72" s="105"/>
      <c r="D72" s="107" t="s">
        <v>49</v>
      </c>
      <c r="E72" s="81"/>
      <c r="F72" s="105" t="s">
        <v>32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2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03" t="s">
        <v>30</v>
      </c>
      <c r="B74" s="103" t="s">
        <v>32</v>
      </c>
      <c r="C74" s="103"/>
      <c r="D74" s="58"/>
      <c r="E74" s="75"/>
      <c r="F74" s="104" t="s">
        <v>87</v>
      </c>
      <c r="G74" s="126">
        <v>0.0</v>
      </c>
      <c r="H74" s="126">
        <v>0.0</v>
      </c>
      <c r="I74" s="126">
        <v>0.0</v>
      </c>
      <c r="J74" s="126">
        <v>0.0</v>
      </c>
      <c r="K74" s="126">
        <v>0.0</v>
      </c>
      <c r="L74" s="126">
        <v>0.0</v>
      </c>
      <c r="M74" s="126">
        <v>0.0</v>
      </c>
      <c r="N74" s="126">
        <v>0.0</v>
      </c>
      <c r="O74" s="126">
        <v>0.0</v>
      </c>
      <c r="P74" s="126">
        <v>0.0</v>
      </c>
      <c r="Q74" s="126">
        <v>0.0</v>
      </c>
      <c r="R74" s="126">
        <v>0.0</v>
      </c>
      <c r="S74" s="126">
        <v>0.0</v>
      </c>
      <c r="T74" s="126">
        <v>0.0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03" t="s">
        <v>30</v>
      </c>
      <c r="B75" s="103" t="s">
        <v>32</v>
      </c>
      <c r="C75" s="103"/>
      <c r="D75" s="58"/>
      <c r="E75" s="75"/>
      <c r="F75" s="104" t="s">
        <v>88</v>
      </c>
      <c r="G75" s="126">
        <v>0.0</v>
      </c>
      <c r="H75" s="126">
        <v>0.0</v>
      </c>
      <c r="I75" s="126">
        <v>0.0</v>
      </c>
      <c r="J75" s="126">
        <v>0.0</v>
      </c>
      <c r="K75" s="126">
        <v>0.0</v>
      </c>
      <c r="L75" s="126">
        <v>0.0</v>
      </c>
      <c r="M75" s="126">
        <v>0.0</v>
      </c>
      <c r="N75" s="126">
        <v>0.0</v>
      </c>
      <c r="O75" s="126">
        <v>0.0</v>
      </c>
      <c r="P75" s="126">
        <v>0.0</v>
      </c>
      <c r="Q75" s="126">
        <v>0.0</v>
      </c>
      <c r="R75" s="126">
        <v>0.0</v>
      </c>
      <c r="S75" s="126">
        <v>0.0</v>
      </c>
      <c r="T75" s="126">
        <v>0.0</v>
      </c>
      <c r="U75" s="71">
        <f t="shared" si="7"/>
        <v>0</v>
      </c>
      <c r="V75" s="71">
        <f t="shared" si="8"/>
        <v>0</v>
      </c>
      <c r="W75" s="72"/>
    </row>
    <row r="76" ht="12.75" customHeight="1">
      <c r="A76" s="110" t="s">
        <v>30</v>
      </c>
      <c r="B76" s="110" t="s">
        <v>32</v>
      </c>
      <c r="C76" s="110" t="s">
        <v>89</v>
      </c>
      <c r="D76" s="99" t="s">
        <v>49</v>
      </c>
      <c r="E76" s="84"/>
      <c r="F76" s="110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19"/>
      <c r="B594" s="119"/>
      <c r="C594" s="119"/>
      <c r="D594" s="1"/>
      <c r="E594" s="119"/>
      <c r="F594" s="11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1"/>
      <c r="V594" s="121"/>
      <c r="W594" s="121"/>
    </row>
    <row r="595" ht="12.75" customHeight="1">
      <c r="A595" s="119"/>
      <c r="B595" s="119"/>
      <c r="C595" s="119"/>
      <c r="D595" s="1"/>
      <c r="E595" s="119"/>
      <c r="F595" s="11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1"/>
      <c r="V595" s="121"/>
      <c r="W595" s="121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3482</v>
      </c>
      <c r="D2" s="10"/>
      <c r="E2" s="9">
        <f t="shared" ref="E2:R2" si="1">SUM(E5,E14,E17)</f>
        <v>0</v>
      </c>
      <c r="F2" s="9">
        <f t="shared" si="1"/>
        <v>7</v>
      </c>
      <c r="G2" s="9">
        <f t="shared" si="1"/>
        <v>4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13</v>
      </c>
      <c r="N2" s="9">
        <f t="shared" si="1"/>
        <v>3</v>
      </c>
      <c r="O2" s="9">
        <f t="shared" si="1"/>
        <v>2</v>
      </c>
      <c r="P2" s="9">
        <f t="shared" si="1"/>
        <v>1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1741</v>
      </c>
      <c r="F4" s="23">
        <f>IFERROR((G2+R2)/F2,0)</f>
        <v>0.7142857143</v>
      </c>
      <c r="G4" s="23">
        <f>IFERROR(H2/G2,0)</f>
        <v>0.5</v>
      </c>
      <c r="H4" s="22">
        <f>(C2/C4)</f>
        <v>74.08510638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3.25</v>
      </c>
      <c r="N4" s="24"/>
      <c r="O4" s="23">
        <f>IFERROR(O2/N2,0)</f>
        <v>0.6666666667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3482</v>
      </c>
      <c r="D5" s="31"/>
      <c r="E5" s="32">
        <f>SUMIFS(T:T,A:A,B5,D:D,"Y")</f>
        <v>0</v>
      </c>
      <c r="F5" s="33">
        <f>SUMIF(A:A,B5,G:G)</f>
        <v>6</v>
      </c>
      <c r="G5" s="33">
        <f>SUMIF(A:A,B5,H:H)</f>
        <v>3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12</v>
      </c>
      <c r="N5" s="33">
        <f>SUMIF(A:A,B5,N:N)</f>
        <v>2</v>
      </c>
      <c r="O5" s="33">
        <f>SUMIF(A:A,B5,O:O)</f>
        <v>2</v>
      </c>
      <c r="P5" s="33">
        <f>SUMIF(A:A,B5,J:J)</f>
        <v>1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1741</v>
      </c>
      <c r="F7" s="41">
        <f>IFERROR((G5+R5)/F5,0)</f>
        <v>0.6666666667</v>
      </c>
      <c r="G7" s="41">
        <f>IFERROR(H5/G5,0)</f>
        <v>0.6666666667</v>
      </c>
      <c r="H7" s="40">
        <f>(C5/C7)</f>
        <v>165.8095238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3</v>
      </c>
      <c r="N7" s="42"/>
      <c r="O7" s="41">
        <f>IFERROR(O5/N5,0)</f>
        <v>1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3482</v>
      </c>
      <c r="D11" s="47"/>
      <c r="E11" s="48">
        <f>SUMIFS(T:T,B:B,B11,D:D,"Y")</f>
        <v>0</v>
      </c>
      <c r="F11" s="49">
        <f t="shared" ref="F11:R11" si="2">SUMIF(B28:B1137,B11,G28:G1137)</f>
        <v>6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267.8461538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1</v>
      </c>
      <c r="N14" s="33">
        <f>SUMIF(A:A,B14,N:N)</f>
        <v>1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0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7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1.0</v>
      </c>
      <c r="H33" s="126">
        <v>0.0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0.0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2.0</v>
      </c>
      <c r="H35" s="126">
        <v>1.0</v>
      </c>
      <c r="I35" s="126">
        <v>1.0</v>
      </c>
      <c r="J35" s="126">
        <v>0.0</v>
      </c>
      <c r="K35" s="126">
        <v>0.0</v>
      </c>
      <c r="L35" s="126">
        <v>0.0</v>
      </c>
      <c r="M35" s="126">
        <v>4.0</v>
      </c>
      <c r="N35" s="126">
        <v>1.0</v>
      </c>
      <c r="O35" s="126">
        <v>1.0</v>
      </c>
      <c r="P35" s="126">
        <v>0.0</v>
      </c>
      <c r="Q35" s="126">
        <v>0.0</v>
      </c>
      <c r="R35" s="126">
        <v>0.0</v>
      </c>
      <c r="S35" s="126">
        <v>0.0</v>
      </c>
      <c r="T35" s="126">
        <v>1156.0</v>
      </c>
      <c r="U35" s="71">
        <f t="shared" si="3"/>
        <v>1</v>
      </c>
      <c r="V35" s="71">
        <f t="shared" si="4"/>
        <v>0.5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1.0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127">
        <v>0.0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126">
        <v>2.0</v>
      </c>
      <c r="H39" s="126">
        <v>2.0</v>
      </c>
      <c r="I39" s="126">
        <v>1.0</v>
      </c>
      <c r="J39" s="126">
        <v>1.0</v>
      </c>
      <c r="K39" s="126">
        <v>0.0</v>
      </c>
      <c r="L39" s="126">
        <v>1.0</v>
      </c>
      <c r="M39" s="126">
        <v>8.0</v>
      </c>
      <c r="N39" s="126">
        <v>1.0</v>
      </c>
      <c r="O39" s="126">
        <v>1.0</v>
      </c>
      <c r="P39" s="126">
        <v>0.0</v>
      </c>
      <c r="Q39" s="126">
        <v>0.0</v>
      </c>
      <c r="R39" s="126">
        <v>0.0</v>
      </c>
      <c r="S39" s="126">
        <v>0.0</v>
      </c>
      <c r="T39" s="126">
        <v>2326.0</v>
      </c>
      <c r="U39" s="71">
        <f t="shared" ref="U39:U48" si="5">IFERROR(I39/H39,0)</f>
        <v>0.5</v>
      </c>
      <c r="V39" s="71">
        <f t="shared" si="4"/>
        <v>1.5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5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5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5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7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5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5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6">IFERROR(I50/H50,0)</f>
        <v>0</v>
      </c>
      <c r="V50" s="71">
        <f t="shared" ref="V50:V53" si="7">IFERROR(SUM(H50+L50)/G50,0)</f>
        <v>0</v>
      </c>
      <c r="W50" s="72"/>
    </row>
    <row r="51" ht="20.2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6"/>
        <v>0</v>
      </c>
      <c r="V51" s="71">
        <f t="shared" si="7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126">
        <v>1.0</v>
      </c>
      <c r="H52" s="126">
        <v>1.0</v>
      </c>
      <c r="I52" s="126">
        <v>0.0</v>
      </c>
      <c r="J52" s="126">
        <v>0.0</v>
      </c>
      <c r="K52" s="126">
        <v>0.0</v>
      </c>
      <c r="L52" s="126">
        <v>0.0</v>
      </c>
      <c r="M52" s="126">
        <v>1.0</v>
      </c>
      <c r="N52" s="126">
        <v>1.0</v>
      </c>
      <c r="O52" s="126">
        <v>0.0</v>
      </c>
      <c r="P52" s="126">
        <v>0.0</v>
      </c>
      <c r="Q52" s="126">
        <v>0.0</v>
      </c>
      <c r="R52" s="126">
        <v>0.0</v>
      </c>
      <c r="S52" s="126">
        <v>0.0</v>
      </c>
      <c r="T52" s="126">
        <v>0.0</v>
      </c>
      <c r="U52" s="71">
        <f t="shared" si="6"/>
        <v>0</v>
      </c>
      <c r="V52" s="71">
        <f t="shared" si="7"/>
        <v>1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6"/>
        <v>0</v>
      </c>
      <c r="V53" s="71">
        <f t="shared" si="7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8">IFERROR(I55/H55,0)</f>
        <v>0</v>
      </c>
      <c r="V55" s="71">
        <f t="shared" ref="V55:V76" si="9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8"/>
        <v>0</v>
      </c>
      <c r="V56" s="71">
        <f t="shared" si="9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8"/>
        <v>0</v>
      </c>
      <c r="V57" s="71">
        <f t="shared" si="9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8"/>
        <v>0</v>
      </c>
      <c r="V58" s="71">
        <f t="shared" si="9"/>
        <v>0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8"/>
        <v>0</v>
      </c>
      <c r="V59" s="71">
        <f t="shared" si="9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8"/>
        <v>0</v>
      </c>
      <c r="V60" s="71">
        <f t="shared" si="9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8"/>
        <v>0</v>
      </c>
      <c r="V61" s="71">
        <f t="shared" si="9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8"/>
        <v>0</v>
      </c>
      <c r="V62" s="71">
        <f t="shared" si="9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8"/>
        <v>0</v>
      </c>
      <c r="V63" s="71">
        <f t="shared" si="9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8"/>
        <v>0</v>
      </c>
      <c r="V64" s="71">
        <f t="shared" si="9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8"/>
        <v>0</v>
      </c>
      <c r="V65" s="71">
        <f t="shared" si="9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8"/>
        <v>0</v>
      </c>
      <c r="V66" s="71">
        <f t="shared" si="9"/>
        <v>0</v>
      </c>
      <c r="W66" s="72"/>
    </row>
    <row r="67" ht="12.75" customHeight="1">
      <c r="A67" s="111" t="s">
        <v>30</v>
      </c>
      <c r="B67" s="111" t="s">
        <v>31</v>
      </c>
      <c r="C67" s="111" t="s">
        <v>76</v>
      </c>
      <c r="D67" s="112"/>
      <c r="E67" s="84"/>
      <c r="F67" s="113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8"/>
        <v>0</v>
      </c>
      <c r="V67" s="71">
        <f t="shared" si="9"/>
        <v>0</v>
      </c>
      <c r="W67" s="72"/>
    </row>
    <row r="68" ht="12.75" customHeight="1">
      <c r="A68" s="100" t="s">
        <v>30</v>
      </c>
      <c r="B68" s="100" t="s">
        <v>31</v>
      </c>
      <c r="C68" s="100" t="s">
        <v>82</v>
      </c>
      <c r="D68" s="114" t="s">
        <v>49</v>
      </c>
      <c r="E68" s="75"/>
      <c r="F68" s="100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8"/>
        <v>0</v>
      </c>
      <c r="V68" s="71">
        <f t="shared" si="9"/>
        <v>0</v>
      </c>
      <c r="W68" s="72"/>
    </row>
    <row r="69" ht="12.75" customHeight="1">
      <c r="A69" s="110" t="s">
        <v>30</v>
      </c>
      <c r="B69" s="110" t="s">
        <v>31</v>
      </c>
      <c r="C69" s="115" t="s">
        <v>83</v>
      </c>
      <c r="D69" s="116" t="s">
        <v>49</v>
      </c>
      <c r="E69" s="117"/>
      <c r="F69" s="115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8"/>
        <v>0</v>
      </c>
      <c r="V69" s="71">
        <f t="shared" si="9"/>
        <v>0</v>
      </c>
      <c r="W69" s="72"/>
    </row>
    <row r="70" ht="12.75" customHeight="1">
      <c r="A70" s="111" t="s">
        <v>30</v>
      </c>
      <c r="B70" s="111" t="s">
        <v>31</v>
      </c>
      <c r="C70" s="113" t="s">
        <v>83</v>
      </c>
      <c r="D70" s="112"/>
      <c r="E70" s="84"/>
      <c r="F70" s="113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8"/>
        <v>0</v>
      </c>
      <c r="V70" s="71">
        <f t="shared" si="9"/>
        <v>0</v>
      </c>
      <c r="W70" s="72"/>
    </row>
    <row r="71" ht="12.75" customHeight="1">
      <c r="A71" s="111" t="s">
        <v>30</v>
      </c>
      <c r="B71" s="111" t="s">
        <v>31</v>
      </c>
      <c r="C71" s="113" t="s">
        <v>83</v>
      </c>
      <c r="D71" s="118"/>
      <c r="E71" s="84"/>
      <c r="F71" s="113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8"/>
        <v>0</v>
      </c>
      <c r="V71" s="71">
        <f t="shared" si="9"/>
        <v>0</v>
      </c>
      <c r="W71" s="72"/>
    </row>
    <row r="72" ht="12.75" customHeight="1">
      <c r="A72" s="105" t="s">
        <v>30</v>
      </c>
      <c r="B72" s="105" t="s">
        <v>32</v>
      </c>
      <c r="C72" s="105"/>
      <c r="D72" s="107" t="s">
        <v>49</v>
      </c>
      <c r="E72" s="81"/>
      <c r="F72" s="105" t="s">
        <v>32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8"/>
        <v>0</v>
      </c>
      <c r="V72" s="71">
        <f t="shared" si="9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2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8"/>
        <v>0</v>
      </c>
      <c r="V73" s="71">
        <f t="shared" si="9"/>
        <v>0</v>
      </c>
      <c r="W73" s="72"/>
    </row>
    <row r="74" ht="12.75" customHeight="1">
      <c r="A74" s="103" t="s">
        <v>30</v>
      </c>
      <c r="B74" s="103" t="s">
        <v>32</v>
      </c>
      <c r="C74" s="103"/>
      <c r="D74" s="58"/>
      <c r="E74" s="75"/>
      <c r="F74" s="104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8"/>
        <v>0</v>
      </c>
      <c r="V74" s="71">
        <f t="shared" si="9"/>
        <v>0</v>
      </c>
      <c r="W74" s="72"/>
    </row>
    <row r="75" ht="12.75" customHeight="1">
      <c r="A75" s="103" t="s">
        <v>30</v>
      </c>
      <c r="B75" s="103" t="s">
        <v>32</v>
      </c>
      <c r="C75" s="103"/>
      <c r="D75" s="58"/>
      <c r="E75" s="75"/>
      <c r="F75" s="104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8"/>
        <v>0</v>
      </c>
      <c r="V75" s="71">
        <f t="shared" si="9"/>
        <v>0</v>
      </c>
      <c r="W75" s="72"/>
    </row>
    <row r="76" ht="12.75" customHeight="1">
      <c r="A76" s="110" t="s">
        <v>30</v>
      </c>
      <c r="B76" s="110" t="s">
        <v>32</v>
      </c>
      <c r="C76" s="110" t="s">
        <v>89</v>
      </c>
      <c r="D76" s="99" t="s">
        <v>49</v>
      </c>
      <c r="E76" s="84"/>
      <c r="F76" s="110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8"/>
        <v>0</v>
      </c>
      <c r="V76" s="71">
        <f t="shared" si="9"/>
        <v>0</v>
      </c>
      <c r="W76" s="72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19"/>
      <c r="B594" s="119"/>
      <c r="C594" s="119"/>
      <c r="D594" s="1"/>
      <c r="E594" s="119"/>
      <c r="F594" s="11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1"/>
      <c r="V594" s="121"/>
      <c r="W594" s="121"/>
    </row>
    <row r="595" ht="12.75" customHeight="1">
      <c r="A595" s="119"/>
      <c r="B595" s="119"/>
      <c r="C595" s="119"/>
      <c r="D595" s="1"/>
      <c r="E595" s="119"/>
      <c r="F595" s="11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1"/>
      <c r="V595" s="121"/>
      <c r="W595" s="121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7016</v>
      </c>
      <c r="D2" s="10"/>
      <c r="E2" s="9">
        <f t="shared" ref="E2:R2" si="1">SUM(E5,E14,E17)</f>
        <v>7016</v>
      </c>
      <c r="F2" s="9">
        <f t="shared" si="1"/>
        <v>43</v>
      </c>
      <c r="G2" s="9">
        <f t="shared" si="1"/>
        <v>11</v>
      </c>
      <c r="H2" s="9">
        <f t="shared" si="1"/>
        <v>5</v>
      </c>
      <c r="I2" s="9">
        <f t="shared" si="1"/>
        <v>0</v>
      </c>
      <c r="J2" s="9">
        <f t="shared" si="1"/>
        <v>0</v>
      </c>
      <c r="K2" s="9">
        <f t="shared" si="1"/>
        <v>5</v>
      </c>
      <c r="L2" s="9">
        <f t="shared" si="1"/>
        <v>3</v>
      </c>
      <c r="M2" s="9">
        <f t="shared" si="1"/>
        <v>19</v>
      </c>
      <c r="N2" s="9">
        <f t="shared" si="1"/>
        <v>5</v>
      </c>
      <c r="O2" s="9">
        <f t="shared" si="1"/>
        <v>0</v>
      </c>
      <c r="P2" s="9">
        <f t="shared" si="1"/>
        <v>8</v>
      </c>
      <c r="Q2" s="9">
        <f t="shared" si="1"/>
        <v>2</v>
      </c>
      <c r="R2" s="9">
        <f t="shared" si="1"/>
        <v>5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1403.2</v>
      </c>
      <c r="F4" s="23">
        <f>IFERROR((G2+R2)/F2,0)</f>
        <v>0.3720930233</v>
      </c>
      <c r="G4" s="23">
        <f>IFERROR(H2/G2,0)</f>
        <v>0.4545454545</v>
      </c>
      <c r="H4" s="22">
        <f>(C2/C4)</f>
        <v>149.2765957</v>
      </c>
      <c r="I4" s="24"/>
      <c r="J4" s="23">
        <f>IFERROR(J2/I2,0)</f>
        <v>0</v>
      </c>
      <c r="K4" s="24"/>
      <c r="L4" s="23">
        <f>IFERROR(L2/K2,0)</f>
        <v>0.6</v>
      </c>
      <c r="M4" s="25">
        <f>IFERROR(M2/G2,0)</f>
        <v>1.727272727</v>
      </c>
      <c r="N4" s="24"/>
      <c r="O4" s="23">
        <f>IFERROR(O2/N2,0)</f>
        <v>0</v>
      </c>
      <c r="P4" s="26"/>
      <c r="Q4" s="23">
        <f>IFERROR(Q2/P2,0)</f>
        <v>0.25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10</v>
      </c>
      <c r="G5" s="33">
        <f>SUMIF(A:A,B5,H:H)</f>
        <v>4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11</v>
      </c>
      <c r="N5" s="33">
        <f>SUMIF(A:A,B5,N:N)</f>
        <v>3</v>
      </c>
      <c r="O5" s="33">
        <f>SUMIF(A:A,B5,O:O)</f>
        <v>0</v>
      </c>
      <c r="P5" s="33">
        <f>SUMIF(A:A,B5,J:J)</f>
        <v>2</v>
      </c>
      <c r="Q5" s="33">
        <f>SUMIF(A:A,B5,K:K)</f>
        <v>0</v>
      </c>
      <c r="R5" s="34">
        <f>SUMIF(A:A,B5,L:L)</f>
        <v>2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0.6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1.833333333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7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3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2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0.2857142857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1.5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626</v>
      </c>
      <c r="D14" s="31"/>
      <c r="E14" s="53">
        <f>SUMIFS(T:T,A:A,B14,D:D,"Y")</f>
        <v>626</v>
      </c>
      <c r="F14" s="9">
        <f>SUMIF(A:A,B14,G:G)</f>
        <v>4</v>
      </c>
      <c r="G14" s="33">
        <f>SUMIF(A:A,B14,H:H)</f>
        <v>1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1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626</v>
      </c>
      <c r="F16" s="23">
        <f>IFERROR((G14+R14)/F14,0)</f>
        <v>0.25</v>
      </c>
      <c r="G16" s="23">
        <f>IFERROR(H14/G14,0)</f>
        <v>1</v>
      </c>
      <c r="H16" s="22">
        <f>(C14/C16)</f>
        <v>156.5</v>
      </c>
      <c r="I16" s="24"/>
      <c r="J16" s="23">
        <f>IFERROR(J14/I14,0)</f>
        <v>0</v>
      </c>
      <c r="K16" s="24"/>
      <c r="L16" s="23">
        <f>IFERROR(L14/K14,0)</f>
        <v>1</v>
      </c>
      <c r="M16" s="26">
        <f>IFERROR(M14/SUM(R14+G14,0),"")</f>
        <v>0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6390</v>
      </c>
      <c r="D17" s="31"/>
      <c r="E17" s="53">
        <f>SUMIFS(T:T,A:A,B17,D:D,"Y")</f>
        <v>6390</v>
      </c>
      <c r="F17" s="9">
        <f>SUMIF(A:A,B17,G:G)</f>
        <v>29</v>
      </c>
      <c r="G17" s="33">
        <f>SUMIF(A:A,B17,H:H)</f>
        <v>6</v>
      </c>
      <c r="H17" s="33">
        <f>SUMIF(A:A,B17,I:I)</f>
        <v>4</v>
      </c>
      <c r="I17" s="33">
        <f>SUMIF(A:A,B17,P:P)</f>
        <v>0</v>
      </c>
      <c r="J17" s="33">
        <f>SUMIF(A:A,B17,Q:Q)</f>
        <v>0</v>
      </c>
      <c r="K17" s="33">
        <f>SUMIF(A:A,B17,R:R)</f>
        <v>4</v>
      </c>
      <c r="L17" s="33">
        <f>SUMIF(A:A,B17,S:S)</f>
        <v>2</v>
      </c>
      <c r="M17" s="33">
        <f>SUMIF(A:A,B17,M:M)</f>
        <v>8</v>
      </c>
      <c r="N17" s="33">
        <f>SUMIF(A:A,B17,N:N)</f>
        <v>2</v>
      </c>
      <c r="O17" s="33">
        <f>SUMIF(A:A,B17,O:O)</f>
        <v>0</v>
      </c>
      <c r="P17" s="33">
        <f>SUMIF(A:A,B17,J:J)</f>
        <v>6</v>
      </c>
      <c r="Q17" s="33">
        <f>SUMIF(A:A,B17,K:K)</f>
        <v>2</v>
      </c>
      <c r="R17" s="34">
        <f>SUMIF(A:A,B17,L:L)</f>
        <v>3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1597.5</v>
      </c>
      <c r="F19" s="41">
        <f>IFERROR((G17+R17)/F17,0)</f>
        <v>0.3103448276</v>
      </c>
      <c r="G19" s="41">
        <f>IFERROR(H17/G17,0)</f>
        <v>0.6666666667</v>
      </c>
      <c r="H19" s="40">
        <f>(C17/C19)</f>
        <v>290.4545455</v>
      </c>
      <c r="I19" s="42"/>
      <c r="J19" s="41">
        <f>IFERROR(J17/I17,0)</f>
        <v>0</v>
      </c>
      <c r="K19" s="42"/>
      <c r="L19" s="41">
        <f>IFERROR(L17/K17,0)</f>
        <v>0.5</v>
      </c>
      <c r="M19" s="54">
        <f>IFERROR(M17/SUM(G17+R17,0),"")</f>
        <v>0.8888888889</v>
      </c>
      <c r="N19" s="42"/>
      <c r="O19" s="41">
        <f>IFERROR(O17/N17,0)</f>
        <v>0</v>
      </c>
      <c r="P19" s="43"/>
      <c r="Q19" s="41">
        <f>IFERROR(Q17/P17,0)</f>
        <v>0.3333333333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6390</v>
      </c>
      <c r="D20" s="55"/>
      <c r="E20" s="48">
        <f>SUMIFS(T:T,B:B,B20,D:D,"Y")</f>
        <v>6390</v>
      </c>
      <c r="F20" s="49">
        <f>SUMIF(B49:B1137,B20,G49:G1137)</f>
        <v>20</v>
      </c>
      <c r="G20" s="46">
        <f>SUMIF(B49:B1137,B20,H49:H1137)</f>
        <v>6</v>
      </c>
      <c r="H20" s="46">
        <f>SUMIF(B49:B1137,B20,I49:I1137)</f>
        <v>4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4</v>
      </c>
      <c r="L20" s="46">
        <f>SUMIF(B49:B1137,B20,S49:S1137)</f>
        <v>2</v>
      </c>
      <c r="M20" s="46">
        <f>SUMIF(B49:B1137,B20,M49:M1137)</f>
        <v>8</v>
      </c>
      <c r="N20" s="46">
        <f>SUMIF(B49:B1137,B20,N49:N1137)</f>
        <v>2</v>
      </c>
      <c r="O20" s="46">
        <f>SUMIF(B49:B1137,B20,O49:O1137)</f>
        <v>0</v>
      </c>
      <c r="P20" s="46">
        <f>SUMIF(B49:B1137,B20,J49:J1137)</f>
        <v>6</v>
      </c>
      <c r="Q20" s="46">
        <f>SUMIF(B49:B1137,B20,K49:K1137)</f>
        <v>2</v>
      </c>
      <c r="R20" s="50">
        <f>SUMIF(B49:B1137,B20,L49:L1137)</f>
        <v>3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1597.5</v>
      </c>
      <c r="F22" s="41">
        <f>IFERROR((G20+R20)/F20,0)</f>
        <v>0.45</v>
      </c>
      <c r="G22" s="41">
        <f>IFERROR(H20/G20,0)</f>
        <v>0.6666666667</v>
      </c>
      <c r="H22" s="40">
        <f>(C20/C22)</f>
        <v>456.4285714</v>
      </c>
      <c r="I22" s="42"/>
      <c r="J22" s="41">
        <f>IFERROR(J20/I20,0)</f>
        <v>0</v>
      </c>
      <c r="K22" s="42"/>
      <c r="L22" s="41">
        <f>IFERROR(L20/K20,0)</f>
        <v>0.5</v>
      </c>
      <c r="M22" s="43">
        <f>IFERROR(M20/SUM(G20+R20,0),"")</f>
        <v>0.8888888889</v>
      </c>
      <c r="N22" s="42"/>
      <c r="O22" s="41">
        <f>IFERROR(O20/N20,0)</f>
        <v>0</v>
      </c>
      <c r="P22" s="43"/>
      <c r="Q22" s="41">
        <f>IFERROR(Q20/P20,0)</f>
        <v>0.3333333333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9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6">
        <v>0.0</v>
      </c>
      <c r="H29" s="126">
        <v>0.0</v>
      </c>
      <c r="I29" s="126">
        <v>0.0</v>
      </c>
      <c r="J29" s="126">
        <v>0.0</v>
      </c>
      <c r="K29" s="126">
        <v>0.0</v>
      </c>
      <c r="L29" s="126">
        <v>0.0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6">
        <v>0.0</v>
      </c>
      <c r="T29" s="126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6">
        <v>3.0</v>
      </c>
      <c r="H30" s="126">
        <v>1.0</v>
      </c>
      <c r="I30" s="126">
        <v>0.0</v>
      </c>
      <c r="J30" s="126">
        <v>1.0</v>
      </c>
      <c r="K30" s="126">
        <v>0.0</v>
      </c>
      <c r="L30" s="126">
        <v>1.0</v>
      </c>
      <c r="M30" s="126">
        <v>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70"/>
      <c r="U30" s="71">
        <f t="shared" si="3"/>
        <v>0</v>
      </c>
      <c r="V30" s="71">
        <f t="shared" si="4"/>
        <v>0.6666666667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2.0</v>
      </c>
      <c r="H33" s="126">
        <v>1.0</v>
      </c>
      <c r="I33" s="126">
        <v>0.0</v>
      </c>
      <c r="J33" s="126">
        <v>0.0</v>
      </c>
      <c r="K33" s="126">
        <v>0.0</v>
      </c>
      <c r="L33" s="126">
        <v>1.0</v>
      </c>
      <c r="M33" s="126">
        <v>0.0</v>
      </c>
      <c r="N33" s="126">
        <v>1.0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71">
        <f t="shared" si="3"/>
        <v>0</v>
      </c>
      <c r="V33" s="71">
        <f t="shared" si="4"/>
        <v>1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3.0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6">
        <v>1.0</v>
      </c>
      <c r="H35" s="126">
        <v>1.0</v>
      </c>
      <c r="I35" s="126">
        <v>0.0</v>
      </c>
      <c r="J35" s="126">
        <v>0.0</v>
      </c>
      <c r="K35" s="126">
        <v>0.0</v>
      </c>
      <c r="L35" s="126">
        <v>0.0</v>
      </c>
      <c r="M35" s="126">
        <v>4.0</v>
      </c>
      <c r="N35" s="126">
        <v>1.0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71">
        <f t="shared" si="3"/>
        <v>0</v>
      </c>
      <c r="V35" s="71">
        <f t="shared" si="4"/>
        <v>1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0.0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126">
        <v>1.0</v>
      </c>
      <c r="H39" s="126">
        <v>1.0</v>
      </c>
      <c r="I39" s="126">
        <v>0.0</v>
      </c>
      <c r="J39" s="126">
        <v>1.0</v>
      </c>
      <c r="K39" s="126">
        <v>0.0</v>
      </c>
      <c r="L39" s="126">
        <v>0.0</v>
      </c>
      <c r="M39" s="126">
        <v>7.0</v>
      </c>
      <c r="N39" s="126">
        <v>1.0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71">
        <f t="shared" si="3"/>
        <v>0</v>
      </c>
      <c r="V39" s="71">
        <f t="shared" si="4"/>
        <v>1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7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 ht="20.2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126">
        <v>4.0</v>
      </c>
      <c r="H52" s="126">
        <v>1.0</v>
      </c>
      <c r="I52" s="126">
        <v>1.0</v>
      </c>
      <c r="J52" s="126">
        <v>0.0</v>
      </c>
      <c r="K52" s="126">
        <v>0.0</v>
      </c>
      <c r="L52" s="126">
        <v>0.0</v>
      </c>
      <c r="M52" s="126">
        <v>0.0</v>
      </c>
      <c r="N52" s="126">
        <v>0.0</v>
      </c>
      <c r="O52" s="126">
        <v>0.0</v>
      </c>
      <c r="P52" s="126">
        <v>0.0</v>
      </c>
      <c r="Q52" s="126">
        <v>0.0</v>
      </c>
      <c r="R52" s="126">
        <v>1.0</v>
      </c>
      <c r="S52" s="126">
        <v>1.0</v>
      </c>
      <c r="T52" s="126">
        <v>626.0</v>
      </c>
      <c r="U52" s="71">
        <f t="shared" si="5"/>
        <v>1</v>
      </c>
      <c r="V52" s="71">
        <f t="shared" si="6"/>
        <v>0.25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126">
        <v>0.0</v>
      </c>
      <c r="H53" s="126">
        <v>0.0</v>
      </c>
      <c r="I53" s="126">
        <v>0.0</v>
      </c>
      <c r="J53" s="126">
        <v>0.0</v>
      </c>
      <c r="K53" s="126">
        <v>0.0</v>
      </c>
      <c r="L53" s="126">
        <v>0.0</v>
      </c>
      <c r="M53" s="126">
        <v>0.0</v>
      </c>
      <c r="N53" s="126">
        <v>0.0</v>
      </c>
      <c r="O53" s="126">
        <v>0.0</v>
      </c>
      <c r="P53" s="126">
        <v>0.0</v>
      </c>
      <c r="Q53" s="126">
        <v>0.0</v>
      </c>
      <c r="R53" s="126">
        <v>0.0</v>
      </c>
      <c r="S53" s="126">
        <v>0.0</v>
      </c>
      <c r="T53" s="126">
        <v>0.0</v>
      </c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126">
        <v>0.0</v>
      </c>
      <c r="H55" s="126">
        <v>0.0</v>
      </c>
      <c r="I55" s="126">
        <v>0.0</v>
      </c>
      <c r="J55" s="126">
        <v>0.0</v>
      </c>
      <c r="K55" s="126">
        <v>0.0</v>
      </c>
      <c r="L55" s="126">
        <v>0.0</v>
      </c>
      <c r="M55" s="126">
        <v>0.0</v>
      </c>
      <c r="N55" s="126">
        <v>0.0</v>
      </c>
      <c r="O55" s="126">
        <v>0.0</v>
      </c>
      <c r="P55" s="126">
        <v>0.0</v>
      </c>
      <c r="Q55" s="126">
        <v>0.0</v>
      </c>
      <c r="R55" s="126">
        <v>0.0</v>
      </c>
      <c r="S55" s="126">
        <v>0.0</v>
      </c>
      <c r="T55" s="126">
        <v>0.0</v>
      </c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126">
        <v>0.0</v>
      </c>
      <c r="H56" s="126">
        <v>0.0</v>
      </c>
      <c r="I56" s="126">
        <v>0.0</v>
      </c>
      <c r="J56" s="126">
        <v>0.0</v>
      </c>
      <c r="K56" s="126">
        <v>0.0</v>
      </c>
      <c r="L56" s="126">
        <v>0.0</v>
      </c>
      <c r="M56" s="126">
        <v>0.0</v>
      </c>
      <c r="N56" s="126">
        <v>0.0</v>
      </c>
      <c r="O56" s="126">
        <v>0.0</v>
      </c>
      <c r="P56" s="126">
        <v>0.0</v>
      </c>
      <c r="Q56" s="126">
        <v>0.0</v>
      </c>
      <c r="R56" s="126">
        <v>0.0</v>
      </c>
      <c r="S56" s="126">
        <v>0.0</v>
      </c>
      <c r="T56" s="126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6">
        <v>0.0</v>
      </c>
      <c r="H57" s="126">
        <v>0.0</v>
      </c>
      <c r="I57" s="126">
        <v>0.0</v>
      </c>
      <c r="J57" s="126">
        <v>0.0</v>
      </c>
      <c r="K57" s="126">
        <v>0.0</v>
      </c>
      <c r="L57" s="126">
        <v>0.0</v>
      </c>
      <c r="M57" s="126">
        <v>0.0</v>
      </c>
      <c r="N57" s="126">
        <v>0.0</v>
      </c>
      <c r="O57" s="126">
        <v>0.0</v>
      </c>
      <c r="P57" s="126">
        <v>0.0</v>
      </c>
      <c r="Q57" s="126">
        <v>0.0</v>
      </c>
      <c r="R57" s="126">
        <v>0.0</v>
      </c>
      <c r="S57" s="126">
        <v>0.0</v>
      </c>
      <c r="T57" s="126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6">
        <v>3.0</v>
      </c>
      <c r="H58" s="126">
        <v>1.0</v>
      </c>
      <c r="I58" s="126">
        <v>1.0</v>
      </c>
      <c r="J58" s="126">
        <v>1.0</v>
      </c>
      <c r="K58" s="126">
        <v>1.0</v>
      </c>
      <c r="L58" s="126">
        <v>0.0</v>
      </c>
      <c r="M58" s="126">
        <v>0.0</v>
      </c>
      <c r="N58" s="126">
        <v>0.0</v>
      </c>
      <c r="O58" s="126">
        <v>0.0</v>
      </c>
      <c r="P58" s="126">
        <v>0.0</v>
      </c>
      <c r="Q58" s="126">
        <v>0.0</v>
      </c>
      <c r="R58" s="126">
        <v>1.0</v>
      </c>
      <c r="S58" s="126">
        <v>1.0</v>
      </c>
      <c r="T58" s="126">
        <v>1773.0</v>
      </c>
      <c r="U58" s="71">
        <f t="shared" si="7"/>
        <v>1</v>
      </c>
      <c r="V58" s="71">
        <f t="shared" si="8"/>
        <v>0.3333333333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6">
        <v>0.0</v>
      </c>
      <c r="H59" s="126">
        <v>0.0</v>
      </c>
      <c r="I59" s="126">
        <v>0.0</v>
      </c>
      <c r="J59" s="126">
        <v>0.0</v>
      </c>
      <c r="K59" s="126">
        <v>0.0</v>
      </c>
      <c r="L59" s="126">
        <v>0.0</v>
      </c>
      <c r="M59" s="126">
        <v>0.0</v>
      </c>
      <c r="N59" s="126">
        <v>0.0</v>
      </c>
      <c r="O59" s="126">
        <v>0.0</v>
      </c>
      <c r="P59" s="126">
        <v>0.0</v>
      </c>
      <c r="Q59" s="126">
        <v>0.0</v>
      </c>
      <c r="R59" s="126">
        <v>0.0</v>
      </c>
      <c r="S59" s="126">
        <v>0.0</v>
      </c>
      <c r="T59" s="126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6">
        <v>0.0</v>
      </c>
      <c r="H60" s="126">
        <v>0.0</v>
      </c>
      <c r="I60" s="126">
        <v>0.0</v>
      </c>
      <c r="J60" s="126">
        <v>0.0</v>
      </c>
      <c r="K60" s="126">
        <v>0.0</v>
      </c>
      <c r="L60" s="126">
        <v>0.0</v>
      </c>
      <c r="M60" s="126">
        <v>0.0</v>
      </c>
      <c r="N60" s="126">
        <v>0.0</v>
      </c>
      <c r="O60" s="126">
        <v>0.0</v>
      </c>
      <c r="P60" s="126">
        <v>0.0</v>
      </c>
      <c r="Q60" s="126">
        <v>0.0</v>
      </c>
      <c r="R60" s="126">
        <v>0.0</v>
      </c>
      <c r="S60" s="126">
        <v>0.0</v>
      </c>
      <c r="T60" s="126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6">
        <v>4.0</v>
      </c>
      <c r="H61" s="126">
        <v>0.0</v>
      </c>
      <c r="I61" s="126">
        <v>0.0</v>
      </c>
      <c r="J61" s="126">
        <v>0.0</v>
      </c>
      <c r="K61" s="126">
        <v>0.0</v>
      </c>
      <c r="L61" s="126">
        <v>0.0</v>
      </c>
      <c r="M61" s="126">
        <v>0.0</v>
      </c>
      <c r="N61" s="126">
        <v>0.0</v>
      </c>
      <c r="O61" s="126">
        <v>0.0</v>
      </c>
      <c r="P61" s="126">
        <v>0.0</v>
      </c>
      <c r="Q61" s="126">
        <v>0.0</v>
      </c>
      <c r="R61" s="126">
        <v>0.0</v>
      </c>
      <c r="S61" s="126">
        <v>0.0</v>
      </c>
      <c r="T61" s="126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6">
        <v>13.0</v>
      </c>
      <c r="H62" s="126">
        <v>5.0</v>
      </c>
      <c r="I62" s="126">
        <v>3.0</v>
      </c>
      <c r="J62" s="126">
        <v>5.0</v>
      </c>
      <c r="K62" s="126">
        <v>1.0</v>
      </c>
      <c r="L62" s="126">
        <v>3.0</v>
      </c>
      <c r="M62" s="126">
        <v>8.0</v>
      </c>
      <c r="N62" s="126">
        <v>2.0</v>
      </c>
      <c r="O62" s="126">
        <v>0.0</v>
      </c>
      <c r="P62" s="126">
        <v>0.0</v>
      </c>
      <c r="Q62" s="126">
        <v>0.0</v>
      </c>
      <c r="R62" s="126">
        <v>3.0</v>
      </c>
      <c r="S62" s="126">
        <v>1.0</v>
      </c>
      <c r="T62" s="126">
        <v>4617.0</v>
      </c>
      <c r="U62" s="71">
        <f t="shared" si="7"/>
        <v>0.6</v>
      </c>
      <c r="V62" s="71">
        <f t="shared" si="8"/>
        <v>0.6153846154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6">
        <v>0.0</v>
      </c>
      <c r="H63" s="126">
        <v>0.0</v>
      </c>
      <c r="I63" s="126">
        <v>0.0</v>
      </c>
      <c r="J63" s="126">
        <v>0.0</v>
      </c>
      <c r="K63" s="126">
        <v>0.0</v>
      </c>
      <c r="L63" s="126">
        <v>0.0</v>
      </c>
      <c r="M63" s="126">
        <v>0.0</v>
      </c>
      <c r="N63" s="126">
        <v>0.0</v>
      </c>
      <c r="O63" s="126">
        <v>0.0</v>
      </c>
      <c r="P63" s="126">
        <v>0.0</v>
      </c>
      <c r="Q63" s="126">
        <v>0.0</v>
      </c>
      <c r="R63" s="126">
        <v>0.0</v>
      </c>
      <c r="S63" s="126">
        <v>0.0</v>
      </c>
      <c r="T63" s="126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6">
        <v>0.0</v>
      </c>
      <c r="H64" s="126">
        <v>0.0</v>
      </c>
      <c r="I64" s="126">
        <v>0.0</v>
      </c>
      <c r="J64" s="126">
        <v>0.0</v>
      </c>
      <c r="K64" s="126">
        <v>0.0</v>
      </c>
      <c r="L64" s="126">
        <v>0.0</v>
      </c>
      <c r="M64" s="126">
        <v>0.0</v>
      </c>
      <c r="N64" s="126">
        <v>0.0</v>
      </c>
      <c r="O64" s="126">
        <v>0.0</v>
      </c>
      <c r="P64" s="126">
        <v>0.0</v>
      </c>
      <c r="Q64" s="126">
        <v>0.0</v>
      </c>
      <c r="R64" s="126">
        <v>0.0</v>
      </c>
      <c r="S64" s="126">
        <v>0.0</v>
      </c>
      <c r="T64" s="126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6">
        <v>0.0</v>
      </c>
      <c r="H65" s="126">
        <v>0.0</v>
      </c>
      <c r="I65" s="126">
        <v>0.0</v>
      </c>
      <c r="J65" s="126">
        <v>0.0</v>
      </c>
      <c r="K65" s="126">
        <v>0.0</v>
      </c>
      <c r="L65" s="126">
        <v>0.0</v>
      </c>
      <c r="M65" s="126">
        <v>0.0</v>
      </c>
      <c r="N65" s="126">
        <v>0.0</v>
      </c>
      <c r="O65" s="126">
        <v>0.0</v>
      </c>
      <c r="P65" s="126">
        <v>0.0</v>
      </c>
      <c r="Q65" s="126">
        <v>0.0</v>
      </c>
      <c r="R65" s="126">
        <v>0.0</v>
      </c>
      <c r="S65" s="126">
        <v>0.0</v>
      </c>
      <c r="T65" s="126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6">
        <v>0.0</v>
      </c>
      <c r="H66" s="126">
        <v>0.0</v>
      </c>
      <c r="I66" s="126">
        <v>0.0</v>
      </c>
      <c r="J66" s="126">
        <v>0.0</v>
      </c>
      <c r="K66" s="126">
        <v>0.0</v>
      </c>
      <c r="L66" s="126">
        <v>0.0</v>
      </c>
      <c r="M66" s="126">
        <v>0.0</v>
      </c>
      <c r="N66" s="126">
        <v>0.0</v>
      </c>
      <c r="O66" s="126">
        <v>0.0</v>
      </c>
      <c r="P66" s="126">
        <v>0.0</v>
      </c>
      <c r="Q66" s="126">
        <v>0.0</v>
      </c>
      <c r="R66" s="126">
        <v>0.0</v>
      </c>
      <c r="S66" s="126">
        <v>0.0</v>
      </c>
      <c r="T66" s="126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1" t="s">
        <v>76</v>
      </c>
      <c r="D67" s="112"/>
      <c r="E67" s="84"/>
      <c r="F67" s="113" t="s">
        <v>81</v>
      </c>
      <c r="G67" s="126">
        <v>0.0</v>
      </c>
      <c r="H67" s="126">
        <v>0.0</v>
      </c>
      <c r="I67" s="126">
        <v>0.0</v>
      </c>
      <c r="J67" s="126">
        <v>0.0</v>
      </c>
      <c r="K67" s="126">
        <v>0.0</v>
      </c>
      <c r="L67" s="126">
        <v>0.0</v>
      </c>
      <c r="M67" s="126">
        <v>0.0</v>
      </c>
      <c r="N67" s="126">
        <v>0.0</v>
      </c>
      <c r="O67" s="126">
        <v>0.0</v>
      </c>
      <c r="P67" s="126">
        <v>0.0</v>
      </c>
      <c r="Q67" s="126">
        <v>0.0</v>
      </c>
      <c r="R67" s="126">
        <v>0.0</v>
      </c>
      <c r="S67" s="126">
        <v>0.0</v>
      </c>
      <c r="T67" s="126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0" t="s">
        <v>30</v>
      </c>
      <c r="B68" s="100" t="s">
        <v>31</v>
      </c>
      <c r="C68" s="100" t="s">
        <v>82</v>
      </c>
      <c r="D68" s="114" t="s">
        <v>49</v>
      </c>
      <c r="E68" s="75"/>
      <c r="F68" s="100" t="s">
        <v>82</v>
      </c>
      <c r="G68" s="126">
        <v>0.0</v>
      </c>
      <c r="H68" s="126">
        <v>0.0</v>
      </c>
      <c r="I68" s="126">
        <v>0.0</v>
      </c>
      <c r="J68" s="126">
        <v>0.0</v>
      </c>
      <c r="K68" s="126">
        <v>0.0</v>
      </c>
      <c r="L68" s="126">
        <v>0.0</v>
      </c>
      <c r="M68" s="126">
        <v>0.0</v>
      </c>
      <c r="N68" s="126">
        <v>0.0</v>
      </c>
      <c r="O68" s="126">
        <v>0.0</v>
      </c>
      <c r="P68" s="126">
        <v>0.0</v>
      </c>
      <c r="Q68" s="126">
        <v>0.0</v>
      </c>
      <c r="R68" s="126">
        <v>0.0</v>
      </c>
      <c r="S68" s="126">
        <v>0.0</v>
      </c>
      <c r="T68" s="126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10" t="s">
        <v>30</v>
      </c>
      <c r="B69" s="126" t="s">
        <v>31</v>
      </c>
      <c r="C69" s="126" t="s">
        <v>83</v>
      </c>
      <c r="D69" s="126" t="s">
        <v>49</v>
      </c>
      <c r="E69" s="126"/>
      <c r="F69" s="102" t="s">
        <v>83</v>
      </c>
      <c r="G69" s="126">
        <v>0.0</v>
      </c>
      <c r="H69" s="126">
        <v>0.0</v>
      </c>
      <c r="I69" s="126">
        <v>0.0</v>
      </c>
      <c r="J69" s="126">
        <v>0.0</v>
      </c>
      <c r="K69" s="126">
        <v>0.0</v>
      </c>
      <c r="L69" s="126">
        <v>0.0</v>
      </c>
      <c r="M69" s="126">
        <v>0.0</v>
      </c>
      <c r="N69" s="126">
        <v>0.0</v>
      </c>
      <c r="O69" s="126">
        <v>0.0</v>
      </c>
      <c r="P69" s="126">
        <v>0.0</v>
      </c>
      <c r="Q69" s="126">
        <v>0.0</v>
      </c>
      <c r="R69" s="126">
        <v>0.0</v>
      </c>
      <c r="S69" s="126">
        <v>0.0</v>
      </c>
      <c r="T69" s="126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3" t="s">
        <v>83</v>
      </c>
      <c r="D70" s="112"/>
      <c r="E70" s="84"/>
      <c r="F70" s="113" t="s">
        <v>84</v>
      </c>
      <c r="G70" s="126">
        <v>0.0</v>
      </c>
      <c r="H70" s="126">
        <v>0.0</v>
      </c>
      <c r="I70" s="126">
        <v>0.0</v>
      </c>
      <c r="J70" s="126">
        <v>0.0</v>
      </c>
      <c r="K70" s="126">
        <v>0.0</v>
      </c>
      <c r="L70" s="126">
        <v>0.0</v>
      </c>
      <c r="M70" s="126">
        <v>0.0</v>
      </c>
      <c r="N70" s="126">
        <v>0.0</v>
      </c>
      <c r="O70" s="126">
        <v>0.0</v>
      </c>
      <c r="P70" s="126">
        <v>0.0</v>
      </c>
      <c r="Q70" s="126">
        <v>0.0</v>
      </c>
      <c r="R70" s="126">
        <v>0.0</v>
      </c>
      <c r="S70" s="126">
        <v>0.0</v>
      </c>
      <c r="T70" s="126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3" t="s">
        <v>83</v>
      </c>
      <c r="D71" s="118"/>
      <c r="E71" s="84"/>
      <c r="F71" s="113" t="s">
        <v>85</v>
      </c>
      <c r="G71" s="126">
        <v>0.0</v>
      </c>
      <c r="H71" s="126">
        <v>0.0</v>
      </c>
      <c r="I71" s="126">
        <v>0.0</v>
      </c>
      <c r="J71" s="126">
        <v>0.0</v>
      </c>
      <c r="K71" s="126">
        <v>0.0</v>
      </c>
      <c r="L71" s="126">
        <v>0.0</v>
      </c>
      <c r="M71" s="126">
        <v>0.0</v>
      </c>
      <c r="N71" s="126">
        <v>0.0</v>
      </c>
      <c r="O71" s="126">
        <v>0.0</v>
      </c>
      <c r="P71" s="126">
        <v>0.0</v>
      </c>
      <c r="Q71" s="126">
        <v>0.0</v>
      </c>
      <c r="R71" s="126">
        <v>0.0</v>
      </c>
      <c r="S71" s="126">
        <v>0.0</v>
      </c>
      <c r="T71" s="126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5" t="s">
        <v>30</v>
      </c>
      <c r="B72" s="105" t="s">
        <v>32</v>
      </c>
      <c r="C72" s="105"/>
      <c r="D72" s="107" t="s">
        <v>49</v>
      </c>
      <c r="E72" s="81"/>
      <c r="F72" s="105" t="s">
        <v>32</v>
      </c>
      <c r="G72" s="126">
        <v>3.0</v>
      </c>
      <c r="H72" s="126">
        <v>0.0</v>
      </c>
      <c r="I72" s="126">
        <v>0.0</v>
      </c>
      <c r="J72" s="126">
        <v>0.0</v>
      </c>
      <c r="K72" s="126">
        <v>0.0</v>
      </c>
      <c r="L72" s="126">
        <v>0.0</v>
      </c>
      <c r="M72" s="126">
        <v>0.0</v>
      </c>
      <c r="N72" s="126">
        <v>0.0</v>
      </c>
      <c r="O72" s="126">
        <v>0.0</v>
      </c>
      <c r="P72" s="126">
        <v>0.0</v>
      </c>
      <c r="Q72" s="126">
        <v>0.0</v>
      </c>
      <c r="R72" s="126">
        <v>0.0</v>
      </c>
      <c r="S72" s="126">
        <v>0.0</v>
      </c>
      <c r="T72" s="126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2" t="s">
        <v>86</v>
      </c>
      <c r="G73" s="126">
        <v>0.0</v>
      </c>
      <c r="H73" s="126">
        <v>0.0</v>
      </c>
      <c r="I73" s="126">
        <v>0.0</v>
      </c>
      <c r="J73" s="126">
        <v>0.0</v>
      </c>
      <c r="K73" s="126">
        <v>0.0</v>
      </c>
      <c r="L73" s="126">
        <v>0.0</v>
      </c>
      <c r="M73" s="126">
        <v>0.0</v>
      </c>
      <c r="N73" s="126">
        <v>0.0</v>
      </c>
      <c r="O73" s="126">
        <v>0.0</v>
      </c>
      <c r="P73" s="126">
        <v>0.0</v>
      </c>
      <c r="Q73" s="126">
        <v>0.0</v>
      </c>
      <c r="R73" s="126">
        <v>0.0</v>
      </c>
      <c r="S73" s="126">
        <v>0.0</v>
      </c>
      <c r="T73" s="126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03" t="s">
        <v>30</v>
      </c>
      <c r="B74" s="103" t="s">
        <v>32</v>
      </c>
      <c r="C74" s="103"/>
      <c r="D74" s="58"/>
      <c r="E74" s="75"/>
      <c r="F74" s="104" t="s">
        <v>87</v>
      </c>
      <c r="G74" s="126">
        <v>0.0</v>
      </c>
      <c r="H74" s="126">
        <v>0.0</v>
      </c>
      <c r="I74" s="126">
        <v>0.0</v>
      </c>
      <c r="J74" s="126">
        <v>0.0</v>
      </c>
      <c r="K74" s="126">
        <v>0.0</v>
      </c>
      <c r="L74" s="126">
        <v>0.0</v>
      </c>
      <c r="M74" s="126">
        <v>0.0</v>
      </c>
      <c r="N74" s="126">
        <v>0.0</v>
      </c>
      <c r="O74" s="126">
        <v>0.0</v>
      </c>
      <c r="P74" s="126">
        <v>0.0</v>
      </c>
      <c r="Q74" s="126">
        <v>0.0</v>
      </c>
      <c r="R74" s="126">
        <v>0.0</v>
      </c>
      <c r="S74" s="126">
        <v>0.0</v>
      </c>
      <c r="T74" s="126">
        <v>0.0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03" t="s">
        <v>30</v>
      </c>
      <c r="B75" s="103" t="s">
        <v>32</v>
      </c>
      <c r="C75" s="103"/>
      <c r="D75" s="58"/>
      <c r="E75" s="75"/>
      <c r="F75" s="104" t="s">
        <v>88</v>
      </c>
      <c r="G75" s="126">
        <v>6.0</v>
      </c>
      <c r="H75" s="126">
        <v>0.0</v>
      </c>
      <c r="I75" s="126">
        <v>0.0</v>
      </c>
      <c r="J75" s="126">
        <v>0.0</v>
      </c>
      <c r="K75" s="126">
        <v>0.0</v>
      </c>
      <c r="L75" s="126">
        <v>0.0</v>
      </c>
      <c r="M75" s="126">
        <v>0.0</v>
      </c>
      <c r="N75" s="126">
        <v>0.0</v>
      </c>
      <c r="O75" s="126">
        <v>0.0</v>
      </c>
      <c r="P75" s="126">
        <v>0.0</v>
      </c>
      <c r="Q75" s="126">
        <v>0.0</v>
      </c>
      <c r="R75" s="126">
        <v>0.0</v>
      </c>
      <c r="S75" s="126">
        <v>0.0</v>
      </c>
      <c r="T75" s="126">
        <v>0.0</v>
      </c>
      <c r="U75" s="71">
        <f t="shared" si="7"/>
        <v>0</v>
      </c>
      <c r="V75" s="71">
        <f t="shared" si="8"/>
        <v>0</v>
      </c>
      <c r="W75" s="72"/>
    </row>
    <row r="76" ht="12.75" customHeight="1">
      <c r="A76" s="110" t="s">
        <v>30</v>
      </c>
      <c r="B76" s="110" t="s">
        <v>32</v>
      </c>
      <c r="C76" s="110" t="s">
        <v>89</v>
      </c>
      <c r="D76" s="99" t="s">
        <v>49</v>
      </c>
      <c r="E76" s="84"/>
      <c r="F76" s="110" t="s">
        <v>89</v>
      </c>
      <c r="G76" s="70">
        <v>0.0</v>
      </c>
      <c r="H76" s="70">
        <v>0.0</v>
      </c>
      <c r="I76" s="70">
        <v>0.0</v>
      </c>
      <c r="J76" s="70">
        <v>0.0</v>
      </c>
      <c r="K76" s="70">
        <v>0.0</v>
      </c>
      <c r="L76" s="70">
        <v>0.0</v>
      </c>
      <c r="M76" s="70">
        <v>0.0</v>
      </c>
      <c r="N76" s="70">
        <v>0.0</v>
      </c>
      <c r="O76" s="70">
        <v>0.0</v>
      </c>
      <c r="P76" s="70">
        <v>0.0</v>
      </c>
      <c r="Q76" s="70">
        <v>0.0</v>
      </c>
      <c r="R76" s="70">
        <v>0.0</v>
      </c>
      <c r="S76" s="70">
        <v>0.0</v>
      </c>
      <c r="T76" s="70">
        <v>0.0</v>
      </c>
      <c r="U76" s="71">
        <f t="shared" si="7"/>
        <v>0</v>
      </c>
      <c r="V76" s="71">
        <f t="shared" si="8"/>
        <v>0</v>
      </c>
      <c r="W76" s="72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19"/>
      <c r="B594" s="119"/>
      <c r="C594" s="119"/>
      <c r="D594" s="1"/>
      <c r="E594" s="119"/>
      <c r="F594" s="11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1"/>
      <c r="V594" s="121"/>
      <c r="W594" s="121"/>
    </row>
    <row r="595" ht="12.75" customHeight="1">
      <c r="A595" s="119"/>
      <c r="B595" s="119"/>
      <c r="C595" s="119"/>
      <c r="D595" s="1"/>
      <c r="E595" s="119"/>
      <c r="F595" s="11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1"/>
      <c r="V595" s="121"/>
      <c r="W595" s="121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4</v>
      </c>
      <c r="G2" s="9">
        <f t="shared" si="1"/>
        <v>3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1</v>
      </c>
      <c r="L2" s="9">
        <f t="shared" si="1"/>
        <v>0</v>
      </c>
      <c r="M2" s="9">
        <f t="shared" si="1"/>
        <v>8</v>
      </c>
      <c r="N2" s="9">
        <f t="shared" si="1"/>
        <v>2</v>
      </c>
      <c r="O2" s="9">
        <f t="shared" si="1"/>
        <v>0</v>
      </c>
      <c r="P2" s="9">
        <f t="shared" si="1"/>
        <v>1</v>
      </c>
      <c r="Q2" s="9">
        <f t="shared" si="1"/>
        <v>1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0</v>
      </c>
      <c r="F4" s="23">
        <f>IFERROR((G2+R2)/F2,0)</f>
        <v>1</v>
      </c>
      <c r="G4" s="23">
        <f>IFERROR(H2/G2,0)</f>
        <v>0.3333333333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2.666666667</v>
      </c>
      <c r="N4" s="24"/>
      <c r="O4" s="23">
        <f>IFERROR(O2/N2,0)</f>
        <v>0</v>
      </c>
      <c r="P4" s="26"/>
      <c r="Q4" s="23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4</v>
      </c>
      <c r="G5" s="33">
        <f>SUMIF(A:A,B5,H:H)</f>
        <v>3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8</v>
      </c>
      <c r="N5" s="33">
        <f>SUMIF(A:A,B5,N:N)</f>
        <v>2</v>
      </c>
      <c r="O5" s="33">
        <f>SUMIF(A:A,B5,O:O)</f>
        <v>0</v>
      </c>
      <c r="P5" s="33">
        <f>SUMIF(A:A,B5,J:J)</f>
        <v>1</v>
      </c>
      <c r="Q5" s="33">
        <f>SUMIF(A:A,B5,K:K)</f>
        <v>1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1</v>
      </c>
      <c r="G7" s="41">
        <f>IFERROR(H5/G5,0)</f>
        <v>0.3333333333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</v>
      </c>
      <c r="N7" s="42"/>
      <c r="O7" s="41">
        <f>IFERROR(O5/N5,0)</f>
        <v>0</v>
      </c>
      <c r="P7" s="43"/>
      <c r="Q7" s="41">
        <f>IFERROR(Q5/P5,0)</f>
        <v>1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4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0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2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6">
        <v>1.0</v>
      </c>
      <c r="H33" s="126">
        <v>1.0</v>
      </c>
      <c r="I33" s="126">
        <v>0.0</v>
      </c>
      <c r="J33" s="126">
        <v>0.0</v>
      </c>
      <c r="K33" s="126">
        <v>0.0</v>
      </c>
      <c r="L33" s="126">
        <v>0.0</v>
      </c>
      <c r="M33" s="126">
        <v>0.0</v>
      </c>
      <c r="N33" s="126">
        <v>1.0</v>
      </c>
      <c r="O33" s="126">
        <v>0.0</v>
      </c>
      <c r="P33" s="126">
        <v>0.0</v>
      </c>
      <c r="Q33" s="126">
        <v>0.0</v>
      </c>
      <c r="R33" s="126">
        <v>0.0</v>
      </c>
      <c r="S33" s="126">
        <v>0.0</v>
      </c>
      <c r="T33" s="126">
        <v>0.0</v>
      </c>
      <c r="U33" s="127">
        <v>0.0</v>
      </c>
      <c r="V33" s="71">
        <f t="shared" si="4"/>
        <v>1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6">
        <v>0.0</v>
      </c>
      <c r="H34" s="126">
        <v>0.0</v>
      </c>
      <c r="I34" s="126">
        <v>0.0</v>
      </c>
      <c r="J34" s="126">
        <v>0.0</v>
      </c>
      <c r="K34" s="126">
        <v>0.0</v>
      </c>
      <c r="L34" s="126">
        <v>0.0</v>
      </c>
      <c r="M34" s="126">
        <v>0.0</v>
      </c>
      <c r="N34" s="126">
        <v>0.0</v>
      </c>
      <c r="O34" s="126">
        <v>0.0</v>
      </c>
      <c r="P34" s="126">
        <v>0.0</v>
      </c>
      <c r="Q34" s="126">
        <v>0.0</v>
      </c>
      <c r="R34" s="126">
        <v>0.0</v>
      </c>
      <c r="S34" s="126">
        <v>0.0</v>
      </c>
      <c r="T34" s="126">
        <v>0.0</v>
      </c>
      <c r="U34" s="127">
        <v>0.0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ref="U35:U36" si="5">IFERROR(I35/H35,0)</f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5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6">
        <v>0.0</v>
      </c>
      <c r="H37" s="126">
        <v>0.0</v>
      </c>
      <c r="I37" s="126">
        <v>0.0</v>
      </c>
      <c r="J37" s="126">
        <v>0.0</v>
      </c>
      <c r="K37" s="126">
        <v>0.0</v>
      </c>
      <c r="L37" s="126">
        <v>0.0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6">
        <v>0.0</v>
      </c>
      <c r="T37" s="126">
        <v>0.0</v>
      </c>
      <c r="U37" s="127">
        <v>0.0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6">
        <v>1.0</v>
      </c>
      <c r="H38" s="126">
        <v>0.0</v>
      </c>
      <c r="I38" s="126">
        <v>0.0</v>
      </c>
      <c r="J38" s="126">
        <v>0.0</v>
      </c>
      <c r="K38" s="126">
        <v>0.0</v>
      </c>
      <c r="L38" s="126">
        <v>0.0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6">
        <v>0.0</v>
      </c>
      <c r="S38" s="126">
        <v>0.0</v>
      </c>
      <c r="T38" s="126">
        <v>0.0</v>
      </c>
      <c r="U38" s="127">
        <v>0.0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126">
        <v>2.0</v>
      </c>
      <c r="H39" s="126">
        <v>2.0</v>
      </c>
      <c r="I39" s="126">
        <v>1.0</v>
      </c>
      <c r="J39" s="126">
        <v>1.0</v>
      </c>
      <c r="K39" s="126">
        <v>1.0</v>
      </c>
      <c r="L39" s="126">
        <v>1.0</v>
      </c>
      <c r="M39" s="126">
        <v>8.0</v>
      </c>
      <c r="N39" s="126">
        <v>1.0</v>
      </c>
      <c r="O39" s="126">
        <v>0.0</v>
      </c>
      <c r="P39" s="126">
        <v>0.0</v>
      </c>
      <c r="Q39" s="126">
        <v>0.0</v>
      </c>
      <c r="R39" s="126">
        <v>1.0</v>
      </c>
      <c r="S39" s="126">
        <v>0.0</v>
      </c>
      <c r="T39" s="126">
        <v>0.0</v>
      </c>
      <c r="U39" s="71">
        <f t="shared" ref="U39:U48" si="6">IFERROR(I39/H39,0)</f>
        <v>0.5</v>
      </c>
      <c r="V39" s="71">
        <f t="shared" si="4"/>
        <v>1.5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6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6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6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7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6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6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6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6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6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6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7">IFERROR(I50/H50,0)</f>
        <v>0</v>
      </c>
      <c r="V50" s="71">
        <f t="shared" ref="V50:V53" si="8">IFERROR(SUM(H50+L50)/G50,0)</f>
        <v>0</v>
      </c>
      <c r="W50" s="72"/>
    </row>
    <row r="51" ht="20.2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7"/>
        <v>0</v>
      </c>
      <c r="V51" s="71">
        <f t="shared" si="8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7"/>
        <v>0</v>
      </c>
      <c r="V52" s="71">
        <f t="shared" si="8"/>
        <v>0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7"/>
        <v>0</v>
      </c>
      <c r="V53" s="71">
        <f t="shared" si="8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9">IFERROR(I55/H55,0)</f>
        <v>0</v>
      </c>
      <c r="V55" s="71">
        <f t="shared" ref="V55:V76" si="10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9"/>
        <v>0</v>
      </c>
      <c r="V56" s="71">
        <f t="shared" si="10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9"/>
        <v>0</v>
      </c>
      <c r="V57" s="71">
        <f t="shared" si="10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9"/>
        <v>0</v>
      </c>
      <c r="V58" s="71">
        <f t="shared" si="10"/>
        <v>0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9"/>
        <v>0</v>
      </c>
      <c r="V59" s="71">
        <f t="shared" si="10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9"/>
        <v>0</v>
      </c>
      <c r="V60" s="71">
        <f t="shared" si="10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9"/>
        <v>0</v>
      </c>
      <c r="V61" s="71">
        <f t="shared" si="10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9"/>
        <v>0</v>
      </c>
      <c r="V62" s="71">
        <f t="shared" si="10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9"/>
        <v>0</v>
      </c>
      <c r="V63" s="71">
        <f t="shared" si="10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9"/>
        <v>0</v>
      </c>
      <c r="V64" s="71">
        <f t="shared" si="10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9"/>
        <v>0</v>
      </c>
      <c r="V65" s="71">
        <f t="shared" si="10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9"/>
        <v>0</v>
      </c>
      <c r="V66" s="71">
        <f t="shared" si="10"/>
        <v>0</v>
      </c>
      <c r="W66" s="72"/>
    </row>
    <row r="67" ht="12.75" customHeight="1">
      <c r="A67" s="111" t="s">
        <v>30</v>
      </c>
      <c r="B67" s="111" t="s">
        <v>31</v>
      </c>
      <c r="C67" s="111" t="s">
        <v>76</v>
      </c>
      <c r="D67" s="112"/>
      <c r="E67" s="84"/>
      <c r="F67" s="113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9"/>
        <v>0</v>
      </c>
      <c r="V67" s="71">
        <f t="shared" si="10"/>
        <v>0</v>
      </c>
      <c r="W67" s="72"/>
    </row>
    <row r="68" ht="12.75" customHeight="1">
      <c r="A68" s="100" t="s">
        <v>30</v>
      </c>
      <c r="B68" s="100" t="s">
        <v>31</v>
      </c>
      <c r="C68" s="100" t="s">
        <v>82</v>
      </c>
      <c r="D68" s="114" t="s">
        <v>49</v>
      </c>
      <c r="E68" s="75"/>
      <c r="F68" s="100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9"/>
        <v>0</v>
      </c>
      <c r="V68" s="71">
        <f t="shared" si="10"/>
        <v>0</v>
      </c>
      <c r="W68" s="72"/>
    </row>
    <row r="69" ht="12.75" customHeight="1">
      <c r="A69" s="110" t="s">
        <v>30</v>
      </c>
      <c r="B69" s="110" t="s">
        <v>31</v>
      </c>
      <c r="C69" s="115" t="s">
        <v>83</v>
      </c>
      <c r="D69" s="116" t="s">
        <v>49</v>
      </c>
      <c r="E69" s="117"/>
      <c r="F69" s="115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9"/>
        <v>0</v>
      </c>
      <c r="V69" s="71">
        <f t="shared" si="10"/>
        <v>0</v>
      </c>
      <c r="W69" s="72"/>
    </row>
    <row r="70" ht="12.75" customHeight="1">
      <c r="A70" s="111" t="s">
        <v>30</v>
      </c>
      <c r="B70" s="111" t="s">
        <v>31</v>
      </c>
      <c r="C70" s="113" t="s">
        <v>83</v>
      </c>
      <c r="D70" s="112"/>
      <c r="E70" s="84"/>
      <c r="F70" s="113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9"/>
        <v>0</v>
      </c>
      <c r="V70" s="71">
        <f t="shared" si="10"/>
        <v>0</v>
      </c>
      <c r="W70" s="72"/>
    </row>
    <row r="71" ht="12.75" customHeight="1">
      <c r="A71" s="111" t="s">
        <v>30</v>
      </c>
      <c r="B71" s="111" t="s">
        <v>31</v>
      </c>
      <c r="C71" s="113" t="s">
        <v>83</v>
      </c>
      <c r="D71" s="118"/>
      <c r="E71" s="84"/>
      <c r="F71" s="113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9"/>
        <v>0</v>
      </c>
      <c r="V71" s="71">
        <f t="shared" si="10"/>
        <v>0</v>
      </c>
      <c r="W71" s="72"/>
    </row>
    <row r="72" ht="12.75" customHeight="1">
      <c r="A72" s="105" t="s">
        <v>30</v>
      </c>
      <c r="B72" s="105" t="s">
        <v>32</v>
      </c>
      <c r="C72" s="105"/>
      <c r="D72" s="107" t="s">
        <v>49</v>
      </c>
      <c r="E72" s="81"/>
      <c r="F72" s="105" t="s">
        <v>32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9"/>
        <v>0</v>
      </c>
      <c r="V72" s="71">
        <f t="shared" si="10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2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9"/>
        <v>0</v>
      </c>
      <c r="V73" s="71">
        <f t="shared" si="10"/>
        <v>0</v>
      </c>
      <c r="W73" s="72"/>
    </row>
    <row r="74" ht="12.75" customHeight="1">
      <c r="A74" s="103" t="s">
        <v>30</v>
      </c>
      <c r="B74" s="103" t="s">
        <v>32</v>
      </c>
      <c r="C74" s="103"/>
      <c r="D74" s="58"/>
      <c r="E74" s="75"/>
      <c r="F74" s="104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9"/>
        <v>0</v>
      </c>
      <c r="V74" s="71">
        <f t="shared" si="10"/>
        <v>0</v>
      </c>
      <c r="W74" s="72"/>
    </row>
    <row r="75" ht="12.75" customHeight="1">
      <c r="A75" s="103" t="s">
        <v>30</v>
      </c>
      <c r="B75" s="103" t="s">
        <v>32</v>
      </c>
      <c r="C75" s="103"/>
      <c r="D75" s="58"/>
      <c r="E75" s="75"/>
      <c r="F75" s="104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9"/>
        <v>0</v>
      </c>
      <c r="V75" s="71">
        <f t="shared" si="10"/>
        <v>0</v>
      </c>
      <c r="W75" s="72"/>
    </row>
    <row r="76" ht="12.75" customHeight="1">
      <c r="A76" s="110" t="s">
        <v>30</v>
      </c>
      <c r="B76" s="110" t="s">
        <v>32</v>
      </c>
      <c r="C76" s="110" t="s">
        <v>89</v>
      </c>
      <c r="D76" s="99" t="s">
        <v>49</v>
      </c>
      <c r="E76" s="84"/>
      <c r="F76" s="110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9"/>
        <v>0</v>
      </c>
      <c r="V76" s="71">
        <f t="shared" si="10"/>
        <v>0</v>
      </c>
      <c r="W76" s="72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19"/>
      <c r="B594" s="119"/>
      <c r="C594" s="119"/>
      <c r="D594" s="1"/>
      <c r="E594" s="119"/>
      <c r="F594" s="11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1"/>
      <c r="V594" s="121"/>
      <c r="W594" s="121"/>
    </row>
    <row r="595" ht="12.75" customHeight="1">
      <c r="A595" s="119"/>
      <c r="B595" s="119"/>
      <c r="C595" s="119"/>
      <c r="D595" s="1"/>
      <c r="E595" s="119"/>
      <c r="F595" s="11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1"/>
      <c r="V595" s="121"/>
      <c r="W595" s="121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0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14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5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7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7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 ht="20.25" customHeight="1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 ht="20.25" customHeight="1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12.75" customHeight="1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 ht="20.2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1" t="s">
        <v>76</v>
      </c>
      <c r="D67" s="112"/>
      <c r="E67" s="84"/>
      <c r="F67" s="113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00" t="s">
        <v>30</v>
      </c>
      <c r="B68" s="100" t="s">
        <v>31</v>
      </c>
      <c r="C68" s="100" t="s">
        <v>82</v>
      </c>
      <c r="D68" s="114" t="s">
        <v>49</v>
      </c>
      <c r="E68" s="75"/>
      <c r="F68" s="100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10" t="s">
        <v>30</v>
      </c>
      <c r="B69" s="110" t="s">
        <v>31</v>
      </c>
      <c r="C69" s="115" t="s">
        <v>83</v>
      </c>
      <c r="D69" s="116" t="s">
        <v>49</v>
      </c>
      <c r="E69" s="117"/>
      <c r="F69" s="115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11" t="s">
        <v>30</v>
      </c>
      <c r="B70" s="111" t="s">
        <v>31</v>
      </c>
      <c r="C70" s="113" t="s">
        <v>83</v>
      </c>
      <c r="D70" s="112"/>
      <c r="E70" s="84"/>
      <c r="F70" s="113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11" t="s">
        <v>30</v>
      </c>
      <c r="B71" s="111" t="s">
        <v>31</v>
      </c>
      <c r="C71" s="113" t="s">
        <v>83</v>
      </c>
      <c r="D71" s="118"/>
      <c r="E71" s="84"/>
      <c r="F71" s="113" t="s">
        <v>85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5" t="s">
        <v>30</v>
      </c>
      <c r="B72" s="105" t="s">
        <v>32</v>
      </c>
      <c r="C72" s="105"/>
      <c r="D72" s="107" t="s">
        <v>49</v>
      </c>
      <c r="E72" s="81"/>
      <c r="F72" s="105" t="s">
        <v>32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3" t="s">
        <v>30</v>
      </c>
      <c r="B73" s="103" t="s">
        <v>32</v>
      </c>
      <c r="C73" s="103"/>
      <c r="D73" s="58"/>
      <c r="E73" s="75"/>
      <c r="F73" s="102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3" t="s">
        <v>30</v>
      </c>
      <c r="B74" s="103" t="s">
        <v>32</v>
      </c>
      <c r="C74" s="103"/>
      <c r="D74" s="58"/>
      <c r="E74" s="75"/>
      <c r="F74" s="104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03" t="s">
        <v>30</v>
      </c>
      <c r="B75" s="103" t="s">
        <v>32</v>
      </c>
      <c r="C75" s="103"/>
      <c r="D75" s="58"/>
      <c r="E75" s="75"/>
      <c r="F75" s="104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10" t="s">
        <v>30</v>
      </c>
      <c r="B76" s="110" t="s">
        <v>32</v>
      </c>
      <c r="C76" s="110" t="s">
        <v>89</v>
      </c>
      <c r="D76" s="99" t="s">
        <v>49</v>
      </c>
      <c r="E76" s="84"/>
      <c r="F76" s="110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9"/>
      <c r="B77" s="119"/>
      <c r="C77" s="119"/>
      <c r="D77" s="1"/>
      <c r="E77" s="119"/>
      <c r="F77" s="11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1"/>
      <c r="V77" s="121"/>
      <c r="W77" s="121"/>
    </row>
    <row r="78" ht="12.75" customHeight="1">
      <c r="A78" s="119"/>
      <c r="B78" s="119"/>
      <c r="C78" s="119"/>
      <c r="D78" s="1"/>
      <c r="E78" s="119"/>
      <c r="F78" s="11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1"/>
      <c r="V78" s="121"/>
      <c r="W78" s="121"/>
    </row>
    <row r="79" ht="12.75" customHeight="1">
      <c r="A79" s="119"/>
      <c r="B79" s="119"/>
      <c r="C79" s="119"/>
      <c r="D79" s="1"/>
      <c r="E79" s="119"/>
      <c r="F79" s="11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1"/>
      <c r="V79" s="121"/>
      <c r="W79" s="121"/>
    </row>
    <row r="80" ht="12.75" customHeight="1">
      <c r="A80" s="119"/>
      <c r="B80" s="119"/>
      <c r="C80" s="119"/>
      <c r="D80" s="1"/>
      <c r="E80" s="119"/>
      <c r="F80" s="11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1"/>
      <c r="V80" s="121"/>
      <c r="W80" s="121"/>
    </row>
    <row r="81" ht="12.75" customHeight="1">
      <c r="A81" s="119"/>
      <c r="B81" s="119"/>
      <c r="C81" s="119"/>
      <c r="D81" s="1"/>
      <c r="E81" s="119"/>
      <c r="F81" s="11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1"/>
      <c r="V81" s="121"/>
      <c r="W81" s="121"/>
    </row>
    <row r="82" ht="12.75" customHeight="1">
      <c r="A82" s="119"/>
      <c r="B82" s="119"/>
      <c r="C82" s="119"/>
      <c r="D82" s="1"/>
      <c r="E82" s="119"/>
      <c r="F82" s="11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1"/>
      <c r="V82" s="121"/>
      <c r="W82" s="121"/>
    </row>
    <row r="83" ht="12.75" customHeight="1">
      <c r="A83" s="119"/>
      <c r="B83" s="119"/>
      <c r="C83" s="119"/>
      <c r="D83" s="1"/>
      <c r="E83" s="119"/>
      <c r="F83" s="11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1"/>
      <c r="V83" s="121"/>
      <c r="W83" s="121"/>
    </row>
    <row r="84" ht="12.75" customHeight="1">
      <c r="A84" s="119"/>
      <c r="B84" s="119"/>
      <c r="C84" s="119"/>
      <c r="D84" s="1"/>
      <c r="E84" s="119"/>
      <c r="F84" s="11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1"/>
      <c r="V84" s="121"/>
      <c r="W84" s="121"/>
    </row>
    <row r="85" ht="12.75" customHeight="1">
      <c r="A85" s="119"/>
      <c r="B85" s="119"/>
      <c r="C85" s="119"/>
      <c r="D85" s="1"/>
      <c r="E85" s="119"/>
      <c r="F85" s="11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1"/>
      <c r="V85" s="121"/>
      <c r="W85" s="121"/>
    </row>
    <row r="86" ht="12.75" customHeight="1">
      <c r="A86" s="119"/>
      <c r="B86" s="119"/>
      <c r="C86" s="119"/>
      <c r="D86" s="1"/>
      <c r="E86" s="119"/>
      <c r="F86" s="11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1"/>
      <c r="V86" s="121"/>
      <c r="W86" s="121"/>
    </row>
    <row r="87" ht="12.75" customHeight="1">
      <c r="A87" s="119"/>
      <c r="B87" s="119"/>
      <c r="C87" s="119"/>
      <c r="D87" s="1"/>
      <c r="E87" s="119"/>
      <c r="F87" s="11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1"/>
      <c r="V87" s="121"/>
      <c r="W87" s="121"/>
    </row>
    <row r="88" ht="12.75" customHeight="1">
      <c r="A88" s="119"/>
      <c r="B88" s="119"/>
      <c r="C88" s="119"/>
      <c r="D88" s="1"/>
      <c r="E88" s="119"/>
      <c r="F88" s="11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1"/>
      <c r="V88" s="121"/>
      <c r="W88" s="121"/>
    </row>
    <row r="89" ht="12.75" customHeight="1">
      <c r="A89" s="119"/>
      <c r="B89" s="119"/>
      <c r="C89" s="119"/>
      <c r="D89" s="1"/>
      <c r="E89" s="119"/>
      <c r="F89" s="11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1"/>
      <c r="V89" s="121"/>
      <c r="W89" s="121"/>
    </row>
    <row r="90" ht="12.75" customHeight="1">
      <c r="A90" s="119"/>
      <c r="B90" s="119"/>
      <c r="C90" s="119"/>
      <c r="D90" s="1"/>
      <c r="E90" s="119"/>
      <c r="F90" s="11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1"/>
      <c r="V90" s="121"/>
      <c r="W90" s="121"/>
    </row>
    <row r="91" ht="12.75" customHeight="1">
      <c r="A91" s="119"/>
      <c r="B91" s="119"/>
      <c r="C91" s="119"/>
      <c r="D91" s="1"/>
      <c r="E91" s="119"/>
      <c r="F91" s="11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1"/>
      <c r="V91" s="121"/>
      <c r="W91" s="121"/>
    </row>
    <row r="92" ht="12.75" customHeight="1">
      <c r="A92" s="119"/>
      <c r="B92" s="119"/>
      <c r="C92" s="119"/>
      <c r="D92" s="1"/>
      <c r="E92" s="119"/>
      <c r="F92" s="11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1"/>
      <c r="V92" s="121"/>
      <c r="W92" s="121"/>
    </row>
    <row r="93" ht="12.75" customHeight="1">
      <c r="A93" s="119"/>
      <c r="B93" s="119"/>
      <c r="C93" s="119"/>
      <c r="D93" s="1"/>
      <c r="E93" s="119"/>
      <c r="F93" s="11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1"/>
      <c r="V93" s="121"/>
      <c r="W93" s="121"/>
    </row>
    <row r="94" ht="12.75" customHeight="1">
      <c r="A94" s="119"/>
      <c r="B94" s="119"/>
      <c r="C94" s="119"/>
      <c r="D94" s="1"/>
      <c r="E94" s="119"/>
      <c r="F94" s="11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1"/>
      <c r="V94" s="121"/>
      <c r="W94" s="121"/>
    </row>
    <row r="95" ht="12.75" customHeight="1">
      <c r="A95" s="119"/>
      <c r="B95" s="119"/>
      <c r="C95" s="119"/>
      <c r="D95" s="1"/>
      <c r="E95" s="119"/>
      <c r="F95" s="11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1"/>
      <c r="V95" s="121"/>
      <c r="W95" s="121"/>
    </row>
    <row r="96" ht="12.75" customHeight="1">
      <c r="A96" s="119"/>
      <c r="B96" s="119"/>
      <c r="C96" s="119"/>
      <c r="D96" s="1"/>
      <c r="E96" s="119"/>
      <c r="F96" s="11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1"/>
      <c r="V96" s="121"/>
      <c r="W96" s="121"/>
    </row>
    <row r="97" ht="12.75" customHeight="1">
      <c r="A97" s="119"/>
      <c r="B97" s="119"/>
      <c r="C97" s="119"/>
      <c r="D97" s="1"/>
      <c r="E97" s="119"/>
      <c r="F97" s="11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1"/>
      <c r="V97" s="121"/>
      <c r="W97" s="121"/>
    </row>
    <row r="98" ht="12.75" customHeight="1">
      <c r="A98" s="119"/>
      <c r="B98" s="119"/>
      <c r="C98" s="119"/>
      <c r="D98" s="1"/>
      <c r="E98" s="119"/>
      <c r="F98" s="11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1"/>
      <c r="V98" s="121"/>
      <c r="W98" s="121"/>
    </row>
    <row r="99" ht="12.75" customHeight="1">
      <c r="A99" s="119"/>
      <c r="B99" s="119"/>
      <c r="C99" s="119"/>
      <c r="D99" s="1"/>
      <c r="E99" s="119"/>
      <c r="F99" s="11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1"/>
      <c r="V99" s="121"/>
      <c r="W99" s="121"/>
    </row>
    <row r="100" ht="12.75" customHeight="1">
      <c r="A100" s="119"/>
      <c r="B100" s="119"/>
      <c r="C100" s="119"/>
      <c r="D100" s="1"/>
      <c r="E100" s="119"/>
      <c r="F100" s="11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1"/>
      <c r="V100" s="121"/>
      <c r="W100" s="121"/>
    </row>
    <row r="101" ht="12.75" customHeight="1">
      <c r="A101" s="119"/>
      <c r="B101" s="119"/>
      <c r="C101" s="119"/>
      <c r="D101" s="1"/>
      <c r="E101" s="119"/>
      <c r="F101" s="11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1"/>
      <c r="V101" s="121"/>
      <c r="W101" s="121"/>
    </row>
    <row r="102" ht="12.75" customHeight="1">
      <c r="A102" s="119"/>
      <c r="B102" s="119"/>
      <c r="C102" s="119"/>
      <c r="D102" s="1"/>
      <c r="E102" s="119"/>
      <c r="F102" s="11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1"/>
      <c r="V102" s="121"/>
      <c r="W102" s="121"/>
    </row>
    <row r="103" ht="12.75" customHeight="1">
      <c r="A103" s="119"/>
      <c r="B103" s="119"/>
      <c r="C103" s="119"/>
      <c r="D103" s="1"/>
      <c r="E103" s="119"/>
      <c r="F103" s="11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1"/>
      <c r="V103" s="121"/>
      <c r="W103" s="121"/>
    </row>
    <row r="104" ht="12.75" customHeight="1">
      <c r="A104" s="119"/>
      <c r="B104" s="119"/>
      <c r="C104" s="119"/>
      <c r="D104" s="1"/>
      <c r="E104" s="119"/>
      <c r="F104" s="11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1"/>
      <c r="V104" s="121"/>
      <c r="W104" s="121"/>
    </row>
    <row r="105" ht="12.75" customHeight="1">
      <c r="A105" s="119"/>
      <c r="B105" s="119"/>
      <c r="C105" s="119"/>
      <c r="D105" s="1"/>
      <c r="E105" s="119"/>
      <c r="F105" s="11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1"/>
      <c r="V105" s="121"/>
      <c r="W105" s="121"/>
    </row>
    <row r="106" ht="12.75" customHeight="1">
      <c r="A106" s="119"/>
      <c r="B106" s="119"/>
      <c r="C106" s="119"/>
      <c r="D106" s="1"/>
      <c r="E106" s="119"/>
      <c r="F106" s="11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1"/>
      <c r="V106" s="121"/>
      <c r="W106" s="121"/>
    </row>
    <row r="107" ht="12.75" customHeight="1">
      <c r="A107" s="119"/>
      <c r="B107" s="119"/>
      <c r="C107" s="119"/>
      <c r="D107" s="1"/>
      <c r="E107" s="119"/>
      <c r="F107" s="11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1"/>
      <c r="V107" s="121"/>
      <c r="W107" s="121"/>
    </row>
    <row r="108" ht="12.75" customHeight="1">
      <c r="A108" s="119"/>
      <c r="B108" s="119"/>
      <c r="C108" s="119"/>
      <c r="D108" s="1"/>
      <c r="E108" s="119"/>
      <c r="F108" s="11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1"/>
      <c r="V108" s="121"/>
      <c r="W108" s="121"/>
    </row>
    <row r="109" ht="12.75" customHeight="1">
      <c r="A109" s="119"/>
      <c r="B109" s="119"/>
      <c r="C109" s="119"/>
      <c r="D109" s="1"/>
      <c r="E109" s="119"/>
      <c r="F109" s="11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1"/>
      <c r="V109" s="121"/>
      <c r="W109" s="121"/>
    </row>
    <row r="110" ht="12.75" customHeight="1">
      <c r="A110" s="119"/>
      <c r="B110" s="119"/>
      <c r="C110" s="119"/>
      <c r="D110" s="1"/>
      <c r="E110" s="119"/>
      <c r="F110" s="11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1"/>
      <c r="V110" s="121"/>
      <c r="W110" s="121"/>
    </row>
    <row r="111" ht="12.75" customHeight="1">
      <c r="A111" s="119"/>
      <c r="B111" s="119"/>
      <c r="C111" s="119"/>
      <c r="D111" s="1"/>
      <c r="E111" s="119"/>
      <c r="F111" s="11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1"/>
      <c r="V111" s="121"/>
      <c r="W111" s="121"/>
    </row>
    <row r="112" ht="12.75" customHeight="1">
      <c r="A112" s="119"/>
      <c r="B112" s="119"/>
      <c r="C112" s="119"/>
      <c r="D112" s="1"/>
      <c r="E112" s="119"/>
      <c r="F112" s="11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1"/>
      <c r="V112" s="121"/>
      <c r="W112" s="121"/>
    </row>
    <row r="113" ht="12.75" customHeight="1">
      <c r="A113" s="119"/>
      <c r="B113" s="119"/>
      <c r="C113" s="119"/>
      <c r="D113" s="1"/>
      <c r="E113" s="119"/>
      <c r="F113" s="11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1"/>
      <c r="V113" s="121"/>
      <c r="W113" s="121"/>
    </row>
    <row r="114" ht="12.75" customHeight="1">
      <c r="A114" s="119"/>
      <c r="B114" s="119"/>
      <c r="C114" s="119"/>
      <c r="D114" s="1"/>
      <c r="E114" s="119"/>
      <c r="F114" s="11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1"/>
      <c r="V114" s="121"/>
      <c r="W114" s="121"/>
    </row>
    <row r="115" ht="12.75" customHeight="1">
      <c r="A115" s="119"/>
      <c r="B115" s="119"/>
      <c r="C115" s="119"/>
      <c r="D115" s="1"/>
      <c r="E115" s="119"/>
      <c r="F115" s="11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1"/>
      <c r="V115" s="121"/>
      <c r="W115" s="121"/>
    </row>
    <row r="116" ht="12.75" customHeight="1">
      <c r="A116" s="119"/>
      <c r="B116" s="119"/>
      <c r="C116" s="119"/>
      <c r="D116" s="1"/>
      <c r="E116" s="119"/>
      <c r="F116" s="11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1"/>
      <c r="V116" s="121"/>
      <c r="W116" s="121"/>
    </row>
    <row r="117" ht="12.75" customHeight="1">
      <c r="A117" s="119"/>
      <c r="B117" s="119"/>
      <c r="C117" s="119"/>
      <c r="D117" s="1"/>
      <c r="E117" s="119"/>
      <c r="F117" s="11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1"/>
      <c r="V117" s="121"/>
      <c r="W117" s="121"/>
    </row>
    <row r="118" ht="12.75" customHeight="1">
      <c r="A118" s="119"/>
      <c r="B118" s="119"/>
      <c r="C118" s="119"/>
      <c r="D118" s="1"/>
      <c r="E118" s="119"/>
      <c r="F118" s="11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1"/>
      <c r="V118" s="121"/>
      <c r="W118" s="121"/>
    </row>
    <row r="119" ht="12.75" customHeight="1">
      <c r="A119" s="119"/>
      <c r="B119" s="119"/>
      <c r="C119" s="119"/>
      <c r="D119" s="1"/>
      <c r="E119" s="119"/>
      <c r="F119" s="11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1"/>
      <c r="V119" s="121"/>
      <c r="W119" s="121"/>
    </row>
    <row r="120" ht="12.75" customHeight="1">
      <c r="A120" s="119"/>
      <c r="B120" s="119"/>
      <c r="C120" s="119"/>
      <c r="D120" s="1"/>
      <c r="E120" s="119"/>
      <c r="F120" s="1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1"/>
      <c r="V120" s="121"/>
      <c r="W120" s="121"/>
    </row>
    <row r="121" ht="12.75" customHeight="1">
      <c r="A121" s="119"/>
      <c r="B121" s="119"/>
      <c r="C121" s="119"/>
      <c r="D121" s="1"/>
      <c r="E121" s="119"/>
      <c r="F121" s="1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1"/>
      <c r="V121" s="121"/>
      <c r="W121" s="121"/>
    </row>
    <row r="122" ht="12.75" customHeight="1">
      <c r="A122" s="119"/>
      <c r="B122" s="119"/>
      <c r="C122" s="119"/>
      <c r="D122" s="1"/>
      <c r="E122" s="119"/>
      <c r="F122" s="1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1"/>
      <c r="V122" s="121"/>
      <c r="W122" s="121"/>
    </row>
    <row r="123" ht="12.75" customHeight="1">
      <c r="A123" s="119"/>
      <c r="B123" s="119"/>
      <c r="C123" s="119"/>
      <c r="D123" s="1"/>
      <c r="E123" s="119"/>
      <c r="F123" s="1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1"/>
      <c r="V123" s="121"/>
      <c r="W123" s="121"/>
    </row>
    <row r="124" ht="12.75" customHeight="1">
      <c r="A124" s="119"/>
      <c r="B124" s="119"/>
      <c r="C124" s="119"/>
      <c r="D124" s="1"/>
      <c r="E124" s="119"/>
      <c r="F124" s="1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1"/>
      <c r="V124" s="121"/>
      <c r="W124" s="121"/>
    </row>
    <row r="125" ht="12.75" customHeight="1">
      <c r="A125" s="119"/>
      <c r="B125" s="119"/>
      <c r="C125" s="119"/>
      <c r="D125" s="1"/>
      <c r="E125" s="119"/>
      <c r="F125" s="1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1"/>
      <c r="V125" s="121"/>
      <c r="W125" s="121"/>
    </row>
    <row r="126" ht="12.75" customHeight="1">
      <c r="A126" s="119"/>
      <c r="B126" s="119"/>
      <c r="C126" s="119"/>
      <c r="D126" s="1"/>
      <c r="E126" s="119"/>
      <c r="F126" s="1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1"/>
      <c r="V126" s="121"/>
      <c r="W126" s="121"/>
    </row>
    <row r="127" ht="12.75" customHeight="1">
      <c r="A127" s="119"/>
      <c r="B127" s="119"/>
      <c r="C127" s="119"/>
      <c r="D127" s="1"/>
      <c r="E127" s="119"/>
      <c r="F127" s="1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1"/>
      <c r="V127" s="121"/>
      <c r="W127" s="121"/>
    </row>
    <row r="128" ht="12.75" customHeight="1">
      <c r="A128" s="119"/>
      <c r="B128" s="119"/>
      <c r="C128" s="119"/>
      <c r="D128" s="1"/>
      <c r="E128" s="119"/>
      <c r="F128" s="1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1"/>
      <c r="V128" s="121"/>
      <c r="W128" s="121"/>
    </row>
    <row r="129" ht="12.75" customHeight="1">
      <c r="A129" s="119"/>
      <c r="B129" s="119"/>
      <c r="C129" s="119"/>
      <c r="D129" s="1"/>
      <c r="E129" s="119"/>
      <c r="F129" s="1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1"/>
      <c r="V129" s="121"/>
      <c r="W129" s="121"/>
    </row>
    <row r="130" ht="12.75" customHeight="1">
      <c r="A130" s="119"/>
      <c r="B130" s="119"/>
      <c r="C130" s="119"/>
      <c r="D130" s="1"/>
      <c r="E130" s="119"/>
      <c r="F130" s="1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1"/>
      <c r="V130" s="121"/>
      <c r="W130" s="121"/>
    </row>
    <row r="131" ht="12.75" customHeight="1">
      <c r="A131" s="119"/>
      <c r="B131" s="119"/>
      <c r="C131" s="119"/>
      <c r="D131" s="1"/>
      <c r="E131" s="119"/>
      <c r="F131" s="1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1"/>
      <c r="V131" s="121"/>
      <c r="W131" s="121"/>
    </row>
    <row r="132" ht="12.75" customHeight="1">
      <c r="A132" s="119"/>
      <c r="B132" s="119"/>
      <c r="C132" s="119"/>
      <c r="D132" s="1"/>
      <c r="E132" s="119"/>
      <c r="F132" s="11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1"/>
      <c r="V132" s="121"/>
      <c r="W132" s="121"/>
    </row>
    <row r="133" ht="12.75" customHeight="1">
      <c r="A133" s="119"/>
      <c r="B133" s="119"/>
      <c r="C133" s="119"/>
      <c r="D133" s="1"/>
      <c r="E133" s="119"/>
      <c r="F133" s="11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1"/>
      <c r="V133" s="121"/>
      <c r="W133" s="121"/>
    </row>
    <row r="134" ht="12.75" customHeight="1">
      <c r="A134" s="119"/>
      <c r="B134" s="119"/>
      <c r="C134" s="119"/>
      <c r="D134" s="1"/>
      <c r="E134" s="119"/>
      <c r="F134" s="11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1"/>
      <c r="V134" s="121"/>
      <c r="W134" s="121"/>
    </row>
    <row r="135" ht="12.75" customHeight="1">
      <c r="A135" s="119"/>
      <c r="B135" s="119"/>
      <c r="C135" s="119"/>
      <c r="D135" s="1"/>
      <c r="E135" s="119"/>
      <c r="F135" s="11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1"/>
      <c r="V135" s="121"/>
      <c r="W135" s="121"/>
    </row>
    <row r="136" ht="12.75" customHeight="1">
      <c r="A136" s="119"/>
      <c r="B136" s="119"/>
      <c r="C136" s="119"/>
      <c r="D136" s="1"/>
      <c r="E136" s="119"/>
      <c r="F136" s="11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1"/>
      <c r="V136" s="121"/>
      <c r="W136" s="121"/>
    </row>
    <row r="137" ht="12.75" customHeight="1">
      <c r="A137" s="119"/>
      <c r="B137" s="119"/>
      <c r="C137" s="119"/>
      <c r="D137" s="1"/>
      <c r="E137" s="119"/>
      <c r="F137" s="11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1"/>
      <c r="V137" s="121"/>
      <c r="W137" s="121"/>
    </row>
    <row r="138" ht="12.75" customHeight="1">
      <c r="A138" s="119"/>
      <c r="B138" s="119"/>
      <c r="C138" s="119"/>
      <c r="D138" s="1"/>
      <c r="E138" s="119"/>
      <c r="F138" s="11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1"/>
      <c r="V138" s="121"/>
      <c r="W138" s="121"/>
    </row>
    <row r="139" ht="12.75" customHeight="1">
      <c r="A139" s="119"/>
      <c r="B139" s="119"/>
      <c r="C139" s="119"/>
      <c r="D139" s="1"/>
      <c r="E139" s="119"/>
      <c r="F139" s="11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1"/>
      <c r="V139" s="121"/>
      <c r="W139" s="121"/>
    </row>
    <row r="140" ht="12.75" customHeight="1">
      <c r="A140" s="119"/>
      <c r="B140" s="119"/>
      <c r="C140" s="119"/>
      <c r="D140" s="1"/>
      <c r="E140" s="119"/>
      <c r="F140" s="11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1"/>
      <c r="V140" s="121"/>
      <c r="W140" s="121"/>
    </row>
    <row r="141" ht="12.75" customHeight="1">
      <c r="A141" s="119"/>
      <c r="B141" s="119"/>
      <c r="C141" s="119"/>
      <c r="D141" s="1"/>
      <c r="E141" s="119"/>
      <c r="F141" s="11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1"/>
      <c r="V141" s="121"/>
      <c r="W141" s="121"/>
    </row>
    <row r="142" ht="12.75" customHeight="1">
      <c r="A142" s="119"/>
      <c r="B142" s="119"/>
      <c r="C142" s="119"/>
      <c r="D142" s="1"/>
      <c r="E142" s="119"/>
      <c r="F142" s="11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V142" s="121"/>
      <c r="W142" s="121"/>
    </row>
    <row r="143" ht="12.75" customHeight="1">
      <c r="A143" s="119"/>
      <c r="B143" s="119"/>
      <c r="C143" s="119"/>
      <c r="D143" s="1"/>
      <c r="E143" s="119"/>
      <c r="F143" s="11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1"/>
      <c r="V143" s="121"/>
      <c r="W143" s="121"/>
    </row>
    <row r="144" ht="12.75" customHeight="1">
      <c r="A144" s="119"/>
      <c r="B144" s="119"/>
      <c r="C144" s="119"/>
      <c r="D144" s="1"/>
      <c r="E144" s="119"/>
      <c r="F144" s="11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1"/>
      <c r="V144" s="121"/>
      <c r="W144" s="121"/>
    </row>
    <row r="145" ht="12.75" customHeight="1">
      <c r="A145" s="119"/>
      <c r="B145" s="119"/>
      <c r="C145" s="119"/>
      <c r="D145" s="1"/>
      <c r="E145" s="119"/>
      <c r="F145" s="11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1"/>
      <c r="V145" s="121"/>
      <c r="W145" s="121"/>
    </row>
    <row r="146" ht="12.75" customHeight="1">
      <c r="A146" s="119"/>
      <c r="B146" s="119"/>
      <c r="C146" s="119"/>
      <c r="D146" s="1"/>
      <c r="E146" s="119"/>
      <c r="F146" s="11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1"/>
      <c r="V146" s="121"/>
      <c r="W146" s="121"/>
    </row>
    <row r="147" ht="12.75" customHeight="1">
      <c r="A147" s="119"/>
      <c r="B147" s="119"/>
      <c r="C147" s="119"/>
      <c r="D147" s="1"/>
      <c r="E147" s="119"/>
      <c r="F147" s="11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1"/>
      <c r="V147" s="121"/>
      <c r="W147" s="121"/>
    </row>
    <row r="148" ht="12.75" customHeight="1">
      <c r="A148" s="119"/>
      <c r="B148" s="119"/>
      <c r="C148" s="119"/>
      <c r="D148" s="1"/>
      <c r="E148" s="119"/>
      <c r="F148" s="11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1"/>
      <c r="V148" s="121"/>
      <c r="W148" s="121"/>
    </row>
    <row r="149" ht="12.75" customHeight="1">
      <c r="A149" s="119"/>
      <c r="B149" s="119"/>
      <c r="C149" s="119"/>
      <c r="D149" s="1"/>
      <c r="E149" s="119"/>
      <c r="F149" s="11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1"/>
      <c r="V149" s="121"/>
      <c r="W149" s="121"/>
    </row>
    <row r="150" ht="12.75" customHeight="1">
      <c r="A150" s="119"/>
      <c r="B150" s="119"/>
      <c r="C150" s="119"/>
      <c r="D150" s="1"/>
      <c r="E150" s="119"/>
      <c r="F150" s="11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1"/>
      <c r="V150" s="121"/>
      <c r="W150" s="121"/>
    </row>
    <row r="151" ht="12.75" customHeight="1">
      <c r="A151" s="119"/>
      <c r="B151" s="119"/>
      <c r="C151" s="119"/>
      <c r="D151" s="1"/>
      <c r="E151" s="119"/>
      <c r="F151" s="11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1"/>
      <c r="V151" s="121"/>
      <c r="W151" s="121"/>
    </row>
    <row r="152" ht="12.75" customHeight="1">
      <c r="A152" s="119"/>
      <c r="B152" s="119"/>
      <c r="C152" s="119"/>
      <c r="D152" s="1"/>
      <c r="E152" s="119"/>
      <c r="F152" s="11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1"/>
      <c r="V152" s="121"/>
      <c r="W152" s="121"/>
    </row>
    <row r="153" ht="12.75" customHeight="1">
      <c r="A153" s="119"/>
      <c r="B153" s="119"/>
      <c r="C153" s="119"/>
      <c r="D153" s="1"/>
      <c r="E153" s="119"/>
      <c r="F153" s="11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1"/>
      <c r="V153" s="121"/>
      <c r="W153" s="121"/>
    </row>
    <row r="154" ht="12.75" customHeight="1">
      <c r="A154" s="119"/>
      <c r="B154" s="119"/>
      <c r="C154" s="119"/>
      <c r="D154" s="1"/>
      <c r="E154" s="119"/>
      <c r="F154" s="11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1"/>
      <c r="V154" s="121"/>
      <c r="W154" s="121"/>
    </row>
    <row r="155" ht="12.75" customHeight="1">
      <c r="A155" s="119"/>
      <c r="B155" s="119"/>
      <c r="C155" s="119"/>
      <c r="D155" s="1"/>
      <c r="E155" s="119"/>
      <c r="F155" s="11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1"/>
      <c r="V155" s="121"/>
      <c r="W155" s="121"/>
    </row>
    <row r="156" ht="12.75" customHeight="1">
      <c r="A156" s="119"/>
      <c r="B156" s="119"/>
      <c r="C156" s="119"/>
      <c r="D156" s="1"/>
      <c r="E156" s="119"/>
      <c r="F156" s="11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1"/>
      <c r="V156" s="121"/>
      <c r="W156" s="121"/>
    </row>
    <row r="157" ht="12.75" customHeight="1">
      <c r="A157" s="119"/>
      <c r="B157" s="119"/>
      <c r="C157" s="119"/>
      <c r="D157" s="1"/>
      <c r="E157" s="119"/>
      <c r="F157" s="11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1"/>
      <c r="V157" s="121"/>
      <c r="W157" s="121"/>
    </row>
    <row r="158" ht="12.75" customHeight="1">
      <c r="A158" s="119"/>
      <c r="B158" s="119"/>
      <c r="C158" s="119"/>
      <c r="D158" s="1"/>
      <c r="E158" s="119"/>
      <c r="F158" s="11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1"/>
      <c r="V158" s="121"/>
      <c r="W158" s="121"/>
    </row>
    <row r="159" ht="12.75" customHeight="1">
      <c r="A159" s="119"/>
      <c r="B159" s="119"/>
      <c r="C159" s="119"/>
      <c r="D159" s="1"/>
      <c r="E159" s="119"/>
      <c r="F159" s="11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1"/>
      <c r="V159" s="121"/>
      <c r="W159" s="121"/>
    </row>
    <row r="160" ht="12.75" customHeight="1">
      <c r="A160" s="119"/>
      <c r="B160" s="119"/>
      <c r="C160" s="119"/>
      <c r="D160" s="1"/>
      <c r="E160" s="119"/>
      <c r="F160" s="11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1"/>
      <c r="V160" s="121"/>
      <c r="W160" s="121"/>
    </row>
    <row r="161" ht="12.75" customHeight="1">
      <c r="A161" s="119"/>
      <c r="B161" s="119"/>
      <c r="C161" s="119"/>
      <c r="D161" s="1"/>
      <c r="E161" s="119"/>
      <c r="F161" s="11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1"/>
      <c r="V161" s="121"/>
      <c r="W161" s="121"/>
    </row>
    <row r="162" ht="12.75" customHeight="1">
      <c r="A162" s="119"/>
      <c r="B162" s="119"/>
      <c r="C162" s="119"/>
      <c r="D162" s="1"/>
      <c r="E162" s="119"/>
      <c r="F162" s="11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1"/>
      <c r="V162" s="121"/>
      <c r="W162" s="121"/>
    </row>
    <row r="163" ht="12.75" customHeight="1">
      <c r="A163" s="119"/>
      <c r="B163" s="119"/>
      <c r="C163" s="119"/>
      <c r="D163" s="1"/>
      <c r="E163" s="119"/>
      <c r="F163" s="11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1"/>
      <c r="V163" s="121"/>
      <c r="W163" s="121"/>
    </row>
    <row r="164" ht="12.75" customHeight="1">
      <c r="A164" s="119"/>
      <c r="B164" s="119"/>
      <c r="C164" s="119"/>
      <c r="D164" s="1"/>
      <c r="E164" s="119"/>
      <c r="F164" s="11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1"/>
      <c r="V164" s="121"/>
      <c r="W164" s="121"/>
    </row>
    <row r="165" ht="12.75" customHeight="1">
      <c r="A165" s="119"/>
      <c r="B165" s="119"/>
      <c r="C165" s="119"/>
      <c r="D165" s="1"/>
      <c r="E165" s="119"/>
      <c r="F165" s="11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1"/>
      <c r="V165" s="121"/>
      <c r="W165" s="121"/>
    </row>
    <row r="166" ht="12.75" customHeight="1">
      <c r="A166" s="119"/>
      <c r="B166" s="119"/>
      <c r="C166" s="119"/>
      <c r="D166" s="1"/>
      <c r="E166" s="119"/>
      <c r="F166" s="11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1"/>
      <c r="V166" s="121"/>
      <c r="W166" s="121"/>
    </row>
    <row r="167" ht="12.75" customHeight="1">
      <c r="A167" s="119"/>
      <c r="B167" s="119"/>
      <c r="C167" s="119"/>
      <c r="D167" s="1"/>
      <c r="E167" s="119"/>
      <c r="F167" s="11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1"/>
      <c r="V167" s="121"/>
      <c r="W167" s="121"/>
    </row>
    <row r="168" ht="12.75" customHeight="1">
      <c r="A168" s="119"/>
      <c r="B168" s="119"/>
      <c r="C168" s="119"/>
      <c r="D168" s="1"/>
      <c r="E168" s="119"/>
      <c r="F168" s="11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1"/>
      <c r="V168" s="121"/>
      <c r="W168" s="121"/>
    </row>
    <row r="169" ht="12.75" customHeight="1">
      <c r="A169" s="119"/>
      <c r="B169" s="119"/>
      <c r="C169" s="119"/>
      <c r="D169" s="1"/>
      <c r="E169" s="119"/>
      <c r="F169" s="11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1"/>
      <c r="V169" s="121"/>
      <c r="W169" s="121"/>
    </row>
    <row r="170" ht="12.75" customHeight="1">
      <c r="A170" s="119"/>
      <c r="B170" s="119"/>
      <c r="C170" s="119"/>
      <c r="D170" s="1"/>
      <c r="E170" s="119"/>
      <c r="F170" s="11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1"/>
      <c r="V170" s="121"/>
      <c r="W170" s="121"/>
    </row>
    <row r="171" ht="12.75" customHeight="1">
      <c r="A171" s="119"/>
      <c r="B171" s="119"/>
      <c r="C171" s="119"/>
      <c r="D171" s="1"/>
      <c r="E171" s="119"/>
      <c r="F171" s="11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1"/>
      <c r="V171" s="121"/>
      <c r="W171" s="121"/>
    </row>
    <row r="172" ht="12.75" customHeight="1">
      <c r="A172" s="119"/>
      <c r="B172" s="119"/>
      <c r="C172" s="119"/>
      <c r="D172" s="1"/>
      <c r="E172" s="119"/>
      <c r="F172" s="11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1"/>
      <c r="V172" s="121"/>
      <c r="W172" s="121"/>
    </row>
    <row r="173" ht="12.75" customHeight="1">
      <c r="A173" s="119"/>
      <c r="B173" s="119"/>
      <c r="C173" s="119"/>
      <c r="D173" s="1"/>
      <c r="E173" s="119"/>
      <c r="F173" s="11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1"/>
      <c r="V173" s="121"/>
      <c r="W173" s="121"/>
    </row>
    <row r="174" ht="12.75" customHeight="1">
      <c r="A174" s="119"/>
      <c r="B174" s="119"/>
      <c r="C174" s="119"/>
      <c r="D174" s="1"/>
      <c r="E174" s="119"/>
      <c r="F174" s="11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1"/>
      <c r="V174" s="121"/>
      <c r="W174" s="121"/>
    </row>
    <row r="175" ht="12.75" customHeight="1">
      <c r="A175" s="119"/>
      <c r="B175" s="119"/>
      <c r="C175" s="119"/>
      <c r="D175" s="1"/>
      <c r="E175" s="119"/>
      <c r="F175" s="11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1"/>
      <c r="V175" s="121"/>
      <c r="W175" s="121"/>
    </row>
    <row r="176" ht="12.75" customHeight="1">
      <c r="A176" s="119"/>
      <c r="B176" s="119"/>
      <c r="C176" s="119"/>
      <c r="D176" s="1"/>
      <c r="E176" s="119"/>
      <c r="F176" s="11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1"/>
      <c r="V176" s="121"/>
      <c r="W176" s="121"/>
    </row>
    <row r="177" ht="12.75" customHeight="1">
      <c r="A177" s="119"/>
      <c r="B177" s="119"/>
      <c r="C177" s="119"/>
      <c r="D177" s="1"/>
      <c r="E177" s="119"/>
      <c r="F177" s="11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1"/>
      <c r="V177" s="121"/>
      <c r="W177" s="121"/>
    </row>
    <row r="178" ht="12.75" customHeight="1">
      <c r="A178" s="119"/>
      <c r="B178" s="119"/>
      <c r="C178" s="119"/>
      <c r="D178" s="1"/>
      <c r="E178" s="119"/>
      <c r="F178" s="11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1"/>
      <c r="V178" s="121"/>
      <c r="W178" s="121"/>
    </row>
    <row r="179" ht="12.75" customHeight="1">
      <c r="A179" s="119"/>
      <c r="B179" s="119"/>
      <c r="C179" s="119"/>
      <c r="D179" s="1"/>
      <c r="E179" s="119"/>
      <c r="F179" s="11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1"/>
      <c r="V179" s="121"/>
      <c r="W179" s="121"/>
    </row>
    <row r="180" ht="12.75" customHeight="1">
      <c r="A180" s="119"/>
      <c r="B180" s="119"/>
      <c r="C180" s="119"/>
      <c r="D180" s="1"/>
      <c r="E180" s="119"/>
      <c r="F180" s="11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1"/>
      <c r="V180" s="121"/>
      <c r="W180" s="121"/>
    </row>
    <row r="181" ht="12.75" customHeight="1">
      <c r="A181" s="119"/>
      <c r="B181" s="119"/>
      <c r="C181" s="119"/>
      <c r="D181" s="1"/>
      <c r="E181" s="119"/>
      <c r="F181" s="11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1"/>
      <c r="V181" s="121"/>
      <c r="W181" s="121"/>
    </row>
    <row r="182" ht="12.75" customHeight="1">
      <c r="A182" s="119"/>
      <c r="B182" s="119"/>
      <c r="C182" s="119"/>
      <c r="D182" s="1"/>
      <c r="E182" s="119"/>
      <c r="F182" s="11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1"/>
      <c r="V182" s="121"/>
      <c r="W182" s="121"/>
    </row>
    <row r="183" ht="12.75" customHeight="1">
      <c r="A183" s="119"/>
      <c r="B183" s="119"/>
      <c r="C183" s="119"/>
      <c r="D183" s="1"/>
      <c r="E183" s="119"/>
      <c r="F183" s="11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1"/>
      <c r="V183" s="121"/>
      <c r="W183" s="121"/>
    </row>
    <row r="184" ht="12.75" customHeight="1">
      <c r="A184" s="119"/>
      <c r="B184" s="119"/>
      <c r="C184" s="119"/>
      <c r="D184" s="1"/>
      <c r="E184" s="119"/>
      <c r="F184" s="11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1"/>
      <c r="V184" s="121"/>
      <c r="W184" s="121"/>
    </row>
    <row r="185" ht="12.75" customHeight="1">
      <c r="A185" s="119"/>
      <c r="B185" s="119"/>
      <c r="C185" s="119"/>
      <c r="D185" s="1"/>
      <c r="E185" s="119"/>
      <c r="F185" s="11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1"/>
      <c r="V185" s="121"/>
      <c r="W185" s="121"/>
    </row>
    <row r="186" ht="12.75" customHeight="1">
      <c r="A186" s="119"/>
      <c r="B186" s="119"/>
      <c r="C186" s="119"/>
      <c r="D186" s="1"/>
      <c r="E186" s="119"/>
      <c r="F186" s="11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1"/>
      <c r="V186" s="121"/>
      <c r="W186" s="121"/>
    </row>
    <row r="187" ht="12.75" customHeight="1">
      <c r="A187" s="119"/>
      <c r="B187" s="119"/>
      <c r="C187" s="119"/>
      <c r="D187" s="1"/>
      <c r="E187" s="119"/>
      <c r="F187" s="11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1"/>
      <c r="V187" s="121"/>
      <c r="W187" s="121"/>
    </row>
    <row r="188" ht="12.75" customHeight="1">
      <c r="A188" s="119"/>
      <c r="B188" s="119"/>
      <c r="C188" s="119"/>
      <c r="D188" s="1"/>
      <c r="E188" s="119"/>
      <c r="F188" s="11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1"/>
      <c r="V188" s="121"/>
      <c r="W188" s="121"/>
    </row>
    <row r="189" ht="12.75" customHeight="1">
      <c r="A189" s="119"/>
      <c r="B189" s="119"/>
      <c r="C189" s="119"/>
      <c r="D189" s="1"/>
      <c r="E189" s="119"/>
      <c r="F189" s="11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1"/>
      <c r="V189" s="121"/>
      <c r="W189" s="121"/>
    </row>
    <row r="190" ht="12.75" customHeight="1">
      <c r="A190" s="119"/>
      <c r="B190" s="119"/>
      <c r="C190" s="119"/>
      <c r="D190" s="1"/>
      <c r="E190" s="119"/>
      <c r="F190" s="11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1"/>
      <c r="V190" s="121"/>
      <c r="W190" s="121"/>
    </row>
    <row r="191" ht="12.75" customHeight="1">
      <c r="A191" s="119"/>
      <c r="B191" s="119"/>
      <c r="C191" s="119"/>
      <c r="D191" s="1"/>
      <c r="E191" s="119"/>
      <c r="F191" s="11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1"/>
      <c r="V191" s="121"/>
      <c r="W191" s="121"/>
    </row>
    <row r="192" ht="12.75" customHeight="1">
      <c r="A192" s="119"/>
      <c r="B192" s="119"/>
      <c r="C192" s="119"/>
      <c r="D192" s="1"/>
      <c r="E192" s="119"/>
      <c r="F192" s="11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1"/>
      <c r="V192" s="121"/>
      <c r="W192" s="121"/>
    </row>
    <row r="193" ht="12.75" customHeight="1">
      <c r="A193" s="119"/>
      <c r="B193" s="119"/>
      <c r="C193" s="119"/>
      <c r="D193" s="1"/>
      <c r="E193" s="119"/>
      <c r="F193" s="11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1"/>
      <c r="V193" s="121"/>
      <c r="W193" s="121"/>
    </row>
    <row r="194" ht="12.75" customHeight="1">
      <c r="A194" s="119"/>
      <c r="B194" s="119"/>
      <c r="C194" s="119"/>
      <c r="D194" s="1"/>
      <c r="E194" s="119"/>
      <c r="F194" s="11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1"/>
      <c r="V194" s="121"/>
      <c r="W194" s="121"/>
    </row>
    <row r="195" ht="12.75" customHeight="1">
      <c r="A195" s="119"/>
      <c r="B195" s="119"/>
      <c r="C195" s="119"/>
      <c r="D195" s="1"/>
      <c r="E195" s="119"/>
      <c r="F195" s="11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1"/>
      <c r="V195" s="121"/>
      <c r="W195" s="121"/>
    </row>
    <row r="196" ht="12.75" customHeight="1">
      <c r="A196" s="119"/>
      <c r="B196" s="119"/>
      <c r="C196" s="119"/>
      <c r="D196" s="1"/>
      <c r="E196" s="119"/>
      <c r="F196" s="11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1"/>
      <c r="V196" s="121"/>
      <c r="W196" s="121"/>
    </row>
    <row r="197" ht="12.75" customHeight="1">
      <c r="A197" s="119"/>
      <c r="B197" s="119"/>
      <c r="C197" s="119"/>
      <c r="D197" s="1"/>
      <c r="E197" s="119"/>
      <c r="F197" s="11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1"/>
      <c r="V197" s="121"/>
      <c r="W197" s="121"/>
    </row>
    <row r="198" ht="12.75" customHeight="1">
      <c r="A198" s="119"/>
      <c r="B198" s="119"/>
      <c r="C198" s="119"/>
      <c r="D198" s="1"/>
      <c r="E198" s="119"/>
      <c r="F198" s="11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1"/>
      <c r="V198" s="121"/>
      <c r="W198" s="121"/>
    </row>
    <row r="199" ht="12.75" customHeight="1">
      <c r="A199" s="119"/>
      <c r="B199" s="119"/>
      <c r="C199" s="119"/>
      <c r="D199" s="1"/>
      <c r="E199" s="119"/>
      <c r="F199" s="11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1"/>
      <c r="V199" s="121"/>
      <c r="W199" s="121"/>
    </row>
    <row r="200" ht="12.75" customHeight="1">
      <c r="A200" s="119"/>
      <c r="B200" s="119"/>
      <c r="C200" s="119"/>
      <c r="D200" s="1"/>
      <c r="E200" s="119"/>
      <c r="F200" s="11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1"/>
      <c r="V200" s="121"/>
      <c r="W200" s="121"/>
    </row>
    <row r="201" ht="12.75" customHeight="1">
      <c r="A201" s="119"/>
      <c r="B201" s="119"/>
      <c r="C201" s="119"/>
      <c r="D201" s="1"/>
      <c r="E201" s="119"/>
      <c r="F201" s="11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1"/>
      <c r="V201" s="121"/>
      <c r="W201" s="121"/>
    </row>
    <row r="202" ht="12.75" customHeight="1">
      <c r="A202" s="119"/>
      <c r="B202" s="119"/>
      <c r="C202" s="119"/>
      <c r="D202" s="1"/>
      <c r="E202" s="119"/>
      <c r="F202" s="11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1"/>
      <c r="V202" s="121"/>
      <c r="W202" s="121"/>
    </row>
    <row r="203" ht="12.75" customHeight="1">
      <c r="A203" s="119"/>
      <c r="B203" s="119"/>
      <c r="C203" s="119"/>
      <c r="D203" s="1"/>
      <c r="E203" s="119"/>
      <c r="F203" s="11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1"/>
      <c r="V203" s="121"/>
      <c r="W203" s="121"/>
    </row>
    <row r="204" ht="12.75" customHeight="1">
      <c r="A204" s="119"/>
      <c r="B204" s="119"/>
      <c r="C204" s="119"/>
      <c r="D204" s="1"/>
      <c r="E204" s="119"/>
      <c r="F204" s="11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1"/>
      <c r="V204" s="121"/>
      <c r="W204" s="121"/>
    </row>
    <row r="205" ht="12.75" customHeight="1">
      <c r="A205" s="119"/>
      <c r="B205" s="119"/>
      <c r="C205" s="119"/>
      <c r="D205" s="1"/>
      <c r="E205" s="119"/>
      <c r="F205" s="11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1"/>
      <c r="V205" s="121"/>
      <c r="W205" s="121"/>
    </row>
    <row r="206" ht="12.75" customHeight="1">
      <c r="A206" s="119"/>
      <c r="B206" s="119"/>
      <c r="C206" s="119"/>
      <c r="D206" s="1"/>
      <c r="E206" s="119"/>
      <c r="F206" s="11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1"/>
      <c r="V206" s="121"/>
      <c r="W206" s="121"/>
    </row>
    <row r="207" ht="12.75" customHeight="1">
      <c r="A207" s="119"/>
      <c r="B207" s="119"/>
      <c r="C207" s="119"/>
      <c r="D207" s="1"/>
      <c r="E207" s="119"/>
      <c r="F207" s="11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1"/>
      <c r="V207" s="121"/>
      <c r="W207" s="121"/>
    </row>
    <row r="208" ht="12.75" customHeight="1">
      <c r="A208" s="119"/>
      <c r="B208" s="119"/>
      <c r="C208" s="119"/>
      <c r="D208" s="1"/>
      <c r="E208" s="119"/>
      <c r="F208" s="11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1"/>
      <c r="V208" s="121"/>
      <c r="W208" s="121"/>
    </row>
    <row r="209" ht="12.75" customHeight="1">
      <c r="A209" s="119"/>
      <c r="B209" s="119"/>
      <c r="C209" s="119"/>
      <c r="D209" s="1"/>
      <c r="E209" s="119"/>
      <c r="F209" s="11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1"/>
      <c r="V209" s="121"/>
      <c r="W209" s="121"/>
    </row>
    <row r="210" ht="12.75" customHeight="1">
      <c r="A210" s="119"/>
      <c r="B210" s="119"/>
      <c r="C210" s="119"/>
      <c r="D210" s="1"/>
      <c r="E210" s="119"/>
      <c r="F210" s="11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1"/>
      <c r="V210" s="121"/>
      <c r="W210" s="121"/>
    </row>
    <row r="211" ht="12.75" customHeight="1">
      <c r="A211" s="119"/>
      <c r="B211" s="119"/>
      <c r="C211" s="119"/>
      <c r="D211" s="1"/>
      <c r="E211" s="119"/>
      <c r="F211" s="11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1"/>
      <c r="V211" s="121"/>
      <c r="W211" s="121"/>
    </row>
    <row r="212" ht="12.75" customHeight="1">
      <c r="A212" s="119"/>
      <c r="B212" s="119"/>
      <c r="C212" s="119"/>
      <c r="D212" s="1"/>
      <c r="E212" s="119"/>
      <c r="F212" s="11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1"/>
      <c r="V212" s="121"/>
      <c r="W212" s="121"/>
    </row>
    <row r="213" ht="12.75" customHeight="1">
      <c r="A213" s="119"/>
      <c r="B213" s="119"/>
      <c r="C213" s="119"/>
      <c r="D213" s="1"/>
      <c r="E213" s="119"/>
      <c r="F213" s="11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1"/>
      <c r="V213" s="121"/>
      <c r="W213" s="121"/>
    </row>
    <row r="214" ht="12.75" customHeight="1">
      <c r="A214" s="119"/>
      <c r="B214" s="119"/>
      <c r="C214" s="119"/>
      <c r="D214" s="1"/>
      <c r="E214" s="119"/>
      <c r="F214" s="11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1"/>
      <c r="V214" s="121"/>
      <c r="W214" s="121"/>
    </row>
    <row r="215" ht="12.75" customHeight="1">
      <c r="A215" s="119"/>
      <c r="B215" s="119"/>
      <c r="C215" s="119"/>
      <c r="D215" s="1"/>
      <c r="E215" s="119"/>
      <c r="F215" s="11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1"/>
      <c r="V215" s="121"/>
      <c r="W215" s="121"/>
    </row>
    <row r="216" ht="12.75" customHeight="1">
      <c r="A216" s="119"/>
      <c r="B216" s="119"/>
      <c r="C216" s="119"/>
      <c r="D216" s="1"/>
      <c r="E216" s="119"/>
      <c r="F216" s="11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1"/>
      <c r="V216" s="121"/>
      <c r="W216" s="121"/>
    </row>
    <row r="217" ht="12.75" customHeight="1">
      <c r="A217" s="119"/>
      <c r="B217" s="119"/>
      <c r="C217" s="119"/>
      <c r="D217" s="1"/>
      <c r="E217" s="119"/>
      <c r="F217" s="11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1"/>
      <c r="V217" s="121"/>
      <c r="W217" s="121"/>
    </row>
    <row r="218" ht="12.75" customHeight="1">
      <c r="A218" s="119"/>
      <c r="B218" s="119"/>
      <c r="C218" s="119"/>
      <c r="D218" s="1"/>
      <c r="E218" s="119"/>
      <c r="F218" s="11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1"/>
      <c r="V218" s="121"/>
      <c r="W218" s="121"/>
    </row>
    <row r="219" ht="12.75" customHeight="1">
      <c r="A219" s="119"/>
      <c r="B219" s="119"/>
      <c r="C219" s="119"/>
      <c r="D219" s="1"/>
      <c r="E219" s="119"/>
      <c r="F219" s="11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1"/>
      <c r="V219" s="121"/>
      <c r="W219" s="121"/>
    </row>
    <row r="220" ht="12.75" customHeight="1">
      <c r="A220" s="119"/>
      <c r="B220" s="119"/>
      <c r="C220" s="119"/>
      <c r="D220" s="1"/>
      <c r="E220" s="119"/>
      <c r="F220" s="11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1"/>
      <c r="V220" s="121"/>
      <c r="W220" s="121"/>
    </row>
    <row r="221" ht="12.75" customHeight="1">
      <c r="A221" s="119"/>
      <c r="B221" s="119"/>
      <c r="C221" s="119"/>
      <c r="D221" s="1"/>
      <c r="E221" s="119"/>
      <c r="F221" s="11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1"/>
      <c r="V221" s="121"/>
      <c r="W221" s="121"/>
    </row>
    <row r="222" ht="12.75" customHeight="1">
      <c r="A222" s="119"/>
      <c r="B222" s="119"/>
      <c r="C222" s="119"/>
      <c r="D222" s="1"/>
      <c r="E222" s="119"/>
      <c r="F222" s="11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1"/>
      <c r="V222" s="121"/>
      <c r="W222" s="121"/>
    </row>
    <row r="223" ht="12.75" customHeight="1">
      <c r="A223" s="119"/>
      <c r="B223" s="119"/>
      <c r="C223" s="119"/>
      <c r="D223" s="1"/>
      <c r="E223" s="119"/>
      <c r="F223" s="11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1"/>
      <c r="V223" s="121"/>
      <c r="W223" s="121"/>
    </row>
    <row r="224" ht="12.75" customHeight="1">
      <c r="A224" s="119"/>
      <c r="B224" s="119"/>
      <c r="C224" s="119"/>
      <c r="D224" s="1"/>
      <c r="E224" s="119"/>
      <c r="F224" s="11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1"/>
      <c r="V224" s="121"/>
      <c r="W224" s="121"/>
    </row>
    <row r="225" ht="12.75" customHeight="1">
      <c r="A225" s="119"/>
      <c r="B225" s="119"/>
      <c r="C225" s="119"/>
      <c r="D225" s="1"/>
      <c r="E225" s="119"/>
      <c r="F225" s="11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1"/>
      <c r="V225" s="121"/>
      <c r="W225" s="121"/>
    </row>
    <row r="226" ht="12.75" customHeight="1">
      <c r="A226" s="119"/>
      <c r="B226" s="119"/>
      <c r="C226" s="119"/>
      <c r="D226" s="1"/>
      <c r="E226" s="119"/>
      <c r="F226" s="11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1"/>
      <c r="V226" s="121"/>
      <c r="W226" s="121"/>
    </row>
    <row r="227" ht="12.75" customHeight="1">
      <c r="A227" s="119"/>
      <c r="B227" s="119"/>
      <c r="C227" s="119"/>
      <c r="D227" s="1"/>
      <c r="E227" s="119"/>
      <c r="F227" s="11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1"/>
      <c r="V227" s="121"/>
      <c r="W227" s="121"/>
    </row>
    <row r="228" ht="12.75" customHeight="1">
      <c r="A228" s="119"/>
      <c r="B228" s="119"/>
      <c r="C228" s="119"/>
      <c r="D228" s="1"/>
      <c r="E228" s="119"/>
      <c r="F228" s="11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1"/>
      <c r="V228" s="121"/>
      <c r="W228" s="121"/>
    </row>
    <row r="229" ht="12.75" customHeight="1">
      <c r="A229" s="119"/>
      <c r="B229" s="119"/>
      <c r="C229" s="119"/>
      <c r="D229" s="1"/>
      <c r="E229" s="119"/>
      <c r="F229" s="11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1"/>
      <c r="V229" s="121"/>
      <c r="W229" s="121"/>
    </row>
    <row r="230" ht="12.75" customHeight="1">
      <c r="A230" s="119"/>
      <c r="B230" s="119"/>
      <c r="C230" s="119"/>
      <c r="D230" s="1"/>
      <c r="E230" s="119"/>
      <c r="F230" s="11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1"/>
      <c r="V230" s="121"/>
      <c r="W230" s="121"/>
    </row>
    <row r="231" ht="12.75" customHeight="1">
      <c r="A231" s="119"/>
      <c r="B231" s="119"/>
      <c r="C231" s="119"/>
      <c r="D231" s="1"/>
      <c r="E231" s="119"/>
      <c r="F231" s="11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1"/>
      <c r="V231" s="121"/>
      <c r="W231" s="121"/>
    </row>
    <row r="232" ht="12.75" customHeight="1">
      <c r="A232" s="119"/>
      <c r="B232" s="119"/>
      <c r="C232" s="119"/>
      <c r="D232" s="1"/>
      <c r="E232" s="119"/>
      <c r="F232" s="11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1"/>
      <c r="V232" s="121"/>
      <c r="W232" s="121"/>
    </row>
    <row r="233" ht="12.75" customHeight="1">
      <c r="A233" s="119"/>
      <c r="B233" s="119"/>
      <c r="C233" s="119"/>
      <c r="D233" s="1"/>
      <c r="E233" s="119"/>
      <c r="F233" s="11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1"/>
      <c r="V233" s="121"/>
      <c r="W233" s="121"/>
    </row>
    <row r="234" ht="12.75" customHeight="1">
      <c r="A234" s="119"/>
      <c r="B234" s="119"/>
      <c r="C234" s="119"/>
      <c r="D234" s="1"/>
      <c r="E234" s="119"/>
      <c r="F234" s="11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1"/>
      <c r="V234" s="121"/>
      <c r="W234" s="121"/>
    </row>
    <row r="235" ht="12.75" customHeight="1">
      <c r="A235" s="119"/>
      <c r="B235" s="119"/>
      <c r="C235" s="119"/>
      <c r="D235" s="1"/>
      <c r="E235" s="119"/>
      <c r="F235" s="11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1"/>
      <c r="V235" s="121"/>
      <c r="W235" s="121"/>
    </row>
    <row r="236" ht="12.75" customHeight="1">
      <c r="A236" s="119"/>
      <c r="B236" s="119"/>
      <c r="C236" s="119"/>
      <c r="D236" s="1"/>
      <c r="E236" s="119"/>
      <c r="F236" s="11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1"/>
      <c r="V236" s="121"/>
      <c r="W236" s="121"/>
    </row>
    <row r="237" ht="12.75" customHeight="1">
      <c r="A237" s="119"/>
      <c r="B237" s="119"/>
      <c r="C237" s="119"/>
      <c r="D237" s="1"/>
      <c r="E237" s="119"/>
      <c r="F237" s="11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1"/>
      <c r="V237" s="121"/>
      <c r="W237" s="121"/>
    </row>
    <row r="238" ht="12.75" customHeight="1">
      <c r="A238" s="119"/>
      <c r="B238" s="119"/>
      <c r="C238" s="119"/>
      <c r="D238" s="1"/>
      <c r="E238" s="119"/>
      <c r="F238" s="11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1"/>
      <c r="V238" s="121"/>
      <c r="W238" s="121"/>
    </row>
    <row r="239" ht="12.75" customHeight="1">
      <c r="A239" s="119"/>
      <c r="B239" s="119"/>
      <c r="C239" s="119"/>
      <c r="D239" s="1"/>
      <c r="E239" s="119"/>
      <c r="F239" s="11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1"/>
      <c r="V239" s="121"/>
      <c r="W239" s="121"/>
    </row>
    <row r="240" ht="12.75" customHeight="1">
      <c r="A240" s="119"/>
      <c r="B240" s="119"/>
      <c r="C240" s="119"/>
      <c r="D240" s="1"/>
      <c r="E240" s="119"/>
      <c r="F240" s="11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1"/>
      <c r="V240" s="121"/>
      <c r="W240" s="121"/>
    </row>
    <row r="241" ht="12.75" customHeight="1">
      <c r="A241" s="119"/>
      <c r="B241" s="119"/>
      <c r="C241" s="119"/>
      <c r="D241" s="1"/>
      <c r="E241" s="119"/>
      <c r="F241" s="11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1"/>
      <c r="V241" s="121"/>
      <c r="W241" s="121"/>
    </row>
    <row r="242" ht="12.75" customHeight="1">
      <c r="A242" s="119"/>
      <c r="B242" s="119"/>
      <c r="C242" s="119"/>
      <c r="D242" s="1"/>
      <c r="E242" s="119"/>
      <c r="F242" s="11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1"/>
      <c r="V242" s="121"/>
      <c r="W242" s="121"/>
    </row>
    <row r="243" ht="12.75" customHeight="1">
      <c r="A243" s="119"/>
      <c r="B243" s="119"/>
      <c r="C243" s="119"/>
      <c r="D243" s="1"/>
      <c r="E243" s="119"/>
      <c r="F243" s="11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1"/>
      <c r="V243" s="121"/>
      <c r="W243" s="121"/>
    </row>
    <row r="244" ht="12.75" customHeight="1">
      <c r="A244" s="119"/>
      <c r="B244" s="119"/>
      <c r="C244" s="119"/>
      <c r="D244" s="1"/>
      <c r="E244" s="119"/>
      <c r="F244" s="11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1"/>
      <c r="V244" s="121"/>
      <c r="W244" s="121"/>
    </row>
    <row r="245" ht="12.75" customHeight="1">
      <c r="A245" s="119"/>
      <c r="B245" s="119"/>
      <c r="C245" s="119"/>
      <c r="D245" s="1"/>
      <c r="E245" s="119"/>
      <c r="F245" s="11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1"/>
      <c r="V245" s="121"/>
      <c r="W245" s="121"/>
    </row>
    <row r="246" ht="12.75" customHeight="1">
      <c r="A246" s="119"/>
      <c r="B246" s="119"/>
      <c r="C246" s="119"/>
      <c r="D246" s="1"/>
      <c r="E246" s="119"/>
      <c r="F246" s="11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1"/>
      <c r="V246" s="121"/>
      <c r="W246" s="121"/>
    </row>
    <row r="247" ht="12.75" customHeight="1">
      <c r="A247" s="119"/>
      <c r="B247" s="119"/>
      <c r="C247" s="119"/>
      <c r="D247" s="1"/>
      <c r="E247" s="119"/>
      <c r="F247" s="11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1"/>
      <c r="V247" s="121"/>
      <c r="W247" s="121"/>
    </row>
    <row r="248" ht="12.75" customHeight="1">
      <c r="A248" s="119"/>
      <c r="B248" s="119"/>
      <c r="C248" s="119"/>
      <c r="D248" s="1"/>
      <c r="E248" s="119"/>
      <c r="F248" s="11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1"/>
      <c r="V248" s="121"/>
      <c r="W248" s="121"/>
    </row>
    <row r="249" ht="12.75" customHeight="1">
      <c r="A249" s="119"/>
      <c r="B249" s="119"/>
      <c r="C249" s="119"/>
      <c r="D249" s="1"/>
      <c r="E249" s="119"/>
      <c r="F249" s="11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1"/>
      <c r="V249" s="121"/>
      <c r="W249" s="121"/>
    </row>
    <row r="250" ht="12.75" customHeight="1">
      <c r="A250" s="119"/>
      <c r="B250" s="119"/>
      <c r="C250" s="119"/>
      <c r="D250" s="1"/>
      <c r="E250" s="119"/>
      <c r="F250" s="11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1"/>
      <c r="V250" s="121"/>
      <c r="W250" s="121"/>
    </row>
    <row r="251" ht="12.75" customHeight="1">
      <c r="A251" s="119"/>
      <c r="B251" s="119"/>
      <c r="C251" s="119"/>
      <c r="D251" s="1"/>
      <c r="E251" s="119"/>
      <c r="F251" s="11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1"/>
      <c r="V251" s="121"/>
      <c r="W251" s="121"/>
    </row>
    <row r="252" ht="12.75" customHeight="1">
      <c r="A252" s="119"/>
      <c r="B252" s="119"/>
      <c r="C252" s="119"/>
      <c r="D252" s="1"/>
      <c r="E252" s="119"/>
      <c r="F252" s="11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1"/>
      <c r="V252" s="121"/>
      <c r="W252" s="121"/>
    </row>
    <row r="253" ht="12.75" customHeight="1">
      <c r="A253" s="119"/>
      <c r="B253" s="119"/>
      <c r="C253" s="119"/>
      <c r="D253" s="1"/>
      <c r="E253" s="119"/>
      <c r="F253" s="11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1"/>
      <c r="V253" s="121"/>
      <c r="W253" s="121"/>
    </row>
    <row r="254" ht="12.75" customHeight="1">
      <c r="A254" s="119"/>
      <c r="B254" s="119"/>
      <c r="C254" s="119"/>
      <c r="D254" s="1"/>
      <c r="E254" s="119"/>
      <c r="F254" s="11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1"/>
      <c r="V254" s="121"/>
      <c r="W254" s="121"/>
    </row>
    <row r="255" ht="12.75" customHeight="1">
      <c r="A255" s="119"/>
      <c r="B255" s="119"/>
      <c r="C255" s="119"/>
      <c r="D255" s="1"/>
      <c r="E255" s="119"/>
      <c r="F255" s="11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1"/>
      <c r="V255" s="121"/>
      <c r="W255" s="121"/>
    </row>
    <row r="256" ht="12.75" customHeight="1">
      <c r="A256" s="119"/>
      <c r="B256" s="119"/>
      <c r="C256" s="119"/>
      <c r="D256" s="1"/>
      <c r="E256" s="119"/>
      <c r="F256" s="11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1"/>
      <c r="V256" s="121"/>
      <c r="W256" s="121"/>
    </row>
    <row r="257" ht="12.75" customHeight="1">
      <c r="A257" s="119"/>
      <c r="B257" s="119"/>
      <c r="C257" s="119"/>
      <c r="D257" s="1"/>
      <c r="E257" s="119"/>
      <c r="F257" s="11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1"/>
      <c r="V257" s="121"/>
      <c r="W257" s="121"/>
    </row>
    <row r="258" ht="12.75" customHeight="1">
      <c r="A258" s="119"/>
      <c r="B258" s="119"/>
      <c r="C258" s="119"/>
      <c r="D258" s="1"/>
      <c r="E258" s="119"/>
      <c r="F258" s="11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1"/>
      <c r="V258" s="121"/>
      <c r="W258" s="121"/>
    </row>
    <row r="259" ht="12.75" customHeight="1">
      <c r="A259" s="119"/>
      <c r="B259" s="119"/>
      <c r="C259" s="119"/>
      <c r="D259" s="1"/>
      <c r="E259" s="119"/>
      <c r="F259" s="11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1"/>
      <c r="V259" s="121"/>
      <c r="W259" s="121"/>
    </row>
    <row r="260" ht="12.75" customHeight="1">
      <c r="A260" s="119"/>
      <c r="B260" s="119"/>
      <c r="C260" s="119"/>
      <c r="D260" s="1"/>
      <c r="E260" s="119"/>
      <c r="F260" s="11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1"/>
      <c r="V260" s="121"/>
      <c r="W260" s="121"/>
    </row>
    <row r="261" ht="12.75" customHeight="1">
      <c r="A261" s="119"/>
      <c r="B261" s="119"/>
      <c r="C261" s="119"/>
      <c r="D261" s="1"/>
      <c r="E261" s="119"/>
      <c r="F261" s="11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1"/>
      <c r="V261" s="121"/>
      <c r="W261" s="121"/>
    </row>
    <row r="262" ht="12.75" customHeight="1">
      <c r="A262" s="119"/>
      <c r="B262" s="119"/>
      <c r="C262" s="119"/>
      <c r="D262" s="1"/>
      <c r="E262" s="119"/>
      <c r="F262" s="11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1"/>
      <c r="V262" s="121"/>
      <c r="W262" s="121"/>
    </row>
    <row r="263" ht="12.75" customHeight="1">
      <c r="A263" s="119"/>
      <c r="B263" s="119"/>
      <c r="C263" s="119"/>
      <c r="D263" s="1"/>
      <c r="E263" s="119"/>
      <c r="F263" s="11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1"/>
      <c r="V263" s="121"/>
      <c r="W263" s="121"/>
    </row>
    <row r="264" ht="12.75" customHeight="1">
      <c r="A264" s="119"/>
      <c r="B264" s="119"/>
      <c r="C264" s="119"/>
      <c r="D264" s="1"/>
      <c r="E264" s="119"/>
      <c r="F264" s="11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1"/>
      <c r="V264" s="121"/>
      <c r="W264" s="121"/>
    </row>
    <row r="265" ht="12.75" customHeight="1">
      <c r="A265" s="119"/>
      <c r="B265" s="119"/>
      <c r="C265" s="119"/>
      <c r="D265" s="1"/>
      <c r="E265" s="119"/>
      <c r="F265" s="11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1"/>
      <c r="V265" s="121"/>
      <c r="W265" s="121"/>
    </row>
    <row r="266" ht="12.75" customHeight="1">
      <c r="A266" s="119"/>
      <c r="B266" s="119"/>
      <c r="C266" s="119"/>
      <c r="D266" s="1"/>
      <c r="E266" s="119"/>
      <c r="F266" s="11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1"/>
      <c r="V266" s="121"/>
      <c r="W266" s="121"/>
    </row>
    <row r="267" ht="12.75" customHeight="1">
      <c r="A267" s="119"/>
      <c r="B267" s="119"/>
      <c r="C267" s="119"/>
      <c r="D267" s="1"/>
      <c r="E267" s="119"/>
      <c r="F267" s="11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1"/>
      <c r="V267" s="121"/>
      <c r="W267" s="121"/>
    </row>
    <row r="268" ht="12.75" customHeight="1">
      <c r="A268" s="119"/>
      <c r="B268" s="119"/>
      <c r="C268" s="119"/>
      <c r="D268" s="1"/>
      <c r="E268" s="119"/>
      <c r="F268" s="11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1"/>
      <c r="V268" s="121"/>
      <c r="W268" s="121"/>
    </row>
    <row r="269" ht="12.75" customHeight="1">
      <c r="A269" s="119"/>
      <c r="B269" s="119"/>
      <c r="C269" s="119"/>
      <c r="D269" s="1"/>
      <c r="E269" s="119"/>
      <c r="F269" s="11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1"/>
      <c r="V269" s="121"/>
      <c r="W269" s="121"/>
    </row>
    <row r="270" ht="12.75" customHeight="1">
      <c r="A270" s="119"/>
      <c r="B270" s="119"/>
      <c r="C270" s="119"/>
      <c r="D270" s="1"/>
      <c r="E270" s="119"/>
      <c r="F270" s="11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1"/>
      <c r="V270" s="121"/>
      <c r="W270" s="121"/>
    </row>
    <row r="271" ht="12.75" customHeight="1">
      <c r="A271" s="119"/>
      <c r="B271" s="119"/>
      <c r="C271" s="119"/>
      <c r="D271" s="1"/>
      <c r="E271" s="119"/>
      <c r="F271" s="11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1"/>
      <c r="V271" s="121"/>
      <c r="W271" s="121"/>
    </row>
    <row r="272" ht="12.75" customHeight="1">
      <c r="A272" s="119"/>
      <c r="B272" s="119"/>
      <c r="C272" s="119"/>
      <c r="D272" s="1"/>
      <c r="E272" s="119"/>
      <c r="F272" s="11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1"/>
      <c r="V272" s="121"/>
      <c r="W272" s="121"/>
    </row>
    <row r="273" ht="12.75" customHeight="1">
      <c r="A273" s="119"/>
      <c r="B273" s="119"/>
      <c r="C273" s="119"/>
      <c r="D273" s="1"/>
      <c r="E273" s="119"/>
      <c r="F273" s="11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1"/>
      <c r="V273" s="121"/>
      <c r="W273" s="121"/>
    </row>
    <row r="274" ht="12.75" customHeight="1">
      <c r="A274" s="119"/>
      <c r="B274" s="119"/>
      <c r="C274" s="119"/>
      <c r="D274" s="1"/>
      <c r="E274" s="119"/>
      <c r="F274" s="11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1"/>
      <c r="V274" s="121"/>
      <c r="W274" s="121"/>
    </row>
    <row r="275" ht="12.75" customHeight="1">
      <c r="A275" s="119"/>
      <c r="B275" s="119"/>
      <c r="C275" s="119"/>
      <c r="D275" s="1"/>
      <c r="E275" s="119"/>
      <c r="F275" s="11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1"/>
      <c r="V275" s="121"/>
      <c r="W275" s="121"/>
    </row>
    <row r="276" ht="12.75" customHeight="1">
      <c r="A276" s="119"/>
      <c r="B276" s="119"/>
      <c r="C276" s="119"/>
      <c r="D276" s="1"/>
      <c r="E276" s="119"/>
      <c r="F276" s="11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1"/>
      <c r="V276" s="121"/>
      <c r="W276" s="121"/>
    </row>
    <row r="277" ht="12.75" customHeight="1">
      <c r="A277" s="119"/>
      <c r="B277" s="119"/>
      <c r="C277" s="119"/>
      <c r="D277" s="1"/>
      <c r="E277" s="119"/>
      <c r="F277" s="11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1"/>
      <c r="V277" s="121"/>
      <c r="W277" s="121"/>
    </row>
    <row r="278" ht="12.75" customHeight="1">
      <c r="A278" s="119"/>
      <c r="B278" s="119"/>
      <c r="C278" s="119"/>
      <c r="D278" s="1"/>
      <c r="E278" s="119"/>
      <c r="F278" s="11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1"/>
      <c r="V278" s="121"/>
      <c r="W278" s="121"/>
    </row>
    <row r="279" ht="12.75" customHeight="1">
      <c r="A279" s="119"/>
      <c r="B279" s="119"/>
      <c r="C279" s="119"/>
      <c r="D279" s="1"/>
      <c r="E279" s="119"/>
      <c r="F279" s="11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1"/>
      <c r="V279" s="121"/>
      <c r="W279" s="121"/>
    </row>
    <row r="280" ht="12.75" customHeight="1">
      <c r="A280" s="119"/>
      <c r="B280" s="119"/>
      <c r="C280" s="119"/>
      <c r="D280" s="1"/>
      <c r="E280" s="119"/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1"/>
      <c r="V280" s="121"/>
      <c r="W280" s="121"/>
    </row>
    <row r="281" ht="12.75" customHeight="1">
      <c r="A281" s="119"/>
      <c r="B281" s="119"/>
      <c r="C281" s="119"/>
      <c r="D281" s="1"/>
      <c r="E281" s="119"/>
      <c r="F281" s="11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1"/>
      <c r="V281" s="121"/>
      <c r="W281" s="121"/>
    </row>
    <row r="282" ht="12.75" customHeight="1">
      <c r="A282" s="119"/>
      <c r="B282" s="119"/>
      <c r="C282" s="119"/>
      <c r="D282" s="1"/>
      <c r="E282" s="119"/>
      <c r="F282" s="11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1"/>
      <c r="V282" s="121"/>
      <c r="W282" s="121"/>
    </row>
    <row r="283" ht="12.75" customHeight="1">
      <c r="A283" s="119"/>
      <c r="B283" s="119"/>
      <c r="C283" s="119"/>
      <c r="D283" s="1"/>
      <c r="E283" s="119"/>
      <c r="F283" s="11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1"/>
      <c r="V283" s="121"/>
      <c r="W283" s="121"/>
    </row>
    <row r="284" ht="12.75" customHeight="1">
      <c r="A284" s="119"/>
      <c r="B284" s="119"/>
      <c r="C284" s="119"/>
      <c r="D284" s="1"/>
      <c r="E284" s="119"/>
      <c r="F284" s="11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1"/>
      <c r="V284" s="121"/>
      <c r="W284" s="121"/>
    </row>
    <row r="285" ht="12.75" customHeight="1">
      <c r="A285" s="119"/>
      <c r="B285" s="119"/>
      <c r="C285" s="119"/>
      <c r="D285" s="1"/>
      <c r="E285" s="119"/>
      <c r="F285" s="11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1"/>
      <c r="V285" s="121"/>
      <c r="W285" s="121"/>
    </row>
    <row r="286" ht="12.75" customHeight="1">
      <c r="A286" s="119"/>
      <c r="B286" s="119"/>
      <c r="C286" s="119"/>
      <c r="D286" s="1"/>
      <c r="E286" s="119"/>
      <c r="F286" s="11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1"/>
      <c r="V286" s="121"/>
      <c r="W286" s="121"/>
    </row>
    <row r="287" ht="12.75" customHeight="1">
      <c r="A287" s="119"/>
      <c r="B287" s="119"/>
      <c r="C287" s="119"/>
      <c r="D287" s="1"/>
      <c r="E287" s="119"/>
      <c r="F287" s="11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1"/>
      <c r="V287" s="121"/>
      <c r="W287" s="121"/>
    </row>
    <row r="288" ht="12.75" customHeight="1">
      <c r="A288" s="119"/>
      <c r="B288" s="119"/>
      <c r="C288" s="119"/>
      <c r="D288" s="1"/>
      <c r="E288" s="119"/>
      <c r="F288" s="11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1"/>
      <c r="V288" s="121"/>
      <c r="W288" s="121"/>
    </row>
    <row r="289" ht="12.75" customHeight="1">
      <c r="A289" s="119"/>
      <c r="B289" s="119"/>
      <c r="C289" s="119"/>
      <c r="D289" s="1"/>
      <c r="E289" s="119"/>
      <c r="F289" s="11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1"/>
      <c r="V289" s="121"/>
      <c r="W289" s="121"/>
    </row>
    <row r="290" ht="12.75" customHeight="1">
      <c r="A290" s="119"/>
      <c r="B290" s="119"/>
      <c r="C290" s="119"/>
      <c r="D290" s="1"/>
      <c r="E290" s="119"/>
      <c r="F290" s="11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1"/>
      <c r="V290" s="121"/>
      <c r="W290" s="121"/>
    </row>
    <row r="291" ht="12.75" customHeight="1">
      <c r="A291" s="119"/>
      <c r="B291" s="119"/>
      <c r="C291" s="119"/>
      <c r="D291" s="1"/>
      <c r="E291" s="119"/>
      <c r="F291" s="11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1"/>
      <c r="V291" s="121"/>
      <c r="W291" s="121"/>
    </row>
    <row r="292" ht="12.75" customHeight="1">
      <c r="A292" s="119"/>
      <c r="B292" s="119"/>
      <c r="C292" s="119"/>
      <c r="D292" s="1"/>
      <c r="E292" s="119"/>
      <c r="F292" s="11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1"/>
      <c r="V292" s="121"/>
      <c r="W292" s="121"/>
    </row>
    <row r="293" ht="12.75" customHeight="1">
      <c r="A293" s="119"/>
      <c r="B293" s="119"/>
      <c r="C293" s="119"/>
      <c r="D293" s="1"/>
      <c r="E293" s="119"/>
      <c r="F293" s="11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1"/>
      <c r="V293" s="121"/>
      <c r="W293" s="121"/>
    </row>
    <row r="294" ht="12.75" customHeight="1">
      <c r="A294" s="119"/>
      <c r="B294" s="119"/>
      <c r="C294" s="119"/>
      <c r="D294" s="1"/>
      <c r="E294" s="119"/>
      <c r="F294" s="11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1"/>
      <c r="V294" s="121"/>
      <c r="W294" s="121"/>
    </row>
    <row r="295" ht="12.75" customHeight="1">
      <c r="A295" s="119"/>
      <c r="B295" s="119"/>
      <c r="C295" s="119"/>
      <c r="D295" s="1"/>
      <c r="E295" s="119"/>
      <c r="F295" s="11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1"/>
      <c r="V295" s="121"/>
      <c r="W295" s="121"/>
    </row>
    <row r="296" ht="12.75" customHeight="1">
      <c r="A296" s="119"/>
      <c r="B296" s="119"/>
      <c r="C296" s="119"/>
      <c r="D296" s="1"/>
      <c r="E296" s="119"/>
      <c r="F296" s="11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1"/>
      <c r="V296" s="121"/>
      <c r="W296" s="121"/>
    </row>
    <row r="297" ht="12.75" customHeight="1">
      <c r="A297" s="119"/>
      <c r="B297" s="119"/>
      <c r="C297" s="119"/>
      <c r="D297" s="1"/>
      <c r="E297" s="119"/>
      <c r="F297" s="11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1"/>
      <c r="V297" s="121"/>
      <c r="W297" s="121"/>
    </row>
    <row r="298" ht="12.75" customHeight="1">
      <c r="A298" s="119"/>
      <c r="B298" s="119"/>
      <c r="C298" s="119"/>
      <c r="D298" s="1"/>
      <c r="E298" s="119"/>
      <c r="F298" s="11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1"/>
      <c r="V298" s="121"/>
      <c r="W298" s="121"/>
    </row>
    <row r="299" ht="12.75" customHeight="1">
      <c r="A299" s="119"/>
      <c r="B299" s="119"/>
      <c r="C299" s="119"/>
      <c r="D299" s="1"/>
      <c r="E299" s="119"/>
      <c r="F299" s="11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1"/>
      <c r="V299" s="121"/>
      <c r="W299" s="121"/>
    </row>
    <row r="300" ht="12.75" customHeight="1">
      <c r="A300" s="119"/>
      <c r="B300" s="119"/>
      <c r="C300" s="119"/>
      <c r="D300" s="1"/>
      <c r="E300" s="119"/>
      <c r="F300" s="11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1"/>
      <c r="V300" s="121"/>
      <c r="W300" s="121"/>
    </row>
    <row r="301" ht="12.75" customHeight="1">
      <c r="A301" s="119"/>
      <c r="B301" s="119"/>
      <c r="C301" s="119"/>
      <c r="D301" s="1"/>
      <c r="E301" s="119"/>
      <c r="F301" s="11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1"/>
      <c r="V301" s="121"/>
      <c r="W301" s="121"/>
    </row>
    <row r="302" ht="12.75" customHeight="1">
      <c r="A302" s="119"/>
      <c r="B302" s="119"/>
      <c r="C302" s="119"/>
      <c r="D302" s="1"/>
      <c r="E302" s="119"/>
      <c r="F302" s="11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1"/>
      <c r="V302" s="121"/>
      <c r="W302" s="121"/>
    </row>
    <row r="303" ht="12.75" customHeight="1">
      <c r="A303" s="119"/>
      <c r="B303" s="119"/>
      <c r="C303" s="119"/>
      <c r="D303" s="1"/>
      <c r="E303" s="119"/>
      <c r="F303" s="11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1"/>
      <c r="V303" s="121"/>
      <c r="W303" s="121"/>
    </row>
    <row r="304" ht="12.75" customHeight="1">
      <c r="A304" s="119"/>
      <c r="B304" s="119"/>
      <c r="C304" s="119"/>
      <c r="D304" s="1"/>
      <c r="E304" s="119"/>
      <c r="F304" s="11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1"/>
      <c r="V304" s="121"/>
      <c r="W304" s="121"/>
    </row>
    <row r="305" ht="12.75" customHeight="1">
      <c r="A305" s="119"/>
      <c r="B305" s="119"/>
      <c r="C305" s="119"/>
      <c r="D305" s="1"/>
      <c r="E305" s="119"/>
      <c r="F305" s="11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1"/>
      <c r="V305" s="121"/>
      <c r="W305" s="121"/>
    </row>
    <row r="306" ht="12.75" customHeight="1">
      <c r="A306" s="119"/>
      <c r="B306" s="119"/>
      <c r="C306" s="119"/>
      <c r="D306" s="1"/>
      <c r="E306" s="119"/>
      <c r="F306" s="11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1"/>
      <c r="V306" s="121"/>
      <c r="W306" s="121"/>
    </row>
    <row r="307" ht="12.75" customHeight="1">
      <c r="A307" s="119"/>
      <c r="B307" s="119"/>
      <c r="C307" s="119"/>
      <c r="D307" s="1"/>
      <c r="E307" s="119"/>
      <c r="F307" s="11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1"/>
      <c r="V307" s="121"/>
      <c r="W307" s="121"/>
    </row>
    <row r="308" ht="12.75" customHeight="1">
      <c r="A308" s="119"/>
      <c r="B308" s="119"/>
      <c r="C308" s="119"/>
      <c r="D308" s="1"/>
      <c r="E308" s="119"/>
      <c r="F308" s="11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1"/>
      <c r="V308" s="121"/>
      <c r="W308" s="121"/>
    </row>
    <row r="309" ht="12.75" customHeight="1">
      <c r="A309" s="119"/>
      <c r="B309" s="119"/>
      <c r="C309" s="119"/>
      <c r="D309" s="1"/>
      <c r="E309" s="119"/>
      <c r="F309" s="11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1"/>
      <c r="V309" s="121"/>
      <c r="W309" s="121"/>
    </row>
    <row r="310" ht="12.75" customHeight="1">
      <c r="A310" s="119"/>
      <c r="B310" s="119"/>
      <c r="C310" s="119"/>
      <c r="D310" s="1"/>
      <c r="E310" s="119"/>
      <c r="F310" s="11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1"/>
      <c r="V310" s="121"/>
      <c r="W310" s="121"/>
    </row>
    <row r="311" ht="12.75" customHeight="1">
      <c r="A311" s="119"/>
      <c r="B311" s="119"/>
      <c r="C311" s="119"/>
      <c r="D311" s="1"/>
      <c r="E311" s="119"/>
      <c r="F311" s="11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1"/>
      <c r="V311" s="121"/>
      <c r="W311" s="121"/>
    </row>
    <row r="312" ht="12.75" customHeight="1">
      <c r="A312" s="119"/>
      <c r="B312" s="119"/>
      <c r="C312" s="119"/>
      <c r="D312" s="1"/>
      <c r="E312" s="119"/>
      <c r="F312" s="11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1"/>
      <c r="V312" s="121"/>
      <c r="W312" s="121"/>
    </row>
    <row r="313" ht="12.75" customHeight="1">
      <c r="A313" s="119"/>
      <c r="B313" s="119"/>
      <c r="C313" s="119"/>
      <c r="D313" s="1"/>
      <c r="E313" s="119"/>
      <c r="F313" s="11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1"/>
      <c r="V313" s="121"/>
      <c r="W313" s="121"/>
    </row>
    <row r="314" ht="12.75" customHeight="1">
      <c r="A314" s="119"/>
      <c r="B314" s="119"/>
      <c r="C314" s="119"/>
      <c r="D314" s="1"/>
      <c r="E314" s="119"/>
      <c r="F314" s="11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1"/>
      <c r="V314" s="121"/>
      <c r="W314" s="121"/>
    </row>
    <row r="315" ht="12.75" customHeight="1">
      <c r="A315" s="119"/>
      <c r="B315" s="119"/>
      <c r="C315" s="119"/>
      <c r="D315" s="1"/>
      <c r="E315" s="119"/>
      <c r="F315" s="11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1"/>
      <c r="V315" s="121"/>
      <c r="W315" s="121"/>
    </row>
    <row r="316" ht="12.75" customHeight="1">
      <c r="A316" s="119"/>
      <c r="B316" s="119"/>
      <c r="C316" s="119"/>
      <c r="D316" s="1"/>
      <c r="E316" s="119"/>
      <c r="F316" s="11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1"/>
      <c r="V316" s="121"/>
      <c r="W316" s="121"/>
    </row>
    <row r="317" ht="12.75" customHeight="1">
      <c r="A317" s="119"/>
      <c r="B317" s="119"/>
      <c r="C317" s="119"/>
      <c r="D317" s="1"/>
      <c r="E317" s="119"/>
      <c r="F317" s="11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1"/>
      <c r="V317" s="121"/>
      <c r="W317" s="121"/>
    </row>
    <row r="318" ht="12.75" customHeight="1">
      <c r="A318" s="119"/>
      <c r="B318" s="119"/>
      <c r="C318" s="119"/>
      <c r="D318" s="1"/>
      <c r="E318" s="119"/>
      <c r="F318" s="11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1"/>
      <c r="V318" s="121"/>
      <c r="W318" s="121"/>
    </row>
    <row r="319" ht="12.75" customHeight="1">
      <c r="A319" s="119"/>
      <c r="B319" s="119"/>
      <c r="C319" s="119"/>
      <c r="D319" s="1"/>
      <c r="E319" s="119"/>
      <c r="F319" s="11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1"/>
      <c r="V319" s="121"/>
      <c r="W319" s="121"/>
    </row>
    <row r="320" ht="12.75" customHeight="1">
      <c r="A320" s="119"/>
      <c r="B320" s="119"/>
      <c r="C320" s="119"/>
      <c r="D320" s="1"/>
      <c r="E320" s="119"/>
      <c r="F320" s="11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1"/>
      <c r="V320" s="121"/>
      <c r="W320" s="121"/>
    </row>
    <row r="321" ht="12.75" customHeight="1">
      <c r="A321" s="119"/>
      <c r="B321" s="119"/>
      <c r="C321" s="119"/>
      <c r="D321" s="1"/>
      <c r="E321" s="119"/>
      <c r="F321" s="11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1"/>
      <c r="V321" s="121"/>
      <c r="W321" s="121"/>
    </row>
    <row r="322" ht="12.75" customHeight="1">
      <c r="A322" s="119"/>
      <c r="B322" s="119"/>
      <c r="C322" s="119"/>
      <c r="D322" s="1"/>
      <c r="E322" s="119"/>
      <c r="F322" s="11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1"/>
      <c r="V322" s="121"/>
      <c r="W322" s="121"/>
    </row>
    <row r="323" ht="12.75" customHeight="1">
      <c r="A323" s="119"/>
      <c r="B323" s="119"/>
      <c r="C323" s="119"/>
      <c r="D323" s="1"/>
      <c r="E323" s="119"/>
      <c r="F323" s="11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1"/>
      <c r="V323" s="121"/>
      <c r="W323" s="121"/>
    </row>
    <row r="324" ht="12.75" customHeight="1">
      <c r="A324" s="119"/>
      <c r="B324" s="119"/>
      <c r="C324" s="119"/>
      <c r="D324" s="1"/>
      <c r="E324" s="119"/>
      <c r="F324" s="11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1"/>
      <c r="V324" s="121"/>
      <c r="W324" s="121"/>
    </row>
    <row r="325" ht="12.75" customHeight="1">
      <c r="A325" s="119"/>
      <c r="B325" s="119"/>
      <c r="C325" s="119"/>
      <c r="D325" s="1"/>
      <c r="E325" s="119"/>
      <c r="F325" s="11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1"/>
      <c r="V325" s="121"/>
      <c r="W325" s="121"/>
    </row>
    <row r="326" ht="12.75" customHeight="1">
      <c r="A326" s="119"/>
      <c r="B326" s="119"/>
      <c r="C326" s="119"/>
      <c r="D326" s="1"/>
      <c r="E326" s="119"/>
      <c r="F326" s="11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1"/>
      <c r="V326" s="121"/>
      <c r="W326" s="121"/>
    </row>
    <row r="327" ht="12.75" customHeight="1">
      <c r="A327" s="119"/>
      <c r="B327" s="119"/>
      <c r="C327" s="119"/>
      <c r="D327" s="1"/>
      <c r="E327" s="119"/>
      <c r="F327" s="11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1"/>
      <c r="V327" s="121"/>
      <c r="W327" s="121"/>
    </row>
    <row r="328" ht="12.75" customHeight="1">
      <c r="A328" s="119"/>
      <c r="B328" s="119"/>
      <c r="C328" s="119"/>
      <c r="D328" s="1"/>
      <c r="E328" s="119"/>
      <c r="F328" s="11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1"/>
      <c r="V328" s="121"/>
      <c r="W328" s="121"/>
    </row>
    <row r="329" ht="12.75" customHeight="1">
      <c r="A329" s="119"/>
      <c r="B329" s="119"/>
      <c r="C329" s="119"/>
      <c r="D329" s="1"/>
      <c r="E329" s="119"/>
      <c r="F329" s="11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1"/>
      <c r="V329" s="121"/>
      <c r="W329" s="121"/>
    </row>
    <row r="330" ht="12.75" customHeight="1">
      <c r="A330" s="119"/>
      <c r="B330" s="119"/>
      <c r="C330" s="119"/>
      <c r="D330" s="1"/>
      <c r="E330" s="119"/>
      <c r="F330" s="11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1"/>
      <c r="V330" s="121"/>
      <c r="W330" s="121"/>
    </row>
    <row r="331" ht="12.75" customHeight="1">
      <c r="A331" s="119"/>
      <c r="B331" s="119"/>
      <c r="C331" s="119"/>
      <c r="D331" s="1"/>
      <c r="E331" s="119"/>
      <c r="F331" s="11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1"/>
      <c r="V331" s="121"/>
      <c r="W331" s="121"/>
    </row>
    <row r="332" ht="12.75" customHeight="1">
      <c r="A332" s="119"/>
      <c r="B332" s="119"/>
      <c r="C332" s="119"/>
      <c r="D332" s="1"/>
      <c r="E332" s="119"/>
      <c r="F332" s="11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1"/>
      <c r="V332" s="121"/>
      <c r="W332" s="121"/>
    </row>
    <row r="333" ht="12.75" customHeight="1">
      <c r="A333" s="119"/>
      <c r="B333" s="119"/>
      <c r="C333" s="119"/>
      <c r="D333" s="1"/>
      <c r="E333" s="119"/>
      <c r="F333" s="11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1"/>
      <c r="V333" s="121"/>
      <c r="W333" s="121"/>
    </row>
    <row r="334" ht="12.75" customHeight="1">
      <c r="A334" s="119"/>
      <c r="B334" s="119"/>
      <c r="C334" s="119"/>
      <c r="D334" s="1"/>
      <c r="E334" s="119"/>
      <c r="F334" s="11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1"/>
      <c r="V334" s="121"/>
      <c r="W334" s="121"/>
    </row>
    <row r="335" ht="12.75" customHeight="1">
      <c r="A335" s="119"/>
      <c r="B335" s="119"/>
      <c r="C335" s="119"/>
      <c r="D335" s="1"/>
      <c r="E335" s="119"/>
      <c r="F335" s="11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1"/>
      <c r="V335" s="121"/>
      <c r="W335" s="121"/>
    </row>
    <row r="336" ht="12.75" customHeight="1">
      <c r="A336" s="119"/>
      <c r="B336" s="119"/>
      <c r="C336" s="119"/>
      <c r="D336" s="1"/>
      <c r="E336" s="119"/>
      <c r="F336" s="11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1"/>
      <c r="V336" s="121"/>
      <c r="W336" s="121"/>
    </row>
    <row r="337" ht="12.75" customHeight="1">
      <c r="A337" s="119"/>
      <c r="B337" s="119"/>
      <c r="C337" s="119"/>
      <c r="D337" s="1"/>
      <c r="E337" s="119"/>
      <c r="F337" s="11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1"/>
      <c r="V337" s="121"/>
      <c r="W337" s="121"/>
    </row>
    <row r="338" ht="12.75" customHeight="1">
      <c r="A338" s="119"/>
      <c r="B338" s="119"/>
      <c r="C338" s="119"/>
      <c r="D338" s="1"/>
      <c r="E338" s="119"/>
      <c r="F338" s="11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1"/>
      <c r="V338" s="121"/>
      <c r="W338" s="121"/>
    </row>
    <row r="339" ht="12.75" customHeight="1">
      <c r="A339" s="119"/>
      <c r="B339" s="119"/>
      <c r="C339" s="119"/>
      <c r="D339" s="1"/>
      <c r="E339" s="119"/>
      <c r="F339" s="11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1"/>
      <c r="V339" s="121"/>
      <c r="W339" s="121"/>
    </row>
    <row r="340" ht="12.75" customHeight="1">
      <c r="A340" s="119"/>
      <c r="B340" s="119"/>
      <c r="C340" s="119"/>
      <c r="D340" s="1"/>
      <c r="E340" s="119"/>
      <c r="F340" s="11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1"/>
      <c r="V340" s="121"/>
      <c r="W340" s="121"/>
    </row>
    <row r="341" ht="12.75" customHeight="1">
      <c r="A341" s="119"/>
      <c r="B341" s="119"/>
      <c r="C341" s="119"/>
      <c r="D341" s="1"/>
      <c r="E341" s="119"/>
      <c r="F341" s="11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1"/>
      <c r="V341" s="121"/>
      <c r="W341" s="121"/>
    </row>
    <row r="342" ht="12.75" customHeight="1">
      <c r="A342" s="119"/>
      <c r="B342" s="119"/>
      <c r="C342" s="119"/>
      <c r="D342" s="1"/>
      <c r="E342" s="119"/>
      <c r="F342" s="11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1"/>
      <c r="V342" s="121"/>
      <c r="W342" s="121"/>
    </row>
    <row r="343" ht="12.75" customHeight="1">
      <c r="A343" s="119"/>
      <c r="B343" s="119"/>
      <c r="C343" s="119"/>
      <c r="D343" s="1"/>
      <c r="E343" s="119"/>
      <c r="F343" s="11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1"/>
      <c r="V343" s="121"/>
      <c r="W343" s="121"/>
    </row>
    <row r="344" ht="12.75" customHeight="1">
      <c r="A344" s="119"/>
      <c r="B344" s="119"/>
      <c r="C344" s="119"/>
      <c r="D344" s="1"/>
      <c r="E344" s="119"/>
      <c r="F344" s="11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1"/>
      <c r="V344" s="121"/>
      <c r="W344" s="121"/>
    </row>
    <row r="345" ht="12.75" customHeight="1">
      <c r="A345" s="119"/>
      <c r="B345" s="119"/>
      <c r="C345" s="119"/>
      <c r="D345" s="1"/>
      <c r="E345" s="119"/>
      <c r="F345" s="11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1"/>
      <c r="V345" s="121"/>
      <c r="W345" s="121"/>
    </row>
    <row r="346" ht="12.75" customHeight="1">
      <c r="A346" s="119"/>
      <c r="B346" s="119"/>
      <c r="C346" s="119"/>
      <c r="D346" s="1"/>
      <c r="E346" s="119"/>
      <c r="F346" s="11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1"/>
      <c r="V346" s="121"/>
      <c r="W346" s="121"/>
    </row>
    <row r="347" ht="12.75" customHeight="1">
      <c r="A347" s="119"/>
      <c r="B347" s="119"/>
      <c r="C347" s="119"/>
      <c r="D347" s="1"/>
      <c r="E347" s="119"/>
      <c r="F347" s="11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1"/>
      <c r="V347" s="121"/>
      <c r="W347" s="121"/>
    </row>
    <row r="348" ht="12.75" customHeight="1">
      <c r="A348" s="119"/>
      <c r="B348" s="119"/>
      <c r="C348" s="119"/>
      <c r="D348" s="1"/>
      <c r="E348" s="119"/>
      <c r="F348" s="11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1"/>
      <c r="V348" s="121"/>
      <c r="W348" s="121"/>
    </row>
    <row r="349" ht="12.75" customHeight="1">
      <c r="A349" s="119"/>
      <c r="B349" s="119"/>
      <c r="C349" s="119"/>
      <c r="D349" s="1"/>
      <c r="E349" s="119"/>
      <c r="F349" s="11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1"/>
      <c r="V349" s="121"/>
      <c r="W349" s="121"/>
    </row>
    <row r="350" ht="12.75" customHeight="1">
      <c r="A350" s="119"/>
      <c r="B350" s="119"/>
      <c r="C350" s="119"/>
      <c r="D350" s="1"/>
      <c r="E350" s="119"/>
      <c r="F350" s="11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1"/>
      <c r="V350" s="121"/>
      <c r="W350" s="121"/>
    </row>
    <row r="351" ht="12.75" customHeight="1">
      <c r="A351" s="119"/>
      <c r="B351" s="119"/>
      <c r="C351" s="119"/>
      <c r="D351" s="1"/>
      <c r="E351" s="119"/>
      <c r="F351" s="11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1"/>
      <c r="V351" s="121"/>
      <c r="W351" s="121"/>
    </row>
    <row r="352" ht="12.75" customHeight="1">
      <c r="A352" s="119"/>
      <c r="B352" s="119"/>
      <c r="C352" s="119"/>
      <c r="D352" s="1"/>
      <c r="E352" s="119"/>
      <c r="F352" s="11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1"/>
      <c r="V352" s="121"/>
      <c r="W352" s="121"/>
    </row>
    <row r="353" ht="12.75" customHeight="1">
      <c r="A353" s="119"/>
      <c r="B353" s="119"/>
      <c r="C353" s="119"/>
      <c r="D353" s="1"/>
      <c r="E353" s="119"/>
      <c r="F353" s="11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1"/>
      <c r="V353" s="121"/>
      <c r="W353" s="121"/>
    </row>
    <row r="354" ht="12.75" customHeight="1">
      <c r="A354" s="119"/>
      <c r="B354" s="119"/>
      <c r="C354" s="119"/>
      <c r="D354" s="1"/>
      <c r="E354" s="119"/>
      <c r="F354" s="11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1"/>
      <c r="V354" s="121"/>
      <c r="W354" s="121"/>
    </row>
    <row r="355" ht="12.75" customHeight="1">
      <c r="A355" s="119"/>
      <c r="B355" s="119"/>
      <c r="C355" s="119"/>
      <c r="D355" s="1"/>
      <c r="E355" s="119"/>
      <c r="F355" s="11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1"/>
      <c r="V355" s="121"/>
      <c r="W355" s="121"/>
    </row>
    <row r="356" ht="12.75" customHeight="1">
      <c r="A356" s="119"/>
      <c r="B356" s="119"/>
      <c r="C356" s="119"/>
      <c r="D356" s="1"/>
      <c r="E356" s="119"/>
      <c r="F356" s="11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1"/>
      <c r="V356" s="121"/>
      <c r="W356" s="121"/>
    </row>
    <row r="357" ht="12.75" customHeight="1">
      <c r="A357" s="119"/>
      <c r="B357" s="119"/>
      <c r="C357" s="119"/>
      <c r="D357" s="1"/>
      <c r="E357" s="119"/>
      <c r="F357" s="11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1"/>
      <c r="V357" s="121"/>
      <c r="W357" s="121"/>
    </row>
    <row r="358" ht="12.75" customHeight="1">
      <c r="A358" s="119"/>
      <c r="B358" s="119"/>
      <c r="C358" s="119"/>
      <c r="D358" s="1"/>
      <c r="E358" s="119"/>
      <c r="F358" s="11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1"/>
      <c r="V358" s="121"/>
      <c r="W358" s="121"/>
    </row>
    <row r="359" ht="12.75" customHeight="1">
      <c r="A359" s="119"/>
      <c r="B359" s="119"/>
      <c r="C359" s="119"/>
      <c r="D359" s="1"/>
      <c r="E359" s="119"/>
      <c r="F359" s="11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1"/>
      <c r="V359" s="121"/>
      <c r="W359" s="121"/>
    </row>
    <row r="360" ht="12.75" customHeight="1">
      <c r="A360" s="119"/>
      <c r="B360" s="119"/>
      <c r="C360" s="119"/>
      <c r="D360" s="1"/>
      <c r="E360" s="119"/>
      <c r="F360" s="11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1"/>
      <c r="V360" s="121"/>
      <c r="W360" s="121"/>
    </row>
    <row r="361" ht="12.75" customHeight="1">
      <c r="A361" s="119"/>
      <c r="B361" s="119"/>
      <c r="C361" s="119"/>
      <c r="D361" s="1"/>
      <c r="E361" s="119"/>
      <c r="F361" s="11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1"/>
      <c r="V361" s="121"/>
      <c r="W361" s="121"/>
    </row>
    <row r="362" ht="12.75" customHeight="1">
      <c r="A362" s="119"/>
      <c r="B362" s="119"/>
      <c r="C362" s="119"/>
      <c r="D362" s="1"/>
      <c r="E362" s="119"/>
      <c r="F362" s="11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1"/>
      <c r="V362" s="121"/>
      <c r="W362" s="121"/>
    </row>
    <row r="363" ht="12.75" customHeight="1">
      <c r="A363" s="119"/>
      <c r="B363" s="119"/>
      <c r="C363" s="119"/>
      <c r="D363" s="1"/>
      <c r="E363" s="119"/>
      <c r="F363" s="11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1"/>
      <c r="V363" s="121"/>
      <c r="W363" s="121"/>
    </row>
    <row r="364" ht="12.75" customHeight="1">
      <c r="A364" s="119"/>
      <c r="B364" s="119"/>
      <c r="C364" s="119"/>
      <c r="D364" s="1"/>
      <c r="E364" s="119"/>
      <c r="F364" s="11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1"/>
      <c r="V364" s="121"/>
      <c r="W364" s="121"/>
    </row>
    <row r="365" ht="12.75" customHeight="1">
      <c r="A365" s="119"/>
      <c r="B365" s="119"/>
      <c r="C365" s="119"/>
      <c r="D365" s="1"/>
      <c r="E365" s="119"/>
      <c r="F365" s="11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1"/>
      <c r="V365" s="121"/>
      <c r="W365" s="121"/>
    </row>
    <row r="366" ht="12.75" customHeight="1">
      <c r="A366" s="119"/>
      <c r="B366" s="119"/>
      <c r="C366" s="119"/>
      <c r="D366" s="1"/>
      <c r="E366" s="119"/>
      <c r="F366" s="11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1"/>
      <c r="V366" s="121"/>
      <c r="W366" s="121"/>
    </row>
    <row r="367" ht="12.75" customHeight="1">
      <c r="A367" s="119"/>
      <c r="B367" s="119"/>
      <c r="C367" s="119"/>
      <c r="D367" s="1"/>
      <c r="E367" s="119"/>
      <c r="F367" s="11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1"/>
      <c r="V367" s="121"/>
      <c r="W367" s="121"/>
    </row>
    <row r="368" ht="12.75" customHeight="1">
      <c r="A368" s="119"/>
      <c r="B368" s="119"/>
      <c r="C368" s="119"/>
      <c r="D368" s="1"/>
      <c r="E368" s="119"/>
      <c r="F368" s="11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1"/>
      <c r="V368" s="121"/>
      <c r="W368" s="121"/>
    </row>
    <row r="369" ht="12.75" customHeight="1">
      <c r="A369" s="119"/>
      <c r="B369" s="119"/>
      <c r="C369" s="119"/>
      <c r="D369" s="1"/>
      <c r="E369" s="119"/>
      <c r="F369" s="11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1"/>
      <c r="V369" s="121"/>
      <c r="W369" s="121"/>
    </row>
    <row r="370" ht="12.75" customHeight="1">
      <c r="A370" s="119"/>
      <c r="B370" s="119"/>
      <c r="C370" s="119"/>
      <c r="D370" s="1"/>
      <c r="E370" s="119"/>
      <c r="F370" s="11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1"/>
      <c r="V370" s="121"/>
      <c r="W370" s="121"/>
    </row>
    <row r="371" ht="12.75" customHeight="1">
      <c r="A371" s="119"/>
      <c r="B371" s="119"/>
      <c r="C371" s="119"/>
      <c r="D371" s="1"/>
      <c r="E371" s="119"/>
      <c r="F371" s="11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1"/>
      <c r="V371" s="121"/>
      <c r="W371" s="121"/>
    </row>
    <row r="372" ht="12.75" customHeight="1">
      <c r="A372" s="119"/>
      <c r="B372" s="119"/>
      <c r="C372" s="119"/>
      <c r="D372" s="1"/>
      <c r="E372" s="119"/>
      <c r="F372" s="11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1"/>
      <c r="V372" s="121"/>
      <c r="W372" s="121"/>
    </row>
    <row r="373" ht="12.75" customHeight="1">
      <c r="A373" s="119"/>
      <c r="B373" s="119"/>
      <c r="C373" s="119"/>
      <c r="D373" s="1"/>
      <c r="E373" s="119"/>
      <c r="F373" s="11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1"/>
      <c r="V373" s="121"/>
      <c r="W373" s="121"/>
    </row>
    <row r="374" ht="12.75" customHeight="1">
      <c r="A374" s="119"/>
      <c r="B374" s="119"/>
      <c r="C374" s="119"/>
      <c r="D374" s="1"/>
      <c r="E374" s="119"/>
      <c r="F374" s="11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1"/>
      <c r="V374" s="121"/>
      <c r="W374" s="121"/>
    </row>
    <row r="375" ht="12.75" customHeight="1">
      <c r="A375" s="119"/>
      <c r="B375" s="119"/>
      <c r="C375" s="119"/>
      <c r="D375" s="1"/>
      <c r="E375" s="119"/>
      <c r="F375" s="11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1"/>
      <c r="V375" s="121"/>
      <c r="W375" s="121"/>
    </row>
    <row r="376" ht="12.75" customHeight="1">
      <c r="A376" s="119"/>
      <c r="B376" s="119"/>
      <c r="C376" s="119"/>
      <c r="D376" s="1"/>
      <c r="E376" s="119"/>
      <c r="F376" s="11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1"/>
      <c r="V376" s="121"/>
      <c r="W376" s="121"/>
    </row>
    <row r="377" ht="12.75" customHeight="1">
      <c r="A377" s="119"/>
      <c r="B377" s="119"/>
      <c r="C377" s="119"/>
      <c r="D377" s="1"/>
      <c r="E377" s="119"/>
      <c r="F377" s="11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1"/>
      <c r="V377" s="121"/>
      <c r="W377" s="121"/>
    </row>
    <row r="378" ht="12.75" customHeight="1">
      <c r="A378" s="119"/>
      <c r="B378" s="119"/>
      <c r="C378" s="119"/>
      <c r="D378" s="1"/>
      <c r="E378" s="119"/>
      <c r="F378" s="11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1"/>
      <c r="V378" s="121"/>
      <c r="W378" s="121"/>
    </row>
    <row r="379" ht="12.75" customHeight="1">
      <c r="A379" s="119"/>
      <c r="B379" s="119"/>
      <c r="C379" s="119"/>
      <c r="D379" s="1"/>
      <c r="E379" s="119"/>
      <c r="F379" s="11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1"/>
      <c r="V379" s="121"/>
      <c r="W379" s="121"/>
    </row>
    <row r="380" ht="12.75" customHeight="1">
      <c r="A380" s="119"/>
      <c r="B380" s="119"/>
      <c r="C380" s="119"/>
      <c r="D380" s="1"/>
      <c r="E380" s="119"/>
      <c r="F380" s="11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1"/>
      <c r="V380" s="121"/>
      <c r="W380" s="121"/>
    </row>
    <row r="381" ht="12.75" customHeight="1">
      <c r="A381" s="119"/>
      <c r="B381" s="119"/>
      <c r="C381" s="119"/>
      <c r="D381" s="1"/>
      <c r="E381" s="119"/>
      <c r="F381" s="11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1"/>
      <c r="V381" s="121"/>
      <c r="W381" s="121"/>
    </row>
    <row r="382" ht="12.75" customHeight="1">
      <c r="A382" s="119"/>
      <c r="B382" s="119"/>
      <c r="C382" s="119"/>
      <c r="D382" s="1"/>
      <c r="E382" s="119"/>
      <c r="F382" s="11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1"/>
      <c r="V382" s="121"/>
      <c r="W382" s="121"/>
    </row>
    <row r="383" ht="12.75" customHeight="1">
      <c r="A383" s="119"/>
      <c r="B383" s="119"/>
      <c r="C383" s="119"/>
      <c r="D383" s="1"/>
      <c r="E383" s="119"/>
      <c r="F383" s="11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1"/>
      <c r="V383" s="121"/>
      <c r="W383" s="121"/>
    </row>
    <row r="384" ht="12.75" customHeight="1">
      <c r="A384" s="119"/>
      <c r="B384" s="119"/>
      <c r="C384" s="119"/>
      <c r="D384" s="1"/>
      <c r="E384" s="119"/>
      <c r="F384" s="11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1"/>
      <c r="V384" s="121"/>
      <c r="W384" s="121"/>
    </row>
    <row r="385" ht="12.75" customHeight="1">
      <c r="A385" s="119"/>
      <c r="B385" s="119"/>
      <c r="C385" s="119"/>
      <c r="D385" s="1"/>
      <c r="E385" s="119"/>
      <c r="F385" s="11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1"/>
      <c r="V385" s="121"/>
      <c r="W385" s="121"/>
    </row>
    <row r="386" ht="12.75" customHeight="1">
      <c r="A386" s="119"/>
      <c r="B386" s="119"/>
      <c r="C386" s="119"/>
      <c r="D386" s="1"/>
      <c r="E386" s="119"/>
      <c r="F386" s="11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1"/>
      <c r="V386" s="121"/>
      <c r="W386" s="121"/>
    </row>
    <row r="387" ht="12.75" customHeight="1">
      <c r="A387" s="119"/>
      <c r="B387" s="119"/>
      <c r="C387" s="119"/>
      <c r="D387" s="1"/>
      <c r="E387" s="119"/>
      <c r="F387" s="11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1"/>
      <c r="V387" s="121"/>
      <c r="W387" s="121"/>
    </row>
    <row r="388" ht="12.75" customHeight="1">
      <c r="A388" s="119"/>
      <c r="B388" s="119"/>
      <c r="C388" s="119"/>
      <c r="D388" s="1"/>
      <c r="E388" s="119"/>
      <c r="F388" s="11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1"/>
      <c r="V388" s="121"/>
      <c r="W388" s="121"/>
    </row>
    <row r="389" ht="12.75" customHeight="1">
      <c r="A389" s="119"/>
      <c r="B389" s="119"/>
      <c r="C389" s="119"/>
      <c r="D389" s="1"/>
      <c r="E389" s="119"/>
      <c r="F389" s="11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1"/>
      <c r="V389" s="121"/>
      <c r="W389" s="121"/>
    </row>
    <row r="390" ht="12.75" customHeight="1">
      <c r="A390" s="119"/>
      <c r="B390" s="119"/>
      <c r="C390" s="119"/>
      <c r="D390" s="1"/>
      <c r="E390" s="119"/>
      <c r="F390" s="11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1"/>
      <c r="V390" s="121"/>
      <c r="W390" s="121"/>
    </row>
    <row r="391" ht="12.75" customHeight="1">
      <c r="A391" s="119"/>
      <c r="B391" s="119"/>
      <c r="C391" s="119"/>
      <c r="D391" s="1"/>
      <c r="E391" s="119"/>
      <c r="F391" s="11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1"/>
      <c r="V391" s="121"/>
      <c r="W391" s="121"/>
    </row>
    <row r="392" ht="12.75" customHeight="1">
      <c r="A392" s="119"/>
      <c r="B392" s="119"/>
      <c r="C392" s="119"/>
      <c r="D392" s="1"/>
      <c r="E392" s="119"/>
      <c r="F392" s="11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1"/>
      <c r="V392" s="121"/>
      <c r="W392" s="121"/>
    </row>
    <row r="393" ht="12.75" customHeight="1">
      <c r="A393" s="119"/>
      <c r="B393" s="119"/>
      <c r="C393" s="119"/>
      <c r="D393" s="1"/>
      <c r="E393" s="119"/>
      <c r="F393" s="11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1"/>
      <c r="V393" s="121"/>
      <c r="W393" s="121"/>
    </row>
    <row r="394" ht="12.75" customHeight="1">
      <c r="A394" s="119"/>
      <c r="B394" s="119"/>
      <c r="C394" s="119"/>
      <c r="D394" s="1"/>
      <c r="E394" s="119"/>
      <c r="F394" s="11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1"/>
      <c r="V394" s="121"/>
      <c r="W394" s="121"/>
    </row>
    <row r="395" ht="12.75" customHeight="1">
      <c r="A395" s="119"/>
      <c r="B395" s="119"/>
      <c r="C395" s="119"/>
      <c r="D395" s="1"/>
      <c r="E395" s="119"/>
      <c r="F395" s="11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1"/>
      <c r="V395" s="121"/>
      <c r="W395" s="121"/>
    </row>
    <row r="396" ht="12.75" customHeight="1">
      <c r="A396" s="119"/>
      <c r="B396" s="119"/>
      <c r="C396" s="119"/>
      <c r="D396" s="1"/>
      <c r="E396" s="119"/>
      <c r="F396" s="11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1"/>
      <c r="V396" s="121"/>
      <c r="W396" s="121"/>
    </row>
    <row r="397" ht="12.75" customHeight="1">
      <c r="A397" s="119"/>
      <c r="B397" s="119"/>
      <c r="C397" s="119"/>
      <c r="D397" s="1"/>
      <c r="E397" s="119"/>
      <c r="F397" s="11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1"/>
      <c r="V397" s="121"/>
      <c r="W397" s="121"/>
    </row>
    <row r="398" ht="12.75" customHeight="1">
      <c r="A398" s="119"/>
      <c r="B398" s="119"/>
      <c r="C398" s="119"/>
      <c r="D398" s="1"/>
      <c r="E398" s="119"/>
      <c r="F398" s="11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1"/>
      <c r="V398" s="121"/>
      <c r="W398" s="121"/>
    </row>
    <row r="399" ht="12.75" customHeight="1">
      <c r="A399" s="119"/>
      <c r="B399" s="119"/>
      <c r="C399" s="119"/>
      <c r="D399" s="1"/>
      <c r="E399" s="119"/>
      <c r="F399" s="11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1"/>
      <c r="V399" s="121"/>
      <c r="W399" s="121"/>
    </row>
    <row r="400" ht="12.75" customHeight="1">
      <c r="A400" s="119"/>
      <c r="B400" s="119"/>
      <c r="C400" s="119"/>
      <c r="D400" s="1"/>
      <c r="E400" s="119"/>
      <c r="F400" s="11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1"/>
      <c r="V400" s="121"/>
      <c r="W400" s="121"/>
    </row>
    <row r="401" ht="12.75" customHeight="1">
      <c r="A401" s="119"/>
      <c r="B401" s="119"/>
      <c r="C401" s="119"/>
      <c r="D401" s="1"/>
      <c r="E401" s="119"/>
      <c r="F401" s="11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1"/>
      <c r="V401" s="121"/>
      <c r="W401" s="121"/>
    </row>
    <row r="402" ht="12.75" customHeight="1">
      <c r="A402" s="119"/>
      <c r="B402" s="119"/>
      <c r="C402" s="119"/>
      <c r="D402" s="1"/>
      <c r="E402" s="119"/>
      <c r="F402" s="11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1"/>
      <c r="V402" s="121"/>
      <c r="W402" s="121"/>
    </row>
    <row r="403" ht="12.75" customHeight="1">
      <c r="A403" s="119"/>
      <c r="B403" s="119"/>
      <c r="C403" s="119"/>
      <c r="D403" s="1"/>
      <c r="E403" s="119"/>
      <c r="F403" s="11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1"/>
      <c r="V403" s="121"/>
      <c r="W403" s="121"/>
    </row>
    <row r="404" ht="12.75" customHeight="1">
      <c r="A404" s="119"/>
      <c r="B404" s="119"/>
      <c r="C404" s="119"/>
      <c r="D404" s="1"/>
      <c r="E404" s="119"/>
      <c r="F404" s="11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1"/>
      <c r="V404" s="121"/>
      <c r="W404" s="121"/>
    </row>
    <row r="405" ht="12.75" customHeight="1">
      <c r="A405" s="119"/>
      <c r="B405" s="119"/>
      <c r="C405" s="119"/>
      <c r="D405" s="1"/>
      <c r="E405" s="119"/>
      <c r="F405" s="11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1"/>
      <c r="V405" s="121"/>
      <c r="W405" s="121"/>
    </row>
    <row r="406" ht="12.75" customHeight="1">
      <c r="A406" s="119"/>
      <c r="B406" s="119"/>
      <c r="C406" s="119"/>
      <c r="D406" s="1"/>
      <c r="E406" s="119"/>
      <c r="F406" s="11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1"/>
      <c r="V406" s="121"/>
      <c r="W406" s="121"/>
    </row>
    <row r="407" ht="12.75" customHeight="1">
      <c r="A407" s="119"/>
      <c r="B407" s="119"/>
      <c r="C407" s="119"/>
      <c r="D407" s="1"/>
      <c r="E407" s="119"/>
      <c r="F407" s="11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1"/>
      <c r="V407" s="121"/>
      <c r="W407" s="121"/>
    </row>
    <row r="408" ht="12.75" customHeight="1">
      <c r="A408" s="119"/>
      <c r="B408" s="119"/>
      <c r="C408" s="119"/>
      <c r="D408" s="1"/>
      <c r="E408" s="119"/>
      <c r="F408" s="11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1"/>
      <c r="V408" s="121"/>
      <c r="W408" s="121"/>
    </row>
    <row r="409" ht="12.75" customHeight="1">
      <c r="A409" s="119"/>
      <c r="B409" s="119"/>
      <c r="C409" s="119"/>
      <c r="D409" s="1"/>
      <c r="E409" s="119"/>
      <c r="F409" s="11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1"/>
      <c r="V409" s="121"/>
      <c r="W409" s="121"/>
    </row>
    <row r="410" ht="12.75" customHeight="1">
      <c r="A410" s="119"/>
      <c r="B410" s="119"/>
      <c r="C410" s="119"/>
      <c r="D410" s="1"/>
      <c r="E410" s="119"/>
      <c r="F410" s="11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1"/>
      <c r="V410" s="121"/>
      <c r="W410" s="121"/>
    </row>
    <row r="411" ht="12.75" customHeight="1">
      <c r="A411" s="119"/>
      <c r="B411" s="119"/>
      <c r="C411" s="119"/>
      <c r="D411" s="1"/>
      <c r="E411" s="119"/>
      <c r="F411" s="11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1"/>
      <c r="V411" s="121"/>
      <c r="W411" s="121"/>
    </row>
    <row r="412" ht="12.75" customHeight="1">
      <c r="A412" s="119"/>
      <c r="B412" s="119"/>
      <c r="C412" s="119"/>
      <c r="D412" s="1"/>
      <c r="E412" s="119"/>
      <c r="F412" s="11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1"/>
      <c r="V412" s="121"/>
      <c r="W412" s="121"/>
    </row>
    <row r="413" ht="12.75" customHeight="1">
      <c r="A413" s="119"/>
      <c r="B413" s="119"/>
      <c r="C413" s="119"/>
      <c r="D413" s="1"/>
      <c r="E413" s="119"/>
      <c r="F413" s="11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1"/>
      <c r="V413" s="121"/>
      <c r="W413" s="121"/>
    </row>
    <row r="414" ht="12.75" customHeight="1">
      <c r="A414" s="119"/>
      <c r="B414" s="119"/>
      <c r="C414" s="119"/>
      <c r="D414" s="1"/>
      <c r="E414" s="119"/>
      <c r="F414" s="11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1"/>
      <c r="V414" s="121"/>
      <c r="W414" s="121"/>
    </row>
    <row r="415" ht="12.75" customHeight="1">
      <c r="A415" s="119"/>
      <c r="B415" s="119"/>
      <c r="C415" s="119"/>
      <c r="D415" s="1"/>
      <c r="E415" s="119"/>
      <c r="F415" s="11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1"/>
      <c r="V415" s="121"/>
      <c r="W415" s="121"/>
    </row>
    <row r="416" ht="12.75" customHeight="1">
      <c r="A416" s="119"/>
      <c r="B416" s="119"/>
      <c r="C416" s="119"/>
      <c r="D416" s="1"/>
      <c r="E416" s="119"/>
      <c r="F416" s="11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1"/>
      <c r="V416" s="121"/>
      <c r="W416" s="121"/>
    </row>
    <row r="417" ht="12.75" customHeight="1">
      <c r="A417" s="119"/>
      <c r="B417" s="119"/>
      <c r="C417" s="119"/>
      <c r="D417" s="1"/>
      <c r="E417" s="119"/>
      <c r="F417" s="11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1"/>
      <c r="V417" s="121"/>
      <c r="W417" s="121"/>
    </row>
    <row r="418" ht="12.75" customHeight="1">
      <c r="A418" s="119"/>
      <c r="B418" s="119"/>
      <c r="C418" s="119"/>
      <c r="D418" s="1"/>
      <c r="E418" s="119"/>
      <c r="F418" s="11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1"/>
      <c r="V418" s="121"/>
      <c r="W418" s="121"/>
    </row>
    <row r="419" ht="12.75" customHeight="1">
      <c r="A419" s="119"/>
      <c r="B419" s="119"/>
      <c r="C419" s="119"/>
      <c r="D419" s="1"/>
      <c r="E419" s="119"/>
      <c r="F419" s="11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1"/>
      <c r="V419" s="121"/>
      <c r="W419" s="121"/>
    </row>
    <row r="420" ht="12.75" customHeight="1">
      <c r="A420" s="119"/>
      <c r="B420" s="119"/>
      <c r="C420" s="119"/>
      <c r="D420" s="1"/>
      <c r="E420" s="119"/>
      <c r="F420" s="11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1"/>
      <c r="V420" s="121"/>
      <c r="W420" s="121"/>
    </row>
    <row r="421" ht="12.75" customHeight="1">
      <c r="A421" s="119"/>
      <c r="B421" s="119"/>
      <c r="C421" s="119"/>
      <c r="D421" s="1"/>
      <c r="E421" s="119"/>
      <c r="F421" s="11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1"/>
      <c r="V421" s="121"/>
      <c r="W421" s="121"/>
    </row>
    <row r="422" ht="12.75" customHeight="1">
      <c r="A422" s="119"/>
      <c r="B422" s="119"/>
      <c r="C422" s="119"/>
      <c r="D422" s="1"/>
      <c r="E422" s="119"/>
      <c r="F422" s="11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1"/>
      <c r="V422" s="121"/>
      <c r="W422" s="121"/>
    </row>
    <row r="423" ht="12.75" customHeight="1">
      <c r="A423" s="119"/>
      <c r="B423" s="119"/>
      <c r="C423" s="119"/>
      <c r="D423" s="1"/>
      <c r="E423" s="119"/>
      <c r="F423" s="11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1"/>
      <c r="V423" s="121"/>
      <c r="W423" s="121"/>
    </row>
    <row r="424" ht="12.75" customHeight="1">
      <c r="A424" s="119"/>
      <c r="B424" s="119"/>
      <c r="C424" s="119"/>
      <c r="D424" s="1"/>
      <c r="E424" s="119"/>
      <c r="F424" s="11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1"/>
      <c r="V424" s="121"/>
      <c r="W424" s="121"/>
    </row>
    <row r="425" ht="12.75" customHeight="1">
      <c r="A425" s="119"/>
      <c r="B425" s="119"/>
      <c r="C425" s="119"/>
      <c r="D425" s="1"/>
      <c r="E425" s="119"/>
      <c r="F425" s="11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1"/>
      <c r="V425" s="121"/>
      <c r="W425" s="121"/>
    </row>
    <row r="426" ht="12.75" customHeight="1">
      <c r="A426" s="119"/>
      <c r="B426" s="119"/>
      <c r="C426" s="119"/>
      <c r="D426" s="1"/>
      <c r="E426" s="119"/>
      <c r="F426" s="11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1"/>
      <c r="V426" s="121"/>
      <c r="W426" s="121"/>
    </row>
    <row r="427" ht="12.75" customHeight="1">
      <c r="A427" s="119"/>
      <c r="B427" s="119"/>
      <c r="C427" s="119"/>
      <c r="D427" s="1"/>
      <c r="E427" s="119"/>
      <c r="F427" s="11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1"/>
      <c r="V427" s="121"/>
      <c r="W427" s="121"/>
    </row>
    <row r="428" ht="12.75" customHeight="1">
      <c r="A428" s="119"/>
      <c r="B428" s="119"/>
      <c r="C428" s="119"/>
      <c r="D428" s="1"/>
      <c r="E428" s="119"/>
      <c r="F428" s="11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1"/>
      <c r="V428" s="121"/>
      <c r="W428" s="121"/>
    </row>
    <row r="429" ht="12.75" customHeight="1">
      <c r="A429" s="119"/>
      <c r="B429" s="119"/>
      <c r="C429" s="119"/>
      <c r="D429" s="1"/>
      <c r="E429" s="119"/>
      <c r="F429" s="11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1"/>
      <c r="V429" s="121"/>
      <c r="W429" s="121"/>
    </row>
    <row r="430" ht="12.75" customHeight="1">
      <c r="A430" s="119"/>
      <c r="B430" s="119"/>
      <c r="C430" s="119"/>
      <c r="D430" s="1"/>
      <c r="E430" s="119"/>
      <c r="F430" s="11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1"/>
      <c r="V430" s="121"/>
      <c r="W430" s="121"/>
    </row>
    <row r="431" ht="12.75" customHeight="1">
      <c r="A431" s="119"/>
      <c r="B431" s="119"/>
      <c r="C431" s="119"/>
      <c r="D431" s="1"/>
      <c r="E431" s="119"/>
      <c r="F431" s="11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1"/>
      <c r="V431" s="121"/>
      <c r="W431" s="121"/>
    </row>
    <row r="432" ht="12.75" customHeight="1">
      <c r="A432" s="119"/>
      <c r="B432" s="119"/>
      <c r="C432" s="119"/>
      <c r="D432" s="1"/>
      <c r="E432" s="119"/>
      <c r="F432" s="11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1"/>
      <c r="V432" s="121"/>
      <c r="W432" s="121"/>
    </row>
    <row r="433" ht="12.75" customHeight="1">
      <c r="A433" s="119"/>
      <c r="B433" s="119"/>
      <c r="C433" s="119"/>
      <c r="D433" s="1"/>
      <c r="E433" s="119"/>
      <c r="F433" s="11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1"/>
      <c r="V433" s="121"/>
      <c r="W433" s="121"/>
    </row>
    <row r="434" ht="12.75" customHeight="1">
      <c r="A434" s="119"/>
      <c r="B434" s="119"/>
      <c r="C434" s="119"/>
      <c r="D434" s="1"/>
      <c r="E434" s="119"/>
      <c r="F434" s="11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1"/>
      <c r="V434" s="121"/>
      <c r="W434" s="121"/>
    </row>
    <row r="435" ht="12.75" customHeight="1">
      <c r="A435" s="119"/>
      <c r="B435" s="119"/>
      <c r="C435" s="119"/>
      <c r="D435" s="1"/>
      <c r="E435" s="119"/>
      <c r="F435" s="11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1"/>
      <c r="V435" s="121"/>
      <c r="W435" s="121"/>
    </row>
    <row r="436" ht="12.75" customHeight="1">
      <c r="A436" s="119"/>
      <c r="B436" s="119"/>
      <c r="C436" s="119"/>
      <c r="D436" s="1"/>
      <c r="E436" s="119"/>
      <c r="F436" s="11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1"/>
      <c r="V436" s="121"/>
      <c r="W436" s="121"/>
    </row>
    <row r="437" ht="12.75" customHeight="1">
      <c r="A437" s="119"/>
      <c r="B437" s="119"/>
      <c r="C437" s="119"/>
      <c r="D437" s="1"/>
      <c r="E437" s="119"/>
      <c r="F437" s="11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1"/>
      <c r="V437" s="121"/>
      <c r="W437" s="121"/>
    </row>
    <row r="438" ht="12.75" customHeight="1">
      <c r="A438" s="119"/>
      <c r="B438" s="119"/>
      <c r="C438" s="119"/>
      <c r="D438" s="1"/>
      <c r="E438" s="119"/>
      <c r="F438" s="11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1"/>
      <c r="V438" s="121"/>
      <c r="W438" s="121"/>
    </row>
    <row r="439" ht="12.75" customHeight="1">
      <c r="A439" s="119"/>
      <c r="B439" s="119"/>
      <c r="C439" s="119"/>
      <c r="D439" s="1"/>
      <c r="E439" s="119"/>
      <c r="F439" s="11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1"/>
      <c r="V439" s="121"/>
      <c r="W439" s="121"/>
    </row>
    <row r="440" ht="12.75" customHeight="1">
      <c r="A440" s="119"/>
      <c r="B440" s="119"/>
      <c r="C440" s="119"/>
      <c r="D440" s="1"/>
      <c r="E440" s="119"/>
      <c r="F440" s="11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1"/>
      <c r="V440" s="121"/>
      <c r="W440" s="121"/>
    </row>
    <row r="441" ht="12.75" customHeight="1">
      <c r="A441" s="119"/>
      <c r="B441" s="119"/>
      <c r="C441" s="119"/>
      <c r="D441" s="1"/>
      <c r="E441" s="119"/>
      <c r="F441" s="11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1"/>
      <c r="V441" s="121"/>
      <c r="W441" s="121"/>
    </row>
    <row r="442" ht="12.75" customHeight="1">
      <c r="A442" s="119"/>
      <c r="B442" s="119"/>
      <c r="C442" s="119"/>
      <c r="D442" s="1"/>
      <c r="E442" s="119"/>
      <c r="F442" s="11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1"/>
      <c r="V442" s="121"/>
      <c r="W442" s="121"/>
    </row>
    <row r="443" ht="12.75" customHeight="1">
      <c r="A443" s="119"/>
      <c r="B443" s="119"/>
      <c r="C443" s="119"/>
      <c r="D443" s="1"/>
      <c r="E443" s="119"/>
      <c r="F443" s="11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1"/>
      <c r="V443" s="121"/>
      <c r="W443" s="121"/>
    </row>
    <row r="444" ht="12.75" customHeight="1">
      <c r="A444" s="119"/>
      <c r="B444" s="119"/>
      <c r="C444" s="119"/>
      <c r="D444" s="1"/>
      <c r="E444" s="119"/>
      <c r="F444" s="11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1"/>
      <c r="V444" s="121"/>
      <c r="W444" s="121"/>
    </row>
    <row r="445" ht="12.75" customHeight="1">
      <c r="A445" s="119"/>
      <c r="B445" s="119"/>
      <c r="C445" s="119"/>
      <c r="D445" s="1"/>
      <c r="E445" s="119"/>
      <c r="F445" s="11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1"/>
      <c r="V445" s="121"/>
      <c r="W445" s="121"/>
    </row>
    <row r="446" ht="12.75" customHeight="1">
      <c r="A446" s="119"/>
      <c r="B446" s="119"/>
      <c r="C446" s="119"/>
      <c r="D446" s="1"/>
      <c r="E446" s="119"/>
      <c r="F446" s="11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1"/>
      <c r="V446" s="121"/>
      <c r="W446" s="121"/>
    </row>
    <row r="447" ht="12.75" customHeight="1">
      <c r="A447" s="119"/>
      <c r="B447" s="119"/>
      <c r="C447" s="119"/>
      <c r="D447" s="1"/>
      <c r="E447" s="119"/>
      <c r="F447" s="11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1"/>
      <c r="V447" s="121"/>
      <c r="W447" s="121"/>
    </row>
    <row r="448" ht="12.75" customHeight="1">
      <c r="A448" s="119"/>
      <c r="B448" s="119"/>
      <c r="C448" s="119"/>
      <c r="D448" s="1"/>
      <c r="E448" s="119"/>
      <c r="F448" s="11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1"/>
      <c r="V448" s="121"/>
      <c r="W448" s="121"/>
    </row>
    <row r="449" ht="12.75" customHeight="1">
      <c r="A449" s="119"/>
      <c r="B449" s="119"/>
      <c r="C449" s="119"/>
      <c r="D449" s="1"/>
      <c r="E449" s="119"/>
      <c r="F449" s="11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1"/>
      <c r="V449" s="121"/>
      <c r="W449" s="121"/>
    </row>
    <row r="450" ht="12.75" customHeight="1">
      <c r="A450" s="119"/>
      <c r="B450" s="119"/>
      <c r="C450" s="119"/>
      <c r="D450" s="1"/>
      <c r="E450" s="119"/>
      <c r="F450" s="11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1"/>
      <c r="V450" s="121"/>
      <c r="W450" s="121"/>
    </row>
    <row r="451" ht="12.75" customHeight="1">
      <c r="A451" s="119"/>
      <c r="B451" s="119"/>
      <c r="C451" s="119"/>
      <c r="D451" s="1"/>
      <c r="E451" s="119"/>
      <c r="F451" s="11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1"/>
      <c r="V451" s="121"/>
      <c r="W451" s="121"/>
    </row>
    <row r="452" ht="12.75" customHeight="1">
      <c r="A452" s="119"/>
      <c r="B452" s="119"/>
      <c r="C452" s="119"/>
      <c r="D452" s="1"/>
      <c r="E452" s="119"/>
      <c r="F452" s="11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1"/>
      <c r="V452" s="121"/>
      <c r="W452" s="121"/>
    </row>
    <row r="453" ht="12.75" customHeight="1">
      <c r="A453" s="119"/>
      <c r="B453" s="119"/>
      <c r="C453" s="119"/>
      <c r="D453" s="1"/>
      <c r="E453" s="119"/>
      <c r="F453" s="11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1"/>
      <c r="V453" s="121"/>
      <c r="W453" s="121"/>
    </row>
    <row r="454" ht="12.75" customHeight="1">
      <c r="A454" s="119"/>
      <c r="B454" s="119"/>
      <c r="C454" s="119"/>
      <c r="D454" s="1"/>
      <c r="E454" s="119"/>
      <c r="F454" s="11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1"/>
      <c r="V454" s="121"/>
      <c r="W454" s="121"/>
    </row>
    <row r="455" ht="12.75" customHeight="1">
      <c r="A455" s="119"/>
      <c r="B455" s="119"/>
      <c r="C455" s="119"/>
      <c r="D455" s="1"/>
      <c r="E455" s="119"/>
      <c r="F455" s="11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1"/>
      <c r="V455" s="121"/>
      <c r="W455" s="121"/>
    </row>
    <row r="456" ht="12.75" customHeight="1">
      <c r="A456" s="119"/>
      <c r="B456" s="119"/>
      <c r="C456" s="119"/>
      <c r="D456" s="1"/>
      <c r="E456" s="119"/>
      <c r="F456" s="11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1"/>
      <c r="V456" s="121"/>
      <c r="W456" s="121"/>
    </row>
    <row r="457" ht="12.75" customHeight="1">
      <c r="A457" s="119"/>
      <c r="B457" s="119"/>
      <c r="C457" s="119"/>
      <c r="D457" s="1"/>
      <c r="E457" s="119"/>
      <c r="F457" s="11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1"/>
      <c r="V457" s="121"/>
      <c r="W457" s="121"/>
    </row>
    <row r="458" ht="12.75" customHeight="1">
      <c r="A458" s="119"/>
      <c r="B458" s="119"/>
      <c r="C458" s="119"/>
      <c r="D458" s="1"/>
      <c r="E458" s="119"/>
      <c r="F458" s="11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1"/>
      <c r="V458" s="121"/>
      <c r="W458" s="121"/>
    </row>
    <row r="459" ht="12.75" customHeight="1">
      <c r="A459" s="119"/>
      <c r="B459" s="119"/>
      <c r="C459" s="119"/>
      <c r="D459" s="1"/>
      <c r="E459" s="119"/>
      <c r="F459" s="11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1"/>
      <c r="V459" s="121"/>
      <c r="W459" s="121"/>
    </row>
    <row r="460" ht="12.75" customHeight="1">
      <c r="A460" s="119"/>
      <c r="B460" s="119"/>
      <c r="C460" s="119"/>
      <c r="D460" s="1"/>
      <c r="E460" s="119"/>
      <c r="F460" s="11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1"/>
      <c r="V460" s="121"/>
      <c r="W460" s="121"/>
    </row>
    <row r="461" ht="12.75" customHeight="1">
      <c r="A461" s="119"/>
      <c r="B461" s="119"/>
      <c r="C461" s="119"/>
      <c r="D461" s="1"/>
      <c r="E461" s="119"/>
      <c r="F461" s="11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1"/>
      <c r="V461" s="121"/>
      <c r="W461" s="121"/>
    </row>
    <row r="462" ht="12.75" customHeight="1">
      <c r="A462" s="119"/>
      <c r="B462" s="119"/>
      <c r="C462" s="119"/>
      <c r="D462" s="1"/>
      <c r="E462" s="119"/>
      <c r="F462" s="11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1"/>
      <c r="V462" s="121"/>
      <c r="W462" s="121"/>
    </row>
    <row r="463" ht="12.75" customHeight="1">
      <c r="A463" s="119"/>
      <c r="B463" s="119"/>
      <c r="C463" s="119"/>
      <c r="D463" s="1"/>
      <c r="E463" s="119"/>
      <c r="F463" s="11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1"/>
      <c r="V463" s="121"/>
      <c r="W463" s="121"/>
    </row>
    <row r="464" ht="12.75" customHeight="1">
      <c r="A464" s="119"/>
      <c r="B464" s="119"/>
      <c r="C464" s="119"/>
      <c r="D464" s="1"/>
      <c r="E464" s="119"/>
      <c r="F464" s="11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1"/>
      <c r="V464" s="121"/>
      <c r="W464" s="121"/>
    </row>
    <row r="465" ht="12.75" customHeight="1">
      <c r="A465" s="119"/>
      <c r="B465" s="119"/>
      <c r="C465" s="119"/>
      <c r="D465" s="1"/>
      <c r="E465" s="119"/>
      <c r="F465" s="11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1"/>
      <c r="V465" s="121"/>
      <c r="W465" s="121"/>
    </row>
    <row r="466" ht="12.75" customHeight="1">
      <c r="A466" s="119"/>
      <c r="B466" s="119"/>
      <c r="C466" s="119"/>
      <c r="D466" s="1"/>
      <c r="E466" s="119"/>
      <c r="F466" s="11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1"/>
      <c r="V466" s="121"/>
      <c r="W466" s="121"/>
    </row>
    <row r="467" ht="12.75" customHeight="1">
      <c r="A467" s="119"/>
      <c r="B467" s="119"/>
      <c r="C467" s="119"/>
      <c r="D467" s="1"/>
      <c r="E467" s="119"/>
      <c r="F467" s="11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1"/>
      <c r="V467" s="121"/>
      <c r="W467" s="121"/>
    </row>
    <row r="468" ht="12.75" customHeight="1">
      <c r="A468" s="119"/>
      <c r="B468" s="119"/>
      <c r="C468" s="119"/>
      <c r="D468" s="1"/>
      <c r="E468" s="119"/>
      <c r="F468" s="11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1"/>
      <c r="V468" s="121"/>
      <c r="W468" s="121"/>
    </row>
    <row r="469" ht="12.75" customHeight="1">
      <c r="A469" s="119"/>
      <c r="B469" s="119"/>
      <c r="C469" s="119"/>
      <c r="D469" s="1"/>
      <c r="E469" s="119"/>
      <c r="F469" s="11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1"/>
      <c r="V469" s="121"/>
      <c r="W469" s="121"/>
    </row>
    <row r="470" ht="12.75" customHeight="1">
      <c r="A470" s="119"/>
      <c r="B470" s="119"/>
      <c r="C470" s="119"/>
      <c r="D470" s="1"/>
      <c r="E470" s="119"/>
      <c r="F470" s="11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1"/>
      <c r="V470" s="121"/>
      <c r="W470" s="121"/>
    </row>
    <row r="471" ht="12.75" customHeight="1">
      <c r="A471" s="119"/>
      <c r="B471" s="119"/>
      <c r="C471" s="119"/>
      <c r="D471" s="1"/>
      <c r="E471" s="119"/>
      <c r="F471" s="11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1"/>
      <c r="V471" s="121"/>
      <c r="W471" s="121"/>
    </row>
    <row r="472" ht="12.75" customHeight="1">
      <c r="A472" s="119"/>
      <c r="B472" s="119"/>
      <c r="C472" s="119"/>
      <c r="D472" s="1"/>
      <c r="E472" s="119"/>
      <c r="F472" s="11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1"/>
      <c r="V472" s="121"/>
      <c r="W472" s="121"/>
    </row>
    <row r="473" ht="12.75" customHeight="1">
      <c r="A473" s="119"/>
      <c r="B473" s="119"/>
      <c r="C473" s="119"/>
      <c r="D473" s="1"/>
      <c r="E473" s="119"/>
      <c r="F473" s="11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1"/>
      <c r="V473" s="121"/>
      <c r="W473" s="121"/>
    </row>
    <row r="474" ht="12.75" customHeight="1">
      <c r="A474" s="119"/>
      <c r="B474" s="119"/>
      <c r="C474" s="119"/>
      <c r="D474" s="1"/>
      <c r="E474" s="119"/>
      <c r="F474" s="11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1"/>
      <c r="V474" s="121"/>
      <c r="W474" s="121"/>
    </row>
    <row r="475" ht="12.75" customHeight="1">
      <c r="A475" s="119"/>
      <c r="B475" s="119"/>
      <c r="C475" s="119"/>
      <c r="D475" s="1"/>
      <c r="E475" s="119"/>
      <c r="F475" s="11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1"/>
      <c r="V475" s="121"/>
      <c r="W475" s="121"/>
    </row>
    <row r="476" ht="12.75" customHeight="1">
      <c r="A476" s="119"/>
      <c r="B476" s="119"/>
      <c r="C476" s="119"/>
      <c r="D476" s="1"/>
      <c r="E476" s="119"/>
      <c r="F476" s="11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1"/>
      <c r="V476" s="121"/>
      <c r="W476" s="121"/>
    </row>
    <row r="477" ht="12.75" customHeight="1">
      <c r="A477" s="119"/>
      <c r="B477" s="119"/>
      <c r="C477" s="119"/>
      <c r="D477" s="1"/>
      <c r="E477" s="119"/>
      <c r="F477" s="11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1"/>
      <c r="V477" s="121"/>
      <c r="W477" s="121"/>
    </row>
    <row r="478" ht="12.75" customHeight="1">
      <c r="A478" s="119"/>
      <c r="B478" s="119"/>
      <c r="C478" s="119"/>
      <c r="D478" s="1"/>
      <c r="E478" s="119"/>
      <c r="F478" s="11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1"/>
      <c r="V478" s="121"/>
      <c r="W478" s="121"/>
    </row>
    <row r="479" ht="12.75" customHeight="1">
      <c r="A479" s="119"/>
      <c r="B479" s="119"/>
      <c r="C479" s="119"/>
      <c r="D479" s="1"/>
      <c r="E479" s="119"/>
      <c r="F479" s="11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1"/>
      <c r="V479" s="121"/>
      <c r="W479" s="121"/>
    </row>
    <row r="480" ht="12.75" customHeight="1">
      <c r="A480" s="119"/>
      <c r="B480" s="119"/>
      <c r="C480" s="119"/>
      <c r="D480" s="1"/>
      <c r="E480" s="119"/>
      <c r="F480" s="11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1"/>
      <c r="V480" s="121"/>
      <c r="W480" s="121"/>
    </row>
    <row r="481" ht="12.75" customHeight="1">
      <c r="A481" s="119"/>
      <c r="B481" s="119"/>
      <c r="C481" s="119"/>
      <c r="D481" s="1"/>
      <c r="E481" s="119"/>
      <c r="F481" s="11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1"/>
      <c r="V481" s="121"/>
      <c r="W481" s="121"/>
    </row>
    <row r="482" ht="12.75" customHeight="1">
      <c r="A482" s="119"/>
      <c r="B482" s="119"/>
      <c r="C482" s="119"/>
      <c r="D482" s="1"/>
      <c r="E482" s="119"/>
      <c r="F482" s="11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1"/>
      <c r="V482" s="121"/>
      <c r="W482" s="121"/>
    </row>
    <row r="483" ht="12.75" customHeight="1">
      <c r="A483" s="119"/>
      <c r="B483" s="119"/>
      <c r="C483" s="119"/>
      <c r="D483" s="1"/>
      <c r="E483" s="119"/>
      <c r="F483" s="11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1"/>
      <c r="V483" s="121"/>
      <c r="W483" s="121"/>
    </row>
    <row r="484" ht="12.75" customHeight="1">
      <c r="A484" s="119"/>
      <c r="B484" s="119"/>
      <c r="C484" s="119"/>
      <c r="D484" s="1"/>
      <c r="E484" s="119"/>
      <c r="F484" s="11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1"/>
      <c r="V484" s="121"/>
      <c r="W484" s="121"/>
    </row>
    <row r="485" ht="12.75" customHeight="1">
      <c r="A485" s="119"/>
      <c r="B485" s="119"/>
      <c r="C485" s="119"/>
      <c r="D485" s="1"/>
      <c r="E485" s="119"/>
      <c r="F485" s="11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1"/>
      <c r="V485" s="121"/>
      <c r="W485" s="121"/>
    </row>
    <row r="486" ht="12.75" customHeight="1">
      <c r="A486" s="119"/>
      <c r="B486" s="119"/>
      <c r="C486" s="119"/>
      <c r="D486" s="1"/>
      <c r="E486" s="119"/>
      <c r="F486" s="11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1"/>
      <c r="V486" s="121"/>
      <c r="W486" s="121"/>
    </row>
    <row r="487" ht="12.75" customHeight="1">
      <c r="A487" s="119"/>
      <c r="B487" s="119"/>
      <c r="C487" s="119"/>
      <c r="D487" s="1"/>
      <c r="E487" s="119"/>
      <c r="F487" s="11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1"/>
      <c r="V487" s="121"/>
      <c r="W487" s="121"/>
    </row>
    <row r="488" ht="12.75" customHeight="1">
      <c r="A488" s="119"/>
      <c r="B488" s="119"/>
      <c r="C488" s="119"/>
      <c r="D488" s="1"/>
      <c r="E488" s="119"/>
      <c r="F488" s="11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1"/>
      <c r="V488" s="121"/>
      <c r="W488" s="121"/>
    </row>
    <row r="489" ht="12.75" customHeight="1">
      <c r="A489" s="119"/>
      <c r="B489" s="119"/>
      <c r="C489" s="119"/>
      <c r="D489" s="1"/>
      <c r="E489" s="119"/>
      <c r="F489" s="11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1"/>
      <c r="V489" s="121"/>
      <c r="W489" s="121"/>
    </row>
    <row r="490" ht="12.75" customHeight="1">
      <c r="A490" s="119"/>
      <c r="B490" s="119"/>
      <c r="C490" s="119"/>
      <c r="D490" s="1"/>
      <c r="E490" s="119"/>
      <c r="F490" s="11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1"/>
      <c r="V490" s="121"/>
      <c r="W490" s="121"/>
    </row>
    <row r="491" ht="12.75" customHeight="1">
      <c r="A491" s="119"/>
      <c r="B491" s="119"/>
      <c r="C491" s="119"/>
      <c r="D491" s="1"/>
      <c r="E491" s="119"/>
      <c r="F491" s="11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1"/>
      <c r="V491" s="121"/>
      <c r="W491" s="121"/>
    </row>
    <row r="492" ht="12.75" customHeight="1">
      <c r="A492" s="119"/>
      <c r="B492" s="119"/>
      <c r="C492" s="119"/>
      <c r="D492" s="1"/>
      <c r="E492" s="119"/>
      <c r="F492" s="11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1"/>
      <c r="V492" s="121"/>
      <c r="W492" s="121"/>
    </row>
    <row r="493" ht="12.75" customHeight="1">
      <c r="A493" s="119"/>
      <c r="B493" s="119"/>
      <c r="C493" s="119"/>
      <c r="D493" s="1"/>
      <c r="E493" s="119"/>
      <c r="F493" s="11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1"/>
      <c r="V493" s="121"/>
      <c r="W493" s="121"/>
    </row>
    <row r="494" ht="12.75" customHeight="1">
      <c r="A494" s="119"/>
      <c r="B494" s="119"/>
      <c r="C494" s="119"/>
      <c r="D494" s="1"/>
      <c r="E494" s="119"/>
      <c r="F494" s="11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1"/>
      <c r="V494" s="121"/>
      <c r="W494" s="121"/>
    </row>
    <row r="495" ht="12.75" customHeight="1">
      <c r="A495" s="119"/>
      <c r="B495" s="119"/>
      <c r="C495" s="119"/>
      <c r="D495" s="1"/>
      <c r="E495" s="119"/>
      <c r="F495" s="11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1"/>
      <c r="V495" s="121"/>
      <c r="W495" s="121"/>
    </row>
    <row r="496" ht="12.75" customHeight="1">
      <c r="A496" s="119"/>
      <c r="B496" s="119"/>
      <c r="C496" s="119"/>
      <c r="D496" s="1"/>
      <c r="E496" s="119"/>
      <c r="F496" s="11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1"/>
      <c r="V496" s="121"/>
      <c r="W496" s="121"/>
    </row>
    <row r="497" ht="12.75" customHeight="1">
      <c r="A497" s="119"/>
      <c r="B497" s="119"/>
      <c r="C497" s="119"/>
      <c r="D497" s="1"/>
      <c r="E497" s="119"/>
      <c r="F497" s="11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1"/>
      <c r="V497" s="121"/>
      <c r="W497" s="121"/>
    </row>
    <row r="498" ht="12.75" customHeight="1">
      <c r="A498" s="119"/>
      <c r="B498" s="119"/>
      <c r="C498" s="119"/>
      <c r="D498" s="1"/>
      <c r="E498" s="119"/>
      <c r="F498" s="11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1"/>
      <c r="V498" s="121"/>
      <c r="W498" s="121"/>
    </row>
    <row r="499" ht="12.75" customHeight="1">
      <c r="A499" s="119"/>
      <c r="B499" s="119"/>
      <c r="C499" s="119"/>
      <c r="D499" s="1"/>
      <c r="E499" s="119"/>
      <c r="F499" s="11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1"/>
      <c r="V499" s="121"/>
      <c r="W499" s="121"/>
    </row>
    <row r="500" ht="12.75" customHeight="1">
      <c r="A500" s="119"/>
      <c r="B500" s="119"/>
      <c r="C500" s="119"/>
      <c r="D500" s="1"/>
      <c r="E500" s="119"/>
      <c r="F500" s="11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1"/>
      <c r="V500" s="121"/>
      <c r="W500" s="121"/>
    </row>
    <row r="501" ht="12.75" customHeight="1">
      <c r="A501" s="119"/>
      <c r="B501" s="119"/>
      <c r="C501" s="119"/>
      <c r="D501" s="1"/>
      <c r="E501" s="119"/>
      <c r="F501" s="11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1"/>
      <c r="V501" s="121"/>
      <c r="W501" s="121"/>
    </row>
    <row r="502" ht="12.75" customHeight="1">
      <c r="A502" s="119"/>
      <c r="B502" s="119"/>
      <c r="C502" s="119"/>
      <c r="D502" s="1"/>
      <c r="E502" s="119"/>
      <c r="F502" s="11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1"/>
      <c r="V502" s="121"/>
      <c r="W502" s="121"/>
    </row>
    <row r="503" ht="12.75" customHeight="1">
      <c r="A503" s="119"/>
      <c r="B503" s="119"/>
      <c r="C503" s="119"/>
      <c r="D503" s="1"/>
      <c r="E503" s="119"/>
      <c r="F503" s="11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1"/>
      <c r="V503" s="121"/>
      <c r="W503" s="121"/>
    </row>
    <row r="504" ht="12.75" customHeight="1">
      <c r="A504" s="119"/>
      <c r="B504" s="119"/>
      <c r="C504" s="119"/>
      <c r="D504" s="1"/>
      <c r="E504" s="119"/>
      <c r="F504" s="11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1"/>
      <c r="V504" s="121"/>
      <c r="W504" s="121"/>
    </row>
    <row r="505" ht="12.75" customHeight="1">
      <c r="A505" s="119"/>
      <c r="B505" s="119"/>
      <c r="C505" s="119"/>
      <c r="D505" s="1"/>
      <c r="E505" s="119"/>
      <c r="F505" s="11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1"/>
      <c r="V505" s="121"/>
      <c r="W505" s="121"/>
    </row>
    <row r="506" ht="12.75" customHeight="1">
      <c r="A506" s="119"/>
      <c r="B506" s="119"/>
      <c r="C506" s="119"/>
      <c r="D506" s="1"/>
      <c r="E506" s="119"/>
      <c r="F506" s="11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1"/>
      <c r="V506" s="121"/>
      <c r="W506" s="121"/>
    </row>
    <row r="507" ht="12.75" customHeight="1">
      <c r="A507" s="119"/>
      <c r="B507" s="119"/>
      <c r="C507" s="119"/>
      <c r="D507" s="1"/>
      <c r="E507" s="119"/>
      <c r="F507" s="11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1"/>
      <c r="V507" s="121"/>
      <c r="W507" s="121"/>
    </row>
    <row r="508" ht="12.75" customHeight="1">
      <c r="A508" s="119"/>
      <c r="B508" s="119"/>
      <c r="C508" s="119"/>
      <c r="D508" s="1"/>
      <c r="E508" s="119"/>
      <c r="F508" s="11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1"/>
      <c r="V508" s="121"/>
      <c r="W508" s="121"/>
    </row>
    <row r="509" ht="12.75" customHeight="1">
      <c r="A509" s="119"/>
      <c r="B509" s="119"/>
      <c r="C509" s="119"/>
      <c r="D509" s="1"/>
      <c r="E509" s="119"/>
      <c r="F509" s="11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1"/>
      <c r="V509" s="121"/>
      <c r="W509" s="121"/>
    </row>
    <row r="510" ht="12.75" customHeight="1">
      <c r="A510" s="119"/>
      <c r="B510" s="119"/>
      <c r="C510" s="119"/>
      <c r="D510" s="1"/>
      <c r="E510" s="119"/>
      <c r="F510" s="11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1"/>
      <c r="V510" s="121"/>
      <c r="W510" s="121"/>
    </row>
    <row r="511" ht="12.75" customHeight="1">
      <c r="A511" s="119"/>
      <c r="B511" s="119"/>
      <c r="C511" s="119"/>
      <c r="D511" s="1"/>
      <c r="E511" s="119"/>
      <c r="F511" s="11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1"/>
      <c r="V511" s="121"/>
      <c r="W511" s="121"/>
    </row>
    <row r="512" ht="12.75" customHeight="1">
      <c r="A512" s="119"/>
      <c r="B512" s="119"/>
      <c r="C512" s="119"/>
      <c r="D512" s="1"/>
      <c r="E512" s="119"/>
      <c r="F512" s="11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1"/>
      <c r="V512" s="121"/>
      <c r="W512" s="121"/>
    </row>
    <row r="513" ht="12.75" customHeight="1">
      <c r="A513" s="119"/>
      <c r="B513" s="119"/>
      <c r="C513" s="119"/>
      <c r="D513" s="1"/>
      <c r="E513" s="119"/>
      <c r="F513" s="11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1"/>
      <c r="V513" s="121"/>
      <c r="W513" s="121"/>
    </row>
    <row r="514" ht="12.75" customHeight="1">
      <c r="A514" s="119"/>
      <c r="B514" s="119"/>
      <c r="C514" s="119"/>
      <c r="D514" s="1"/>
      <c r="E514" s="119"/>
      <c r="F514" s="11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1"/>
      <c r="V514" s="121"/>
      <c r="W514" s="121"/>
    </row>
    <row r="515" ht="12.75" customHeight="1">
      <c r="A515" s="119"/>
      <c r="B515" s="119"/>
      <c r="C515" s="119"/>
      <c r="D515" s="1"/>
      <c r="E515" s="119"/>
      <c r="F515" s="11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1"/>
      <c r="V515" s="121"/>
      <c r="W515" s="121"/>
    </row>
    <row r="516" ht="12.75" customHeight="1">
      <c r="A516" s="119"/>
      <c r="B516" s="119"/>
      <c r="C516" s="119"/>
      <c r="D516" s="1"/>
      <c r="E516" s="119"/>
      <c r="F516" s="11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1"/>
      <c r="V516" s="121"/>
      <c r="W516" s="121"/>
    </row>
    <row r="517" ht="12.75" customHeight="1">
      <c r="A517" s="119"/>
      <c r="B517" s="119"/>
      <c r="C517" s="119"/>
      <c r="D517" s="1"/>
      <c r="E517" s="119"/>
      <c r="F517" s="11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1"/>
      <c r="V517" s="121"/>
      <c r="W517" s="121"/>
    </row>
    <row r="518" ht="12.75" customHeight="1">
      <c r="A518" s="119"/>
      <c r="B518" s="119"/>
      <c r="C518" s="119"/>
      <c r="D518" s="1"/>
      <c r="E518" s="119"/>
      <c r="F518" s="11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1"/>
      <c r="V518" s="121"/>
      <c r="W518" s="121"/>
    </row>
    <row r="519" ht="12.75" customHeight="1">
      <c r="A519" s="119"/>
      <c r="B519" s="119"/>
      <c r="C519" s="119"/>
      <c r="D519" s="1"/>
      <c r="E519" s="119"/>
      <c r="F519" s="11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1"/>
      <c r="V519" s="121"/>
      <c r="W519" s="121"/>
    </row>
    <row r="520" ht="12.75" customHeight="1">
      <c r="A520" s="119"/>
      <c r="B520" s="119"/>
      <c r="C520" s="119"/>
      <c r="D520" s="1"/>
      <c r="E520" s="119"/>
      <c r="F520" s="11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1"/>
      <c r="V520" s="121"/>
      <c r="W520" s="121"/>
    </row>
    <row r="521" ht="12.75" customHeight="1">
      <c r="A521" s="119"/>
      <c r="B521" s="119"/>
      <c r="C521" s="119"/>
      <c r="D521" s="1"/>
      <c r="E521" s="119"/>
      <c r="F521" s="11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1"/>
      <c r="V521" s="121"/>
      <c r="W521" s="121"/>
    </row>
    <row r="522" ht="12.75" customHeight="1">
      <c r="A522" s="119"/>
      <c r="B522" s="119"/>
      <c r="C522" s="119"/>
      <c r="D522" s="1"/>
      <c r="E522" s="119"/>
      <c r="F522" s="11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1"/>
      <c r="V522" s="121"/>
      <c r="W522" s="121"/>
    </row>
    <row r="523" ht="12.75" customHeight="1">
      <c r="A523" s="119"/>
      <c r="B523" s="119"/>
      <c r="C523" s="119"/>
      <c r="D523" s="1"/>
      <c r="E523" s="119"/>
      <c r="F523" s="11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1"/>
      <c r="V523" s="121"/>
      <c r="W523" s="121"/>
    </row>
    <row r="524" ht="12.75" customHeight="1">
      <c r="A524" s="119"/>
      <c r="B524" s="119"/>
      <c r="C524" s="119"/>
      <c r="D524" s="1"/>
      <c r="E524" s="119"/>
      <c r="F524" s="11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1"/>
      <c r="V524" s="121"/>
      <c r="W524" s="121"/>
    </row>
    <row r="525" ht="12.75" customHeight="1">
      <c r="A525" s="119"/>
      <c r="B525" s="119"/>
      <c r="C525" s="119"/>
      <c r="D525" s="1"/>
      <c r="E525" s="119"/>
      <c r="F525" s="11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1"/>
      <c r="V525" s="121"/>
      <c r="W525" s="121"/>
    </row>
    <row r="526" ht="12.75" customHeight="1">
      <c r="A526" s="119"/>
      <c r="B526" s="119"/>
      <c r="C526" s="119"/>
      <c r="D526" s="1"/>
      <c r="E526" s="119"/>
      <c r="F526" s="11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1"/>
      <c r="V526" s="121"/>
      <c r="W526" s="121"/>
    </row>
    <row r="527" ht="12.75" customHeight="1">
      <c r="A527" s="119"/>
      <c r="B527" s="119"/>
      <c r="C527" s="119"/>
      <c r="D527" s="1"/>
      <c r="E527" s="119"/>
      <c r="F527" s="11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1"/>
      <c r="V527" s="121"/>
      <c r="W527" s="121"/>
    </row>
    <row r="528" ht="12.75" customHeight="1">
      <c r="A528" s="119"/>
      <c r="B528" s="119"/>
      <c r="C528" s="119"/>
      <c r="D528" s="1"/>
      <c r="E528" s="119"/>
      <c r="F528" s="11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1"/>
      <c r="V528" s="121"/>
      <c r="W528" s="121"/>
    </row>
    <row r="529" ht="12.75" customHeight="1">
      <c r="A529" s="119"/>
      <c r="B529" s="119"/>
      <c r="C529" s="119"/>
      <c r="D529" s="1"/>
      <c r="E529" s="119"/>
      <c r="F529" s="11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1"/>
      <c r="V529" s="121"/>
      <c r="W529" s="121"/>
    </row>
    <row r="530" ht="12.75" customHeight="1">
      <c r="A530" s="119"/>
      <c r="B530" s="119"/>
      <c r="C530" s="119"/>
      <c r="D530" s="1"/>
      <c r="E530" s="119"/>
      <c r="F530" s="11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1"/>
      <c r="V530" s="121"/>
      <c r="W530" s="121"/>
    </row>
    <row r="531" ht="12.75" customHeight="1">
      <c r="A531" s="119"/>
      <c r="B531" s="119"/>
      <c r="C531" s="119"/>
      <c r="D531" s="1"/>
      <c r="E531" s="119"/>
      <c r="F531" s="11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1"/>
      <c r="V531" s="121"/>
      <c r="W531" s="121"/>
    </row>
    <row r="532" ht="12.75" customHeight="1">
      <c r="A532" s="119"/>
      <c r="B532" s="119"/>
      <c r="C532" s="119"/>
      <c r="D532" s="1"/>
      <c r="E532" s="119"/>
      <c r="F532" s="11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1"/>
      <c r="V532" s="121"/>
      <c r="W532" s="121"/>
    </row>
    <row r="533" ht="12.75" customHeight="1">
      <c r="A533" s="119"/>
      <c r="B533" s="119"/>
      <c r="C533" s="119"/>
      <c r="D533" s="1"/>
      <c r="E533" s="119"/>
      <c r="F533" s="11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1"/>
      <c r="V533" s="121"/>
      <c r="W533" s="121"/>
    </row>
    <row r="534" ht="12.75" customHeight="1">
      <c r="A534" s="119"/>
      <c r="B534" s="119"/>
      <c r="C534" s="119"/>
      <c r="D534" s="1"/>
      <c r="E534" s="119"/>
      <c r="F534" s="11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1"/>
      <c r="V534" s="121"/>
      <c r="W534" s="121"/>
    </row>
    <row r="535" ht="12.75" customHeight="1">
      <c r="A535" s="119"/>
      <c r="B535" s="119"/>
      <c r="C535" s="119"/>
      <c r="D535" s="1"/>
      <c r="E535" s="119"/>
      <c r="F535" s="11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1"/>
      <c r="V535" s="121"/>
      <c r="W535" s="121"/>
    </row>
    <row r="536" ht="12.75" customHeight="1">
      <c r="A536" s="119"/>
      <c r="B536" s="119"/>
      <c r="C536" s="119"/>
      <c r="D536" s="1"/>
      <c r="E536" s="119"/>
      <c r="F536" s="11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1"/>
      <c r="V536" s="121"/>
      <c r="W536" s="121"/>
    </row>
    <row r="537" ht="12.75" customHeight="1">
      <c r="A537" s="119"/>
      <c r="B537" s="119"/>
      <c r="C537" s="119"/>
      <c r="D537" s="1"/>
      <c r="E537" s="119"/>
      <c r="F537" s="11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1"/>
      <c r="V537" s="121"/>
      <c r="W537" s="121"/>
    </row>
    <row r="538" ht="12.75" customHeight="1">
      <c r="A538" s="119"/>
      <c r="B538" s="119"/>
      <c r="C538" s="119"/>
      <c r="D538" s="1"/>
      <c r="E538" s="119"/>
      <c r="F538" s="11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1"/>
      <c r="V538" s="121"/>
      <c r="W538" s="121"/>
    </row>
    <row r="539" ht="12.75" customHeight="1">
      <c r="A539" s="119"/>
      <c r="B539" s="119"/>
      <c r="C539" s="119"/>
      <c r="D539" s="1"/>
      <c r="E539" s="119"/>
      <c r="F539" s="11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1"/>
      <c r="V539" s="121"/>
      <c r="W539" s="121"/>
    </row>
    <row r="540" ht="12.75" customHeight="1">
      <c r="A540" s="119"/>
      <c r="B540" s="119"/>
      <c r="C540" s="119"/>
      <c r="D540" s="1"/>
      <c r="E540" s="119"/>
      <c r="F540" s="11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1"/>
      <c r="V540" s="121"/>
      <c r="W540" s="121"/>
    </row>
    <row r="541" ht="12.75" customHeight="1">
      <c r="A541" s="119"/>
      <c r="B541" s="119"/>
      <c r="C541" s="119"/>
      <c r="D541" s="1"/>
      <c r="E541" s="119"/>
      <c r="F541" s="11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1"/>
      <c r="V541" s="121"/>
      <c r="W541" s="121"/>
    </row>
    <row r="542" ht="12.75" customHeight="1">
      <c r="A542" s="119"/>
      <c r="B542" s="119"/>
      <c r="C542" s="119"/>
      <c r="D542" s="1"/>
      <c r="E542" s="119"/>
      <c r="F542" s="11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1"/>
      <c r="V542" s="121"/>
      <c r="W542" s="121"/>
    </row>
    <row r="543" ht="12.75" customHeight="1">
      <c r="A543" s="119"/>
      <c r="B543" s="119"/>
      <c r="C543" s="119"/>
      <c r="D543" s="1"/>
      <c r="E543" s="119"/>
      <c r="F543" s="11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1"/>
      <c r="V543" s="121"/>
      <c r="W543" s="121"/>
    </row>
    <row r="544" ht="12.75" customHeight="1">
      <c r="A544" s="119"/>
      <c r="B544" s="119"/>
      <c r="C544" s="119"/>
      <c r="D544" s="1"/>
      <c r="E544" s="119"/>
      <c r="F544" s="11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1"/>
      <c r="V544" s="121"/>
      <c r="W544" s="121"/>
    </row>
    <row r="545" ht="12.75" customHeight="1">
      <c r="A545" s="119"/>
      <c r="B545" s="119"/>
      <c r="C545" s="119"/>
      <c r="D545" s="1"/>
      <c r="E545" s="119"/>
      <c r="F545" s="11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1"/>
      <c r="V545" s="121"/>
      <c r="W545" s="121"/>
    </row>
    <row r="546" ht="12.75" customHeight="1">
      <c r="A546" s="119"/>
      <c r="B546" s="119"/>
      <c r="C546" s="119"/>
      <c r="D546" s="1"/>
      <c r="E546" s="119"/>
      <c r="F546" s="11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1"/>
      <c r="V546" s="121"/>
      <c r="W546" s="121"/>
    </row>
    <row r="547" ht="12.75" customHeight="1">
      <c r="A547" s="119"/>
      <c r="B547" s="119"/>
      <c r="C547" s="119"/>
      <c r="D547" s="1"/>
      <c r="E547" s="119"/>
      <c r="F547" s="11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1"/>
      <c r="V547" s="121"/>
      <c r="W547" s="121"/>
    </row>
    <row r="548" ht="12.75" customHeight="1">
      <c r="A548" s="119"/>
      <c r="B548" s="119"/>
      <c r="C548" s="119"/>
      <c r="D548" s="1"/>
      <c r="E548" s="119"/>
      <c r="F548" s="11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1"/>
      <c r="V548" s="121"/>
      <c r="W548" s="121"/>
    </row>
    <row r="549" ht="12.75" customHeight="1">
      <c r="A549" s="119"/>
      <c r="B549" s="119"/>
      <c r="C549" s="119"/>
      <c r="D549" s="1"/>
      <c r="E549" s="119"/>
      <c r="F549" s="11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1"/>
      <c r="V549" s="121"/>
      <c r="W549" s="121"/>
    </row>
    <row r="550" ht="12.75" customHeight="1">
      <c r="A550" s="119"/>
      <c r="B550" s="119"/>
      <c r="C550" s="119"/>
      <c r="D550" s="1"/>
      <c r="E550" s="119"/>
      <c r="F550" s="11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1"/>
      <c r="V550" s="121"/>
      <c r="W550" s="121"/>
    </row>
    <row r="551" ht="12.75" customHeight="1">
      <c r="A551" s="119"/>
      <c r="B551" s="119"/>
      <c r="C551" s="119"/>
      <c r="D551" s="1"/>
      <c r="E551" s="119"/>
      <c r="F551" s="11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1"/>
      <c r="V551" s="121"/>
      <c r="W551" s="121"/>
    </row>
    <row r="552" ht="12.75" customHeight="1">
      <c r="A552" s="119"/>
      <c r="B552" s="119"/>
      <c r="C552" s="119"/>
      <c r="D552" s="1"/>
      <c r="E552" s="119"/>
      <c r="F552" s="11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1"/>
      <c r="V552" s="121"/>
      <c r="W552" s="121"/>
    </row>
    <row r="553" ht="12.75" customHeight="1">
      <c r="A553" s="119"/>
      <c r="B553" s="119"/>
      <c r="C553" s="119"/>
      <c r="D553" s="1"/>
      <c r="E553" s="119"/>
      <c r="F553" s="11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1"/>
      <c r="V553" s="121"/>
      <c r="W553" s="121"/>
    </row>
    <row r="554" ht="12.75" customHeight="1">
      <c r="A554" s="119"/>
      <c r="B554" s="119"/>
      <c r="C554" s="119"/>
      <c r="D554" s="1"/>
      <c r="E554" s="119"/>
      <c r="F554" s="11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1"/>
      <c r="V554" s="121"/>
      <c r="W554" s="121"/>
    </row>
    <row r="555" ht="12.75" customHeight="1">
      <c r="A555" s="119"/>
      <c r="B555" s="119"/>
      <c r="C555" s="119"/>
      <c r="D555" s="1"/>
      <c r="E555" s="119"/>
      <c r="F555" s="11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1"/>
      <c r="V555" s="121"/>
      <c r="W555" s="121"/>
    </row>
    <row r="556" ht="12.75" customHeight="1">
      <c r="A556" s="119"/>
      <c r="B556" s="119"/>
      <c r="C556" s="119"/>
      <c r="D556" s="1"/>
      <c r="E556" s="119"/>
      <c r="F556" s="11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1"/>
      <c r="V556" s="121"/>
      <c r="W556" s="121"/>
    </row>
    <row r="557" ht="12.75" customHeight="1">
      <c r="A557" s="119"/>
      <c r="B557" s="119"/>
      <c r="C557" s="119"/>
      <c r="D557" s="1"/>
      <c r="E557" s="119"/>
      <c r="F557" s="11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1"/>
      <c r="V557" s="121"/>
      <c r="W557" s="121"/>
    </row>
    <row r="558" ht="12.75" customHeight="1">
      <c r="A558" s="119"/>
      <c r="B558" s="119"/>
      <c r="C558" s="119"/>
      <c r="D558" s="1"/>
      <c r="E558" s="119"/>
      <c r="F558" s="11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1"/>
      <c r="V558" s="121"/>
      <c r="W558" s="121"/>
    </row>
    <row r="559" ht="12.75" customHeight="1">
      <c r="A559" s="119"/>
      <c r="B559" s="119"/>
      <c r="C559" s="119"/>
      <c r="D559" s="1"/>
      <c r="E559" s="119"/>
      <c r="F559" s="11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1"/>
      <c r="V559" s="121"/>
      <c r="W559" s="121"/>
    </row>
    <row r="560" ht="12.75" customHeight="1">
      <c r="A560" s="119"/>
      <c r="B560" s="119"/>
      <c r="C560" s="119"/>
      <c r="D560" s="1"/>
      <c r="E560" s="119"/>
      <c r="F560" s="11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1"/>
      <c r="V560" s="121"/>
      <c r="W560" s="121"/>
    </row>
    <row r="561" ht="12.75" customHeight="1">
      <c r="A561" s="119"/>
      <c r="B561" s="119"/>
      <c r="C561" s="119"/>
      <c r="D561" s="1"/>
      <c r="E561" s="119"/>
      <c r="F561" s="11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1"/>
      <c r="V561" s="121"/>
      <c r="W561" s="121"/>
    </row>
    <row r="562" ht="12.75" customHeight="1">
      <c r="A562" s="119"/>
      <c r="B562" s="119"/>
      <c r="C562" s="119"/>
      <c r="D562" s="1"/>
      <c r="E562" s="119"/>
      <c r="F562" s="11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1"/>
      <c r="V562" s="121"/>
      <c r="W562" s="121"/>
    </row>
    <row r="563" ht="12.75" customHeight="1">
      <c r="A563" s="119"/>
      <c r="B563" s="119"/>
      <c r="C563" s="119"/>
      <c r="D563" s="1"/>
      <c r="E563" s="119"/>
      <c r="F563" s="11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1"/>
      <c r="V563" s="121"/>
      <c r="W563" s="121"/>
    </row>
    <row r="564" ht="12.75" customHeight="1">
      <c r="A564" s="119"/>
      <c r="B564" s="119"/>
      <c r="C564" s="119"/>
      <c r="D564" s="1"/>
      <c r="E564" s="119"/>
      <c r="F564" s="11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1"/>
      <c r="V564" s="121"/>
      <c r="W564" s="121"/>
    </row>
    <row r="565" ht="12.75" customHeight="1">
      <c r="A565" s="119"/>
      <c r="B565" s="119"/>
      <c r="C565" s="119"/>
      <c r="D565" s="1"/>
      <c r="E565" s="119"/>
      <c r="F565" s="11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1"/>
      <c r="V565" s="121"/>
      <c r="W565" s="121"/>
    </row>
    <row r="566" ht="12.75" customHeight="1">
      <c r="A566" s="119"/>
      <c r="B566" s="119"/>
      <c r="C566" s="119"/>
      <c r="D566" s="1"/>
      <c r="E566" s="119"/>
      <c r="F566" s="11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1"/>
      <c r="V566" s="121"/>
      <c r="W566" s="121"/>
    </row>
    <row r="567" ht="12.75" customHeight="1">
      <c r="A567" s="119"/>
      <c r="B567" s="119"/>
      <c r="C567" s="119"/>
      <c r="D567" s="1"/>
      <c r="E567" s="119"/>
      <c r="F567" s="11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1"/>
      <c r="V567" s="121"/>
      <c r="W567" s="121"/>
    </row>
    <row r="568" ht="12.75" customHeight="1">
      <c r="A568" s="119"/>
      <c r="B568" s="119"/>
      <c r="C568" s="119"/>
      <c r="D568" s="1"/>
      <c r="E568" s="119"/>
      <c r="F568" s="11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1"/>
      <c r="V568" s="121"/>
      <c r="W568" s="121"/>
    </row>
    <row r="569" ht="12.75" customHeight="1">
      <c r="A569" s="119"/>
      <c r="B569" s="119"/>
      <c r="C569" s="119"/>
      <c r="D569" s="1"/>
      <c r="E569" s="119"/>
      <c r="F569" s="11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1"/>
      <c r="V569" s="121"/>
      <c r="W569" s="121"/>
    </row>
    <row r="570" ht="12.75" customHeight="1">
      <c r="A570" s="119"/>
      <c r="B570" s="119"/>
      <c r="C570" s="119"/>
      <c r="D570" s="1"/>
      <c r="E570" s="119"/>
      <c r="F570" s="11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1"/>
      <c r="V570" s="121"/>
      <c r="W570" s="121"/>
    </row>
    <row r="571" ht="12.75" customHeight="1">
      <c r="A571" s="119"/>
      <c r="B571" s="119"/>
      <c r="C571" s="119"/>
      <c r="D571" s="1"/>
      <c r="E571" s="119"/>
      <c r="F571" s="11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1"/>
      <c r="V571" s="121"/>
      <c r="W571" s="121"/>
    </row>
    <row r="572" ht="12.75" customHeight="1">
      <c r="A572" s="119"/>
      <c r="B572" s="119"/>
      <c r="C572" s="119"/>
      <c r="D572" s="1"/>
      <c r="E572" s="119"/>
      <c r="F572" s="11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1"/>
      <c r="V572" s="121"/>
      <c r="W572" s="121"/>
    </row>
    <row r="573" ht="12.75" customHeight="1">
      <c r="A573" s="119"/>
      <c r="B573" s="119"/>
      <c r="C573" s="119"/>
      <c r="D573" s="1"/>
      <c r="E573" s="119"/>
      <c r="F573" s="11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1"/>
      <c r="V573" s="121"/>
      <c r="W573" s="121"/>
    </row>
    <row r="574" ht="12.75" customHeight="1">
      <c r="A574" s="119"/>
      <c r="B574" s="119"/>
      <c r="C574" s="119"/>
      <c r="D574" s="1"/>
      <c r="E574" s="119"/>
      <c r="F574" s="11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1"/>
      <c r="V574" s="121"/>
      <c r="W574" s="121"/>
    </row>
    <row r="575" ht="12.75" customHeight="1">
      <c r="A575" s="119"/>
      <c r="B575" s="119"/>
      <c r="C575" s="119"/>
      <c r="D575" s="1"/>
      <c r="E575" s="119"/>
      <c r="F575" s="11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1"/>
      <c r="V575" s="121"/>
      <c r="W575" s="121"/>
    </row>
    <row r="576" ht="12.75" customHeight="1">
      <c r="A576" s="119"/>
      <c r="B576" s="119"/>
      <c r="C576" s="119"/>
      <c r="D576" s="1"/>
      <c r="E576" s="119"/>
      <c r="F576" s="11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1"/>
      <c r="V576" s="121"/>
      <c r="W576" s="121"/>
    </row>
    <row r="577" ht="12.75" customHeight="1">
      <c r="A577" s="119"/>
      <c r="B577" s="119"/>
      <c r="C577" s="119"/>
      <c r="D577" s="1"/>
      <c r="E577" s="119"/>
      <c r="F577" s="11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1"/>
      <c r="V577" s="121"/>
      <c r="W577" s="121"/>
    </row>
    <row r="578" ht="12.75" customHeight="1">
      <c r="A578" s="119"/>
      <c r="B578" s="119"/>
      <c r="C578" s="119"/>
      <c r="D578" s="1"/>
      <c r="E578" s="119"/>
      <c r="F578" s="11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1"/>
      <c r="V578" s="121"/>
      <c r="W578" s="121"/>
    </row>
    <row r="579" ht="12.75" customHeight="1">
      <c r="A579" s="119"/>
      <c r="B579" s="119"/>
      <c r="C579" s="119"/>
      <c r="D579" s="1"/>
      <c r="E579" s="119"/>
      <c r="F579" s="11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1"/>
      <c r="V579" s="121"/>
      <c r="W579" s="121"/>
    </row>
    <row r="580" ht="12.75" customHeight="1">
      <c r="A580" s="119"/>
      <c r="B580" s="119"/>
      <c r="C580" s="119"/>
      <c r="D580" s="1"/>
      <c r="E580" s="119"/>
      <c r="F580" s="11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1"/>
      <c r="V580" s="121"/>
      <c r="W580" s="121"/>
    </row>
    <row r="581" ht="12.75" customHeight="1">
      <c r="A581" s="119"/>
      <c r="B581" s="119"/>
      <c r="C581" s="119"/>
      <c r="D581" s="1"/>
      <c r="E581" s="119"/>
      <c r="F581" s="11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1"/>
      <c r="V581" s="121"/>
      <c r="W581" s="121"/>
    </row>
    <row r="582" ht="12.75" customHeight="1">
      <c r="A582" s="119"/>
      <c r="B582" s="119"/>
      <c r="C582" s="119"/>
      <c r="D582" s="1"/>
      <c r="E582" s="119"/>
      <c r="F582" s="11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1"/>
      <c r="V582" s="121"/>
      <c r="W582" s="121"/>
    </row>
    <row r="583" ht="12.75" customHeight="1">
      <c r="A583" s="119"/>
      <c r="B583" s="119"/>
      <c r="C583" s="119"/>
      <c r="D583" s="1"/>
      <c r="E583" s="119"/>
      <c r="F583" s="11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1"/>
      <c r="V583" s="121"/>
      <c r="W583" s="121"/>
    </row>
    <row r="584" ht="12.75" customHeight="1">
      <c r="A584" s="119"/>
      <c r="B584" s="119"/>
      <c r="C584" s="119"/>
      <c r="D584" s="1"/>
      <c r="E584" s="119"/>
      <c r="F584" s="11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1"/>
      <c r="V584" s="121"/>
      <c r="W584" s="121"/>
    </row>
    <row r="585" ht="12.75" customHeight="1">
      <c r="A585" s="119"/>
      <c r="B585" s="119"/>
      <c r="C585" s="119"/>
      <c r="D585" s="1"/>
      <c r="E585" s="119"/>
      <c r="F585" s="11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1"/>
      <c r="V585" s="121"/>
      <c r="W585" s="121"/>
    </row>
    <row r="586" ht="12.75" customHeight="1">
      <c r="A586" s="119"/>
      <c r="B586" s="119"/>
      <c r="C586" s="119"/>
      <c r="D586" s="1"/>
      <c r="E586" s="119"/>
      <c r="F586" s="11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1"/>
      <c r="V586" s="121"/>
      <c r="W586" s="121"/>
    </row>
    <row r="587" ht="12.75" customHeight="1">
      <c r="A587" s="119"/>
      <c r="B587" s="119"/>
      <c r="C587" s="119"/>
      <c r="D587" s="1"/>
      <c r="E587" s="119"/>
      <c r="F587" s="11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1"/>
      <c r="V587" s="121"/>
      <c r="W587" s="121"/>
    </row>
    <row r="588" ht="12.75" customHeight="1">
      <c r="A588" s="119"/>
      <c r="B588" s="119"/>
      <c r="C588" s="119"/>
      <c r="D588" s="1"/>
      <c r="E588" s="119"/>
      <c r="F588" s="11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1"/>
      <c r="V588" s="121"/>
      <c r="W588" s="121"/>
    </row>
    <row r="589" ht="12.75" customHeight="1">
      <c r="A589" s="119"/>
      <c r="B589" s="119"/>
      <c r="C589" s="119"/>
      <c r="D589" s="1"/>
      <c r="E589" s="119"/>
      <c r="F589" s="11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1"/>
      <c r="V589" s="121"/>
      <c r="W589" s="121"/>
    </row>
    <row r="590" ht="12.75" customHeight="1">
      <c r="A590" s="119"/>
      <c r="B590" s="119"/>
      <c r="C590" s="119"/>
      <c r="D590" s="1"/>
      <c r="E590" s="119"/>
      <c r="F590" s="11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1"/>
      <c r="V590" s="121"/>
      <c r="W590" s="121"/>
    </row>
    <row r="591" ht="12.75" customHeight="1">
      <c r="A591" s="119"/>
      <c r="B591" s="119"/>
      <c r="C591" s="119"/>
      <c r="D591" s="1"/>
      <c r="E591" s="119"/>
      <c r="F591" s="11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1"/>
      <c r="V591" s="121"/>
      <c r="W591" s="121"/>
    </row>
    <row r="592" ht="12.75" customHeight="1">
      <c r="A592" s="119"/>
      <c r="B592" s="119"/>
      <c r="C592" s="119"/>
      <c r="D592" s="1"/>
      <c r="E592" s="119"/>
      <c r="F592" s="11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1"/>
      <c r="V592" s="121"/>
      <c r="W592" s="121"/>
    </row>
    <row r="593" ht="12.75" customHeight="1">
      <c r="A593" s="119"/>
      <c r="B593" s="119"/>
      <c r="C593" s="119"/>
      <c r="D593" s="1"/>
      <c r="E593" s="119"/>
      <c r="F593" s="11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1"/>
      <c r="V593" s="121"/>
      <c r="W593" s="121"/>
    </row>
    <row r="594" ht="12.75" customHeight="1">
      <c r="A594" s="119"/>
      <c r="B594" s="119"/>
      <c r="C594" s="119"/>
      <c r="D594" s="1"/>
      <c r="E594" s="119"/>
      <c r="F594" s="11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1"/>
      <c r="V594" s="121"/>
      <c r="W594" s="121"/>
    </row>
    <row r="595" ht="12.75" customHeight="1">
      <c r="A595" s="119"/>
      <c r="B595" s="119"/>
      <c r="C595" s="119"/>
      <c r="D595" s="1"/>
      <c r="E595" s="119"/>
      <c r="F595" s="11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1"/>
      <c r="V595" s="121"/>
      <c r="W595" s="121"/>
    </row>
    <row r="596" ht="12.75" customHeight="1">
      <c r="A596" s="122"/>
      <c r="B596" s="122"/>
      <c r="C596" s="122"/>
      <c r="D596" s="123"/>
      <c r="E596" s="122"/>
      <c r="F596" s="124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72"/>
      <c r="V596" s="72"/>
      <c r="W596" s="72"/>
    </row>
    <row r="597" ht="12.75" customHeight="1">
      <c r="A597" s="122"/>
      <c r="B597" s="122"/>
      <c r="C597" s="122"/>
      <c r="D597" s="123"/>
      <c r="E597" s="122"/>
      <c r="F597" s="124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72"/>
      <c r="V597" s="72"/>
      <c r="W597" s="72"/>
    </row>
    <row r="598" ht="12.75" customHeight="1">
      <c r="A598" s="122"/>
      <c r="B598" s="122"/>
      <c r="C598" s="122"/>
      <c r="D598" s="123"/>
      <c r="E598" s="122"/>
      <c r="F598" s="124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72"/>
      <c r="V598" s="72"/>
      <c r="W598" s="72"/>
    </row>
    <row r="599" ht="12.75" customHeight="1">
      <c r="A599" s="122"/>
      <c r="B599" s="122"/>
      <c r="C599" s="122"/>
      <c r="D599" s="123"/>
      <c r="E599" s="122"/>
      <c r="F599" s="124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72"/>
      <c r="V599" s="72"/>
      <c r="W599" s="72"/>
    </row>
    <row r="600" ht="12.75" customHeight="1">
      <c r="A600" s="122"/>
      <c r="B600" s="122"/>
      <c r="C600" s="122"/>
      <c r="D600" s="123"/>
      <c r="E600" s="122"/>
      <c r="F600" s="124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72"/>
      <c r="V600" s="72"/>
      <c r="W600" s="72"/>
    </row>
    <row r="601" ht="12.75" customHeight="1">
      <c r="A601" s="122"/>
      <c r="B601" s="122"/>
      <c r="C601" s="122"/>
      <c r="D601" s="123"/>
      <c r="E601" s="122"/>
      <c r="F601" s="124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72"/>
      <c r="V601" s="72"/>
      <c r="W601" s="72"/>
    </row>
    <row r="602" ht="12.75" customHeight="1">
      <c r="A602" s="122"/>
      <c r="B602" s="122"/>
      <c r="C602" s="122"/>
      <c r="D602" s="123"/>
      <c r="E602" s="122"/>
      <c r="F602" s="124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72"/>
      <c r="V602" s="72"/>
      <c r="W602" s="72"/>
    </row>
    <row r="603" ht="12.75" customHeight="1">
      <c r="A603" s="122"/>
      <c r="B603" s="122"/>
      <c r="C603" s="122"/>
      <c r="D603" s="123"/>
      <c r="E603" s="122"/>
      <c r="F603" s="124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72"/>
      <c r="V603" s="72"/>
      <c r="W603" s="72"/>
    </row>
    <row r="604" ht="12.75" customHeight="1">
      <c r="A604" s="122"/>
      <c r="B604" s="122"/>
      <c r="C604" s="122"/>
      <c r="D604" s="123"/>
      <c r="E604" s="122"/>
      <c r="F604" s="124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72"/>
      <c r="V604" s="72"/>
      <c r="W604" s="72"/>
    </row>
    <row r="605" ht="12.75" customHeight="1">
      <c r="A605" s="122"/>
      <c r="B605" s="122"/>
      <c r="C605" s="122"/>
      <c r="D605" s="123"/>
      <c r="E605" s="122"/>
      <c r="F605" s="124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72"/>
      <c r="V605" s="72"/>
      <c r="W605" s="72"/>
    </row>
    <row r="606" ht="12.75" customHeight="1">
      <c r="A606" s="122"/>
      <c r="B606" s="122"/>
      <c r="C606" s="122"/>
      <c r="D606" s="123"/>
      <c r="E606" s="122"/>
      <c r="F606" s="124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72"/>
      <c r="V606" s="72"/>
      <c r="W606" s="72"/>
    </row>
    <row r="607" ht="12.75" customHeight="1">
      <c r="A607" s="122"/>
      <c r="B607" s="122"/>
      <c r="C607" s="122"/>
      <c r="D607" s="123"/>
      <c r="E607" s="122"/>
      <c r="F607" s="124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72"/>
      <c r="V607" s="72"/>
      <c r="W607" s="72"/>
    </row>
    <row r="608" ht="12.75" customHeight="1">
      <c r="A608" s="122"/>
      <c r="B608" s="122"/>
      <c r="C608" s="122"/>
      <c r="D608" s="123"/>
      <c r="E608" s="122"/>
      <c r="F608" s="124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72"/>
      <c r="V608" s="72"/>
      <c r="W608" s="72"/>
    </row>
    <row r="609" ht="12.75" customHeight="1">
      <c r="A609" s="122"/>
      <c r="B609" s="122"/>
      <c r="C609" s="122"/>
      <c r="D609" s="123"/>
      <c r="E609" s="122"/>
      <c r="F609" s="124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72"/>
      <c r="V609" s="72"/>
      <c r="W609" s="72"/>
    </row>
    <row r="610" ht="12.75" customHeight="1">
      <c r="A610" s="122"/>
      <c r="B610" s="122"/>
      <c r="C610" s="122"/>
      <c r="D610" s="123"/>
      <c r="E610" s="122"/>
      <c r="F610" s="124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72"/>
      <c r="V610" s="72"/>
      <c r="W610" s="72"/>
    </row>
    <row r="611" ht="12.75" customHeight="1">
      <c r="A611" s="122"/>
      <c r="B611" s="122"/>
      <c r="C611" s="122"/>
      <c r="D611" s="123"/>
      <c r="E611" s="122"/>
      <c r="F611" s="124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72"/>
      <c r="V611" s="72"/>
      <c r="W611" s="72"/>
    </row>
    <row r="612" ht="12.75" customHeight="1">
      <c r="A612" s="122"/>
      <c r="B612" s="122"/>
      <c r="C612" s="122"/>
      <c r="D612" s="123"/>
      <c r="E612" s="122"/>
      <c r="F612" s="124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72"/>
      <c r="V612" s="72"/>
      <c r="W612" s="72"/>
    </row>
    <row r="613" ht="12.75" customHeight="1">
      <c r="A613" s="122"/>
      <c r="B613" s="122"/>
      <c r="C613" s="122"/>
      <c r="D613" s="123"/>
      <c r="E613" s="122"/>
      <c r="F613" s="124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72"/>
      <c r="V613" s="72"/>
      <c r="W613" s="72"/>
    </row>
    <row r="614" ht="12.75" customHeight="1">
      <c r="A614" s="122"/>
      <c r="B614" s="122"/>
      <c r="C614" s="122"/>
      <c r="D614" s="123"/>
      <c r="E614" s="122"/>
      <c r="F614" s="124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72"/>
      <c r="V614" s="72"/>
      <c r="W614" s="72"/>
    </row>
    <row r="615" ht="12.75" customHeight="1">
      <c r="A615" s="122"/>
      <c r="B615" s="122"/>
      <c r="C615" s="122"/>
      <c r="D615" s="123"/>
      <c r="E615" s="122"/>
      <c r="F615" s="124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72"/>
      <c r="V615" s="72"/>
      <c r="W615" s="72"/>
    </row>
    <row r="616" ht="12.75" customHeight="1">
      <c r="A616" s="122"/>
      <c r="B616" s="122"/>
      <c r="C616" s="122"/>
      <c r="D616" s="123"/>
      <c r="E616" s="122"/>
      <c r="F616" s="124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72"/>
      <c r="V616" s="72"/>
      <c r="W616" s="72"/>
    </row>
    <row r="617" ht="12.75" customHeight="1">
      <c r="A617" s="122"/>
      <c r="B617" s="122"/>
      <c r="C617" s="122"/>
      <c r="D617" s="123"/>
      <c r="E617" s="122"/>
      <c r="F617" s="124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72"/>
      <c r="V617" s="72"/>
      <c r="W617" s="72"/>
    </row>
    <row r="618" ht="12.75" customHeight="1">
      <c r="A618" s="122"/>
      <c r="B618" s="122"/>
      <c r="C618" s="122"/>
      <c r="D618" s="123"/>
      <c r="E618" s="122"/>
      <c r="F618" s="124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72"/>
      <c r="V618" s="72"/>
      <c r="W618" s="72"/>
    </row>
    <row r="619" ht="12.75" customHeight="1">
      <c r="A619" s="122"/>
      <c r="B619" s="122"/>
      <c r="C619" s="122"/>
      <c r="D619" s="123"/>
      <c r="E619" s="122"/>
      <c r="F619" s="124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72"/>
      <c r="V619" s="72"/>
      <c r="W619" s="72"/>
    </row>
    <row r="620" ht="12.75" customHeight="1">
      <c r="A620" s="122"/>
      <c r="B620" s="122"/>
      <c r="C620" s="122"/>
      <c r="D620" s="123"/>
      <c r="E620" s="122"/>
      <c r="F620" s="124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72"/>
      <c r="V620" s="72"/>
      <c r="W620" s="72"/>
    </row>
    <row r="621" ht="12.75" customHeight="1">
      <c r="A621" s="122"/>
      <c r="B621" s="122"/>
      <c r="C621" s="122"/>
      <c r="D621" s="123"/>
      <c r="E621" s="122"/>
      <c r="F621" s="124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72"/>
      <c r="V621" s="72"/>
      <c r="W621" s="72"/>
    </row>
    <row r="622" ht="12.75" customHeight="1">
      <c r="A622" s="122"/>
      <c r="B622" s="122"/>
      <c r="C622" s="122"/>
      <c r="D622" s="123"/>
      <c r="E622" s="122"/>
      <c r="F622" s="124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72"/>
      <c r="V622" s="72"/>
      <c r="W622" s="72"/>
    </row>
    <row r="623" ht="12.75" customHeight="1">
      <c r="A623" s="122"/>
      <c r="B623" s="122"/>
      <c r="C623" s="122"/>
      <c r="D623" s="123"/>
      <c r="E623" s="122"/>
      <c r="F623" s="124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72"/>
      <c r="V623" s="72"/>
      <c r="W623" s="72"/>
    </row>
    <row r="624" ht="12.75" customHeight="1">
      <c r="A624" s="122"/>
      <c r="B624" s="122"/>
      <c r="C624" s="122"/>
      <c r="D624" s="123"/>
      <c r="E624" s="122"/>
      <c r="F624" s="124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72"/>
      <c r="V624" s="72"/>
      <c r="W624" s="72"/>
    </row>
    <row r="625" ht="12.75" customHeight="1">
      <c r="A625" s="122"/>
      <c r="B625" s="122"/>
      <c r="C625" s="122"/>
      <c r="D625" s="123"/>
      <c r="E625" s="122"/>
      <c r="F625" s="124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72"/>
      <c r="V625" s="72"/>
      <c r="W625" s="72"/>
    </row>
    <row r="626" ht="12.75" customHeight="1">
      <c r="A626" s="122"/>
      <c r="B626" s="122"/>
      <c r="C626" s="122"/>
      <c r="D626" s="123"/>
      <c r="E626" s="122"/>
      <c r="F626" s="124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72"/>
      <c r="V626" s="72"/>
      <c r="W626" s="72"/>
    </row>
    <row r="627" ht="12.75" customHeight="1">
      <c r="A627" s="122"/>
      <c r="B627" s="122"/>
      <c r="C627" s="122"/>
      <c r="D627" s="123"/>
      <c r="E627" s="122"/>
      <c r="F627" s="124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72"/>
      <c r="V627" s="72"/>
      <c r="W627" s="72"/>
    </row>
    <row r="628" ht="12.75" customHeight="1">
      <c r="A628" s="122"/>
      <c r="B628" s="122"/>
      <c r="C628" s="122"/>
      <c r="D628" s="123"/>
      <c r="E628" s="122"/>
      <c r="F628" s="124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72"/>
      <c r="V628" s="72"/>
      <c r="W628" s="72"/>
    </row>
    <row r="629" ht="12.75" customHeight="1">
      <c r="A629" s="122"/>
      <c r="B629" s="122"/>
      <c r="C629" s="122"/>
      <c r="D629" s="123"/>
      <c r="E629" s="122"/>
      <c r="F629" s="124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72"/>
      <c r="V629" s="72"/>
      <c r="W629" s="72"/>
    </row>
    <row r="630" ht="12.75" customHeight="1">
      <c r="A630" s="122"/>
      <c r="B630" s="122"/>
      <c r="C630" s="122"/>
      <c r="D630" s="123"/>
      <c r="E630" s="122"/>
      <c r="F630" s="124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72"/>
      <c r="V630" s="72"/>
      <c r="W630" s="72"/>
    </row>
    <row r="631" ht="12.75" customHeight="1">
      <c r="A631" s="122"/>
      <c r="B631" s="122"/>
      <c r="C631" s="122"/>
      <c r="D631" s="123"/>
      <c r="E631" s="122"/>
      <c r="F631" s="124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72"/>
      <c r="V631" s="72"/>
      <c r="W631" s="72"/>
    </row>
    <row r="632" ht="12.75" customHeight="1">
      <c r="A632" s="122"/>
      <c r="B632" s="122"/>
      <c r="C632" s="122"/>
      <c r="D632" s="123"/>
      <c r="E632" s="122"/>
      <c r="F632" s="124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72"/>
      <c r="V632" s="72"/>
      <c r="W632" s="72"/>
    </row>
    <row r="633" ht="12.75" customHeight="1">
      <c r="A633" s="122"/>
      <c r="B633" s="122"/>
      <c r="C633" s="122"/>
      <c r="D633" s="123"/>
      <c r="E633" s="122"/>
      <c r="F633" s="124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72"/>
      <c r="V633" s="72"/>
      <c r="W633" s="72"/>
    </row>
    <row r="634" ht="12.75" customHeight="1">
      <c r="A634" s="122"/>
      <c r="B634" s="122"/>
      <c r="C634" s="122"/>
      <c r="D634" s="123"/>
      <c r="E634" s="122"/>
      <c r="F634" s="124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72"/>
      <c r="V634" s="72"/>
      <c r="W634" s="72"/>
    </row>
    <row r="635" ht="12.75" customHeight="1">
      <c r="A635" s="122"/>
      <c r="B635" s="122"/>
      <c r="C635" s="122"/>
      <c r="D635" s="123"/>
      <c r="E635" s="122"/>
      <c r="F635" s="124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72"/>
      <c r="V635" s="72"/>
      <c r="W635" s="72"/>
    </row>
    <row r="636" ht="12.75" customHeight="1">
      <c r="A636" s="122"/>
      <c r="B636" s="122"/>
      <c r="C636" s="122"/>
      <c r="D636" s="123"/>
      <c r="E636" s="122"/>
      <c r="F636" s="124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72"/>
      <c r="V636" s="72"/>
      <c r="W636" s="72"/>
    </row>
    <row r="637" ht="12.75" customHeight="1">
      <c r="A637" s="122"/>
      <c r="B637" s="122"/>
      <c r="C637" s="122"/>
      <c r="D637" s="123"/>
      <c r="E637" s="122"/>
      <c r="F637" s="124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72"/>
      <c r="V637" s="72"/>
      <c r="W637" s="72"/>
    </row>
    <row r="638" ht="12.75" customHeight="1">
      <c r="A638" s="122"/>
      <c r="B638" s="122"/>
      <c r="C638" s="122"/>
      <c r="D638" s="123"/>
      <c r="E638" s="122"/>
      <c r="F638" s="124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72"/>
      <c r="V638" s="72"/>
      <c r="W638" s="72"/>
    </row>
    <row r="639" ht="12.75" customHeight="1">
      <c r="A639" s="122"/>
      <c r="B639" s="122"/>
      <c r="C639" s="122"/>
      <c r="D639" s="123"/>
      <c r="E639" s="122"/>
      <c r="F639" s="124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72"/>
      <c r="V639" s="72"/>
      <c r="W639" s="72"/>
    </row>
    <row r="640" ht="12.75" customHeight="1">
      <c r="A640" s="122"/>
      <c r="B640" s="122"/>
      <c r="C640" s="122"/>
      <c r="D640" s="123"/>
      <c r="E640" s="122"/>
      <c r="F640" s="124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72"/>
      <c r="V640" s="72"/>
      <c r="W640" s="72"/>
    </row>
    <row r="641" ht="12.75" customHeight="1">
      <c r="A641" s="122"/>
      <c r="B641" s="122"/>
      <c r="C641" s="122"/>
      <c r="D641" s="123"/>
      <c r="E641" s="122"/>
      <c r="F641" s="124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72"/>
      <c r="V641" s="72"/>
      <c r="W641" s="72"/>
    </row>
    <row r="642" ht="12.75" customHeight="1">
      <c r="A642" s="122"/>
      <c r="B642" s="122"/>
      <c r="C642" s="122"/>
      <c r="D642" s="123"/>
      <c r="E642" s="122"/>
      <c r="F642" s="124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72"/>
      <c r="V642" s="72"/>
      <c r="W642" s="72"/>
    </row>
    <row r="643" ht="12.75" customHeight="1">
      <c r="A643" s="122"/>
      <c r="B643" s="122"/>
      <c r="C643" s="122"/>
      <c r="D643" s="123"/>
      <c r="E643" s="122"/>
      <c r="F643" s="124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72"/>
      <c r="V643" s="72"/>
      <c r="W643" s="72"/>
    </row>
    <row r="644" ht="12.75" customHeight="1">
      <c r="A644" s="122"/>
      <c r="B644" s="122"/>
      <c r="C644" s="122"/>
      <c r="D644" s="123"/>
      <c r="E644" s="122"/>
      <c r="F644" s="124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72"/>
      <c r="V644" s="72"/>
      <c r="W644" s="72"/>
    </row>
    <row r="645" ht="12.75" customHeight="1">
      <c r="A645" s="122"/>
      <c r="B645" s="122"/>
      <c r="C645" s="122"/>
      <c r="D645" s="123"/>
      <c r="E645" s="122"/>
      <c r="F645" s="124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72"/>
      <c r="V645" s="72"/>
      <c r="W645" s="72"/>
    </row>
    <row r="646" ht="12.75" customHeight="1">
      <c r="A646" s="122"/>
      <c r="B646" s="122"/>
      <c r="C646" s="122"/>
      <c r="D646" s="123"/>
      <c r="E646" s="122"/>
      <c r="F646" s="124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72"/>
      <c r="V646" s="72"/>
      <c r="W646" s="72"/>
    </row>
    <row r="647" ht="12.75" customHeight="1">
      <c r="A647" s="122"/>
      <c r="B647" s="122"/>
      <c r="C647" s="122"/>
      <c r="D647" s="123"/>
      <c r="E647" s="122"/>
      <c r="F647" s="124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72"/>
      <c r="V647" s="72"/>
      <c r="W647" s="72"/>
    </row>
    <row r="648" ht="12.75" customHeight="1">
      <c r="A648" s="122"/>
      <c r="B648" s="122"/>
      <c r="C648" s="122"/>
      <c r="D648" s="123"/>
      <c r="E648" s="122"/>
      <c r="F648" s="124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72"/>
      <c r="V648" s="72"/>
      <c r="W648" s="72"/>
    </row>
    <row r="649" ht="12.75" customHeight="1">
      <c r="A649" s="122"/>
      <c r="B649" s="122"/>
      <c r="C649" s="122"/>
      <c r="D649" s="123"/>
      <c r="E649" s="122"/>
      <c r="F649" s="124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72"/>
      <c r="V649" s="72"/>
      <c r="W649" s="72"/>
    </row>
    <row r="650" ht="12.75" customHeight="1">
      <c r="A650" s="122"/>
      <c r="B650" s="122"/>
      <c r="C650" s="122"/>
      <c r="D650" s="123"/>
      <c r="E650" s="122"/>
      <c r="F650" s="124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72"/>
      <c r="V650" s="72"/>
      <c r="W650" s="72"/>
    </row>
    <row r="651" ht="12.75" customHeight="1">
      <c r="A651" s="122"/>
      <c r="B651" s="122"/>
      <c r="C651" s="122"/>
      <c r="D651" s="123"/>
      <c r="E651" s="122"/>
      <c r="F651" s="124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72"/>
      <c r="V651" s="72"/>
      <c r="W651" s="72"/>
    </row>
    <row r="652" ht="12.75" customHeight="1">
      <c r="A652" s="122"/>
      <c r="B652" s="122"/>
      <c r="C652" s="122"/>
      <c r="D652" s="123"/>
      <c r="E652" s="122"/>
      <c r="F652" s="124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72"/>
      <c r="V652" s="72"/>
      <c r="W652" s="72"/>
    </row>
    <row r="653" ht="12.75" customHeight="1">
      <c r="A653" s="122"/>
      <c r="B653" s="122"/>
      <c r="C653" s="122"/>
      <c r="D653" s="123"/>
      <c r="E653" s="122"/>
      <c r="F653" s="124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72"/>
      <c r="V653" s="72"/>
      <c r="W653" s="72"/>
    </row>
    <row r="654" ht="12.75" customHeight="1">
      <c r="A654" s="122"/>
      <c r="B654" s="122"/>
      <c r="C654" s="122"/>
      <c r="D654" s="123"/>
      <c r="E654" s="122"/>
      <c r="F654" s="124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72"/>
      <c r="V654" s="72"/>
      <c r="W654" s="72"/>
    </row>
    <row r="655" ht="12.75" customHeight="1">
      <c r="A655" s="122"/>
      <c r="B655" s="122"/>
      <c r="C655" s="122"/>
      <c r="D655" s="123"/>
      <c r="E655" s="122"/>
      <c r="F655" s="124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72"/>
      <c r="V655" s="72"/>
      <c r="W655" s="72"/>
    </row>
    <row r="656" ht="12.75" customHeight="1">
      <c r="A656" s="122"/>
      <c r="B656" s="122"/>
      <c r="C656" s="122"/>
      <c r="D656" s="123"/>
      <c r="E656" s="122"/>
      <c r="F656" s="124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72"/>
      <c r="V656" s="72"/>
      <c r="W656" s="72"/>
    </row>
    <row r="657" ht="12.75" customHeight="1">
      <c r="A657" s="122"/>
      <c r="B657" s="122"/>
      <c r="C657" s="122"/>
      <c r="D657" s="123"/>
      <c r="E657" s="122"/>
      <c r="F657" s="124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72"/>
      <c r="V657" s="72"/>
      <c r="W657" s="72"/>
    </row>
    <row r="658" ht="12.75" customHeight="1">
      <c r="A658" s="122"/>
      <c r="B658" s="122"/>
      <c r="C658" s="122"/>
      <c r="D658" s="123"/>
      <c r="E658" s="122"/>
      <c r="F658" s="124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72"/>
      <c r="V658" s="72"/>
      <c r="W658" s="72"/>
    </row>
    <row r="659" ht="12.75" customHeight="1">
      <c r="A659" s="122"/>
      <c r="B659" s="122"/>
      <c r="C659" s="122"/>
      <c r="D659" s="123"/>
      <c r="E659" s="122"/>
      <c r="F659" s="124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72"/>
      <c r="V659" s="72"/>
      <c r="W659" s="72"/>
    </row>
    <row r="660" ht="12.75" customHeight="1">
      <c r="A660" s="122"/>
      <c r="B660" s="122"/>
      <c r="C660" s="122"/>
      <c r="D660" s="123"/>
      <c r="E660" s="122"/>
      <c r="F660" s="124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72"/>
      <c r="V660" s="72"/>
      <c r="W660" s="72"/>
    </row>
    <row r="661" ht="12.75" customHeight="1">
      <c r="A661" s="122"/>
      <c r="B661" s="122"/>
      <c r="C661" s="122"/>
      <c r="D661" s="123"/>
      <c r="E661" s="122"/>
      <c r="F661" s="124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72"/>
      <c r="V661" s="72"/>
      <c r="W661" s="72"/>
    </row>
    <row r="662" ht="12.75" customHeight="1">
      <c r="A662" s="122"/>
      <c r="B662" s="122"/>
      <c r="C662" s="122"/>
      <c r="D662" s="123"/>
      <c r="E662" s="122"/>
      <c r="F662" s="124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72"/>
      <c r="V662" s="72"/>
      <c r="W662" s="72"/>
    </row>
    <row r="663" ht="12.75" customHeight="1">
      <c r="A663" s="122"/>
      <c r="B663" s="122"/>
      <c r="C663" s="122"/>
      <c r="D663" s="123"/>
      <c r="E663" s="122"/>
      <c r="F663" s="124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72"/>
      <c r="V663" s="72"/>
      <c r="W663" s="72"/>
    </row>
    <row r="664" ht="12.75" customHeight="1">
      <c r="A664" s="122"/>
      <c r="B664" s="122"/>
      <c r="C664" s="122"/>
      <c r="D664" s="123"/>
      <c r="E664" s="122"/>
      <c r="F664" s="124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72"/>
      <c r="V664" s="72"/>
      <c r="W664" s="72"/>
    </row>
    <row r="665" ht="12.75" customHeight="1">
      <c r="A665" s="122"/>
      <c r="B665" s="122"/>
      <c r="C665" s="122"/>
      <c r="D665" s="123"/>
      <c r="E665" s="122"/>
      <c r="F665" s="124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72"/>
      <c r="V665" s="72"/>
      <c r="W665" s="72"/>
    </row>
    <row r="666" ht="12.75" customHeight="1">
      <c r="A666" s="122"/>
      <c r="B666" s="122"/>
      <c r="C666" s="122"/>
      <c r="D666" s="123"/>
      <c r="E666" s="122"/>
      <c r="F666" s="124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72"/>
      <c r="V666" s="72"/>
      <c r="W666" s="72"/>
    </row>
    <row r="667" ht="12.75" customHeight="1">
      <c r="A667" s="122"/>
      <c r="B667" s="122"/>
      <c r="C667" s="122"/>
      <c r="D667" s="123"/>
      <c r="E667" s="122"/>
      <c r="F667" s="124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72"/>
      <c r="V667" s="72"/>
      <c r="W667" s="72"/>
    </row>
    <row r="668" ht="12.75" customHeight="1">
      <c r="A668" s="122"/>
      <c r="B668" s="122"/>
      <c r="C668" s="122"/>
      <c r="D668" s="123"/>
      <c r="E668" s="122"/>
      <c r="F668" s="124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72"/>
      <c r="V668" s="72"/>
      <c r="W668" s="72"/>
    </row>
    <row r="669" ht="12.75" customHeight="1">
      <c r="A669" s="122"/>
      <c r="B669" s="122"/>
      <c r="C669" s="122"/>
      <c r="D669" s="123"/>
      <c r="E669" s="122"/>
      <c r="F669" s="124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72"/>
      <c r="V669" s="72"/>
      <c r="W669" s="72"/>
    </row>
    <row r="670" ht="12.75" customHeight="1">
      <c r="A670" s="122"/>
      <c r="B670" s="122"/>
      <c r="C670" s="122"/>
      <c r="D670" s="123"/>
      <c r="E670" s="122"/>
      <c r="F670" s="124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72"/>
      <c r="V670" s="72"/>
      <c r="W670" s="72"/>
    </row>
    <row r="671" ht="12.75" customHeight="1">
      <c r="A671" s="122"/>
      <c r="B671" s="122"/>
      <c r="C671" s="122"/>
      <c r="D671" s="123"/>
      <c r="E671" s="122"/>
      <c r="F671" s="124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72"/>
      <c r="V671" s="72"/>
      <c r="W671" s="72"/>
    </row>
    <row r="672" ht="12.75" customHeight="1">
      <c r="A672" s="122"/>
      <c r="B672" s="122"/>
      <c r="C672" s="122"/>
      <c r="D672" s="123"/>
      <c r="E672" s="122"/>
      <c r="F672" s="124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72"/>
      <c r="V672" s="72"/>
      <c r="W672" s="72"/>
    </row>
    <row r="673" ht="12.75" customHeight="1">
      <c r="A673" s="122"/>
      <c r="B673" s="122"/>
      <c r="C673" s="122"/>
      <c r="D673" s="123"/>
      <c r="E673" s="122"/>
      <c r="F673" s="124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72"/>
      <c r="V673" s="72"/>
      <c r="W673" s="72"/>
    </row>
    <row r="674" ht="12.75" customHeight="1">
      <c r="A674" s="122"/>
      <c r="B674" s="122"/>
      <c r="C674" s="122"/>
      <c r="D674" s="123"/>
      <c r="E674" s="122"/>
      <c r="F674" s="124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72"/>
      <c r="V674" s="72"/>
      <c r="W674" s="72"/>
    </row>
    <row r="675" ht="12.75" customHeight="1">
      <c r="A675" s="122"/>
      <c r="B675" s="122"/>
      <c r="C675" s="122"/>
      <c r="D675" s="123"/>
      <c r="E675" s="122"/>
      <c r="F675" s="124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72"/>
      <c r="V675" s="72"/>
      <c r="W675" s="72"/>
    </row>
    <row r="676" ht="12.75" customHeight="1">
      <c r="A676" s="122"/>
      <c r="B676" s="122"/>
      <c r="C676" s="122"/>
      <c r="D676" s="123"/>
      <c r="E676" s="122"/>
      <c r="F676" s="124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72"/>
      <c r="V676" s="72"/>
      <c r="W676" s="72"/>
    </row>
    <row r="677" ht="12.75" customHeight="1">
      <c r="A677" s="122"/>
      <c r="B677" s="122"/>
      <c r="C677" s="122"/>
      <c r="D677" s="123"/>
      <c r="E677" s="122"/>
      <c r="F677" s="124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72"/>
      <c r="V677" s="72"/>
      <c r="W677" s="72"/>
    </row>
    <row r="678" ht="12.75" customHeight="1">
      <c r="A678" s="122"/>
      <c r="B678" s="122"/>
      <c r="C678" s="122"/>
      <c r="D678" s="123"/>
      <c r="E678" s="122"/>
      <c r="F678" s="124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72"/>
      <c r="V678" s="72"/>
      <c r="W678" s="72"/>
    </row>
    <row r="679" ht="12.75" customHeight="1">
      <c r="A679" s="122"/>
      <c r="B679" s="122"/>
      <c r="C679" s="122"/>
      <c r="D679" s="123"/>
      <c r="E679" s="122"/>
      <c r="F679" s="124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72"/>
      <c r="V679" s="72"/>
      <c r="W679" s="72"/>
    </row>
    <row r="680" ht="12.75" customHeight="1">
      <c r="A680" s="122"/>
      <c r="B680" s="122"/>
      <c r="C680" s="122"/>
      <c r="D680" s="123"/>
      <c r="E680" s="122"/>
      <c r="F680" s="124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72"/>
      <c r="V680" s="72"/>
      <c r="W680" s="72"/>
    </row>
    <row r="681" ht="12.75" customHeight="1">
      <c r="A681" s="122"/>
      <c r="B681" s="122"/>
      <c r="C681" s="122"/>
      <c r="D681" s="123"/>
      <c r="E681" s="122"/>
      <c r="F681" s="124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72"/>
      <c r="V681" s="72"/>
      <c r="W681" s="72"/>
    </row>
    <row r="682" ht="12.75" customHeight="1">
      <c r="A682" s="122"/>
      <c r="B682" s="122"/>
      <c r="C682" s="122"/>
      <c r="D682" s="123"/>
      <c r="E682" s="122"/>
      <c r="F682" s="124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72"/>
      <c r="V682" s="72"/>
      <c r="W682" s="72"/>
    </row>
    <row r="683" ht="12.75" customHeight="1">
      <c r="A683" s="122"/>
      <c r="B683" s="122"/>
      <c r="C683" s="122"/>
      <c r="D683" s="123"/>
      <c r="E683" s="122"/>
      <c r="F683" s="124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72"/>
      <c r="V683" s="72"/>
      <c r="W683" s="72"/>
    </row>
    <row r="684" ht="12.75" customHeight="1">
      <c r="A684" s="122"/>
      <c r="B684" s="122"/>
      <c r="C684" s="122"/>
      <c r="D684" s="123"/>
      <c r="E684" s="122"/>
      <c r="F684" s="124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72"/>
      <c r="V684" s="72"/>
      <c r="W684" s="72"/>
    </row>
    <row r="685" ht="12.75" customHeight="1">
      <c r="A685" s="122"/>
      <c r="B685" s="122"/>
      <c r="C685" s="122"/>
      <c r="D685" s="123"/>
      <c r="E685" s="122"/>
      <c r="F685" s="124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72"/>
      <c r="V685" s="72"/>
      <c r="W685" s="72"/>
    </row>
    <row r="686" ht="12.75" customHeight="1">
      <c r="A686" s="122"/>
      <c r="B686" s="122"/>
      <c r="C686" s="122"/>
      <c r="D686" s="123"/>
      <c r="E686" s="122"/>
      <c r="F686" s="124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72"/>
      <c r="V686" s="72"/>
      <c r="W686" s="72"/>
    </row>
    <row r="687" ht="12.75" customHeight="1">
      <c r="A687" s="122"/>
      <c r="B687" s="122"/>
      <c r="C687" s="122"/>
      <c r="D687" s="123"/>
      <c r="E687" s="122"/>
      <c r="F687" s="124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72"/>
      <c r="V687" s="72"/>
      <c r="W687" s="72"/>
    </row>
    <row r="688" ht="12.75" customHeight="1">
      <c r="A688" s="122"/>
      <c r="B688" s="122"/>
      <c r="C688" s="122"/>
      <c r="D688" s="123"/>
      <c r="E688" s="122"/>
      <c r="F688" s="124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72"/>
      <c r="V688" s="72"/>
      <c r="W688" s="72"/>
    </row>
    <row r="689" ht="12.75" customHeight="1">
      <c r="A689" s="122"/>
      <c r="B689" s="122"/>
      <c r="C689" s="122"/>
      <c r="D689" s="123"/>
      <c r="E689" s="122"/>
      <c r="F689" s="124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72"/>
      <c r="V689" s="72"/>
      <c r="W689" s="72"/>
    </row>
    <row r="690" ht="12.75" customHeight="1">
      <c r="A690" s="122"/>
      <c r="B690" s="122"/>
      <c r="C690" s="122"/>
      <c r="D690" s="123"/>
      <c r="E690" s="122"/>
      <c r="F690" s="124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72"/>
      <c r="V690" s="72"/>
      <c r="W690" s="72"/>
    </row>
    <row r="691" ht="12.75" customHeight="1">
      <c r="A691" s="122"/>
      <c r="B691" s="122"/>
      <c r="C691" s="122"/>
      <c r="D691" s="123"/>
      <c r="E691" s="122"/>
      <c r="F691" s="124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72"/>
      <c r="V691" s="72"/>
      <c r="W691" s="72"/>
    </row>
    <row r="692" ht="12.75" customHeight="1">
      <c r="A692" s="122"/>
      <c r="B692" s="122"/>
      <c r="C692" s="122"/>
      <c r="D692" s="123"/>
      <c r="E692" s="122"/>
      <c r="F692" s="124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72"/>
      <c r="V692" s="72"/>
      <c r="W692" s="72"/>
    </row>
    <row r="693" ht="12.75" customHeight="1">
      <c r="A693" s="122"/>
      <c r="B693" s="122"/>
      <c r="C693" s="122"/>
      <c r="D693" s="123"/>
      <c r="E693" s="122"/>
      <c r="F693" s="124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72"/>
      <c r="V693" s="72"/>
      <c r="W693" s="72"/>
    </row>
    <row r="694" ht="12.75" customHeight="1">
      <c r="A694" s="122"/>
      <c r="B694" s="122"/>
      <c r="C694" s="122"/>
      <c r="D694" s="123"/>
      <c r="E694" s="122"/>
      <c r="F694" s="124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72"/>
      <c r="V694" s="72"/>
      <c r="W694" s="72"/>
    </row>
    <row r="695" ht="12.75" customHeight="1">
      <c r="A695" s="122"/>
      <c r="B695" s="122"/>
      <c r="C695" s="122"/>
      <c r="D695" s="123"/>
      <c r="E695" s="122"/>
      <c r="F695" s="124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72"/>
      <c r="V695" s="72"/>
      <c r="W695" s="72"/>
    </row>
    <row r="696" ht="12.75" customHeight="1">
      <c r="A696" s="122"/>
      <c r="B696" s="122"/>
      <c r="C696" s="122"/>
      <c r="D696" s="123"/>
      <c r="E696" s="122"/>
      <c r="F696" s="124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72"/>
      <c r="V696" s="72"/>
      <c r="W696" s="72"/>
    </row>
    <row r="697" ht="12.75" customHeight="1">
      <c r="A697" s="122"/>
      <c r="B697" s="122"/>
      <c r="C697" s="122"/>
      <c r="D697" s="123"/>
      <c r="E697" s="122"/>
      <c r="F697" s="124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72"/>
      <c r="V697" s="72"/>
      <c r="W697" s="72"/>
    </row>
    <row r="698" ht="12.75" customHeight="1">
      <c r="A698" s="122"/>
      <c r="B698" s="122"/>
      <c r="C698" s="122"/>
      <c r="D698" s="123"/>
      <c r="E698" s="122"/>
      <c r="F698" s="124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72"/>
      <c r="V698" s="72"/>
      <c r="W698" s="72"/>
    </row>
    <row r="699" ht="12.75" customHeight="1">
      <c r="A699" s="122"/>
      <c r="B699" s="122"/>
      <c r="C699" s="122"/>
      <c r="D699" s="123"/>
      <c r="E699" s="122"/>
      <c r="F699" s="124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72"/>
      <c r="V699" s="72"/>
      <c r="W699" s="72"/>
    </row>
    <row r="700" ht="12.75" customHeight="1">
      <c r="A700" s="122"/>
      <c r="B700" s="122"/>
      <c r="C700" s="122"/>
      <c r="D700" s="123"/>
      <c r="E700" s="122"/>
      <c r="F700" s="124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72"/>
      <c r="V700" s="72"/>
      <c r="W700" s="72"/>
    </row>
    <row r="701" ht="12.75" customHeight="1">
      <c r="A701" s="122"/>
      <c r="B701" s="122"/>
      <c r="C701" s="122"/>
      <c r="D701" s="123"/>
      <c r="E701" s="122"/>
      <c r="F701" s="124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72"/>
      <c r="V701" s="72"/>
      <c r="W701" s="72"/>
    </row>
    <row r="702" ht="12.75" customHeight="1">
      <c r="A702" s="122"/>
      <c r="B702" s="122"/>
      <c r="C702" s="122"/>
      <c r="D702" s="123"/>
      <c r="E702" s="122"/>
      <c r="F702" s="124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72"/>
      <c r="V702" s="72"/>
      <c r="W702" s="72"/>
    </row>
    <row r="703" ht="12.75" customHeight="1">
      <c r="A703" s="122"/>
      <c r="B703" s="122"/>
      <c r="C703" s="122"/>
      <c r="D703" s="123"/>
      <c r="E703" s="122"/>
      <c r="F703" s="124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72"/>
      <c r="V703" s="72"/>
      <c r="W703" s="72"/>
    </row>
    <row r="704" ht="12.75" customHeight="1">
      <c r="A704" s="122"/>
      <c r="B704" s="122"/>
      <c r="C704" s="122"/>
      <c r="D704" s="123"/>
      <c r="E704" s="122"/>
      <c r="F704" s="124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72"/>
      <c r="V704" s="72"/>
      <c r="W704" s="72"/>
    </row>
    <row r="705" ht="12.75" customHeight="1">
      <c r="A705" s="122"/>
      <c r="B705" s="122"/>
      <c r="C705" s="122"/>
      <c r="D705" s="123"/>
      <c r="E705" s="122"/>
      <c r="F705" s="124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72"/>
      <c r="V705" s="72"/>
      <c r="W705" s="72"/>
    </row>
    <row r="706" ht="12.75" customHeight="1">
      <c r="A706" s="122"/>
      <c r="B706" s="122"/>
      <c r="C706" s="122"/>
      <c r="D706" s="123"/>
      <c r="E706" s="122"/>
      <c r="F706" s="124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72"/>
      <c r="V706" s="72"/>
      <c r="W706" s="72"/>
    </row>
    <row r="707" ht="12.75" customHeight="1">
      <c r="A707" s="122"/>
      <c r="B707" s="122"/>
      <c r="C707" s="122"/>
      <c r="D707" s="123"/>
      <c r="E707" s="122"/>
      <c r="F707" s="124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72"/>
      <c r="V707" s="72"/>
      <c r="W707" s="72"/>
    </row>
    <row r="708" ht="12.75" customHeight="1">
      <c r="A708" s="122"/>
      <c r="B708" s="122"/>
      <c r="C708" s="122"/>
      <c r="D708" s="123"/>
      <c r="E708" s="122"/>
      <c r="F708" s="124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72"/>
      <c r="V708" s="72"/>
      <c r="W708" s="72"/>
    </row>
    <row r="709" ht="12.75" customHeight="1">
      <c r="A709" s="122"/>
      <c r="B709" s="122"/>
      <c r="C709" s="122"/>
      <c r="D709" s="123"/>
      <c r="E709" s="122"/>
      <c r="F709" s="124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72"/>
      <c r="V709" s="72"/>
      <c r="W709" s="72"/>
    </row>
    <row r="710" ht="12.75" customHeight="1">
      <c r="A710" s="122"/>
      <c r="B710" s="122"/>
      <c r="C710" s="122"/>
      <c r="D710" s="123"/>
      <c r="E710" s="122"/>
      <c r="F710" s="124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72"/>
      <c r="V710" s="72"/>
      <c r="W710" s="72"/>
    </row>
    <row r="711" ht="12.75" customHeight="1">
      <c r="A711" s="122"/>
      <c r="B711" s="122"/>
      <c r="C711" s="122"/>
      <c r="D711" s="123"/>
      <c r="E711" s="122"/>
      <c r="F711" s="124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72"/>
      <c r="V711" s="72"/>
      <c r="W711" s="72"/>
    </row>
    <row r="712" ht="12.75" customHeight="1">
      <c r="A712" s="122"/>
      <c r="B712" s="122"/>
      <c r="C712" s="122"/>
      <c r="D712" s="123"/>
      <c r="E712" s="122"/>
      <c r="F712" s="124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72"/>
      <c r="V712" s="72"/>
      <c r="W712" s="72"/>
    </row>
    <row r="713" ht="12.75" customHeight="1">
      <c r="A713" s="122"/>
      <c r="B713" s="122"/>
      <c r="C713" s="122"/>
      <c r="D713" s="123"/>
      <c r="E713" s="122"/>
      <c r="F713" s="124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72"/>
      <c r="V713" s="72"/>
      <c r="W713" s="72"/>
    </row>
    <row r="714" ht="12.75" customHeight="1">
      <c r="A714" s="122"/>
      <c r="B714" s="122"/>
      <c r="C714" s="122"/>
      <c r="D714" s="123"/>
      <c r="E714" s="122"/>
      <c r="F714" s="124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72"/>
      <c r="V714" s="72"/>
      <c r="W714" s="72"/>
    </row>
    <row r="715" ht="12.75" customHeight="1">
      <c r="A715" s="122"/>
      <c r="B715" s="122"/>
      <c r="C715" s="122"/>
      <c r="D715" s="123"/>
      <c r="E715" s="122"/>
      <c r="F715" s="124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72"/>
      <c r="V715" s="72"/>
      <c r="W715" s="72"/>
    </row>
    <row r="716" ht="12.75" customHeight="1">
      <c r="A716" s="122"/>
      <c r="B716" s="122"/>
      <c r="C716" s="122"/>
      <c r="D716" s="123"/>
      <c r="E716" s="122"/>
      <c r="F716" s="124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72"/>
      <c r="V716" s="72"/>
      <c r="W716" s="72"/>
    </row>
    <row r="717" ht="12.75" customHeight="1">
      <c r="A717" s="122"/>
      <c r="B717" s="122"/>
      <c r="C717" s="122"/>
      <c r="D717" s="123"/>
      <c r="E717" s="122"/>
      <c r="F717" s="124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72"/>
      <c r="V717" s="72"/>
      <c r="W717" s="72"/>
    </row>
    <row r="718" ht="12.75" customHeight="1">
      <c r="A718" s="122"/>
      <c r="B718" s="122"/>
      <c r="C718" s="122"/>
      <c r="D718" s="123"/>
      <c r="E718" s="122"/>
      <c r="F718" s="124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72"/>
      <c r="V718" s="72"/>
      <c r="W718" s="72"/>
    </row>
    <row r="719" ht="12.75" customHeight="1">
      <c r="A719" s="122"/>
      <c r="B719" s="122"/>
      <c r="C719" s="122"/>
      <c r="D719" s="123"/>
      <c r="E719" s="122"/>
      <c r="F719" s="124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72"/>
      <c r="V719" s="72"/>
      <c r="W719" s="72"/>
    </row>
    <row r="720" ht="12.75" customHeight="1">
      <c r="A720" s="122"/>
      <c r="B720" s="122"/>
      <c r="C720" s="122"/>
      <c r="D720" s="123"/>
      <c r="E720" s="122"/>
      <c r="F720" s="124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72"/>
      <c r="V720" s="72"/>
      <c r="W720" s="72"/>
    </row>
    <row r="721" ht="12.75" customHeight="1">
      <c r="A721" s="122"/>
      <c r="B721" s="122"/>
      <c r="C721" s="122"/>
      <c r="D721" s="123"/>
      <c r="E721" s="122"/>
      <c r="F721" s="124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72"/>
      <c r="V721" s="72"/>
      <c r="W721" s="72"/>
    </row>
    <row r="722" ht="12.75" customHeight="1">
      <c r="A722" s="122"/>
      <c r="B722" s="122"/>
      <c r="C722" s="122"/>
      <c r="D722" s="123"/>
      <c r="E722" s="122"/>
      <c r="F722" s="124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72"/>
      <c r="V722" s="72"/>
      <c r="W722" s="72"/>
    </row>
    <row r="723" ht="12.75" customHeight="1">
      <c r="A723" s="122"/>
      <c r="B723" s="122"/>
      <c r="C723" s="122"/>
      <c r="D723" s="123"/>
      <c r="E723" s="122"/>
      <c r="F723" s="124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72"/>
      <c r="V723" s="72"/>
      <c r="W723" s="72"/>
    </row>
    <row r="724" ht="12.75" customHeight="1">
      <c r="A724" s="122"/>
      <c r="B724" s="122"/>
      <c r="C724" s="122"/>
      <c r="D724" s="123"/>
      <c r="E724" s="122"/>
      <c r="F724" s="124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72"/>
      <c r="V724" s="72"/>
      <c r="W724" s="72"/>
    </row>
    <row r="725" ht="12.75" customHeight="1">
      <c r="A725" s="122"/>
      <c r="B725" s="122"/>
      <c r="C725" s="122"/>
      <c r="D725" s="123"/>
      <c r="E725" s="122"/>
      <c r="F725" s="124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72"/>
      <c r="V725" s="72"/>
      <c r="W725" s="72"/>
    </row>
    <row r="726" ht="12.75" customHeight="1">
      <c r="A726" s="122"/>
      <c r="B726" s="122"/>
      <c r="C726" s="122"/>
      <c r="D726" s="123"/>
      <c r="E726" s="122"/>
      <c r="F726" s="124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72"/>
      <c r="V726" s="72"/>
      <c r="W726" s="72"/>
    </row>
    <row r="727" ht="12.75" customHeight="1">
      <c r="A727" s="122"/>
      <c r="B727" s="122"/>
      <c r="C727" s="122"/>
      <c r="D727" s="123"/>
      <c r="E727" s="122"/>
      <c r="F727" s="124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72"/>
      <c r="V727" s="72"/>
      <c r="W727" s="72"/>
    </row>
    <row r="728" ht="12.75" customHeight="1">
      <c r="A728" s="122"/>
      <c r="B728" s="122"/>
      <c r="C728" s="122"/>
      <c r="D728" s="123"/>
      <c r="E728" s="122"/>
      <c r="F728" s="124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72"/>
      <c r="V728" s="72"/>
      <c r="W728" s="72"/>
    </row>
    <row r="729" ht="12.75" customHeight="1">
      <c r="A729" s="122"/>
      <c r="B729" s="122"/>
      <c r="C729" s="122"/>
      <c r="D729" s="123"/>
      <c r="E729" s="122"/>
      <c r="F729" s="124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72"/>
      <c r="V729" s="72"/>
      <c r="W729" s="72"/>
    </row>
    <row r="730" ht="12.75" customHeight="1">
      <c r="A730" s="122"/>
      <c r="B730" s="122"/>
      <c r="C730" s="122"/>
      <c r="D730" s="123"/>
      <c r="E730" s="122"/>
      <c r="F730" s="124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72"/>
      <c r="V730" s="72"/>
      <c r="W730" s="72"/>
    </row>
    <row r="731" ht="12.75" customHeight="1">
      <c r="A731" s="122"/>
      <c r="B731" s="122"/>
      <c r="C731" s="122"/>
      <c r="D731" s="123"/>
      <c r="E731" s="122"/>
      <c r="F731" s="124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72"/>
      <c r="V731" s="72"/>
      <c r="W731" s="72"/>
    </row>
    <row r="732" ht="12.75" customHeight="1">
      <c r="A732" s="122"/>
      <c r="B732" s="122"/>
      <c r="C732" s="122"/>
      <c r="D732" s="123"/>
      <c r="E732" s="122"/>
      <c r="F732" s="124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72"/>
      <c r="V732" s="72"/>
      <c r="W732" s="72"/>
    </row>
    <row r="733" ht="12.75" customHeight="1">
      <c r="A733" s="122"/>
      <c r="B733" s="122"/>
      <c r="C733" s="122"/>
      <c r="D733" s="123"/>
      <c r="E733" s="122"/>
      <c r="F733" s="124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72"/>
      <c r="V733" s="72"/>
      <c r="W733" s="72"/>
    </row>
    <row r="734" ht="12.75" customHeight="1">
      <c r="A734" s="122"/>
      <c r="B734" s="122"/>
      <c r="C734" s="122"/>
      <c r="D734" s="123"/>
      <c r="E734" s="122"/>
      <c r="F734" s="124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72"/>
      <c r="V734" s="72"/>
      <c r="W734" s="72"/>
    </row>
    <row r="735" ht="12.75" customHeight="1">
      <c r="A735" s="122"/>
      <c r="B735" s="122"/>
      <c r="C735" s="122"/>
      <c r="D735" s="123"/>
      <c r="E735" s="122"/>
      <c r="F735" s="124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72"/>
      <c r="V735" s="72"/>
      <c r="W735" s="72"/>
    </row>
    <row r="736" ht="12.75" customHeight="1">
      <c r="A736" s="122"/>
      <c r="B736" s="122"/>
      <c r="C736" s="122"/>
      <c r="D736" s="123"/>
      <c r="E736" s="122"/>
      <c r="F736" s="124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72"/>
      <c r="V736" s="72"/>
      <c r="W736" s="72"/>
    </row>
    <row r="737" ht="12.75" customHeight="1">
      <c r="A737" s="122"/>
      <c r="B737" s="122"/>
      <c r="C737" s="122"/>
      <c r="D737" s="123"/>
      <c r="E737" s="122"/>
      <c r="F737" s="124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72"/>
      <c r="V737" s="72"/>
      <c r="W737" s="72"/>
    </row>
    <row r="738" ht="12.75" customHeight="1">
      <c r="A738" s="122"/>
      <c r="B738" s="122"/>
      <c r="C738" s="122"/>
      <c r="D738" s="123"/>
      <c r="E738" s="122"/>
      <c r="F738" s="124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72"/>
      <c r="V738" s="72"/>
      <c r="W738" s="72"/>
    </row>
    <row r="739" ht="12.75" customHeight="1">
      <c r="A739" s="122"/>
      <c r="B739" s="122"/>
      <c r="C739" s="122"/>
      <c r="D739" s="123"/>
      <c r="E739" s="122"/>
      <c r="F739" s="124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72"/>
      <c r="V739" s="72"/>
      <c r="W739" s="72"/>
    </row>
    <row r="740" ht="12.75" customHeight="1">
      <c r="A740" s="122"/>
      <c r="B740" s="122"/>
      <c r="C740" s="122"/>
      <c r="D740" s="123"/>
      <c r="E740" s="122"/>
      <c r="F740" s="124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72"/>
      <c r="V740" s="72"/>
      <c r="W740" s="72"/>
    </row>
    <row r="741" ht="12.75" customHeight="1">
      <c r="A741" s="122"/>
      <c r="B741" s="122"/>
      <c r="C741" s="122"/>
      <c r="D741" s="123"/>
      <c r="E741" s="122"/>
      <c r="F741" s="124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72"/>
      <c r="V741" s="72"/>
      <c r="W741" s="72"/>
    </row>
    <row r="742" ht="12.75" customHeight="1">
      <c r="A742" s="122"/>
      <c r="B742" s="122"/>
      <c r="C742" s="122"/>
      <c r="D742" s="123"/>
      <c r="E742" s="122"/>
      <c r="F742" s="124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72"/>
      <c r="V742" s="72"/>
      <c r="W742" s="72"/>
    </row>
    <row r="743" ht="12.75" customHeight="1">
      <c r="A743" s="122"/>
      <c r="B743" s="122"/>
      <c r="C743" s="122"/>
      <c r="D743" s="123"/>
      <c r="E743" s="122"/>
      <c r="F743" s="124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72"/>
      <c r="V743" s="72"/>
      <c r="W743" s="72"/>
    </row>
    <row r="744" ht="12.75" customHeight="1">
      <c r="A744" s="122"/>
      <c r="B744" s="122"/>
      <c r="C744" s="122"/>
      <c r="D744" s="123"/>
      <c r="E744" s="122"/>
      <c r="F744" s="124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72"/>
      <c r="V744" s="72"/>
      <c r="W744" s="72"/>
    </row>
    <row r="745" ht="12.75" customHeight="1">
      <c r="A745" s="122"/>
      <c r="B745" s="122"/>
      <c r="C745" s="122"/>
      <c r="D745" s="123"/>
      <c r="E745" s="122"/>
      <c r="F745" s="124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72"/>
      <c r="V745" s="72"/>
      <c r="W745" s="72"/>
    </row>
    <row r="746" ht="12.75" customHeight="1">
      <c r="A746" s="122"/>
      <c r="B746" s="122"/>
      <c r="C746" s="122"/>
      <c r="D746" s="123"/>
      <c r="E746" s="122"/>
      <c r="F746" s="124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72"/>
      <c r="V746" s="72"/>
      <c r="W746" s="72"/>
    </row>
    <row r="747" ht="12.75" customHeight="1">
      <c r="A747" s="122"/>
      <c r="B747" s="122"/>
      <c r="C747" s="122"/>
      <c r="D747" s="123"/>
      <c r="E747" s="122"/>
      <c r="F747" s="124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72"/>
      <c r="V747" s="72"/>
      <c r="W747" s="72"/>
    </row>
    <row r="748" ht="12.75" customHeight="1">
      <c r="A748" s="122"/>
      <c r="B748" s="122"/>
      <c r="C748" s="122"/>
      <c r="D748" s="123"/>
      <c r="E748" s="122"/>
      <c r="F748" s="124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72"/>
      <c r="V748" s="72"/>
      <c r="W748" s="72"/>
    </row>
    <row r="749" ht="12.75" customHeight="1">
      <c r="A749" s="122"/>
      <c r="B749" s="122"/>
      <c r="C749" s="122"/>
      <c r="D749" s="123"/>
      <c r="E749" s="122"/>
      <c r="F749" s="124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72"/>
      <c r="V749" s="72"/>
      <c r="W749" s="72"/>
    </row>
    <row r="750" ht="12.75" customHeight="1">
      <c r="A750" s="122"/>
      <c r="B750" s="122"/>
      <c r="C750" s="122"/>
      <c r="D750" s="123"/>
      <c r="E750" s="122"/>
      <c r="F750" s="124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72"/>
      <c r="V750" s="72"/>
      <c r="W750" s="72"/>
    </row>
    <row r="751" ht="12.75" customHeight="1">
      <c r="A751" s="122"/>
      <c r="B751" s="122"/>
      <c r="C751" s="122"/>
      <c r="D751" s="123"/>
      <c r="E751" s="122"/>
      <c r="F751" s="124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72"/>
      <c r="V751" s="72"/>
      <c r="W751" s="72"/>
    </row>
    <row r="752" ht="12.75" customHeight="1">
      <c r="A752" s="122"/>
      <c r="B752" s="122"/>
      <c r="C752" s="122"/>
      <c r="D752" s="123"/>
      <c r="E752" s="122"/>
      <c r="F752" s="124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72"/>
      <c r="V752" s="72"/>
      <c r="W752" s="72"/>
    </row>
    <row r="753" ht="12.75" customHeight="1">
      <c r="A753" s="122"/>
      <c r="B753" s="122"/>
      <c r="C753" s="122"/>
      <c r="D753" s="123"/>
      <c r="E753" s="122"/>
      <c r="F753" s="124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72"/>
      <c r="V753" s="72"/>
      <c r="W753" s="72"/>
    </row>
    <row r="754" ht="12.75" customHeight="1">
      <c r="A754" s="122"/>
      <c r="B754" s="122"/>
      <c r="C754" s="122"/>
      <c r="D754" s="123"/>
      <c r="E754" s="122"/>
      <c r="F754" s="124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72"/>
      <c r="V754" s="72"/>
      <c r="W754" s="72"/>
    </row>
    <row r="755" ht="12.75" customHeight="1">
      <c r="A755" s="122"/>
      <c r="B755" s="122"/>
      <c r="C755" s="122"/>
      <c r="D755" s="123"/>
      <c r="E755" s="122"/>
      <c r="F755" s="124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72"/>
      <c r="V755" s="72"/>
      <c r="W755" s="72"/>
    </row>
    <row r="756" ht="12.75" customHeight="1">
      <c r="A756" s="122"/>
      <c r="B756" s="122"/>
      <c r="C756" s="122"/>
      <c r="D756" s="123"/>
      <c r="E756" s="122"/>
      <c r="F756" s="124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72"/>
      <c r="V756" s="72"/>
      <c r="W756" s="72"/>
    </row>
    <row r="757" ht="12.75" customHeight="1">
      <c r="A757" s="122"/>
      <c r="B757" s="122"/>
      <c r="C757" s="122"/>
      <c r="D757" s="123"/>
      <c r="E757" s="122"/>
      <c r="F757" s="124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72"/>
      <c r="V757" s="72"/>
      <c r="W757" s="72"/>
    </row>
    <row r="758" ht="12.75" customHeight="1">
      <c r="A758" s="122"/>
      <c r="B758" s="122"/>
      <c r="C758" s="122"/>
      <c r="D758" s="123"/>
      <c r="E758" s="122"/>
      <c r="F758" s="124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72"/>
      <c r="V758" s="72"/>
      <c r="W758" s="72"/>
    </row>
    <row r="759" ht="12.75" customHeight="1">
      <c r="A759" s="122"/>
      <c r="B759" s="122"/>
      <c r="C759" s="122"/>
      <c r="D759" s="123"/>
      <c r="E759" s="122"/>
      <c r="F759" s="124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72"/>
      <c r="V759" s="72"/>
      <c r="W759" s="72"/>
    </row>
    <row r="760" ht="12.75" customHeight="1">
      <c r="A760" s="122"/>
      <c r="B760" s="122"/>
      <c r="C760" s="122"/>
      <c r="D760" s="123"/>
      <c r="E760" s="122"/>
      <c r="F760" s="124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72"/>
      <c r="V760" s="72"/>
      <c r="W760" s="72"/>
    </row>
    <row r="761" ht="12.75" customHeight="1">
      <c r="A761" s="122"/>
      <c r="B761" s="122"/>
      <c r="C761" s="122"/>
      <c r="D761" s="123"/>
      <c r="E761" s="122"/>
      <c r="F761" s="124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72"/>
      <c r="V761" s="72"/>
      <c r="W761" s="72"/>
    </row>
    <row r="762" ht="12.75" customHeight="1">
      <c r="A762" s="122"/>
      <c r="B762" s="122"/>
      <c r="C762" s="122"/>
      <c r="D762" s="123"/>
      <c r="E762" s="122"/>
      <c r="F762" s="124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72"/>
      <c r="V762" s="72"/>
      <c r="W762" s="72"/>
    </row>
    <row r="763" ht="12.75" customHeight="1">
      <c r="A763" s="122"/>
      <c r="B763" s="122"/>
      <c r="C763" s="122"/>
      <c r="D763" s="123"/>
      <c r="E763" s="122"/>
      <c r="F763" s="124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72"/>
      <c r="V763" s="72"/>
      <c r="W763" s="72"/>
    </row>
    <row r="764" ht="12.75" customHeight="1">
      <c r="A764" s="122"/>
      <c r="B764" s="122"/>
      <c r="C764" s="122"/>
      <c r="D764" s="123"/>
      <c r="E764" s="122"/>
      <c r="F764" s="124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72"/>
      <c r="V764" s="72"/>
      <c r="W764" s="72"/>
    </row>
    <row r="765" ht="12.75" customHeight="1">
      <c r="A765" s="122"/>
      <c r="B765" s="122"/>
      <c r="C765" s="122"/>
      <c r="D765" s="123"/>
      <c r="E765" s="122"/>
      <c r="F765" s="124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72"/>
      <c r="V765" s="72"/>
      <c r="W765" s="72"/>
    </row>
    <row r="766" ht="12.75" customHeight="1">
      <c r="A766" s="122"/>
      <c r="B766" s="122"/>
      <c r="C766" s="122"/>
      <c r="D766" s="123"/>
      <c r="E766" s="122"/>
      <c r="F766" s="124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72"/>
      <c r="V766" s="72"/>
      <c r="W766" s="72"/>
    </row>
    <row r="767" ht="12.75" customHeight="1">
      <c r="A767" s="122"/>
      <c r="B767" s="122"/>
      <c r="C767" s="122"/>
      <c r="D767" s="123"/>
      <c r="E767" s="122"/>
      <c r="F767" s="124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72"/>
      <c r="V767" s="72"/>
      <c r="W767" s="72"/>
    </row>
    <row r="768" ht="12.75" customHeight="1">
      <c r="A768" s="122"/>
      <c r="B768" s="122"/>
      <c r="C768" s="122"/>
      <c r="D768" s="123"/>
      <c r="E768" s="122"/>
      <c r="F768" s="124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72"/>
      <c r="V768" s="72"/>
      <c r="W768" s="72"/>
    </row>
    <row r="769" ht="12.75" customHeight="1">
      <c r="A769" s="122"/>
      <c r="B769" s="122"/>
      <c r="C769" s="122"/>
      <c r="D769" s="123"/>
      <c r="E769" s="122"/>
      <c r="F769" s="124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72"/>
      <c r="V769" s="72"/>
      <c r="W769" s="72"/>
    </row>
    <row r="770" ht="12.75" customHeight="1">
      <c r="A770" s="122"/>
      <c r="B770" s="122"/>
      <c r="C770" s="122"/>
      <c r="D770" s="123"/>
      <c r="E770" s="122"/>
      <c r="F770" s="124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72"/>
      <c r="V770" s="72"/>
      <c r="W770" s="72"/>
    </row>
    <row r="771" ht="12.75" customHeight="1">
      <c r="A771" s="122"/>
      <c r="B771" s="122"/>
      <c r="C771" s="122"/>
      <c r="D771" s="123"/>
      <c r="E771" s="122"/>
      <c r="F771" s="124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72"/>
      <c r="V771" s="72"/>
      <c r="W771" s="72"/>
    </row>
    <row r="772" ht="12.75" customHeight="1">
      <c r="A772" s="122"/>
      <c r="B772" s="122"/>
      <c r="C772" s="122"/>
      <c r="D772" s="123"/>
      <c r="E772" s="122"/>
      <c r="F772" s="124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72"/>
      <c r="V772" s="72"/>
      <c r="W772" s="72"/>
    </row>
    <row r="773" ht="12.75" customHeight="1">
      <c r="A773" s="122"/>
      <c r="B773" s="122"/>
      <c r="C773" s="122"/>
      <c r="D773" s="123"/>
      <c r="E773" s="122"/>
      <c r="F773" s="124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72"/>
      <c r="V773" s="72"/>
      <c r="W773" s="72"/>
    </row>
    <row r="774" ht="12.75" customHeight="1">
      <c r="A774" s="122"/>
      <c r="B774" s="122"/>
      <c r="C774" s="122"/>
      <c r="D774" s="123"/>
      <c r="E774" s="122"/>
      <c r="F774" s="124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72"/>
      <c r="V774" s="72"/>
      <c r="W774" s="72"/>
    </row>
    <row r="775" ht="12.75" customHeight="1">
      <c r="A775" s="122"/>
      <c r="B775" s="122"/>
      <c r="C775" s="122"/>
      <c r="D775" s="123"/>
      <c r="E775" s="122"/>
      <c r="F775" s="124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72"/>
      <c r="V775" s="72"/>
      <c r="W775" s="72"/>
    </row>
    <row r="776" ht="12.75" customHeight="1">
      <c r="A776" s="122"/>
      <c r="B776" s="122"/>
      <c r="C776" s="122"/>
      <c r="D776" s="123"/>
      <c r="E776" s="122"/>
      <c r="F776" s="124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72"/>
      <c r="V776" s="72"/>
      <c r="W776" s="72"/>
    </row>
    <row r="777" ht="12.75" customHeight="1">
      <c r="A777" s="122"/>
      <c r="B777" s="122"/>
      <c r="C777" s="122"/>
      <c r="D777" s="123"/>
      <c r="E777" s="122"/>
      <c r="F777" s="124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72"/>
      <c r="V777" s="72"/>
      <c r="W777" s="72"/>
    </row>
    <row r="778" ht="12.75" customHeight="1">
      <c r="A778" s="122"/>
      <c r="B778" s="122"/>
      <c r="C778" s="122"/>
      <c r="D778" s="123"/>
      <c r="E778" s="122"/>
      <c r="F778" s="124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72"/>
      <c r="V778" s="72"/>
      <c r="W778" s="72"/>
    </row>
    <row r="779" ht="12.75" customHeight="1">
      <c r="A779" s="122"/>
      <c r="B779" s="122"/>
      <c r="C779" s="122"/>
      <c r="D779" s="123"/>
      <c r="E779" s="122"/>
      <c r="F779" s="124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72"/>
      <c r="V779" s="72"/>
      <c r="W779" s="72"/>
    </row>
    <row r="780" ht="12.75" customHeight="1">
      <c r="A780" s="122"/>
      <c r="B780" s="122"/>
      <c r="C780" s="122"/>
      <c r="D780" s="123"/>
      <c r="E780" s="122"/>
      <c r="F780" s="124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72"/>
      <c r="V780" s="72"/>
      <c r="W780" s="72"/>
    </row>
    <row r="781" ht="12.75" customHeight="1">
      <c r="A781" s="122"/>
      <c r="B781" s="122"/>
      <c r="C781" s="122"/>
      <c r="D781" s="123"/>
      <c r="E781" s="122"/>
      <c r="F781" s="124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72"/>
      <c r="V781" s="72"/>
      <c r="W781" s="72"/>
    </row>
    <row r="782" ht="12.75" customHeight="1">
      <c r="A782" s="122"/>
      <c r="B782" s="122"/>
      <c r="C782" s="122"/>
      <c r="D782" s="123"/>
      <c r="E782" s="122"/>
      <c r="F782" s="124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72"/>
      <c r="V782" s="72"/>
      <c r="W782" s="72"/>
    </row>
    <row r="783" ht="12.75" customHeight="1">
      <c r="A783" s="122"/>
      <c r="B783" s="122"/>
      <c r="C783" s="122"/>
      <c r="D783" s="123"/>
      <c r="E783" s="122"/>
      <c r="F783" s="124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72"/>
      <c r="V783" s="72"/>
      <c r="W783" s="72"/>
    </row>
    <row r="784" ht="12.75" customHeight="1">
      <c r="A784" s="122"/>
      <c r="B784" s="122"/>
      <c r="C784" s="122"/>
      <c r="D784" s="123"/>
      <c r="E784" s="122"/>
      <c r="F784" s="124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72"/>
      <c r="V784" s="72"/>
      <c r="W784" s="72"/>
    </row>
    <row r="785" ht="12.75" customHeight="1">
      <c r="A785" s="122"/>
      <c r="B785" s="122"/>
      <c r="C785" s="122"/>
      <c r="D785" s="123"/>
      <c r="E785" s="122"/>
      <c r="F785" s="124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72"/>
      <c r="V785" s="72"/>
      <c r="W785" s="72"/>
    </row>
    <row r="786" ht="12.75" customHeight="1">
      <c r="A786" s="122"/>
      <c r="B786" s="122"/>
      <c r="C786" s="122"/>
      <c r="D786" s="123"/>
      <c r="E786" s="122"/>
      <c r="F786" s="124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72"/>
      <c r="V786" s="72"/>
      <c r="W786" s="72"/>
    </row>
    <row r="787" ht="12.75" customHeight="1">
      <c r="A787" s="122"/>
      <c r="B787" s="122"/>
      <c r="C787" s="122"/>
      <c r="D787" s="123"/>
      <c r="E787" s="122"/>
      <c r="F787" s="124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72"/>
      <c r="V787" s="72"/>
      <c r="W787" s="72"/>
    </row>
    <row r="788" ht="12.75" customHeight="1">
      <c r="A788" s="122"/>
      <c r="B788" s="122"/>
      <c r="C788" s="122"/>
      <c r="D788" s="123"/>
      <c r="E788" s="122"/>
      <c r="F788" s="124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72"/>
      <c r="V788" s="72"/>
      <c r="W788" s="72"/>
    </row>
    <row r="789" ht="12.75" customHeight="1">
      <c r="A789" s="122"/>
      <c r="B789" s="122"/>
      <c r="C789" s="122"/>
      <c r="D789" s="123"/>
      <c r="E789" s="122"/>
      <c r="F789" s="124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72"/>
      <c r="V789" s="72"/>
      <c r="W789" s="72"/>
    </row>
    <row r="790" ht="12.75" customHeight="1">
      <c r="A790" s="122"/>
      <c r="B790" s="122"/>
      <c r="C790" s="122"/>
      <c r="D790" s="123"/>
      <c r="E790" s="122"/>
      <c r="F790" s="124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72"/>
      <c r="V790" s="72"/>
      <c r="W790" s="72"/>
    </row>
    <row r="791" ht="12.75" customHeight="1">
      <c r="A791" s="122"/>
      <c r="B791" s="122"/>
      <c r="C791" s="122"/>
      <c r="D791" s="123"/>
      <c r="E791" s="122"/>
      <c r="F791" s="124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72"/>
      <c r="V791" s="72"/>
      <c r="W791" s="72"/>
    </row>
    <row r="792" ht="12.75" customHeight="1">
      <c r="A792" s="122"/>
      <c r="B792" s="122"/>
      <c r="C792" s="122"/>
      <c r="D792" s="123"/>
      <c r="E792" s="122"/>
      <c r="F792" s="124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72"/>
      <c r="V792" s="72"/>
      <c r="W792" s="72"/>
    </row>
    <row r="793" ht="12.75" customHeight="1">
      <c r="A793" s="122"/>
      <c r="B793" s="122"/>
      <c r="C793" s="122"/>
      <c r="D793" s="123"/>
      <c r="E793" s="122"/>
      <c r="F793" s="124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72"/>
      <c r="V793" s="72"/>
      <c r="W793" s="72"/>
    </row>
    <row r="794" ht="12.75" customHeight="1">
      <c r="A794" s="122"/>
      <c r="B794" s="122"/>
      <c r="C794" s="122"/>
      <c r="D794" s="123"/>
      <c r="E794" s="122"/>
      <c r="F794" s="124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72"/>
      <c r="V794" s="72"/>
      <c r="W794" s="72"/>
    </row>
    <row r="795" ht="12.75" customHeight="1">
      <c r="A795" s="122"/>
      <c r="B795" s="122"/>
      <c r="C795" s="122"/>
      <c r="D795" s="123"/>
      <c r="E795" s="122"/>
      <c r="F795" s="124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72"/>
      <c r="V795" s="72"/>
      <c r="W795" s="72"/>
    </row>
    <row r="796" ht="12.75" customHeight="1">
      <c r="A796" s="122"/>
      <c r="B796" s="122"/>
      <c r="C796" s="122"/>
      <c r="D796" s="123"/>
      <c r="E796" s="122"/>
      <c r="F796" s="124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72"/>
      <c r="V796" s="72"/>
      <c r="W796" s="72"/>
    </row>
    <row r="797" ht="12.75" customHeight="1">
      <c r="A797" s="122"/>
      <c r="B797" s="122"/>
      <c r="C797" s="122"/>
      <c r="D797" s="123"/>
      <c r="E797" s="122"/>
      <c r="F797" s="124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72"/>
      <c r="V797" s="72"/>
      <c r="W797" s="72"/>
    </row>
    <row r="798" ht="12.75" customHeight="1">
      <c r="A798" s="122"/>
      <c r="B798" s="122"/>
      <c r="C798" s="122"/>
      <c r="D798" s="123"/>
      <c r="E798" s="122"/>
      <c r="F798" s="124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72"/>
      <c r="V798" s="72"/>
      <c r="W798" s="72"/>
    </row>
    <row r="799" ht="12.75" customHeight="1">
      <c r="A799" s="122"/>
      <c r="B799" s="122"/>
      <c r="C799" s="122"/>
      <c r="D799" s="123"/>
      <c r="E799" s="122"/>
      <c r="F799" s="124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72"/>
      <c r="V799" s="72"/>
      <c r="W799" s="72"/>
    </row>
    <row r="800" ht="12.75" customHeight="1">
      <c r="A800" s="122"/>
      <c r="B800" s="122"/>
      <c r="C800" s="122"/>
      <c r="D800" s="123"/>
      <c r="E800" s="122"/>
      <c r="F800" s="124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72"/>
      <c r="V800" s="72"/>
      <c r="W800" s="72"/>
    </row>
    <row r="801" ht="12.75" customHeight="1">
      <c r="A801" s="122"/>
      <c r="B801" s="122"/>
      <c r="C801" s="122"/>
      <c r="D801" s="123"/>
      <c r="E801" s="122"/>
      <c r="F801" s="124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72"/>
      <c r="V801" s="72"/>
      <c r="W801" s="72"/>
    </row>
    <row r="802" ht="12.75" customHeight="1">
      <c r="A802" s="122"/>
      <c r="B802" s="122"/>
      <c r="C802" s="122"/>
      <c r="D802" s="123"/>
      <c r="E802" s="122"/>
      <c r="F802" s="124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72"/>
      <c r="V802" s="72"/>
      <c r="W802" s="72"/>
    </row>
    <row r="803" ht="12.75" customHeight="1">
      <c r="A803" s="122"/>
      <c r="B803" s="122"/>
      <c r="C803" s="122"/>
      <c r="D803" s="123"/>
      <c r="E803" s="122"/>
      <c r="F803" s="124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72"/>
      <c r="V803" s="72"/>
      <c r="W803" s="72"/>
    </row>
    <row r="804" ht="12.75" customHeight="1">
      <c r="A804" s="122"/>
      <c r="B804" s="122"/>
      <c r="C804" s="122"/>
      <c r="D804" s="123"/>
      <c r="E804" s="122"/>
      <c r="F804" s="124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72"/>
      <c r="V804" s="72"/>
      <c r="W804" s="72"/>
    </row>
    <row r="805" ht="12.75" customHeight="1">
      <c r="A805" s="122"/>
      <c r="B805" s="122"/>
      <c r="C805" s="122"/>
      <c r="D805" s="123"/>
      <c r="E805" s="122"/>
      <c r="F805" s="124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72"/>
      <c r="V805" s="72"/>
      <c r="W805" s="72"/>
    </row>
    <row r="806" ht="12.75" customHeight="1">
      <c r="A806" s="122"/>
      <c r="B806" s="122"/>
      <c r="C806" s="122"/>
      <c r="D806" s="123"/>
      <c r="E806" s="122"/>
      <c r="F806" s="124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72"/>
      <c r="V806" s="72"/>
      <c r="W806" s="72"/>
    </row>
    <row r="807" ht="12.75" customHeight="1">
      <c r="A807" s="122"/>
      <c r="B807" s="122"/>
      <c r="C807" s="122"/>
      <c r="D807" s="123"/>
      <c r="E807" s="122"/>
      <c r="F807" s="124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72"/>
      <c r="V807" s="72"/>
      <c r="W807" s="72"/>
    </row>
    <row r="808" ht="12.75" customHeight="1">
      <c r="A808" s="122"/>
      <c r="B808" s="122"/>
      <c r="C808" s="122"/>
      <c r="D808" s="123"/>
      <c r="E808" s="122"/>
      <c r="F808" s="124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72"/>
      <c r="V808" s="72"/>
      <c r="W808" s="72"/>
    </row>
    <row r="809" ht="12.75" customHeight="1">
      <c r="A809" s="122"/>
      <c r="B809" s="122"/>
      <c r="C809" s="122"/>
      <c r="D809" s="123"/>
      <c r="E809" s="122"/>
      <c r="F809" s="124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72"/>
      <c r="V809" s="72"/>
      <c r="W809" s="72"/>
    </row>
    <row r="810" ht="12.75" customHeight="1">
      <c r="A810" s="122"/>
      <c r="B810" s="122"/>
      <c r="C810" s="122"/>
      <c r="D810" s="123"/>
      <c r="E810" s="122"/>
      <c r="F810" s="124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72"/>
      <c r="V810" s="72"/>
      <c r="W810" s="72"/>
    </row>
    <row r="811" ht="12.75" customHeight="1">
      <c r="A811" s="122"/>
      <c r="B811" s="122"/>
      <c r="C811" s="122"/>
      <c r="D811" s="123"/>
      <c r="E811" s="122"/>
      <c r="F811" s="124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72"/>
      <c r="V811" s="72"/>
      <c r="W811" s="72"/>
    </row>
    <row r="812" ht="12.75" customHeight="1">
      <c r="A812" s="122"/>
      <c r="B812" s="122"/>
      <c r="C812" s="122"/>
      <c r="D812" s="123"/>
      <c r="E812" s="122"/>
      <c r="F812" s="124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72"/>
      <c r="V812" s="72"/>
      <c r="W812" s="72"/>
    </row>
    <row r="813" ht="12.75" customHeight="1">
      <c r="A813" s="122"/>
      <c r="B813" s="122"/>
      <c r="C813" s="122"/>
      <c r="D813" s="123"/>
      <c r="E813" s="122"/>
      <c r="F813" s="124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72"/>
      <c r="V813" s="72"/>
      <c r="W813" s="72"/>
    </row>
    <row r="814" ht="12.75" customHeight="1">
      <c r="A814" s="122"/>
      <c r="B814" s="122"/>
      <c r="C814" s="122"/>
      <c r="D814" s="123"/>
      <c r="E814" s="122"/>
      <c r="F814" s="124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72"/>
      <c r="V814" s="72"/>
      <c r="W814" s="72"/>
    </row>
    <row r="815" ht="12.75" customHeight="1">
      <c r="A815" s="122"/>
      <c r="B815" s="122"/>
      <c r="C815" s="122"/>
      <c r="D815" s="123"/>
      <c r="E815" s="122"/>
      <c r="F815" s="124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72"/>
      <c r="V815" s="72"/>
      <c r="W815" s="72"/>
    </row>
    <row r="816" ht="12.75" customHeight="1">
      <c r="A816" s="122"/>
      <c r="B816" s="122"/>
      <c r="C816" s="122"/>
      <c r="D816" s="123"/>
      <c r="E816" s="122"/>
      <c r="F816" s="124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72"/>
      <c r="V816" s="72"/>
      <c r="W816" s="72"/>
    </row>
    <row r="817" ht="12.75" customHeight="1">
      <c r="A817" s="122"/>
      <c r="B817" s="122"/>
      <c r="C817" s="122"/>
      <c r="D817" s="123"/>
      <c r="E817" s="122"/>
      <c r="F817" s="124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72"/>
      <c r="V817" s="72"/>
      <c r="W817" s="72"/>
    </row>
    <row r="818" ht="12.75" customHeight="1">
      <c r="A818" s="122"/>
      <c r="B818" s="122"/>
      <c r="C818" s="122"/>
      <c r="D818" s="123"/>
      <c r="E818" s="122"/>
      <c r="F818" s="124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72"/>
      <c r="V818" s="72"/>
      <c r="W818" s="72"/>
    </row>
    <row r="819" ht="12.75" customHeight="1">
      <c r="A819" s="122"/>
      <c r="B819" s="122"/>
      <c r="C819" s="122"/>
      <c r="D819" s="123"/>
      <c r="E819" s="122"/>
      <c r="F819" s="124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72"/>
      <c r="V819" s="72"/>
      <c r="W819" s="72"/>
    </row>
    <row r="820" ht="12.75" customHeight="1">
      <c r="A820" s="122"/>
      <c r="B820" s="122"/>
      <c r="C820" s="122"/>
      <c r="D820" s="123"/>
      <c r="E820" s="122"/>
      <c r="F820" s="124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72"/>
      <c r="V820" s="72"/>
      <c r="W820" s="72"/>
    </row>
    <row r="821" ht="12.75" customHeight="1">
      <c r="A821" s="122"/>
      <c r="B821" s="122"/>
      <c r="C821" s="122"/>
      <c r="D821" s="123"/>
      <c r="E821" s="122"/>
      <c r="F821" s="124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72"/>
      <c r="V821" s="72"/>
      <c r="W821" s="72"/>
    </row>
    <row r="822" ht="12.75" customHeight="1">
      <c r="A822" s="122"/>
      <c r="B822" s="122"/>
      <c r="C822" s="122"/>
      <c r="D822" s="123"/>
      <c r="E822" s="122"/>
      <c r="F822" s="124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72"/>
      <c r="V822" s="72"/>
      <c r="W822" s="72"/>
    </row>
    <row r="823" ht="12.75" customHeight="1">
      <c r="A823" s="122"/>
      <c r="B823" s="122"/>
      <c r="C823" s="122"/>
      <c r="D823" s="123"/>
      <c r="E823" s="122"/>
      <c r="F823" s="124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72"/>
      <c r="V823" s="72"/>
      <c r="W823" s="72"/>
    </row>
    <row r="824" ht="12.75" customHeight="1">
      <c r="A824" s="122"/>
      <c r="B824" s="122"/>
      <c r="C824" s="122"/>
      <c r="D824" s="123"/>
      <c r="E824" s="122"/>
      <c r="F824" s="124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72"/>
      <c r="V824" s="72"/>
      <c r="W824" s="72"/>
    </row>
    <row r="825" ht="12.75" customHeight="1">
      <c r="A825" s="122"/>
      <c r="B825" s="122"/>
      <c r="C825" s="122"/>
      <c r="D825" s="123"/>
      <c r="E825" s="122"/>
      <c r="F825" s="124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72"/>
      <c r="V825" s="72"/>
      <c r="W825" s="72"/>
    </row>
    <row r="826" ht="12.75" customHeight="1">
      <c r="A826" s="122"/>
      <c r="B826" s="122"/>
      <c r="C826" s="122"/>
      <c r="D826" s="123"/>
      <c r="E826" s="122"/>
      <c r="F826" s="124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72"/>
      <c r="V826" s="72"/>
      <c r="W826" s="72"/>
    </row>
    <row r="827" ht="12.75" customHeight="1">
      <c r="A827" s="122"/>
      <c r="B827" s="122"/>
      <c r="C827" s="122"/>
      <c r="D827" s="123"/>
      <c r="E827" s="122"/>
      <c r="F827" s="124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72"/>
      <c r="V827" s="72"/>
      <c r="W827" s="72"/>
    </row>
    <row r="828" ht="12.75" customHeight="1">
      <c r="A828" s="122"/>
      <c r="B828" s="122"/>
      <c r="C828" s="122"/>
      <c r="D828" s="123"/>
      <c r="E828" s="122"/>
      <c r="F828" s="124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72"/>
      <c r="V828" s="72"/>
      <c r="W828" s="72"/>
    </row>
    <row r="829" ht="12.75" customHeight="1">
      <c r="A829" s="122"/>
      <c r="B829" s="122"/>
      <c r="C829" s="122"/>
      <c r="D829" s="123"/>
      <c r="E829" s="122"/>
      <c r="F829" s="124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72"/>
      <c r="V829" s="72"/>
      <c r="W829" s="72"/>
    </row>
    <row r="830" ht="12.75" customHeight="1">
      <c r="A830" s="122"/>
      <c r="B830" s="122"/>
      <c r="C830" s="122"/>
      <c r="D830" s="123"/>
      <c r="E830" s="122"/>
      <c r="F830" s="124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72"/>
      <c r="V830" s="72"/>
      <c r="W830" s="72"/>
    </row>
    <row r="831" ht="12.75" customHeight="1">
      <c r="A831" s="122"/>
      <c r="B831" s="122"/>
      <c r="C831" s="122"/>
      <c r="D831" s="123"/>
      <c r="E831" s="122"/>
      <c r="F831" s="124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72"/>
      <c r="V831" s="72"/>
      <c r="W831" s="72"/>
    </row>
    <row r="832" ht="12.75" customHeight="1">
      <c r="A832" s="122"/>
      <c r="B832" s="122"/>
      <c r="C832" s="122"/>
      <c r="D832" s="123"/>
      <c r="E832" s="122"/>
      <c r="F832" s="124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72"/>
      <c r="V832" s="72"/>
      <c r="W832" s="72"/>
    </row>
    <row r="833" ht="12.75" customHeight="1">
      <c r="A833" s="122"/>
      <c r="B833" s="122"/>
      <c r="C833" s="122"/>
      <c r="D833" s="123"/>
      <c r="E833" s="122"/>
      <c r="F833" s="124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72"/>
      <c r="V833" s="72"/>
      <c r="W833" s="72"/>
    </row>
    <row r="834" ht="12.75" customHeight="1">
      <c r="A834" s="122"/>
      <c r="B834" s="122"/>
      <c r="C834" s="122"/>
      <c r="D834" s="123"/>
      <c r="E834" s="122"/>
      <c r="F834" s="124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72"/>
      <c r="V834" s="72"/>
      <c r="W834" s="72"/>
    </row>
    <row r="835" ht="12.75" customHeight="1">
      <c r="A835" s="122"/>
      <c r="B835" s="122"/>
      <c r="C835" s="122"/>
      <c r="D835" s="123"/>
      <c r="E835" s="122"/>
      <c r="F835" s="124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72"/>
      <c r="V835" s="72"/>
      <c r="W835" s="72"/>
    </row>
    <row r="836" ht="12.75" customHeight="1">
      <c r="A836" s="122"/>
      <c r="B836" s="122"/>
      <c r="C836" s="122"/>
      <c r="D836" s="123"/>
      <c r="E836" s="122"/>
      <c r="F836" s="124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72"/>
      <c r="V836" s="72"/>
      <c r="W836" s="72"/>
    </row>
    <row r="837" ht="12.75" customHeight="1">
      <c r="A837" s="122"/>
      <c r="B837" s="122"/>
      <c r="C837" s="122"/>
      <c r="D837" s="123"/>
      <c r="E837" s="122"/>
      <c r="F837" s="124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72"/>
      <c r="V837" s="72"/>
      <c r="W837" s="72"/>
    </row>
    <row r="838" ht="12.75" customHeight="1">
      <c r="A838" s="122"/>
      <c r="B838" s="122"/>
      <c r="C838" s="122"/>
      <c r="D838" s="123"/>
      <c r="E838" s="122"/>
      <c r="F838" s="124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72"/>
      <c r="V838" s="72"/>
      <c r="W838" s="72"/>
    </row>
    <row r="839" ht="12.75" customHeight="1">
      <c r="A839" s="122"/>
      <c r="B839" s="122"/>
      <c r="C839" s="122"/>
      <c r="D839" s="123"/>
      <c r="E839" s="122"/>
      <c r="F839" s="124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72"/>
      <c r="V839" s="72"/>
      <c r="W839" s="72"/>
    </row>
    <row r="840" ht="12.75" customHeight="1">
      <c r="A840" s="122"/>
      <c r="B840" s="122"/>
      <c r="C840" s="122"/>
      <c r="D840" s="123"/>
      <c r="E840" s="122"/>
      <c r="F840" s="124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72"/>
      <c r="V840" s="72"/>
      <c r="W840" s="72"/>
    </row>
    <row r="841" ht="12.75" customHeight="1">
      <c r="A841" s="122"/>
      <c r="B841" s="122"/>
      <c r="C841" s="122"/>
      <c r="D841" s="123"/>
      <c r="E841" s="122"/>
      <c r="F841" s="124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72"/>
      <c r="V841" s="72"/>
      <c r="W841" s="72"/>
    </row>
    <row r="842" ht="12.75" customHeight="1">
      <c r="A842" s="122"/>
      <c r="B842" s="122"/>
      <c r="C842" s="122"/>
      <c r="D842" s="123"/>
      <c r="E842" s="122"/>
      <c r="F842" s="124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72"/>
      <c r="V842" s="72"/>
      <c r="W842" s="72"/>
    </row>
    <row r="843" ht="12.75" customHeight="1">
      <c r="A843" s="122"/>
      <c r="B843" s="122"/>
      <c r="C843" s="122"/>
      <c r="D843" s="123"/>
      <c r="E843" s="122"/>
      <c r="F843" s="124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72"/>
      <c r="V843" s="72"/>
      <c r="W843" s="72"/>
    </row>
    <row r="844" ht="12.75" customHeight="1">
      <c r="A844" s="122"/>
      <c r="B844" s="122"/>
      <c r="C844" s="122"/>
      <c r="D844" s="123"/>
      <c r="E844" s="122"/>
      <c r="F844" s="124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72"/>
      <c r="V844" s="72"/>
      <c r="W844" s="72"/>
    </row>
    <row r="845" ht="12.75" customHeight="1">
      <c r="A845" s="122"/>
      <c r="B845" s="122"/>
      <c r="C845" s="122"/>
      <c r="D845" s="123"/>
      <c r="E845" s="122"/>
      <c r="F845" s="124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72"/>
      <c r="V845" s="72"/>
      <c r="W845" s="72"/>
    </row>
    <row r="846" ht="12.75" customHeight="1">
      <c r="A846" s="122"/>
      <c r="B846" s="122"/>
      <c r="C846" s="122"/>
      <c r="D846" s="123"/>
      <c r="E846" s="122"/>
      <c r="F846" s="124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72"/>
      <c r="V846" s="72"/>
      <c r="W846" s="72"/>
    </row>
    <row r="847" ht="12.75" customHeight="1">
      <c r="A847" s="122"/>
      <c r="B847" s="122"/>
      <c r="C847" s="122"/>
      <c r="D847" s="123"/>
      <c r="E847" s="122"/>
      <c r="F847" s="124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72"/>
      <c r="V847" s="72"/>
      <c r="W847" s="72"/>
    </row>
    <row r="848" ht="12.75" customHeight="1">
      <c r="A848" s="122"/>
      <c r="B848" s="122"/>
      <c r="C848" s="122"/>
      <c r="D848" s="123"/>
      <c r="E848" s="122"/>
      <c r="F848" s="124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72"/>
      <c r="V848" s="72"/>
      <c r="W848" s="72"/>
    </row>
    <row r="849" ht="12.75" customHeight="1">
      <c r="A849" s="122"/>
      <c r="B849" s="122"/>
      <c r="C849" s="122"/>
      <c r="D849" s="123"/>
      <c r="E849" s="122"/>
      <c r="F849" s="124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72"/>
      <c r="V849" s="72"/>
      <c r="W849" s="72"/>
    </row>
    <row r="850" ht="12.75" customHeight="1">
      <c r="A850" s="122"/>
      <c r="B850" s="122"/>
      <c r="C850" s="122"/>
      <c r="D850" s="123"/>
      <c r="E850" s="122"/>
      <c r="F850" s="124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72"/>
      <c r="V850" s="72"/>
      <c r="W850" s="72"/>
    </row>
    <row r="851" ht="12.75" customHeight="1">
      <c r="A851" s="122"/>
      <c r="B851" s="122"/>
      <c r="C851" s="122"/>
      <c r="D851" s="123"/>
      <c r="E851" s="122"/>
      <c r="F851" s="124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72"/>
      <c r="V851" s="72"/>
      <c r="W851" s="72"/>
    </row>
    <row r="852" ht="12.75" customHeight="1">
      <c r="A852" s="122"/>
      <c r="B852" s="122"/>
      <c r="C852" s="122"/>
      <c r="D852" s="123"/>
      <c r="E852" s="122"/>
      <c r="F852" s="124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72"/>
      <c r="V852" s="72"/>
      <c r="W852" s="72"/>
    </row>
    <row r="853" ht="12.75" customHeight="1">
      <c r="A853" s="122"/>
      <c r="B853" s="122"/>
      <c r="C853" s="122"/>
      <c r="D853" s="123"/>
      <c r="E853" s="122"/>
      <c r="F853" s="124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72"/>
      <c r="V853" s="72"/>
      <c r="W853" s="72"/>
    </row>
    <row r="854" ht="12.75" customHeight="1">
      <c r="A854" s="122"/>
      <c r="B854" s="122"/>
      <c r="C854" s="122"/>
      <c r="D854" s="123"/>
      <c r="E854" s="122"/>
      <c r="F854" s="124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72"/>
      <c r="V854" s="72"/>
      <c r="W854" s="72"/>
    </row>
    <row r="855" ht="12.75" customHeight="1">
      <c r="A855" s="122"/>
      <c r="B855" s="122"/>
      <c r="C855" s="122"/>
      <c r="D855" s="123"/>
      <c r="E855" s="122"/>
      <c r="F855" s="124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72"/>
      <c r="V855" s="72"/>
      <c r="W855" s="72"/>
    </row>
    <row r="856" ht="12.75" customHeight="1">
      <c r="A856" s="122"/>
      <c r="B856" s="122"/>
      <c r="C856" s="122"/>
      <c r="D856" s="123"/>
      <c r="E856" s="122"/>
      <c r="F856" s="124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72"/>
      <c r="V856" s="72"/>
      <c r="W856" s="72"/>
    </row>
    <row r="857" ht="12.75" customHeight="1">
      <c r="A857" s="122"/>
      <c r="B857" s="122"/>
      <c r="C857" s="122"/>
      <c r="D857" s="123"/>
      <c r="E857" s="122"/>
      <c r="F857" s="124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72"/>
      <c r="V857" s="72"/>
      <c r="W857" s="72"/>
    </row>
    <row r="858" ht="12.75" customHeight="1">
      <c r="A858" s="122"/>
      <c r="B858" s="122"/>
      <c r="C858" s="122"/>
      <c r="D858" s="123"/>
      <c r="E858" s="122"/>
      <c r="F858" s="124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72"/>
      <c r="V858" s="72"/>
      <c r="W858" s="72"/>
    </row>
    <row r="859" ht="12.75" customHeight="1">
      <c r="A859" s="122"/>
      <c r="B859" s="122"/>
      <c r="C859" s="122"/>
      <c r="D859" s="123"/>
      <c r="E859" s="122"/>
      <c r="F859" s="124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72"/>
      <c r="V859" s="72"/>
      <c r="W859" s="72"/>
    </row>
    <row r="860" ht="12.75" customHeight="1">
      <c r="A860" s="122"/>
      <c r="B860" s="122"/>
      <c r="C860" s="122"/>
      <c r="D860" s="123"/>
      <c r="E860" s="122"/>
      <c r="F860" s="124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72"/>
      <c r="V860" s="72"/>
      <c r="W860" s="72"/>
    </row>
    <row r="861" ht="12.75" customHeight="1">
      <c r="A861" s="122"/>
      <c r="B861" s="122"/>
      <c r="C861" s="122"/>
      <c r="D861" s="123"/>
      <c r="E861" s="122"/>
      <c r="F861" s="124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72"/>
      <c r="V861" s="72"/>
      <c r="W861" s="72"/>
    </row>
    <row r="862" ht="12.75" customHeight="1">
      <c r="A862" s="122"/>
      <c r="B862" s="122"/>
      <c r="C862" s="122"/>
      <c r="D862" s="123"/>
      <c r="E862" s="122"/>
      <c r="F862" s="124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72"/>
      <c r="V862" s="72"/>
      <c r="W862" s="72"/>
    </row>
    <row r="863" ht="12.75" customHeight="1">
      <c r="A863" s="122"/>
      <c r="B863" s="122"/>
      <c r="C863" s="122"/>
      <c r="D863" s="123"/>
      <c r="E863" s="122"/>
      <c r="F863" s="124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72"/>
      <c r="V863" s="72"/>
      <c r="W863" s="72"/>
    </row>
    <row r="864" ht="12.75" customHeight="1">
      <c r="A864" s="122"/>
      <c r="B864" s="122"/>
      <c r="C864" s="122"/>
      <c r="D864" s="123"/>
      <c r="E864" s="122"/>
      <c r="F864" s="124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72"/>
      <c r="V864" s="72"/>
      <c r="W864" s="72"/>
    </row>
    <row r="865" ht="12.75" customHeight="1">
      <c r="A865" s="122"/>
      <c r="B865" s="122"/>
      <c r="C865" s="122"/>
      <c r="D865" s="123"/>
      <c r="E865" s="122"/>
      <c r="F865" s="124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72"/>
      <c r="V865" s="72"/>
      <c r="W865" s="72"/>
    </row>
    <row r="866" ht="12.75" customHeight="1">
      <c r="A866" s="122"/>
      <c r="B866" s="122"/>
      <c r="C866" s="122"/>
      <c r="D866" s="123"/>
      <c r="E866" s="122"/>
      <c r="F866" s="124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72"/>
      <c r="V866" s="72"/>
      <c r="W866" s="72"/>
    </row>
    <row r="867" ht="12.75" customHeight="1">
      <c r="A867" s="122"/>
      <c r="B867" s="122"/>
      <c r="C867" s="122"/>
      <c r="D867" s="123"/>
      <c r="E867" s="122"/>
      <c r="F867" s="124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72"/>
      <c r="V867" s="72"/>
      <c r="W867" s="72"/>
    </row>
    <row r="868" ht="12.75" customHeight="1">
      <c r="A868" s="122"/>
      <c r="B868" s="122"/>
      <c r="C868" s="122"/>
      <c r="D868" s="123"/>
      <c r="E868" s="122"/>
      <c r="F868" s="124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72"/>
      <c r="V868" s="72"/>
      <c r="W868" s="72"/>
    </row>
    <row r="869" ht="12.75" customHeight="1">
      <c r="A869" s="122"/>
      <c r="B869" s="122"/>
      <c r="C869" s="122"/>
      <c r="D869" s="123"/>
      <c r="E869" s="122"/>
      <c r="F869" s="124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72"/>
      <c r="V869" s="72"/>
      <c r="W869" s="72"/>
    </row>
    <row r="870" ht="12.75" customHeight="1">
      <c r="A870" s="122"/>
      <c r="B870" s="122"/>
      <c r="C870" s="122"/>
      <c r="D870" s="123"/>
      <c r="E870" s="122"/>
      <c r="F870" s="124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72"/>
      <c r="V870" s="72"/>
      <c r="W870" s="72"/>
    </row>
    <row r="871" ht="12.75" customHeight="1">
      <c r="A871" s="122"/>
      <c r="B871" s="122"/>
      <c r="C871" s="122"/>
      <c r="D871" s="123"/>
      <c r="E871" s="122"/>
      <c r="F871" s="124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72"/>
      <c r="V871" s="72"/>
      <c r="W871" s="72"/>
    </row>
    <row r="872" ht="12.75" customHeight="1">
      <c r="A872" s="122"/>
      <c r="B872" s="122"/>
      <c r="C872" s="122"/>
      <c r="D872" s="123"/>
      <c r="E872" s="122"/>
      <c r="F872" s="124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72"/>
      <c r="V872" s="72"/>
      <c r="W872" s="72"/>
    </row>
    <row r="873" ht="12.75" customHeight="1">
      <c r="A873" s="122"/>
      <c r="B873" s="122"/>
      <c r="C873" s="122"/>
      <c r="D873" s="123"/>
      <c r="E873" s="122"/>
      <c r="F873" s="124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72"/>
      <c r="V873" s="72"/>
      <c r="W873" s="72"/>
    </row>
    <row r="874" ht="12.75" customHeight="1">
      <c r="A874" s="122"/>
      <c r="B874" s="122"/>
      <c r="C874" s="122"/>
      <c r="D874" s="123"/>
      <c r="E874" s="122"/>
      <c r="F874" s="124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72"/>
      <c r="V874" s="72"/>
      <c r="W874" s="72"/>
    </row>
    <row r="875" ht="12.75" customHeight="1">
      <c r="A875" s="122"/>
      <c r="B875" s="122"/>
      <c r="C875" s="122"/>
      <c r="D875" s="123"/>
      <c r="E875" s="122"/>
      <c r="F875" s="124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72"/>
      <c r="V875" s="72"/>
      <c r="W875" s="72"/>
    </row>
    <row r="876" ht="12.75" customHeight="1">
      <c r="A876" s="122"/>
      <c r="B876" s="122"/>
      <c r="C876" s="122"/>
      <c r="D876" s="123"/>
      <c r="E876" s="122"/>
      <c r="F876" s="124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72"/>
      <c r="V876" s="72"/>
      <c r="W876" s="72"/>
    </row>
    <row r="877" ht="12.75" customHeight="1">
      <c r="A877" s="122"/>
      <c r="B877" s="122"/>
      <c r="C877" s="122"/>
      <c r="D877" s="123"/>
      <c r="E877" s="122"/>
      <c r="F877" s="124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72"/>
      <c r="V877" s="72"/>
      <c r="W877" s="72"/>
    </row>
    <row r="878" ht="12.75" customHeight="1">
      <c r="A878" s="122"/>
      <c r="B878" s="122"/>
      <c r="C878" s="122"/>
      <c r="D878" s="123"/>
      <c r="E878" s="122"/>
      <c r="F878" s="124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72"/>
      <c r="V878" s="72"/>
      <c r="W878" s="72"/>
    </row>
    <row r="879" ht="12.75" customHeight="1">
      <c r="A879" s="122"/>
      <c r="B879" s="122"/>
      <c r="C879" s="122"/>
      <c r="D879" s="123"/>
      <c r="E879" s="122"/>
      <c r="F879" s="124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72"/>
      <c r="V879" s="72"/>
      <c r="W879" s="72"/>
    </row>
    <row r="880" ht="12.75" customHeight="1">
      <c r="A880" s="122"/>
      <c r="B880" s="122"/>
      <c r="C880" s="122"/>
      <c r="D880" s="123"/>
      <c r="E880" s="122"/>
      <c r="F880" s="124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72"/>
      <c r="V880" s="72"/>
      <c r="W880" s="72"/>
    </row>
    <row r="881" ht="12.75" customHeight="1">
      <c r="A881" s="122"/>
      <c r="B881" s="122"/>
      <c r="C881" s="122"/>
      <c r="D881" s="123"/>
      <c r="E881" s="122"/>
      <c r="F881" s="124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72"/>
      <c r="V881" s="72"/>
      <c r="W881" s="72"/>
    </row>
    <row r="882" ht="12.75" customHeight="1">
      <c r="A882" s="122"/>
      <c r="B882" s="122"/>
      <c r="C882" s="122"/>
      <c r="D882" s="123"/>
      <c r="E882" s="122"/>
      <c r="F882" s="124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72"/>
      <c r="V882" s="72"/>
      <c r="W882" s="72"/>
    </row>
    <row r="883" ht="12.75" customHeight="1">
      <c r="A883" s="122"/>
      <c r="B883" s="122"/>
      <c r="C883" s="122"/>
      <c r="D883" s="123"/>
      <c r="E883" s="122"/>
      <c r="F883" s="124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72"/>
      <c r="V883" s="72"/>
      <c r="W883" s="72"/>
    </row>
    <row r="884" ht="12.75" customHeight="1">
      <c r="A884" s="122"/>
      <c r="B884" s="122"/>
      <c r="C884" s="122"/>
      <c r="D884" s="123"/>
      <c r="E884" s="122"/>
      <c r="F884" s="124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72"/>
      <c r="V884" s="72"/>
      <c r="W884" s="72"/>
    </row>
    <row r="885" ht="12.75" customHeight="1">
      <c r="A885" s="122"/>
      <c r="B885" s="122"/>
      <c r="C885" s="122"/>
      <c r="D885" s="123"/>
      <c r="E885" s="122"/>
      <c r="F885" s="124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72"/>
      <c r="V885" s="72"/>
      <c r="W885" s="72"/>
    </row>
    <row r="886" ht="12.75" customHeight="1">
      <c r="A886" s="122"/>
      <c r="B886" s="122"/>
      <c r="C886" s="122"/>
      <c r="D886" s="123"/>
      <c r="E886" s="122"/>
      <c r="F886" s="124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72"/>
      <c r="V886" s="72"/>
      <c r="W886" s="72"/>
    </row>
    <row r="887" ht="12.75" customHeight="1">
      <c r="A887" s="122"/>
      <c r="B887" s="122"/>
      <c r="C887" s="122"/>
      <c r="D887" s="123"/>
      <c r="E887" s="122"/>
      <c r="F887" s="124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72"/>
      <c r="V887" s="72"/>
      <c r="W887" s="72"/>
    </row>
    <row r="888" ht="12.75" customHeight="1">
      <c r="A888" s="122"/>
      <c r="B888" s="122"/>
      <c r="C888" s="122"/>
      <c r="D888" s="123"/>
      <c r="E888" s="122"/>
      <c r="F888" s="124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72"/>
      <c r="V888" s="72"/>
      <c r="W888" s="72"/>
    </row>
    <row r="889" ht="12.75" customHeight="1">
      <c r="A889" s="122"/>
      <c r="B889" s="122"/>
      <c r="C889" s="122"/>
      <c r="D889" s="123"/>
      <c r="E889" s="122"/>
      <c r="F889" s="124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72"/>
      <c r="V889" s="72"/>
      <c r="W889" s="72"/>
    </row>
    <row r="890" ht="12.75" customHeight="1">
      <c r="A890" s="122"/>
      <c r="B890" s="122"/>
      <c r="C890" s="122"/>
      <c r="D890" s="123"/>
      <c r="E890" s="122"/>
      <c r="F890" s="124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72"/>
      <c r="V890" s="72"/>
      <c r="W890" s="72"/>
    </row>
    <row r="891" ht="12.75" customHeight="1">
      <c r="A891" s="122"/>
      <c r="B891" s="122"/>
      <c r="C891" s="122"/>
      <c r="D891" s="123"/>
      <c r="E891" s="122"/>
      <c r="F891" s="124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72"/>
      <c r="V891" s="72"/>
      <c r="W891" s="72"/>
    </row>
    <row r="892" ht="12.75" customHeight="1">
      <c r="A892" s="122"/>
      <c r="B892" s="122"/>
      <c r="C892" s="122"/>
      <c r="D892" s="123"/>
      <c r="E892" s="122"/>
      <c r="F892" s="124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72"/>
      <c r="V892" s="72"/>
      <c r="W892" s="72"/>
    </row>
    <row r="893" ht="12.75" customHeight="1">
      <c r="A893" s="122"/>
      <c r="B893" s="122"/>
      <c r="C893" s="122"/>
      <c r="D893" s="123"/>
      <c r="E893" s="122"/>
      <c r="F893" s="124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72"/>
      <c r="V893" s="72"/>
      <c r="W893" s="72"/>
    </row>
    <row r="894" ht="12.75" customHeight="1">
      <c r="A894" s="122"/>
      <c r="B894" s="122"/>
      <c r="C894" s="122"/>
      <c r="D894" s="123"/>
      <c r="E894" s="122"/>
      <c r="F894" s="124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72"/>
      <c r="V894" s="72"/>
      <c r="W894" s="72"/>
    </row>
    <row r="895" ht="12.75" customHeight="1">
      <c r="A895" s="122"/>
      <c r="B895" s="122"/>
      <c r="C895" s="122"/>
      <c r="D895" s="123"/>
      <c r="E895" s="122"/>
      <c r="F895" s="124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72"/>
      <c r="V895" s="72"/>
      <c r="W895" s="72"/>
    </row>
    <row r="896" ht="12.75" customHeight="1">
      <c r="A896" s="122"/>
      <c r="B896" s="122"/>
      <c r="C896" s="122"/>
      <c r="D896" s="123"/>
      <c r="E896" s="122"/>
      <c r="F896" s="124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72"/>
      <c r="V896" s="72"/>
      <c r="W896" s="72"/>
    </row>
    <row r="897" ht="12.75" customHeight="1">
      <c r="A897" s="122"/>
      <c r="B897" s="122"/>
      <c r="C897" s="122"/>
      <c r="D897" s="123"/>
      <c r="E897" s="122"/>
      <c r="F897" s="124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72"/>
      <c r="V897" s="72"/>
      <c r="W897" s="72"/>
    </row>
    <row r="898" ht="12.75" customHeight="1">
      <c r="A898" s="122"/>
      <c r="B898" s="122"/>
      <c r="C898" s="122"/>
      <c r="D898" s="123"/>
      <c r="E898" s="122"/>
      <c r="F898" s="124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72"/>
      <c r="V898" s="72"/>
      <c r="W898" s="72"/>
    </row>
    <row r="899" ht="12.75" customHeight="1">
      <c r="A899" s="122"/>
      <c r="B899" s="122"/>
      <c r="C899" s="122"/>
      <c r="D899" s="123"/>
      <c r="E899" s="122"/>
      <c r="F899" s="124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72"/>
      <c r="V899" s="72"/>
      <c r="W899" s="72"/>
    </row>
    <row r="900" ht="12.75" customHeight="1">
      <c r="A900" s="122"/>
      <c r="B900" s="122"/>
      <c r="C900" s="122"/>
      <c r="D900" s="123"/>
      <c r="E900" s="122"/>
      <c r="F900" s="124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72"/>
      <c r="V900" s="72"/>
      <c r="W900" s="72"/>
    </row>
    <row r="901" ht="12.75" customHeight="1">
      <c r="A901" s="122"/>
      <c r="B901" s="122"/>
      <c r="C901" s="122"/>
      <c r="D901" s="123"/>
      <c r="E901" s="122"/>
      <c r="F901" s="124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72"/>
      <c r="V901" s="72"/>
      <c r="W901" s="72"/>
    </row>
    <row r="902" ht="12.75" customHeight="1">
      <c r="A902" s="122"/>
      <c r="B902" s="122"/>
      <c r="C902" s="122"/>
      <c r="D902" s="123"/>
      <c r="E902" s="122"/>
      <c r="F902" s="124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72"/>
      <c r="V902" s="72"/>
      <c r="W902" s="72"/>
    </row>
    <row r="903" ht="12.75" customHeight="1">
      <c r="A903" s="122"/>
      <c r="B903" s="122"/>
      <c r="C903" s="122"/>
      <c r="D903" s="123"/>
      <c r="E903" s="122"/>
      <c r="F903" s="124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72"/>
      <c r="V903" s="72"/>
      <c r="W903" s="72"/>
    </row>
    <row r="904" ht="12.75" customHeight="1">
      <c r="A904" s="122"/>
      <c r="B904" s="122"/>
      <c r="C904" s="122"/>
      <c r="D904" s="123"/>
      <c r="E904" s="122"/>
      <c r="F904" s="124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72"/>
      <c r="V904" s="72"/>
      <c r="W904" s="72"/>
    </row>
    <row r="905" ht="12.75" customHeight="1">
      <c r="A905" s="122"/>
      <c r="B905" s="122"/>
      <c r="C905" s="122"/>
      <c r="D905" s="123"/>
      <c r="E905" s="122"/>
      <c r="F905" s="124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72"/>
      <c r="V905" s="72"/>
      <c r="W905" s="72"/>
    </row>
    <row r="906" ht="12.75" customHeight="1">
      <c r="A906" s="122"/>
      <c r="B906" s="122"/>
      <c r="C906" s="122"/>
      <c r="D906" s="123"/>
      <c r="E906" s="122"/>
      <c r="F906" s="124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72"/>
      <c r="V906" s="72"/>
      <c r="W906" s="72"/>
    </row>
    <row r="907" ht="12.75" customHeight="1">
      <c r="A907" s="122"/>
      <c r="B907" s="122"/>
      <c r="C907" s="122"/>
      <c r="D907" s="123"/>
      <c r="E907" s="122"/>
      <c r="F907" s="124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72"/>
      <c r="V907" s="72"/>
      <c r="W907" s="72"/>
    </row>
    <row r="908" ht="12.75" customHeight="1">
      <c r="A908" s="122"/>
      <c r="B908" s="122"/>
      <c r="C908" s="122"/>
      <c r="D908" s="123"/>
      <c r="E908" s="122"/>
      <c r="F908" s="124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72"/>
      <c r="V908" s="72"/>
      <c r="W908" s="72"/>
    </row>
    <row r="909" ht="12.75" customHeight="1">
      <c r="A909" s="122"/>
      <c r="B909" s="122"/>
      <c r="C909" s="122"/>
      <c r="D909" s="123"/>
      <c r="E909" s="122"/>
      <c r="F909" s="124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72"/>
      <c r="V909" s="72"/>
      <c r="W909" s="72"/>
    </row>
    <row r="910" ht="12.75" customHeight="1">
      <c r="A910" s="122"/>
      <c r="B910" s="122"/>
      <c r="C910" s="122"/>
      <c r="D910" s="123"/>
      <c r="E910" s="122"/>
      <c r="F910" s="124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72"/>
      <c r="V910" s="72"/>
      <c r="W910" s="72"/>
    </row>
    <row r="911" ht="12.75" customHeight="1">
      <c r="A911" s="122"/>
      <c r="B911" s="122"/>
      <c r="C911" s="122"/>
      <c r="D911" s="123"/>
      <c r="E911" s="122"/>
      <c r="F911" s="124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72"/>
      <c r="V911" s="72"/>
      <c r="W911" s="72"/>
    </row>
    <row r="912" ht="12.75" customHeight="1">
      <c r="A912" s="122"/>
      <c r="B912" s="122"/>
      <c r="C912" s="122"/>
      <c r="D912" s="123"/>
      <c r="E912" s="122"/>
      <c r="F912" s="124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72"/>
      <c r="V912" s="72"/>
      <c r="W912" s="72"/>
    </row>
    <row r="913" ht="12.75" customHeight="1">
      <c r="A913" s="122"/>
      <c r="B913" s="122"/>
      <c r="C913" s="122"/>
      <c r="D913" s="123"/>
      <c r="E913" s="122"/>
      <c r="F913" s="124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72"/>
      <c r="V913" s="72"/>
      <c r="W913" s="72"/>
    </row>
    <row r="914" ht="12.75" customHeight="1">
      <c r="A914" s="122"/>
      <c r="B914" s="122"/>
      <c r="C914" s="122"/>
      <c r="D914" s="123"/>
      <c r="E914" s="122"/>
      <c r="F914" s="124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72"/>
      <c r="V914" s="72"/>
      <c r="W914" s="72"/>
    </row>
    <row r="915" ht="12.75" customHeight="1">
      <c r="A915" s="122"/>
      <c r="B915" s="122"/>
      <c r="C915" s="122"/>
      <c r="D915" s="123"/>
      <c r="E915" s="122"/>
      <c r="F915" s="124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72"/>
      <c r="V915" s="72"/>
      <c r="W915" s="72"/>
    </row>
    <row r="916" ht="12.75" customHeight="1">
      <c r="A916" s="122"/>
      <c r="B916" s="122"/>
      <c r="C916" s="122"/>
      <c r="D916" s="123"/>
      <c r="E916" s="122"/>
      <c r="F916" s="124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72"/>
      <c r="V916" s="72"/>
      <c r="W916" s="72"/>
    </row>
    <row r="917" ht="12.75" customHeight="1">
      <c r="A917" s="122"/>
      <c r="B917" s="122"/>
      <c r="C917" s="122"/>
      <c r="D917" s="123"/>
      <c r="E917" s="122"/>
      <c r="F917" s="124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72"/>
      <c r="V917" s="72"/>
      <c r="W917" s="72"/>
    </row>
    <row r="918" ht="12.75" customHeight="1">
      <c r="A918" s="122"/>
      <c r="B918" s="122"/>
      <c r="C918" s="122"/>
      <c r="D918" s="123"/>
      <c r="E918" s="122"/>
      <c r="F918" s="124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72"/>
      <c r="V918" s="72"/>
      <c r="W918" s="72"/>
    </row>
    <row r="919" ht="12.75" customHeight="1">
      <c r="A919" s="122"/>
      <c r="B919" s="122"/>
      <c r="C919" s="122"/>
      <c r="D919" s="123"/>
      <c r="E919" s="122"/>
      <c r="F919" s="124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72"/>
      <c r="V919" s="72"/>
      <c r="W919" s="72"/>
    </row>
    <row r="920" ht="12.75" customHeight="1">
      <c r="A920" s="122"/>
      <c r="B920" s="122"/>
      <c r="C920" s="122"/>
      <c r="D920" s="123"/>
      <c r="E920" s="122"/>
      <c r="F920" s="124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72"/>
      <c r="V920" s="72"/>
      <c r="W920" s="72"/>
    </row>
    <row r="921" ht="12.75" customHeight="1">
      <c r="A921" s="122"/>
      <c r="B921" s="122"/>
      <c r="C921" s="122"/>
      <c r="D921" s="123"/>
      <c r="E921" s="122"/>
      <c r="F921" s="124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72"/>
      <c r="V921" s="72"/>
      <c r="W921" s="72"/>
    </row>
    <row r="922" ht="12.75" customHeight="1">
      <c r="A922" s="122"/>
      <c r="B922" s="122"/>
      <c r="C922" s="122"/>
      <c r="D922" s="123"/>
      <c r="E922" s="122"/>
      <c r="F922" s="124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72"/>
      <c r="V922" s="72"/>
      <c r="W922" s="72"/>
    </row>
    <row r="923" ht="12.75" customHeight="1">
      <c r="A923" s="122"/>
      <c r="B923" s="122"/>
      <c r="C923" s="122"/>
      <c r="D923" s="123"/>
      <c r="E923" s="122"/>
      <c r="F923" s="124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72"/>
      <c r="V923" s="72"/>
      <c r="W923" s="72"/>
    </row>
    <row r="924" ht="12.75" customHeight="1">
      <c r="A924" s="122"/>
      <c r="B924" s="122"/>
      <c r="C924" s="122"/>
      <c r="D924" s="123"/>
      <c r="E924" s="122"/>
      <c r="F924" s="124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72"/>
      <c r="V924" s="72"/>
      <c r="W924" s="72"/>
    </row>
    <row r="925" ht="12.75" customHeight="1">
      <c r="A925" s="122"/>
      <c r="B925" s="122"/>
      <c r="C925" s="122"/>
      <c r="D925" s="123"/>
      <c r="E925" s="122"/>
      <c r="F925" s="124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72"/>
      <c r="V925" s="72"/>
      <c r="W925" s="72"/>
    </row>
    <row r="926" ht="12.75" customHeight="1">
      <c r="A926" s="122"/>
      <c r="B926" s="122"/>
      <c r="C926" s="122"/>
      <c r="D926" s="123"/>
      <c r="E926" s="122"/>
      <c r="F926" s="124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72"/>
      <c r="V926" s="72"/>
      <c r="W926" s="72"/>
    </row>
    <row r="927" ht="12.75" customHeight="1">
      <c r="A927" s="122"/>
      <c r="B927" s="122"/>
      <c r="C927" s="122"/>
      <c r="D927" s="123"/>
      <c r="E927" s="122"/>
      <c r="F927" s="124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72"/>
      <c r="V927" s="72"/>
      <c r="W927" s="72"/>
    </row>
    <row r="928" ht="12.75" customHeight="1">
      <c r="A928" s="122"/>
      <c r="B928" s="122"/>
      <c r="C928" s="122"/>
      <c r="D928" s="123"/>
      <c r="E928" s="122"/>
      <c r="F928" s="124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72"/>
      <c r="V928" s="72"/>
      <c r="W928" s="72"/>
    </row>
    <row r="929" ht="12.75" customHeight="1">
      <c r="A929" s="122"/>
      <c r="B929" s="122"/>
      <c r="C929" s="122"/>
      <c r="D929" s="123"/>
      <c r="E929" s="122"/>
      <c r="F929" s="124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72"/>
      <c r="V929" s="72"/>
      <c r="W929" s="72"/>
    </row>
    <row r="930" ht="12.75" customHeight="1">
      <c r="A930" s="122"/>
      <c r="B930" s="122"/>
      <c r="C930" s="122"/>
      <c r="D930" s="123"/>
      <c r="E930" s="122"/>
      <c r="F930" s="124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72"/>
      <c r="V930" s="72"/>
      <c r="W930" s="72"/>
    </row>
    <row r="931" ht="12.75" customHeight="1">
      <c r="A931" s="122"/>
      <c r="B931" s="122"/>
      <c r="C931" s="122"/>
      <c r="D931" s="123"/>
      <c r="E931" s="122"/>
      <c r="F931" s="124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72"/>
      <c r="V931" s="72"/>
      <c r="W931" s="72"/>
    </row>
    <row r="932" ht="12.75" customHeight="1">
      <c r="A932" s="122"/>
      <c r="B932" s="122"/>
      <c r="C932" s="122"/>
      <c r="D932" s="123"/>
      <c r="E932" s="122"/>
      <c r="F932" s="124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72"/>
      <c r="V932" s="72"/>
      <c r="W932" s="72"/>
    </row>
    <row r="933" ht="12.75" customHeight="1">
      <c r="A933" s="122"/>
      <c r="B933" s="122"/>
      <c r="C933" s="122"/>
      <c r="D933" s="123"/>
      <c r="E933" s="122"/>
      <c r="F933" s="124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72"/>
      <c r="V933" s="72"/>
      <c r="W933" s="72"/>
    </row>
    <row r="934" ht="12.75" customHeight="1">
      <c r="A934" s="122"/>
      <c r="B934" s="122"/>
      <c r="C934" s="122"/>
      <c r="D934" s="123"/>
      <c r="E934" s="122"/>
      <c r="F934" s="124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72"/>
      <c r="V934" s="72"/>
      <c r="W934" s="72"/>
    </row>
    <row r="935" ht="12.75" customHeight="1">
      <c r="A935" s="122"/>
      <c r="B935" s="122"/>
      <c r="C935" s="122"/>
      <c r="D935" s="123"/>
      <c r="E935" s="122"/>
      <c r="F935" s="124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72"/>
      <c r="V935" s="72"/>
      <c r="W935" s="72"/>
    </row>
    <row r="936" ht="12.75" customHeight="1">
      <c r="A936" s="122"/>
      <c r="B936" s="122"/>
      <c r="C936" s="122"/>
      <c r="D936" s="123"/>
      <c r="E936" s="122"/>
      <c r="F936" s="124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72"/>
      <c r="V936" s="72"/>
      <c r="W936" s="72"/>
    </row>
    <row r="937" ht="12.75" customHeight="1">
      <c r="A937" s="122"/>
      <c r="B937" s="122"/>
      <c r="C937" s="122"/>
      <c r="D937" s="123"/>
      <c r="E937" s="122"/>
      <c r="F937" s="124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72"/>
      <c r="V937" s="72"/>
      <c r="W937" s="72"/>
    </row>
    <row r="938" ht="12.75" customHeight="1">
      <c r="A938" s="122"/>
      <c r="B938" s="122"/>
      <c r="C938" s="122"/>
      <c r="D938" s="123"/>
      <c r="E938" s="122"/>
      <c r="F938" s="124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72"/>
      <c r="V938" s="72"/>
      <c r="W938" s="72"/>
    </row>
    <row r="939" ht="12.75" customHeight="1">
      <c r="A939" s="122"/>
      <c r="B939" s="122"/>
      <c r="C939" s="122"/>
      <c r="D939" s="123"/>
      <c r="E939" s="122"/>
      <c r="F939" s="124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72"/>
      <c r="V939" s="72"/>
      <c r="W939" s="72"/>
    </row>
    <row r="940" ht="12.75" customHeight="1">
      <c r="A940" s="122"/>
      <c r="B940" s="122"/>
      <c r="C940" s="122"/>
      <c r="D940" s="123"/>
      <c r="E940" s="122"/>
      <c r="F940" s="124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72"/>
      <c r="V940" s="72"/>
      <c r="W940" s="72"/>
    </row>
    <row r="941" ht="12.75" customHeight="1">
      <c r="A941" s="122"/>
      <c r="B941" s="122"/>
      <c r="C941" s="122"/>
      <c r="D941" s="123"/>
      <c r="E941" s="122"/>
      <c r="F941" s="124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72"/>
      <c r="V941" s="72"/>
      <c r="W941" s="72"/>
    </row>
    <row r="942" ht="12.75" customHeight="1">
      <c r="A942" s="122"/>
      <c r="B942" s="122"/>
      <c r="C942" s="122"/>
      <c r="D942" s="123"/>
      <c r="E942" s="122"/>
      <c r="F942" s="124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72"/>
      <c r="V942" s="72"/>
      <c r="W942" s="72"/>
    </row>
    <row r="943" ht="12.75" customHeight="1">
      <c r="A943" s="122"/>
      <c r="B943" s="122"/>
      <c r="C943" s="122"/>
      <c r="D943" s="123"/>
      <c r="E943" s="122"/>
      <c r="F943" s="124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72"/>
      <c r="V943" s="72"/>
      <c r="W943" s="72"/>
    </row>
    <row r="944" ht="12.75" customHeight="1">
      <c r="A944" s="122"/>
      <c r="B944" s="122"/>
      <c r="C944" s="122"/>
      <c r="D944" s="123"/>
      <c r="E944" s="122"/>
      <c r="F944" s="124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72"/>
      <c r="V944" s="72"/>
      <c r="W944" s="72"/>
    </row>
    <row r="945" ht="12.75" customHeight="1">
      <c r="A945" s="122"/>
      <c r="B945" s="122"/>
      <c r="C945" s="122"/>
      <c r="D945" s="123"/>
      <c r="E945" s="122"/>
      <c r="F945" s="124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72"/>
      <c r="V945" s="72"/>
      <c r="W945" s="72"/>
    </row>
    <row r="946" ht="12.75" customHeight="1">
      <c r="A946" s="122"/>
      <c r="B946" s="122"/>
      <c r="C946" s="122"/>
      <c r="D946" s="123"/>
      <c r="E946" s="122"/>
      <c r="F946" s="124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72"/>
      <c r="V946" s="72"/>
      <c r="W946" s="72"/>
    </row>
    <row r="947" ht="12.75" customHeight="1">
      <c r="A947" s="122"/>
      <c r="B947" s="122"/>
      <c r="C947" s="122"/>
      <c r="D947" s="123"/>
      <c r="E947" s="122"/>
      <c r="F947" s="124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72"/>
      <c r="V947" s="72"/>
      <c r="W947" s="72"/>
    </row>
    <row r="948" ht="12.75" customHeight="1">
      <c r="A948" s="122"/>
      <c r="B948" s="122"/>
      <c r="C948" s="122"/>
      <c r="D948" s="123"/>
      <c r="E948" s="122"/>
      <c r="F948" s="124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72"/>
      <c r="V948" s="72"/>
      <c r="W948" s="72"/>
    </row>
    <row r="949" ht="12.75" customHeight="1">
      <c r="A949" s="122"/>
      <c r="B949" s="122"/>
      <c r="C949" s="122"/>
      <c r="D949" s="123"/>
      <c r="E949" s="122"/>
      <c r="F949" s="124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72"/>
      <c r="V949" s="72"/>
      <c r="W949" s="72"/>
    </row>
    <row r="950" ht="12.75" customHeight="1">
      <c r="A950" s="122"/>
      <c r="B950" s="122"/>
      <c r="C950" s="122"/>
      <c r="D950" s="123"/>
      <c r="E950" s="122"/>
      <c r="F950" s="124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72"/>
      <c r="V950" s="72"/>
      <c r="W950" s="72"/>
    </row>
    <row r="951" ht="12.75" customHeight="1">
      <c r="A951" s="122"/>
      <c r="B951" s="122"/>
      <c r="C951" s="122"/>
      <c r="D951" s="123"/>
      <c r="E951" s="122"/>
      <c r="F951" s="124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72"/>
      <c r="V951" s="72"/>
      <c r="W951" s="72"/>
    </row>
    <row r="952" ht="12.75" customHeight="1">
      <c r="A952" s="122"/>
      <c r="B952" s="122"/>
      <c r="C952" s="122"/>
      <c r="D952" s="123"/>
      <c r="E952" s="122"/>
      <c r="F952" s="124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72"/>
      <c r="V952" s="72"/>
      <c r="W952" s="72"/>
    </row>
    <row r="953" ht="12.75" customHeight="1">
      <c r="A953" s="122"/>
      <c r="B953" s="122"/>
      <c r="C953" s="122"/>
      <c r="D953" s="123"/>
      <c r="E953" s="122"/>
      <c r="F953" s="124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72"/>
      <c r="V953" s="72"/>
      <c r="W953" s="72"/>
    </row>
    <row r="954" ht="12.75" customHeight="1">
      <c r="A954" s="122"/>
      <c r="B954" s="122"/>
      <c r="C954" s="122"/>
      <c r="D954" s="123"/>
      <c r="E954" s="122"/>
      <c r="F954" s="124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72"/>
      <c r="V954" s="72"/>
      <c r="W954" s="72"/>
    </row>
    <row r="955" ht="12.75" customHeight="1">
      <c r="A955" s="122"/>
      <c r="B955" s="122"/>
      <c r="C955" s="122"/>
      <c r="D955" s="123"/>
      <c r="E955" s="122"/>
      <c r="F955" s="124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72"/>
      <c r="V955" s="72"/>
      <c r="W955" s="72"/>
    </row>
    <row r="956" ht="12.75" customHeight="1">
      <c r="A956" s="122"/>
      <c r="B956" s="122"/>
      <c r="C956" s="122"/>
      <c r="D956" s="123"/>
      <c r="E956" s="122"/>
      <c r="F956" s="124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72"/>
      <c r="V956" s="72"/>
      <c r="W956" s="72"/>
    </row>
    <row r="957" ht="12.75" customHeight="1">
      <c r="A957" s="122"/>
      <c r="B957" s="122"/>
      <c r="C957" s="122"/>
      <c r="D957" s="123"/>
      <c r="E957" s="122"/>
      <c r="F957" s="124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72"/>
      <c r="V957" s="72"/>
      <c r="W957" s="72"/>
    </row>
    <row r="958" ht="12.75" customHeight="1">
      <c r="A958" s="122"/>
      <c r="B958" s="122"/>
      <c r="C958" s="122"/>
      <c r="D958" s="123"/>
      <c r="E958" s="122"/>
      <c r="F958" s="124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72"/>
      <c r="V958" s="72"/>
      <c r="W958" s="72"/>
    </row>
    <row r="959" ht="12.75" customHeight="1">
      <c r="A959" s="122"/>
      <c r="B959" s="122"/>
      <c r="C959" s="122"/>
      <c r="D959" s="123"/>
      <c r="E959" s="122"/>
      <c r="F959" s="124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72"/>
      <c r="V959" s="72"/>
      <c r="W959" s="72"/>
    </row>
    <row r="960" ht="12.75" customHeight="1">
      <c r="A960" s="122"/>
      <c r="B960" s="122"/>
      <c r="C960" s="122"/>
      <c r="D960" s="123"/>
      <c r="E960" s="122"/>
      <c r="F960" s="124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72"/>
      <c r="V960" s="72"/>
      <c r="W960" s="72"/>
    </row>
    <row r="961" ht="12.75" customHeight="1">
      <c r="A961" s="122"/>
      <c r="B961" s="122"/>
      <c r="C961" s="122"/>
      <c r="D961" s="123"/>
      <c r="E961" s="122"/>
      <c r="F961" s="124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72"/>
      <c r="V961" s="72"/>
      <c r="W961" s="72"/>
    </row>
    <row r="962" ht="12.75" customHeight="1">
      <c r="A962" s="122"/>
      <c r="B962" s="122"/>
      <c r="C962" s="122"/>
      <c r="D962" s="123"/>
      <c r="E962" s="122"/>
      <c r="F962" s="124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72"/>
      <c r="V962" s="72"/>
      <c r="W962" s="72"/>
    </row>
    <row r="963" ht="12.75" customHeight="1">
      <c r="A963" s="122"/>
      <c r="B963" s="122"/>
      <c r="C963" s="122"/>
      <c r="D963" s="123"/>
      <c r="E963" s="122"/>
      <c r="F963" s="124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72"/>
      <c r="V963" s="72"/>
      <c r="W963" s="72"/>
    </row>
    <row r="964" ht="12.75" customHeight="1">
      <c r="A964" s="122"/>
      <c r="B964" s="122"/>
      <c r="C964" s="122"/>
      <c r="D964" s="123"/>
      <c r="E964" s="122"/>
      <c r="F964" s="124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72"/>
      <c r="V964" s="72"/>
      <c r="W964" s="72"/>
    </row>
    <row r="965" ht="12.75" customHeight="1">
      <c r="A965" s="122"/>
      <c r="B965" s="122"/>
      <c r="C965" s="122"/>
      <c r="D965" s="123"/>
      <c r="E965" s="122"/>
      <c r="F965" s="124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72"/>
      <c r="V965" s="72"/>
      <c r="W965" s="72"/>
    </row>
    <row r="966" ht="12.75" customHeight="1">
      <c r="A966" s="122"/>
      <c r="B966" s="122"/>
      <c r="C966" s="122"/>
      <c r="D966" s="123"/>
      <c r="E966" s="122"/>
      <c r="F966" s="124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72"/>
      <c r="V966" s="72"/>
      <c r="W966" s="72"/>
    </row>
    <row r="967" ht="12.75" customHeight="1">
      <c r="A967" s="122"/>
      <c r="B967" s="122"/>
      <c r="C967" s="122"/>
      <c r="D967" s="123"/>
      <c r="E967" s="122"/>
      <c r="F967" s="124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72"/>
      <c r="V967" s="72"/>
      <c r="W967" s="72"/>
    </row>
    <row r="968" ht="12.75" customHeight="1">
      <c r="A968" s="122"/>
      <c r="B968" s="122"/>
      <c r="C968" s="122"/>
      <c r="D968" s="123"/>
      <c r="E968" s="122"/>
      <c r="F968" s="124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72"/>
      <c r="V968" s="72"/>
      <c r="W968" s="72"/>
    </row>
    <row r="969" ht="12.75" customHeight="1">
      <c r="A969" s="122"/>
      <c r="B969" s="122"/>
      <c r="C969" s="122"/>
      <c r="D969" s="123"/>
      <c r="E969" s="122"/>
      <c r="F969" s="124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72"/>
      <c r="V969" s="72"/>
      <c r="W969" s="72"/>
    </row>
    <row r="970" ht="12.75" customHeight="1">
      <c r="A970" s="122"/>
      <c r="B970" s="122"/>
      <c r="C970" s="122"/>
      <c r="D970" s="123"/>
      <c r="E970" s="122"/>
      <c r="F970" s="124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72"/>
      <c r="V970" s="72"/>
      <c r="W970" s="72"/>
    </row>
    <row r="971" ht="12.75" customHeight="1">
      <c r="A971" s="122"/>
      <c r="B971" s="122"/>
      <c r="C971" s="122"/>
      <c r="D971" s="123"/>
      <c r="E971" s="122"/>
      <c r="F971" s="124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72"/>
      <c r="V971" s="72"/>
      <c r="W971" s="72"/>
    </row>
    <row r="972" ht="12.75" customHeight="1">
      <c r="A972" s="122"/>
      <c r="B972" s="122"/>
      <c r="C972" s="122"/>
      <c r="D972" s="123"/>
      <c r="E972" s="122"/>
      <c r="F972" s="124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72"/>
      <c r="V972" s="72"/>
      <c r="W972" s="72"/>
    </row>
    <row r="973" ht="12.75" customHeight="1">
      <c r="A973" s="122"/>
      <c r="B973" s="122"/>
      <c r="C973" s="122"/>
      <c r="D973" s="123"/>
      <c r="E973" s="122"/>
      <c r="F973" s="124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72"/>
      <c r="V973" s="72"/>
      <c r="W973" s="72"/>
    </row>
    <row r="974" ht="12.75" customHeight="1">
      <c r="A974" s="122"/>
      <c r="B974" s="122"/>
      <c r="C974" s="122"/>
      <c r="D974" s="123"/>
      <c r="E974" s="122"/>
      <c r="F974" s="124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72"/>
      <c r="V974" s="72"/>
      <c r="W974" s="72"/>
    </row>
    <row r="975" ht="12.75" customHeight="1">
      <c r="A975" s="122"/>
      <c r="B975" s="122"/>
      <c r="C975" s="122"/>
      <c r="D975" s="123"/>
      <c r="E975" s="122"/>
      <c r="F975" s="124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72"/>
      <c r="V975" s="72"/>
      <c r="W975" s="72"/>
    </row>
    <row r="976" ht="12.75" customHeight="1">
      <c r="A976" s="122"/>
      <c r="B976" s="122"/>
      <c r="C976" s="122"/>
      <c r="D976" s="123"/>
      <c r="E976" s="122"/>
      <c r="F976" s="124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72"/>
      <c r="V976" s="72"/>
      <c r="W976" s="72"/>
    </row>
    <row r="977" ht="12.75" customHeight="1">
      <c r="A977" s="122"/>
      <c r="B977" s="122"/>
      <c r="C977" s="122"/>
      <c r="D977" s="123"/>
      <c r="E977" s="122"/>
      <c r="F977" s="124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72"/>
      <c r="V977" s="72"/>
      <c r="W977" s="72"/>
    </row>
    <row r="978" ht="12.75" customHeight="1">
      <c r="A978" s="122"/>
      <c r="B978" s="122"/>
      <c r="C978" s="122"/>
      <c r="D978" s="123"/>
      <c r="E978" s="122"/>
      <c r="F978" s="124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72"/>
      <c r="V978" s="72"/>
      <c r="W978" s="72"/>
    </row>
    <row r="979" ht="12.75" customHeight="1">
      <c r="A979" s="122"/>
      <c r="B979" s="122"/>
      <c r="C979" s="122"/>
      <c r="D979" s="123"/>
      <c r="E979" s="122"/>
      <c r="F979" s="124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72"/>
      <c r="V979" s="72"/>
      <c r="W979" s="72"/>
    </row>
    <row r="980" ht="12.75" customHeight="1">
      <c r="A980" s="122"/>
      <c r="B980" s="122"/>
      <c r="C980" s="122"/>
      <c r="D980" s="123"/>
      <c r="E980" s="122"/>
      <c r="F980" s="124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72"/>
      <c r="V980" s="72"/>
      <c r="W980" s="72"/>
    </row>
    <row r="981" ht="12.75" customHeight="1">
      <c r="A981" s="122"/>
      <c r="B981" s="122"/>
      <c r="C981" s="122"/>
      <c r="D981" s="123"/>
      <c r="E981" s="122"/>
      <c r="F981" s="124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72"/>
      <c r="V981" s="72"/>
      <c r="W981" s="72"/>
    </row>
    <row r="982" ht="12.75" customHeight="1">
      <c r="A982" s="122"/>
      <c r="B982" s="122"/>
      <c r="C982" s="122"/>
      <c r="D982" s="123"/>
      <c r="E982" s="122"/>
      <c r="F982" s="124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72"/>
      <c r="V982" s="72"/>
      <c r="W982" s="72"/>
    </row>
    <row r="983" ht="12.75" customHeight="1">
      <c r="A983" s="122"/>
      <c r="B983" s="122"/>
      <c r="C983" s="122"/>
      <c r="D983" s="123"/>
      <c r="E983" s="122"/>
      <c r="F983" s="124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72"/>
      <c r="V983" s="72"/>
      <c r="W983" s="72"/>
    </row>
    <row r="984" ht="12.75" customHeight="1">
      <c r="A984" s="122"/>
      <c r="B984" s="122"/>
      <c r="C984" s="122"/>
      <c r="D984" s="123"/>
      <c r="E984" s="122"/>
      <c r="F984" s="124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72"/>
      <c r="V984" s="72"/>
      <c r="W984" s="72"/>
    </row>
    <row r="985" ht="12.75" customHeight="1">
      <c r="A985" s="122"/>
      <c r="B985" s="122"/>
      <c r="C985" s="122"/>
      <c r="D985" s="123"/>
      <c r="E985" s="122"/>
      <c r="F985" s="124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72"/>
      <c r="V985" s="72"/>
      <c r="W985" s="72"/>
    </row>
    <row r="986" ht="12.75" customHeight="1">
      <c r="A986" s="122"/>
      <c r="B986" s="122"/>
      <c r="C986" s="122"/>
      <c r="D986" s="123"/>
      <c r="E986" s="122"/>
      <c r="F986" s="124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72"/>
      <c r="V986" s="72"/>
      <c r="W986" s="72"/>
    </row>
    <row r="987" ht="12.75" customHeight="1">
      <c r="A987" s="122"/>
      <c r="B987" s="122"/>
      <c r="C987" s="122"/>
      <c r="D987" s="123"/>
      <c r="E987" s="122"/>
      <c r="F987" s="124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72"/>
      <c r="V987" s="72"/>
      <c r="W987" s="72"/>
    </row>
    <row r="988" ht="12.75" customHeight="1">
      <c r="A988" s="122"/>
      <c r="B988" s="122"/>
      <c r="C988" s="122"/>
      <c r="D988" s="123"/>
      <c r="E988" s="122"/>
      <c r="F988" s="124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72"/>
      <c r="V988" s="72"/>
      <c r="W988" s="72"/>
    </row>
    <row r="989" ht="12.75" customHeight="1">
      <c r="A989" s="122"/>
      <c r="B989" s="122"/>
      <c r="C989" s="122"/>
      <c r="D989" s="123"/>
      <c r="E989" s="122"/>
      <c r="F989" s="124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72"/>
      <c r="V989" s="72"/>
      <c r="W989" s="72"/>
    </row>
    <row r="990" ht="12.75" customHeight="1">
      <c r="A990" s="122"/>
      <c r="B990" s="122"/>
      <c r="C990" s="122"/>
      <c r="D990" s="123"/>
      <c r="E990" s="122"/>
      <c r="F990" s="124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72"/>
      <c r="V990" s="72"/>
      <c r="W990" s="72"/>
    </row>
    <row r="991" ht="12.75" customHeight="1">
      <c r="A991" s="122"/>
      <c r="B991" s="122"/>
      <c r="C991" s="122"/>
      <c r="D991" s="123"/>
      <c r="E991" s="122"/>
      <c r="F991" s="124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72"/>
      <c r="V991" s="72"/>
      <c r="W991" s="72"/>
    </row>
    <row r="992" ht="12.75" customHeight="1">
      <c r="A992" s="122"/>
      <c r="B992" s="122"/>
      <c r="C992" s="122"/>
      <c r="D992" s="123"/>
      <c r="E992" s="122"/>
      <c r="F992" s="124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72"/>
      <c r="V992" s="72"/>
      <c r="W992" s="72"/>
    </row>
    <row r="993" ht="12.75" customHeight="1">
      <c r="A993" s="122"/>
      <c r="B993" s="122"/>
      <c r="C993" s="122"/>
      <c r="D993" s="123"/>
      <c r="E993" s="122"/>
      <c r="F993" s="124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72"/>
      <c r="V993" s="72"/>
      <c r="W993" s="72"/>
    </row>
    <row r="994" ht="12.75" customHeight="1">
      <c r="A994" s="122"/>
      <c r="B994" s="122"/>
      <c r="C994" s="122"/>
      <c r="D994" s="123"/>
      <c r="E994" s="122"/>
      <c r="F994" s="124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72"/>
      <c r="V994" s="72"/>
      <c r="W994" s="72"/>
    </row>
    <row r="995" ht="12.75" customHeight="1">
      <c r="A995" s="122"/>
      <c r="B995" s="122"/>
      <c r="C995" s="122"/>
      <c r="D995" s="123"/>
      <c r="E995" s="122"/>
      <c r="F995" s="124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72"/>
      <c r="V995" s="72"/>
      <c r="W995" s="72"/>
    </row>
    <row r="996" ht="12.75" customHeight="1">
      <c r="A996" s="122"/>
      <c r="B996" s="122"/>
      <c r="C996" s="122"/>
      <c r="D996" s="123"/>
      <c r="E996" s="122"/>
      <c r="F996" s="124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72"/>
      <c r="V996" s="72"/>
      <c r="W996" s="72"/>
    </row>
    <row r="997" ht="12.75" customHeight="1">
      <c r="A997" s="122"/>
      <c r="B997" s="122"/>
      <c r="C997" s="122"/>
      <c r="D997" s="123"/>
      <c r="E997" s="122"/>
      <c r="F997" s="124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72"/>
      <c r="V997" s="72"/>
      <c r="W997" s="72"/>
    </row>
    <row r="998" ht="12.75" customHeight="1">
      <c r="A998" s="122"/>
      <c r="B998" s="122"/>
      <c r="C998" s="122"/>
      <c r="D998" s="123"/>
      <c r="E998" s="122"/>
      <c r="F998" s="124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72"/>
      <c r="V998" s="72"/>
      <c r="W998" s="72"/>
    </row>
    <row r="999" ht="12.75" customHeight="1">
      <c r="A999" s="122"/>
      <c r="B999" s="122"/>
      <c r="C999" s="122"/>
      <c r="D999" s="123"/>
      <c r="E999" s="122"/>
      <c r="F999" s="124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72"/>
      <c r="V999" s="72"/>
      <c r="W999" s="72"/>
    </row>
    <row r="1000" ht="12.75" customHeight="1">
      <c r="A1000" s="122"/>
      <c r="B1000" s="122"/>
      <c r="C1000" s="122"/>
      <c r="D1000" s="123"/>
      <c r="E1000" s="122"/>
      <c r="F1000" s="124"/>
      <c r="G1000" s="125"/>
      <c r="H1000" s="125"/>
      <c r="I1000" s="125"/>
      <c r="J1000" s="125"/>
      <c r="K1000" s="125"/>
      <c r="L1000" s="125"/>
      <c r="M1000" s="125"/>
      <c r="N1000" s="125"/>
      <c r="O1000" s="125"/>
      <c r="P1000" s="125"/>
      <c r="Q1000" s="125"/>
      <c r="R1000" s="125"/>
      <c r="S1000" s="125"/>
      <c r="T1000" s="125"/>
      <c r="U1000" s="72"/>
      <c r="V1000" s="72"/>
      <c r="W1000" s="72"/>
    </row>
    <row r="1001" ht="12.75" customHeight="1">
      <c r="A1001" s="122"/>
      <c r="B1001" s="122"/>
      <c r="C1001" s="122"/>
      <c r="D1001" s="123"/>
      <c r="E1001" s="122"/>
      <c r="F1001" s="124"/>
      <c r="G1001" s="125"/>
      <c r="H1001" s="125"/>
      <c r="I1001" s="125"/>
      <c r="J1001" s="125"/>
      <c r="K1001" s="125"/>
      <c r="L1001" s="125"/>
      <c r="M1001" s="125"/>
      <c r="N1001" s="125"/>
      <c r="O1001" s="125"/>
      <c r="P1001" s="125"/>
      <c r="Q1001" s="125"/>
      <c r="R1001" s="125"/>
      <c r="S1001" s="125"/>
      <c r="T1001" s="125"/>
      <c r="U1001" s="72"/>
      <c r="V1001" s="72"/>
      <c r="W1001" s="72"/>
    </row>
    <row r="1002" ht="12.75" customHeight="1">
      <c r="A1002" s="122"/>
      <c r="B1002" s="122"/>
      <c r="C1002" s="122"/>
      <c r="D1002" s="123"/>
      <c r="E1002" s="122"/>
      <c r="F1002" s="124"/>
      <c r="G1002" s="125"/>
      <c r="H1002" s="125"/>
      <c r="I1002" s="125"/>
      <c r="J1002" s="125"/>
      <c r="K1002" s="125"/>
      <c r="L1002" s="125"/>
      <c r="M1002" s="125"/>
      <c r="N1002" s="125"/>
      <c r="O1002" s="125"/>
      <c r="P1002" s="125"/>
      <c r="Q1002" s="125"/>
      <c r="R1002" s="125"/>
      <c r="S1002" s="125"/>
      <c r="T1002" s="125"/>
      <c r="U1002" s="72"/>
      <c r="V1002" s="72"/>
      <c r="W1002" s="72"/>
    </row>
    <row r="1003" ht="12.75" customHeight="1">
      <c r="A1003" s="122"/>
      <c r="B1003" s="122"/>
      <c r="C1003" s="122"/>
      <c r="D1003" s="123"/>
      <c r="E1003" s="122"/>
      <c r="F1003" s="124"/>
      <c r="G1003" s="125"/>
      <c r="H1003" s="125"/>
      <c r="I1003" s="125"/>
      <c r="J1003" s="125"/>
      <c r="K1003" s="125"/>
      <c r="L1003" s="125"/>
      <c r="M1003" s="125"/>
      <c r="N1003" s="125"/>
      <c r="O1003" s="125"/>
      <c r="P1003" s="125"/>
      <c r="Q1003" s="125"/>
      <c r="R1003" s="125"/>
      <c r="S1003" s="125"/>
      <c r="T1003" s="125"/>
      <c r="U1003" s="72"/>
      <c r="V1003" s="72"/>
      <c r="W1003" s="72"/>
    </row>
    <row r="1004" ht="12.75" customHeight="1">
      <c r="A1004" s="122"/>
      <c r="B1004" s="122"/>
      <c r="C1004" s="122"/>
      <c r="D1004" s="123"/>
      <c r="E1004" s="122"/>
      <c r="F1004" s="124"/>
      <c r="G1004" s="125"/>
      <c r="H1004" s="125"/>
      <c r="I1004" s="125"/>
      <c r="J1004" s="125"/>
      <c r="K1004" s="125"/>
      <c r="L1004" s="125"/>
      <c r="M1004" s="125"/>
      <c r="N1004" s="125"/>
      <c r="O1004" s="125"/>
      <c r="P1004" s="125"/>
      <c r="Q1004" s="125"/>
      <c r="R1004" s="125"/>
      <c r="S1004" s="125"/>
      <c r="T1004" s="125"/>
      <c r="U1004" s="72"/>
      <c r="V1004" s="72"/>
      <c r="W1004" s="72"/>
    </row>
    <row r="1005" ht="12.75" customHeight="1">
      <c r="A1005" s="122"/>
      <c r="B1005" s="122"/>
      <c r="C1005" s="122"/>
      <c r="D1005" s="123"/>
      <c r="E1005" s="122"/>
      <c r="F1005" s="124"/>
      <c r="G1005" s="125"/>
      <c r="H1005" s="125"/>
      <c r="I1005" s="125"/>
      <c r="J1005" s="125"/>
      <c r="K1005" s="125"/>
      <c r="L1005" s="125"/>
      <c r="M1005" s="125"/>
      <c r="N1005" s="125"/>
      <c r="O1005" s="125"/>
      <c r="P1005" s="125"/>
      <c r="Q1005" s="125"/>
      <c r="R1005" s="125"/>
      <c r="S1005" s="125"/>
      <c r="T1005" s="125"/>
      <c r="U1005" s="72"/>
      <c r="V1005" s="72"/>
      <c r="W1005" s="72"/>
    </row>
    <row r="1006" ht="12.75" customHeight="1">
      <c r="A1006" s="122"/>
      <c r="B1006" s="122"/>
      <c r="C1006" s="122"/>
      <c r="D1006" s="123"/>
      <c r="E1006" s="122"/>
      <c r="F1006" s="124"/>
      <c r="G1006" s="125"/>
      <c r="H1006" s="125"/>
      <c r="I1006" s="125"/>
      <c r="J1006" s="125"/>
      <c r="K1006" s="125"/>
      <c r="L1006" s="125"/>
      <c r="M1006" s="125"/>
      <c r="N1006" s="125"/>
      <c r="O1006" s="125"/>
      <c r="P1006" s="125"/>
      <c r="Q1006" s="125"/>
      <c r="R1006" s="125"/>
      <c r="S1006" s="125"/>
      <c r="T1006" s="125"/>
      <c r="U1006" s="72"/>
      <c r="V1006" s="72"/>
      <c r="W1006" s="72"/>
    </row>
    <row r="1007" ht="12.75" customHeight="1">
      <c r="A1007" s="122"/>
      <c r="B1007" s="122"/>
      <c r="C1007" s="122"/>
      <c r="D1007" s="123"/>
      <c r="E1007" s="122"/>
      <c r="F1007" s="124"/>
      <c r="G1007" s="125"/>
      <c r="H1007" s="125"/>
      <c r="I1007" s="125"/>
      <c r="J1007" s="125"/>
      <c r="K1007" s="125"/>
      <c r="L1007" s="125"/>
      <c r="M1007" s="125"/>
      <c r="N1007" s="125"/>
      <c r="O1007" s="125"/>
      <c r="P1007" s="125"/>
      <c r="Q1007" s="125"/>
      <c r="R1007" s="125"/>
      <c r="S1007" s="125"/>
      <c r="T1007" s="125"/>
      <c r="U1007" s="72"/>
      <c r="V1007" s="72"/>
      <c r="W1007" s="72"/>
    </row>
    <row r="1008" ht="12.75" customHeight="1">
      <c r="A1008" s="122"/>
      <c r="B1008" s="122"/>
      <c r="C1008" s="122"/>
      <c r="D1008" s="123"/>
      <c r="E1008" s="122"/>
      <c r="F1008" s="124"/>
      <c r="G1008" s="125"/>
      <c r="H1008" s="125"/>
      <c r="I1008" s="125"/>
      <c r="J1008" s="125"/>
      <c r="K1008" s="125"/>
      <c r="L1008" s="125"/>
      <c r="M1008" s="125"/>
      <c r="N1008" s="125"/>
      <c r="O1008" s="125"/>
      <c r="P1008" s="125"/>
      <c r="Q1008" s="125"/>
      <c r="R1008" s="125"/>
      <c r="S1008" s="125"/>
      <c r="T1008" s="125"/>
      <c r="U1008" s="72"/>
      <c r="V1008" s="72"/>
      <c r="W1008" s="72"/>
    </row>
    <row r="1009" ht="12.75" customHeight="1">
      <c r="A1009" s="122"/>
      <c r="B1009" s="122"/>
      <c r="C1009" s="122"/>
      <c r="D1009" s="123"/>
      <c r="E1009" s="122"/>
      <c r="F1009" s="124"/>
      <c r="G1009" s="125"/>
      <c r="H1009" s="125"/>
      <c r="I1009" s="125"/>
      <c r="J1009" s="125"/>
      <c r="K1009" s="125"/>
      <c r="L1009" s="125"/>
      <c r="M1009" s="125"/>
      <c r="N1009" s="125"/>
      <c r="O1009" s="125"/>
      <c r="P1009" s="125"/>
      <c r="Q1009" s="125"/>
      <c r="R1009" s="125"/>
      <c r="S1009" s="125"/>
      <c r="T1009" s="125"/>
      <c r="U1009" s="72"/>
      <c r="V1009" s="72"/>
      <c r="W1009" s="72"/>
    </row>
    <row r="1010" ht="12.75" customHeight="1">
      <c r="A1010" s="122"/>
      <c r="B1010" s="122"/>
      <c r="C1010" s="122"/>
      <c r="D1010" s="123"/>
      <c r="E1010" s="122"/>
      <c r="F1010" s="124"/>
      <c r="G1010" s="125"/>
      <c r="H1010" s="125"/>
      <c r="I1010" s="125"/>
      <c r="J1010" s="125"/>
      <c r="K1010" s="125"/>
      <c r="L1010" s="125"/>
      <c r="M1010" s="125"/>
      <c r="N1010" s="125"/>
      <c r="O1010" s="125"/>
      <c r="P1010" s="125"/>
      <c r="Q1010" s="125"/>
      <c r="R1010" s="125"/>
      <c r="S1010" s="125"/>
      <c r="T1010" s="125"/>
      <c r="U1010" s="72"/>
      <c r="V1010" s="72"/>
      <c r="W1010" s="72"/>
    </row>
    <row r="1011" ht="12.75" customHeight="1">
      <c r="A1011" s="122"/>
      <c r="B1011" s="122"/>
      <c r="C1011" s="122"/>
      <c r="D1011" s="123"/>
      <c r="E1011" s="122"/>
      <c r="F1011" s="124"/>
      <c r="G1011" s="125"/>
      <c r="H1011" s="125"/>
      <c r="I1011" s="125"/>
      <c r="J1011" s="125"/>
      <c r="K1011" s="125"/>
      <c r="L1011" s="125"/>
      <c r="M1011" s="125"/>
      <c r="N1011" s="125"/>
      <c r="O1011" s="125"/>
      <c r="P1011" s="125"/>
      <c r="Q1011" s="125"/>
      <c r="R1011" s="125"/>
      <c r="S1011" s="125"/>
      <c r="T1011" s="125"/>
      <c r="U1011" s="72"/>
      <c r="V1011" s="72"/>
      <c r="W1011" s="72"/>
    </row>
    <row r="1012" ht="12.75" customHeight="1">
      <c r="A1012" s="122"/>
      <c r="B1012" s="122"/>
      <c r="C1012" s="122"/>
      <c r="D1012" s="123"/>
      <c r="E1012" s="122"/>
      <c r="F1012" s="124"/>
      <c r="G1012" s="125"/>
      <c r="H1012" s="125"/>
      <c r="I1012" s="125"/>
      <c r="J1012" s="125"/>
      <c r="K1012" s="125"/>
      <c r="L1012" s="125"/>
      <c r="M1012" s="125"/>
      <c r="N1012" s="125"/>
      <c r="O1012" s="125"/>
      <c r="P1012" s="125"/>
      <c r="Q1012" s="125"/>
      <c r="R1012" s="125"/>
      <c r="S1012" s="125"/>
      <c r="T1012" s="125"/>
      <c r="U1012" s="72"/>
      <c r="V1012" s="72"/>
      <c r="W1012" s="72"/>
    </row>
    <row r="1013" ht="12.75" customHeight="1">
      <c r="A1013" s="122"/>
      <c r="B1013" s="122"/>
      <c r="C1013" s="122"/>
      <c r="D1013" s="123"/>
      <c r="E1013" s="122"/>
      <c r="F1013" s="124"/>
      <c r="G1013" s="125"/>
      <c r="H1013" s="125"/>
      <c r="I1013" s="125"/>
      <c r="J1013" s="125"/>
      <c r="K1013" s="125"/>
      <c r="L1013" s="125"/>
      <c r="M1013" s="125"/>
      <c r="N1013" s="125"/>
      <c r="O1013" s="125"/>
      <c r="P1013" s="125"/>
      <c r="Q1013" s="125"/>
      <c r="R1013" s="125"/>
      <c r="S1013" s="125"/>
      <c r="T1013" s="125"/>
      <c r="U1013" s="72"/>
      <c r="V1013" s="72"/>
      <c r="W1013" s="72"/>
    </row>
    <row r="1014" ht="12.75" customHeight="1">
      <c r="A1014" s="122"/>
      <c r="B1014" s="122"/>
      <c r="C1014" s="122"/>
      <c r="D1014" s="123"/>
      <c r="E1014" s="122"/>
      <c r="F1014" s="124"/>
      <c r="G1014" s="125"/>
      <c r="H1014" s="125"/>
      <c r="I1014" s="125"/>
      <c r="J1014" s="125"/>
      <c r="K1014" s="125"/>
      <c r="L1014" s="125"/>
      <c r="M1014" s="125"/>
      <c r="N1014" s="125"/>
      <c r="O1014" s="125"/>
      <c r="P1014" s="125"/>
      <c r="Q1014" s="125"/>
      <c r="R1014" s="125"/>
      <c r="S1014" s="125"/>
      <c r="T1014" s="125"/>
      <c r="U1014" s="72"/>
      <c r="V1014" s="72"/>
      <c r="W1014" s="72"/>
    </row>
    <row r="1015" ht="12.75" customHeight="1">
      <c r="A1015" s="122"/>
      <c r="B1015" s="122"/>
      <c r="C1015" s="122"/>
      <c r="D1015" s="123"/>
      <c r="E1015" s="122"/>
      <c r="F1015" s="124"/>
      <c r="G1015" s="125"/>
      <c r="H1015" s="125"/>
      <c r="I1015" s="125"/>
      <c r="J1015" s="125"/>
      <c r="K1015" s="125"/>
      <c r="L1015" s="125"/>
      <c r="M1015" s="125"/>
      <c r="N1015" s="125"/>
      <c r="O1015" s="125"/>
      <c r="P1015" s="125"/>
      <c r="Q1015" s="125"/>
      <c r="R1015" s="125"/>
      <c r="S1015" s="125"/>
      <c r="T1015" s="125"/>
      <c r="U1015" s="72"/>
      <c r="V1015" s="72"/>
      <c r="W1015" s="72"/>
    </row>
    <row r="1016" ht="12.75" customHeight="1">
      <c r="A1016" s="122"/>
      <c r="B1016" s="122"/>
      <c r="C1016" s="122"/>
      <c r="D1016" s="123"/>
      <c r="E1016" s="122"/>
      <c r="F1016" s="124"/>
      <c r="G1016" s="125"/>
      <c r="H1016" s="125"/>
      <c r="I1016" s="125"/>
      <c r="J1016" s="125"/>
      <c r="K1016" s="125"/>
      <c r="L1016" s="125"/>
      <c r="M1016" s="125"/>
      <c r="N1016" s="125"/>
      <c r="O1016" s="125"/>
      <c r="P1016" s="125"/>
      <c r="Q1016" s="125"/>
      <c r="R1016" s="125"/>
      <c r="S1016" s="125"/>
      <c r="T1016" s="125"/>
      <c r="U1016" s="72"/>
      <c r="V1016" s="72"/>
      <c r="W1016" s="72"/>
    </row>
    <row r="1017" ht="12.75" customHeight="1">
      <c r="A1017" s="122"/>
      <c r="B1017" s="122"/>
      <c r="C1017" s="122"/>
      <c r="D1017" s="123"/>
      <c r="E1017" s="122"/>
      <c r="F1017" s="124"/>
      <c r="G1017" s="125"/>
      <c r="H1017" s="125"/>
      <c r="I1017" s="125"/>
      <c r="J1017" s="125"/>
      <c r="K1017" s="125"/>
      <c r="L1017" s="125"/>
      <c r="M1017" s="125"/>
      <c r="N1017" s="125"/>
      <c r="O1017" s="125"/>
      <c r="P1017" s="125"/>
      <c r="Q1017" s="125"/>
      <c r="R1017" s="125"/>
      <c r="S1017" s="125"/>
      <c r="T1017" s="125"/>
      <c r="U1017" s="72"/>
      <c r="V1017" s="72"/>
      <c r="W1017" s="72"/>
    </row>
    <row r="1018" ht="12.75" customHeight="1">
      <c r="A1018" s="122"/>
      <c r="B1018" s="122"/>
      <c r="C1018" s="122"/>
      <c r="D1018" s="123"/>
      <c r="E1018" s="122"/>
      <c r="F1018" s="124"/>
      <c r="G1018" s="125"/>
      <c r="H1018" s="125"/>
      <c r="I1018" s="125"/>
      <c r="J1018" s="125"/>
      <c r="K1018" s="125"/>
      <c r="L1018" s="125"/>
      <c r="M1018" s="125"/>
      <c r="N1018" s="125"/>
      <c r="O1018" s="125"/>
      <c r="P1018" s="125"/>
      <c r="Q1018" s="125"/>
      <c r="R1018" s="125"/>
      <c r="S1018" s="125"/>
      <c r="T1018" s="125"/>
      <c r="U1018" s="72"/>
      <c r="V1018" s="72"/>
      <c r="W1018" s="72"/>
    </row>
    <row r="1019" ht="12.75" customHeight="1">
      <c r="A1019" s="122"/>
      <c r="B1019" s="122"/>
      <c r="C1019" s="122"/>
      <c r="D1019" s="123"/>
      <c r="E1019" s="122"/>
      <c r="F1019" s="124"/>
      <c r="G1019" s="125"/>
      <c r="H1019" s="125"/>
      <c r="I1019" s="125"/>
      <c r="J1019" s="125"/>
      <c r="K1019" s="125"/>
      <c r="L1019" s="125"/>
      <c r="M1019" s="125"/>
      <c r="N1019" s="125"/>
      <c r="O1019" s="125"/>
      <c r="P1019" s="125"/>
      <c r="Q1019" s="125"/>
      <c r="R1019" s="125"/>
      <c r="S1019" s="125"/>
      <c r="T1019" s="125"/>
      <c r="U1019" s="72"/>
      <c r="V1019" s="72"/>
      <c r="W1019" s="72"/>
    </row>
    <row r="1020" ht="12.75" customHeight="1">
      <c r="A1020" s="122"/>
      <c r="B1020" s="122"/>
      <c r="C1020" s="122"/>
      <c r="D1020" s="123"/>
      <c r="E1020" s="122"/>
      <c r="F1020" s="124"/>
      <c r="G1020" s="125"/>
      <c r="H1020" s="125"/>
      <c r="I1020" s="125"/>
      <c r="J1020" s="125"/>
      <c r="K1020" s="125"/>
      <c r="L1020" s="125"/>
      <c r="M1020" s="125"/>
      <c r="N1020" s="125"/>
      <c r="O1020" s="125"/>
      <c r="P1020" s="125"/>
      <c r="Q1020" s="125"/>
      <c r="R1020" s="125"/>
      <c r="S1020" s="125"/>
      <c r="T1020" s="125"/>
      <c r="U1020" s="72"/>
      <c r="V1020" s="72"/>
      <c r="W1020" s="72"/>
    </row>
    <row r="1021" ht="12.75" customHeight="1">
      <c r="A1021" s="122"/>
      <c r="B1021" s="122"/>
      <c r="C1021" s="122"/>
      <c r="D1021" s="123"/>
      <c r="E1021" s="122"/>
      <c r="F1021" s="124"/>
      <c r="G1021" s="125"/>
      <c r="H1021" s="125"/>
      <c r="I1021" s="125"/>
      <c r="J1021" s="125"/>
      <c r="K1021" s="125"/>
      <c r="L1021" s="125"/>
      <c r="M1021" s="125"/>
      <c r="N1021" s="125"/>
      <c r="O1021" s="125"/>
      <c r="P1021" s="125"/>
      <c r="Q1021" s="125"/>
      <c r="R1021" s="125"/>
      <c r="S1021" s="125"/>
      <c r="T1021" s="125"/>
      <c r="U1021" s="72"/>
      <c r="V1021" s="72"/>
      <c r="W1021" s="72"/>
    </row>
    <row r="1022" ht="12.75" customHeight="1">
      <c r="A1022" s="122"/>
      <c r="B1022" s="122"/>
      <c r="C1022" s="122"/>
      <c r="D1022" s="123"/>
      <c r="E1022" s="122"/>
      <c r="F1022" s="124"/>
      <c r="G1022" s="125"/>
      <c r="H1022" s="125"/>
      <c r="I1022" s="125"/>
      <c r="J1022" s="125"/>
      <c r="K1022" s="125"/>
      <c r="L1022" s="125"/>
      <c r="M1022" s="125"/>
      <c r="N1022" s="125"/>
      <c r="O1022" s="125"/>
      <c r="P1022" s="125"/>
      <c r="Q1022" s="125"/>
      <c r="R1022" s="125"/>
      <c r="S1022" s="125"/>
      <c r="T1022" s="125"/>
      <c r="U1022" s="72"/>
      <c r="V1022" s="72"/>
      <c r="W1022" s="72"/>
    </row>
    <row r="1023" ht="12.75" customHeight="1">
      <c r="A1023" s="122"/>
      <c r="B1023" s="122"/>
      <c r="C1023" s="122"/>
      <c r="D1023" s="123"/>
      <c r="E1023" s="122"/>
      <c r="F1023" s="124"/>
      <c r="G1023" s="125"/>
      <c r="H1023" s="125"/>
      <c r="I1023" s="125"/>
      <c r="J1023" s="125"/>
      <c r="K1023" s="125"/>
      <c r="L1023" s="125"/>
      <c r="M1023" s="125"/>
      <c r="N1023" s="125"/>
      <c r="O1023" s="125"/>
      <c r="P1023" s="125"/>
      <c r="Q1023" s="125"/>
      <c r="R1023" s="125"/>
      <c r="S1023" s="125"/>
      <c r="T1023" s="125"/>
      <c r="U1023" s="72"/>
      <c r="V1023" s="72"/>
      <c r="W1023" s="72"/>
    </row>
    <row r="1024" ht="12.75" customHeight="1">
      <c r="A1024" s="122"/>
      <c r="B1024" s="122"/>
      <c r="C1024" s="122"/>
      <c r="D1024" s="123"/>
      <c r="E1024" s="122"/>
      <c r="F1024" s="124"/>
      <c r="G1024" s="125"/>
      <c r="H1024" s="125"/>
      <c r="I1024" s="125"/>
      <c r="J1024" s="125"/>
      <c r="K1024" s="125"/>
      <c r="L1024" s="125"/>
      <c r="M1024" s="125"/>
      <c r="N1024" s="125"/>
      <c r="O1024" s="125"/>
      <c r="P1024" s="125"/>
      <c r="Q1024" s="125"/>
      <c r="R1024" s="125"/>
      <c r="S1024" s="125"/>
      <c r="T1024" s="125"/>
      <c r="U1024" s="72"/>
      <c r="V1024" s="72"/>
      <c r="W1024" s="72"/>
    </row>
    <row r="1025" ht="12.75" customHeight="1">
      <c r="A1025" s="122"/>
      <c r="B1025" s="122"/>
      <c r="C1025" s="122"/>
      <c r="D1025" s="123"/>
      <c r="E1025" s="122"/>
      <c r="F1025" s="124"/>
      <c r="G1025" s="125"/>
      <c r="H1025" s="125"/>
      <c r="I1025" s="125"/>
      <c r="J1025" s="125"/>
      <c r="K1025" s="125"/>
      <c r="L1025" s="125"/>
      <c r="M1025" s="125"/>
      <c r="N1025" s="125"/>
      <c r="O1025" s="125"/>
      <c r="P1025" s="125"/>
      <c r="Q1025" s="125"/>
      <c r="R1025" s="125"/>
      <c r="S1025" s="125"/>
      <c r="T1025" s="125"/>
      <c r="U1025" s="72"/>
      <c r="V1025" s="72"/>
      <c r="W1025" s="72"/>
    </row>
    <row r="1026" ht="12.75" customHeight="1">
      <c r="A1026" s="122"/>
      <c r="B1026" s="122"/>
      <c r="C1026" s="122"/>
      <c r="D1026" s="123"/>
      <c r="E1026" s="122"/>
      <c r="F1026" s="124"/>
      <c r="G1026" s="125"/>
      <c r="H1026" s="125"/>
      <c r="I1026" s="125"/>
      <c r="J1026" s="125"/>
      <c r="K1026" s="125"/>
      <c r="L1026" s="125"/>
      <c r="M1026" s="125"/>
      <c r="N1026" s="125"/>
      <c r="O1026" s="125"/>
      <c r="P1026" s="125"/>
      <c r="Q1026" s="125"/>
      <c r="R1026" s="125"/>
      <c r="S1026" s="125"/>
      <c r="T1026" s="125"/>
      <c r="U1026" s="72"/>
      <c r="V1026" s="72"/>
      <c r="W1026" s="72"/>
    </row>
    <row r="1027" ht="12.75" customHeight="1">
      <c r="A1027" s="122"/>
      <c r="B1027" s="122"/>
      <c r="C1027" s="122"/>
      <c r="D1027" s="123"/>
      <c r="E1027" s="122"/>
      <c r="F1027" s="124"/>
      <c r="G1027" s="125"/>
      <c r="H1027" s="125"/>
      <c r="I1027" s="125"/>
      <c r="J1027" s="125"/>
      <c r="K1027" s="125"/>
      <c r="L1027" s="125"/>
      <c r="M1027" s="125"/>
      <c r="N1027" s="125"/>
      <c r="O1027" s="125"/>
      <c r="P1027" s="125"/>
      <c r="Q1027" s="125"/>
      <c r="R1027" s="125"/>
      <c r="S1027" s="125"/>
      <c r="T1027" s="125"/>
      <c r="U1027" s="72"/>
      <c r="V1027" s="72"/>
      <c r="W1027" s="72"/>
    </row>
    <row r="1028" ht="12.75" customHeight="1">
      <c r="A1028" s="122"/>
      <c r="B1028" s="122"/>
      <c r="C1028" s="122"/>
      <c r="D1028" s="123"/>
      <c r="E1028" s="122"/>
      <c r="F1028" s="124"/>
      <c r="G1028" s="125"/>
      <c r="H1028" s="125"/>
      <c r="I1028" s="125"/>
      <c r="J1028" s="125"/>
      <c r="K1028" s="125"/>
      <c r="L1028" s="125"/>
      <c r="M1028" s="125"/>
      <c r="N1028" s="125"/>
      <c r="O1028" s="125"/>
      <c r="P1028" s="125"/>
      <c r="Q1028" s="125"/>
      <c r="R1028" s="125"/>
      <c r="S1028" s="125"/>
      <c r="T1028" s="125"/>
      <c r="U1028" s="72"/>
      <c r="V1028" s="72"/>
      <c r="W1028" s="72"/>
    </row>
    <row r="1029" ht="12.75" customHeight="1">
      <c r="A1029" s="122"/>
      <c r="B1029" s="122"/>
      <c r="C1029" s="122"/>
      <c r="D1029" s="123"/>
      <c r="E1029" s="122"/>
      <c r="F1029" s="124"/>
      <c r="G1029" s="125"/>
      <c r="H1029" s="125"/>
      <c r="I1029" s="125"/>
      <c r="J1029" s="125"/>
      <c r="K1029" s="125"/>
      <c r="L1029" s="125"/>
      <c r="M1029" s="125"/>
      <c r="N1029" s="125"/>
      <c r="O1029" s="125"/>
      <c r="P1029" s="125"/>
      <c r="Q1029" s="125"/>
      <c r="R1029" s="125"/>
      <c r="S1029" s="125"/>
      <c r="T1029" s="125"/>
      <c r="U1029" s="72"/>
      <c r="V1029" s="72"/>
      <c r="W1029" s="72"/>
    </row>
    <row r="1030" ht="12.75" customHeight="1">
      <c r="A1030" s="122"/>
      <c r="B1030" s="122"/>
      <c r="C1030" s="122"/>
      <c r="D1030" s="123"/>
      <c r="E1030" s="122"/>
      <c r="F1030" s="124"/>
      <c r="G1030" s="125"/>
      <c r="H1030" s="125"/>
      <c r="I1030" s="125"/>
      <c r="J1030" s="125"/>
      <c r="K1030" s="125"/>
      <c r="L1030" s="125"/>
      <c r="M1030" s="125"/>
      <c r="N1030" s="125"/>
      <c r="O1030" s="125"/>
      <c r="P1030" s="125"/>
      <c r="Q1030" s="125"/>
      <c r="R1030" s="125"/>
      <c r="S1030" s="125"/>
      <c r="T1030" s="125"/>
      <c r="U1030" s="72"/>
      <c r="V1030" s="72"/>
      <c r="W1030" s="72"/>
    </row>
    <row r="1031" ht="12.75" customHeight="1">
      <c r="A1031" s="122"/>
      <c r="B1031" s="122"/>
      <c r="C1031" s="122"/>
      <c r="D1031" s="123"/>
      <c r="E1031" s="122"/>
      <c r="F1031" s="124"/>
      <c r="G1031" s="125"/>
      <c r="H1031" s="125"/>
      <c r="I1031" s="125"/>
      <c r="J1031" s="125"/>
      <c r="K1031" s="125"/>
      <c r="L1031" s="125"/>
      <c r="M1031" s="125"/>
      <c r="N1031" s="125"/>
      <c r="O1031" s="125"/>
      <c r="P1031" s="125"/>
      <c r="Q1031" s="125"/>
      <c r="R1031" s="125"/>
      <c r="S1031" s="125"/>
      <c r="T1031" s="125"/>
      <c r="U1031" s="72"/>
      <c r="V1031" s="72"/>
      <c r="W1031" s="72"/>
    </row>
    <row r="1032" ht="12.75" customHeight="1">
      <c r="A1032" s="122"/>
      <c r="B1032" s="122"/>
      <c r="C1032" s="122"/>
      <c r="D1032" s="123"/>
      <c r="E1032" s="122"/>
      <c r="F1032" s="124"/>
      <c r="G1032" s="125"/>
      <c r="H1032" s="125"/>
      <c r="I1032" s="125"/>
      <c r="J1032" s="125"/>
      <c r="K1032" s="125"/>
      <c r="L1032" s="125"/>
      <c r="M1032" s="125"/>
      <c r="N1032" s="125"/>
      <c r="O1032" s="125"/>
      <c r="P1032" s="125"/>
      <c r="Q1032" s="125"/>
      <c r="R1032" s="125"/>
      <c r="S1032" s="125"/>
      <c r="T1032" s="125"/>
      <c r="U1032" s="72"/>
      <c r="V1032" s="72"/>
      <c r="W1032" s="72"/>
    </row>
    <row r="1033" ht="12.75" customHeight="1">
      <c r="A1033" s="122"/>
      <c r="B1033" s="122"/>
      <c r="C1033" s="122"/>
      <c r="D1033" s="123"/>
      <c r="E1033" s="122"/>
      <c r="F1033" s="124"/>
      <c r="G1033" s="125"/>
      <c r="H1033" s="125"/>
      <c r="I1033" s="125"/>
      <c r="J1033" s="125"/>
      <c r="K1033" s="125"/>
      <c r="L1033" s="125"/>
      <c r="M1033" s="125"/>
      <c r="N1033" s="125"/>
      <c r="O1033" s="125"/>
      <c r="P1033" s="125"/>
      <c r="Q1033" s="125"/>
      <c r="R1033" s="125"/>
      <c r="S1033" s="125"/>
      <c r="T1033" s="125"/>
      <c r="U1033" s="72"/>
      <c r="V1033" s="72"/>
      <c r="W1033" s="72"/>
    </row>
    <row r="1034" ht="12.75" customHeight="1">
      <c r="A1034" s="122"/>
      <c r="B1034" s="122"/>
      <c r="C1034" s="122"/>
      <c r="D1034" s="123"/>
      <c r="E1034" s="122"/>
      <c r="F1034" s="124"/>
      <c r="G1034" s="125"/>
      <c r="H1034" s="125"/>
      <c r="I1034" s="125"/>
      <c r="J1034" s="125"/>
      <c r="K1034" s="125"/>
      <c r="L1034" s="125"/>
      <c r="M1034" s="125"/>
      <c r="N1034" s="125"/>
      <c r="O1034" s="125"/>
      <c r="P1034" s="125"/>
      <c r="Q1034" s="125"/>
      <c r="R1034" s="125"/>
      <c r="S1034" s="125"/>
      <c r="T1034" s="125"/>
      <c r="U1034" s="72"/>
      <c r="V1034" s="72"/>
      <c r="W1034" s="72"/>
    </row>
    <row r="1035" ht="12.75" customHeight="1">
      <c r="A1035" s="122"/>
      <c r="B1035" s="122"/>
      <c r="C1035" s="122"/>
      <c r="D1035" s="123"/>
      <c r="E1035" s="122"/>
      <c r="F1035" s="124"/>
      <c r="G1035" s="125"/>
      <c r="H1035" s="125"/>
      <c r="I1035" s="125"/>
      <c r="J1035" s="125"/>
      <c r="K1035" s="125"/>
      <c r="L1035" s="125"/>
      <c r="M1035" s="125"/>
      <c r="N1035" s="125"/>
      <c r="O1035" s="125"/>
      <c r="P1035" s="125"/>
      <c r="Q1035" s="125"/>
      <c r="R1035" s="125"/>
      <c r="S1035" s="125"/>
      <c r="T1035" s="125"/>
      <c r="U1035" s="72"/>
      <c r="V1035" s="72"/>
      <c r="W1035" s="72"/>
    </row>
    <row r="1036" ht="12.75" customHeight="1">
      <c r="A1036" s="122"/>
      <c r="B1036" s="122"/>
      <c r="C1036" s="122"/>
      <c r="D1036" s="123"/>
      <c r="E1036" s="122"/>
      <c r="F1036" s="124"/>
      <c r="G1036" s="125"/>
      <c r="H1036" s="125"/>
      <c r="I1036" s="125"/>
      <c r="J1036" s="125"/>
      <c r="K1036" s="125"/>
      <c r="L1036" s="125"/>
      <c r="M1036" s="125"/>
      <c r="N1036" s="125"/>
      <c r="O1036" s="125"/>
      <c r="P1036" s="125"/>
      <c r="Q1036" s="125"/>
      <c r="R1036" s="125"/>
      <c r="S1036" s="125"/>
      <c r="T1036" s="125"/>
      <c r="U1036" s="72"/>
      <c r="V1036" s="72"/>
      <c r="W1036" s="72"/>
    </row>
    <row r="1037" ht="12.75" customHeight="1">
      <c r="A1037" s="122"/>
      <c r="B1037" s="122"/>
      <c r="C1037" s="122"/>
      <c r="D1037" s="123"/>
      <c r="E1037" s="122"/>
      <c r="F1037" s="124"/>
      <c r="G1037" s="125"/>
      <c r="H1037" s="125"/>
      <c r="I1037" s="125"/>
      <c r="J1037" s="125"/>
      <c r="K1037" s="125"/>
      <c r="L1037" s="125"/>
      <c r="M1037" s="125"/>
      <c r="N1037" s="125"/>
      <c r="O1037" s="125"/>
      <c r="P1037" s="125"/>
      <c r="Q1037" s="125"/>
      <c r="R1037" s="125"/>
      <c r="S1037" s="125"/>
      <c r="T1037" s="125"/>
      <c r="U1037" s="72"/>
      <c r="V1037" s="72"/>
      <c r="W1037" s="72"/>
    </row>
    <row r="1038" ht="12.75" customHeight="1">
      <c r="A1038" s="122"/>
      <c r="B1038" s="122"/>
      <c r="C1038" s="122"/>
      <c r="D1038" s="123"/>
      <c r="E1038" s="122"/>
      <c r="F1038" s="124"/>
      <c r="G1038" s="125"/>
      <c r="H1038" s="125"/>
      <c r="I1038" s="125"/>
      <c r="J1038" s="125"/>
      <c r="K1038" s="125"/>
      <c r="L1038" s="125"/>
      <c r="M1038" s="125"/>
      <c r="N1038" s="125"/>
      <c r="O1038" s="125"/>
      <c r="P1038" s="125"/>
      <c r="Q1038" s="125"/>
      <c r="R1038" s="125"/>
      <c r="S1038" s="125"/>
      <c r="T1038" s="125"/>
      <c r="U1038" s="72"/>
      <c r="V1038" s="72"/>
      <c r="W1038" s="72"/>
    </row>
    <row r="1039" ht="12.75" customHeight="1">
      <c r="A1039" s="122"/>
      <c r="B1039" s="122"/>
      <c r="C1039" s="122"/>
      <c r="D1039" s="123"/>
      <c r="E1039" s="122"/>
      <c r="F1039" s="124"/>
      <c r="G1039" s="125"/>
      <c r="H1039" s="125"/>
      <c r="I1039" s="125"/>
      <c r="J1039" s="125"/>
      <c r="K1039" s="125"/>
      <c r="L1039" s="125"/>
      <c r="M1039" s="125"/>
      <c r="N1039" s="125"/>
      <c r="O1039" s="125"/>
      <c r="P1039" s="125"/>
      <c r="Q1039" s="125"/>
      <c r="R1039" s="125"/>
      <c r="S1039" s="125"/>
      <c r="T1039" s="125"/>
      <c r="U1039" s="72"/>
      <c r="V1039" s="72"/>
      <c r="W1039" s="72"/>
    </row>
    <row r="1040" ht="12.75" customHeight="1">
      <c r="A1040" s="122"/>
      <c r="B1040" s="122"/>
      <c r="C1040" s="122"/>
      <c r="D1040" s="123"/>
      <c r="E1040" s="122"/>
      <c r="F1040" s="124"/>
      <c r="G1040" s="125"/>
      <c r="H1040" s="125"/>
      <c r="I1040" s="125"/>
      <c r="J1040" s="125"/>
      <c r="K1040" s="125"/>
      <c r="L1040" s="125"/>
      <c r="M1040" s="125"/>
      <c r="N1040" s="125"/>
      <c r="O1040" s="125"/>
      <c r="P1040" s="125"/>
      <c r="Q1040" s="125"/>
      <c r="R1040" s="125"/>
      <c r="S1040" s="125"/>
      <c r="T1040" s="125"/>
      <c r="U1040" s="72"/>
      <c r="V1040" s="72"/>
      <c r="W1040" s="72"/>
    </row>
    <row r="1041" ht="12.75" customHeight="1">
      <c r="A1041" s="122"/>
      <c r="B1041" s="122"/>
      <c r="C1041" s="122"/>
      <c r="D1041" s="123"/>
      <c r="E1041" s="122"/>
      <c r="F1041" s="124"/>
      <c r="G1041" s="125"/>
      <c r="H1041" s="125"/>
      <c r="I1041" s="125"/>
      <c r="J1041" s="125"/>
      <c r="K1041" s="125"/>
      <c r="L1041" s="125"/>
      <c r="M1041" s="125"/>
      <c r="N1041" s="125"/>
      <c r="O1041" s="125"/>
      <c r="P1041" s="125"/>
      <c r="Q1041" s="125"/>
      <c r="R1041" s="125"/>
      <c r="S1041" s="125"/>
      <c r="T1041" s="125"/>
      <c r="U1041" s="72"/>
      <c r="V1041" s="72"/>
      <c r="W1041" s="72"/>
    </row>
    <row r="1042" ht="12.75" customHeight="1">
      <c r="A1042" s="122"/>
      <c r="B1042" s="122"/>
      <c r="C1042" s="122"/>
      <c r="D1042" s="123"/>
      <c r="E1042" s="122"/>
      <c r="F1042" s="124"/>
      <c r="G1042" s="125"/>
      <c r="H1042" s="125"/>
      <c r="I1042" s="125"/>
      <c r="J1042" s="125"/>
      <c r="K1042" s="125"/>
      <c r="L1042" s="125"/>
      <c r="M1042" s="125"/>
      <c r="N1042" s="125"/>
      <c r="O1042" s="125"/>
      <c r="P1042" s="125"/>
      <c r="Q1042" s="125"/>
      <c r="R1042" s="125"/>
      <c r="S1042" s="125"/>
      <c r="T1042" s="125"/>
      <c r="U1042" s="72"/>
      <c r="V1042" s="72"/>
      <c r="W1042" s="72"/>
    </row>
    <row r="1043" ht="12.75" customHeight="1">
      <c r="A1043" s="122"/>
      <c r="B1043" s="122"/>
      <c r="C1043" s="122"/>
      <c r="D1043" s="123"/>
      <c r="E1043" s="122"/>
      <c r="F1043" s="124"/>
      <c r="G1043" s="125"/>
      <c r="H1043" s="125"/>
      <c r="I1043" s="125"/>
      <c r="J1043" s="125"/>
      <c r="K1043" s="125"/>
      <c r="L1043" s="125"/>
      <c r="M1043" s="125"/>
      <c r="N1043" s="125"/>
      <c r="O1043" s="125"/>
      <c r="P1043" s="125"/>
      <c r="Q1043" s="125"/>
      <c r="R1043" s="125"/>
      <c r="S1043" s="125"/>
      <c r="T1043" s="125"/>
      <c r="U1043" s="72"/>
      <c r="V1043" s="72"/>
      <c r="W1043" s="72"/>
    </row>
    <row r="1044" ht="12.75" customHeight="1">
      <c r="A1044" s="122"/>
      <c r="B1044" s="122"/>
      <c r="C1044" s="122"/>
      <c r="D1044" s="123"/>
      <c r="E1044" s="122"/>
      <c r="F1044" s="124"/>
      <c r="G1044" s="125"/>
      <c r="H1044" s="125"/>
      <c r="I1044" s="125"/>
      <c r="J1044" s="125"/>
      <c r="K1044" s="125"/>
      <c r="L1044" s="125"/>
      <c r="M1044" s="125"/>
      <c r="N1044" s="125"/>
      <c r="O1044" s="125"/>
      <c r="P1044" s="125"/>
      <c r="Q1044" s="125"/>
      <c r="R1044" s="125"/>
      <c r="S1044" s="125"/>
      <c r="T1044" s="125"/>
      <c r="U1044" s="72"/>
      <c r="V1044" s="72"/>
      <c r="W1044" s="72"/>
    </row>
    <row r="1045" ht="12.75" customHeight="1">
      <c r="A1045" s="122"/>
      <c r="B1045" s="122"/>
      <c r="C1045" s="122"/>
      <c r="D1045" s="123"/>
      <c r="E1045" s="122"/>
      <c r="F1045" s="124"/>
      <c r="G1045" s="125"/>
      <c r="H1045" s="125"/>
      <c r="I1045" s="125"/>
      <c r="J1045" s="125"/>
      <c r="K1045" s="125"/>
      <c r="L1045" s="125"/>
      <c r="M1045" s="125"/>
      <c r="N1045" s="125"/>
      <c r="O1045" s="125"/>
      <c r="P1045" s="125"/>
      <c r="Q1045" s="125"/>
      <c r="R1045" s="125"/>
      <c r="S1045" s="125"/>
      <c r="T1045" s="125"/>
      <c r="U1045" s="72"/>
      <c r="V1045" s="72"/>
      <c r="W1045" s="72"/>
    </row>
    <row r="1046" ht="12.75" customHeight="1">
      <c r="A1046" s="122"/>
      <c r="B1046" s="122"/>
      <c r="C1046" s="122"/>
      <c r="D1046" s="123"/>
      <c r="E1046" s="122"/>
      <c r="F1046" s="124"/>
      <c r="G1046" s="125"/>
      <c r="H1046" s="125"/>
      <c r="I1046" s="125"/>
      <c r="J1046" s="125"/>
      <c r="K1046" s="125"/>
      <c r="L1046" s="125"/>
      <c r="M1046" s="125"/>
      <c r="N1046" s="125"/>
      <c r="O1046" s="125"/>
      <c r="P1046" s="125"/>
      <c r="Q1046" s="125"/>
      <c r="R1046" s="125"/>
      <c r="S1046" s="125"/>
      <c r="T1046" s="125"/>
      <c r="U1046" s="72"/>
      <c r="V1046" s="72"/>
      <c r="W1046" s="72"/>
    </row>
    <row r="1047" ht="12.75" customHeight="1">
      <c r="A1047" s="122"/>
      <c r="B1047" s="122"/>
      <c r="C1047" s="122"/>
      <c r="D1047" s="123"/>
      <c r="E1047" s="122"/>
      <c r="F1047" s="124"/>
      <c r="G1047" s="125"/>
      <c r="H1047" s="125"/>
      <c r="I1047" s="125"/>
      <c r="J1047" s="125"/>
      <c r="K1047" s="125"/>
      <c r="L1047" s="125"/>
      <c r="M1047" s="125"/>
      <c r="N1047" s="125"/>
      <c r="O1047" s="125"/>
      <c r="P1047" s="125"/>
      <c r="Q1047" s="125"/>
      <c r="R1047" s="125"/>
      <c r="S1047" s="125"/>
      <c r="T1047" s="125"/>
      <c r="U1047" s="72"/>
      <c r="V1047" s="72"/>
      <c r="W1047" s="72"/>
    </row>
    <row r="1048" ht="12.75" customHeight="1">
      <c r="A1048" s="122"/>
      <c r="B1048" s="122"/>
      <c r="C1048" s="122"/>
      <c r="D1048" s="123"/>
      <c r="E1048" s="122"/>
      <c r="F1048" s="124"/>
      <c r="G1048" s="125"/>
      <c r="H1048" s="125"/>
      <c r="I1048" s="125"/>
      <c r="J1048" s="125"/>
      <c r="K1048" s="125"/>
      <c r="L1048" s="125"/>
      <c r="M1048" s="125"/>
      <c r="N1048" s="125"/>
      <c r="O1048" s="125"/>
      <c r="P1048" s="125"/>
      <c r="Q1048" s="125"/>
      <c r="R1048" s="125"/>
      <c r="S1048" s="125"/>
      <c r="T1048" s="125"/>
      <c r="U1048" s="72"/>
      <c r="V1048" s="72"/>
      <c r="W1048" s="72"/>
    </row>
    <row r="1049" ht="12.75" customHeight="1">
      <c r="A1049" s="122"/>
      <c r="B1049" s="122"/>
      <c r="C1049" s="122"/>
      <c r="D1049" s="123"/>
      <c r="E1049" s="122"/>
      <c r="F1049" s="124"/>
      <c r="G1049" s="125"/>
      <c r="H1049" s="125"/>
      <c r="I1049" s="125"/>
      <c r="J1049" s="125"/>
      <c r="K1049" s="125"/>
      <c r="L1049" s="125"/>
      <c r="M1049" s="125"/>
      <c r="N1049" s="125"/>
      <c r="O1049" s="125"/>
      <c r="P1049" s="125"/>
      <c r="Q1049" s="125"/>
      <c r="R1049" s="125"/>
      <c r="S1049" s="125"/>
      <c r="T1049" s="125"/>
      <c r="U1049" s="72"/>
      <c r="V1049" s="72"/>
      <c r="W1049" s="72"/>
    </row>
    <row r="1050" ht="12.75" customHeight="1">
      <c r="A1050" s="122"/>
      <c r="B1050" s="122"/>
      <c r="C1050" s="122"/>
      <c r="D1050" s="123"/>
      <c r="E1050" s="122"/>
      <c r="F1050" s="124"/>
      <c r="G1050" s="125"/>
      <c r="H1050" s="125"/>
      <c r="I1050" s="125"/>
      <c r="J1050" s="125"/>
      <c r="K1050" s="125"/>
      <c r="L1050" s="125"/>
      <c r="M1050" s="125"/>
      <c r="N1050" s="125"/>
      <c r="O1050" s="125"/>
      <c r="P1050" s="125"/>
      <c r="Q1050" s="125"/>
      <c r="R1050" s="125"/>
      <c r="S1050" s="125"/>
      <c r="T1050" s="125"/>
      <c r="U1050" s="72"/>
      <c r="V1050" s="72"/>
      <c r="W1050" s="72"/>
    </row>
    <row r="1051" ht="12.75" customHeight="1">
      <c r="A1051" s="122"/>
      <c r="B1051" s="122"/>
      <c r="C1051" s="122"/>
      <c r="D1051" s="123"/>
      <c r="E1051" s="122"/>
      <c r="F1051" s="124"/>
      <c r="G1051" s="125"/>
      <c r="H1051" s="125"/>
      <c r="I1051" s="125"/>
      <c r="J1051" s="125"/>
      <c r="K1051" s="125"/>
      <c r="L1051" s="125"/>
      <c r="M1051" s="125"/>
      <c r="N1051" s="125"/>
      <c r="O1051" s="125"/>
      <c r="P1051" s="125"/>
      <c r="Q1051" s="125"/>
      <c r="R1051" s="125"/>
      <c r="S1051" s="125"/>
      <c r="T1051" s="125"/>
      <c r="U1051" s="72"/>
      <c r="V1051" s="72"/>
      <c r="W1051" s="72"/>
    </row>
    <row r="1052" ht="12.75" customHeight="1">
      <c r="A1052" s="122"/>
      <c r="B1052" s="122"/>
      <c r="C1052" s="122"/>
      <c r="D1052" s="123"/>
      <c r="E1052" s="122"/>
      <c r="F1052" s="124"/>
      <c r="G1052" s="125"/>
      <c r="H1052" s="125"/>
      <c r="I1052" s="125"/>
      <c r="J1052" s="125"/>
      <c r="K1052" s="125"/>
      <c r="L1052" s="125"/>
      <c r="M1052" s="125"/>
      <c r="N1052" s="125"/>
      <c r="O1052" s="125"/>
      <c r="P1052" s="125"/>
      <c r="Q1052" s="125"/>
      <c r="R1052" s="125"/>
      <c r="S1052" s="125"/>
      <c r="T1052" s="125"/>
      <c r="U1052" s="72"/>
      <c r="V1052" s="72"/>
      <c r="W1052" s="72"/>
    </row>
    <row r="1053" ht="12.75" customHeight="1">
      <c r="A1053" s="122"/>
      <c r="B1053" s="122"/>
      <c r="C1053" s="122"/>
      <c r="D1053" s="123"/>
      <c r="E1053" s="122"/>
      <c r="F1053" s="124"/>
      <c r="G1053" s="125"/>
      <c r="H1053" s="125"/>
      <c r="I1053" s="125"/>
      <c r="J1053" s="125"/>
      <c r="K1053" s="125"/>
      <c r="L1053" s="125"/>
      <c r="M1053" s="125"/>
      <c r="N1053" s="125"/>
      <c r="O1053" s="125"/>
      <c r="P1053" s="125"/>
      <c r="Q1053" s="125"/>
      <c r="R1053" s="125"/>
      <c r="S1053" s="125"/>
      <c r="T1053" s="125"/>
      <c r="U1053" s="72"/>
      <c r="V1053" s="72"/>
      <c r="W1053" s="72"/>
    </row>
    <row r="1054" ht="12.75" customHeight="1">
      <c r="A1054" s="122"/>
      <c r="B1054" s="122"/>
      <c r="C1054" s="122"/>
      <c r="D1054" s="123"/>
      <c r="E1054" s="122"/>
      <c r="F1054" s="124"/>
      <c r="G1054" s="125"/>
      <c r="H1054" s="125"/>
      <c r="I1054" s="125"/>
      <c r="J1054" s="125"/>
      <c r="K1054" s="125"/>
      <c r="L1054" s="125"/>
      <c r="M1054" s="125"/>
      <c r="N1054" s="125"/>
      <c r="O1054" s="125"/>
      <c r="P1054" s="125"/>
      <c r="Q1054" s="125"/>
      <c r="R1054" s="125"/>
      <c r="S1054" s="125"/>
      <c r="T1054" s="125"/>
      <c r="U1054" s="72"/>
      <c r="V1054" s="72"/>
      <c r="W1054" s="72"/>
    </row>
    <row r="1055" ht="12.75" customHeight="1">
      <c r="A1055" s="122"/>
      <c r="B1055" s="122"/>
      <c r="C1055" s="122"/>
      <c r="D1055" s="123"/>
      <c r="E1055" s="122"/>
      <c r="F1055" s="124"/>
      <c r="G1055" s="125"/>
      <c r="H1055" s="125"/>
      <c r="I1055" s="125"/>
      <c r="J1055" s="125"/>
      <c r="K1055" s="125"/>
      <c r="L1055" s="125"/>
      <c r="M1055" s="125"/>
      <c r="N1055" s="125"/>
      <c r="O1055" s="125"/>
      <c r="P1055" s="125"/>
      <c r="Q1055" s="125"/>
      <c r="R1055" s="125"/>
      <c r="S1055" s="125"/>
      <c r="T1055" s="125"/>
      <c r="U1055" s="72"/>
      <c r="V1055" s="72"/>
      <c r="W1055" s="72"/>
    </row>
    <row r="1056" ht="12.75" customHeight="1">
      <c r="A1056" s="122"/>
      <c r="B1056" s="122"/>
      <c r="C1056" s="122"/>
      <c r="D1056" s="123"/>
      <c r="E1056" s="122"/>
      <c r="F1056" s="124"/>
      <c r="G1056" s="125"/>
      <c r="H1056" s="125"/>
      <c r="I1056" s="125"/>
      <c r="J1056" s="125"/>
      <c r="K1056" s="125"/>
      <c r="L1056" s="125"/>
      <c r="M1056" s="125"/>
      <c r="N1056" s="125"/>
      <c r="O1056" s="125"/>
      <c r="P1056" s="125"/>
      <c r="Q1056" s="125"/>
      <c r="R1056" s="125"/>
      <c r="S1056" s="125"/>
      <c r="T1056" s="125"/>
      <c r="U1056" s="72"/>
      <c r="V1056" s="72"/>
      <c r="W1056" s="72"/>
    </row>
    <row r="1057" ht="12.75" customHeight="1">
      <c r="A1057" s="122"/>
      <c r="B1057" s="122"/>
      <c r="C1057" s="122"/>
      <c r="D1057" s="123"/>
      <c r="E1057" s="122"/>
      <c r="F1057" s="124"/>
      <c r="G1057" s="125"/>
      <c r="H1057" s="125"/>
      <c r="I1057" s="125"/>
      <c r="J1057" s="125"/>
      <c r="K1057" s="125"/>
      <c r="L1057" s="125"/>
      <c r="M1057" s="125"/>
      <c r="N1057" s="125"/>
      <c r="O1057" s="125"/>
      <c r="P1057" s="125"/>
      <c r="Q1057" s="125"/>
      <c r="R1057" s="125"/>
      <c r="S1057" s="125"/>
      <c r="T1057" s="125"/>
      <c r="U1057" s="72"/>
      <c r="V1057" s="72"/>
      <c r="W1057" s="72"/>
    </row>
    <row r="1058" ht="12.75" customHeight="1">
      <c r="A1058" s="122"/>
      <c r="B1058" s="122"/>
      <c r="C1058" s="122"/>
      <c r="D1058" s="123"/>
      <c r="E1058" s="122"/>
      <c r="F1058" s="124"/>
      <c r="G1058" s="125"/>
      <c r="H1058" s="125"/>
      <c r="I1058" s="125"/>
      <c r="J1058" s="125"/>
      <c r="K1058" s="125"/>
      <c r="L1058" s="125"/>
      <c r="M1058" s="125"/>
      <c r="N1058" s="125"/>
      <c r="O1058" s="125"/>
      <c r="P1058" s="125"/>
      <c r="Q1058" s="125"/>
      <c r="R1058" s="125"/>
      <c r="S1058" s="125"/>
      <c r="T1058" s="125"/>
      <c r="U1058" s="72"/>
      <c r="V1058" s="72"/>
      <c r="W1058" s="72"/>
    </row>
    <row r="1059" ht="12.75" customHeight="1">
      <c r="A1059" s="122"/>
      <c r="B1059" s="122"/>
      <c r="C1059" s="122"/>
      <c r="D1059" s="123"/>
      <c r="E1059" s="122"/>
      <c r="F1059" s="124"/>
      <c r="G1059" s="125"/>
      <c r="H1059" s="125"/>
      <c r="I1059" s="125"/>
      <c r="J1059" s="125"/>
      <c r="K1059" s="125"/>
      <c r="L1059" s="125"/>
      <c r="M1059" s="125"/>
      <c r="N1059" s="125"/>
      <c r="O1059" s="125"/>
      <c r="P1059" s="125"/>
      <c r="Q1059" s="125"/>
      <c r="R1059" s="125"/>
      <c r="S1059" s="125"/>
      <c r="T1059" s="125"/>
      <c r="U1059" s="72"/>
      <c r="V1059" s="72"/>
      <c r="W1059" s="72"/>
    </row>
    <row r="1060" ht="12.75" customHeight="1">
      <c r="A1060" s="122"/>
      <c r="B1060" s="122"/>
      <c r="C1060" s="122"/>
      <c r="D1060" s="123"/>
      <c r="E1060" s="122"/>
      <c r="F1060" s="124"/>
      <c r="G1060" s="125"/>
      <c r="H1060" s="125"/>
      <c r="I1060" s="125"/>
      <c r="J1060" s="125"/>
      <c r="K1060" s="125"/>
      <c r="L1060" s="125"/>
      <c r="M1060" s="125"/>
      <c r="N1060" s="125"/>
      <c r="O1060" s="125"/>
      <c r="P1060" s="125"/>
      <c r="Q1060" s="125"/>
      <c r="R1060" s="125"/>
      <c r="S1060" s="125"/>
      <c r="T1060" s="125"/>
      <c r="U1060" s="72"/>
      <c r="V1060" s="72"/>
      <c r="W1060" s="72"/>
    </row>
    <row r="1061" ht="12.75" customHeight="1">
      <c r="A1061" s="122"/>
      <c r="B1061" s="122"/>
      <c r="C1061" s="122"/>
      <c r="D1061" s="123"/>
      <c r="E1061" s="122"/>
      <c r="F1061" s="124"/>
      <c r="G1061" s="125"/>
      <c r="H1061" s="125"/>
      <c r="I1061" s="125"/>
      <c r="J1061" s="125"/>
      <c r="K1061" s="125"/>
      <c r="L1061" s="125"/>
      <c r="M1061" s="125"/>
      <c r="N1061" s="125"/>
      <c r="O1061" s="125"/>
      <c r="P1061" s="125"/>
      <c r="Q1061" s="125"/>
      <c r="R1061" s="125"/>
      <c r="S1061" s="125"/>
      <c r="T1061" s="125"/>
      <c r="U1061" s="72"/>
      <c r="V1061" s="72"/>
      <c r="W1061" s="72"/>
    </row>
    <row r="1062" ht="12.75" customHeight="1">
      <c r="A1062" s="122"/>
      <c r="B1062" s="122"/>
      <c r="C1062" s="122"/>
      <c r="D1062" s="123"/>
      <c r="E1062" s="122"/>
      <c r="F1062" s="124"/>
      <c r="G1062" s="125"/>
      <c r="H1062" s="125"/>
      <c r="I1062" s="125"/>
      <c r="J1062" s="125"/>
      <c r="K1062" s="125"/>
      <c r="L1062" s="125"/>
      <c r="M1062" s="125"/>
      <c r="N1062" s="125"/>
      <c r="O1062" s="125"/>
      <c r="P1062" s="125"/>
      <c r="Q1062" s="125"/>
      <c r="R1062" s="125"/>
      <c r="S1062" s="125"/>
      <c r="T1062" s="125"/>
      <c r="U1062" s="72"/>
      <c r="V1062" s="72"/>
      <c r="W1062" s="72"/>
    </row>
    <row r="1063" ht="12.75" customHeight="1">
      <c r="A1063" s="122"/>
      <c r="B1063" s="122"/>
      <c r="C1063" s="122"/>
      <c r="D1063" s="123"/>
      <c r="E1063" s="122"/>
      <c r="F1063" s="124"/>
      <c r="G1063" s="125"/>
      <c r="H1063" s="125"/>
      <c r="I1063" s="125"/>
      <c r="J1063" s="125"/>
      <c r="K1063" s="125"/>
      <c r="L1063" s="125"/>
      <c r="M1063" s="125"/>
      <c r="N1063" s="125"/>
      <c r="O1063" s="125"/>
      <c r="P1063" s="125"/>
      <c r="Q1063" s="125"/>
      <c r="R1063" s="125"/>
      <c r="S1063" s="125"/>
      <c r="T1063" s="125"/>
      <c r="U1063" s="72"/>
      <c r="V1063" s="72"/>
      <c r="W1063" s="72"/>
    </row>
    <row r="1064" ht="12.75" customHeight="1">
      <c r="A1064" s="122"/>
      <c r="B1064" s="122"/>
      <c r="C1064" s="122"/>
      <c r="D1064" s="123"/>
      <c r="E1064" s="122"/>
      <c r="F1064" s="124"/>
      <c r="G1064" s="125"/>
      <c r="H1064" s="125"/>
      <c r="I1064" s="125"/>
      <c r="J1064" s="125"/>
      <c r="K1064" s="125"/>
      <c r="L1064" s="125"/>
      <c r="M1064" s="125"/>
      <c r="N1064" s="125"/>
      <c r="O1064" s="125"/>
      <c r="P1064" s="125"/>
      <c r="Q1064" s="125"/>
      <c r="R1064" s="125"/>
      <c r="S1064" s="125"/>
      <c r="T1064" s="125"/>
      <c r="U1064" s="72"/>
      <c r="V1064" s="72"/>
      <c r="W1064" s="72"/>
    </row>
    <row r="1065" ht="12.75" customHeight="1">
      <c r="A1065" s="122"/>
      <c r="B1065" s="122"/>
      <c r="C1065" s="122"/>
      <c r="D1065" s="123"/>
      <c r="E1065" s="122"/>
      <c r="F1065" s="124"/>
      <c r="G1065" s="125"/>
      <c r="H1065" s="125"/>
      <c r="I1065" s="125"/>
      <c r="J1065" s="125"/>
      <c r="K1065" s="125"/>
      <c r="L1065" s="125"/>
      <c r="M1065" s="125"/>
      <c r="N1065" s="125"/>
      <c r="O1065" s="125"/>
      <c r="P1065" s="125"/>
      <c r="Q1065" s="125"/>
      <c r="R1065" s="125"/>
      <c r="S1065" s="125"/>
      <c r="T1065" s="125"/>
      <c r="U1065" s="72"/>
      <c r="V1065" s="72"/>
      <c r="W1065" s="72"/>
    </row>
    <row r="1066" ht="12.75" customHeight="1">
      <c r="A1066" s="122"/>
      <c r="B1066" s="122"/>
      <c r="C1066" s="122"/>
      <c r="D1066" s="123"/>
      <c r="E1066" s="122"/>
      <c r="F1066" s="124"/>
      <c r="G1066" s="125"/>
      <c r="H1066" s="125"/>
      <c r="I1066" s="125"/>
      <c r="J1066" s="125"/>
      <c r="K1066" s="125"/>
      <c r="L1066" s="125"/>
      <c r="M1066" s="125"/>
      <c r="N1066" s="125"/>
      <c r="O1066" s="125"/>
      <c r="P1066" s="125"/>
      <c r="Q1066" s="125"/>
      <c r="R1066" s="125"/>
      <c r="S1066" s="125"/>
      <c r="T1066" s="125"/>
      <c r="U1066" s="72"/>
      <c r="V1066" s="72"/>
      <c r="W1066" s="72"/>
    </row>
    <row r="1067" ht="12.75" customHeight="1">
      <c r="A1067" s="122"/>
      <c r="B1067" s="122"/>
      <c r="C1067" s="122"/>
      <c r="D1067" s="123"/>
      <c r="E1067" s="122"/>
      <c r="F1067" s="124"/>
      <c r="G1067" s="125"/>
      <c r="H1067" s="125"/>
      <c r="I1067" s="125"/>
      <c r="J1067" s="125"/>
      <c r="K1067" s="125"/>
      <c r="L1067" s="125"/>
      <c r="M1067" s="125"/>
      <c r="N1067" s="125"/>
      <c r="O1067" s="125"/>
      <c r="P1067" s="125"/>
      <c r="Q1067" s="125"/>
      <c r="R1067" s="125"/>
      <c r="S1067" s="125"/>
      <c r="T1067" s="125"/>
      <c r="U1067" s="72"/>
      <c r="V1067" s="72"/>
      <c r="W1067" s="72"/>
    </row>
    <row r="1068" ht="12.75" customHeight="1">
      <c r="A1068" s="122"/>
      <c r="B1068" s="122"/>
      <c r="C1068" s="122"/>
      <c r="D1068" s="123"/>
      <c r="E1068" s="122"/>
      <c r="F1068" s="124"/>
      <c r="G1068" s="125"/>
      <c r="H1068" s="125"/>
      <c r="I1068" s="125"/>
      <c r="J1068" s="125"/>
      <c r="K1068" s="125"/>
      <c r="L1068" s="125"/>
      <c r="M1068" s="125"/>
      <c r="N1068" s="125"/>
      <c r="O1068" s="125"/>
      <c r="P1068" s="125"/>
      <c r="Q1068" s="125"/>
      <c r="R1068" s="125"/>
      <c r="S1068" s="125"/>
      <c r="T1068" s="125"/>
      <c r="U1068" s="72"/>
      <c r="V1068" s="72"/>
      <c r="W1068" s="72"/>
    </row>
    <row r="1069" ht="12.75" customHeight="1">
      <c r="A1069" s="128"/>
      <c r="B1069" s="128"/>
      <c r="C1069" s="128"/>
      <c r="D1069" s="123"/>
      <c r="E1069" s="128"/>
      <c r="F1069" s="129"/>
      <c r="G1069" s="130"/>
      <c r="H1069" s="130"/>
      <c r="I1069" s="130"/>
      <c r="J1069" s="130"/>
      <c r="K1069" s="130"/>
      <c r="L1069" s="130"/>
      <c r="M1069" s="130"/>
      <c r="N1069" s="130"/>
      <c r="O1069" s="130"/>
      <c r="P1069" s="130"/>
      <c r="Q1069" s="130"/>
      <c r="R1069" s="130"/>
      <c r="S1069" s="130"/>
      <c r="T1069" s="130"/>
      <c r="U1069" s="131"/>
      <c r="V1069" s="131"/>
      <c r="W1069" s="131"/>
    </row>
    <row r="1070" ht="12.75" customHeight="1">
      <c r="A1070" s="128"/>
      <c r="B1070" s="128"/>
      <c r="C1070" s="128"/>
      <c r="D1070" s="123"/>
      <c r="E1070" s="128"/>
      <c r="F1070" s="129"/>
      <c r="G1070" s="130"/>
      <c r="H1070" s="130"/>
      <c r="I1070" s="130"/>
      <c r="J1070" s="130"/>
      <c r="K1070" s="130"/>
      <c r="L1070" s="130"/>
      <c r="M1070" s="130"/>
      <c r="N1070" s="130"/>
      <c r="O1070" s="130"/>
      <c r="P1070" s="130"/>
      <c r="Q1070" s="130"/>
      <c r="R1070" s="130"/>
      <c r="S1070" s="130"/>
      <c r="T1070" s="130"/>
      <c r="U1070" s="131"/>
      <c r="V1070" s="131"/>
      <c r="W1070" s="131"/>
    </row>
    <row r="1071" ht="12.75" customHeight="1">
      <c r="A1071" s="128"/>
      <c r="B1071" s="128"/>
      <c r="C1071" s="128"/>
      <c r="D1071" s="123"/>
      <c r="E1071" s="128"/>
      <c r="F1071" s="129"/>
      <c r="G1071" s="130"/>
      <c r="H1071" s="130"/>
      <c r="I1071" s="130"/>
      <c r="J1071" s="130"/>
      <c r="K1071" s="130"/>
      <c r="L1071" s="130"/>
      <c r="M1071" s="130"/>
      <c r="N1071" s="130"/>
      <c r="O1071" s="130"/>
      <c r="P1071" s="130"/>
      <c r="Q1071" s="130"/>
      <c r="R1071" s="130"/>
      <c r="S1071" s="130"/>
      <c r="T1071" s="130"/>
      <c r="U1071" s="131"/>
      <c r="V1071" s="131"/>
      <c r="W1071" s="131"/>
    </row>
    <row r="1072" ht="12.75" customHeight="1">
      <c r="A1072" s="128"/>
      <c r="B1072" s="128"/>
      <c r="C1072" s="128"/>
      <c r="D1072" s="123"/>
      <c r="E1072" s="128"/>
      <c r="F1072" s="129"/>
      <c r="G1072" s="130"/>
      <c r="H1072" s="130"/>
      <c r="I1072" s="130"/>
      <c r="J1072" s="130"/>
      <c r="K1072" s="130"/>
      <c r="L1072" s="130"/>
      <c r="M1072" s="130"/>
      <c r="N1072" s="130"/>
      <c r="O1072" s="130"/>
      <c r="P1072" s="130"/>
      <c r="Q1072" s="130"/>
      <c r="R1072" s="130"/>
      <c r="S1072" s="130"/>
      <c r="T1072" s="130"/>
      <c r="U1072" s="131"/>
      <c r="V1072" s="131"/>
      <c r="W1072" s="131"/>
    </row>
    <row r="1073" ht="12.75" customHeight="1">
      <c r="A1073" s="128"/>
      <c r="B1073" s="128"/>
      <c r="C1073" s="128"/>
      <c r="D1073" s="123"/>
      <c r="E1073" s="128"/>
      <c r="F1073" s="129"/>
      <c r="G1073" s="130"/>
      <c r="H1073" s="130"/>
      <c r="I1073" s="130"/>
      <c r="J1073" s="130"/>
      <c r="K1073" s="130"/>
      <c r="L1073" s="130"/>
      <c r="M1073" s="130"/>
      <c r="N1073" s="130"/>
      <c r="O1073" s="130"/>
      <c r="P1073" s="130"/>
      <c r="Q1073" s="130"/>
      <c r="R1073" s="130"/>
      <c r="S1073" s="130"/>
      <c r="T1073" s="130"/>
      <c r="U1073" s="131"/>
      <c r="V1073" s="131"/>
      <c r="W1073" s="131"/>
    </row>
    <row r="1074" ht="12.75" customHeight="1">
      <c r="A1074" s="128"/>
      <c r="B1074" s="128"/>
      <c r="C1074" s="128"/>
      <c r="D1074" s="123"/>
      <c r="E1074" s="128"/>
      <c r="F1074" s="129"/>
      <c r="G1074" s="130"/>
      <c r="H1074" s="130"/>
      <c r="I1074" s="130"/>
      <c r="J1074" s="130"/>
      <c r="K1074" s="130"/>
      <c r="L1074" s="130"/>
      <c r="M1074" s="130"/>
      <c r="N1074" s="130"/>
      <c r="O1074" s="130"/>
      <c r="P1074" s="130"/>
      <c r="Q1074" s="130"/>
      <c r="R1074" s="130"/>
      <c r="S1074" s="130"/>
      <c r="T1074" s="130"/>
      <c r="U1074" s="131"/>
      <c r="V1074" s="131"/>
      <c r="W1074" s="131"/>
    </row>
    <row r="1075" ht="12.75" customHeight="1">
      <c r="A1075" s="128"/>
      <c r="B1075" s="128"/>
      <c r="C1075" s="128"/>
      <c r="D1075" s="123"/>
      <c r="E1075" s="128"/>
      <c r="F1075" s="129"/>
      <c r="G1075" s="130"/>
      <c r="H1075" s="130"/>
      <c r="I1075" s="130"/>
      <c r="J1075" s="130"/>
      <c r="K1075" s="130"/>
      <c r="L1075" s="130"/>
      <c r="M1075" s="130"/>
      <c r="N1075" s="130"/>
      <c r="O1075" s="130"/>
      <c r="P1075" s="130"/>
      <c r="Q1075" s="130"/>
      <c r="R1075" s="130"/>
      <c r="S1075" s="130"/>
      <c r="T1075" s="130"/>
      <c r="U1075" s="131"/>
      <c r="V1075" s="131"/>
      <c r="W1075" s="131"/>
    </row>
    <row r="1076" ht="12.75" customHeight="1">
      <c r="A1076" s="128"/>
      <c r="B1076" s="128"/>
      <c r="C1076" s="128"/>
      <c r="D1076" s="123"/>
      <c r="E1076" s="128"/>
      <c r="F1076" s="129"/>
      <c r="G1076" s="130"/>
      <c r="H1076" s="130"/>
      <c r="I1076" s="130"/>
      <c r="J1076" s="130"/>
      <c r="K1076" s="130"/>
      <c r="L1076" s="130"/>
      <c r="M1076" s="130"/>
      <c r="N1076" s="130"/>
      <c r="O1076" s="130"/>
      <c r="P1076" s="130"/>
      <c r="Q1076" s="130"/>
      <c r="R1076" s="130"/>
      <c r="S1076" s="130"/>
      <c r="T1076" s="130"/>
      <c r="U1076" s="131"/>
      <c r="V1076" s="131"/>
      <c r="W1076" s="131"/>
    </row>
    <row r="1077" ht="12.75" customHeight="1">
      <c r="A1077" s="128"/>
      <c r="B1077" s="128"/>
      <c r="C1077" s="128"/>
      <c r="D1077" s="123"/>
      <c r="E1077" s="128"/>
      <c r="F1077" s="129"/>
      <c r="G1077" s="130"/>
      <c r="H1077" s="130"/>
      <c r="I1077" s="130"/>
      <c r="J1077" s="130"/>
      <c r="K1077" s="130"/>
      <c r="L1077" s="130"/>
      <c r="M1077" s="130"/>
      <c r="N1077" s="130"/>
      <c r="O1077" s="130"/>
      <c r="P1077" s="130"/>
      <c r="Q1077" s="130"/>
      <c r="R1077" s="130"/>
      <c r="S1077" s="130"/>
      <c r="T1077" s="130"/>
      <c r="U1077" s="131"/>
      <c r="V1077" s="131"/>
      <c r="W1077" s="131"/>
    </row>
    <row r="1078" ht="12.75" customHeight="1">
      <c r="A1078" s="128"/>
      <c r="B1078" s="128"/>
      <c r="C1078" s="128"/>
      <c r="D1078" s="123"/>
      <c r="E1078" s="128"/>
      <c r="F1078" s="129"/>
      <c r="G1078" s="130"/>
      <c r="H1078" s="130"/>
      <c r="I1078" s="130"/>
      <c r="J1078" s="130"/>
      <c r="K1078" s="130"/>
      <c r="L1078" s="130"/>
      <c r="M1078" s="130"/>
      <c r="N1078" s="130"/>
      <c r="O1078" s="130"/>
      <c r="P1078" s="130"/>
      <c r="Q1078" s="130"/>
      <c r="R1078" s="130"/>
      <c r="S1078" s="130"/>
      <c r="T1078" s="130"/>
      <c r="U1078" s="131"/>
      <c r="V1078" s="131"/>
      <c r="W1078" s="131"/>
    </row>
    <row r="1079" ht="12.75" customHeight="1">
      <c r="A1079" s="128"/>
      <c r="B1079" s="128"/>
      <c r="C1079" s="128"/>
      <c r="D1079" s="123"/>
      <c r="E1079" s="128"/>
      <c r="F1079" s="129"/>
      <c r="G1079" s="130"/>
      <c r="H1079" s="130"/>
      <c r="I1079" s="130"/>
      <c r="J1079" s="130"/>
      <c r="K1079" s="130"/>
      <c r="L1079" s="130"/>
      <c r="M1079" s="130"/>
      <c r="N1079" s="130"/>
      <c r="O1079" s="130"/>
      <c r="P1079" s="130"/>
      <c r="Q1079" s="130"/>
      <c r="R1079" s="130"/>
      <c r="S1079" s="130"/>
      <c r="T1079" s="130"/>
      <c r="U1079" s="131"/>
      <c r="V1079" s="131"/>
      <c r="W1079" s="131"/>
    </row>
    <row r="1080" ht="12.75" customHeight="1">
      <c r="A1080" s="128"/>
      <c r="B1080" s="128"/>
      <c r="C1080" s="128"/>
      <c r="D1080" s="123"/>
      <c r="E1080" s="128"/>
      <c r="F1080" s="129"/>
      <c r="G1080" s="130"/>
      <c r="H1080" s="130"/>
      <c r="I1080" s="130"/>
      <c r="J1080" s="130"/>
      <c r="K1080" s="130"/>
      <c r="L1080" s="130"/>
      <c r="M1080" s="130"/>
      <c r="N1080" s="130"/>
      <c r="O1080" s="130"/>
      <c r="P1080" s="130"/>
      <c r="Q1080" s="130"/>
      <c r="R1080" s="130"/>
      <c r="S1080" s="130"/>
      <c r="T1080" s="130"/>
      <c r="U1080" s="131"/>
      <c r="V1080" s="131"/>
      <c r="W1080" s="131"/>
    </row>
    <row r="1081" ht="12.75" customHeight="1">
      <c r="A1081" s="128"/>
      <c r="B1081" s="128"/>
      <c r="C1081" s="128"/>
      <c r="D1081" s="123"/>
      <c r="E1081" s="128"/>
      <c r="F1081" s="129"/>
      <c r="G1081" s="130"/>
      <c r="H1081" s="130"/>
      <c r="I1081" s="130"/>
      <c r="J1081" s="130"/>
      <c r="K1081" s="130"/>
      <c r="L1081" s="130"/>
      <c r="M1081" s="130"/>
      <c r="N1081" s="130"/>
      <c r="O1081" s="130"/>
      <c r="P1081" s="130"/>
      <c r="Q1081" s="130"/>
      <c r="R1081" s="130"/>
      <c r="S1081" s="130"/>
      <c r="T1081" s="130"/>
      <c r="U1081" s="131"/>
      <c r="V1081" s="131"/>
      <c r="W1081" s="131"/>
    </row>
    <row r="1082" ht="12.75" customHeight="1">
      <c r="A1082" s="128"/>
      <c r="B1082" s="128"/>
      <c r="C1082" s="128"/>
      <c r="D1082" s="123"/>
      <c r="E1082" s="128"/>
      <c r="F1082" s="129"/>
      <c r="G1082" s="130"/>
      <c r="H1082" s="130"/>
      <c r="I1082" s="130"/>
      <c r="J1082" s="130"/>
      <c r="K1082" s="130"/>
      <c r="L1082" s="130"/>
      <c r="M1082" s="130"/>
      <c r="N1082" s="130"/>
      <c r="O1082" s="130"/>
      <c r="P1082" s="130"/>
      <c r="Q1082" s="130"/>
      <c r="R1082" s="130"/>
      <c r="S1082" s="130"/>
      <c r="T1082" s="130"/>
      <c r="U1082" s="131"/>
      <c r="V1082" s="131"/>
      <c r="W1082" s="131"/>
    </row>
    <row r="1083" ht="12.75" customHeight="1">
      <c r="A1083" s="128"/>
      <c r="B1083" s="128"/>
      <c r="C1083" s="128"/>
      <c r="D1083" s="123"/>
      <c r="E1083" s="128"/>
      <c r="F1083" s="129"/>
      <c r="G1083" s="130"/>
      <c r="H1083" s="130"/>
      <c r="I1083" s="130"/>
      <c r="J1083" s="130"/>
      <c r="K1083" s="130"/>
      <c r="L1083" s="130"/>
      <c r="M1083" s="130"/>
      <c r="N1083" s="130"/>
      <c r="O1083" s="130"/>
      <c r="P1083" s="130"/>
      <c r="Q1083" s="130"/>
      <c r="R1083" s="130"/>
      <c r="S1083" s="130"/>
      <c r="T1083" s="130"/>
      <c r="U1083" s="131"/>
      <c r="V1083" s="131"/>
      <c r="W1083" s="131"/>
    </row>
    <row r="1084" ht="12.75" customHeight="1">
      <c r="A1084" s="128"/>
      <c r="B1084" s="128"/>
      <c r="C1084" s="128"/>
      <c r="D1084" s="123"/>
      <c r="E1084" s="128"/>
      <c r="F1084" s="129"/>
      <c r="G1084" s="130"/>
      <c r="H1084" s="130"/>
      <c r="I1084" s="130"/>
      <c r="J1084" s="130"/>
      <c r="K1084" s="130"/>
      <c r="L1084" s="130"/>
      <c r="M1084" s="130"/>
      <c r="N1084" s="130"/>
      <c r="O1084" s="130"/>
      <c r="P1084" s="130"/>
      <c r="Q1084" s="130"/>
      <c r="R1084" s="130"/>
      <c r="S1084" s="130"/>
      <c r="T1084" s="130"/>
      <c r="U1084" s="131"/>
      <c r="V1084" s="131"/>
      <c r="W1084" s="131"/>
    </row>
    <row r="1085" ht="12.75" customHeight="1">
      <c r="A1085" s="128"/>
      <c r="B1085" s="128"/>
      <c r="C1085" s="128"/>
      <c r="D1085" s="123"/>
      <c r="E1085" s="128"/>
      <c r="F1085" s="129"/>
      <c r="G1085" s="130"/>
      <c r="H1085" s="130"/>
      <c r="I1085" s="130"/>
      <c r="J1085" s="130"/>
      <c r="K1085" s="130"/>
      <c r="L1085" s="130"/>
      <c r="M1085" s="130"/>
      <c r="N1085" s="130"/>
      <c r="O1085" s="130"/>
      <c r="P1085" s="130"/>
      <c r="Q1085" s="130"/>
      <c r="R1085" s="130"/>
      <c r="S1085" s="130"/>
      <c r="T1085" s="130"/>
      <c r="U1085" s="131"/>
      <c r="V1085" s="131"/>
      <c r="W1085" s="131"/>
    </row>
    <row r="1086" ht="12.75" customHeight="1">
      <c r="A1086" s="128"/>
      <c r="B1086" s="128"/>
      <c r="C1086" s="128"/>
      <c r="D1086" s="123"/>
      <c r="E1086" s="128"/>
      <c r="F1086" s="129"/>
      <c r="G1086" s="130"/>
      <c r="H1086" s="130"/>
      <c r="I1086" s="130"/>
      <c r="J1086" s="130"/>
      <c r="K1086" s="130"/>
      <c r="L1086" s="130"/>
      <c r="M1086" s="130"/>
      <c r="N1086" s="130"/>
      <c r="O1086" s="130"/>
      <c r="P1086" s="130"/>
      <c r="Q1086" s="130"/>
      <c r="R1086" s="130"/>
      <c r="S1086" s="130"/>
      <c r="T1086" s="130"/>
      <c r="U1086" s="131"/>
      <c r="V1086" s="131"/>
      <c r="W1086" s="131"/>
    </row>
    <row r="1087" ht="12.75" customHeight="1">
      <c r="A1087" s="128"/>
      <c r="B1087" s="128"/>
      <c r="C1087" s="128"/>
      <c r="D1087" s="123"/>
      <c r="E1087" s="128"/>
      <c r="F1087" s="129"/>
      <c r="G1087" s="130"/>
      <c r="H1087" s="130"/>
      <c r="I1087" s="130"/>
      <c r="J1087" s="130"/>
      <c r="K1087" s="130"/>
      <c r="L1087" s="130"/>
      <c r="M1087" s="130"/>
      <c r="N1087" s="130"/>
      <c r="O1087" s="130"/>
      <c r="P1087" s="130"/>
      <c r="Q1087" s="130"/>
      <c r="R1087" s="130"/>
      <c r="S1087" s="130"/>
      <c r="T1087" s="130"/>
      <c r="U1087" s="131"/>
      <c r="V1087" s="131"/>
      <c r="W1087" s="131"/>
    </row>
    <row r="1088" ht="12.75" customHeight="1">
      <c r="A1088" s="128"/>
      <c r="B1088" s="128"/>
      <c r="C1088" s="128"/>
      <c r="D1088" s="123"/>
      <c r="E1088" s="128"/>
      <c r="F1088" s="129"/>
      <c r="G1088" s="130"/>
      <c r="H1088" s="130"/>
      <c r="I1088" s="130"/>
      <c r="J1088" s="130"/>
      <c r="K1088" s="130"/>
      <c r="L1088" s="130"/>
      <c r="M1088" s="130"/>
      <c r="N1088" s="130"/>
      <c r="O1088" s="130"/>
      <c r="P1088" s="130"/>
      <c r="Q1088" s="130"/>
      <c r="R1088" s="130"/>
      <c r="S1088" s="130"/>
      <c r="T1088" s="130"/>
      <c r="U1088" s="131"/>
      <c r="V1088" s="131"/>
      <c r="W1088" s="131"/>
    </row>
    <row r="1089" ht="12.75" customHeight="1">
      <c r="A1089" s="128"/>
      <c r="B1089" s="128"/>
      <c r="C1089" s="128"/>
      <c r="D1089" s="123"/>
      <c r="E1089" s="128"/>
      <c r="F1089" s="129"/>
      <c r="G1089" s="130"/>
      <c r="H1089" s="130"/>
      <c r="I1089" s="130"/>
      <c r="J1089" s="130"/>
      <c r="K1089" s="130"/>
      <c r="L1089" s="130"/>
      <c r="M1089" s="130"/>
      <c r="N1089" s="130"/>
      <c r="O1089" s="130"/>
      <c r="P1089" s="130"/>
      <c r="Q1089" s="130"/>
      <c r="R1089" s="130"/>
      <c r="S1089" s="130"/>
      <c r="T1089" s="130"/>
      <c r="U1089" s="131"/>
      <c r="V1089" s="131"/>
      <c r="W1089" s="131"/>
    </row>
    <row r="1090" ht="12.75" customHeight="1">
      <c r="A1090" s="128"/>
      <c r="B1090" s="128"/>
      <c r="C1090" s="128"/>
      <c r="D1090" s="123"/>
      <c r="E1090" s="128"/>
      <c r="F1090" s="129"/>
      <c r="G1090" s="130"/>
      <c r="H1090" s="130"/>
      <c r="I1090" s="130"/>
      <c r="J1090" s="130"/>
      <c r="K1090" s="130"/>
      <c r="L1090" s="130"/>
      <c r="M1090" s="130"/>
      <c r="N1090" s="130"/>
      <c r="O1090" s="130"/>
      <c r="P1090" s="130"/>
      <c r="Q1090" s="130"/>
      <c r="R1090" s="130"/>
      <c r="S1090" s="130"/>
      <c r="T1090" s="130"/>
      <c r="U1090" s="131"/>
      <c r="V1090" s="131"/>
      <c r="W1090" s="131"/>
    </row>
    <row r="1091" ht="12.75" customHeight="1">
      <c r="A1091" s="128"/>
      <c r="B1091" s="128"/>
      <c r="C1091" s="128"/>
      <c r="D1091" s="123"/>
      <c r="E1091" s="128"/>
      <c r="F1091" s="129"/>
      <c r="G1091" s="130"/>
      <c r="H1091" s="130"/>
      <c r="I1091" s="130"/>
      <c r="J1091" s="130"/>
      <c r="K1091" s="130"/>
      <c r="L1091" s="130"/>
      <c r="M1091" s="130"/>
      <c r="N1091" s="130"/>
      <c r="O1091" s="130"/>
      <c r="P1091" s="130"/>
      <c r="Q1091" s="130"/>
      <c r="R1091" s="130"/>
      <c r="S1091" s="130"/>
      <c r="T1091" s="130"/>
      <c r="U1091" s="131"/>
      <c r="V1091" s="131"/>
      <c r="W1091" s="131"/>
    </row>
    <row r="1092" ht="12.75" customHeight="1">
      <c r="A1092" s="128"/>
      <c r="B1092" s="128"/>
      <c r="C1092" s="128"/>
      <c r="D1092" s="123"/>
      <c r="E1092" s="128"/>
      <c r="F1092" s="129"/>
      <c r="G1092" s="130"/>
      <c r="H1092" s="130"/>
      <c r="I1092" s="130"/>
      <c r="J1092" s="130"/>
      <c r="K1092" s="130"/>
      <c r="L1092" s="130"/>
      <c r="M1092" s="130"/>
      <c r="N1092" s="130"/>
      <c r="O1092" s="130"/>
      <c r="P1092" s="130"/>
      <c r="Q1092" s="130"/>
      <c r="R1092" s="130"/>
      <c r="S1092" s="130"/>
      <c r="T1092" s="130"/>
      <c r="U1092" s="131"/>
      <c r="V1092" s="131"/>
      <c r="W1092" s="131"/>
    </row>
    <row r="1093" ht="12.75" customHeight="1">
      <c r="A1093" s="128"/>
      <c r="B1093" s="128"/>
      <c r="C1093" s="128"/>
      <c r="D1093" s="123"/>
      <c r="E1093" s="128"/>
      <c r="F1093" s="129"/>
      <c r="G1093" s="130"/>
      <c r="H1093" s="130"/>
      <c r="I1093" s="130"/>
      <c r="J1093" s="130"/>
      <c r="K1093" s="130"/>
      <c r="L1093" s="130"/>
      <c r="M1093" s="130"/>
      <c r="N1093" s="130"/>
      <c r="O1093" s="130"/>
      <c r="P1093" s="130"/>
      <c r="Q1093" s="130"/>
      <c r="R1093" s="130"/>
      <c r="S1093" s="130"/>
      <c r="T1093" s="130"/>
      <c r="U1093" s="131"/>
      <c r="V1093" s="131"/>
      <c r="W1093" s="131"/>
    </row>
    <row r="1094" ht="12.75" customHeight="1">
      <c r="A1094" s="128"/>
      <c r="B1094" s="128"/>
      <c r="C1094" s="128"/>
      <c r="D1094" s="123"/>
      <c r="E1094" s="128"/>
      <c r="F1094" s="129"/>
      <c r="G1094" s="130"/>
      <c r="H1094" s="130"/>
      <c r="I1094" s="130"/>
      <c r="J1094" s="130"/>
      <c r="K1094" s="130"/>
      <c r="L1094" s="130"/>
      <c r="M1094" s="130"/>
      <c r="N1094" s="130"/>
      <c r="O1094" s="130"/>
      <c r="P1094" s="130"/>
      <c r="Q1094" s="130"/>
      <c r="R1094" s="130"/>
      <c r="S1094" s="130"/>
      <c r="T1094" s="130"/>
      <c r="U1094" s="131"/>
      <c r="V1094" s="131"/>
      <c r="W1094" s="131"/>
    </row>
    <row r="1095" ht="12.75" customHeight="1">
      <c r="A1095" s="128"/>
      <c r="B1095" s="128"/>
      <c r="C1095" s="128"/>
      <c r="D1095" s="123"/>
      <c r="E1095" s="128"/>
      <c r="F1095" s="129"/>
      <c r="G1095" s="130"/>
      <c r="H1095" s="130"/>
      <c r="I1095" s="130"/>
      <c r="J1095" s="130"/>
      <c r="K1095" s="130"/>
      <c r="L1095" s="130"/>
      <c r="M1095" s="130"/>
      <c r="N1095" s="130"/>
      <c r="O1095" s="130"/>
      <c r="P1095" s="130"/>
      <c r="Q1095" s="130"/>
      <c r="R1095" s="130"/>
      <c r="S1095" s="130"/>
      <c r="T1095" s="130"/>
      <c r="U1095" s="131"/>
      <c r="V1095" s="131"/>
      <c r="W1095" s="131"/>
    </row>
    <row r="1096" ht="12.75" customHeight="1">
      <c r="A1096" s="128"/>
      <c r="B1096" s="128"/>
      <c r="C1096" s="128"/>
      <c r="D1096" s="123"/>
      <c r="E1096" s="128"/>
      <c r="F1096" s="129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1"/>
      <c r="V1096" s="131"/>
      <c r="W1096" s="131"/>
    </row>
    <row r="1097" ht="12.75" customHeight="1">
      <c r="A1097" s="128"/>
      <c r="B1097" s="128"/>
      <c r="C1097" s="128"/>
      <c r="D1097" s="123"/>
      <c r="E1097" s="128"/>
      <c r="F1097" s="129"/>
      <c r="G1097" s="130"/>
      <c r="H1097" s="130"/>
      <c r="I1097" s="130"/>
      <c r="J1097" s="130"/>
      <c r="K1097" s="130"/>
      <c r="L1097" s="130"/>
      <c r="M1097" s="130"/>
      <c r="N1097" s="130"/>
      <c r="O1097" s="130"/>
      <c r="P1097" s="130"/>
      <c r="Q1097" s="130"/>
      <c r="R1097" s="130"/>
      <c r="S1097" s="130"/>
      <c r="T1097" s="130"/>
      <c r="U1097" s="131"/>
      <c r="V1097" s="131"/>
      <c r="W1097" s="131"/>
    </row>
    <row r="1098" ht="12.75" customHeight="1">
      <c r="A1098" s="128"/>
      <c r="B1098" s="128"/>
      <c r="C1098" s="128"/>
      <c r="D1098" s="123"/>
      <c r="E1098" s="128"/>
      <c r="F1098" s="129"/>
      <c r="G1098" s="130"/>
      <c r="H1098" s="130"/>
      <c r="I1098" s="130"/>
      <c r="J1098" s="130"/>
      <c r="K1098" s="130"/>
      <c r="L1098" s="130"/>
      <c r="M1098" s="130"/>
      <c r="N1098" s="130"/>
      <c r="O1098" s="130"/>
      <c r="P1098" s="130"/>
      <c r="Q1098" s="130"/>
      <c r="R1098" s="130"/>
      <c r="S1098" s="130"/>
      <c r="T1098" s="130"/>
      <c r="U1098" s="131"/>
      <c r="V1098" s="131"/>
      <c r="W1098" s="131"/>
    </row>
    <row r="1099" ht="12.75" customHeight="1">
      <c r="A1099" s="128"/>
      <c r="B1099" s="128"/>
      <c r="C1099" s="128"/>
      <c r="D1099" s="123"/>
      <c r="E1099" s="128"/>
      <c r="F1099" s="129"/>
      <c r="G1099" s="130"/>
      <c r="H1099" s="130"/>
      <c r="I1099" s="130"/>
      <c r="J1099" s="130"/>
      <c r="K1099" s="130"/>
      <c r="L1099" s="130"/>
      <c r="M1099" s="130"/>
      <c r="N1099" s="130"/>
      <c r="O1099" s="130"/>
      <c r="P1099" s="130"/>
      <c r="Q1099" s="130"/>
      <c r="R1099" s="130"/>
      <c r="S1099" s="130"/>
      <c r="T1099" s="130"/>
      <c r="U1099" s="131"/>
      <c r="V1099" s="131"/>
      <c r="W1099" s="131"/>
    </row>
    <row r="1100" ht="12.75" customHeight="1">
      <c r="A1100" s="128"/>
      <c r="B1100" s="128"/>
      <c r="C1100" s="128"/>
      <c r="D1100" s="123"/>
      <c r="E1100" s="128"/>
      <c r="F1100" s="129"/>
      <c r="G1100" s="130"/>
      <c r="H1100" s="130"/>
      <c r="I1100" s="130"/>
      <c r="J1100" s="130"/>
      <c r="K1100" s="130"/>
      <c r="L1100" s="130"/>
      <c r="M1100" s="130"/>
      <c r="N1100" s="130"/>
      <c r="O1100" s="130"/>
      <c r="P1100" s="130"/>
      <c r="Q1100" s="130"/>
      <c r="R1100" s="130"/>
      <c r="S1100" s="130"/>
      <c r="T1100" s="130"/>
      <c r="U1100" s="131"/>
      <c r="V1100" s="131"/>
      <c r="W1100" s="131"/>
    </row>
    <row r="1101" ht="12.75" customHeight="1">
      <c r="A1101" s="128"/>
      <c r="B1101" s="128"/>
      <c r="C1101" s="128"/>
      <c r="D1101" s="123"/>
      <c r="E1101" s="128"/>
      <c r="F1101" s="129"/>
      <c r="G1101" s="130"/>
      <c r="H1101" s="130"/>
      <c r="I1101" s="130"/>
      <c r="J1101" s="130"/>
      <c r="K1101" s="130"/>
      <c r="L1101" s="130"/>
      <c r="M1101" s="130"/>
      <c r="N1101" s="130"/>
      <c r="O1101" s="130"/>
      <c r="P1101" s="130"/>
      <c r="Q1101" s="130"/>
      <c r="R1101" s="130"/>
      <c r="S1101" s="130"/>
      <c r="T1101" s="130"/>
      <c r="U1101" s="131"/>
      <c r="V1101" s="131"/>
      <c r="W1101" s="131"/>
    </row>
    <row r="1102" ht="12.75" customHeight="1">
      <c r="A1102" s="128"/>
      <c r="B1102" s="128"/>
      <c r="C1102" s="128"/>
      <c r="D1102" s="123"/>
      <c r="E1102" s="128"/>
      <c r="F1102" s="129"/>
      <c r="G1102" s="130"/>
      <c r="H1102" s="130"/>
      <c r="I1102" s="130"/>
      <c r="J1102" s="130"/>
      <c r="K1102" s="130"/>
      <c r="L1102" s="130"/>
      <c r="M1102" s="130"/>
      <c r="N1102" s="130"/>
      <c r="O1102" s="130"/>
      <c r="P1102" s="130"/>
      <c r="Q1102" s="130"/>
      <c r="R1102" s="130"/>
      <c r="S1102" s="130"/>
      <c r="T1102" s="130"/>
      <c r="U1102" s="131"/>
      <c r="V1102" s="131"/>
      <c r="W1102" s="131"/>
    </row>
    <row r="1103" ht="12.75" customHeight="1">
      <c r="A1103" s="128"/>
      <c r="B1103" s="128"/>
      <c r="C1103" s="128"/>
      <c r="D1103" s="123"/>
      <c r="E1103" s="128"/>
      <c r="F1103" s="129"/>
      <c r="G1103" s="130"/>
      <c r="H1103" s="130"/>
      <c r="I1103" s="130"/>
      <c r="J1103" s="130"/>
      <c r="K1103" s="130"/>
      <c r="L1103" s="130"/>
      <c r="M1103" s="130"/>
      <c r="N1103" s="130"/>
      <c r="O1103" s="130"/>
      <c r="P1103" s="130"/>
      <c r="Q1103" s="130"/>
      <c r="R1103" s="130"/>
      <c r="S1103" s="130"/>
      <c r="T1103" s="130"/>
      <c r="U1103" s="131"/>
      <c r="V1103" s="131"/>
      <c r="W1103" s="131"/>
    </row>
    <row r="1104" ht="12.75" customHeight="1">
      <c r="A1104" s="128"/>
      <c r="B1104" s="128"/>
      <c r="C1104" s="128"/>
      <c r="D1104" s="123"/>
      <c r="E1104" s="128"/>
      <c r="F1104" s="129"/>
      <c r="G1104" s="130"/>
      <c r="H1104" s="130"/>
      <c r="I1104" s="130"/>
      <c r="J1104" s="130"/>
      <c r="K1104" s="130"/>
      <c r="L1104" s="130"/>
      <c r="M1104" s="130"/>
      <c r="N1104" s="130"/>
      <c r="O1104" s="130"/>
      <c r="P1104" s="130"/>
      <c r="Q1104" s="130"/>
      <c r="R1104" s="130"/>
      <c r="S1104" s="130"/>
      <c r="T1104" s="130"/>
      <c r="U1104" s="131"/>
      <c r="V1104" s="131"/>
      <c r="W1104" s="131"/>
    </row>
    <row r="1105" ht="12.75" customHeight="1">
      <c r="A1105" s="128"/>
      <c r="B1105" s="128"/>
      <c r="C1105" s="128"/>
      <c r="D1105" s="123"/>
      <c r="E1105" s="128"/>
      <c r="F1105" s="129"/>
      <c r="G1105" s="130"/>
      <c r="H1105" s="130"/>
      <c r="I1105" s="130"/>
      <c r="J1105" s="130"/>
      <c r="K1105" s="130"/>
      <c r="L1105" s="130"/>
      <c r="M1105" s="130"/>
      <c r="N1105" s="130"/>
      <c r="O1105" s="130"/>
      <c r="P1105" s="130"/>
      <c r="Q1105" s="130"/>
      <c r="R1105" s="130"/>
      <c r="S1105" s="130"/>
      <c r="T1105" s="130"/>
      <c r="U1105" s="131"/>
      <c r="V1105" s="131"/>
      <c r="W1105" s="131"/>
    </row>
    <row r="1106" ht="12.75" customHeight="1">
      <c r="A1106" s="128"/>
      <c r="B1106" s="128"/>
      <c r="C1106" s="128"/>
      <c r="D1106" s="123"/>
      <c r="E1106" s="128"/>
      <c r="F1106" s="129"/>
      <c r="G1106" s="130"/>
      <c r="H1106" s="130"/>
      <c r="I1106" s="130"/>
      <c r="J1106" s="130"/>
      <c r="K1106" s="130"/>
      <c r="L1106" s="130"/>
      <c r="M1106" s="130"/>
      <c r="N1106" s="130"/>
      <c r="O1106" s="130"/>
      <c r="P1106" s="130"/>
      <c r="Q1106" s="130"/>
      <c r="R1106" s="130"/>
      <c r="S1106" s="130"/>
      <c r="T1106" s="130"/>
      <c r="U1106" s="131"/>
      <c r="V1106" s="131"/>
      <c r="W1106" s="131"/>
    </row>
    <row r="1107" ht="12.75" customHeight="1">
      <c r="A1107" s="128"/>
      <c r="B1107" s="128"/>
      <c r="C1107" s="128"/>
      <c r="D1107" s="123"/>
      <c r="E1107" s="128"/>
      <c r="F1107" s="129"/>
      <c r="G1107" s="130"/>
      <c r="H1107" s="130"/>
      <c r="I1107" s="130"/>
      <c r="J1107" s="130"/>
      <c r="K1107" s="130"/>
      <c r="L1107" s="130"/>
      <c r="M1107" s="130"/>
      <c r="N1107" s="130"/>
      <c r="O1107" s="130"/>
      <c r="P1107" s="130"/>
      <c r="Q1107" s="130"/>
      <c r="R1107" s="130"/>
      <c r="S1107" s="130"/>
      <c r="T1107" s="130"/>
      <c r="U1107" s="131"/>
      <c r="V1107" s="131"/>
      <c r="W1107" s="131"/>
    </row>
    <row r="1108" ht="12.75" customHeight="1">
      <c r="A1108" s="128"/>
      <c r="B1108" s="128"/>
      <c r="C1108" s="128"/>
      <c r="D1108" s="123"/>
      <c r="E1108" s="128"/>
      <c r="F1108" s="129"/>
      <c r="G1108" s="130"/>
      <c r="H1108" s="130"/>
      <c r="I1108" s="130"/>
      <c r="J1108" s="130"/>
      <c r="K1108" s="130"/>
      <c r="L1108" s="130"/>
      <c r="M1108" s="130"/>
      <c r="N1108" s="130"/>
      <c r="O1108" s="130"/>
      <c r="P1108" s="130"/>
      <c r="Q1108" s="130"/>
      <c r="R1108" s="130"/>
      <c r="S1108" s="130"/>
      <c r="T1108" s="130"/>
      <c r="U1108" s="131"/>
      <c r="V1108" s="131"/>
      <c r="W1108" s="131"/>
    </row>
    <row r="1109" ht="12.75" customHeight="1">
      <c r="A1109" s="128"/>
      <c r="B1109" s="128"/>
      <c r="C1109" s="128"/>
      <c r="D1109" s="123"/>
      <c r="E1109" s="128"/>
      <c r="F1109" s="129"/>
      <c r="G1109" s="130"/>
      <c r="H1109" s="130"/>
      <c r="I1109" s="130"/>
      <c r="J1109" s="130"/>
      <c r="K1109" s="130"/>
      <c r="L1109" s="130"/>
      <c r="M1109" s="130"/>
      <c r="N1109" s="130"/>
      <c r="O1109" s="130"/>
      <c r="P1109" s="130"/>
      <c r="Q1109" s="130"/>
      <c r="R1109" s="130"/>
      <c r="S1109" s="130"/>
      <c r="T1109" s="130"/>
      <c r="U1109" s="131"/>
      <c r="V1109" s="131"/>
      <c r="W1109" s="131"/>
    </row>
    <row r="1110" ht="12.75" customHeight="1">
      <c r="A1110" s="128"/>
      <c r="B1110" s="128"/>
      <c r="C1110" s="128"/>
      <c r="D1110" s="123"/>
      <c r="E1110" s="128"/>
      <c r="F1110" s="129"/>
      <c r="G1110" s="130"/>
      <c r="H1110" s="130"/>
      <c r="I1110" s="130"/>
      <c r="J1110" s="130"/>
      <c r="K1110" s="130"/>
      <c r="L1110" s="130"/>
      <c r="M1110" s="130"/>
      <c r="N1110" s="130"/>
      <c r="O1110" s="130"/>
      <c r="P1110" s="130"/>
      <c r="Q1110" s="130"/>
      <c r="R1110" s="130"/>
      <c r="S1110" s="130"/>
      <c r="T1110" s="130"/>
      <c r="U1110" s="131"/>
      <c r="V1110" s="131"/>
      <c r="W1110" s="131"/>
    </row>
    <row r="1111" ht="12.75" customHeight="1">
      <c r="A1111" s="128"/>
      <c r="B1111" s="128"/>
      <c r="C1111" s="128"/>
      <c r="D1111" s="123"/>
      <c r="E1111" s="128"/>
      <c r="F1111" s="129"/>
      <c r="G1111" s="130"/>
      <c r="H1111" s="130"/>
      <c r="I1111" s="130"/>
      <c r="J1111" s="130"/>
      <c r="K1111" s="130"/>
      <c r="L1111" s="130"/>
      <c r="M1111" s="130"/>
      <c r="N1111" s="130"/>
      <c r="O1111" s="130"/>
      <c r="P1111" s="130"/>
      <c r="Q1111" s="130"/>
      <c r="R1111" s="130"/>
      <c r="S1111" s="130"/>
      <c r="T1111" s="130"/>
      <c r="U1111" s="131"/>
      <c r="V1111" s="131"/>
      <c r="W1111" s="131"/>
    </row>
    <row r="1112" ht="12.75" customHeight="1">
      <c r="A1112" s="128"/>
      <c r="B1112" s="128"/>
      <c r="C1112" s="128"/>
      <c r="D1112" s="123"/>
      <c r="E1112" s="128"/>
      <c r="F1112" s="129"/>
      <c r="G1112" s="130"/>
      <c r="H1112" s="130"/>
      <c r="I1112" s="130"/>
      <c r="J1112" s="130"/>
      <c r="K1112" s="130"/>
      <c r="L1112" s="130"/>
      <c r="M1112" s="130"/>
      <c r="N1112" s="130"/>
      <c r="O1112" s="130"/>
      <c r="P1112" s="130"/>
      <c r="Q1112" s="130"/>
      <c r="R1112" s="130"/>
      <c r="S1112" s="130"/>
      <c r="T1112" s="130"/>
      <c r="U1112" s="131"/>
      <c r="V1112" s="131"/>
      <c r="W1112" s="131"/>
    </row>
    <row r="1113" ht="12.75" customHeight="1">
      <c r="A1113" s="128"/>
      <c r="B1113" s="128"/>
      <c r="C1113" s="128"/>
      <c r="D1113" s="123"/>
      <c r="E1113" s="128"/>
      <c r="F1113" s="129"/>
      <c r="G1113" s="130"/>
      <c r="H1113" s="130"/>
      <c r="I1113" s="130"/>
      <c r="J1113" s="130"/>
      <c r="K1113" s="130"/>
      <c r="L1113" s="130"/>
      <c r="M1113" s="130"/>
      <c r="N1113" s="130"/>
      <c r="O1113" s="130"/>
      <c r="P1113" s="130"/>
      <c r="Q1113" s="130"/>
      <c r="R1113" s="130"/>
      <c r="S1113" s="130"/>
      <c r="T1113" s="130"/>
      <c r="U1113" s="131"/>
      <c r="V1113" s="131"/>
      <c r="W1113" s="131"/>
    </row>
    <row r="1114" ht="12.75" customHeight="1">
      <c r="A1114" s="128"/>
      <c r="B1114" s="128"/>
      <c r="C1114" s="128"/>
      <c r="D1114" s="123"/>
      <c r="E1114" s="128"/>
      <c r="F1114" s="129"/>
      <c r="G1114" s="130"/>
      <c r="H1114" s="130"/>
      <c r="I1114" s="130"/>
      <c r="J1114" s="130"/>
      <c r="K1114" s="130"/>
      <c r="L1114" s="130"/>
      <c r="M1114" s="130"/>
      <c r="N1114" s="130"/>
      <c r="O1114" s="130"/>
      <c r="P1114" s="130"/>
      <c r="Q1114" s="130"/>
      <c r="R1114" s="130"/>
      <c r="S1114" s="130"/>
      <c r="T1114" s="130"/>
      <c r="U1114" s="131"/>
      <c r="V1114" s="131"/>
      <c r="W1114" s="131"/>
    </row>
    <row r="1115" ht="12.75" customHeight="1">
      <c r="A1115" s="128"/>
      <c r="B1115" s="128"/>
      <c r="C1115" s="128"/>
      <c r="D1115" s="123"/>
      <c r="E1115" s="128"/>
      <c r="F1115" s="129"/>
      <c r="G1115" s="130"/>
      <c r="H1115" s="130"/>
      <c r="I1115" s="130"/>
      <c r="J1115" s="130"/>
      <c r="K1115" s="130"/>
      <c r="L1115" s="130"/>
      <c r="M1115" s="130"/>
      <c r="N1115" s="130"/>
      <c r="O1115" s="130"/>
      <c r="P1115" s="130"/>
      <c r="Q1115" s="130"/>
      <c r="R1115" s="130"/>
      <c r="S1115" s="130"/>
      <c r="T1115" s="130"/>
      <c r="U1115" s="131"/>
      <c r="V1115" s="131"/>
      <c r="W1115" s="131"/>
    </row>
    <row r="1116" ht="12.75" customHeight="1">
      <c r="A1116" s="128"/>
      <c r="B1116" s="128"/>
      <c r="C1116" s="128"/>
      <c r="D1116" s="123"/>
      <c r="E1116" s="128"/>
      <c r="F1116" s="129"/>
      <c r="G1116" s="130"/>
      <c r="H1116" s="130"/>
      <c r="I1116" s="130"/>
      <c r="J1116" s="130"/>
      <c r="K1116" s="130"/>
      <c r="L1116" s="130"/>
      <c r="M1116" s="130"/>
      <c r="N1116" s="130"/>
      <c r="O1116" s="130"/>
      <c r="P1116" s="130"/>
      <c r="Q1116" s="130"/>
      <c r="R1116" s="130"/>
      <c r="S1116" s="130"/>
      <c r="T1116" s="130"/>
      <c r="U1116" s="131"/>
      <c r="V1116" s="131"/>
      <c r="W1116" s="131"/>
    </row>
    <row r="1117" ht="12.75" customHeight="1">
      <c r="A1117" s="128"/>
      <c r="B1117" s="128"/>
      <c r="C1117" s="128"/>
      <c r="D1117" s="123"/>
      <c r="E1117" s="128"/>
      <c r="F1117" s="129"/>
      <c r="G1117" s="130"/>
      <c r="H1117" s="130"/>
      <c r="I1117" s="130"/>
      <c r="J1117" s="130"/>
      <c r="K1117" s="130"/>
      <c r="L1117" s="130"/>
      <c r="M1117" s="130"/>
      <c r="N1117" s="130"/>
      <c r="O1117" s="130"/>
      <c r="P1117" s="130"/>
      <c r="Q1117" s="130"/>
      <c r="R1117" s="130"/>
      <c r="S1117" s="130"/>
      <c r="T1117" s="130"/>
      <c r="U1117" s="131"/>
      <c r="V1117" s="131"/>
      <c r="W1117" s="131"/>
    </row>
    <row r="1118" ht="12.75" customHeight="1">
      <c r="A1118" s="128"/>
      <c r="B1118" s="128"/>
      <c r="C1118" s="128"/>
      <c r="D1118" s="123"/>
      <c r="E1118" s="128"/>
      <c r="F1118" s="129"/>
      <c r="G1118" s="130"/>
      <c r="H1118" s="130"/>
      <c r="I1118" s="130"/>
      <c r="J1118" s="130"/>
      <c r="K1118" s="130"/>
      <c r="L1118" s="130"/>
      <c r="M1118" s="130"/>
      <c r="N1118" s="130"/>
      <c r="O1118" s="130"/>
      <c r="P1118" s="130"/>
      <c r="Q1118" s="130"/>
      <c r="R1118" s="130"/>
      <c r="S1118" s="130"/>
      <c r="T1118" s="130"/>
      <c r="U1118" s="131"/>
      <c r="V1118" s="131"/>
      <c r="W1118" s="131"/>
    </row>
    <row r="1119" ht="12.75" customHeight="1">
      <c r="A1119" s="128"/>
      <c r="B1119" s="128"/>
      <c r="C1119" s="128"/>
      <c r="D1119" s="123"/>
      <c r="E1119" s="128"/>
      <c r="F1119" s="129"/>
      <c r="G1119" s="130"/>
      <c r="H1119" s="130"/>
      <c r="I1119" s="130"/>
      <c r="J1119" s="130"/>
      <c r="K1119" s="130"/>
      <c r="L1119" s="130"/>
      <c r="M1119" s="130"/>
      <c r="N1119" s="130"/>
      <c r="O1119" s="130"/>
      <c r="P1119" s="130"/>
      <c r="Q1119" s="130"/>
      <c r="R1119" s="130"/>
      <c r="S1119" s="130"/>
      <c r="T1119" s="130"/>
      <c r="U1119" s="131"/>
      <c r="V1119" s="131"/>
      <c r="W1119" s="131"/>
    </row>
    <row r="1120" ht="12.75" customHeight="1">
      <c r="A1120" s="128"/>
      <c r="B1120" s="128"/>
      <c r="C1120" s="128"/>
      <c r="D1120" s="123"/>
      <c r="E1120" s="128"/>
      <c r="F1120" s="129"/>
      <c r="G1120" s="130"/>
      <c r="H1120" s="130"/>
      <c r="I1120" s="130"/>
      <c r="J1120" s="130"/>
      <c r="K1120" s="130"/>
      <c r="L1120" s="130"/>
      <c r="M1120" s="130"/>
      <c r="N1120" s="130"/>
      <c r="O1120" s="130"/>
      <c r="P1120" s="130"/>
      <c r="Q1120" s="130"/>
      <c r="R1120" s="130"/>
      <c r="S1120" s="130"/>
      <c r="T1120" s="130"/>
      <c r="U1120" s="131"/>
      <c r="V1120" s="131"/>
      <c r="W1120" s="131"/>
    </row>
    <row r="1121" ht="12.75" customHeight="1">
      <c r="A1121" s="128"/>
      <c r="B1121" s="128"/>
      <c r="C1121" s="128"/>
      <c r="D1121" s="123"/>
      <c r="E1121" s="128"/>
      <c r="F1121" s="129"/>
      <c r="G1121" s="130"/>
      <c r="H1121" s="130"/>
      <c r="I1121" s="130"/>
      <c r="J1121" s="130"/>
      <c r="K1121" s="130"/>
      <c r="L1121" s="130"/>
      <c r="M1121" s="130"/>
      <c r="N1121" s="130"/>
      <c r="O1121" s="130"/>
      <c r="P1121" s="130"/>
      <c r="Q1121" s="130"/>
      <c r="R1121" s="130"/>
      <c r="S1121" s="130"/>
      <c r="T1121" s="130"/>
      <c r="U1121" s="131"/>
      <c r="V1121" s="131"/>
      <c r="W1121" s="131"/>
    </row>
    <row r="1122" ht="12.75" customHeight="1">
      <c r="A1122" s="128"/>
      <c r="B1122" s="128"/>
      <c r="C1122" s="128"/>
      <c r="D1122" s="123"/>
      <c r="E1122" s="128"/>
      <c r="F1122" s="129"/>
      <c r="G1122" s="130"/>
      <c r="H1122" s="130"/>
      <c r="I1122" s="130"/>
      <c r="J1122" s="130"/>
      <c r="K1122" s="130"/>
      <c r="L1122" s="130"/>
      <c r="M1122" s="130"/>
      <c r="N1122" s="130"/>
      <c r="O1122" s="130"/>
      <c r="P1122" s="130"/>
      <c r="Q1122" s="130"/>
      <c r="R1122" s="130"/>
      <c r="S1122" s="130"/>
      <c r="T1122" s="130"/>
      <c r="U1122" s="131"/>
      <c r="V1122" s="131"/>
      <c r="W1122" s="131"/>
    </row>
    <row r="1123" ht="12.75" customHeight="1">
      <c r="A1123" s="128"/>
      <c r="B1123" s="128"/>
      <c r="C1123" s="128"/>
      <c r="D1123" s="123"/>
      <c r="E1123" s="128"/>
      <c r="F1123" s="129"/>
      <c r="G1123" s="130"/>
      <c r="H1123" s="130"/>
      <c r="I1123" s="130"/>
      <c r="J1123" s="130"/>
      <c r="K1123" s="130"/>
      <c r="L1123" s="130"/>
      <c r="M1123" s="130"/>
      <c r="N1123" s="130"/>
      <c r="O1123" s="130"/>
      <c r="P1123" s="130"/>
      <c r="Q1123" s="130"/>
      <c r="R1123" s="130"/>
      <c r="S1123" s="130"/>
      <c r="T1123" s="130"/>
      <c r="U1123" s="131"/>
      <c r="V1123" s="131"/>
      <c r="W1123" s="131"/>
    </row>
    <row r="1124" ht="12.75" customHeight="1">
      <c r="A1124" s="128"/>
      <c r="B1124" s="128"/>
      <c r="C1124" s="128"/>
      <c r="D1124" s="123"/>
      <c r="E1124" s="128"/>
      <c r="F1124" s="129"/>
      <c r="G1124" s="130"/>
      <c r="H1124" s="130"/>
      <c r="I1124" s="130"/>
      <c r="J1124" s="130"/>
      <c r="K1124" s="130"/>
      <c r="L1124" s="130"/>
      <c r="M1124" s="130"/>
      <c r="N1124" s="130"/>
      <c r="O1124" s="130"/>
      <c r="P1124" s="130"/>
      <c r="Q1124" s="130"/>
      <c r="R1124" s="130"/>
      <c r="S1124" s="130"/>
      <c r="T1124" s="130"/>
      <c r="U1124" s="131"/>
      <c r="V1124" s="131"/>
      <c r="W1124" s="131"/>
    </row>
    <row r="1125" ht="12.75" customHeight="1">
      <c r="A1125" s="128"/>
      <c r="B1125" s="128"/>
      <c r="C1125" s="128"/>
      <c r="D1125" s="123"/>
      <c r="E1125" s="128"/>
      <c r="F1125" s="129"/>
      <c r="G1125" s="130"/>
      <c r="H1125" s="130"/>
      <c r="I1125" s="130"/>
      <c r="J1125" s="130"/>
      <c r="K1125" s="130"/>
      <c r="L1125" s="130"/>
      <c r="M1125" s="130"/>
      <c r="N1125" s="130"/>
      <c r="O1125" s="130"/>
      <c r="P1125" s="130"/>
      <c r="Q1125" s="130"/>
      <c r="R1125" s="130"/>
      <c r="S1125" s="130"/>
      <c r="T1125" s="130"/>
      <c r="U1125" s="131"/>
      <c r="V1125" s="131"/>
      <c r="W1125" s="131"/>
    </row>
    <row r="1126" ht="12.75" customHeight="1">
      <c r="A1126" s="128"/>
      <c r="B1126" s="128"/>
      <c r="C1126" s="128"/>
      <c r="D1126" s="123"/>
      <c r="E1126" s="128"/>
      <c r="F1126" s="129"/>
      <c r="G1126" s="130"/>
      <c r="H1126" s="130"/>
      <c r="I1126" s="130"/>
      <c r="J1126" s="130"/>
      <c r="K1126" s="130"/>
      <c r="L1126" s="130"/>
      <c r="M1126" s="130"/>
      <c r="N1126" s="130"/>
      <c r="O1126" s="130"/>
      <c r="P1126" s="130"/>
      <c r="Q1126" s="130"/>
      <c r="R1126" s="130"/>
      <c r="S1126" s="130"/>
      <c r="T1126" s="130"/>
      <c r="U1126" s="131"/>
      <c r="V1126" s="131"/>
      <c r="W1126" s="131"/>
    </row>
    <row r="1127" ht="12.75" customHeight="1">
      <c r="A1127" s="128"/>
      <c r="B1127" s="128"/>
      <c r="C1127" s="128"/>
      <c r="D1127" s="123"/>
      <c r="E1127" s="128"/>
      <c r="F1127" s="129"/>
      <c r="G1127" s="130"/>
      <c r="H1127" s="130"/>
      <c r="I1127" s="130"/>
      <c r="J1127" s="130"/>
      <c r="K1127" s="130"/>
      <c r="L1127" s="130"/>
      <c r="M1127" s="130"/>
      <c r="N1127" s="130"/>
      <c r="O1127" s="130"/>
      <c r="P1127" s="130"/>
      <c r="Q1127" s="130"/>
      <c r="R1127" s="130"/>
      <c r="S1127" s="130"/>
      <c r="T1127" s="130"/>
      <c r="U1127" s="131"/>
      <c r="V1127" s="131"/>
      <c r="W1127" s="131"/>
    </row>
    <row r="1128" ht="12.75" customHeight="1">
      <c r="A1128" s="128"/>
      <c r="B1128" s="128"/>
      <c r="C1128" s="128"/>
      <c r="D1128" s="123"/>
      <c r="E1128" s="128"/>
      <c r="F1128" s="129"/>
      <c r="G1128" s="130"/>
      <c r="H1128" s="130"/>
      <c r="I1128" s="130"/>
      <c r="J1128" s="130"/>
      <c r="K1128" s="130"/>
      <c r="L1128" s="130"/>
      <c r="M1128" s="130"/>
      <c r="N1128" s="130"/>
      <c r="O1128" s="130"/>
      <c r="P1128" s="130"/>
      <c r="Q1128" s="130"/>
      <c r="R1128" s="130"/>
      <c r="S1128" s="130"/>
      <c r="T1128" s="130"/>
      <c r="U1128" s="131"/>
      <c r="V1128" s="131"/>
      <c r="W1128" s="131"/>
    </row>
    <row r="1129" ht="12.75" customHeight="1">
      <c r="A1129" s="128"/>
      <c r="B1129" s="128"/>
      <c r="C1129" s="128"/>
      <c r="D1129" s="123"/>
      <c r="E1129" s="128"/>
      <c r="F1129" s="129"/>
      <c r="G1129" s="130"/>
      <c r="H1129" s="130"/>
      <c r="I1129" s="130"/>
      <c r="J1129" s="130"/>
      <c r="K1129" s="130"/>
      <c r="L1129" s="130"/>
      <c r="M1129" s="130"/>
      <c r="N1129" s="130"/>
      <c r="O1129" s="130"/>
      <c r="P1129" s="130"/>
      <c r="Q1129" s="130"/>
      <c r="R1129" s="130"/>
      <c r="S1129" s="130"/>
      <c r="T1129" s="130"/>
      <c r="U1129" s="131"/>
      <c r="V1129" s="131"/>
      <c r="W1129" s="131"/>
    </row>
    <row r="1130" ht="12.75" customHeight="1">
      <c r="A1130" s="128"/>
      <c r="B1130" s="128"/>
      <c r="C1130" s="128"/>
      <c r="D1130" s="123"/>
      <c r="E1130" s="128"/>
      <c r="F1130" s="129"/>
      <c r="G1130" s="130"/>
      <c r="H1130" s="130"/>
      <c r="I1130" s="130"/>
      <c r="J1130" s="130"/>
      <c r="K1130" s="130"/>
      <c r="L1130" s="130"/>
      <c r="M1130" s="130"/>
      <c r="N1130" s="130"/>
      <c r="O1130" s="130"/>
      <c r="P1130" s="130"/>
      <c r="Q1130" s="130"/>
      <c r="R1130" s="130"/>
      <c r="S1130" s="130"/>
      <c r="T1130" s="130"/>
      <c r="U1130" s="131"/>
      <c r="V1130" s="131"/>
      <c r="W1130" s="131"/>
    </row>
    <row r="1131" ht="12.75" customHeight="1">
      <c r="A1131" s="128"/>
      <c r="B1131" s="128"/>
      <c r="C1131" s="128"/>
      <c r="D1131" s="123"/>
      <c r="E1131" s="128"/>
      <c r="F1131" s="129"/>
      <c r="G1131" s="130"/>
      <c r="H1131" s="130"/>
      <c r="I1131" s="130"/>
      <c r="J1131" s="130"/>
      <c r="K1131" s="130"/>
      <c r="L1131" s="130"/>
      <c r="M1131" s="130"/>
      <c r="N1131" s="130"/>
      <c r="O1131" s="130"/>
      <c r="P1131" s="130"/>
      <c r="Q1131" s="130"/>
      <c r="R1131" s="130"/>
      <c r="S1131" s="130"/>
      <c r="T1131" s="130"/>
      <c r="U1131" s="131"/>
      <c r="V1131" s="131"/>
      <c r="W1131" s="131"/>
    </row>
    <row r="1132" ht="12.75" customHeight="1">
      <c r="A1132" s="128"/>
      <c r="B1132" s="128"/>
      <c r="C1132" s="128"/>
      <c r="D1132" s="123"/>
      <c r="E1132" s="128"/>
      <c r="F1132" s="129"/>
      <c r="G1132" s="130"/>
      <c r="H1132" s="130"/>
      <c r="I1132" s="130"/>
      <c r="J1132" s="130"/>
      <c r="K1132" s="130"/>
      <c r="L1132" s="130"/>
      <c r="M1132" s="130"/>
      <c r="N1132" s="130"/>
      <c r="O1132" s="130"/>
      <c r="P1132" s="130"/>
      <c r="Q1132" s="130"/>
      <c r="R1132" s="130"/>
      <c r="S1132" s="130"/>
      <c r="T1132" s="130"/>
      <c r="U1132" s="131"/>
      <c r="V1132" s="131"/>
      <c r="W1132" s="131"/>
    </row>
    <row r="1133" ht="12.75" customHeight="1">
      <c r="A1133" s="128"/>
      <c r="B1133" s="128"/>
      <c r="C1133" s="128"/>
      <c r="D1133" s="123"/>
      <c r="E1133" s="128"/>
      <c r="F1133" s="129"/>
      <c r="G1133" s="130"/>
      <c r="H1133" s="130"/>
      <c r="I1133" s="130"/>
      <c r="J1133" s="130"/>
      <c r="K1133" s="130"/>
      <c r="L1133" s="130"/>
      <c r="M1133" s="130"/>
      <c r="N1133" s="130"/>
      <c r="O1133" s="130"/>
      <c r="P1133" s="130"/>
      <c r="Q1133" s="130"/>
      <c r="R1133" s="130"/>
      <c r="S1133" s="130"/>
      <c r="T1133" s="130"/>
      <c r="U1133" s="131"/>
      <c r="V1133" s="131"/>
      <c r="W1133" s="131"/>
    </row>
    <row r="1134" ht="12.75" customHeight="1">
      <c r="A1134" s="128"/>
      <c r="B1134" s="128"/>
      <c r="C1134" s="128"/>
      <c r="D1134" s="123"/>
      <c r="E1134" s="128"/>
      <c r="F1134" s="129"/>
      <c r="G1134" s="130"/>
      <c r="H1134" s="130"/>
      <c r="I1134" s="130"/>
      <c r="J1134" s="130"/>
      <c r="K1134" s="130"/>
      <c r="L1134" s="130"/>
      <c r="M1134" s="130"/>
      <c r="N1134" s="130"/>
      <c r="O1134" s="130"/>
      <c r="P1134" s="130"/>
      <c r="Q1134" s="130"/>
      <c r="R1134" s="130"/>
      <c r="S1134" s="130"/>
      <c r="T1134" s="130"/>
      <c r="U1134" s="131"/>
      <c r="V1134" s="131"/>
      <c r="W1134" s="131"/>
    </row>
    <row r="1135" ht="12.75" customHeight="1">
      <c r="A1135" s="128"/>
      <c r="B1135" s="128"/>
      <c r="C1135" s="128"/>
      <c r="D1135" s="123"/>
      <c r="E1135" s="128"/>
      <c r="F1135" s="129"/>
      <c r="G1135" s="130"/>
      <c r="H1135" s="130"/>
      <c r="I1135" s="130"/>
      <c r="J1135" s="130"/>
      <c r="K1135" s="130"/>
      <c r="L1135" s="130"/>
      <c r="M1135" s="130"/>
      <c r="N1135" s="130"/>
      <c r="O1135" s="130"/>
      <c r="P1135" s="130"/>
      <c r="Q1135" s="130"/>
      <c r="R1135" s="130"/>
      <c r="S1135" s="130"/>
      <c r="T1135" s="130"/>
      <c r="U1135" s="131"/>
      <c r="V1135" s="131"/>
      <c r="W1135" s="131"/>
    </row>
    <row r="1136" ht="12.75" customHeight="1">
      <c r="A1136" s="128"/>
      <c r="B1136" s="128"/>
      <c r="C1136" s="128"/>
      <c r="D1136" s="123"/>
      <c r="E1136" s="128"/>
      <c r="F1136" s="129"/>
      <c r="G1136" s="130"/>
      <c r="H1136" s="130"/>
      <c r="I1136" s="130"/>
      <c r="J1136" s="130"/>
      <c r="K1136" s="130"/>
      <c r="L1136" s="130"/>
      <c r="M1136" s="130"/>
      <c r="N1136" s="130"/>
      <c r="O1136" s="130"/>
      <c r="P1136" s="130"/>
      <c r="Q1136" s="130"/>
      <c r="R1136" s="130"/>
      <c r="S1136" s="130"/>
      <c r="T1136" s="130"/>
      <c r="U1136" s="131"/>
      <c r="V1136" s="131"/>
      <c r="W1136" s="131"/>
    </row>
    <row r="1137" ht="12.75" customHeight="1">
      <c r="A1137" s="128"/>
      <c r="B1137" s="128"/>
      <c r="C1137" s="128"/>
      <c r="D1137" s="123"/>
      <c r="E1137" s="128"/>
      <c r="F1137" s="129"/>
      <c r="G1137" s="130"/>
      <c r="H1137" s="130"/>
      <c r="I1137" s="130"/>
      <c r="J1137" s="130"/>
      <c r="K1137" s="130"/>
      <c r="L1137" s="130"/>
      <c r="M1137" s="130"/>
      <c r="N1137" s="130"/>
      <c r="O1137" s="130"/>
      <c r="P1137" s="130"/>
      <c r="Q1137" s="130"/>
      <c r="R1137" s="130"/>
      <c r="S1137" s="130"/>
      <c r="T1137" s="130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7.0" customHeight="1">
      <c r="A1" s="133" t="s">
        <v>91</v>
      </c>
      <c r="B1" s="133" t="s">
        <v>92</v>
      </c>
      <c r="C1" s="133" t="s">
        <v>33</v>
      </c>
      <c r="D1" s="133" t="s">
        <v>93</v>
      </c>
      <c r="E1" s="133" t="s">
        <v>0</v>
      </c>
      <c r="F1" s="133" t="s">
        <v>94</v>
      </c>
      <c r="G1" s="133" t="s">
        <v>95</v>
      </c>
      <c r="H1" s="133" t="s">
        <v>96</v>
      </c>
      <c r="I1" s="133" t="s">
        <v>97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</row>
    <row r="2">
      <c r="A2" s="135" t="s">
        <v>98</v>
      </c>
      <c r="B2" s="135" t="s">
        <v>99</v>
      </c>
      <c r="C2" s="135" t="s">
        <v>100</v>
      </c>
      <c r="D2" s="136">
        <v>46126.0</v>
      </c>
      <c r="E2" s="135">
        <v>1899.84</v>
      </c>
      <c r="F2" s="135" t="s">
        <v>101</v>
      </c>
      <c r="G2" s="135" t="s">
        <v>102</v>
      </c>
      <c r="H2" s="135" t="s">
        <v>103</v>
      </c>
      <c r="I2" s="135" t="s">
        <v>104</v>
      </c>
    </row>
  </sheetData>
  <drawing r:id="rId1"/>
</worksheet>
</file>