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<sst xmlns="http://schemas.openxmlformats.org/spreadsheetml/2006/main" count="3256" uniqueCount="101">
  <si>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</si>
  <si>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</si>
  <si>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</si>
  <si>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</si>
  <si>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</si>
  <si>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</si>
  <si>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</si>
  <si>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</si>
  <si>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</si>
  <si>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</si>
  <si>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</si>
  <si>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</si>
  <si>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</si>
  <si>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</si>
  <si>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</si>
  <si>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RUST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</si>
  <si>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</si>
  <si>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</si>
  <si>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</si>
  <si>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</si>
  <si>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</si>
  <si>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</si>
  <si>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</si>
  <si>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</si>
  <si>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</si>
  <si>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</si>
  <si>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Ashley Rust</t>
  </si>
  <si>
    <t>Troy Williams</t>
  </si>
  <si>
    <t>Karami Kovar</t>
  </si>
  <si>
    <t>Joy Vann-Austin</t>
  </si>
  <si>
    <t xml:space="preserve">Torian Fields </t>
  </si>
  <si>
    <t>Devin Gould</t>
  </si>
  <si>
    <t>Mikaela Hayes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</si>
  <si>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</si>
  <si>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</si>
  <si>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</si>
  <si>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</si>
  <si>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</si>
  <si>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</si>
  <si>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</si>
  <si>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</si>
  <si>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</si>
  <si>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</si>
  <si>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</si>
  <si>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</si>
  <si>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</si>
  <si>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</si>
  <si>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</si>
  <si>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</si>
  <si>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</si>
  <si>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Karly Kelly</t>
  </si>
  <si>
    <t>Andrea Mulder</t>
  </si>
  <si>
    <t>Bridgett McDaniels Russell</t>
  </si>
  <si>
    <t>Jasmine Marquez</t>
  </si>
  <si>
    <t>Ashley Varner-Warren</t>
  </si>
  <si>
    <t>Kristen Walton</t>
  </si>
  <si>
    <t>Sara Subo</t>
  </si>
  <si>
    <t>Thomas Kirk</t>
  </si>
  <si>
    <t>Isabela Maneiro</t>
  </si>
  <si>
    <t>Ryan Cummings</t>
  </si>
  <si>
    <t>Charlie Hudson</t>
  </si>
  <si>
    <t>Janice Elgedawy</t>
  </si>
  <si>
    <t>Garland Simrel</t>
  </si>
  <si>
    <t xml:space="preserve">Sherita Thompson </t>
  </si>
  <si>
    <t xml:space="preserve">Kay Finch </t>
  </si>
  <si>
    <t>Courtney Morse</t>
  </si>
  <si>
    <t>Shayla Williamson</t>
  </si>
  <si>
    <t>Jared Kelly</t>
  </si>
  <si>
    <t>Martin Austin</t>
  </si>
  <si>
    <t>Harley Negrete</t>
  </si>
  <si>
    <t>Mariah Ruff</t>
  </si>
  <si>
    <t>Dontae Reeves</t>
  </si>
  <si>
    <t>Lisa Berry</t>
  </si>
  <si>
    <t>Abdur-Rahmaan Yaseen</t>
  </si>
  <si>
    <t>Anthony Golino</t>
  </si>
  <si>
    <t>Cameron Platt</t>
  </si>
  <si>
    <t>Taylor Waldrip</t>
  </si>
  <si>
    <t>Jeton Ajvazi</t>
  </si>
  <si>
    <t>Jillian Graham</t>
  </si>
  <si>
    <t>Bryson Brewer</t>
  </si>
  <si>
    <t>Maria Farley</t>
  </si>
  <si>
    <t>Deanna Delgado</t>
  </si>
  <si>
    <t>Anya White</t>
  </si>
  <si>
    <t>Olivia Ruble</t>
  </si>
  <si>
    <t>Jaedeen Perez</t>
  </si>
  <si>
    <t>Kelsey Folcarelli</t>
  </si>
  <si>
    <t>Deandre Barber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</si>
  <si>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</si>
  <si>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</si>
  <si>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</si>
  <si>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</si>
  <si>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</si>
  <si>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</si>
  <si>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</si>
  <si>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BRIAN AND MICHELLE BOSTIC</t>
  </si>
  <si>
    <t>TORIAN FIELDS</t>
  </si>
  <si>
    <t>RUST</t>
  </si>
  <si>
    <t>N/A</t>
  </si>
  <si>
    <t>NO</t>
  </si>
  <si>
    <t>DECIDED AGAINST POLICIES.</t>
  </si>
  <si>
    <t>FL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</si>
</sst>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5">
    <font>
      <sz val="10.0"/>
      <color rgb="FF000000"/>
      <name val="Calibri"/>
      <scheme val="minor"/>
    </font>
    <font>
      <color theme="1"/>
      <name val="Calibri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color rgb="FFFFFFFF"/>
      <name val="Calibri"/>
    </font>
    <font>
      <b/>
      <sz val="11.0"/>
      <color rgb="FF000000"/>
      <name val="Calibri"/>
    </font>
    <font>
      <color rgb="FF000000"/>
      <name val="Calibri"/>
    </font>
    <font>
      <sz val="11.0"/>
      <color rgb="FF000000"/>
      <name val="Calibri"/>
    </font>
    <font>
      <b/>
      <color theme="1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2" numFmtId="0" xfId="0" applyAlignment="1" applyBorder="1" applyFill="1" applyFont="1">
      <alignment vertical="center"/>
    </xf>
    <xf borderId="5" fillId="3" fontId="2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3" numFmtId="0" xfId="0" applyAlignment="1" applyBorder="1" applyFill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3" numFmtId="0" xfId="0" applyAlignment="1" applyBorder="1" applyFont="1">
      <alignment horizontal="right" shrinkToFit="0" vertical="center" wrapText="1"/>
    </xf>
    <xf borderId="7" fillId="4" fontId="3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8" fillId="4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1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1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0" fillId="4" fontId="1" numFmtId="164" xfId="0" applyAlignment="1" applyBorder="1" applyFont="1" applyNumberFormat="1">
      <alignment vertical="center"/>
    </xf>
    <xf borderId="11" fillId="4" fontId="1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2" numFmtId="0" xfId="0" applyAlignment="1" applyBorder="1" applyFont="1">
      <alignment shrinkToFit="0" vertical="center" wrapText="1"/>
    </xf>
    <xf borderId="5" fillId="3" fontId="1" numFmtId="0" xfId="0" applyAlignment="1" applyBorder="1" applyFont="1">
      <alignment vertical="center"/>
    </xf>
    <xf borderId="5" fillId="3" fontId="2" numFmtId="0" xfId="0" applyAlignment="1" applyBorder="1" applyFont="1">
      <alignment horizontal="right" vertical="center"/>
    </xf>
    <xf borderId="5" fillId="3" fontId="2" numFmtId="0" xfId="0" applyAlignment="1" applyBorder="1" applyFont="1">
      <alignment horizontal="right" shrinkToFit="0" vertical="center" wrapText="1"/>
    </xf>
    <xf borderId="12" fillId="3" fontId="2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4" numFmtId="0" xfId="0" applyAlignment="1" applyBorder="1" applyFont="1">
      <alignment horizontal="right" vertical="center"/>
    </xf>
    <xf borderId="7" fillId="4" fontId="1" numFmtId="0" xfId="0" applyAlignment="1" applyBorder="1" applyFont="1">
      <alignment vertical="center"/>
    </xf>
    <xf borderId="7" fillId="4" fontId="4" numFmtId="1" xfId="0" applyAlignment="1" applyBorder="1" applyFont="1" applyNumberFormat="1">
      <alignment horizontal="right" vertical="center"/>
    </xf>
    <xf borderId="7" fillId="4" fontId="4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horizontal="right" shrinkToFit="0" vertical="center" wrapText="1"/>
    </xf>
    <xf borderId="7" fillId="5" fontId="1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9" fillId="0" fontId="1" numFmtId="0" xfId="0" applyAlignment="1" applyBorder="1" applyFont="1">
      <alignment vertical="center"/>
    </xf>
    <xf borderId="10" fillId="4" fontId="1" numFmtId="0" xfId="0" applyAlignment="1" applyBorder="1" applyFont="1">
      <alignment vertical="center"/>
    </xf>
    <xf borderId="5" fillId="3" fontId="2" numFmtId="1" xfId="0" applyAlignment="1" applyBorder="1" applyFont="1" applyNumberFormat="1">
      <alignment horizontal="right" vertical="center"/>
    </xf>
    <xf borderId="13" fillId="4" fontId="1" numFmtId="164" xfId="0" applyAlignment="1" applyBorder="1" applyFont="1" applyNumberFormat="1">
      <alignment vertical="center"/>
    </xf>
    <xf borderId="7" fillId="5" fontId="1" numFmtId="0" xfId="0" applyAlignment="1" applyBorder="1" applyFont="1">
      <alignment vertical="center"/>
    </xf>
    <xf borderId="6" fillId="0" fontId="4" numFmtId="0" xfId="0" applyAlignment="1" applyBorder="1" applyFont="1">
      <alignment readingOrder="0"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7" fillId="2" fontId="2" numFmtId="0" xfId="0" applyAlignment="1" applyBorder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vertical="center"/>
    </xf>
    <xf borderId="16" fillId="2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17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15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7" fillId="5" fontId="3" numFmtId="3" xfId="0" applyAlignment="1" applyBorder="1" applyFont="1" applyNumberFormat="1">
      <alignment horizontal="right" vertical="center"/>
    </xf>
    <xf borderId="15" fillId="6" fontId="3" numFmtId="9" xfId="0" applyAlignment="1" applyBorder="1" applyFill="1" applyFont="1" applyNumberFormat="1">
      <alignment horizontal="right" vertical="center"/>
    </xf>
    <xf borderId="0" fillId="6" fontId="1" numFmtId="9" xfId="0" applyAlignment="1" applyFont="1" applyNumberFormat="1">
      <alignment vertical="center"/>
    </xf>
    <xf borderId="17" fillId="0" fontId="6" numFmtId="0" xfId="0" applyAlignment="1" applyBorder="1" applyFont="1">
      <alignment shrinkToFit="0" vertical="bottom" wrapText="1"/>
    </xf>
    <xf borderId="15" fillId="0" fontId="6" numFmtId="0" xfId="0" applyAlignment="1" applyBorder="1" applyFont="1">
      <alignment shrinkToFit="0" vertical="bottom" wrapText="1"/>
    </xf>
    <xf borderId="15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5" fillId="0" fontId="6" numFmtId="0" xfId="0" applyAlignment="1" applyBorder="1" applyFont="1">
      <alignment readingOrder="0" shrinkToFit="0" vertical="bottom" wrapText="1"/>
    </xf>
    <xf borderId="17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vertical="bottom"/>
    </xf>
    <xf borderId="15" fillId="3" fontId="8" numFmtId="0" xfId="0" applyAlignment="1" applyBorder="1" applyFont="1">
      <alignment vertical="bottom"/>
    </xf>
    <xf borderId="17" fillId="4" fontId="5" numFmtId="0" xfId="0" applyAlignment="1" applyBorder="1" applyFont="1">
      <alignment shrinkToFit="0" vertical="bottom" wrapText="1"/>
    </xf>
    <xf borderId="15" fillId="4" fontId="5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7" fillId="4" fontId="6" numFmtId="0" xfId="0" applyAlignment="1" applyBorder="1" applyFont="1">
      <alignment shrinkToFit="0" vertical="bottom" wrapText="1"/>
    </xf>
    <xf borderId="15" fillId="4" fontId="6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5" fillId="4" fontId="6" numFmtId="0" xfId="0" applyAlignment="1" applyBorder="1" applyFont="1">
      <alignment readingOrder="0" shrinkToFit="0" vertical="bottom" wrapText="1"/>
    </xf>
    <xf borderId="17" fillId="0" fontId="9" numFmtId="0" xfId="0" applyAlignment="1" applyBorder="1" applyFont="1">
      <alignment shrinkToFit="0" vertical="bottom" wrapText="1"/>
    </xf>
    <xf borderId="15" fillId="0" fontId="5" numFmtId="0" xfId="0" applyAlignment="1" applyBorder="1" applyFont="1">
      <alignment shrinkToFit="0" vertical="bottom" wrapText="1"/>
    </xf>
    <xf borderId="15" fillId="0" fontId="9" numFmtId="0" xfId="0" applyAlignment="1" applyBorder="1" applyFont="1">
      <alignment shrinkToFit="0" vertical="bottom" wrapText="1"/>
    </xf>
    <xf borderId="15" fillId="0" fontId="10" numFmtId="0" xfId="0" applyAlignment="1" applyBorder="1" applyFont="1">
      <alignment vertical="bottom"/>
    </xf>
    <xf borderId="15" fillId="0" fontId="11" numFmtId="0" xfId="0" applyAlignment="1" applyBorder="1" applyFont="1">
      <alignment shrinkToFit="0" vertical="bottom" wrapText="1"/>
    </xf>
    <xf borderId="15" fillId="3" fontId="1" numFmtId="0" xfId="0" applyAlignment="1" applyBorder="1" applyFont="1">
      <alignment vertical="bottom"/>
    </xf>
    <xf borderId="15" fillId="3" fontId="1" numFmtId="0" xfId="0" applyAlignment="1" applyBorder="1" applyFont="1">
      <alignment vertical="bottom"/>
    </xf>
    <xf borderId="17" fillId="0" fontId="6" numFmtId="0" xfId="0" applyAlignment="1" applyBorder="1" applyFont="1">
      <alignment readingOrder="0" shrinkToFit="0" vertical="bottom" wrapText="1"/>
    </xf>
    <xf borderId="0" fillId="2" fontId="1" numFmtId="0" xfId="0" applyAlignment="1" applyFont="1">
      <alignment vertical="center"/>
    </xf>
    <xf borderId="7" fillId="4" fontId="5" numFmtId="0" xfId="0" applyAlignment="1" applyBorder="1" applyFont="1">
      <alignment shrinkToFit="0" vertical="center" wrapText="1"/>
    </xf>
    <xf borderId="15" fillId="4" fontId="5" numFmtId="0" xfId="0" applyAlignment="1" applyBorder="1" applyFont="1">
      <alignment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shrinkToFit="0" vertical="center" wrapText="1"/>
    </xf>
    <xf borderId="15" fillId="5" fontId="6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readingOrder="0" shrinkToFit="0" vertical="center" wrapText="1"/>
    </xf>
    <xf borderId="15" fillId="3" fontId="7" numFmtId="0" xfId="0" applyAlignment="1" applyBorder="1" applyFont="1">
      <alignment shrinkToFit="0" vertical="center" wrapText="1"/>
    </xf>
    <xf borderId="15" fillId="3" fontId="1" numFmtId="0" xfId="0" applyAlignment="1" applyBorder="1" applyFont="1">
      <alignment vertical="center"/>
    </xf>
    <xf borderId="15" fillId="3" fontId="7" numFmtId="0" xfId="0" applyAlignment="1" applyBorder="1" applyFont="1">
      <alignment vertical="center"/>
    </xf>
    <xf borderId="15" fillId="5" fontId="1" numFmtId="0" xfId="0" applyAlignment="1" applyBorder="1" applyFont="1">
      <alignment vertical="center"/>
    </xf>
    <xf borderId="15" fillId="5" fontId="6" numFmtId="0" xfId="0" applyAlignment="1" applyBorder="1" applyFont="1">
      <alignment readingOrder="0" shrinkToFit="0" vertical="center" wrapText="1"/>
    </xf>
    <xf borderId="15" fillId="4" fontId="5" numFmtId="0" xfId="0" applyAlignment="1" applyBorder="1" applyFont="1">
      <alignment shrinkToFit="0" vertical="center" wrapText="1"/>
    </xf>
    <xf borderId="15" fillId="4" fontId="6" numFmtId="0" xfId="0" applyAlignment="1" applyBorder="1" applyFont="1">
      <alignment shrinkToFit="0" vertical="center" wrapText="1"/>
    </xf>
    <xf borderId="15" fillId="4" fontId="1" numFmtId="0" xfId="0" applyAlignment="1" applyBorder="1" applyFont="1">
      <alignment vertical="center"/>
    </xf>
    <xf borderId="15" fillId="4" fontId="6" numFmtId="0" xfId="0" applyAlignment="1" applyBorder="1" applyFont="1">
      <alignment readingOrder="0" shrinkToFit="0" vertical="center" wrapText="1"/>
    </xf>
    <xf borderId="15" fillId="0" fontId="5" numFmtId="0" xfId="0" applyAlignment="1" applyBorder="1" applyFont="1">
      <alignment vertical="center"/>
    </xf>
    <xf borderId="15" fillId="4" fontId="5" numFmtId="0" xfId="0" applyAlignment="1" applyBorder="1" applyFont="1">
      <alignment readingOrder="0" shrinkToFit="0" vertical="center" wrapText="1"/>
    </xf>
    <xf borderId="15" fillId="4" fontId="12" numFmtId="0" xfId="0" applyAlignment="1" applyBorder="1" applyFont="1">
      <alignment readingOrder="0" vertical="center"/>
    </xf>
    <xf borderId="15" fillId="4" fontId="12" numFmtId="0" xfId="0" applyAlignment="1" applyBorder="1" applyFont="1">
      <alignment vertical="bottom"/>
    </xf>
    <xf borderId="15" fillId="4" fontId="1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7" fontId="1" numFmtId="0" xfId="0" applyAlignment="1" applyFill="1" applyFont="1">
      <alignment vertical="bottom"/>
    </xf>
    <xf borderId="0" fillId="7" fontId="1" numFmtId="0" xfId="0" applyAlignment="1" applyFont="1">
      <alignment vertical="center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7" fillId="5" fontId="3" numFmtId="3" xfId="0" applyAlignment="1" applyBorder="1" applyFont="1" applyNumberFormat="1">
      <alignment horizontal="right" readingOrder="0" vertical="center"/>
    </xf>
    <xf borderId="15" fillId="6" fontId="3" numFmtId="9" xfId="0" applyAlignment="1" applyBorder="1" applyFont="1" applyNumberFormat="1">
      <alignment horizontal="right" readingOrder="0" vertical="center"/>
    </xf>
    <xf borderId="0" fillId="7" fontId="6" numFmtId="0" xfId="0" applyAlignment="1" applyFont="1">
      <alignment readingOrder="0" shrinkToFit="0" vertical="bottom" wrapText="1"/>
    </xf>
    <xf borderId="0" fillId="7" fontId="6" numFmtId="0" xfId="0" applyAlignment="1" applyFont="1">
      <alignment readingOrder="0" shrinkToFit="0" vertical="center" wrapText="1"/>
    </xf>
    <xf borderId="0" fillId="5" fontId="3" numFmtId="3" xfId="0" applyAlignment="1" applyFont="1" applyNumberFormat="1">
      <alignment horizontal="right" vertical="center"/>
    </xf>
    <xf borderId="0" fillId="6" fontId="3" numFmtId="9" xfId="0" applyAlignment="1" applyFont="1" applyNumberFormat="1">
      <alignment horizontal="right" vertical="center"/>
    </xf>
    <xf borderId="0" fillId="2" fontId="13" numFmtId="0" xfId="0" applyAlignment="1" applyFont="1">
      <alignment horizontal="center" readingOrder="0" vertical="center"/>
    </xf>
    <xf borderId="0" fillId="2" fontId="14" numFmtId="0" xfId="0" applyAlignment="1" applyFont="1">
      <alignment vertical="center"/>
    </xf>
    <xf borderId="0" fillId="0" fontId="14" numFmtId="0" xfId="0" applyAlignment="1" applyFont="1">
      <alignment readingOrder="0" vertical="center"/>
    </xf>
    <xf borderId="0" fillId="0" fontId="14" numFmtId="165" xfId="0" applyAlignment="1" applyFont="1" applyNumberFormat="1">
      <alignment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5">
    <tableStyle count="2" pivot="0" name="Thurs-style">
      <tableStyleElement dxfId="1" type="firstRowStripe"/>
      <tableStyleElement dxfId="2" type="secondRowStripe"/>
    </tableStyle>
    <tableStyle count="2" pivot="0" name="Thurs-style 2">
      <tableStyleElement dxfId="1" type="firstRowStripe"/>
      <tableStyleElement dxfId="2" type="secondRowStripe"/>
    </tableStyle>
    <tableStyle count="2" pivot="0" name="Thurs-style 3">
      <tableStyleElement dxfId="2" type="firstRowStripe"/>
      <tableStyleElement dxfId="1" type="secondRowStripe"/>
    </tableStyle>
    <tableStyle count="2" pivot="0" name="Thurs-style 4">
      <tableStyleElement dxfId="1" type="firstRowStripe"/>
      <tableStyleElement dxfId="2" type="secondRowStripe"/>
    </tableStyle>
    <tableStyle count="2" pivot="0" name="Thurs-style 5">
      <tableStyleElement dxfId="1" type="firstRowStripe"/>
      <tableStyleElement dxfId="2" type="secondRowStripe"/>
    </tableStyle>
    <tableStyle count="2" pivot="0" name="Thurs-style 6">
      <tableStyleElement dxfId="1" type="firstRowStripe"/>
      <tableStyleElement dxfId="2" type="secondRowStripe"/>
    </tableStyle>
    <tableStyle count="2" pivot="0" name="Thurs-style 7">
      <tableStyleElement dxfId="1" type="firstRowStripe"/>
      <tableStyleElement dxfId="2" type="secondRowStripe"/>
    </tableStyle>
    <tableStyle count="2" pivot="0" name="Thurs-style 8">
      <tableStyleElement dxfId="1" type="firstRowStripe"/>
      <tableStyleElement dxfId="2" type="secondRowStripe"/>
    </tableStyle>
    <tableStyle count="2" pivot="0" name="Thurs-style 9">
      <tableStyleElement dxfId="1" type="firstRowStripe"/>
      <tableStyleElement dxfId="2" type="secondRowStripe"/>
    </tableStyle>
    <tableStyle count="2" pivot="0" name="Thurs-style 10">
      <tableStyleElement dxfId="1" type="firstRowStripe"/>
      <tableStyleElement dxfId="2" type="secondRowStripe"/>
    </tableStyle>
    <tableStyle count="2" pivot="0" name="Thurs-style 11">
      <tableStyleElement dxfId="1" type="firstRowStripe"/>
      <tableStyleElement dxfId="2" type="secondRowStripe"/>
    </tableStyle>
    <tableStyle count="2" pivot="0" name="Thurs-style 12">
      <tableStyleElement dxfId="1" type="firstRowStripe"/>
      <tableStyleElement dxfId="2" type="secondRowStripe"/>
    </tableStyle>
    <tableStyle count="2" pivot="0" name="Thurs-style 13">
      <tableStyleElement dxfId="1" type="firstRowStripe"/>
      <tableStyleElement dxfId="2" type="secondRowStripe"/>
    </tableStyle>
    <tableStyle count="2" pivot="0" name="Thurs-style 14">
      <tableStyleElement dxfId="1" type="firstRowStripe"/>
      <tableStyleElement dxfId="2" type="secondRowStripe"/>
    </tableStyle>
    <tableStyle count="2" pivot="0" name="Thurs-style 15">
      <tableStyleElement dxfId="1" type="firstRowStripe"/>
      <tableStyleElement dxfId="2" type="secondRowStripe"/>
    </tableStyle>
    <tableStyle count="2" pivot="0" name="Thurs-style 16">
      <tableStyleElement dxfId="1" type="firstRowStripe"/>
      <tableStyleElement dxfId="2" type="secondRowStripe"/>
    </tableStyle>
    <tableStyle count="2" pivot="0" name="Thurs-style 17">
      <tableStyleElement dxfId="1" type="firstRowStripe"/>
      <tableStyleElement dxfId="2" type="secondRowStripe"/>
    </tableStyle>
    <tableStyle count="2" pivot="0" name="Thurs-style 18">
      <tableStyleElement dxfId="1" type="firstRowStripe"/>
      <tableStyleElement dxfId="2" type="secondRowStripe"/>
    </tableStyle>
    <tableStyle count="2" pivot="0" name="Fri-style">
      <tableStyleElement dxfId="2" type="firstRowStripe"/>
      <tableStyleElement dxfId="1" type="secondRowStripe"/>
    </tableStyle>
    <tableStyle count="2" pivot="0" name="Fri-style 2">
      <tableStyleElement dxfId="1" type="firstRowStripe"/>
      <tableStyleElement dxfId="2" type="secondRowStripe"/>
    </tableStyle>
    <tableStyle count="2" pivot="0" name="Fri-style 3">
      <tableStyleElement dxfId="1" type="firstRowStripe"/>
      <tableStyleElement dxfId="2" type="secondRowStripe"/>
    </tableStyle>
    <tableStyle count="2" pivot="0" name="Fri-style 4">
      <tableStyleElement dxfId="1" type="firstRowStripe"/>
      <tableStyleElement dxfId="2" type="secondRowStripe"/>
    </tableStyle>
    <tableStyle count="2" pivot="0" name="Fri-style 5">
      <tableStyleElement dxfId="1" type="firstRowStripe"/>
      <tableStyleElement dxfId="2" type="secondRowStripe"/>
    </tableStyle>
    <tableStyle count="2" pivot="0" name="Fri-style 6">
      <tableStyleElement dxfId="1" type="firstRowStripe"/>
      <tableStyleElement dxfId="2" type="secondRowStripe"/>
    </tableStyle>
    <tableStyle count="2" pivot="0" name="Fri-style 7">
      <tableStyleElement dxfId="1" type="firstRowStripe"/>
      <tableStyleElement dxfId="2" type="secondRowStripe"/>
    </tableStyle>
    <tableStyle count="2" pivot="0" name="Fri-style 8">
      <tableStyleElement dxfId="1" type="firstRowStripe"/>
      <tableStyleElement dxfId="2" type="secondRowStripe"/>
    </tableStyle>
    <tableStyle count="2" pivot="0" name="Fri-style 9">
      <tableStyleElement dxfId="1" type="firstRowStripe"/>
      <tableStyleElement dxfId="2" type="secondRowStripe"/>
    </tableStyle>
    <tableStyle count="2" pivot="0" name="Sat-style">
      <tableStyleElement dxfId="1" type="firstRowStripe"/>
      <tableStyleElement dxfId="2" type="secondRowStripe"/>
    </tableStyle>
    <tableStyle count="2" pivot="0" name="Sat-style 2">
      <tableStyleElement dxfId="1" type="firstRowStripe"/>
      <tableStyleElement dxfId="2" type="secondRowStripe"/>
    </tableStyle>
    <tableStyle count="2" pivot="0" name="Sun-style">
      <tableStyleElement dxfId="1" type="firstRowStripe"/>
      <tableStyleElement dxfId="2" type="secondRowStripe"/>
    </tableStyle>
    <tableStyle count="2" pivot="0" name="Sun-style 2">
      <tableStyleElement dxfId="1" type="firstRowStripe"/>
      <tableStyleElement dxfId="2" type="secondRowStripe"/>
    </tableStyle>
    <tableStyle count="2" pivot="0" name="Sun-style 3">
      <tableStyleElement dxfId="1" type="firstRowStripe"/>
      <tableStyleElement dxfId="2" type="secondRowStripe"/>
    </tableStyle>
    <tableStyle count="2" pivot="0" name="Mon -style">
      <tableStyleElement dxfId="1" type="firstRowStripe"/>
      <tableStyleElement dxfId="2" type="secondRowStripe"/>
    </tableStyle>
    <tableStyle count="2" pivot="0" name="Mon -style 2">
      <tableStyleElement dxfId="1" type="firstRowStripe"/>
      <tableStyleElement dxfId="2" type="secondRowStripe"/>
    </tableStyle>
    <tableStyle count="2" pivot="0" name="Mon -style 3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49:T49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" showColumnStripes="0" showFirstColumn="1" showLastColumn="1" showRowStripes="1"/>
</table>
</file>

<file path=xl/tables/table2.xml><?xml version="1.0" encoding="utf-8"?>
<table xmlns="http://schemas.openxmlformats.org/spreadsheetml/2006/main" headerRowCount="0" ref="G50:T50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2" showColumnStripes="0" showFirstColumn="1" showLastColumn="1" showRowStripes="1"/>
</table>
</file>

<file path=xl/tables/table3.xml><?xml version="1.0" encoding="utf-8"?>
<table xmlns="http://schemas.openxmlformats.org/spreadsheetml/2006/main" headerRowCount="0" ref="G51:T55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3" showColumnStripes="0" showFirstColumn="1" showLastColumn="1" showRowStripes="1"/>
</table>
</file>

<file path=xl/tables/table4.xml><?xml version="1.0" encoding="utf-8"?>
<table xmlns="http://schemas.openxmlformats.org/spreadsheetml/2006/main" headerRowCount="0" ref="G56:T57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4" showColumnStripes="0" showFirstColumn="1" showLastColumn="1" showRowStripes="1"/>
</table>
</file>

<file path=xl/tables/table5.xml><?xml version="1.0" encoding="utf-8"?>
<table xmlns="http://schemas.openxmlformats.org/spreadsheetml/2006/main" headerRowCount="0" ref="G58:T58" displayName="Table_5" name="Table_5" id="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5" showColumnStripes="0" showFirstColumn="1" showLastColumn="1" showRowStripes="1"/>
</table>
</file>

<file path=xl/tables/table6.xml><?xml version="1.0" encoding="utf-8"?>
<table xmlns="http://schemas.openxmlformats.org/spreadsheetml/2006/main" headerRowCount="0" ref="G59:T59" displayName="Table_6" name="Table_6" id="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6" showColumnStripes="0" showFirstColumn="1" showLastColumn="1" showRowStripes="1"/>
</table>
</file>

<file path=xl/tables/table7.xml><?xml version="1.0" encoding="utf-8"?>
<table xmlns="http://schemas.openxmlformats.org/spreadsheetml/2006/main" headerRowCount="0" ref="G60:T60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7" showColumnStripes="0" showFirstColumn="1" showLastColumn="1" showRowStripes="1"/>
</table>
</file>

<file path=xl/tables/table8.xml><?xml version="1.0" encoding="utf-8"?>
<table xmlns="http://schemas.openxmlformats.org/spreadsheetml/2006/main" headerRowCount="0" ref="G61:T61" displayName="Table_8" name="Table_8" id="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8" showColumnStripes="0" showFirstColumn="1" showLastColumn="1" showRowStripes="1"/>
</table>
</file>

<file path=xl/tables/table9.xml><?xml version="1.0" encoding="utf-8"?>
<table xmlns="http://schemas.openxmlformats.org/spreadsheetml/2006/main" headerRowCount="0" ref="G62:T62" displayName="Table_9" name="Table_9" id="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G63:T63" displayName="Table_10" name="Table_10" id="1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G64:T64" displayName="Table_11" name="Table_11" id="1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G65:T66" displayName="Table_12" name="Table_12" id="1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G67:T67" displayName="Table_13" name="Table_13" id="1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G68:T68" displayName="Table_14" name="Table_14" id="1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G69:T69" displayName="Table_15" name="Table_15" id="1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G70:T72" displayName="Table_16" name="Table_16" id="1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G73:T73" displayName="Table_17" name="Table_17" id="1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G74:T76" displayName="Table_18" name="Table_18" id="1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G49:T49" displayName="Table_19" name="Table_19" id="1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" showColumnStripes="0" showFirstColumn="1" showLastColumn="1" showRowStripes="1"/>
</table>
</file>

<file path=xl/tables/table20.xml><?xml version="1.0" encoding="utf-8"?>
<table xmlns="http://schemas.openxmlformats.org/spreadsheetml/2006/main" headerRowCount="0" ref="G50:T53" displayName="Table_20" name="Table_20" id="2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2" showColumnStripes="0" showFirstColumn="1" showLastColumn="1" showRowStripes="1"/>
</table>
</file>

<file path=xl/tables/table21.xml><?xml version="1.0" encoding="utf-8"?>
<table xmlns="http://schemas.openxmlformats.org/spreadsheetml/2006/main" headerRowCount="0" ref="G54:T57" displayName="Table_21" name="Table_21" id="2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3" showColumnStripes="0" showFirstColumn="1" showLastColumn="1" showRowStripes="1"/>
</table>
</file>

<file path=xl/tables/table22.xml><?xml version="1.0" encoding="utf-8"?>
<table xmlns="http://schemas.openxmlformats.org/spreadsheetml/2006/main" headerRowCount="0" ref="G58:T62" displayName="Table_22" name="Table_22" id="2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4" showColumnStripes="0" showFirstColumn="1" showLastColumn="1" showRowStripes="1"/>
</table>
</file>

<file path=xl/tables/table23.xml><?xml version="1.0" encoding="utf-8"?>
<table xmlns="http://schemas.openxmlformats.org/spreadsheetml/2006/main" headerRowCount="0" ref="G63:T63" displayName="Table_23" name="Table_23" id="2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5" showColumnStripes="0" showFirstColumn="1" showLastColumn="1" showRowStripes="1"/>
</table>
</file>

<file path=xl/tables/table24.xml><?xml version="1.0" encoding="utf-8"?>
<table xmlns="http://schemas.openxmlformats.org/spreadsheetml/2006/main" headerRowCount="0" ref="G64:T65" displayName="Table_24" name="Table_24" id="2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6" showColumnStripes="0" showFirstColumn="1" showLastColumn="1" showRowStripes="1"/>
</table>
</file>

<file path=xl/tables/table25.xml><?xml version="1.0" encoding="utf-8"?>
<table xmlns="http://schemas.openxmlformats.org/spreadsheetml/2006/main" headerRowCount="0" ref="G66:T72" displayName="Table_25" name="Table_25" id="2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7" showColumnStripes="0" showFirstColumn="1" showLastColumn="1" showRowStripes="1"/>
</table>
</file>

<file path=xl/tables/table26.xml><?xml version="1.0" encoding="utf-8"?>
<table xmlns="http://schemas.openxmlformats.org/spreadsheetml/2006/main" headerRowCount="0" ref="G73:T74" displayName="Table_26" name="Table_26" id="2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8" showColumnStripes="0" showFirstColumn="1" showLastColumn="1" showRowStripes="1"/>
</table>
</file>

<file path=xl/tables/table27.xml><?xml version="1.0" encoding="utf-8"?>
<table xmlns="http://schemas.openxmlformats.org/spreadsheetml/2006/main" headerRowCount="0" ref="G75:T76" displayName="Table_27" name="Table_27" id="2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9" showColumnStripes="0" showFirstColumn="1" showLastColumn="1" showRowStripes="1"/>
</table>
</file>

<file path=xl/tables/table28.xml><?xml version="1.0" encoding="utf-8"?>
<table xmlns="http://schemas.openxmlformats.org/spreadsheetml/2006/main" headerRowCount="0" ref="G49:T49" displayName="Table_28" name="Table_28" id="2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" showColumnStripes="0" showFirstColumn="1" showLastColumn="1" showRowStripes="1"/>
</table>
</file>

<file path=xl/tables/table29.xml><?xml version="1.0" encoding="utf-8"?>
<table xmlns="http://schemas.openxmlformats.org/spreadsheetml/2006/main" headerRowCount="0" ref="G50:T76" displayName="Table_29" name="Table_29" id="2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 2" showColumnStripes="0" showFirstColumn="1" showLastColumn="1" showRowStripes="1"/>
</table>
</file>

<file path=xl/tables/table30.xml><?xml version="1.0" encoding="utf-8"?>
<table xmlns="http://schemas.openxmlformats.org/spreadsheetml/2006/main" headerRowCount="0" ref="G49:T49" displayName="Table_30" name="Table_30" id="3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" showColumnStripes="0" showFirstColumn="1" showLastColumn="1" showRowStripes="1"/>
</table>
</file>

<file path=xl/tables/table31.xml><?xml version="1.0" encoding="utf-8"?>
<table xmlns="http://schemas.openxmlformats.org/spreadsheetml/2006/main" headerRowCount="0" ref="G50:T73" displayName="Table_31" name="Table_31" id="3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2" showColumnStripes="0" showFirstColumn="1" showLastColumn="1" showRowStripes="1"/>
</table>
</file>

<file path=xl/tables/table32.xml><?xml version="1.0" encoding="utf-8"?>
<table xmlns="http://schemas.openxmlformats.org/spreadsheetml/2006/main" headerRowCount="0" ref="G74:T76" displayName="Table_32" name="Table_32" id="3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3" showColumnStripes="0" showFirstColumn="1" showLastColumn="1" showRowStripes="1"/>
</table>
</file>

<file path=xl/tables/table33.xml><?xml version="1.0" encoding="utf-8"?>
<table xmlns="http://schemas.openxmlformats.org/spreadsheetml/2006/main" headerRowCount="0" ref="G49:T49" displayName="Table_33" name="Table_33" id="3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" showColumnStripes="0" showFirstColumn="1" showLastColumn="1" showRowStripes="1"/>
</table>
</file>

<file path=xl/tables/table34.xml><?xml version="1.0" encoding="utf-8"?>
<table xmlns="http://schemas.openxmlformats.org/spreadsheetml/2006/main" headerRowCount="0" ref="G50:T74" displayName="Table_34" name="Table_34" id="3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2" showColumnStripes="0" showFirstColumn="1" showLastColumn="1" showRowStripes="1"/>
</table>
</file>

<file path=xl/tables/table35.xml><?xml version="1.0" encoding="utf-8"?>
<table xmlns="http://schemas.openxmlformats.org/spreadsheetml/2006/main" headerRowCount="0" ref="G75:T76" displayName="Table_35" name="Table_35" id="3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22" Type="http://schemas.openxmlformats.org/officeDocument/2006/relationships/table" Target="../tables/table3.xml"/><Relationship Id="rId33" Type="http://schemas.openxmlformats.org/officeDocument/2006/relationships/table" Target="../tables/table14.xml"/><Relationship Id="rId21" Type="http://schemas.openxmlformats.org/officeDocument/2006/relationships/table" Target="../tables/table2.xml"/><Relationship Id="rId32" Type="http://schemas.openxmlformats.org/officeDocument/2006/relationships/table" Target="../tables/table13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23" Type="http://schemas.openxmlformats.org/officeDocument/2006/relationships/table" Target="../tables/table4.xml"/><Relationship Id="rId34" Type="http://schemas.openxmlformats.org/officeDocument/2006/relationships/table" Target="../tables/table15.xml"/><Relationship Id="rId1" Type="http://schemas.openxmlformats.org/officeDocument/2006/relationships/drawing" Target="../drawings/drawing3.xm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27" Type="http://schemas.openxmlformats.org/officeDocument/2006/relationships/table" Target="../tables/table8.xml"/><Relationship Id="rId29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9.xml"/><Relationship Id="rId13" Type="http://schemas.openxmlformats.org/officeDocument/2006/relationships/table" Target="../tables/table21.xml"/><Relationship Id="rId12" Type="http://schemas.openxmlformats.org/officeDocument/2006/relationships/table" Target="../tables/table20.xml"/><Relationship Id="rId1" Type="http://schemas.openxmlformats.org/officeDocument/2006/relationships/drawing" Target="../drawings/drawing4.xml"/><Relationship Id="rId15" Type="http://schemas.openxmlformats.org/officeDocument/2006/relationships/table" Target="../tables/table23.xml"/><Relationship Id="rId14" Type="http://schemas.openxmlformats.org/officeDocument/2006/relationships/table" Target="../tables/table22.xml"/><Relationship Id="rId17" Type="http://schemas.openxmlformats.org/officeDocument/2006/relationships/table" Target="../tables/table25.xml"/><Relationship Id="rId16" Type="http://schemas.openxmlformats.org/officeDocument/2006/relationships/table" Target="../tables/table24.xml"/><Relationship Id="rId19" Type="http://schemas.openxmlformats.org/officeDocument/2006/relationships/table" Target="../tables/table27.xml"/><Relationship Id="rId18" Type="http://schemas.openxmlformats.org/officeDocument/2006/relationships/table" Target="../tables/table2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8.xml"/><Relationship Id="rId5" Type="http://schemas.openxmlformats.org/officeDocument/2006/relationships/table" Target="../tables/table2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30.xml"/><Relationship Id="rId6" Type="http://schemas.openxmlformats.org/officeDocument/2006/relationships/table" Target="../tables/table31.xml"/><Relationship Id="rId7" Type="http://schemas.openxmlformats.org/officeDocument/2006/relationships/table" Target="../tables/table3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33.xml"/><Relationship Id="rId6" Type="http://schemas.openxmlformats.org/officeDocument/2006/relationships/table" Target="../tables/table34.xml"/><Relationship Id="rId7" Type="http://schemas.openxmlformats.org/officeDocument/2006/relationships/table" Target="../tables/table3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12917</v>
      </c>
      <c r="D2" s="10"/>
      <c r="E2" s="9">
        <f t="shared" ref="E2:R2" si="1">SUM(E5,E14,E17)</f>
        <v>258</v>
      </c>
      <c r="F2" s="9">
        <f t="shared" si="1"/>
        <v>65</v>
      </c>
      <c r="G2" s="9">
        <f t="shared" si="1"/>
        <v>22</v>
      </c>
      <c r="H2" s="9">
        <f t="shared" si="1"/>
        <v>9</v>
      </c>
      <c r="I2" s="9">
        <f t="shared" si="1"/>
        <v>1</v>
      </c>
      <c r="J2" s="9">
        <f t="shared" si="1"/>
        <v>1</v>
      </c>
      <c r="K2" s="9">
        <f t="shared" si="1"/>
        <v>11</v>
      </c>
      <c r="L2" s="9">
        <f t="shared" si="1"/>
        <v>1</v>
      </c>
      <c r="M2" s="9">
        <f t="shared" si="1"/>
        <v>100</v>
      </c>
      <c r="N2" s="9">
        <f t="shared" si="1"/>
        <v>11</v>
      </c>
      <c r="O2" s="9">
        <f t="shared" si="1"/>
        <v>6</v>
      </c>
      <c r="P2" s="9">
        <f t="shared" si="1"/>
        <v>9</v>
      </c>
      <c r="Q2" s="9">
        <f t="shared" si="1"/>
        <v>0</v>
      </c>
      <c r="R2" s="9">
        <f t="shared" si="1"/>
        <v>7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1435.222222</v>
      </c>
      <c r="F4" s="23">
        <f>IFERROR((G2+R2)/F2,0)</f>
        <v>0.4461538462</v>
      </c>
      <c r="G4" s="23">
        <f>IFERROR(H2/G2,0)</f>
        <v>0.4090909091</v>
      </c>
      <c r="H4" s="22">
        <f>(C2/C4)</f>
        <v>293.5681818</v>
      </c>
      <c r="I4" s="24"/>
      <c r="J4" s="23">
        <f>IFERROR(J2/I2,0)</f>
        <v>1</v>
      </c>
      <c r="K4" s="24"/>
      <c r="L4" s="23">
        <f>IFERROR(L2/K2,0)</f>
        <v>0.09090909091</v>
      </c>
      <c r="M4" s="25">
        <f>IFERROR(M2/G2,0)</f>
        <v>4.545454545</v>
      </c>
      <c r="N4" s="24"/>
      <c r="O4" s="23">
        <f>IFERROR(O2/N2,0)</f>
        <v>0.5454545455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7571</v>
      </c>
      <c r="D5" s="31"/>
      <c r="E5" s="32">
        <f>SUMIFS(T:T,A:A,B5,D:D,"Y")</f>
        <v>0</v>
      </c>
      <c r="F5" s="33">
        <f>SUMIF(A:A,B5,G:G)</f>
        <v>32</v>
      </c>
      <c r="G5" s="33">
        <f>SUMIF(A:A,B5,H:H)</f>
        <v>13</v>
      </c>
      <c r="H5" s="33">
        <f>SUMIF(A:A,B5,I:I)</f>
        <v>5</v>
      </c>
      <c r="I5" s="33">
        <f>SUMIF(A:A,B5,P:P)</f>
        <v>0</v>
      </c>
      <c r="J5" s="33">
        <f>SUMIF(A:A,B5,Q:Q)</f>
        <v>0</v>
      </c>
      <c r="K5" s="33">
        <f>SUMIF(A:A,B5,R:R)</f>
        <v>4</v>
      </c>
      <c r="L5" s="33">
        <f>SUMIF(A:A,B5,S:S)</f>
        <v>0</v>
      </c>
      <c r="M5" s="33">
        <f>SUMIF(A:A,B5,M:M)</f>
        <v>61</v>
      </c>
      <c r="N5" s="33">
        <f>SUMIF(A:A,B5,N:N)</f>
        <v>7</v>
      </c>
      <c r="O5" s="33">
        <f>SUMIF(A:A,B5,O:O)</f>
        <v>4</v>
      </c>
      <c r="P5" s="33">
        <f>SUMIF(A:A,B5,J:J)</f>
        <v>2</v>
      </c>
      <c r="Q5" s="33">
        <f>SUMIF(A:A,B5,K:K)</f>
        <v>0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1514.2</v>
      </c>
      <c r="F7" s="41">
        <f>IFERROR((G5+R5)/F5,0)</f>
        <v>0.4375</v>
      </c>
      <c r="G7" s="41">
        <f>IFERROR(H5/G5,0)</f>
        <v>0.3846153846</v>
      </c>
      <c r="H7" s="40">
        <f>(C5/C7)</f>
        <v>420.6111111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4.357142857</v>
      </c>
      <c r="N7" s="42"/>
      <c r="O7" s="41">
        <f>IFERROR(O5/N5,0)</f>
        <v>0.5714285714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SUMIF(B39:B1065,B8,G39:G1065)</f>
        <v>0</v>
      </c>
      <c r="G8" s="46">
        <f>SUMIF(B39:B1065,B8,H39:H1065)</f>
        <v>0</v>
      </c>
      <c r="H8" s="46">
        <f>SUMIF(B39:B1065,B8,I39:I1065)</f>
        <v>0</v>
      </c>
      <c r="I8" s="46">
        <f>SUMIF(B39:B1065,B8,P39:P1065)</f>
        <v>0</v>
      </c>
      <c r="J8" s="46">
        <f>SUMIF(B39:B1065,B8,Q39:Q1065)</f>
        <v>0</v>
      </c>
      <c r="K8" s="46">
        <f>SUMIF(B39:B1065,B8,R39:R1065)</f>
        <v>0</v>
      </c>
      <c r="L8" s="46">
        <f>SUMIF(B39:B1065,B8,S39:S1065)</f>
        <v>0</v>
      </c>
      <c r="M8" s="46">
        <f>SUMIF(B39:B1065,B8,M39:M1065)</f>
        <v>0</v>
      </c>
      <c r="N8" s="46">
        <f>SUMIF(B39:B1065,B8,N39:N1065)</f>
        <v>0</v>
      </c>
      <c r="O8" s="46">
        <f>SUMIF(B39:B1065,B8,O39:O1065)</f>
        <v>0</v>
      </c>
      <c r="P8" s="46">
        <f>SUMIF(B39:B1065,B8,J39:J1065)</f>
        <v>0</v>
      </c>
      <c r="Q8" s="46">
        <f>SUMIF(B39:B1065,B8,K39:K1065)</f>
        <v>0</v>
      </c>
      <c r="R8" s="50">
        <f>SUMIF(B39:B1065,B8,L39:L1065)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COUNTIFS(B28:B1065,B8)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>
      <c r="A11" s="29"/>
      <c r="B11" s="45" t="s">
        <v>28</v>
      </c>
      <c r="C11" s="46">
        <f>SUMIF(B:B,B11,T:T)</f>
        <v>4233</v>
      </c>
      <c r="D11" s="47"/>
      <c r="E11" s="48">
        <f>SUMIFS(T:T,B:B,B11,D:D,"Y")</f>
        <v>0</v>
      </c>
      <c r="F11" s="49">
        <f t="shared" ref="F11:R11" si="2">SUMIF(B28:B1065,B11,G28:G1065)</f>
        <v>21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22</v>
      </c>
      <c r="M11" s="49">
        <f t="shared" si="2"/>
        <v>4</v>
      </c>
      <c r="N11" s="49">
        <f t="shared" si="2"/>
        <v>4</v>
      </c>
      <c r="O11" s="49">
        <f t="shared" si="2"/>
        <v>1</v>
      </c>
      <c r="P11" s="49">
        <f t="shared" si="2"/>
        <v>0</v>
      </c>
      <c r="Q11" s="49">
        <f t="shared" si="2"/>
        <v>1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COUNTIFS(B27:B1065,B11)</f>
        <v>10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423.3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0.25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>
      <c r="A14" s="29"/>
      <c r="B14" s="8" t="s">
        <v>29</v>
      </c>
      <c r="C14" s="33">
        <f>SUMIF(A:A,B14,T:T)</f>
        <v>258</v>
      </c>
      <c r="D14" s="31"/>
      <c r="E14" s="53">
        <f>SUMIFS(T:T,A:A,B14,D:D,"Y")</f>
        <v>258</v>
      </c>
      <c r="F14" s="9">
        <f>SUMIF(A:A,B14,G:G)</f>
        <v>6</v>
      </c>
      <c r="G14" s="33">
        <f>SUMIF(A:A,B14,H:H)</f>
        <v>3</v>
      </c>
      <c r="H14" s="33">
        <f>SUMIF(A:A,B14,I:I)</f>
        <v>1</v>
      </c>
      <c r="I14" s="33">
        <f>SUMIF(A:A,B14,P:P)</f>
        <v>1</v>
      </c>
      <c r="J14" s="33">
        <f>SUMIF(A:A,B14,Q:Q)</f>
        <v>1</v>
      </c>
      <c r="K14" s="33">
        <f>SUMIF(A:A,B14,R:R)</f>
        <v>2</v>
      </c>
      <c r="L14" s="33">
        <f>SUMIF(A:A,B14,S:S)</f>
        <v>0</v>
      </c>
      <c r="M14" s="33">
        <f>SUMIF(A:A,B14,M:M)</f>
        <v>5</v>
      </c>
      <c r="N14" s="33">
        <f>SUMIF(A:A,B14,N:N)</f>
        <v>0</v>
      </c>
      <c r="O14" s="33">
        <f>SUMIF(A:A,B14,O:O)</f>
        <v>0</v>
      </c>
      <c r="P14" s="33">
        <f>SUMIF(A:A,B14,J:J)</f>
        <v>1</v>
      </c>
      <c r="Q14" s="33">
        <f>SUMIF(A:A,B14,K:K)</f>
        <v>0</v>
      </c>
      <c r="R14" s="34">
        <f>SUMIF(A:A,B14,L:L)</f>
        <v>2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258</v>
      </c>
      <c r="F16" s="23">
        <f>IFERROR((G14+R14)/F14,0)</f>
        <v>0.8333333333</v>
      </c>
      <c r="G16" s="23">
        <f>IFERROR(H14/G14,0)</f>
        <v>0.3333333333</v>
      </c>
      <c r="H16" s="22">
        <f>(C14/C16)</f>
        <v>64.5</v>
      </c>
      <c r="I16" s="24"/>
      <c r="J16" s="23">
        <f>IFERROR(J14/I14,0)</f>
        <v>1</v>
      </c>
      <c r="K16" s="24"/>
      <c r="L16" s="23">
        <f>IFERROR(L14/K14,0)</f>
        <v>0</v>
      </c>
      <c r="M16" s="26">
        <f>IFERROR(M14/SUM(R14+G14,0),"")</f>
        <v>1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>
      <c r="A17" s="29"/>
      <c r="B17" s="8" t="s">
        <v>30</v>
      </c>
      <c r="C17" s="33">
        <f>SUMIF(A:A,B17,T:T)</f>
        <v>5088</v>
      </c>
      <c r="D17" s="31"/>
      <c r="E17" s="53">
        <f>SUMIFS(T:T,A:A,B17,D:D,"Y")</f>
        <v>0</v>
      </c>
      <c r="F17" s="9">
        <f>SUMIF(A:A,B17,G:G)</f>
        <v>27</v>
      </c>
      <c r="G17" s="33">
        <f>SUMIF(A:A,B17,H:H)</f>
        <v>6</v>
      </c>
      <c r="H17" s="33">
        <f>SUMIF(A:A,B17,I:I)</f>
        <v>3</v>
      </c>
      <c r="I17" s="33">
        <f>SUMIF(A:A,B17,P:P)</f>
        <v>0</v>
      </c>
      <c r="J17" s="33">
        <f>SUMIF(A:A,B17,Q:Q)</f>
        <v>0</v>
      </c>
      <c r="K17" s="33">
        <f>SUMIF(A:A,B17,R:R)</f>
        <v>5</v>
      </c>
      <c r="L17" s="33">
        <f>SUMIF(A:A,B17,S:S)</f>
        <v>1</v>
      </c>
      <c r="M17" s="33">
        <f>SUMIF(A:A,B17,M:M)</f>
        <v>34</v>
      </c>
      <c r="N17" s="33">
        <f>SUMIF(A:A,B17,N:N)</f>
        <v>4</v>
      </c>
      <c r="O17" s="33">
        <f>SUMIF(A:A,B17,O:O)</f>
        <v>2</v>
      </c>
      <c r="P17" s="33">
        <f>SUMIF(A:A,B17,J:J)</f>
        <v>6</v>
      </c>
      <c r="Q17" s="33">
        <f>SUMIF(A:A,B17,K:K)</f>
        <v>0</v>
      </c>
      <c r="R17" s="34">
        <f>SUMIF(A:A,B17,L:L)</f>
        <v>4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1696</v>
      </c>
      <c r="F19" s="41">
        <f>IFERROR((G17+R17)/F17,0)</f>
        <v>0.3703703704</v>
      </c>
      <c r="G19" s="41">
        <f>IFERROR(H17/G17,0)</f>
        <v>0.5</v>
      </c>
      <c r="H19" s="40">
        <f>(C17/C19)</f>
        <v>231.2727273</v>
      </c>
      <c r="I19" s="42"/>
      <c r="J19" s="41">
        <f>IFERROR(J17/I17,0)</f>
        <v>0</v>
      </c>
      <c r="K19" s="42"/>
      <c r="L19" s="41">
        <f>IFERROR(L17/K17,0)</f>
        <v>0.2</v>
      </c>
      <c r="M19" s="54">
        <f>IFERROR(M17/SUM(G17+R17,0),"")</f>
        <v>3.4</v>
      </c>
      <c r="N19" s="42"/>
      <c r="O19" s="41">
        <f>IFERROR(O17/N17,0)</f>
        <v>0.5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>
      <c r="A20" s="29"/>
      <c r="B20" s="45" t="s">
        <v>31</v>
      </c>
      <c r="C20" s="46">
        <f>SUMIF(B:B,B20,T:T)</f>
        <v>5088</v>
      </c>
      <c r="D20" s="55"/>
      <c r="E20" s="48">
        <f>SUMIFS(T:T,B:B,B20,D:D,"Y")</f>
        <v>0</v>
      </c>
      <c r="F20" s="49">
        <f>SUMIF(B46:B1065,B20,G46:G1065)</f>
        <v>27</v>
      </c>
      <c r="G20" s="46">
        <f>SUMIF(B46:B1065,B20,H46:H1065)</f>
        <v>6</v>
      </c>
      <c r="H20" s="46">
        <f>SUMIF(B46:B1065,B20,I46:I1065)</f>
        <v>3</v>
      </c>
      <c r="I20" s="46">
        <f>SUMIF(B46:B1065,B20,P46:P1065)</f>
        <v>0</v>
      </c>
      <c r="J20" s="46">
        <f>SUMIF(B46:B1065,B20,Q46:Q1065)</f>
        <v>0</v>
      </c>
      <c r="K20" s="46">
        <f>SUMIF(B46:B1065,B20,R46:R1065)</f>
        <v>5</v>
      </c>
      <c r="L20" s="46">
        <f>SUMIF(B46:B1065,B20,S46:S1065)</f>
        <v>1</v>
      </c>
      <c r="M20" s="46">
        <f>SUMIF(B46:B1065,B20,M46:M1065)</f>
        <v>34</v>
      </c>
      <c r="N20" s="46">
        <f>SUMIF(B46:B1065,B20,N46:N1065)</f>
        <v>4</v>
      </c>
      <c r="O20" s="46">
        <f>SUMIF(B46:B1065,B20,O46:O1065)</f>
        <v>2</v>
      </c>
      <c r="P20" s="46">
        <f>SUMIF(B46:B1065,B20,J46:J1065)</f>
        <v>6</v>
      </c>
      <c r="Q20" s="46">
        <f>SUMIF(B46:B1065,B20,K46:K1065)</f>
        <v>0</v>
      </c>
      <c r="R20" s="50">
        <f>SUMIF(B46:B1065,B20,L46:L1065)</f>
        <v>4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COUNTIFS(B28:B1065,B20)</f>
        <v>14</v>
      </c>
      <c r="D22" s="39"/>
      <c r="E22" s="40">
        <f>IFERROR(C20/H20,0)</f>
        <v>1696</v>
      </c>
      <c r="F22" s="41">
        <f>IFERROR((G20+R20)/F20,0)</f>
        <v>0.3703703704</v>
      </c>
      <c r="G22" s="41">
        <f>IFERROR(H20/G20,0)</f>
        <v>0.5</v>
      </c>
      <c r="H22" s="40">
        <f>(C20/C22)</f>
        <v>363.4285714</v>
      </c>
      <c r="I22" s="42"/>
      <c r="J22" s="41">
        <f>IFERROR(J20/I20,0)</f>
        <v>0</v>
      </c>
      <c r="K22" s="42"/>
      <c r="L22" s="41">
        <f>IFERROR(L20/K20,0)</f>
        <v>0.2</v>
      </c>
      <c r="M22" s="43">
        <f>IFERROR(M20/SUM(G20+R20,0),"")</f>
        <v>3.4</v>
      </c>
      <c r="N22" s="42"/>
      <c r="O22" s="41">
        <f>IFERROR(O20/N20,0)</f>
        <v>0.5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SUMIF(B49:B1065,B23,G49:G1065)</f>
        <v>0</v>
      </c>
      <c r="G23" s="46">
        <f>SUMIF(B49:B1065,B23,H49:H1065)</f>
        <v>0</v>
      </c>
      <c r="H23" s="46">
        <f>SUMIF(B49:B1065,B23,I49:I1065)</f>
        <v>0</v>
      </c>
      <c r="I23" s="46">
        <f>SUMIF(B49:B1065,B23,P49:P1065)</f>
        <v>0</v>
      </c>
      <c r="J23" s="46">
        <f>SUMIF(B49:B1065,B23,Q49:Q1065)</f>
        <v>0</v>
      </c>
      <c r="K23" s="46">
        <f>SUMIF(B49:B1065,B23,R49:R1065)</f>
        <v>0</v>
      </c>
      <c r="L23" s="46">
        <f>SUMIF(B49:B1065,B23,S49:S1065)</f>
        <v>0</v>
      </c>
      <c r="M23" s="46">
        <f>SUMIF(B49:B1065,B23,M49:M1065)</f>
        <v>0</v>
      </c>
      <c r="N23" s="46">
        <f>SUMIF(B49:B1065,B23,N49:N1065)</f>
        <v>0</v>
      </c>
      <c r="O23" s="46">
        <f>SUMIF(B49:B1065,B23,O49:O1065)</f>
        <v>0</v>
      </c>
      <c r="P23" s="46">
        <f>SUMIF(B49:B1065,B23,J49:J1065)</f>
        <v>0</v>
      </c>
      <c r="Q23" s="46">
        <f>SUMIF(B49:B1065,B23,K49:K1065)</f>
        <v>0</v>
      </c>
      <c r="R23" s="50">
        <f>SUMIF(B49:B1065,B23,L49:L1065)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COUNTIFS(B33:B1065,B23)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>
        <f>('Thurs (2)'!G28+Thurs!G28+'Tues '!G28+Wed!G28+Fri!G28+'Mon '!G28+'Wed (2)'!G28+Sun!G28+Sat!G28)</f>
        <v>0</v>
      </c>
      <c r="H28" s="70">
        <f>('Thurs (2)'!H28+Thurs!H28+'Tues '!H28+Wed!H28+Fri!H28+'Mon '!H28+'Wed (2)'!H28+Sun!H28+Sat!H28)</f>
        <v>0</v>
      </c>
      <c r="I28" s="70">
        <f>('Thurs (2)'!I28+Thurs!I28+'Tues '!I28+Wed!I28+Fri!I28+'Mon '!I28+'Wed (2)'!I28+Sun!I28+Sat!I28)</f>
        <v>0</v>
      </c>
      <c r="J28" s="70">
        <f>('Thurs (2)'!J28+Thurs!J28+'Tues '!J28+Wed!J28+Fri!J28+'Mon '!J28+'Wed (2)'!J28+Sun!J28+Sat!J28)</f>
        <v>0</v>
      </c>
      <c r="K28" s="70">
        <f>('Thurs (2)'!K28+Thurs!K28+'Tues '!K28+Wed!K28+Fri!K28+'Mon '!K28+'Wed (2)'!K28+Sun!K28+Sat!K28)</f>
        <v>0</v>
      </c>
      <c r="L28" s="70">
        <f>('Thurs (2)'!L28+Thurs!L28+'Tues '!L28+Wed!L28+Fri!L28+'Mon '!L28+'Wed (2)'!L28+Sun!L28+Sat!L28)</f>
        <v>0</v>
      </c>
      <c r="M28" s="70">
        <f>('Thurs (2)'!M28+Thurs!M28+'Tues '!M28+Wed!M28+Fri!M28+'Mon '!M28+'Wed (2)'!M28+Sun!M28+Sat!M28)</f>
        <v>0</v>
      </c>
      <c r="N28" s="70">
        <f>('Thurs (2)'!N28+Thurs!N28+'Tues '!N28+Wed!N28+Fri!N28+'Mon '!N28+'Wed (2)'!N28+Sun!N28+Sat!N28)</f>
        <v>0</v>
      </c>
      <c r="O28" s="70">
        <f>('Thurs (2)'!O28+Thurs!O28+'Tues '!O28+Wed!O28+Fri!O28+'Mon '!O28+'Wed (2)'!O28+Sun!O28+Sat!O28)</f>
        <v>0</v>
      </c>
      <c r="P28" s="70">
        <f>('Thurs (2)'!P28+Thurs!P28+'Tues '!P28+Wed!P28+Fri!P28+'Mon '!P28+'Wed (2)'!P28+Sun!P28+Sat!P28)</f>
        <v>0</v>
      </c>
      <c r="Q28" s="70">
        <f>('Thurs (2)'!Q28+Thurs!Q28+'Tues '!Q28+Wed!Q28+Fri!Q28+'Mon '!Q28+'Wed (2)'!Q28+Sun!Q28+Sat!Q28)</f>
        <v>0</v>
      </c>
      <c r="R28" s="70">
        <f>('Thurs (2)'!R28+Thurs!R28+'Tues '!R28+Wed!R28+Fri!R28+'Mon '!R28+'Wed (2)'!R28+Sun!R28+Sat!R28)</f>
        <v>0</v>
      </c>
      <c r="S28" s="70">
        <f>('Thurs (2)'!S28+Thurs!S28+'Tues '!S28+Wed!S28+Fri!S28+'Mon '!S28+'Wed (2)'!S28+Sun!S28+Sat!S28)</f>
        <v>0</v>
      </c>
      <c r="T28" s="70">
        <f>('Thurs (2)'!T28+Thurs!T28+'Tues '!T28+Wed!T28+Fri!T28+'Mon '!T28+'Wed (2)'!T28+Sun!T28+Sat!T28)</f>
        <v>0</v>
      </c>
      <c r="U28" s="71">
        <f t="shared" ref="U28:U45" si="3">IFERROR(I28/H28,0)</f>
        <v>0</v>
      </c>
      <c r="V28" s="71">
        <f t="shared" ref="V28:V45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>
        <f>('Thurs (2)'!G29+Thurs!G29+'Tues '!G29+Wed!G29+Fri!G29+'Mon '!G29+'Wed (2)'!G29+Sun!G29+Sat!G29)</f>
        <v>5</v>
      </c>
      <c r="H29" s="70">
        <f>('Thurs (2)'!H29+Thurs!H29+'Tues '!H29+Wed!H29+Fri!H29+'Mon '!H29+'Wed (2)'!H29+Sun!H29+Sat!H29)</f>
        <v>3</v>
      </c>
      <c r="I29" s="70">
        <f>('Thurs (2)'!I29+Thurs!I29+'Tues '!I29+Wed!I29+Fri!I29+'Mon '!I29+'Wed (2)'!I29+Sun!I29+Sat!I29)</f>
        <v>1</v>
      </c>
      <c r="J29" s="70">
        <f>('Thurs (2)'!J29+Thurs!J29+'Tues '!J29+Wed!J29+Fri!J29+'Mon '!J29+'Wed (2)'!J29+Sun!J29+Sat!J29)</f>
        <v>0</v>
      </c>
      <c r="K29" s="70">
        <f>('Thurs (2)'!K29+Thurs!K29+'Tues '!K29+Wed!K29+Fri!K29+'Mon '!K29+'Wed (2)'!K29+Sun!K29+Sat!K29)</f>
        <v>0</v>
      </c>
      <c r="L29" s="70">
        <f>('Thurs (2)'!L29+Thurs!L29+'Tues '!L29+Wed!L29+Fri!L29+'Mon '!L29+'Wed (2)'!L29+Sun!L29+Sat!L29)</f>
        <v>0</v>
      </c>
      <c r="M29" s="70">
        <f>('Thurs (2)'!M29+Thurs!M29+'Tues '!M29+Wed!M29+Fri!M29+'Mon '!M29+'Wed (2)'!M29+Sun!M29+Sat!M29)</f>
        <v>4</v>
      </c>
      <c r="N29" s="70">
        <f>('Thurs (2)'!N29+Thurs!N29+'Tues '!N29+Wed!N29+Fri!N29+'Mon '!N29+'Wed (2)'!N29+Sun!N29+Sat!N29)</f>
        <v>0</v>
      </c>
      <c r="O29" s="70">
        <f>('Thurs (2)'!O29+Thurs!O29+'Tues '!O29+Wed!O29+Fri!O29+'Mon '!O29+'Wed (2)'!O29+Sun!O29+Sat!O29)</f>
        <v>0</v>
      </c>
      <c r="P29" s="70">
        <f>('Thurs (2)'!P29+Thurs!P29+'Tues '!P29+Wed!P29+Fri!P29+'Mon '!P29+'Wed (2)'!P29+Sun!P29+Sat!P29)</f>
        <v>0</v>
      </c>
      <c r="Q29" s="70">
        <f>('Thurs (2)'!Q29+Thurs!Q29+'Tues '!Q29+Wed!Q29+Fri!Q29+'Mon '!Q29+'Wed (2)'!Q29+Sun!Q29+Sat!Q29)</f>
        <v>0</v>
      </c>
      <c r="R29" s="70">
        <f>('Thurs (2)'!R29+Thurs!R29+'Tues '!R29+Wed!R29+Fri!R29+'Mon '!R29+'Wed (2)'!R29+Sun!R29+Sat!R29)</f>
        <v>1</v>
      </c>
      <c r="S29" s="70">
        <f>('Thurs (2)'!S29+Thurs!S29+'Tues '!S29+Wed!S29+Fri!S29+'Mon '!S29+'Wed (2)'!S29+Sun!S29+Sat!S29)</f>
        <v>0</v>
      </c>
      <c r="T29" s="70">
        <f>('Thurs (2)'!T29+Thurs!T29+'Tues '!T29+Wed!T29+Fri!T29+'Mon '!T29+'Wed (2)'!T29+Sun!T29+Sat!T29)</f>
        <v>3338</v>
      </c>
      <c r="U29" s="71">
        <f t="shared" si="3"/>
        <v>0.3333333333</v>
      </c>
      <c r="V29" s="71">
        <f t="shared" si="4"/>
        <v>0.6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>
        <f>('Thurs (2)'!G30+Thurs!G30+'Tues '!G30+Wed!G30+Fri!G30+'Mon '!G30+'Wed (2)'!G30+Sun!G30+Sat!G30)</f>
        <v>6</v>
      </c>
      <c r="H30" s="70">
        <f>('Thurs (2)'!H30+Thurs!H30+'Tues '!H30+Wed!H30+Fri!H30+'Mon '!H30+'Wed (2)'!H30+Sun!H30+Sat!H30)</f>
        <v>1</v>
      </c>
      <c r="I30" s="70">
        <f>('Thurs (2)'!I30+Thurs!I30+'Tues '!I30+Wed!I30+Fri!I30+'Mon '!I30+'Wed (2)'!I30+Sun!I30+Sat!I30)</f>
        <v>0</v>
      </c>
      <c r="J30" s="70">
        <f>('Thurs (2)'!J30+Thurs!J30+'Tues '!J30+Wed!J30+Fri!J30+'Mon '!J30+'Wed (2)'!J30+Sun!J30+Sat!J30)</f>
        <v>0</v>
      </c>
      <c r="K30" s="70">
        <f>('Thurs (2)'!K30+Thurs!K30+'Tues '!K30+Wed!K30+Fri!K30+'Mon '!K30+'Wed (2)'!K30+Sun!K30+Sat!K30)</f>
        <v>0</v>
      </c>
      <c r="L30" s="70">
        <f>('Thurs (2)'!L30+Thurs!L30+'Tues '!L30+Wed!L30+Fri!L30+'Mon '!L30+'Wed (2)'!L30+Sun!L30+Sat!L30)</f>
        <v>0</v>
      </c>
      <c r="M30" s="70">
        <f>('Thurs (2)'!M30+Thurs!M30+'Tues '!M30+Wed!M30+Fri!M30+'Mon '!M30+'Wed (2)'!M30+Sun!M30+Sat!M30)</f>
        <v>5</v>
      </c>
      <c r="N30" s="70">
        <f>('Thurs (2)'!N30+Thurs!N30+'Tues '!N30+Wed!N30+Fri!N30+'Mon '!N30+'Wed (2)'!N30+Sun!N30+Sat!N30)</f>
        <v>0</v>
      </c>
      <c r="O30" s="70">
        <f>('Thurs (2)'!O30+Thurs!O30+'Tues '!O30+Wed!O30+Fri!O30+'Mon '!O30+'Wed (2)'!O30+Sun!O30+Sat!O30)</f>
        <v>0</v>
      </c>
      <c r="P30" s="70">
        <f>('Thurs (2)'!P30+Thurs!P30+'Tues '!P30+Wed!P30+Fri!P30+'Mon '!P30+'Wed (2)'!P30+Sun!P30+Sat!P30)</f>
        <v>0</v>
      </c>
      <c r="Q30" s="70">
        <f>('Thurs (2)'!Q30+Thurs!Q30+'Tues '!Q30+Wed!Q30+Fri!Q30+'Mon '!Q30+'Wed (2)'!Q30+Sun!Q30+Sat!Q30)</f>
        <v>0</v>
      </c>
      <c r="R30" s="70">
        <f>('Thurs (2)'!R30+Thurs!R30+'Tues '!R30+Wed!R30+Fri!R30+'Mon '!R30+'Wed (2)'!R30+Sun!R30+Sat!R30)</f>
        <v>0</v>
      </c>
      <c r="S30" s="70">
        <f>('Thurs (2)'!S30+Thurs!S30+'Tues '!S30+Wed!S30+Fri!S30+'Mon '!S30+'Wed (2)'!S30+Sun!S30+Sat!S30)</f>
        <v>0</v>
      </c>
      <c r="T30" s="70">
        <f>('Thurs (2)'!T30+Thurs!T30+'Tues '!T30+Wed!T30+Fri!T30+'Mon '!T30+'Wed (2)'!T30+Sun!T30+Sat!T30)</f>
        <v>0</v>
      </c>
      <c r="U30" s="71">
        <f t="shared" si="3"/>
        <v>0</v>
      </c>
      <c r="V30" s="71">
        <f t="shared" si="4"/>
        <v>0.1666666667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>
        <f>('Thurs (2)'!G31+Thurs!G31+'Tues '!G31+Wed!G31+Fri!G31+'Mon '!G31+'Wed (2)'!G31+Sun!G31+Sat!G31)</f>
        <v>0</v>
      </c>
      <c r="H31" s="70">
        <f>('Thurs (2)'!H31+Thurs!H31+'Tues '!H31+Wed!H31+Fri!H31+'Mon '!H31+'Wed (2)'!H31+Sun!H31+Sat!H31)</f>
        <v>0</v>
      </c>
      <c r="I31" s="70">
        <f>('Thurs (2)'!I31+Thurs!I31+'Tues '!I31+Wed!I31+Fri!I31+'Mon '!I31+'Wed (2)'!I31+Sun!I31+Sat!I31)</f>
        <v>0</v>
      </c>
      <c r="J31" s="70">
        <f>('Thurs (2)'!J31+Thurs!J31+'Tues '!J31+Wed!J31+Fri!J31+'Mon '!J31+'Wed (2)'!J31+Sun!J31+Sat!J31)</f>
        <v>0</v>
      </c>
      <c r="K31" s="70">
        <f>('Thurs (2)'!K31+Thurs!K31+'Tues '!K31+Wed!K31+Fri!K31+'Mon '!K31+'Wed (2)'!K31+Sun!K31+Sat!K31)</f>
        <v>0</v>
      </c>
      <c r="L31" s="70">
        <f>('Thurs (2)'!L31+Thurs!L31+'Tues '!L31+Wed!L31+Fri!L31+'Mon '!L31+'Wed (2)'!L31+Sun!L31+Sat!L31)</f>
        <v>0</v>
      </c>
      <c r="M31" s="70">
        <f>('Thurs (2)'!M31+Thurs!M31+'Tues '!M31+Wed!M31+Fri!M31+'Mon '!M31+'Wed (2)'!M31+Sun!M31+Sat!M31)</f>
        <v>0</v>
      </c>
      <c r="N31" s="70">
        <f>('Thurs (2)'!N31+Thurs!N31+'Tues '!N31+Wed!N31+Fri!N31+'Mon '!N31+'Wed (2)'!N31+Sun!N31+Sat!N31)</f>
        <v>0</v>
      </c>
      <c r="O31" s="70">
        <f>('Thurs (2)'!O31+Thurs!O31+'Tues '!O31+Wed!O31+Fri!O31+'Mon '!O31+'Wed (2)'!O31+Sun!O31+Sat!O31)</f>
        <v>0</v>
      </c>
      <c r="P31" s="70">
        <f>('Thurs (2)'!P31+Thurs!P31+'Tues '!P31+Wed!P31+Fri!P31+'Mon '!P31+'Wed (2)'!P31+Sun!P31+Sat!P31)</f>
        <v>0</v>
      </c>
      <c r="Q31" s="70">
        <f>('Thurs (2)'!Q31+Thurs!Q31+'Tues '!Q31+Wed!Q31+Fri!Q31+'Mon '!Q31+'Wed (2)'!Q31+Sun!Q31+Sat!Q31)</f>
        <v>0</v>
      </c>
      <c r="R31" s="70">
        <f>('Thurs (2)'!R31+Thurs!R31+'Tues '!R31+Wed!R31+Fri!R31+'Mon '!R31+'Wed (2)'!R31+Sun!R31+Sat!R31)</f>
        <v>0</v>
      </c>
      <c r="S31" s="70">
        <f>('Thurs (2)'!S31+Thurs!S31+'Tues '!S31+Wed!S31+Fri!S31+'Mon '!S31+'Wed (2)'!S31+Sun!S31+Sat!S31)</f>
        <v>0</v>
      </c>
      <c r="T31" s="70">
        <f>('Thurs (2)'!T31+Thurs!T31+'Tues '!T31+Wed!T31+Fri!T31+'Mon '!T31+'Wed (2)'!T31+Sun!T31+Sat!T31)</f>
        <v>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>
        <f>('Thurs (2)'!G32+Thurs!G32+'Tues '!G32+Wed!G32+Fri!G32+'Mon '!G32+'Wed (2)'!G32+Sun!G32+Sat!G32)</f>
        <v>0</v>
      </c>
      <c r="H32" s="70">
        <f>('Thurs (2)'!H32+Thurs!H32+'Tues '!H32+Wed!H32+Fri!H32+'Mon '!H32+'Wed (2)'!H32+Sun!H32+Sat!H32)</f>
        <v>0</v>
      </c>
      <c r="I32" s="70">
        <f>('Thurs (2)'!I32+Thurs!I32+'Tues '!I32+Wed!I32+Fri!I32+'Mon '!I32+'Wed (2)'!I32+Sun!I32+Sat!I32)</f>
        <v>0</v>
      </c>
      <c r="J32" s="70">
        <f>('Thurs (2)'!J32+Thurs!J32+'Tues '!J32+Wed!J32+Fri!J32+'Mon '!J32+'Wed (2)'!J32+Sun!J32+Sat!J32)</f>
        <v>0</v>
      </c>
      <c r="K32" s="70">
        <f>('Thurs (2)'!K32+Thurs!K32+'Tues '!K32+Wed!K32+Fri!K32+'Mon '!K32+'Wed (2)'!K32+Sun!K32+Sat!K32)</f>
        <v>0</v>
      </c>
      <c r="L32" s="70">
        <f>('Thurs (2)'!L32+Thurs!L32+'Tues '!L32+Wed!L32+Fri!L32+'Mon '!L32+'Wed (2)'!L32+Sun!L32+Sat!L32)</f>
        <v>0</v>
      </c>
      <c r="M32" s="70">
        <f>('Thurs (2)'!M32+Thurs!M32+'Tues '!M32+Wed!M32+Fri!M32+'Mon '!M32+'Wed (2)'!M32+Sun!M32+Sat!M32)</f>
        <v>0</v>
      </c>
      <c r="N32" s="70">
        <f>('Thurs (2)'!N32+Thurs!N32+'Tues '!N32+Wed!N32+Fri!N32+'Mon '!N32+'Wed (2)'!N32+Sun!N32+Sat!N32)</f>
        <v>0</v>
      </c>
      <c r="O32" s="70">
        <f>('Thurs (2)'!O32+Thurs!O32+'Tues '!O32+Wed!O32+Fri!O32+'Mon '!O32+'Wed (2)'!O32+Sun!O32+Sat!O32)</f>
        <v>0</v>
      </c>
      <c r="P32" s="70">
        <f>('Thurs (2)'!P32+Thurs!P32+'Tues '!P32+Wed!P32+Fri!P32+'Mon '!P32+'Wed (2)'!P32+Sun!P32+Sat!P32)</f>
        <v>0</v>
      </c>
      <c r="Q32" s="70">
        <f>('Thurs (2)'!Q32+Thurs!Q32+'Tues '!Q32+Wed!Q32+Fri!Q32+'Mon '!Q32+'Wed (2)'!Q32+Sun!Q32+Sat!Q32)</f>
        <v>0</v>
      </c>
      <c r="R32" s="70">
        <f>('Thurs (2)'!R32+Thurs!R32+'Tues '!R32+Wed!R32+Fri!R32+'Mon '!R32+'Wed (2)'!R32+Sun!R32+Sat!R32)</f>
        <v>0</v>
      </c>
      <c r="S32" s="70">
        <f>('Thurs (2)'!S32+Thurs!S32+'Tues '!S32+Wed!S32+Fri!S32+'Mon '!S32+'Wed (2)'!S32+Sun!S32+Sat!S32)</f>
        <v>0</v>
      </c>
      <c r="T32" s="70">
        <f>('Thurs (2)'!T32+Thurs!T32+'Tues '!T32+Wed!T32+Fri!T32+'Mon '!T32+'Wed (2)'!T32+Sun!T32+Sat!T32)</f>
        <v>0</v>
      </c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>
        <f>('Thurs (2)'!G33+Thurs!G33+'Tues '!G33+Wed!G33+Fri!G33+'Mon '!G33+'Wed (2)'!G33+Sun!G33+Sat!G33)</f>
        <v>4</v>
      </c>
      <c r="H33" s="70">
        <f>('Thurs (2)'!H33+Thurs!H33+'Tues '!H33+Wed!H33+Fri!H33+'Mon '!H33+'Wed (2)'!H33+Sun!H33+Sat!H33)</f>
        <v>0</v>
      </c>
      <c r="I33" s="70">
        <f>('Thurs (2)'!I33+Thurs!I33+'Tues '!I33+Wed!I33+Fri!I33+'Mon '!I33+'Wed (2)'!I33+Sun!I33+Sat!I33)</f>
        <v>0</v>
      </c>
      <c r="J33" s="70">
        <f>('Thurs (2)'!J33+Thurs!J33+'Tues '!J33+Wed!J33+Fri!J33+'Mon '!J33+'Wed (2)'!J33+Sun!J33+Sat!J33)</f>
        <v>0</v>
      </c>
      <c r="K33" s="70">
        <f>('Thurs (2)'!K33+Thurs!K33+'Tues '!K33+Wed!K33+Fri!K33+'Mon '!K33+'Wed (2)'!K33+Sun!K33+Sat!K33)</f>
        <v>0</v>
      </c>
      <c r="L33" s="70">
        <f>('Thurs (2)'!L33+Thurs!L33+'Tues '!L33+Wed!L33+Fri!L33+'Mon '!L33+'Wed (2)'!L33+Sun!L33+Sat!L33)</f>
        <v>0</v>
      </c>
      <c r="M33" s="70">
        <f>('Thurs (2)'!M33+Thurs!M33+'Tues '!M33+Wed!M33+Fri!M33+'Mon '!M33+'Wed (2)'!M33+Sun!M33+Sat!M33)</f>
        <v>3</v>
      </c>
      <c r="N33" s="70">
        <f>('Thurs (2)'!N33+Thurs!N33+'Tues '!N33+Wed!N33+Fri!N33+'Mon '!N33+'Wed (2)'!N33+Sun!N33+Sat!N33)</f>
        <v>1</v>
      </c>
      <c r="O33" s="70">
        <f>('Thurs (2)'!O33+Thurs!O33+'Tues '!O33+Wed!O33+Fri!O33+'Mon '!O33+'Wed (2)'!O33+Sun!O33+Sat!O33)</f>
        <v>0</v>
      </c>
      <c r="P33" s="70">
        <f>('Thurs (2)'!P33+Thurs!P33+'Tues '!P33+Wed!P33+Fri!P33+'Mon '!P33+'Wed (2)'!P33+Sun!P33+Sat!P33)</f>
        <v>0</v>
      </c>
      <c r="Q33" s="70">
        <f>('Thurs (2)'!Q33+Thurs!Q33+'Tues '!Q33+Wed!Q33+Fri!Q33+'Mon '!Q33+'Wed (2)'!Q33+Sun!Q33+Sat!Q33)</f>
        <v>0</v>
      </c>
      <c r="R33" s="70">
        <f>('Thurs (2)'!R33+Thurs!R33+'Tues '!R33+Wed!R33+Fri!R33+'Mon '!R33+'Wed (2)'!R33+Sun!R33+Sat!R33)</f>
        <v>0</v>
      </c>
      <c r="S33" s="70">
        <f>('Thurs (2)'!S33+Thurs!S33+'Tues '!S33+Wed!S33+Fri!S33+'Mon '!S33+'Wed (2)'!S33+Sun!S33+Sat!S33)</f>
        <v>0</v>
      </c>
      <c r="T33" s="70">
        <f>('Thurs (2)'!T33+Thurs!T33+'Tues '!T33+Wed!T33+Fri!T33+'Mon '!T33+'Wed (2)'!T33+Sun!T33+Sat!T33)</f>
        <v>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>
        <f>('Thurs (2)'!G34+Thurs!G34+'Tues '!G34+Wed!G34+Fri!G34+'Mon '!G34+'Wed (2)'!G34+Sun!G34+Sat!G34)</f>
        <v>9</v>
      </c>
      <c r="H34" s="70">
        <f>('Thurs (2)'!H34+Thurs!H34+'Tues '!H34+Wed!H34+Fri!H34+'Mon '!H34+'Wed (2)'!H34+Sun!H34+Sat!H34)</f>
        <v>6</v>
      </c>
      <c r="I34" s="70">
        <f>('Thurs (2)'!I34+Thurs!I34+'Tues '!I34+Wed!I34+Fri!I34+'Mon '!I34+'Wed (2)'!I34+Sun!I34+Sat!I34)</f>
        <v>2</v>
      </c>
      <c r="J34" s="70">
        <f>('Thurs (2)'!J34+Thurs!J34+'Tues '!J34+Wed!J34+Fri!J34+'Mon '!J34+'Wed (2)'!J34+Sun!J34+Sat!J34)</f>
        <v>2</v>
      </c>
      <c r="K34" s="70">
        <f>('Thurs (2)'!K34+Thurs!K34+'Tues '!K34+Wed!K34+Fri!K34+'Mon '!K34+'Wed (2)'!K34+Sun!K34+Sat!K34)</f>
        <v>0</v>
      </c>
      <c r="L34" s="70">
        <f>('Thurs (2)'!L34+Thurs!L34+'Tues '!L34+Wed!L34+Fri!L34+'Mon '!L34+'Wed (2)'!L34+Sun!L34+Sat!L34)</f>
        <v>1</v>
      </c>
      <c r="M34" s="70">
        <f>('Thurs (2)'!M34+Thurs!M34+'Tues '!M34+Wed!M34+Fri!M34+'Mon '!M34+'Wed (2)'!M34+Sun!M34+Sat!M34)</f>
        <v>23</v>
      </c>
      <c r="N34" s="70">
        <f>('Thurs (2)'!N34+Thurs!N34+'Tues '!N34+Wed!N34+Fri!N34+'Mon '!N34+'Wed (2)'!N34+Sun!N34+Sat!N34)</f>
        <v>2</v>
      </c>
      <c r="O34" s="70">
        <f>('Thurs (2)'!O34+Thurs!O34+'Tues '!O34+Wed!O34+Fri!O34+'Mon '!O34+'Wed (2)'!O34+Sun!O34+Sat!O34)</f>
        <v>2</v>
      </c>
      <c r="P34" s="70">
        <f>('Thurs (2)'!P34+Thurs!P34+'Tues '!P34+Wed!P34+Fri!P34+'Mon '!P34+'Wed (2)'!P34+Sun!P34+Sat!P34)</f>
        <v>0</v>
      </c>
      <c r="Q34" s="70">
        <f>('Thurs (2)'!Q34+Thurs!Q34+'Tues '!Q34+Wed!Q34+Fri!Q34+'Mon '!Q34+'Wed (2)'!Q34+Sun!Q34+Sat!Q34)</f>
        <v>0</v>
      </c>
      <c r="R34" s="70">
        <f>('Thurs (2)'!R34+Thurs!R34+'Tues '!R34+Wed!R34+Fri!R34+'Mon '!R34+'Wed (2)'!R34+Sun!R34+Sat!R34)</f>
        <v>3</v>
      </c>
      <c r="S34" s="70">
        <f>('Thurs (2)'!S34+Thurs!S34+'Tues '!S34+Wed!S34+Fri!S34+'Mon '!S34+'Wed (2)'!S34+Sun!S34+Sat!S34)</f>
        <v>0</v>
      </c>
      <c r="T34" s="70">
        <f>('Thurs (2)'!T34+Thurs!T34+'Tues '!T34+Wed!T34+Fri!T34+'Mon '!T34+'Wed (2)'!T34+Sun!T34+Sat!T34)</f>
        <v>2167</v>
      </c>
      <c r="U34" s="71">
        <f t="shared" si="3"/>
        <v>0.3333333333</v>
      </c>
      <c r="V34" s="71">
        <f t="shared" si="4"/>
        <v>0.7777777778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>
        <f>('Thurs (2)'!G35+Thurs!G35+'Tues '!G35+Wed!G35+Fri!G35+'Mon '!G35+'Wed (2)'!G35+Sun!G35+Sat!G35)</f>
        <v>3</v>
      </c>
      <c r="H35" s="70">
        <f>('Thurs (2)'!H35+Thurs!H35+'Tues '!H35+Wed!H35+Fri!H35+'Mon '!H35+'Wed (2)'!H35+Sun!H35+Sat!H35)</f>
        <v>0</v>
      </c>
      <c r="I35" s="70">
        <f>('Thurs (2)'!I35+Thurs!I35+'Tues '!I35+Wed!I35+Fri!I35+'Mon '!I35+'Wed (2)'!I35+Sun!I35+Sat!I35)</f>
        <v>0</v>
      </c>
      <c r="J35" s="70">
        <f>('Thurs (2)'!J35+Thurs!J35+'Tues '!J35+Wed!J35+Fri!J35+'Mon '!J35+'Wed (2)'!J35+Sun!J35+Sat!J35)</f>
        <v>0</v>
      </c>
      <c r="K35" s="70">
        <f>('Thurs (2)'!K35+Thurs!K35+'Tues '!K35+Wed!K35+Fri!K35+'Mon '!K35+'Wed (2)'!K35+Sun!K35+Sat!K35)</f>
        <v>0</v>
      </c>
      <c r="L35" s="70">
        <f>('Thurs (2)'!L35+Thurs!L35+'Tues '!L35+Wed!L35+Fri!L35+'Mon '!L35+'Wed (2)'!L35+Sun!L35+Sat!L35)</f>
        <v>0</v>
      </c>
      <c r="M35" s="70">
        <f>('Thurs (2)'!M35+Thurs!M35+'Tues '!M35+Wed!M35+Fri!M35+'Mon '!M35+'Wed (2)'!M35+Sun!M35+Sat!M35)</f>
        <v>9</v>
      </c>
      <c r="N35" s="70">
        <f>('Thurs (2)'!N35+Thurs!N35+'Tues '!N35+Wed!N35+Fri!N35+'Mon '!N35+'Wed (2)'!N35+Sun!N35+Sat!N35)</f>
        <v>1</v>
      </c>
      <c r="O35" s="70">
        <f>('Thurs (2)'!O35+Thurs!O35+'Tues '!O35+Wed!O35+Fri!O35+'Mon '!O35+'Wed (2)'!O35+Sun!O35+Sat!O35)</f>
        <v>0</v>
      </c>
      <c r="P35" s="70">
        <f>('Thurs (2)'!P35+Thurs!P35+'Tues '!P35+Wed!P35+Fri!P35+'Mon '!P35+'Wed (2)'!P35+Sun!P35+Sat!P35)</f>
        <v>0</v>
      </c>
      <c r="Q35" s="70">
        <f>('Thurs (2)'!Q35+Thurs!Q35+'Tues '!Q35+Wed!Q35+Fri!Q35+'Mon '!Q35+'Wed (2)'!Q35+Sun!Q35+Sat!Q35)</f>
        <v>0</v>
      </c>
      <c r="R35" s="70">
        <f>('Thurs (2)'!R35+Thurs!R35+'Tues '!R35+Wed!R35+Fri!R35+'Mon '!R35+'Wed (2)'!R35+Sun!R35+Sat!R35)</f>
        <v>0</v>
      </c>
      <c r="S35" s="70">
        <f>('Thurs (2)'!S35+Thurs!S35+'Tues '!S35+Wed!S35+Fri!S35+'Mon '!S35+'Wed (2)'!S35+Sun!S35+Sat!S35)</f>
        <v>0</v>
      </c>
      <c r="T35" s="70">
        <f>('Thurs (2)'!T35+Thurs!T35+'Tues '!T35+Wed!T35+Fri!T35+'Mon '!T35+'Wed (2)'!T35+Sun!T35+Sat!T35)</f>
        <v>0</v>
      </c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>
        <f>('Thurs (2)'!G36+Thurs!G36+'Tues '!G36+Wed!G36+Fri!G36+'Mon '!G36+'Wed (2)'!G36+Sun!G36+Sat!G36)</f>
        <v>0</v>
      </c>
      <c r="H36" s="70">
        <f>('Thurs (2)'!H36+Thurs!H36+'Tues '!H36+Wed!H36+Fri!H36+'Mon '!H36+'Wed (2)'!H36+Sun!H36+Sat!H36)</f>
        <v>0</v>
      </c>
      <c r="I36" s="70">
        <f>('Thurs (2)'!I36+Thurs!I36+'Tues '!I36+Wed!I36+Fri!I36+'Mon '!I36+'Wed (2)'!I36+Sun!I36+Sat!I36)</f>
        <v>0</v>
      </c>
      <c r="J36" s="70">
        <f>('Thurs (2)'!J36+Thurs!J36+'Tues '!J36+Wed!J36+Fri!J36+'Mon '!J36+'Wed (2)'!J36+Sun!J36+Sat!J36)</f>
        <v>0</v>
      </c>
      <c r="K36" s="70">
        <f>('Thurs (2)'!K36+Thurs!K36+'Tues '!K36+Wed!K36+Fri!K36+'Mon '!K36+'Wed (2)'!K36+Sun!K36+Sat!K36)</f>
        <v>0</v>
      </c>
      <c r="L36" s="70">
        <f>('Thurs (2)'!L36+Thurs!L36+'Tues '!L36+Wed!L36+Fri!L36+'Mon '!L36+'Wed (2)'!L36+Sun!L36+Sat!L36)</f>
        <v>0</v>
      </c>
      <c r="M36" s="70">
        <f>('Thurs (2)'!M36+Thurs!M36+'Tues '!M36+Wed!M36+Fri!M36+'Mon '!M36+'Wed (2)'!M36+Sun!M36+Sat!M36)</f>
        <v>0</v>
      </c>
      <c r="N36" s="70">
        <f>('Thurs (2)'!N36+Thurs!N36+'Tues '!N36+Wed!N36+Fri!N36+'Mon '!N36+'Wed (2)'!N36+Sun!N36+Sat!N36)</f>
        <v>0</v>
      </c>
      <c r="O36" s="70">
        <f>('Thurs (2)'!O36+Thurs!O36+'Tues '!O36+Wed!O36+Fri!O36+'Mon '!O36+'Wed (2)'!O36+Sun!O36+Sat!O36)</f>
        <v>0</v>
      </c>
      <c r="P36" s="70">
        <f>('Thurs (2)'!P36+Thurs!P36+'Tues '!P36+Wed!P36+Fri!P36+'Mon '!P36+'Wed (2)'!P36+Sun!P36+Sat!P36)</f>
        <v>0</v>
      </c>
      <c r="Q36" s="70">
        <f>('Thurs (2)'!Q36+Thurs!Q36+'Tues '!Q36+Wed!Q36+Fri!Q36+'Mon '!Q36+'Wed (2)'!Q36+Sun!Q36+Sat!Q36)</f>
        <v>0</v>
      </c>
      <c r="R36" s="70">
        <f>('Thurs (2)'!R36+Thurs!R36+'Tues '!R36+Wed!R36+Fri!R36+'Mon '!R36+'Wed (2)'!R36+Sun!R36+Sat!R36)</f>
        <v>0</v>
      </c>
      <c r="S36" s="70">
        <f>('Thurs (2)'!S36+Thurs!S36+'Tues '!S36+Wed!S36+Fri!S36+'Mon '!S36+'Wed (2)'!S36+Sun!S36+Sat!S36)</f>
        <v>0</v>
      </c>
      <c r="T36" s="70">
        <f>('Thurs (2)'!T36+Thurs!T36+'Tues '!T36+Wed!T36+Fri!T36+'Mon '!T36+'Wed (2)'!T36+Sun!T36+Sat!T36)</f>
        <v>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>
        <f>('Thurs (2)'!G37+Thurs!G37+'Tues '!G37+Wed!G37+Fri!G37+'Mon '!G37+'Wed (2)'!G37+Sun!G37+Sat!G37)</f>
        <v>1</v>
      </c>
      <c r="H37" s="70">
        <f>('Thurs (2)'!H37+Thurs!H37+'Tues '!H37+Wed!H37+Fri!H37+'Mon '!H37+'Wed (2)'!H37+Sun!H37+Sat!H37)</f>
        <v>0</v>
      </c>
      <c r="I37" s="70">
        <f>('Thurs (2)'!I37+Thurs!I37+'Tues '!I37+Wed!I37+Fri!I37+'Mon '!I37+'Wed (2)'!I37+Sun!I37+Sat!I37)</f>
        <v>0</v>
      </c>
      <c r="J37" s="70">
        <f>('Thurs (2)'!J37+Thurs!J37+'Tues '!J37+Wed!J37+Fri!J37+'Mon '!J37+'Wed (2)'!J37+Sun!J37+Sat!J37)</f>
        <v>0</v>
      </c>
      <c r="K37" s="70">
        <f>('Thurs (2)'!K37+Thurs!K37+'Tues '!K37+Wed!K37+Fri!K37+'Mon '!K37+'Wed (2)'!K37+Sun!K37+Sat!K37)</f>
        <v>0</v>
      </c>
      <c r="L37" s="70">
        <f>('Thurs (2)'!L37+Thurs!L37+'Tues '!L37+Wed!L37+Fri!L37+'Mon '!L37+'Wed (2)'!L37+Sun!L37+Sat!L37)</f>
        <v>0</v>
      </c>
      <c r="M37" s="70">
        <f>('Thurs (2)'!M37+Thurs!M37+'Tues '!M37+Wed!M37+Fri!M37+'Mon '!M37+'Wed (2)'!M37+Sun!M37+Sat!M37)</f>
        <v>0</v>
      </c>
      <c r="N37" s="70">
        <f>('Thurs (2)'!N37+Thurs!N37+'Tues '!N37+Wed!N37+Fri!N37+'Mon '!N37+'Wed (2)'!N37+Sun!N37+Sat!N37)</f>
        <v>0</v>
      </c>
      <c r="O37" s="70">
        <f>('Thurs (2)'!O37+Thurs!O37+'Tues '!O37+Wed!O37+Fri!O37+'Mon '!O37+'Wed (2)'!O37+Sun!O37+Sat!O37)</f>
        <v>0</v>
      </c>
      <c r="P37" s="70">
        <f>('Thurs (2)'!P37+Thurs!P37+'Tues '!P37+Wed!P37+Fri!P37+'Mon '!P37+'Wed (2)'!P37+Sun!P37+Sat!P37)</f>
        <v>0</v>
      </c>
      <c r="Q37" s="70">
        <f>('Thurs (2)'!Q37+Thurs!Q37+'Tues '!Q37+Wed!Q37+Fri!Q37+'Mon '!Q37+'Wed (2)'!Q37+Sun!Q37+Sat!Q37)</f>
        <v>0</v>
      </c>
      <c r="R37" s="70">
        <f>('Thurs (2)'!R37+Thurs!R37+'Tues '!R37+Wed!R37+Fri!R37+'Mon '!R37+'Wed (2)'!R37+Sun!R37+Sat!R37)</f>
        <v>0</v>
      </c>
      <c r="S37" s="70">
        <f>('Thurs (2)'!S37+Thurs!S37+'Tues '!S37+Wed!S37+Fri!S37+'Mon '!S37+'Wed (2)'!S37+Sun!S37+Sat!S37)</f>
        <v>0</v>
      </c>
      <c r="T37" s="70">
        <f>('Thurs (2)'!T37+Thurs!T37+'Tues '!T37+Wed!T37+Fri!T37+'Mon '!T37+'Wed (2)'!T37+Sun!T37+Sat!T37)</f>
        <v>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>
        <f>('Thurs (2)'!G38+Thurs!G38+'Tues '!G38+Wed!G38+Fri!G38+'Mon '!G38+'Wed (2)'!G38+Sun!G38+Sat!G38)</f>
        <v>4</v>
      </c>
      <c r="H38" s="70">
        <f>('Thurs (2)'!H38+Thurs!H38+'Tues '!H38+Wed!H38+Fri!H38+'Mon '!H38+'Wed (2)'!H38+Sun!H38+Sat!H38)</f>
        <v>3</v>
      </c>
      <c r="I38" s="70">
        <f>('Thurs (2)'!I38+Thurs!I38+'Tues '!I38+Wed!I38+Fri!I38+'Mon '!I38+'Wed (2)'!I38+Sun!I38+Sat!I38)</f>
        <v>2</v>
      </c>
      <c r="J38" s="70">
        <f>('Thurs (2)'!J38+Thurs!J38+'Tues '!J38+Wed!J38+Fri!J38+'Mon '!J38+'Wed (2)'!J38+Sun!J38+Sat!J38)</f>
        <v>0</v>
      </c>
      <c r="K38" s="70">
        <f>('Thurs (2)'!K38+Thurs!K38+'Tues '!K38+Wed!K38+Fri!K38+'Mon '!K38+'Wed (2)'!K38+Sun!K38+Sat!K38)</f>
        <v>0</v>
      </c>
      <c r="L38" s="70">
        <f>('Thurs (2)'!L38+Thurs!L38+'Tues '!L38+Wed!L38+Fri!L38+'Mon '!L38+'Wed (2)'!L38+Sun!L38+Sat!L38)</f>
        <v>0</v>
      </c>
      <c r="M38" s="70">
        <f>('Thurs (2)'!M38+Thurs!M38+'Tues '!M38+Wed!M38+Fri!M38+'Mon '!M38+'Wed (2)'!M38+Sun!M38+Sat!M38)</f>
        <v>17</v>
      </c>
      <c r="N38" s="70">
        <f>('Thurs (2)'!N38+Thurs!N38+'Tues '!N38+Wed!N38+Fri!N38+'Mon '!N38+'Wed (2)'!N38+Sun!N38+Sat!N38)</f>
        <v>3</v>
      </c>
      <c r="O38" s="70">
        <f>('Thurs (2)'!O38+Thurs!O38+'Tues '!O38+Wed!O38+Fri!O38+'Mon '!O38+'Wed (2)'!O38+Sun!O38+Sat!O38)</f>
        <v>2</v>
      </c>
      <c r="P38" s="70">
        <f>('Thurs (2)'!P38+Thurs!P38+'Tues '!P38+Wed!P38+Fri!P38+'Mon '!P38+'Wed (2)'!P38+Sun!P38+Sat!P38)</f>
        <v>0</v>
      </c>
      <c r="Q38" s="70">
        <f>('Thurs (2)'!Q38+Thurs!Q38+'Tues '!Q38+Wed!Q38+Fri!Q38+'Mon '!Q38+'Wed (2)'!Q38+Sun!Q38+Sat!Q38)</f>
        <v>0</v>
      </c>
      <c r="R38" s="70">
        <f>('Thurs (2)'!R38+Thurs!R38+'Tues '!R38+Wed!R38+Fri!R38+'Mon '!R38+'Wed (2)'!R38+Sun!R38+Sat!R38)</f>
        <v>0</v>
      </c>
      <c r="S38" s="70">
        <f>('Thurs (2)'!S38+Thurs!S38+'Tues '!S38+Wed!S38+Fri!S38+'Mon '!S38+'Wed (2)'!S38+Sun!S38+Sat!S38)</f>
        <v>0</v>
      </c>
      <c r="T38" s="70">
        <f>('Thurs (2)'!T38+Thurs!T38+'Tues '!T38+Wed!T38+Fri!T38+'Mon '!T38+'Wed (2)'!T38+Sun!T38+Sat!T38)</f>
        <v>2066</v>
      </c>
      <c r="U38" s="71">
        <f t="shared" si="3"/>
        <v>0.6666666667</v>
      </c>
      <c r="V38" s="71">
        <f t="shared" si="4"/>
        <v>0.75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70">
        <f>('Thurs (2)'!G39+Thurs!G39+'Tues '!G39+Wed!G39+Fri!G39+'Mon '!G39+'Wed (2)'!G39+Sun!G39+Sat!G39)</f>
        <v>0</v>
      </c>
      <c r="H39" s="70">
        <f>('Thurs (2)'!H39+Thurs!H39+'Tues '!H39+Wed!H39+Fri!H39+'Mon '!H39+'Wed (2)'!H39+Sun!H39+Sat!H39)</f>
        <v>0</v>
      </c>
      <c r="I39" s="70">
        <f>('Thurs (2)'!I39+Thurs!I39+'Tues '!I39+Wed!I39+Fri!I39+'Mon '!I39+'Wed (2)'!I39+Sun!I39+Sat!I39)</f>
        <v>0</v>
      </c>
      <c r="J39" s="70">
        <f>('Thurs (2)'!J39+Thurs!J39+'Tues '!J39+Wed!J39+Fri!J39+'Mon '!J39+'Wed (2)'!J39+Sun!J39+Sat!J39)</f>
        <v>0</v>
      </c>
      <c r="K39" s="70">
        <f>('Thurs (2)'!K39+Thurs!K39+'Tues '!K39+Wed!K39+Fri!K39+'Mon '!K39+'Wed (2)'!K39+Sun!K39+Sat!K39)</f>
        <v>0</v>
      </c>
      <c r="L39" s="70">
        <f>('Thurs (2)'!L39+Thurs!L39+'Tues '!L39+Wed!L39+Fri!L39+'Mon '!L39+'Wed (2)'!L39+Sun!L39+Sat!L39)</f>
        <v>0</v>
      </c>
      <c r="M39" s="70">
        <f>('Thurs (2)'!M39+Thurs!M39+'Tues '!M39+Wed!M39+Fri!M39+'Mon '!M39+'Wed (2)'!M39+Sun!M39+Sat!M39)</f>
        <v>0</v>
      </c>
      <c r="N39" s="70">
        <f>('Thurs (2)'!N39+Thurs!N39+'Tues '!N39+Wed!N39+Fri!N39+'Mon '!N39+'Wed (2)'!N39+Sun!N39+Sat!N39)</f>
        <v>0</v>
      </c>
      <c r="O39" s="70">
        <f>('Thurs (2)'!O39+Thurs!O39+'Tues '!O39+Wed!O39+Fri!O39+'Mon '!O39+'Wed (2)'!O39+Sun!O39+Sat!O39)</f>
        <v>0</v>
      </c>
      <c r="P39" s="70">
        <f>('Thurs (2)'!P39+Thurs!P39+'Tues '!P39+Wed!P39+Fri!P39+'Mon '!P39+'Wed (2)'!P39+Sun!P39+Sat!P39)</f>
        <v>0</v>
      </c>
      <c r="Q39" s="70">
        <f>('Thurs (2)'!Q39+Thurs!Q39+'Tues '!Q39+Wed!Q39+Fri!Q39+'Mon '!Q39+'Wed (2)'!Q39+Sun!Q39+Sat!Q39)</f>
        <v>0</v>
      </c>
      <c r="R39" s="70">
        <f>('Thurs (2)'!R39+Thurs!R39+'Tues '!R39+Wed!R39+Fri!R39+'Mon '!R39+'Wed (2)'!R39+Sun!R39+Sat!R39)</f>
        <v>0</v>
      </c>
      <c r="S39" s="70">
        <f>('Thurs (2)'!S39+Thurs!S39+'Tues '!S39+Wed!S39+Fri!S39+'Mon '!S39+'Wed (2)'!S39+Sun!S39+Sat!S39)</f>
        <v>0</v>
      </c>
      <c r="T39" s="70">
        <f>('Thurs (2)'!T39+Thurs!T39+'Tues '!T39+Wed!T39+Fri!T39+'Mon '!T39+'Wed (2)'!T39+Sun!T39+Sat!T39)</f>
        <v>0</v>
      </c>
      <c r="U39" s="71">
        <f t="shared" si="3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70">
        <f>('Thurs (2)'!G40+Thurs!G40+'Tues '!G40+Wed!G40+Fri!G40+'Mon '!G40+'Wed (2)'!G40+Sun!G40+Sat!G40)</f>
        <v>0</v>
      </c>
      <c r="H40" s="70">
        <f>('Thurs (2)'!H40+Thurs!H40+'Tues '!H40+Wed!H40+Fri!H40+'Mon '!H40+'Wed (2)'!H40+Sun!H40+Sat!H40)</f>
        <v>0</v>
      </c>
      <c r="I40" s="70">
        <f>('Thurs (2)'!I40+Thurs!I40+'Tues '!I40+Wed!I40+Fri!I40+'Mon '!I40+'Wed (2)'!I40+Sun!I40+Sat!I40)</f>
        <v>0</v>
      </c>
      <c r="J40" s="70">
        <f>('Thurs (2)'!J40+Thurs!J40+'Tues '!J40+Wed!J40+Fri!J40+'Mon '!J40+'Wed (2)'!J40+Sun!J40+Sat!J40)</f>
        <v>0</v>
      </c>
      <c r="K40" s="70">
        <f>('Thurs (2)'!K40+Thurs!K40+'Tues '!K40+Wed!K40+Fri!K40+'Mon '!K40+'Wed (2)'!K40+Sun!K40+Sat!K40)</f>
        <v>0</v>
      </c>
      <c r="L40" s="70">
        <f>('Thurs (2)'!L40+Thurs!L40+'Tues '!L40+Wed!L40+Fri!L40+'Mon '!L40+'Wed (2)'!L40+Sun!L40+Sat!L40)</f>
        <v>0</v>
      </c>
      <c r="M40" s="70">
        <f>('Thurs (2)'!M40+Thurs!M40+'Tues '!M40+Wed!M40+Fri!M40+'Mon '!M40+'Wed (2)'!M40+Sun!M40+Sat!M40)</f>
        <v>0</v>
      </c>
      <c r="N40" s="70">
        <f>('Thurs (2)'!N40+Thurs!N40+'Tues '!N40+Wed!N40+Fri!N40+'Mon '!N40+'Wed (2)'!N40+Sun!N40+Sat!N40)</f>
        <v>0</v>
      </c>
      <c r="O40" s="70">
        <f>('Thurs (2)'!O40+Thurs!O40+'Tues '!O40+Wed!O40+Fri!O40+'Mon '!O40+'Wed (2)'!O40+Sun!O40+Sat!O40)</f>
        <v>0</v>
      </c>
      <c r="P40" s="70">
        <f>('Thurs (2)'!P40+Thurs!P40+'Tues '!P40+Wed!P40+Fri!P40+'Mon '!P40+'Wed (2)'!P40+Sun!P40+Sat!P40)</f>
        <v>0</v>
      </c>
      <c r="Q40" s="70">
        <f>('Thurs (2)'!Q40+Thurs!Q40+'Tues '!Q40+Wed!Q40+Fri!Q40+'Mon '!Q40+'Wed (2)'!Q40+Sun!Q40+Sat!Q40)</f>
        <v>0</v>
      </c>
      <c r="R40" s="70">
        <f>('Thurs (2)'!R40+Thurs!R40+'Tues '!R40+Wed!R40+Fri!R40+'Mon '!R40+'Wed (2)'!R40+Sun!R40+Sat!R40)</f>
        <v>0</v>
      </c>
      <c r="S40" s="70">
        <f>('Thurs (2)'!S40+Thurs!S40+'Tues '!S40+Wed!S40+Fri!S40+'Mon '!S40+'Wed (2)'!S40+Sun!S40+Sat!S40)</f>
        <v>0</v>
      </c>
      <c r="T40" s="70">
        <f>('Thurs (2)'!T40+Thurs!T40+'Tues '!T40+Wed!T40+Fri!T40+'Mon '!T40+'Wed (2)'!T40+Sun!T40+Sat!T40)</f>
        <v>0</v>
      </c>
      <c r="U40" s="71">
        <f t="shared" si="3"/>
        <v>0</v>
      </c>
      <c r="V40" s="71">
        <f t="shared" si="4"/>
        <v>0</v>
      </c>
      <c r="W40" s="72"/>
    </row>
    <row r="41">
      <c r="A41" s="78" t="s">
        <v>26</v>
      </c>
      <c r="B41" s="79" t="s">
        <v>27</v>
      </c>
      <c r="C41" s="94"/>
      <c r="D41" s="79" t="s">
        <v>49</v>
      </c>
      <c r="E41" s="95"/>
      <c r="F41" s="79" t="s">
        <v>27</v>
      </c>
      <c r="G41" s="70">
        <f>('Thurs (2)'!G41+Thurs!G41+'Tues '!G41+Wed!G41+Fri!G41+'Mon '!G41+'Wed (2)'!G41+Sun!G41+Sat!G41)</f>
        <v>0</v>
      </c>
      <c r="H41" s="70">
        <f>('Thurs (2)'!H41+Thurs!H41+'Tues '!H41+Wed!H41+Fri!H41+'Mon '!H41+'Wed (2)'!H41+Sun!H41+Sat!H41)</f>
        <v>0</v>
      </c>
      <c r="I41" s="70">
        <f>('Thurs (2)'!I41+Thurs!I41+'Tues '!I41+Wed!I41+Fri!I41+'Mon '!I41+'Wed (2)'!I41+Sun!I41+Sat!I41)</f>
        <v>0</v>
      </c>
      <c r="J41" s="70">
        <f>('Thurs (2)'!J41+Thurs!J41+'Tues '!J41+Wed!J41+Fri!J41+'Mon '!J41+'Wed (2)'!J41+Sun!J41+Sat!J41)</f>
        <v>0</v>
      </c>
      <c r="K41" s="70">
        <f>('Thurs (2)'!K41+Thurs!K41+'Tues '!K41+Wed!K41+Fri!K41+'Mon '!K41+'Wed (2)'!K41+Sun!K41+Sat!K41)</f>
        <v>0</v>
      </c>
      <c r="L41" s="70">
        <f>('Thurs (2)'!L41+Thurs!L41+'Tues '!L41+Wed!L41+Fri!L41+'Mon '!L41+'Wed (2)'!L41+Sun!L41+Sat!L41)</f>
        <v>0</v>
      </c>
      <c r="M41" s="70">
        <f>('Thurs (2)'!M41+Thurs!M41+'Tues '!M41+Wed!M41+Fri!M41+'Mon '!M41+'Wed (2)'!M41+Sun!M41+Sat!M41)</f>
        <v>0</v>
      </c>
      <c r="N41" s="70">
        <f>('Thurs (2)'!N41+Thurs!N41+'Tues '!N41+Wed!N41+Fri!N41+'Mon '!N41+'Wed (2)'!N41+Sun!N41+Sat!N41)</f>
        <v>0</v>
      </c>
      <c r="O41" s="70">
        <f>('Thurs (2)'!O41+Thurs!O41+'Tues '!O41+Wed!O41+Fri!O41+'Mon '!O41+'Wed (2)'!O41+Sun!O41+Sat!O41)</f>
        <v>0</v>
      </c>
      <c r="P41" s="70">
        <f>('Thurs (2)'!P41+Thurs!P41+'Tues '!P41+Wed!P41+Fri!P41+'Mon '!P41+'Wed (2)'!P41+Sun!P41+Sat!P41)</f>
        <v>0</v>
      </c>
      <c r="Q41" s="70">
        <f>('Thurs (2)'!Q41+Thurs!Q41+'Tues '!Q41+Wed!Q41+Fri!Q41+'Mon '!Q41+'Wed (2)'!Q41+Sun!Q41+Sat!Q41)</f>
        <v>0</v>
      </c>
      <c r="R41" s="70">
        <f>('Thurs (2)'!R41+Thurs!R41+'Tues '!R41+Wed!R41+Fri!R41+'Mon '!R41+'Wed (2)'!R41+Sun!R41+Sat!R41)</f>
        <v>0</v>
      </c>
      <c r="S41" s="70">
        <f>('Thurs (2)'!S41+Thurs!S41+'Tues '!S41+Wed!S41+Fri!S41+'Mon '!S41+'Wed (2)'!S41+Sun!S41+Sat!S41)</f>
        <v>0</v>
      </c>
      <c r="T41" s="70">
        <f>('Thurs (2)'!T41+Thurs!T41+'Tues '!T41+Wed!T41+Fri!T41+'Mon '!T41+'Wed (2)'!T41+Sun!T41+Sat!T41)</f>
        <v>0</v>
      </c>
      <c r="U41" s="71">
        <f t="shared" si="3"/>
        <v>0</v>
      </c>
      <c r="V41" s="71">
        <f t="shared" si="4"/>
        <v>0</v>
      </c>
      <c r="W41" s="72"/>
    </row>
    <row r="42">
      <c r="A42" s="96" t="s">
        <v>26</v>
      </c>
      <c r="B42" s="77" t="s">
        <v>27</v>
      </c>
      <c r="C42" s="75"/>
      <c r="D42" s="75"/>
      <c r="E42" s="75"/>
      <c r="F42" s="77" t="s">
        <v>61</v>
      </c>
      <c r="G42" s="70">
        <f>('Thurs (2)'!G42+Thurs!G42+'Tues '!G42+Wed!G42+Fri!G42+'Mon '!G42+'Wed (2)'!G42+Sun!G42+Sat!G42)</f>
        <v>0</v>
      </c>
      <c r="H42" s="70">
        <f>('Thurs (2)'!H42+Thurs!H42+'Tues '!H42+Wed!H42+Fri!H42+'Mon '!H42+'Wed (2)'!H42+Sun!H42+Sat!H42)</f>
        <v>0</v>
      </c>
      <c r="I42" s="70">
        <f>('Thurs (2)'!I42+Thurs!I42+'Tues '!I42+Wed!I42+Fri!I42+'Mon '!I42+'Wed (2)'!I42+Sun!I42+Sat!I42)</f>
        <v>0</v>
      </c>
      <c r="J42" s="70">
        <f>('Thurs (2)'!J42+Thurs!J42+'Tues '!J42+Wed!J42+Fri!J42+'Mon '!J42+'Wed (2)'!J42+Sun!J42+Sat!J42)</f>
        <v>0</v>
      </c>
      <c r="K42" s="70">
        <f>('Thurs (2)'!K42+Thurs!K42+'Tues '!K42+Wed!K42+Fri!K42+'Mon '!K42+'Wed (2)'!K42+Sun!K42+Sat!K42)</f>
        <v>0</v>
      </c>
      <c r="L42" s="70">
        <f>('Thurs (2)'!L42+Thurs!L42+'Tues '!L42+Wed!L42+Fri!L42+'Mon '!L42+'Wed (2)'!L42+Sun!L42+Sat!L42)</f>
        <v>0</v>
      </c>
      <c r="M42" s="70">
        <f>('Thurs (2)'!M42+Thurs!M42+'Tues '!M42+Wed!M42+Fri!M42+'Mon '!M42+'Wed (2)'!M42+Sun!M42+Sat!M42)</f>
        <v>0</v>
      </c>
      <c r="N42" s="70">
        <f>('Thurs (2)'!N42+Thurs!N42+'Tues '!N42+Wed!N42+Fri!N42+'Mon '!N42+'Wed (2)'!N42+Sun!N42+Sat!N42)</f>
        <v>0</v>
      </c>
      <c r="O42" s="70">
        <f>('Thurs (2)'!O42+Thurs!O42+'Tues '!O42+Wed!O42+Fri!O42+'Mon '!O42+'Wed (2)'!O42+Sun!O42+Sat!O42)</f>
        <v>0</v>
      </c>
      <c r="P42" s="70">
        <f>('Thurs (2)'!P42+Thurs!P42+'Tues '!P42+Wed!P42+Fri!P42+'Mon '!P42+'Wed (2)'!P42+Sun!P42+Sat!P42)</f>
        <v>0</v>
      </c>
      <c r="Q42" s="70">
        <f>('Thurs (2)'!Q42+Thurs!Q42+'Tues '!Q42+Wed!Q42+Fri!Q42+'Mon '!Q42+'Wed (2)'!Q42+Sun!Q42+Sat!Q42)</f>
        <v>0</v>
      </c>
      <c r="R42" s="70">
        <f>('Thurs (2)'!R42+Thurs!R42+'Tues '!R42+Wed!R42+Fri!R42+'Mon '!R42+'Wed (2)'!R42+Sun!R42+Sat!R42)</f>
        <v>0</v>
      </c>
      <c r="S42" s="70">
        <f>('Thurs (2)'!S42+Thurs!S42+'Tues '!S42+Wed!S42+Fri!S42+'Mon '!S42+'Wed (2)'!S42+Sun!S42+Sat!S42)</f>
        <v>0</v>
      </c>
      <c r="T42" s="70">
        <f>('Thurs (2)'!T42+Thurs!T42+'Tues '!T42+Wed!T42+Fri!T42+'Mon '!T42+'Wed (2)'!T42+Sun!T42+Sat!T42)</f>
        <v>0</v>
      </c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>
        <f>('Thurs (2)'!G43+Thurs!G43+'Tues '!G43+Wed!G43+Fri!G43+'Mon '!G43+'Wed (2)'!G43+Sun!G43+Sat!G43)</f>
        <v>0</v>
      </c>
      <c r="H43" s="70">
        <f>('Thurs (2)'!H43+Thurs!H43+'Tues '!H43+Wed!H43+Fri!H43+'Mon '!H43+'Wed (2)'!H43+Sun!H43+Sat!H43)</f>
        <v>0</v>
      </c>
      <c r="I43" s="70">
        <f>('Thurs (2)'!I43+Thurs!I43+'Tues '!I43+Wed!I43+Fri!I43+'Mon '!I43+'Wed (2)'!I43+Sun!I43+Sat!I43)</f>
        <v>0</v>
      </c>
      <c r="J43" s="70">
        <f>('Thurs (2)'!J43+Thurs!J43+'Tues '!J43+Wed!J43+Fri!J43+'Mon '!J43+'Wed (2)'!J43+Sun!J43+Sat!J43)</f>
        <v>0</v>
      </c>
      <c r="K43" s="70">
        <f>('Thurs (2)'!K43+Thurs!K43+'Tues '!K43+Wed!K43+Fri!K43+'Mon '!K43+'Wed (2)'!K43+Sun!K43+Sat!K43)</f>
        <v>0</v>
      </c>
      <c r="L43" s="70">
        <f>('Thurs (2)'!L43+Thurs!L43+'Tues '!L43+Wed!L43+Fri!L43+'Mon '!L43+'Wed (2)'!L43+Sun!L43+Sat!L43)</f>
        <v>0</v>
      </c>
      <c r="M43" s="70">
        <f>('Thurs (2)'!M43+Thurs!M43+'Tues '!M43+Wed!M43+Fri!M43+'Mon '!M43+'Wed (2)'!M43+Sun!M43+Sat!M43)</f>
        <v>0</v>
      </c>
      <c r="N43" s="70">
        <f>('Thurs (2)'!N43+Thurs!N43+'Tues '!N43+Wed!N43+Fri!N43+'Mon '!N43+'Wed (2)'!N43+Sun!N43+Sat!N43)</f>
        <v>0</v>
      </c>
      <c r="O43" s="70">
        <f>('Thurs (2)'!O43+Thurs!O43+'Tues '!O43+Wed!O43+Fri!O43+'Mon '!O43+'Wed (2)'!O43+Sun!O43+Sat!O43)</f>
        <v>0</v>
      </c>
      <c r="P43" s="70">
        <f>('Thurs (2)'!P43+Thurs!P43+'Tues '!P43+Wed!P43+Fri!P43+'Mon '!P43+'Wed (2)'!P43+Sun!P43+Sat!P43)</f>
        <v>0</v>
      </c>
      <c r="Q43" s="70">
        <f>('Thurs (2)'!Q43+Thurs!Q43+'Tues '!Q43+Wed!Q43+Fri!Q43+'Mon '!Q43+'Wed (2)'!Q43+Sun!Q43+Sat!Q43)</f>
        <v>0</v>
      </c>
      <c r="R43" s="70">
        <f>('Thurs (2)'!R43+Thurs!R43+'Tues '!R43+Wed!R43+Fri!R43+'Mon '!R43+'Wed (2)'!R43+Sun!R43+Sat!R43)</f>
        <v>0</v>
      </c>
      <c r="S43" s="70">
        <f>('Thurs (2)'!S43+Thurs!S43+'Tues '!S43+Wed!S43+Fri!S43+'Mon '!S43+'Wed (2)'!S43+Sun!S43+Sat!S43)</f>
        <v>0</v>
      </c>
      <c r="T43" s="70">
        <f>('Thurs (2)'!T43+Thurs!T43+'Tues '!T43+Wed!T43+Fri!T43+'Mon '!T43+'Wed (2)'!T43+Sun!T43+Sat!T43)</f>
        <v>0</v>
      </c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>
        <f>('Thurs (2)'!G44+Thurs!G44+'Tues '!G44+Wed!G44+Fri!G44+'Mon '!G44+'Wed (2)'!G44+Sun!G44+Sat!G44)</f>
        <v>0</v>
      </c>
      <c r="H44" s="70">
        <f>('Thurs (2)'!H44+Thurs!H44+'Tues '!H44+Wed!H44+Fri!H44+'Mon '!H44+'Wed (2)'!H44+Sun!H44+Sat!H44)</f>
        <v>0</v>
      </c>
      <c r="I44" s="70">
        <f>('Thurs (2)'!I44+Thurs!I44+'Tues '!I44+Wed!I44+Fri!I44+'Mon '!I44+'Wed (2)'!I44+Sun!I44+Sat!I44)</f>
        <v>0</v>
      </c>
      <c r="J44" s="70">
        <f>('Thurs (2)'!J44+Thurs!J44+'Tues '!J44+Wed!J44+Fri!J44+'Mon '!J44+'Wed (2)'!J44+Sun!J44+Sat!J44)</f>
        <v>0</v>
      </c>
      <c r="K44" s="70">
        <f>('Thurs (2)'!K44+Thurs!K44+'Tues '!K44+Wed!K44+Fri!K44+'Mon '!K44+'Wed (2)'!K44+Sun!K44+Sat!K44)</f>
        <v>0</v>
      </c>
      <c r="L44" s="70">
        <f>('Thurs (2)'!L44+Thurs!L44+'Tues '!L44+Wed!L44+Fri!L44+'Mon '!L44+'Wed (2)'!L44+Sun!L44+Sat!L44)</f>
        <v>0</v>
      </c>
      <c r="M44" s="70">
        <f>('Thurs (2)'!M44+Thurs!M44+'Tues '!M44+Wed!M44+Fri!M44+'Mon '!M44+'Wed (2)'!M44+Sun!M44+Sat!M44)</f>
        <v>0</v>
      </c>
      <c r="N44" s="70">
        <f>('Thurs (2)'!N44+Thurs!N44+'Tues '!N44+Wed!N44+Fri!N44+'Mon '!N44+'Wed (2)'!N44+Sun!N44+Sat!N44)</f>
        <v>0</v>
      </c>
      <c r="O44" s="70">
        <f>('Thurs (2)'!O44+Thurs!O44+'Tues '!O44+Wed!O44+Fri!O44+'Mon '!O44+'Wed (2)'!O44+Sun!O44+Sat!O44)</f>
        <v>0</v>
      </c>
      <c r="P44" s="70">
        <f>('Thurs (2)'!P44+Thurs!P44+'Tues '!P44+Wed!P44+Fri!P44+'Mon '!P44+'Wed (2)'!P44+Sun!P44+Sat!P44)</f>
        <v>0</v>
      </c>
      <c r="Q44" s="70">
        <f>('Thurs (2)'!Q44+Thurs!Q44+'Tues '!Q44+Wed!Q44+Fri!Q44+'Mon '!Q44+'Wed (2)'!Q44+Sun!Q44+Sat!Q44)</f>
        <v>0</v>
      </c>
      <c r="R44" s="70">
        <f>('Thurs (2)'!R44+Thurs!R44+'Tues '!R44+Wed!R44+Fri!R44+'Mon '!R44+'Wed (2)'!R44+Sun!R44+Sat!R44)</f>
        <v>0</v>
      </c>
      <c r="S44" s="70">
        <f>('Thurs (2)'!S44+Thurs!S44+'Tues '!S44+Wed!S44+Fri!S44+'Mon '!S44+'Wed (2)'!S44+Sun!S44+Sat!S44)</f>
        <v>0</v>
      </c>
      <c r="T44" s="70">
        <f>('Thurs (2)'!T44+Thurs!T44+'Tues '!T44+Wed!T44+Fri!T44+'Mon '!T44+'Wed (2)'!T44+Sun!T44+Sat!T44)</f>
        <v>0</v>
      </c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>
        <f>('Thurs (2)'!G45+Thurs!G45+'Tues '!G45+Wed!G45+Fri!G45+'Mon '!G45+'Wed (2)'!G45+Sun!G45+Sat!G45)</f>
        <v>0</v>
      </c>
      <c r="H45" s="70">
        <f>('Thurs (2)'!H45+Thurs!H45+'Tues '!H45+Wed!H45+Fri!H45+'Mon '!H45+'Wed (2)'!H45+Sun!H45+Sat!H45)</f>
        <v>0</v>
      </c>
      <c r="I45" s="70">
        <f>('Thurs (2)'!I45+Thurs!I45+'Tues '!I45+Wed!I45+Fri!I45+'Mon '!I45+'Wed (2)'!I45+Sun!I45+Sat!I45)</f>
        <v>0</v>
      </c>
      <c r="J45" s="70">
        <f>('Thurs (2)'!J45+Thurs!J45+'Tues '!J45+Wed!J45+Fri!J45+'Mon '!J45+'Wed (2)'!J45+Sun!J45+Sat!J45)</f>
        <v>0</v>
      </c>
      <c r="K45" s="70">
        <f>('Thurs (2)'!K45+Thurs!K45+'Tues '!K45+Wed!K45+Fri!K45+'Mon '!K45+'Wed (2)'!K45+Sun!K45+Sat!K45)</f>
        <v>0</v>
      </c>
      <c r="L45" s="70">
        <f>('Thurs (2)'!L45+Thurs!L45+'Tues '!L45+Wed!L45+Fri!L45+'Mon '!L45+'Wed (2)'!L45+Sun!L45+Sat!L45)</f>
        <v>0</v>
      </c>
      <c r="M45" s="70">
        <f>('Thurs (2)'!M45+Thurs!M45+'Tues '!M45+Wed!M45+Fri!M45+'Mon '!M45+'Wed (2)'!M45+Sun!M45+Sat!M45)</f>
        <v>0</v>
      </c>
      <c r="N45" s="70">
        <f>('Thurs (2)'!N45+Thurs!N45+'Tues '!N45+Wed!N45+Fri!N45+'Mon '!N45+'Wed (2)'!N45+Sun!N45+Sat!N45)</f>
        <v>0</v>
      </c>
      <c r="O45" s="70">
        <f>('Thurs (2)'!O45+Thurs!O45+'Tues '!O45+Wed!O45+Fri!O45+'Mon '!O45+'Wed (2)'!O45+Sun!O45+Sat!O45)</f>
        <v>0</v>
      </c>
      <c r="P45" s="70">
        <f>('Thurs (2)'!P45+Thurs!P45+'Tues '!P45+Wed!P45+Fri!P45+'Mon '!P45+'Wed (2)'!P45+Sun!P45+Sat!P45)</f>
        <v>0</v>
      </c>
      <c r="Q45" s="70">
        <f>('Thurs (2)'!Q45+Thurs!Q45+'Tues '!Q45+Wed!Q45+Fri!Q45+'Mon '!Q45+'Wed (2)'!Q45+Sun!Q45+Sat!Q45)</f>
        <v>0</v>
      </c>
      <c r="R45" s="70">
        <f>('Thurs (2)'!R45+Thurs!R45+'Tues '!R45+Wed!R45+Fri!R45+'Mon '!R45+'Wed (2)'!R45+Sun!R45+Sat!R45)</f>
        <v>0</v>
      </c>
      <c r="S45" s="70">
        <f>('Thurs (2)'!S45+Thurs!S45+'Tues '!S45+Wed!S45+Fri!S45+'Mon '!S45+'Wed (2)'!S45+Sun!S45+Sat!S45)</f>
        <v>0</v>
      </c>
      <c r="T45" s="70">
        <f>('Thurs (2)'!T45+Thurs!T45+'Tues '!T45+Wed!T45+Fri!T45+'Mon '!T45+'Wed (2)'!T45+Sun!T45+Sat!T45)</f>
        <v>0</v>
      </c>
      <c r="U45" s="71">
        <f t="shared" si="3"/>
        <v>0</v>
      </c>
      <c r="V45" s="71">
        <f t="shared" si="4"/>
        <v>0</v>
      </c>
      <c r="W45" s="72"/>
    </row>
    <row r="46" ht="20.25" customHeight="1">
      <c r="A46" s="61" t="s">
        <v>33</v>
      </c>
      <c r="B46" s="62" t="s">
        <v>34</v>
      </c>
      <c r="C46" s="62" t="s">
        <v>35</v>
      </c>
      <c r="D46" s="63"/>
      <c r="E46" s="62" t="s">
        <v>36</v>
      </c>
      <c r="F46" s="62" t="s">
        <v>37</v>
      </c>
      <c r="G46" s="64" t="s">
        <v>38</v>
      </c>
      <c r="H46" s="64" t="s">
        <v>39</v>
      </c>
      <c r="I46" s="64" t="s">
        <v>40</v>
      </c>
      <c r="J46" s="64" t="s">
        <v>12</v>
      </c>
      <c r="K46" s="64" t="s">
        <v>41</v>
      </c>
      <c r="L46" s="64" t="s">
        <v>14</v>
      </c>
      <c r="M46" s="64" t="s">
        <v>9</v>
      </c>
      <c r="N46" s="64" t="s">
        <v>10</v>
      </c>
      <c r="O46" s="64" t="s">
        <v>42</v>
      </c>
      <c r="P46" s="64" t="s">
        <v>5</v>
      </c>
      <c r="Q46" s="64" t="s">
        <v>43</v>
      </c>
      <c r="R46" s="64" t="s">
        <v>44</v>
      </c>
      <c r="S46" s="64" t="s">
        <v>45</v>
      </c>
      <c r="T46" s="64" t="s">
        <v>0</v>
      </c>
      <c r="U46" s="62" t="s">
        <v>46</v>
      </c>
      <c r="V46" s="62" t="s">
        <v>47</v>
      </c>
      <c r="W46" s="97"/>
    </row>
    <row r="47" ht="12.75" customHeight="1">
      <c r="A47" s="66" t="s">
        <v>29</v>
      </c>
      <c r="B47" s="67"/>
      <c r="C47" s="67"/>
      <c r="D47" s="68" t="s">
        <v>49</v>
      </c>
      <c r="E47" s="69"/>
      <c r="F47" s="68" t="s">
        <v>29</v>
      </c>
      <c r="G47" s="70">
        <f>('Thurs (2)'!G47+Thurs!G47+'Tues '!G47+Wed!G47+Fri!G47+'Mon '!G47+'Wed (2)'!G47+Sun!G47+Sat!G47)</f>
        <v>0</v>
      </c>
      <c r="H47" s="70">
        <f>('Thurs (2)'!H47+Thurs!H47+'Tues '!H47+Wed!H47+Fri!H47+'Mon '!H47+'Wed (2)'!H47+Sun!H47+Sat!H47)</f>
        <v>0</v>
      </c>
      <c r="I47" s="70">
        <f>('Thurs (2)'!I47+Thurs!I47+'Tues '!I47+Wed!I47+Fri!I47+'Mon '!I47+'Wed (2)'!I47+Sun!I47+Sat!I47)</f>
        <v>0</v>
      </c>
      <c r="J47" s="70">
        <f>('Thurs (2)'!J47+Thurs!J47+'Tues '!J47+Wed!J47+Fri!J47+'Mon '!J47+'Wed (2)'!J47+Sun!J47+Sat!J47)</f>
        <v>0</v>
      </c>
      <c r="K47" s="70">
        <f>('Thurs (2)'!K47+Thurs!K47+'Tues '!K47+Wed!K47+Fri!K47+'Mon '!K47+'Wed (2)'!K47+Sun!K47+Sat!K47)</f>
        <v>0</v>
      </c>
      <c r="L47" s="70">
        <f>('Thurs (2)'!L47+Thurs!L47+'Tues '!L47+Wed!L47+Fri!L47+'Mon '!L47+'Wed (2)'!L47+Sun!L47+Sat!L47)</f>
        <v>0</v>
      </c>
      <c r="M47" s="70">
        <f>('Thurs (2)'!M47+Thurs!M47+'Tues '!M47+Wed!M47+Fri!M47+'Mon '!M47+'Wed (2)'!M47+Sun!M47+Sat!M47)</f>
        <v>0</v>
      </c>
      <c r="N47" s="70">
        <f>('Thurs (2)'!N47+Thurs!N47+'Tues '!N47+Wed!N47+Fri!N47+'Mon '!N47+'Wed (2)'!N47+Sun!N47+Sat!N47)</f>
        <v>0</v>
      </c>
      <c r="O47" s="70">
        <f>('Thurs (2)'!O47+Thurs!O47+'Tues '!O47+Wed!O47+Fri!O47+'Mon '!O47+'Wed (2)'!O47+Sun!O47+Sat!O47)</f>
        <v>0</v>
      </c>
      <c r="P47" s="70">
        <f>('Thurs (2)'!P47+Thurs!P47+'Tues '!P47+Wed!P47+Fri!P47+'Mon '!P47+'Wed (2)'!P47+Sun!P47+Sat!P47)</f>
        <v>0</v>
      </c>
      <c r="Q47" s="70">
        <f>('Thurs (2)'!Q47+Thurs!Q47+'Tues '!Q47+Wed!Q47+Fri!Q47+'Mon '!Q47+'Wed (2)'!Q47+Sun!Q47+Sat!Q47)</f>
        <v>0</v>
      </c>
      <c r="R47" s="70">
        <f>('Thurs (2)'!R47+Thurs!R47+'Tues '!R47+Wed!R47+Fri!R47+'Mon '!R47+'Wed (2)'!R47+Sun!R47+Sat!R47)</f>
        <v>0</v>
      </c>
      <c r="S47" s="70">
        <f>('Thurs (2)'!S47+Thurs!S47+'Tues '!S47+Wed!S47+Fri!S47+'Mon '!S47+'Wed (2)'!S47+Sun!S47+Sat!S47)</f>
        <v>0</v>
      </c>
      <c r="T47" s="70">
        <f>('Thurs (2)'!T47+Thurs!T47+'Tues '!T47+Wed!T47+Fri!T47+'Mon '!T47+'Wed (2)'!T47+Sun!T47+Sat!T47)</f>
        <v>0</v>
      </c>
      <c r="U47" s="71">
        <f t="shared" ref="U47:U50" si="5">IFERROR(I47/H47,0)</f>
        <v>0</v>
      </c>
      <c r="V47" s="71">
        <f t="shared" ref="V47:V50" si="6">IFERROR(SUM(H47+L47)/G47,0)</f>
        <v>0</v>
      </c>
      <c r="W47" s="72"/>
    </row>
    <row r="48">
      <c r="A48" s="73" t="s">
        <v>29</v>
      </c>
      <c r="B48" s="77"/>
      <c r="C48" s="75"/>
      <c r="D48" s="75"/>
      <c r="E48" s="75"/>
      <c r="F48" s="77" t="s">
        <v>65</v>
      </c>
      <c r="G48" s="70">
        <f>('Thurs (2)'!G48+Thurs!G48+'Tues '!G48+Wed!G48+Fri!G48+'Mon '!G48+'Wed (2)'!G48+Sun!G48+Sat!G48)</f>
        <v>0</v>
      </c>
      <c r="H48" s="70">
        <f>('Thurs (2)'!H48+Thurs!H48+'Tues '!H48+Wed!H48+Fri!H48+'Mon '!H48+'Wed (2)'!H48+Sun!H48+Sat!H48)</f>
        <v>0</v>
      </c>
      <c r="I48" s="70">
        <f>('Thurs (2)'!I48+Thurs!I48+'Tues '!I48+Wed!I48+Fri!I48+'Mon '!I48+'Wed (2)'!I48+Sun!I48+Sat!I48)</f>
        <v>0</v>
      </c>
      <c r="J48" s="70">
        <f>('Thurs (2)'!J48+Thurs!J48+'Tues '!J48+Wed!J48+Fri!J48+'Mon '!J48+'Wed (2)'!J48+Sun!J48+Sat!J48)</f>
        <v>0</v>
      </c>
      <c r="K48" s="70">
        <f>('Thurs (2)'!K48+Thurs!K48+'Tues '!K48+Wed!K48+Fri!K48+'Mon '!K48+'Wed (2)'!K48+Sun!K48+Sat!K48)</f>
        <v>0</v>
      </c>
      <c r="L48" s="70">
        <f>('Thurs (2)'!L48+Thurs!L48+'Tues '!L48+Wed!L48+Fri!L48+'Mon '!L48+'Wed (2)'!L48+Sun!L48+Sat!L48)</f>
        <v>0</v>
      </c>
      <c r="M48" s="70">
        <f>('Thurs (2)'!M48+Thurs!M48+'Tues '!M48+Wed!M48+Fri!M48+'Mon '!M48+'Wed (2)'!M48+Sun!M48+Sat!M48)</f>
        <v>0</v>
      </c>
      <c r="N48" s="70">
        <f>('Thurs (2)'!N48+Thurs!N48+'Tues '!N48+Wed!N48+Fri!N48+'Mon '!N48+'Wed (2)'!N48+Sun!N48+Sat!N48)</f>
        <v>0</v>
      </c>
      <c r="O48" s="70">
        <f>('Thurs (2)'!O48+Thurs!O48+'Tues '!O48+Wed!O48+Fri!O48+'Mon '!O48+'Wed (2)'!O48+Sun!O48+Sat!O48)</f>
        <v>0</v>
      </c>
      <c r="P48" s="70">
        <f>('Thurs (2)'!P48+Thurs!P48+'Tues '!P48+Wed!P48+Fri!P48+'Mon '!P48+'Wed (2)'!P48+Sun!P48+Sat!P48)</f>
        <v>0</v>
      </c>
      <c r="Q48" s="70">
        <f>('Thurs (2)'!Q48+Thurs!Q48+'Tues '!Q48+Wed!Q48+Fri!Q48+'Mon '!Q48+'Wed (2)'!Q48+Sun!Q48+Sat!Q48)</f>
        <v>0</v>
      </c>
      <c r="R48" s="70">
        <f>('Thurs (2)'!R48+Thurs!R48+'Tues '!R48+Wed!R48+Fri!R48+'Mon '!R48+'Wed (2)'!R48+Sun!R48+Sat!R48)</f>
        <v>0</v>
      </c>
      <c r="S48" s="70">
        <f>('Thurs (2)'!S48+Thurs!S48+'Tues '!S48+Wed!S48+Fri!S48+'Mon '!S48+'Wed (2)'!S48+Sun!S48+Sat!S48)</f>
        <v>0</v>
      </c>
      <c r="T48" s="70">
        <f>('Thurs (2)'!T48+Thurs!T48+'Tues '!T48+Wed!T48+Fri!T48+'Mon '!T48+'Wed (2)'!T48+Sun!T48+Sat!T48)</f>
        <v>0</v>
      </c>
      <c r="U48" s="71">
        <f t="shared" si="5"/>
        <v>0</v>
      </c>
      <c r="V48" s="71">
        <f t="shared" si="6"/>
        <v>0</v>
      </c>
      <c r="W48" s="72"/>
    </row>
    <row r="49" ht="12.75" customHeight="1">
      <c r="A49" s="82" t="s">
        <v>29</v>
      </c>
      <c r="B49" s="84"/>
      <c r="C49" s="98" t="s">
        <v>66</v>
      </c>
      <c r="D49" s="99" t="s">
        <v>49</v>
      </c>
      <c r="E49" s="84"/>
      <c r="F49" s="98" t="s">
        <v>66</v>
      </c>
      <c r="G49" s="70">
        <f>('Thurs (2)'!G49+Thurs!G49+'Tues '!G49+Wed!G49+Fri!G49+'Mon '!G49+'Wed (2)'!G49+Sun!G49+Sat!G49)</f>
        <v>6</v>
      </c>
      <c r="H49" s="70">
        <f>('Thurs (2)'!H49+Thurs!H49+'Tues '!H49+Wed!H49+Fri!H49+'Mon '!H49+'Wed (2)'!H49+Sun!H49+Sat!H49)</f>
        <v>3</v>
      </c>
      <c r="I49" s="70">
        <f>('Thurs (2)'!I49+Thurs!I49+'Tues '!I49+Wed!I49+Fri!I49+'Mon '!I49+'Wed (2)'!I49+Sun!I49+Sat!I49)</f>
        <v>1</v>
      </c>
      <c r="J49" s="70">
        <f>('Thurs (2)'!J49+Thurs!J49+'Tues '!J49+Wed!J49+Fri!J49+'Mon '!J49+'Wed (2)'!J49+Sun!J49+Sat!J49)</f>
        <v>1</v>
      </c>
      <c r="K49" s="70">
        <f>('Thurs (2)'!K49+Thurs!K49+'Tues '!K49+Wed!K49+Fri!K49+'Mon '!K49+'Wed (2)'!K49+Sun!K49+Sat!K49)</f>
        <v>0</v>
      </c>
      <c r="L49" s="70">
        <f>('Thurs (2)'!L49+Thurs!L49+'Tues '!L49+Wed!L49+Fri!L49+'Mon '!L49+'Wed (2)'!L49+Sun!L49+Sat!L49)</f>
        <v>2</v>
      </c>
      <c r="M49" s="70">
        <f>('Thurs (2)'!M49+Thurs!M49+'Tues '!M49+Wed!M49+Fri!M49+'Mon '!M49+'Wed (2)'!M49+Sun!M49+Sat!M49)</f>
        <v>5</v>
      </c>
      <c r="N49" s="70">
        <f>('Thurs (2)'!N49+Thurs!N49+'Tues '!N49+Wed!N49+Fri!N49+'Mon '!N49+'Wed (2)'!N49+Sun!N49+Sat!N49)</f>
        <v>0</v>
      </c>
      <c r="O49" s="70">
        <f>('Thurs (2)'!O49+Thurs!O49+'Tues '!O49+Wed!O49+Fri!O49+'Mon '!O49+'Wed (2)'!O49+Sun!O49+Sat!O49)</f>
        <v>0</v>
      </c>
      <c r="P49" s="70">
        <f>('Thurs (2)'!P49+Thurs!P49+'Tues '!P49+Wed!P49+Fri!P49+'Mon '!P49+'Wed (2)'!P49+Sun!P49+Sat!P49)</f>
        <v>1</v>
      </c>
      <c r="Q49" s="70">
        <f>('Thurs (2)'!Q49+Thurs!Q49+'Tues '!Q49+Wed!Q49+Fri!Q49+'Mon '!Q49+'Wed (2)'!Q49+Sun!Q49+Sat!Q49)</f>
        <v>1</v>
      </c>
      <c r="R49" s="70">
        <f>('Thurs (2)'!R49+Thurs!R49+'Tues '!R49+Wed!R49+Fri!R49+'Mon '!R49+'Wed (2)'!R49+Sun!R49+Sat!R49)</f>
        <v>2</v>
      </c>
      <c r="S49" s="70">
        <f>('Thurs (2)'!S49+Thurs!S49+'Tues '!S49+Wed!S49+Fri!S49+'Mon '!S49+'Wed (2)'!S49+Sun!S49+Sat!S49)</f>
        <v>0</v>
      </c>
      <c r="T49" s="70">
        <f>('Thurs (2)'!T49+Thurs!T49+'Tues '!T49+Wed!T49+Fri!T49+'Mon '!T49+'Wed (2)'!T49+Sun!T49+Sat!T49)</f>
        <v>258</v>
      </c>
      <c r="U49" s="71">
        <f t="shared" si="5"/>
        <v>0.3333333333</v>
      </c>
      <c r="V49" s="71">
        <f t="shared" si="6"/>
        <v>0.8333333333</v>
      </c>
      <c r="W49" s="72"/>
    </row>
    <row r="50">
      <c r="A50" s="85" t="s">
        <v>29</v>
      </c>
      <c r="B50" s="86"/>
      <c r="C50" s="86" t="s">
        <v>66</v>
      </c>
      <c r="D50" s="84"/>
      <c r="E50" s="84"/>
      <c r="F50" s="88" t="s">
        <v>67</v>
      </c>
      <c r="G50" s="70">
        <f>('Thurs (2)'!G50+Thurs!G50+'Tues '!G50+Wed!G50+Fri!G50+'Mon '!G50+'Wed (2)'!G50+Sun!G50+Sat!G50)</f>
        <v>0</v>
      </c>
      <c r="H50" s="70">
        <f>('Thurs (2)'!H50+Thurs!H50+'Tues '!H50+Wed!H50+Fri!H50+'Mon '!H50+'Wed (2)'!H50+Sun!H50+Sat!H50)</f>
        <v>0</v>
      </c>
      <c r="I50" s="70">
        <f>('Thurs (2)'!I50+Thurs!I50+'Tues '!I50+Wed!I50+Fri!I50+'Mon '!I50+'Wed (2)'!I50+Sun!I50+Sat!I50)</f>
        <v>0</v>
      </c>
      <c r="J50" s="70">
        <f>('Thurs (2)'!J50+Thurs!J50+'Tues '!J50+Wed!J50+Fri!J50+'Mon '!J50+'Wed (2)'!J50+Sun!J50+Sat!J50)</f>
        <v>0</v>
      </c>
      <c r="K50" s="70">
        <f>('Thurs (2)'!K50+Thurs!K50+'Tues '!K50+Wed!K50+Fri!K50+'Mon '!K50+'Wed (2)'!K50+Sun!K50+Sat!K50)</f>
        <v>0</v>
      </c>
      <c r="L50" s="70">
        <f>('Thurs (2)'!L50+Thurs!L50+'Tues '!L50+Wed!L50+Fri!L50+'Mon '!L50+'Wed (2)'!L50+Sun!L50+Sat!L50)</f>
        <v>0</v>
      </c>
      <c r="M50" s="70">
        <f>('Thurs (2)'!M50+Thurs!M50+'Tues '!M50+Wed!M50+Fri!M50+'Mon '!M50+'Wed (2)'!M50+Sun!M50+Sat!M50)</f>
        <v>0</v>
      </c>
      <c r="N50" s="70">
        <f>('Thurs (2)'!N50+Thurs!N50+'Tues '!N50+Wed!N50+Fri!N50+'Mon '!N50+'Wed (2)'!N50+Sun!N50+Sat!N50)</f>
        <v>0</v>
      </c>
      <c r="O50" s="70">
        <f>('Thurs (2)'!O50+Thurs!O50+'Tues '!O50+Wed!O50+Fri!O50+'Mon '!O50+'Wed (2)'!O50+Sun!O50+Sat!O50)</f>
        <v>0</v>
      </c>
      <c r="P50" s="70">
        <f>('Thurs (2)'!P50+Thurs!P50+'Tues '!P50+Wed!P50+Fri!P50+'Mon '!P50+'Wed (2)'!P50+Sun!P50+Sat!P50)</f>
        <v>0</v>
      </c>
      <c r="Q50" s="70">
        <f>('Thurs (2)'!Q50+Thurs!Q50+'Tues '!Q50+Wed!Q50+Fri!Q50+'Mon '!Q50+'Wed (2)'!Q50+Sun!Q50+Sat!Q50)</f>
        <v>0</v>
      </c>
      <c r="R50" s="70">
        <f>('Thurs (2)'!R50+Thurs!R50+'Tues '!R50+Wed!R50+Fri!R50+'Mon '!R50+'Wed (2)'!R50+Sun!R50+Sat!R50)</f>
        <v>0</v>
      </c>
      <c r="S50" s="70">
        <f>('Thurs (2)'!S50+Thurs!S50+'Tues '!S50+Wed!S50+Fri!S50+'Mon '!S50+'Wed (2)'!S50+Sun!S50+Sat!S50)</f>
        <v>0</v>
      </c>
      <c r="T50" s="70">
        <f>('Thurs (2)'!T50+Thurs!T50+'Tues '!T50+Wed!T50+Fri!T50+'Mon '!T50+'Wed (2)'!T50+Sun!T50+Sat!T50)</f>
        <v>0</v>
      </c>
      <c r="U50" s="71">
        <f t="shared" si="5"/>
        <v>0</v>
      </c>
      <c r="V50" s="71">
        <f t="shared" si="6"/>
        <v>0</v>
      </c>
      <c r="W50" s="72"/>
    </row>
    <row r="51" ht="20.25" customHeight="1">
      <c r="A51" s="61" t="s">
        <v>33</v>
      </c>
      <c r="B51" s="62" t="s">
        <v>34</v>
      </c>
      <c r="C51" s="62" t="s">
        <v>35</v>
      </c>
      <c r="D51" s="63"/>
      <c r="E51" s="62" t="s">
        <v>36</v>
      </c>
      <c r="F51" s="62" t="s">
        <v>37</v>
      </c>
      <c r="G51" s="64" t="s">
        <v>38</v>
      </c>
      <c r="H51" s="64" t="s">
        <v>39</v>
      </c>
      <c r="I51" s="64" t="s">
        <v>40</v>
      </c>
      <c r="J51" s="64" t="s">
        <v>12</v>
      </c>
      <c r="K51" s="64" t="s">
        <v>41</v>
      </c>
      <c r="L51" s="64" t="s">
        <v>14</v>
      </c>
      <c r="M51" s="64" t="s">
        <v>9</v>
      </c>
      <c r="N51" s="64" t="s">
        <v>10</v>
      </c>
      <c r="O51" s="64" t="s">
        <v>42</v>
      </c>
      <c r="P51" s="64" t="s">
        <v>5</v>
      </c>
      <c r="Q51" s="64" t="s">
        <v>43</v>
      </c>
      <c r="R51" s="64" t="s">
        <v>44</v>
      </c>
      <c r="S51" s="64" t="s">
        <v>45</v>
      </c>
      <c r="T51" s="64" t="s">
        <v>0</v>
      </c>
      <c r="U51" s="62" t="s">
        <v>46</v>
      </c>
      <c r="V51" s="62" t="s">
        <v>47</v>
      </c>
      <c r="W51" s="97"/>
    </row>
    <row r="52" ht="12.75" customHeight="1">
      <c r="A52" s="100" t="s">
        <v>30</v>
      </c>
      <c r="B52" s="59"/>
      <c r="C52" s="59"/>
      <c r="D52" s="101" t="s">
        <v>49</v>
      </c>
      <c r="E52" s="59"/>
      <c r="F52" s="100" t="s">
        <v>30</v>
      </c>
      <c r="G52" s="70">
        <f>('Thurs (2)'!G52+Thurs!G52+'Tues '!G52+Wed!G52+Fri!G52+'Mon '!G52+'Wed (2)'!G52+Sun!G52+Sat!G52)</f>
        <v>0</v>
      </c>
      <c r="H52" s="70">
        <f>('Thurs (2)'!H52+Thurs!H52+'Tues '!H52+Wed!H52+Fri!H52+'Mon '!H52+'Wed (2)'!H52+Sun!H52+Sat!H52)</f>
        <v>0</v>
      </c>
      <c r="I52" s="70">
        <f>('Thurs (2)'!I52+Thurs!I52+'Tues '!I52+Wed!I52+Fri!I52+'Mon '!I52+'Wed (2)'!I52+Sun!I52+Sat!I52)</f>
        <v>0</v>
      </c>
      <c r="J52" s="70">
        <f>('Thurs (2)'!J52+Thurs!J52+'Tues '!J52+Wed!J52+Fri!J52+'Mon '!J52+'Wed (2)'!J52+Sun!J52+Sat!J52)</f>
        <v>0</v>
      </c>
      <c r="K52" s="70">
        <f>('Thurs (2)'!K52+Thurs!K52+'Tues '!K52+Wed!K52+Fri!K52+'Mon '!K52+'Wed (2)'!K52+Sun!K52+Sat!K52)</f>
        <v>0</v>
      </c>
      <c r="L52" s="70">
        <f>('Thurs (2)'!L52+Thurs!L52+'Tues '!L52+Wed!L52+Fri!L52+'Mon '!L52+'Wed (2)'!L52+Sun!L52+Sat!L52)</f>
        <v>0</v>
      </c>
      <c r="M52" s="70">
        <f>('Thurs (2)'!M52+Thurs!M52+'Tues '!M52+Wed!M52+Fri!M52+'Mon '!M52+'Wed (2)'!M52+Sun!M52+Sat!M52)</f>
        <v>0</v>
      </c>
      <c r="N52" s="70">
        <f>('Thurs (2)'!N52+Thurs!N52+'Tues '!N52+Wed!N52+Fri!N52+'Mon '!N52+'Wed (2)'!N52+Sun!N52+Sat!N52)</f>
        <v>0</v>
      </c>
      <c r="O52" s="70">
        <f>('Thurs (2)'!O52+Thurs!O52+'Tues '!O52+Wed!O52+Fri!O52+'Mon '!O52+'Wed (2)'!O52+Sun!O52+Sat!O52)</f>
        <v>0</v>
      </c>
      <c r="P52" s="70">
        <f>('Thurs (2)'!P52+Thurs!P52+'Tues '!P52+Wed!P52+Fri!P52+'Mon '!P52+'Wed (2)'!P52+Sun!P52+Sat!P52)</f>
        <v>0</v>
      </c>
      <c r="Q52" s="70">
        <f>('Thurs (2)'!Q52+Thurs!Q52+'Tues '!Q52+Wed!Q52+Fri!Q52+'Mon '!Q52+'Wed (2)'!Q52+Sun!Q52+Sat!Q52)</f>
        <v>0</v>
      </c>
      <c r="R52" s="70">
        <f>('Thurs (2)'!R52+Thurs!R52+'Tues '!R52+Wed!R52+Fri!R52+'Mon '!R52+'Wed (2)'!R52+Sun!R52+Sat!R52)</f>
        <v>0</v>
      </c>
      <c r="S52" s="70">
        <f>('Thurs (2)'!S52+Thurs!S52+'Tues '!S52+Wed!S52+Fri!S52+'Mon '!S52+'Wed (2)'!S52+Sun!S52+Sat!S52)</f>
        <v>0</v>
      </c>
      <c r="T52" s="70">
        <f>('Thurs (2)'!T52+Thurs!T52+'Tues '!T52+Wed!T52+Fri!T52+'Mon '!T52+'Wed (2)'!T52+Sun!T52+Sat!T52)</f>
        <v>0</v>
      </c>
      <c r="U52" s="71">
        <f t="shared" ref="U52:U73" si="7">IFERROR(I52/H52,0)</f>
        <v>0</v>
      </c>
      <c r="V52" s="71">
        <f t="shared" ref="V52:V73" si="8">IFERROR(SUM(H52+L52)/G52,0)</f>
        <v>0</v>
      </c>
      <c r="W52" s="72"/>
    </row>
    <row r="53" ht="12.75" customHeight="1">
      <c r="A53" s="102" t="s">
        <v>30</v>
      </c>
      <c r="B53" s="59"/>
      <c r="C53" s="59"/>
      <c r="D53" s="58"/>
      <c r="E53" s="75"/>
      <c r="F53" s="102" t="s">
        <v>68</v>
      </c>
      <c r="G53" s="70">
        <f>('Thurs (2)'!G53+Thurs!G53+'Tues '!G53+Wed!G53+Fri!G53+'Mon '!G53+'Wed (2)'!G53+Sun!G53+Sat!G53)</f>
        <v>0</v>
      </c>
      <c r="H53" s="70">
        <f>('Thurs (2)'!H53+Thurs!H53+'Tues '!H53+Wed!H53+Fri!H53+'Mon '!H53+'Wed (2)'!H53+Sun!H53+Sat!H53)</f>
        <v>0</v>
      </c>
      <c r="I53" s="70">
        <f>('Thurs (2)'!I53+Thurs!I53+'Tues '!I53+Wed!I53+Fri!I53+'Mon '!I53+'Wed (2)'!I53+Sun!I53+Sat!I53)</f>
        <v>0</v>
      </c>
      <c r="J53" s="70">
        <f>('Thurs (2)'!J53+Thurs!J53+'Tues '!J53+Wed!J53+Fri!J53+'Mon '!J53+'Wed (2)'!J53+Sun!J53+Sat!J53)</f>
        <v>0</v>
      </c>
      <c r="K53" s="70">
        <f>('Thurs (2)'!K53+Thurs!K53+'Tues '!K53+Wed!K53+Fri!K53+'Mon '!K53+'Wed (2)'!K53+Sun!K53+Sat!K53)</f>
        <v>0</v>
      </c>
      <c r="L53" s="70">
        <f>('Thurs (2)'!L53+Thurs!L53+'Tues '!L53+Wed!L53+Fri!L53+'Mon '!L53+'Wed (2)'!L53+Sun!L53+Sat!L53)</f>
        <v>0</v>
      </c>
      <c r="M53" s="70">
        <f>('Thurs (2)'!M53+Thurs!M53+'Tues '!M53+Wed!M53+Fri!M53+'Mon '!M53+'Wed (2)'!M53+Sun!M53+Sat!M53)</f>
        <v>0</v>
      </c>
      <c r="N53" s="70">
        <f>('Thurs (2)'!N53+Thurs!N53+'Tues '!N53+Wed!N53+Fri!N53+'Mon '!N53+'Wed (2)'!N53+Sun!N53+Sat!N53)</f>
        <v>0</v>
      </c>
      <c r="O53" s="70">
        <f>('Thurs (2)'!O53+Thurs!O53+'Tues '!O53+Wed!O53+Fri!O53+'Mon '!O53+'Wed (2)'!O53+Sun!O53+Sat!O53)</f>
        <v>0</v>
      </c>
      <c r="P53" s="70">
        <f>('Thurs (2)'!P53+Thurs!P53+'Tues '!P53+Wed!P53+Fri!P53+'Mon '!P53+'Wed (2)'!P53+Sun!P53+Sat!P53)</f>
        <v>0</v>
      </c>
      <c r="Q53" s="70">
        <f>('Thurs (2)'!Q53+Thurs!Q53+'Tues '!Q53+Wed!Q53+Fri!Q53+'Mon '!Q53+'Wed (2)'!Q53+Sun!Q53+Sat!Q53)</f>
        <v>0</v>
      </c>
      <c r="R53" s="70">
        <f>('Thurs (2)'!R53+Thurs!R53+'Tues '!R53+Wed!R53+Fri!R53+'Mon '!R53+'Wed (2)'!R53+Sun!R53+Sat!R53)</f>
        <v>0</v>
      </c>
      <c r="S53" s="70">
        <f>('Thurs (2)'!S53+Thurs!S53+'Tues '!S53+Wed!S53+Fri!S53+'Mon '!S53+'Wed (2)'!S53+Sun!S53+Sat!S53)</f>
        <v>0</v>
      </c>
      <c r="T53" s="70">
        <f>('Thurs (2)'!T53+Thurs!T53+'Tues '!T53+Wed!T53+Fri!T53+'Mon '!T53+'Wed (2)'!T53+Sun!T53+Sat!T53)</f>
        <v>0</v>
      </c>
      <c r="U53" s="71">
        <f t="shared" si="7"/>
        <v>0</v>
      </c>
      <c r="V53" s="71">
        <f t="shared" si="8"/>
        <v>0</v>
      </c>
      <c r="W53" s="72"/>
    </row>
    <row r="54" ht="12.75" customHeight="1">
      <c r="A54" s="103" t="s">
        <v>30</v>
      </c>
      <c r="B54" s="103"/>
      <c r="C54" s="103"/>
      <c r="D54" s="58"/>
      <c r="E54" s="75"/>
      <c r="F54" s="104" t="s">
        <v>69</v>
      </c>
      <c r="G54" s="70">
        <f>('Thurs (2)'!G54+Thurs!G54+'Tues '!G54+Wed!G54+Fri!G54+'Mon '!G54+'Wed (2)'!G54+Sun!G54+Sat!G54)</f>
        <v>0</v>
      </c>
      <c r="H54" s="70">
        <f>('Thurs (2)'!H54+Thurs!H54+'Tues '!H54+Wed!H54+Fri!H54+'Mon '!H54+'Wed (2)'!H54+Sun!H54+Sat!H54)</f>
        <v>0</v>
      </c>
      <c r="I54" s="70">
        <f>('Thurs (2)'!I54+Thurs!I54+'Tues '!I54+Wed!I54+Fri!I54+'Mon '!I54+'Wed (2)'!I54+Sun!I54+Sat!I54)</f>
        <v>0</v>
      </c>
      <c r="J54" s="70">
        <f>('Thurs (2)'!J54+Thurs!J54+'Tues '!J54+Wed!J54+Fri!J54+'Mon '!J54+'Wed (2)'!J54+Sun!J54+Sat!J54)</f>
        <v>0</v>
      </c>
      <c r="K54" s="70">
        <f>('Thurs (2)'!K54+Thurs!K54+'Tues '!K54+Wed!K54+Fri!K54+'Mon '!K54+'Wed (2)'!K54+Sun!K54+Sat!K54)</f>
        <v>0</v>
      </c>
      <c r="L54" s="70">
        <f>('Thurs (2)'!L54+Thurs!L54+'Tues '!L54+Wed!L54+Fri!L54+'Mon '!L54+'Wed (2)'!L54+Sun!L54+Sat!L54)</f>
        <v>0</v>
      </c>
      <c r="M54" s="70">
        <f>('Thurs (2)'!M54+Thurs!M54+'Tues '!M54+Wed!M54+Fri!M54+'Mon '!M54+'Wed (2)'!M54+Sun!M54+Sat!M54)</f>
        <v>0</v>
      </c>
      <c r="N54" s="70">
        <f>('Thurs (2)'!N54+Thurs!N54+'Tues '!N54+Wed!N54+Fri!N54+'Mon '!N54+'Wed (2)'!N54+Sun!N54+Sat!N54)</f>
        <v>0</v>
      </c>
      <c r="O54" s="70">
        <f>('Thurs (2)'!O54+Thurs!O54+'Tues '!O54+Wed!O54+Fri!O54+'Mon '!O54+'Wed (2)'!O54+Sun!O54+Sat!O54)</f>
        <v>0</v>
      </c>
      <c r="P54" s="70">
        <f>('Thurs (2)'!P54+Thurs!P54+'Tues '!P54+Wed!P54+Fri!P54+'Mon '!P54+'Wed (2)'!P54+Sun!P54+Sat!P54)</f>
        <v>0</v>
      </c>
      <c r="Q54" s="70">
        <f>('Thurs (2)'!Q54+Thurs!Q54+'Tues '!Q54+Wed!Q54+Fri!Q54+'Mon '!Q54+'Wed (2)'!Q54+Sun!Q54+Sat!Q54)</f>
        <v>0</v>
      </c>
      <c r="R54" s="70">
        <f>('Thurs (2)'!R54+Thurs!R54+'Tues '!R54+Wed!R54+Fri!R54+'Mon '!R54+'Wed (2)'!R54+Sun!R54+Sat!R54)</f>
        <v>0</v>
      </c>
      <c r="S54" s="70">
        <f>('Thurs (2)'!S54+Thurs!S54+'Tues '!S54+Wed!S54+Fri!S54+'Mon '!S54+'Wed (2)'!S54+Sun!S54+Sat!S54)</f>
        <v>0</v>
      </c>
      <c r="T54" s="70">
        <f>('Thurs (2)'!T54+Thurs!T54+'Tues '!T54+Wed!T54+Fri!T54+'Mon '!T54+'Wed (2)'!T54+Sun!T54+Sat!T54)</f>
        <v>0</v>
      </c>
      <c r="U54" s="71">
        <f t="shared" si="7"/>
        <v>0</v>
      </c>
      <c r="V54" s="71">
        <f t="shared" si="8"/>
        <v>0</v>
      </c>
      <c r="W54" s="72"/>
    </row>
    <row r="55" ht="12.75" customHeight="1">
      <c r="A55" s="105" t="s">
        <v>30</v>
      </c>
      <c r="B55" s="105" t="s">
        <v>31</v>
      </c>
      <c r="C55" s="106"/>
      <c r="D55" s="107" t="s">
        <v>49</v>
      </c>
      <c r="E55" s="95"/>
      <c r="F55" s="105" t="s">
        <v>31</v>
      </c>
      <c r="G55" s="70">
        <f>('Thurs (2)'!G55+Thurs!G55+'Tues '!G55+Wed!G55+Fri!G55+'Mon '!G55+'Wed (2)'!G55+Sun!G55+Sat!G55)</f>
        <v>15</v>
      </c>
      <c r="H55" s="70">
        <f>('Thurs (2)'!H55+Thurs!H55+'Tues '!H55+Wed!H55+Fri!H55+'Mon '!H55+'Wed (2)'!H55+Sun!H55+Sat!H55)</f>
        <v>3</v>
      </c>
      <c r="I55" s="70">
        <f>('Thurs (2)'!I55+Thurs!I55+'Tues '!I55+Wed!I55+Fri!I55+'Mon '!I55+'Wed (2)'!I55+Sun!I55+Sat!I55)</f>
        <v>0</v>
      </c>
      <c r="J55" s="70">
        <f>('Thurs (2)'!J55+Thurs!J55+'Tues '!J55+Wed!J55+Fri!J55+'Mon '!J55+'Wed (2)'!J55+Sun!J55+Sat!J55)</f>
        <v>4</v>
      </c>
      <c r="K55" s="70">
        <f>('Thurs (2)'!K55+Thurs!K55+'Tues '!K55+Wed!K55+Fri!K55+'Mon '!K55+'Wed (2)'!K55+Sun!K55+Sat!K55)</f>
        <v>0</v>
      </c>
      <c r="L55" s="70">
        <f>('Thurs (2)'!L55+Thurs!L55+'Tues '!L55+Wed!L55+Fri!L55+'Mon '!L55+'Wed (2)'!L55+Sun!L55+Sat!L55)</f>
        <v>2</v>
      </c>
      <c r="M55" s="70">
        <f>('Thurs (2)'!M55+Thurs!M55+'Tues '!M55+Wed!M55+Fri!M55+'Mon '!M55+'Wed (2)'!M55+Sun!M55+Sat!M55)</f>
        <v>12</v>
      </c>
      <c r="N55" s="70">
        <f>('Thurs (2)'!N55+Thurs!N55+'Tues '!N55+Wed!N55+Fri!N55+'Mon '!N55+'Wed (2)'!N55+Sun!N55+Sat!N55)</f>
        <v>1</v>
      </c>
      <c r="O55" s="70">
        <f>('Thurs (2)'!O55+Thurs!O55+'Tues '!O55+Wed!O55+Fri!O55+'Mon '!O55+'Wed (2)'!O55+Sun!O55+Sat!O55)</f>
        <v>0</v>
      </c>
      <c r="P55" s="70">
        <f>('Thurs (2)'!P55+Thurs!P55+'Tues '!P55+Wed!P55+Fri!P55+'Mon '!P55+'Wed (2)'!P55+Sun!P55+Sat!P55)</f>
        <v>0</v>
      </c>
      <c r="Q55" s="70">
        <f>('Thurs (2)'!Q55+Thurs!Q55+'Tues '!Q55+Wed!Q55+Fri!Q55+'Mon '!Q55+'Wed (2)'!Q55+Sun!Q55+Sat!Q55)</f>
        <v>0</v>
      </c>
      <c r="R55" s="70">
        <f>('Thurs (2)'!R55+Thurs!R55+'Tues '!R55+Wed!R55+Fri!R55+'Mon '!R55+'Wed (2)'!R55+Sun!R55+Sat!R55)</f>
        <v>4</v>
      </c>
      <c r="S55" s="70">
        <f>('Thurs (2)'!S55+Thurs!S55+'Tues '!S55+Wed!S55+Fri!S55+'Mon '!S55+'Wed (2)'!S55+Sun!S55+Sat!S55)</f>
        <v>0</v>
      </c>
      <c r="T55" s="70">
        <f>('Thurs (2)'!T55+Thurs!T55+'Tues '!T55+Wed!T55+Fri!T55+'Mon '!T55+'Wed (2)'!T55+Sun!T55+Sat!T55)</f>
        <v>0</v>
      </c>
      <c r="U55" s="71">
        <f t="shared" si="7"/>
        <v>0</v>
      </c>
      <c r="V55" s="71">
        <f t="shared" si="8"/>
        <v>0.3333333333</v>
      </c>
      <c r="W55" s="72"/>
    </row>
    <row r="56" ht="12.75" customHeight="1">
      <c r="A56" s="102" t="s">
        <v>30</v>
      </c>
      <c r="B56" s="103" t="s">
        <v>31</v>
      </c>
      <c r="C56" s="103"/>
      <c r="D56" s="108"/>
      <c r="E56" s="69"/>
      <c r="F56" s="109" t="s">
        <v>70</v>
      </c>
      <c r="G56" s="70">
        <f>('Thurs (2)'!G56+Thurs!G56+'Tues '!G56+Wed!G56+Fri!G56+'Mon '!G56+'Wed (2)'!G56+Sun!G56+Sat!G56)</f>
        <v>4</v>
      </c>
      <c r="H56" s="70">
        <f>('Thurs (2)'!H56+Thurs!H56+'Tues '!H56+Wed!H56+Fri!H56+'Mon '!H56+'Wed (2)'!H56+Sun!H56+Sat!H56)</f>
        <v>1</v>
      </c>
      <c r="I56" s="70">
        <f>('Thurs (2)'!I56+Thurs!I56+'Tues '!I56+Wed!I56+Fri!I56+'Mon '!I56+'Wed (2)'!I56+Sun!I56+Sat!I56)</f>
        <v>1</v>
      </c>
      <c r="J56" s="70">
        <f>('Thurs (2)'!J56+Thurs!J56+'Tues '!J56+Wed!J56+Fri!J56+'Mon '!J56+'Wed (2)'!J56+Sun!J56+Sat!J56)</f>
        <v>0</v>
      </c>
      <c r="K56" s="70">
        <f>('Thurs (2)'!K56+Thurs!K56+'Tues '!K56+Wed!K56+Fri!K56+'Mon '!K56+'Wed (2)'!K56+Sun!K56+Sat!K56)</f>
        <v>0</v>
      </c>
      <c r="L56" s="70">
        <f>('Thurs (2)'!L56+Thurs!L56+'Tues '!L56+Wed!L56+Fri!L56+'Mon '!L56+'Wed (2)'!L56+Sun!L56+Sat!L56)</f>
        <v>0</v>
      </c>
      <c r="M56" s="70">
        <f>('Thurs (2)'!M56+Thurs!M56+'Tues '!M56+Wed!M56+Fri!M56+'Mon '!M56+'Wed (2)'!M56+Sun!M56+Sat!M56)</f>
        <v>4</v>
      </c>
      <c r="N56" s="70">
        <f>('Thurs (2)'!N56+Thurs!N56+'Tues '!N56+Wed!N56+Fri!N56+'Mon '!N56+'Wed (2)'!N56+Sun!N56+Sat!N56)</f>
        <v>1</v>
      </c>
      <c r="O56" s="70">
        <f>('Thurs (2)'!O56+Thurs!O56+'Tues '!O56+Wed!O56+Fri!O56+'Mon '!O56+'Wed (2)'!O56+Sun!O56+Sat!O56)</f>
        <v>1</v>
      </c>
      <c r="P56" s="70">
        <f>('Thurs (2)'!P56+Thurs!P56+'Tues '!P56+Wed!P56+Fri!P56+'Mon '!P56+'Wed (2)'!P56+Sun!P56+Sat!P56)</f>
        <v>0</v>
      </c>
      <c r="Q56" s="70">
        <f>('Thurs (2)'!Q56+Thurs!Q56+'Tues '!Q56+Wed!Q56+Fri!Q56+'Mon '!Q56+'Wed (2)'!Q56+Sun!Q56+Sat!Q56)</f>
        <v>0</v>
      </c>
      <c r="R56" s="70">
        <f>('Thurs (2)'!R56+Thurs!R56+'Tues '!R56+Wed!R56+Fri!R56+'Mon '!R56+'Wed (2)'!R56+Sun!R56+Sat!R56)</f>
        <v>0</v>
      </c>
      <c r="S56" s="70">
        <f>('Thurs (2)'!S56+Thurs!S56+'Tues '!S56+Wed!S56+Fri!S56+'Mon '!S56+'Wed (2)'!S56+Sun!S56+Sat!S56)</f>
        <v>0</v>
      </c>
      <c r="T56" s="70">
        <f>('Thurs (2)'!T56+Thurs!T56+'Tues '!T56+Wed!T56+Fri!T56+'Mon '!T56+'Wed (2)'!T56+Sun!T56+Sat!T56)</f>
        <v>1228</v>
      </c>
      <c r="U56" s="71">
        <f t="shared" si="7"/>
        <v>1</v>
      </c>
      <c r="V56" s="71">
        <f t="shared" si="8"/>
        <v>0.25</v>
      </c>
      <c r="W56" s="72"/>
    </row>
    <row r="57" ht="12.75" customHeight="1">
      <c r="A57" s="102" t="s">
        <v>30</v>
      </c>
      <c r="B57" s="102" t="s">
        <v>31</v>
      </c>
      <c r="C57" s="59"/>
      <c r="D57" s="59"/>
      <c r="E57" s="75"/>
      <c r="F57" s="102" t="s">
        <v>71</v>
      </c>
      <c r="G57" s="70">
        <f>('Thurs (2)'!G57+Thurs!G57+'Tues '!G57+Wed!G57+Fri!G57+'Mon '!G57+'Wed (2)'!G57+Sun!G57+Sat!G57)</f>
        <v>0</v>
      </c>
      <c r="H57" s="70">
        <f>('Thurs (2)'!H57+Thurs!H57+'Tues '!H57+Wed!H57+Fri!H57+'Mon '!H57+'Wed (2)'!H57+Sun!H57+Sat!H57)</f>
        <v>0</v>
      </c>
      <c r="I57" s="70">
        <f>('Thurs (2)'!I57+Thurs!I57+'Tues '!I57+Wed!I57+Fri!I57+'Mon '!I57+'Wed (2)'!I57+Sun!I57+Sat!I57)</f>
        <v>0</v>
      </c>
      <c r="J57" s="70">
        <f>('Thurs (2)'!J57+Thurs!J57+'Tues '!J57+Wed!J57+Fri!J57+'Mon '!J57+'Wed (2)'!J57+Sun!J57+Sat!J57)</f>
        <v>0</v>
      </c>
      <c r="K57" s="70">
        <f>('Thurs (2)'!K57+Thurs!K57+'Tues '!K57+Wed!K57+Fri!K57+'Mon '!K57+'Wed (2)'!K57+Sun!K57+Sat!K57)</f>
        <v>0</v>
      </c>
      <c r="L57" s="70">
        <f>('Thurs (2)'!L57+Thurs!L57+'Tues '!L57+Wed!L57+Fri!L57+'Mon '!L57+'Wed (2)'!L57+Sun!L57+Sat!L57)</f>
        <v>0</v>
      </c>
      <c r="M57" s="70">
        <f>('Thurs (2)'!M57+Thurs!M57+'Tues '!M57+Wed!M57+Fri!M57+'Mon '!M57+'Wed (2)'!M57+Sun!M57+Sat!M57)</f>
        <v>0</v>
      </c>
      <c r="N57" s="70">
        <f>('Thurs (2)'!N57+Thurs!N57+'Tues '!N57+Wed!N57+Fri!N57+'Mon '!N57+'Wed (2)'!N57+Sun!N57+Sat!N57)</f>
        <v>0</v>
      </c>
      <c r="O57" s="70">
        <f>('Thurs (2)'!O57+Thurs!O57+'Tues '!O57+Wed!O57+Fri!O57+'Mon '!O57+'Wed (2)'!O57+Sun!O57+Sat!O57)</f>
        <v>0</v>
      </c>
      <c r="P57" s="70">
        <f>('Thurs (2)'!P57+Thurs!P57+'Tues '!P57+Wed!P57+Fri!P57+'Mon '!P57+'Wed (2)'!P57+Sun!P57+Sat!P57)</f>
        <v>0</v>
      </c>
      <c r="Q57" s="70">
        <f>('Thurs (2)'!Q57+Thurs!Q57+'Tues '!Q57+Wed!Q57+Fri!Q57+'Mon '!Q57+'Wed (2)'!Q57+Sun!Q57+Sat!Q57)</f>
        <v>0</v>
      </c>
      <c r="R57" s="70">
        <f>('Thurs (2)'!R57+Thurs!R57+'Tues '!R57+Wed!R57+Fri!R57+'Mon '!R57+'Wed (2)'!R57+Sun!R57+Sat!R57)</f>
        <v>0</v>
      </c>
      <c r="S57" s="70">
        <f>('Thurs (2)'!S57+Thurs!S57+'Tues '!S57+Wed!S57+Fri!S57+'Mon '!S57+'Wed (2)'!S57+Sun!S57+Sat!S57)</f>
        <v>0</v>
      </c>
      <c r="T57" s="70">
        <f>('Thurs (2)'!T57+Thurs!T57+'Tues '!T57+Wed!T57+Fri!T57+'Mon '!T57+'Wed (2)'!T57+Sun!T57+Sat!T57)</f>
        <v>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2" t="s">
        <v>31</v>
      </c>
      <c r="C58" s="102"/>
      <c r="D58" s="59"/>
      <c r="E58" s="75"/>
      <c r="F58" s="102" t="s">
        <v>72</v>
      </c>
      <c r="G58" s="70">
        <f>('Thurs (2)'!G58+Thurs!G58+'Tues '!G58+Wed!G58+Fri!G58+'Mon '!G58+'Wed (2)'!G58+Sun!G58+Sat!G58)</f>
        <v>1</v>
      </c>
      <c r="H58" s="70">
        <f>('Thurs (2)'!H58+Thurs!H58+'Tues '!H58+Wed!H58+Fri!H58+'Mon '!H58+'Wed (2)'!H58+Sun!H58+Sat!H58)</f>
        <v>0</v>
      </c>
      <c r="I58" s="70">
        <f>('Thurs (2)'!I58+Thurs!I58+'Tues '!I58+Wed!I58+Fri!I58+'Mon '!I58+'Wed (2)'!I58+Sun!I58+Sat!I58)</f>
        <v>0</v>
      </c>
      <c r="J58" s="70">
        <f>('Thurs (2)'!J58+Thurs!J58+'Tues '!J58+Wed!J58+Fri!J58+'Mon '!J58+'Wed (2)'!J58+Sun!J58+Sat!J58)</f>
        <v>0</v>
      </c>
      <c r="K58" s="70">
        <f>('Thurs (2)'!K58+Thurs!K58+'Tues '!K58+Wed!K58+Fri!K58+'Mon '!K58+'Wed (2)'!K58+Sun!K58+Sat!K58)</f>
        <v>0</v>
      </c>
      <c r="L58" s="70">
        <f>('Thurs (2)'!L58+Thurs!L58+'Tues '!L58+Wed!L58+Fri!L58+'Mon '!L58+'Wed (2)'!L58+Sun!L58+Sat!L58)</f>
        <v>0</v>
      </c>
      <c r="M58" s="70">
        <f>('Thurs (2)'!M58+Thurs!M58+'Tues '!M58+Wed!M58+Fri!M58+'Mon '!M58+'Wed (2)'!M58+Sun!M58+Sat!M58)</f>
        <v>0</v>
      </c>
      <c r="N58" s="70">
        <f>('Thurs (2)'!N58+Thurs!N58+'Tues '!N58+Wed!N58+Fri!N58+'Mon '!N58+'Wed (2)'!N58+Sun!N58+Sat!N58)</f>
        <v>0</v>
      </c>
      <c r="O58" s="70">
        <f>('Thurs (2)'!O58+Thurs!O58+'Tues '!O58+Wed!O58+Fri!O58+'Mon '!O58+'Wed (2)'!O58+Sun!O58+Sat!O58)</f>
        <v>0</v>
      </c>
      <c r="P58" s="70">
        <f>('Thurs (2)'!P58+Thurs!P58+'Tues '!P58+Wed!P58+Fri!P58+'Mon '!P58+'Wed (2)'!P58+Sun!P58+Sat!P58)</f>
        <v>0</v>
      </c>
      <c r="Q58" s="70">
        <f>('Thurs (2)'!Q58+Thurs!Q58+'Tues '!Q58+Wed!Q58+Fri!Q58+'Mon '!Q58+'Wed (2)'!Q58+Sun!Q58+Sat!Q58)</f>
        <v>0</v>
      </c>
      <c r="R58" s="70">
        <f>('Thurs (2)'!R58+Thurs!R58+'Tues '!R58+Wed!R58+Fri!R58+'Mon '!R58+'Wed (2)'!R58+Sun!R58+Sat!R58)</f>
        <v>0</v>
      </c>
      <c r="S58" s="70">
        <f>('Thurs (2)'!S58+Thurs!S58+'Tues '!S58+Wed!S58+Fri!S58+'Mon '!S58+'Wed (2)'!S58+Sun!S58+Sat!S58)</f>
        <v>0</v>
      </c>
      <c r="T58" s="70">
        <f>('Thurs (2)'!T58+Thurs!T58+'Tues '!T58+Wed!T58+Fri!T58+'Mon '!T58+'Wed (2)'!T58+Sun!T58+Sat!T58)</f>
        <v>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10" t="s">
        <v>30</v>
      </c>
      <c r="B59" s="110" t="s">
        <v>31</v>
      </c>
      <c r="C59" s="110" t="s">
        <v>73</v>
      </c>
      <c r="D59" s="99" t="s">
        <v>49</v>
      </c>
      <c r="E59" s="84"/>
      <c r="F59" s="110" t="s">
        <v>73</v>
      </c>
      <c r="G59" s="70">
        <f>('Thurs (2)'!G59+Thurs!G59+'Tues '!G59+Wed!G59+Fri!G59+'Mon '!G59+'Wed (2)'!G59+Sun!G59+Sat!G59)</f>
        <v>0</v>
      </c>
      <c r="H59" s="70">
        <f>('Thurs (2)'!H59+Thurs!H59+'Tues '!H59+Wed!H59+Fri!H59+'Mon '!H59+'Wed (2)'!H59+Sun!H59+Sat!H59)</f>
        <v>0</v>
      </c>
      <c r="I59" s="70">
        <f>('Thurs (2)'!I59+Thurs!I59+'Tues '!I59+Wed!I59+Fri!I59+'Mon '!I59+'Wed (2)'!I59+Sun!I59+Sat!I59)</f>
        <v>0</v>
      </c>
      <c r="J59" s="70">
        <f>('Thurs (2)'!J59+Thurs!J59+'Tues '!J59+Wed!J59+Fri!J59+'Mon '!J59+'Wed (2)'!J59+Sun!J59+Sat!J59)</f>
        <v>0</v>
      </c>
      <c r="K59" s="70">
        <f>('Thurs (2)'!K59+Thurs!K59+'Tues '!K59+Wed!K59+Fri!K59+'Mon '!K59+'Wed (2)'!K59+Sun!K59+Sat!K59)</f>
        <v>0</v>
      </c>
      <c r="L59" s="70">
        <f>('Thurs (2)'!L59+Thurs!L59+'Tues '!L59+Wed!L59+Fri!L59+'Mon '!L59+'Wed (2)'!L59+Sun!L59+Sat!L59)</f>
        <v>0</v>
      </c>
      <c r="M59" s="70">
        <f>('Thurs (2)'!M59+Thurs!M59+'Tues '!M59+Wed!M59+Fri!M59+'Mon '!M59+'Wed (2)'!M59+Sun!M59+Sat!M59)</f>
        <v>0</v>
      </c>
      <c r="N59" s="70">
        <f>('Thurs (2)'!N59+Thurs!N59+'Tues '!N59+Wed!N59+Fri!N59+'Mon '!N59+'Wed (2)'!N59+Sun!N59+Sat!N59)</f>
        <v>0</v>
      </c>
      <c r="O59" s="70">
        <f>('Thurs (2)'!O59+Thurs!O59+'Tues '!O59+Wed!O59+Fri!O59+'Mon '!O59+'Wed (2)'!O59+Sun!O59+Sat!O59)</f>
        <v>0</v>
      </c>
      <c r="P59" s="70">
        <f>('Thurs (2)'!P59+Thurs!P59+'Tues '!P59+Wed!P59+Fri!P59+'Mon '!P59+'Wed (2)'!P59+Sun!P59+Sat!P59)</f>
        <v>0</v>
      </c>
      <c r="Q59" s="70">
        <f>('Thurs (2)'!Q59+Thurs!Q59+'Tues '!Q59+Wed!Q59+Fri!Q59+'Mon '!Q59+'Wed (2)'!Q59+Sun!Q59+Sat!Q59)</f>
        <v>0</v>
      </c>
      <c r="R59" s="70">
        <f>('Thurs (2)'!R59+Thurs!R59+'Tues '!R59+Wed!R59+Fri!R59+'Mon '!R59+'Wed (2)'!R59+Sun!R59+Sat!R59)</f>
        <v>0</v>
      </c>
      <c r="S59" s="70">
        <f>('Thurs (2)'!S59+Thurs!S59+'Tues '!S59+Wed!S59+Fri!S59+'Mon '!S59+'Wed (2)'!S59+Sun!S59+Sat!S59)</f>
        <v>0</v>
      </c>
      <c r="T59" s="70">
        <f>('Thurs (2)'!T59+Thurs!T59+'Tues '!T59+Wed!T59+Fri!T59+'Mon '!T59+'Wed (2)'!T59+Sun!T59+Sat!T59)</f>
        <v>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11" t="s">
        <v>30</v>
      </c>
      <c r="B60" s="111" t="s">
        <v>31</v>
      </c>
      <c r="C60" s="111" t="s">
        <v>73</v>
      </c>
      <c r="D60" s="112"/>
      <c r="E60" s="84"/>
      <c r="F60" s="111" t="s">
        <v>74</v>
      </c>
      <c r="G60" s="70">
        <f>('Thurs (2)'!G60+Thurs!G60+'Tues '!G60+Wed!G60+Fri!G60+'Mon '!G60+'Wed (2)'!G60+Sun!G60+Sat!G60)</f>
        <v>1</v>
      </c>
      <c r="H60" s="70">
        <f>('Thurs (2)'!H60+Thurs!H60+'Tues '!H60+Wed!H60+Fri!H60+'Mon '!H60+'Wed (2)'!H60+Sun!H60+Sat!H60)</f>
        <v>0</v>
      </c>
      <c r="I60" s="70">
        <f>('Thurs (2)'!I60+Thurs!I60+'Tues '!I60+Wed!I60+Fri!I60+'Mon '!I60+'Wed (2)'!I60+Sun!I60+Sat!I60)</f>
        <v>0</v>
      </c>
      <c r="J60" s="70">
        <f>('Thurs (2)'!J60+Thurs!J60+'Tues '!J60+Wed!J60+Fri!J60+'Mon '!J60+'Wed (2)'!J60+Sun!J60+Sat!J60)</f>
        <v>1</v>
      </c>
      <c r="K60" s="70">
        <f>('Thurs (2)'!K60+Thurs!K60+'Tues '!K60+Wed!K60+Fri!K60+'Mon '!K60+'Wed (2)'!K60+Sun!K60+Sat!K60)</f>
        <v>0</v>
      </c>
      <c r="L60" s="70">
        <f>('Thurs (2)'!L60+Thurs!L60+'Tues '!L60+Wed!L60+Fri!L60+'Mon '!L60+'Wed (2)'!L60+Sun!L60+Sat!L60)</f>
        <v>1</v>
      </c>
      <c r="M60" s="70">
        <f>('Thurs (2)'!M60+Thurs!M60+'Tues '!M60+Wed!M60+Fri!M60+'Mon '!M60+'Wed (2)'!M60+Sun!M60+Sat!M60)</f>
        <v>3</v>
      </c>
      <c r="N60" s="70">
        <f>('Thurs (2)'!N60+Thurs!N60+'Tues '!N60+Wed!N60+Fri!N60+'Mon '!N60+'Wed (2)'!N60+Sun!N60+Sat!N60)</f>
        <v>0</v>
      </c>
      <c r="O60" s="70">
        <f>('Thurs (2)'!O60+Thurs!O60+'Tues '!O60+Wed!O60+Fri!O60+'Mon '!O60+'Wed (2)'!O60+Sun!O60+Sat!O60)</f>
        <v>0</v>
      </c>
      <c r="P60" s="70">
        <f>('Thurs (2)'!P60+Thurs!P60+'Tues '!P60+Wed!P60+Fri!P60+'Mon '!P60+'Wed (2)'!P60+Sun!P60+Sat!P60)</f>
        <v>0</v>
      </c>
      <c r="Q60" s="70">
        <f>('Thurs (2)'!Q60+Thurs!Q60+'Tues '!Q60+Wed!Q60+Fri!Q60+'Mon '!Q60+'Wed (2)'!Q60+Sun!Q60+Sat!Q60)</f>
        <v>0</v>
      </c>
      <c r="R60" s="70">
        <f>('Thurs (2)'!R60+Thurs!R60+'Tues '!R60+Wed!R60+Fri!R60+'Mon '!R60+'Wed (2)'!R60+Sun!R60+Sat!R60)</f>
        <v>0</v>
      </c>
      <c r="S60" s="70">
        <f>('Thurs (2)'!S60+Thurs!S60+'Tues '!S60+Wed!S60+Fri!S60+'Mon '!S60+'Wed (2)'!S60+Sun!S60+Sat!S60)</f>
        <v>0</v>
      </c>
      <c r="T60" s="70">
        <f>('Thurs (2)'!T60+Thurs!T60+'Tues '!T60+Wed!T60+Fri!T60+'Mon '!T60+'Wed (2)'!T60+Sun!T60+Sat!T60)</f>
        <v>0</v>
      </c>
      <c r="U60" s="71">
        <f t="shared" si="7"/>
        <v>0</v>
      </c>
      <c r="V60" s="71">
        <f t="shared" si="8"/>
        <v>1</v>
      </c>
      <c r="W60" s="72"/>
    </row>
    <row r="61" ht="12.75" customHeight="1">
      <c r="A61" s="111" t="s">
        <v>30</v>
      </c>
      <c r="B61" s="111" t="s">
        <v>31</v>
      </c>
      <c r="C61" s="111" t="s">
        <v>73</v>
      </c>
      <c r="D61" s="112"/>
      <c r="E61" s="84"/>
      <c r="F61" s="111" t="s">
        <v>75</v>
      </c>
      <c r="G61" s="70">
        <f>('Thurs (2)'!G61+Thurs!G61+'Tues '!G61+Wed!G61+Fri!G61+'Mon '!G61+'Wed (2)'!G61+Sun!G61+Sat!G61)</f>
        <v>0</v>
      </c>
      <c r="H61" s="70">
        <f>('Thurs (2)'!H61+Thurs!H61+'Tues '!H61+Wed!H61+Fri!H61+'Mon '!H61+'Wed (2)'!H61+Sun!H61+Sat!H61)</f>
        <v>0</v>
      </c>
      <c r="I61" s="70">
        <f>('Thurs (2)'!I61+Thurs!I61+'Tues '!I61+Wed!I61+Fri!I61+'Mon '!I61+'Wed (2)'!I61+Sun!I61+Sat!I61)</f>
        <v>0</v>
      </c>
      <c r="J61" s="70">
        <f>('Thurs (2)'!J61+Thurs!J61+'Tues '!J61+Wed!J61+Fri!J61+'Mon '!J61+'Wed (2)'!J61+Sun!J61+Sat!J61)</f>
        <v>0</v>
      </c>
      <c r="K61" s="70">
        <f>('Thurs (2)'!K61+Thurs!K61+'Tues '!K61+Wed!K61+Fri!K61+'Mon '!K61+'Wed (2)'!K61+Sun!K61+Sat!K61)</f>
        <v>0</v>
      </c>
      <c r="L61" s="70">
        <f>('Thurs (2)'!L61+Thurs!L61+'Tues '!L61+Wed!L61+Fri!L61+'Mon '!L61+'Wed (2)'!L61+Sun!L61+Sat!L61)</f>
        <v>0</v>
      </c>
      <c r="M61" s="70">
        <f>('Thurs (2)'!M61+Thurs!M61+'Tues '!M61+Wed!M61+Fri!M61+'Mon '!M61+'Wed (2)'!M61+Sun!M61+Sat!M61)</f>
        <v>0</v>
      </c>
      <c r="N61" s="70">
        <f>('Thurs (2)'!N61+Thurs!N61+'Tues '!N61+Wed!N61+Fri!N61+'Mon '!N61+'Wed (2)'!N61+Sun!N61+Sat!N61)</f>
        <v>0</v>
      </c>
      <c r="O61" s="70">
        <f>('Thurs (2)'!O61+Thurs!O61+'Tues '!O61+Wed!O61+Fri!O61+'Mon '!O61+'Wed (2)'!O61+Sun!O61+Sat!O61)</f>
        <v>0</v>
      </c>
      <c r="P61" s="70">
        <f>('Thurs (2)'!P61+Thurs!P61+'Tues '!P61+Wed!P61+Fri!P61+'Mon '!P61+'Wed (2)'!P61+Sun!P61+Sat!P61)</f>
        <v>0</v>
      </c>
      <c r="Q61" s="70">
        <f>('Thurs (2)'!Q61+Thurs!Q61+'Tues '!Q61+Wed!Q61+Fri!Q61+'Mon '!Q61+'Wed (2)'!Q61+Sun!Q61+Sat!Q61)</f>
        <v>0</v>
      </c>
      <c r="R61" s="70">
        <f>('Thurs (2)'!R61+Thurs!R61+'Tues '!R61+Wed!R61+Fri!R61+'Mon '!R61+'Wed (2)'!R61+Sun!R61+Sat!R61)</f>
        <v>0</v>
      </c>
      <c r="S61" s="70">
        <f>('Thurs (2)'!S61+Thurs!S61+'Tues '!S61+Wed!S61+Fri!S61+'Mon '!S61+'Wed (2)'!S61+Sun!S61+Sat!S61)</f>
        <v>0</v>
      </c>
      <c r="T61" s="70">
        <f>('Thurs (2)'!T61+Thurs!T61+'Tues '!T61+Wed!T61+Fri!T61+'Mon '!T61+'Wed (2)'!T61+Sun!T61+Sat!T61)</f>
        <v>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73</v>
      </c>
      <c r="D62" s="112"/>
      <c r="E62" s="84"/>
      <c r="F62" s="111" t="s">
        <v>76</v>
      </c>
      <c r="G62" s="70">
        <f>('Thurs (2)'!G62+Thurs!G62+'Tues '!G62+Wed!G62+Fri!G62+'Mon '!G62+'Wed (2)'!G62+Sun!G62+Sat!G62)</f>
        <v>5</v>
      </c>
      <c r="H62" s="70">
        <f>('Thurs (2)'!H62+Thurs!H62+'Tues '!H62+Wed!H62+Fri!H62+'Mon '!H62+'Wed (2)'!H62+Sun!H62+Sat!H62)</f>
        <v>2</v>
      </c>
      <c r="I62" s="70">
        <f>('Thurs (2)'!I62+Thurs!I62+'Tues '!I62+Wed!I62+Fri!I62+'Mon '!I62+'Wed (2)'!I62+Sun!I62+Sat!I62)</f>
        <v>2</v>
      </c>
      <c r="J62" s="70">
        <f>('Thurs (2)'!J62+Thurs!J62+'Tues '!J62+Wed!J62+Fri!J62+'Mon '!J62+'Wed (2)'!J62+Sun!J62+Sat!J62)</f>
        <v>0</v>
      </c>
      <c r="K62" s="70">
        <f>('Thurs (2)'!K62+Thurs!K62+'Tues '!K62+Wed!K62+Fri!K62+'Mon '!K62+'Wed (2)'!K62+Sun!K62+Sat!K62)</f>
        <v>0</v>
      </c>
      <c r="L62" s="70">
        <f>('Thurs (2)'!L62+Thurs!L62+'Tues '!L62+Wed!L62+Fri!L62+'Mon '!L62+'Wed (2)'!L62+Sun!L62+Sat!L62)</f>
        <v>0</v>
      </c>
      <c r="M62" s="70">
        <f>('Thurs (2)'!M62+Thurs!M62+'Tues '!M62+Wed!M62+Fri!M62+'Mon '!M62+'Wed (2)'!M62+Sun!M62+Sat!M62)</f>
        <v>8</v>
      </c>
      <c r="N62" s="70">
        <f>('Thurs (2)'!N62+Thurs!N62+'Tues '!N62+Wed!N62+Fri!N62+'Mon '!N62+'Wed (2)'!N62+Sun!N62+Sat!N62)</f>
        <v>1</v>
      </c>
      <c r="O62" s="70">
        <f>('Thurs (2)'!O62+Thurs!O62+'Tues '!O62+Wed!O62+Fri!O62+'Mon '!O62+'Wed (2)'!O62+Sun!O62+Sat!O62)</f>
        <v>1</v>
      </c>
      <c r="P62" s="70">
        <f>('Thurs (2)'!P62+Thurs!P62+'Tues '!P62+Wed!P62+Fri!P62+'Mon '!P62+'Wed (2)'!P62+Sun!P62+Sat!P62)</f>
        <v>0</v>
      </c>
      <c r="Q62" s="70">
        <f>('Thurs (2)'!Q62+Thurs!Q62+'Tues '!Q62+Wed!Q62+Fri!Q62+'Mon '!Q62+'Wed (2)'!Q62+Sun!Q62+Sat!Q62)</f>
        <v>0</v>
      </c>
      <c r="R62" s="70">
        <f>('Thurs (2)'!R62+Thurs!R62+'Tues '!R62+Wed!R62+Fri!R62+'Mon '!R62+'Wed (2)'!R62+Sun!R62+Sat!R62)</f>
        <v>1</v>
      </c>
      <c r="S62" s="70">
        <f>('Thurs (2)'!S62+Thurs!S62+'Tues '!S62+Wed!S62+Fri!S62+'Mon '!S62+'Wed (2)'!S62+Sun!S62+Sat!S62)</f>
        <v>1</v>
      </c>
      <c r="T62" s="70">
        <f>('Thurs (2)'!T62+Thurs!T62+'Tues '!T62+Wed!T62+Fri!T62+'Mon '!T62+'Wed (2)'!T62+Sun!T62+Sat!T62)</f>
        <v>3860</v>
      </c>
      <c r="U62" s="71">
        <f t="shared" si="7"/>
        <v>1</v>
      </c>
      <c r="V62" s="71">
        <f t="shared" si="8"/>
        <v>0.4</v>
      </c>
      <c r="W62" s="72"/>
    </row>
    <row r="63" ht="12.75" customHeight="1">
      <c r="A63" s="111" t="s">
        <v>30</v>
      </c>
      <c r="B63" s="111" t="s">
        <v>31</v>
      </c>
      <c r="C63" s="111" t="s">
        <v>73</v>
      </c>
      <c r="D63" s="112"/>
      <c r="E63" s="84"/>
      <c r="F63" s="113" t="s">
        <v>77</v>
      </c>
      <c r="G63" s="70">
        <f>('Thurs (2)'!G63+Thurs!G63+'Tues '!G63+Wed!G63+Fri!G63+'Mon '!G63+'Wed (2)'!G63+Sun!G63+Sat!G63)</f>
        <v>1</v>
      </c>
      <c r="H63" s="70">
        <f>('Thurs (2)'!H63+Thurs!H63+'Tues '!H63+Wed!H63+Fri!H63+'Mon '!H63+'Wed (2)'!H63+Sun!H63+Sat!H63)</f>
        <v>0</v>
      </c>
      <c r="I63" s="70">
        <f>('Thurs (2)'!I63+Thurs!I63+'Tues '!I63+Wed!I63+Fri!I63+'Mon '!I63+'Wed (2)'!I63+Sun!I63+Sat!I63)</f>
        <v>0</v>
      </c>
      <c r="J63" s="70">
        <f>('Thurs (2)'!J63+Thurs!J63+'Tues '!J63+Wed!J63+Fri!J63+'Mon '!J63+'Wed (2)'!J63+Sun!J63+Sat!J63)</f>
        <v>1</v>
      </c>
      <c r="K63" s="70">
        <f>('Thurs (2)'!K63+Thurs!K63+'Tues '!K63+Wed!K63+Fri!K63+'Mon '!K63+'Wed (2)'!K63+Sun!K63+Sat!K63)</f>
        <v>0</v>
      </c>
      <c r="L63" s="70">
        <f>('Thurs (2)'!L63+Thurs!L63+'Tues '!L63+Wed!L63+Fri!L63+'Mon '!L63+'Wed (2)'!L63+Sun!L63+Sat!L63)</f>
        <v>1</v>
      </c>
      <c r="M63" s="70">
        <f>('Thurs (2)'!M63+Thurs!M63+'Tues '!M63+Wed!M63+Fri!M63+'Mon '!M63+'Wed (2)'!M63+Sun!M63+Sat!M63)</f>
        <v>7</v>
      </c>
      <c r="N63" s="70">
        <f>('Thurs (2)'!N63+Thurs!N63+'Tues '!N63+Wed!N63+Fri!N63+'Mon '!N63+'Wed (2)'!N63+Sun!N63+Sat!N63)</f>
        <v>1</v>
      </c>
      <c r="O63" s="70">
        <f>('Thurs (2)'!O63+Thurs!O63+'Tues '!O63+Wed!O63+Fri!O63+'Mon '!O63+'Wed (2)'!O63+Sun!O63+Sat!O63)</f>
        <v>0</v>
      </c>
      <c r="P63" s="70">
        <f>('Thurs (2)'!P63+Thurs!P63+'Tues '!P63+Wed!P63+Fri!P63+'Mon '!P63+'Wed (2)'!P63+Sun!P63+Sat!P63)</f>
        <v>0</v>
      </c>
      <c r="Q63" s="70">
        <f>('Thurs (2)'!Q63+Thurs!Q63+'Tues '!Q63+Wed!Q63+Fri!Q63+'Mon '!Q63+'Wed (2)'!Q63+Sun!Q63+Sat!Q63)</f>
        <v>0</v>
      </c>
      <c r="R63" s="70">
        <f>('Thurs (2)'!R63+Thurs!R63+'Tues '!R63+Wed!R63+Fri!R63+'Mon '!R63+'Wed (2)'!R63+Sun!R63+Sat!R63)</f>
        <v>0</v>
      </c>
      <c r="S63" s="70">
        <f>('Thurs (2)'!S63+Thurs!S63+'Tues '!S63+Wed!S63+Fri!S63+'Mon '!S63+'Wed (2)'!S63+Sun!S63+Sat!S63)</f>
        <v>0</v>
      </c>
      <c r="T63" s="70">
        <f>('Thurs (2)'!T63+Thurs!T63+'Tues '!T63+Wed!T63+Fri!T63+'Mon '!T63+'Wed (2)'!T63+Sun!T63+Sat!T63)</f>
        <v>0</v>
      </c>
      <c r="U63" s="71">
        <f t="shared" si="7"/>
        <v>0</v>
      </c>
      <c r="V63" s="71">
        <f t="shared" si="8"/>
        <v>1</v>
      </c>
      <c r="W63" s="72"/>
    </row>
    <row r="64" ht="12.75" customHeight="1">
      <c r="A64" s="111" t="s">
        <v>30</v>
      </c>
      <c r="B64" s="111" t="s">
        <v>31</v>
      </c>
      <c r="C64" s="111" t="s">
        <v>73</v>
      </c>
      <c r="D64" s="112"/>
      <c r="E64" s="84"/>
      <c r="F64" s="113" t="s">
        <v>78</v>
      </c>
      <c r="G64" s="70">
        <f>('Thurs (2)'!G64+Thurs!G64+'Tues '!G64+Wed!G64+Fri!G64+'Mon '!G64+'Wed (2)'!G64+Sun!G64+Sat!G64)</f>
        <v>0</v>
      </c>
      <c r="H64" s="70">
        <f>('Thurs (2)'!H64+Thurs!H64+'Tues '!H64+Wed!H64+Fri!H64+'Mon '!H64+'Wed (2)'!H64+Sun!H64+Sat!H64)</f>
        <v>0</v>
      </c>
      <c r="I64" s="70">
        <f>('Thurs (2)'!I64+Thurs!I64+'Tues '!I64+Wed!I64+Fri!I64+'Mon '!I64+'Wed (2)'!I64+Sun!I64+Sat!I64)</f>
        <v>0</v>
      </c>
      <c r="J64" s="70">
        <f>('Thurs (2)'!J64+Thurs!J64+'Tues '!J64+Wed!J64+Fri!J64+'Mon '!J64+'Wed (2)'!J64+Sun!J64+Sat!J64)</f>
        <v>0</v>
      </c>
      <c r="K64" s="70">
        <f>('Thurs (2)'!K64+Thurs!K64+'Tues '!K64+Wed!K64+Fri!K64+'Mon '!K64+'Wed (2)'!K64+Sun!K64+Sat!K64)</f>
        <v>0</v>
      </c>
      <c r="L64" s="70">
        <f>('Thurs (2)'!L64+Thurs!L64+'Tues '!L64+Wed!L64+Fri!L64+'Mon '!L64+'Wed (2)'!L64+Sun!L64+Sat!L64)</f>
        <v>0</v>
      </c>
      <c r="M64" s="70">
        <f>('Thurs (2)'!M64+Thurs!M64+'Tues '!M64+Wed!M64+Fri!M64+'Mon '!M64+'Wed (2)'!M64+Sun!M64+Sat!M64)</f>
        <v>0</v>
      </c>
      <c r="N64" s="70">
        <f>('Thurs (2)'!N64+Thurs!N64+'Tues '!N64+Wed!N64+Fri!N64+'Mon '!N64+'Wed (2)'!N64+Sun!N64+Sat!N64)</f>
        <v>0</v>
      </c>
      <c r="O64" s="70">
        <f>('Thurs (2)'!O64+Thurs!O64+'Tues '!O64+Wed!O64+Fri!O64+'Mon '!O64+'Wed (2)'!O64+Sun!O64+Sat!O64)</f>
        <v>0</v>
      </c>
      <c r="P64" s="70">
        <f>('Thurs (2)'!P64+Thurs!P64+'Tues '!P64+Wed!P64+Fri!P64+'Mon '!P64+'Wed (2)'!P64+Sun!P64+Sat!P64)</f>
        <v>0</v>
      </c>
      <c r="Q64" s="70">
        <f>('Thurs (2)'!Q64+Thurs!Q64+'Tues '!Q64+Wed!Q64+Fri!Q64+'Mon '!Q64+'Wed (2)'!Q64+Sun!Q64+Sat!Q64)</f>
        <v>0</v>
      </c>
      <c r="R64" s="70">
        <f>('Thurs (2)'!R64+Thurs!R64+'Tues '!R64+Wed!R64+Fri!R64+'Mon '!R64+'Wed (2)'!R64+Sun!R64+Sat!R64)</f>
        <v>0</v>
      </c>
      <c r="S64" s="70">
        <f>('Thurs (2)'!S64+Thurs!S64+'Tues '!S64+Wed!S64+Fri!S64+'Mon '!S64+'Wed (2)'!S64+Sun!S64+Sat!S64)</f>
        <v>0</v>
      </c>
      <c r="T64" s="70">
        <f>('Thurs (2)'!T64+Thurs!T64+'Tues '!T64+Wed!T64+Fri!T64+'Mon '!T64+'Wed (2)'!T64+Sun!T64+Sat!T64)</f>
        <v>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00" t="s">
        <v>30</v>
      </c>
      <c r="B65" s="100" t="s">
        <v>31</v>
      </c>
      <c r="C65" s="100" t="s">
        <v>79</v>
      </c>
      <c r="D65" s="114" t="s">
        <v>49</v>
      </c>
      <c r="E65" s="75"/>
      <c r="F65" s="100" t="s">
        <v>79</v>
      </c>
      <c r="G65" s="70">
        <f>('Thurs (2)'!G65+Thurs!G65+'Tues '!G65+Wed!G65+Fri!G65+'Mon '!G65+'Wed (2)'!G65+Sun!G65+Sat!G65)</f>
        <v>0</v>
      </c>
      <c r="H65" s="70">
        <f>('Thurs (2)'!H65+Thurs!H65+'Tues '!H65+Wed!H65+Fri!H65+'Mon '!H65+'Wed (2)'!H65+Sun!H65+Sat!H65)</f>
        <v>0</v>
      </c>
      <c r="I65" s="70">
        <f>('Thurs (2)'!I65+Thurs!I65+'Tues '!I65+Wed!I65+Fri!I65+'Mon '!I65+'Wed (2)'!I65+Sun!I65+Sat!I65)</f>
        <v>0</v>
      </c>
      <c r="J65" s="70">
        <f>('Thurs (2)'!J65+Thurs!J65+'Tues '!J65+Wed!J65+Fri!J65+'Mon '!J65+'Wed (2)'!J65+Sun!J65+Sat!J65)</f>
        <v>0</v>
      </c>
      <c r="K65" s="70">
        <f>('Thurs (2)'!K65+Thurs!K65+'Tues '!K65+Wed!K65+Fri!K65+'Mon '!K65+'Wed (2)'!K65+Sun!K65+Sat!K65)</f>
        <v>0</v>
      </c>
      <c r="L65" s="70">
        <f>('Thurs (2)'!L65+Thurs!L65+'Tues '!L65+Wed!L65+Fri!L65+'Mon '!L65+'Wed (2)'!L65+Sun!L65+Sat!L65)</f>
        <v>0</v>
      </c>
      <c r="M65" s="70">
        <f>('Thurs (2)'!M65+Thurs!M65+'Tues '!M65+Wed!M65+Fri!M65+'Mon '!M65+'Wed (2)'!M65+Sun!M65+Sat!M65)</f>
        <v>0</v>
      </c>
      <c r="N65" s="70">
        <f>('Thurs (2)'!N65+Thurs!N65+'Tues '!N65+Wed!N65+Fri!N65+'Mon '!N65+'Wed (2)'!N65+Sun!N65+Sat!N65)</f>
        <v>0</v>
      </c>
      <c r="O65" s="70">
        <f>('Thurs (2)'!O65+Thurs!O65+'Tues '!O65+Wed!O65+Fri!O65+'Mon '!O65+'Wed (2)'!O65+Sun!O65+Sat!O65)</f>
        <v>0</v>
      </c>
      <c r="P65" s="70">
        <f>('Thurs (2)'!P65+Thurs!P65+'Tues '!P65+Wed!P65+Fri!P65+'Mon '!P65+'Wed (2)'!P65+Sun!P65+Sat!P65)</f>
        <v>0</v>
      </c>
      <c r="Q65" s="70">
        <f>('Thurs (2)'!Q65+Thurs!Q65+'Tues '!Q65+Wed!Q65+Fri!Q65+'Mon '!Q65+'Wed (2)'!Q65+Sun!Q65+Sat!Q65)</f>
        <v>0</v>
      </c>
      <c r="R65" s="70">
        <f>('Thurs (2)'!R65+Thurs!R65+'Tues '!R65+Wed!R65+Fri!R65+'Mon '!R65+'Wed (2)'!R65+Sun!R65+Sat!R65)</f>
        <v>0</v>
      </c>
      <c r="S65" s="70">
        <f>('Thurs (2)'!S65+Thurs!S65+'Tues '!S65+Wed!S65+Fri!S65+'Mon '!S65+'Wed (2)'!S65+Sun!S65+Sat!S65)</f>
        <v>0</v>
      </c>
      <c r="T65" s="70">
        <f>('Thurs (2)'!T65+Thurs!T65+'Tues '!T65+Wed!T65+Fri!T65+'Mon '!T65+'Wed (2)'!T65+Sun!T65+Sat!T65)</f>
        <v>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10" t="s">
        <v>30</v>
      </c>
      <c r="B66" s="110" t="s">
        <v>31</v>
      </c>
      <c r="C66" s="115" t="s">
        <v>80</v>
      </c>
      <c r="D66" s="116" t="s">
        <v>49</v>
      </c>
      <c r="E66" s="117"/>
      <c r="F66" s="115" t="s">
        <v>80</v>
      </c>
      <c r="G66" s="70">
        <f>('Thurs (2)'!G66+Thurs!G66+'Tues '!G66+Wed!G66+Fri!G66+'Mon '!G66+'Wed (2)'!G66+Sun!G66+Sat!G66)</f>
        <v>0</v>
      </c>
      <c r="H66" s="70">
        <f>('Thurs (2)'!H66+Thurs!H66+'Tues '!H66+Wed!H66+Fri!H66+'Mon '!H66+'Wed (2)'!H66+Sun!H66+Sat!H66)</f>
        <v>0</v>
      </c>
      <c r="I66" s="70">
        <f>('Thurs (2)'!I66+Thurs!I66+'Tues '!I66+Wed!I66+Fri!I66+'Mon '!I66+'Wed (2)'!I66+Sun!I66+Sat!I66)</f>
        <v>0</v>
      </c>
      <c r="J66" s="70">
        <f>('Thurs (2)'!J66+Thurs!J66+'Tues '!J66+Wed!J66+Fri!J66+'Mon '!J66+'Wed (2)'!J66+Sun!J66+Sat!J66)</f>
        <v>0</v>
      </c>
      <c r="K66" s="70">
        <f>('Thurs (2)'!K66+Thurs!K66+'Tues '!K66+Wed!K66+Fri!K66+'Mon '!K66+'Wed (2)'!K66+Sun!K66+Sat!K66)</f>
        <v>0</v>
      </c>
      <c r="L66" s="70">
        <f>('Thurs (2)'!L66+Thurs!L66+'Tues '!L66+Wed!L66+Fri!L66+'Mon '!L66+'Wed (2)'!L66+Sun!L66+Sat!L66)</f>
        <v>0</v>
      </c>
      <c r="M66" s="70">
        <f>('Thurs (2)'!M66+Thurs!M66+'Tues '!M66+Wed!M66+Fri!M66+'Mon '!M66+'Wed (2)'!M66+Sun!M66+Sat!M66)</f>
        <v>0</v>
      </c>
      <c r="N66" s="70">
        <f>('Thurs (2)'!N66+Thurs!N66+'Tues '!N66+Wed!N66+Fri!N66+'Mon '!N66+'Wed (2)'!N66+Sun!N66+Sat!N66)</f>
        <v>0</v>
      </c>
      <c r="O66" s="70">
        <f>('Thurs (2)'!O66+Thurs!O66+'Tues '!O66+Wed!O66+Fri!O66+'Mon '!O66+'Wed (2)'!O66+Sun!O66+Sat!O66)</f>
        <v>0</v>
      </c>
      <c r="P66" s="70">
        <f>('Thurs (2)'!P66+Thurs!P66+'Tues '!P66+Wed!P66+Fri!P66+'Mon '!P66+'Wed (2)'!P66+Sun!P66+Sat!P66)</f>
        <v>0</v>
      </c>
      <c r="Q66" s="70">
        <f>('Thurs (2)'!Q66+Thurs!Q66+'Tues '!Q66+Wed!Q66+Fri!Q66+'Mon '!Q66+'Wed (2)'!Q66+Sun!Q66+Sat!Q66)</f>
        <v>0</v>
      </c>
      <c r="R66" s="70">
        <f>('Thurs (2)'!R66+Thurs!R66+'Tues '!R66+Wed!R66+Fri!R66+'Mon '!R66+'Wed (2)'!R66+Sun!R66+Sat!R66)</f>
        <v>0</v>
      </c>
      <c r="S66" s="70">
        <f>('Thurs (2)'!S66+Thurs!S66+'Tues '!S66+Wed!S66+Fri!S66+'Mon '!S66+'Wed (2)'!S66+Sun!S66+Sat!S66)</f>
        <v>0</v>
      </c>
      <c r="T66" s="70">
        <f>('Thurs (2)'!T66+Thurs!T66+'Tues '!T66+Wed!T66+Fri!T66+'Mon '!T66+'Wed (2)'!T66+Sun!T66+Sat!T66)</f>
        <v>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11" t="s">
        <v>30</v>
      </c>
      <c r="B67" s="111" t="s">
        <v>31</v>
      </c>
      <c r="C67" s="113" t="s">
        <v>80</v>
      </c>
      <c r="D67" s="112"/>
      <c r="E67" s="84"/>
      <c r="F67" s="113" t="s">
        <v>81</v>
      </c>
      <c r="G67" s="70">
        <f>('Thurs (2)'!G67+Thurs!G67+'Tues '!G67+Wed!G67+Fri!G67+'Mon '!G67+'Wed (2)'!G67+Sun!G67+Sat!G67)</f>
        <v>0</v>
      </c>
      <c r="H67" s="70">
        <f>('Thurs (2)'!H67+Thurs!H67+'Tues '!H67+Wed!H67+Fri!H67+'Mon '!H67+'Wed (2)'!H67+Sun!H67+Sat!H67)</f>
        <v>0</v>
      </c>
      <c r="I67" s="70">
        <f>('Thurs (2)'!I67+Thurs!I67+'Tues '!I67+Wed!I67+Fri!I67+'Mon '!I67+'Wed (2)'!I67+Sun!I67+Sat!I67)</f>
        <v>0</v>
      </c>
      <c r="J67" s="70">
        <f>('Thurs (2)'!J67+Thurs!J67+'Tues '!J67+Wed!J67+Fri!J67+'Mon '!J67+'Wed (2)'!J67+Sun!J67+Sat!J67)</f>
        <v>0</v>
      </c>
      <c r="K67" s="70">
        <f>('Thurs (2)'!K67+Thurs!K67+'Tues '!K67+Wed!K67+Fri!K67+'Mon '!K67+'Wed (2)'!K67+Sun!K67+Sat!K67)</f>
        <v>0</v>
      </c>
      <c r="L67" s="70">
        <f>('Thurs (2)'!L67+Thurs!L67+'Tues '!L67+Wed!L67+Fri!L67+'Mon '!L67+'Wed (2)'!L67+Sun!L67+Sat!L67)</f>
        <v>0</v>
      </c>
      <c r="M67" s="70">
        <f>('Thurs (2)'!M67+Thurs!M67+'Tues '!M67+Wed!M67+Fri!M67+'Mon '!M67+'Wed (2)'!M67+Sun!M67+Sat!M67)</f>
        <v>0</v>
      </c>
      <c r="N67" s="70">
        <f>('Thurs (2)'!N67+Thurs!N67+'Tues '!N67+Wed!N67+Fri!N67+'Mon '!N67+'Wed (2)'!N67+Sun!N67+Sat!N67)</f>
        <v>0</v>
      </c>
      <c r="O67" s="70">
        <f>('Thurs (2)'!O67+Thurs!O67+'Tues '!O67+Wed!O67+Fri!O67+'Mon '!O67+'Wed (2)'!O67+Sun!O67+Sat!O67)</f>
        <v>0</v>
      </c>
      <c r="P67" s="70">
        <f>('Thurs (2)'!P67+Thurs!P67+'Tues '!P67+Wed!P67+Fri!P67+'Mon '!P67+'Wed (2)'!P67+Sun!P67+Sat!P67)</f>
        <v>0</v>
      </c>
      <c r="Q67" s="70">
        <f>('Thurs (2)'!Q67+Thurs!Q67+'Tues '!Q67+Wed!Q67+Fri!Q67+'Mon '!Q67+'Wed (2)'!Q67+Sun!Q67+Sat!Q67)</f>
        <v>0</v>
      </c>
      <c r="R67" s="70">
        <f>('Thurs (2)'!R67+Thurs!R67+'Tues '!R67+Wed!R67+Fri!R67+'Mon '!R67+'Wed (2)'!R67+Sun!R67+Sat!R67)</f>
        <v>0</v>
      </c>
      <c r="S67" s="70">
        <f>('Thurs (2)'!S67+Thurs!S67+'Tues '!S67+Wed!S67+Fri!S67+'Mon '!S67+'Wed (2)'!S67+Sun!S67+Sat!S67)</f>
        <v>0</v>
      </c>
      <c r="T67" s="70">
        <f>('Thurs (2)'!T67+Thurs!T67+'Tues '!T67+Wed!T67+Fri!T67+'Mon '!T67+'Wed (2)'!T67+Sun!T67+Sat!T67)</f>
        <v>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80</v>
      </c>
      <c r="D68" s="118"/>
      <c r="E68" s="84"/>
      <c r="F68" s="113" t="s">
        <v>82</v>
      </c>
      <c r="G68" s="70">
        <f>('Thurs (2)'!G68+Thurs!G68+'Tues '!G68+Wed!G68+Fri!G68+'Mon '!G68+'Wed (2)'!G68+Sun!G68+Sat!G68)</f>
        <v>0</v>
      </c>
      <c r="H68" s="70">
        <f>('Thurs (2)'!H68+Thurs!H68+'Tues '!H68+Wed!H68+Fri!H68+'Mon '!H68+'Wed (2)'!H68+Sun!H68+Sat!H68)</f>
        <v>0</v>
      </c>
      <c r="I68" s="70">
        <f>('Thurs (2)'!I68+Thurs!I68+'Tues '!I68+Wed!I68+Fri!I68+'Mon '!I68+'Wed (2)'!I68+Sun!I68+Sat!I68)</f>
        <v>0</v>
      </c>
      <c r="J68" s="70">
        <f>('Thurs (2)'!J68+Thurs!J68+'Tues '!J68+Wed!J68+Fri!J68+'Mon '!J68+'Wed (2)'!J68+Sun!J68+Sat!J68)</f>
        <v>0</v>
      </c>
      <c r="K68" s="70">
        <f>('Thurs (2)'!K68+Thurs!K68+'Tues '!K68+Wed!K68+Fri!K68+'Mon '!K68+'Wed (2)'!K68+Sun!K68+Sat!K68)</f>
        <v>0</v>
      </c>
      <c r="L68" s="70">
        <f>('Thurs (2)'!L68+Thurs!L68+'Tues '!L68+Wed!L68+Fri!L68+'Mon '!L68+'Wed (2)'!L68+Sun!L68+Sat!L68)</f>
        <v>0</v>
      </c>
      <c r="M68" s="70">
        <f>('Thurs (2)'!M68+Thurs!M68+'Tues '!M68+Wed!M68+Fri!M68+'Mon '!M68+'Wed (2)'!M68+Sun!M68+Sat!M68)</f>
        <v>0</v>
      </c>
      <c r="N68" s="70">
        <f>('Thurs (2)'!N68+Thurs!N68+'Tues '!N68+Wed!N68+Fri!N68+'Mon '!N68+'Wed (2)'!N68+Sun!N68+Sat!N68)</f>
        <v>0</v>
      </c>
      <c r="O68" s="70">
        <f>('Thurs (2)'!O68+Thurs!O68+'Tues '!O68+Wed!O68+Fri!O68+'Mon '!O68+'Wed (2)'!O68+Sun!O68+Sat!O68)</f>
        <v>0</v>
      </c>
      <c r="P68" s="70">
        <f>('Thurs (2)'!P68+Thurs!P68+'Tues '!P68+Wed!P68+Fri!P68+'Mon '!P68+'Wed (2)'!P68+Sun!P68+Sat!P68)</f>
        <v>0</v>
      </c>
      <c r="Q68" s="70">
        <f>('Thurs (2)'!Q68+Thurs!Q68+'Tues '!Q68+Wed!Q68+Fri!Q68+'Mon '!Q68+'Wed (2)'!Q68+Sun!Q68+Sat!Q68)</f>
        <v>0</v>
      </c>
      <c r="R68" s="70">
        <f>('Thurs (2)'!R68+Thurs!R68+'Tues '!R68+Wed!R68+Fri!R68+'Mon '!R68+'Wed (2)'!R68+Sun!R68+Sat!R68)</f>
        <v>0</v>
      </c>
      <c r="S68" s="70">
        <f>('Thurs (2)'!S68+Thurs!S68+'Tues '!S68+Wed!S68+Fri!S68+'Mon '!S68+'Wed (2)'!S68+Sun!S68+Sat!S68)</f>
        <v>0</v>
      </c>
      <c r="T68" s="70">
        <f>('Thurs (2)'!T68+Thurs!T68+'Tues '!T68+Wed!T68+Fri!T68+'Mon '!T68+'Wed (2)'!T68+Sun!T68+Sat!T68)</f>
        <v>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05" t="s">
        <v>30</v>
      </c>
      <c r="B69" s="105" t="s">
        <v>32</v>
      </c>
      <c r="C69" s="105"/>
      <c r="D69" s="107" t="s">
        <v>49</v>
      </c>
      <c r="E69" s="81"/>
      <c r="F69" s="105" t="s">
        <v>32</v>
      </c>
      <c r="G69" s="70">
        <f>('Thurs (2)'!G69+Thurs!G69+'Tues '!G69+Wed!G69+Fri!G69+'Mon '!G69+'Wed (2)'!G69+Sun!G69+Sat!G69)</f>
        <v>0</v>
      </c>
      <c r="H69" s="70">
        <f>('Thurs (2)'!H69+Thurs!H69+'Tues '!H69+Wed!H69+Fri!H69+'Mon '!H69+'Wed (2)'!H69+Sun!H69+Sat!H69)</f>
        <v>0</v>
      </c>
      <c r="I69" s="70">
        <f>('Thurs (2)'!I69+Thurs!I69+'Tues '!I69+Wed!I69+Fri!I69+'Mon '!I69+'Wed (2)'!I69+Sun!I69+Sat!I69)</f>
        <v>0</v>
      </c>
      <c r="J69" s="70">
        <f>('Thurs (2)'!J69+Thurs!J69+'Tues '!J69+Wed!J69+Fri!J69+'Mon '!J69+'Wed (2)'!J69+Sun!J69+Sat!J69)</f>
        <v>0</v>
      </c>
      <c r="K69" s="70">
        <f>('Thurs (2)'!K69+Thurs!K69+'Tues '!K69+Wed!K69+Fri!K69+'Mon '!K69+'Wed (2)'!K69+Sun!K69+Sat!K69)</f>
        <v>0</v>
      </c>
      <c r="L69" s="70">
        <f>('Thurs (2)'!L69+Thurs!L69+'Tues '!L69+Wed!L69+Fri!L69+'Mon '!L69+'Wed (2)'!L69+Sun!L69+Sat!L69)</f>
        <v>0</v>
      </c>
      <c r="M69" s="70">
        <f>('Thurs (2)'!M69+Thurs!M69+'Tues '!M69+Wed!M69+Fri!M69+'Mon '!M69+'Wed (2)'!M69+Sun!M69+Sat!M69)</f>
        <v>0</v>
      </c>
      <c r="N69" s="70">
        <f>('Thurs (2)'!N69+Thurs!N69+'Tues '!N69+Wed!N69+Fri!N69+'Mon '!N69+'Wed (2)'!N69+Sun!N69+Sat!N69)</f>
        <v>0</v>
      </c>
      <c r="O69" s="70">
        <f>('Thurs (2)'!O69+Thurs!O69+'Tues '!O69+Wed!O69+Fri!O69+'Mon '!O69+'Wed (2)'!O69+Sun!O69+Sat!O69)</f>
        <v>0</v>
      </c>
      <c r="P69" s="70">
        <f>('Thurs (2)'!P69+Thurs!P69+'Tues '!P69+Wed!P69+Fri!P69+'Mon '!P69+'Wed (2)'!P69+Sun!P69+Sat!P69)</f>
        <v>0</v>
      </c>
      <c r="Q69" s="70">
        <f>('Thurs (2)'!Q69+Thurs!Q69+'Tues '!Q69+Wed!Q69+Fri!Q69+'Mon '!Q69+'Wed (2)'!Q69+Sun!Q69+Sat!Q69)</f>
        <v>0</v>
      </c>
      <c r="R69" s="70">
        <f>('Thurs (2)'!R69+Thurs!R69+'Tues '!R69+Wed!R69+Fri!R69+'Mon '!R69+'Wed (2)'!R69+Sun!R69+Sat!R69)</f>
        <v>0</v>
      </c>
      <c r="S69" s="70">
        <f>('Thurs (2)'!S69+Thurs!S69+'Tues '!S69+Wed!S69+Fri!S69+'Mon '!S69+'Wed (2)'!S69+Sun!S69+Sat!S69)</f>
        <v>0</v>
      </c>
      <c r="T69" s="70">
        <f>('Thurs (2)'!T69+Thurs!T69+'Tues '!T69+Wed!T69+Fri!T69+'Mon '!T69+'Wed (2)'!T69+Sun!T69+Sat!T69)</f>
        <v>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2" t="s">
        <v>83</v>
      </c>
      <c r="G70" s="70">
        <f>('Thurs (2)'!G70+Thurs!G70+'Tues '!G70+Wed!G70+Fri!G70+'Mon '!G70+'Wed (2)'!G70+Sun!G70+Sat!G70)</f>
        <v>0</v>
      </c>
      <c r="H70" s="70">
        <f>('Thurs (2)'!H70+Thurs!H70+'Tues '!H70+Wed!H70+Fri!H70+'Mon '!H70+'Wed (2)'!H70+Sun!H70+Sat!H70)</f>
        <v>0</v>
      </c>
      <c r="I70" s="70">
        <f>('Thurs (2)'!I70+Thurs!I70+'Tues '!I70+Wed!I70+Fri!I70+'Mon '!I70+'Wed (2)'!I70+Sun!I70+Sat!I70)</f>
        <v>0</v>
      </c>
      <c r="J70" s="70">
        <f>('Thurs (2)'!J70+Thurs!J70+'Tues '!J70+Wed!J70+Fri!J70+'Mon '!J70+'Wed (2)'!J70+Sun!J70+Sat!J70)</f>
        <v>0</v>
      </c>
      <c r="K70" s="70">
        <f>('Thurs (2)'!K70+Thurs!K70+'Tues '!K70+Wed!K70+Fri!K70+'Mon '!K70+'Wed (2)'!K70+Sun!K70+Sat!K70)</f>
        <v>0</v>
      </c>
      <c r="L70" s="70">
        <f>('Thurs (2)'!L70+Thurs!L70+'Tues '!L70+Wed!L70+Fri!L70+'Mon '!L70+'Wed (2)'!L70+Sun!L70+Sat!L70)</f>
        <v>0</v>
      </c>
      <c r="M70" s="70">
        <f>('Thurs (2)'!M70+Thurs!M70+'Tues '!M70+Wed!M70+Fri!M70+'Mon '!M70+'Wed (2)'!M70+Sun!M70+Sat!M70)</f>
        <v>0</v>
      </c>
      <c r="N70" s="70">
        <f>('Thurs (2)'!N70+Thurs!N70+'Tues '!N70+Wed!N70+Fri!N70+'Mon '!N70+'Wed (2)'!N70+Sun!N70+Sat!N70)</f>
        <v>0</v>
      </c>
      <c r="O70" s="70">
        <f>('Thurs (2)'!O70+Thurs!O70+'Tues '!O70+Wed!O70+Fri!O70+'Mon '!O70+'Wed (2)'!O70+Sun!O70+Sat!O70)</f>
        <v>0</v>
      </c>
      <c r="P70" s="70">
        <f>('Thurs (2)'!P70+Thurs!P70+'Tues '!P70+Wed!P70+Fri!P70+'Mon '!P70+'Wed (2)'!P70+Sun!P70+Sat!P70)</f>
        <v>0</v>
      </c>
      <c r="Q70" s="70">
        <f>('Thurs (2)'!Q70+Thurs!Q70+'Tues '!Q70+Wed!Q70+Fri!Q70+'Mon '!Q70+'Wed (2)'!Q70+Sun!Q70+Sat!Q70)</f>
        <v>0</v>
      </c>
      <c r="R70" s="70">
        <f>('Thurs (2)'!R70+Thurs!R70+'Tues '!R70+Wed!R70+Fri!R70+'Mon '!R70+'Wed (2)'!R70+Sun!R70+Sat!R70)</f>
        <v>0</v>
      </c>
      <c r="S70" s="70">
        <f>('Thurs (2)'!S70+Thurs!S70+'Tues '!S70+Wed!S70+Fri!S70+'Mon '!S70+'Wed (2)'!S70+Sun!S70+Sat!S70)</f>
        <v>0</v>
      </c>
      <c r="T70" s="70">
        <f>('Thurs (2)'!T70+Thurs!T70+'Tues '!T70+Wed!T70+Fri!T70+'Mon '!T70+'Wed (2)'!T70+Sun!T70+Sat!T70)</f>
        <v>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70">
        <f>('Thurs (2)'!G71+Thurs!G71+'Tues '!G71+Wed!G71+Fri!G71+'Mon '!G71+'Wed (2)'!G71+Sun!G71+Sat!G71)</f>
        <v>0</v>
      </c>
      <c r="H71" s="70">
        <f>('Thurs (2)'!H71+Thurs!H71+'Tues '!H71+Wed!H71+Fri!H71+'Mon '!H71+'Wed (2)'!H71+Sun!H71+Sat!H71)</f>
        <v>0</v>
      </c>
      <c r="I71" s="70">
        <f>('Thurs (2)'!I71+Thurs!I71+'Tues '!I71+Wed!I71+Fri!I71+'Mon '!I71+'Wed (2)'!I71+Sun!I71+Sat!I71)</f>
        <v>0</v>
      </c>
      <c r="J71" s="70">
        <f>('Thurs (2)'!J71+Thurs!J71+'Tues '!J71+Wed!J71+Fri!J71+'Mon '!J71+'Wed (2)'!J71+Sun!J71+Sat!J71)</f>
        <v>0</v>
      </c>
      <c r="K71" s="70">
        <f>('Thurs (2)'!K71+Thurs!K71+'Tues '!K71+Wed!K71+Fri!K71+'Mon '!K71+'Wed (2)'!K71+Sun!K71+Sat!K71)</f>
        <v>0</v>
      </c>
      <c r="L71" s="70">
        <f>('Thurs (2)'!L71+Thurs!L71+'Tues '!L71+Wed!L71+Fri!L71+'Mon '!L71+'Wed (2)'!L71+Sun!L71+Sat!L71)</f>
        <v>0</v>
      </c>
      <c r="M71" s="70">
        <f>('Thurs (2)'!M71+Thurs!M71+'Tues '!M71+Wed!M71+Fri!M71+'Mon '!M71+'Wed (2)'!M71+Sun!M71+Sat!M71)</f>
        <v>0</v>
      </c>
      <c r="N71" s="70">
        <f>('Thurs (2)'!N71+Thurs!N71+'Tues '!N71+Wed!N71+Fri!N71+'Mon '!N71+'Wed (2)'!N71+Sun!N71+Sat!N71)</f>
        <v>0</v>
      </c>
      <c r="O71" s="70">
        <f>('Thurs (2)'!O71+Thurs!O71+'Tues '!O71+Wed!O71+Fri!O71+'Mon '!O71+'Wed (2)'!O71+Sun!O71+Sat!O71)</f>
        <v>0</v>
      </c>
      <c r="P71" s="70">
        <f>('Thurs (2)'!P71+Thurs!P71+'Tues '!P71+Wed!P71+Fri!P71+'Mon '!P71+'Wed (2)'!P71+Sun!P71+Sat!P71)</f>
        <v>0</v>
      </c>
      <c r="Q71" s="70">
        <f>('Thurs (2)'!Q71+Thurs!Q71+'Tues '!Q71+Wed!Q71+Fri!Q71+'Mon '!Q71+'Wed (2)'!Q71+Sun!Q71+Sat!Q71)</f>
        <v>0</v>
      </c>
      <c r="R71" s="70">
        <f>('Thurs (2)'!R71+Thurs!R71+'Tues '!R71+Wed!R71+Fri!R71+'Mon '!R71+'Wed (2)'!R71+Sun!R71+Sat!R71)</f>
        <v>0</v>
      </c>
      <c r="S71" s="70">
        <f>('Thurs (2)'!S71+Thurs!S71+'Tues '!S71+Wed!S71+Fri!S71+'Mon '!S71+'Wed (2)'!S71+Sun!S71+Sat!S71)</f>
        <v>0</v>
      </c>
      <c r="T71" s="70">
        <f>('Thurs (2)'!T71+Thurs!T71+'Tues '!T71+Wed!T71+Fri!T71+'Mon '!T71+'Wed (2)'!T71+Sun!T71+Sat!T71)</f>
        <v>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70">
        <f>('Thurs (2)'!G72+Thurs!G72+'Tues '!G72+Wed!G72+Fri!G72+'Mon '!G72+'Wed (2)'!G72+Sun!G72+Sat!G72)</f>
        <v>0</v>
      </c>
      <c r="H72" s="70">
        <f>('Thurs (2)'!H72+Thurs!H72+'Tues '!H72+Wed!H72+Fri!H72+'Mon '!H72+'Wed (2)'!H72+Sun!H72+Sat!H72)</f>
        <v>0</v>
      </c>
      <c r="I72" s="70">
        <f>('Thurs (2)'!I72+Thurs!I72+'Tues '!I72+Wed!I72+Fri!I72+'Mon '!I72+'Wed (2)'!I72+Sun!I72+Sat!I72)</f>
        <v>0</v>
      </c>
      <c r="J72" s="70">
        <f>('Thurs (2)'!J72+Thurs!J72+'Tues '!J72+Wed!J72+Fri!J72+'Mon '!J72+'Wed (2)'!J72+Sun!J72+Sat!J72)</f>
        <v>0</v>
      </c>
      <c r="K72" s="70">
        <f>('Thurs (2)'!K72+Thurs!K72+'Tues '!K72+Wed!K72+Fri!K72+'Mon '!K72+'Wed (2)'!K72+Sun!K72+Sat!K72)</f>
        <v>0</v>
      </c>
      <c r="L72" s="70">
        <f>('Thurs (2)'!L72+Thurs!L72+'Tues '!L72+Wed!L72+Fri!L72+'Mon '!L72+'Wed (2)'!L72+Sun!L72+Sat!L72)</f>
        <v>0</v>
      </c>
      <c r="M72" s="70">
        <f>('Thurs (2)'!M72+Thurs!M72+'Tues '!M72+Wed!M72+Fri!M72+'Mon '!M72+'Wed (2)'!M72+Sun!M72+Sat!M72)</f>
        <v>0</v>
      </c>
      <c r="N72" s="70">
        <f>('Thurs (2)'!N72+Thurs!N72+'Tues '!N72+Wed!N72+Fri!N72+'Mon '!N72+'Wed (2)'!N72+Sun!N72+Sat!N72)</f>
        <v>0</v>
      </c>
      <c r="O72" s="70">
        <f>('Thurs (2)'!O72+Thurs!O72+'Tues '!O72+Wed!O72+Fri!O72+'Mon '!O72+'Wed (2)'!O72+Sun!O72+Sat!O72)</f>
        <v>0</v>
      </c>
      <c r="P72" s="70">
        <f>('Thurs (2)'!P72+Thurs!P72+'Tues '!P72+Wed!P72+Fri!P72+'Mon '!P72+'Wed (2)'!P72+Sun!P72+Sat!P72)</f>
        <v>0</v>
      </c>
      <c r="Q72" s="70">
        <f>('Thurs (2)'!Q72+Thurs!Q72+'Tues '!Q72+Wed!Q72+Fri!Q72+'Mon '!Q72+'Wed (2)'!Q72+Sun!Q72+Sat!Q72)</f>
        <v>0</v>
      </c>
      <c r="R72" s="70">
        <f>('Thurs (2)'!R72+Thurs!R72+'Tues '!R72+Wed!R72+Fri!R72+'Mon '!R72+'Wed (2)'!R72+Sun!R72+Sat!R72)</f>
        <v>0</v>
      </c>
      <c r="S72" s="70">
        <f>('Thurs (2)'!S72+Thurs!S72+'Tues '!S72+Wed!S72+Fri!S72+'Mon '!S72+'Wed (2)'!S72+Sun!S72+Sat!S72)</f>
        <v>0</v>
      </c>
      <c r="T72" s="70">
        <f>('Thurs (2)'!T72+Thurs!T72+'Tues '!T72+Wed!T72+Fri!T72+'Mon '!T72+'Wed (2)'!T72+Sun!T72+Sat!T72)</f>
        <v>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10" t="s">
        <v>30</v>
      </c>
      <c r="B73" s="110" t="s">
        <v>32</v>
      </c>
      <c r="C73" s="110" t="s">
        <v>86</v>
      </c>
      <c r="D73" s="99" t="s">
        <v>49</v>
      </c>
      <c r="E73" s="84"/>
      <c r="F73" s="110" t="s">
        <v>86</v>
      </c>
      <c r="G73" s="70">
        <f>('Thurs (2)'!G73+Thurs!G73+'Tues '!G73+Wed!G73+Fri!G73+'Mon '!G73+'Wed (2)'!G73+Sun!G73+Sat!G73)</f>
        <v>0</v>
      </c>
      <c r="H73" s="70">
        <f>('Thurs (2)'!H73+Thurs!H73+'Tues '!H73+Wed!H73+Fri!H73+'Mon '!H73+'Wed (2)'!H73+Sun!H73+Sat!H73)</f>
        <v>0</v>
      </c>
      <c r="I73" s="70">
        <f>('Thurs (2)'!I73+Thurs!I73+'Tues '!I73+Wed!I73+Fri!I73+'Mon '!I73+'Wed (2)'!I73+Sun!I73+Sat!I73)</f>
        <v>0</v>
      </c>
      <c r="J73" s="70">
        <f>('Thurs (2)'!J73+Thurs!J73+'Tues '!J73+Wed!J73+Fri!J73+'Mon '!J73+'Wed (2)'!J73+Sun!J73+Sat!J73)</f>
        <v>0</v>
      </c>
      <c r="K73" s="70">
        <f>('Thurs (2)'!K73+Thurs!K73+'Tues '!K73+Wed!K73+Fri!K73+'Mon '!K73+'Wed (2)'!K73+Sun!K73+Sat!K73)</f>
        <v>0</v>
      </c>
      <c r="L73" s="70">
        <f>('Thurs (2)'!L73+Thurs!L73+'Tues '!L73+Wed!L73+Fri!L73+'Mon '!L73+'Wed (2)'!L73+Sun!L73+Sat!L73)</f>
        <v>0</v>
      </c>
      <c r="M73" s="70">
        <f>('Thurs (2)'!M73+Thurs!M73+'Tues '!M73+Wed!M73+Fri!M73+'Mon '!M73+'Wed (2)'!M73+Sun!M73+Sat!M73)</f>
        <v>0</v>
      </c>
      <c r="N73" s="70">
        <f>('Thurs (2)'!N73+Thurs!N73+'Tues '!N73+Wed!N73+Fri!N73+'Mon '!N73+'Wed (2)'!N73+Sun!N73+Sat!N73)</f>
        <v>0</v>
      </c>
      <c r="O73" s="70">
        <f>('Thurs (2)'!O73+Thurs!O73+'Tues '!O73+Wed!O73+Fri!O73+'Mon '!O73+'Wed (2)'!O73+Sun!O73+Sat!O73)</f>
        <v>0</v>
      </c>
      <c r="P73" s="70">
        <f>('Thurs (2)'!P73+Thurs!P73+'Tues '!P73+Wed!P73+Fri!P73+'Mon '!P73+'Wed (2)'!P73+Sun!P73+Sat!P73)</f>
        <v>0</v>
      </c>
      <c r="Q73" s="70">
        <f>('Thurs (2)'!Q73+Thurs!Q73+'Tues '!Q73+Wed!Q73+Fri!Q73+'Mon '!Q73+'Wed (2)'!Q73+Sun!Q73+Sat!Q73)</f>
        <v>0</v>
      </c>
      <c r="R73" s="70">
        <f>('Thurs (2)'!R73+Thurs!R73+'Tues '!R73+Wed!R73+Fri!R73+'Mon '!R73+'Wed (2)'!R73+Sun!R73+Sat!R73)</f>
        <v>0</v>
      </c>
      <c r="S73" s="70">
        <f>('Thurs (2)'!S73+Thurs!S73+'Tues '!S73+Wed!S73+Fri!S73+'Mon '!S73+'Wed (2)'!S73+Sun!S73+Sat!S73)</f>
        <v>0</v>
      </c>
      <c r="T73" s="70">
        <f>('Thurs (2)'!T73+Thurs!T73+'Tues '!T73+Wed!T73+Fri!T73+'Mon '!T73+'Wed (2)'!T73+Sun!T73+Sat!T73)</f>
        <v>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19"/>
      <c r="B74" s="119"/>
      <c r="C74" s="119"/>
      <c r="D74" s="1"/>
      <c r="E74" s="119"/>
      <c r="F74" s="11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1"/>
      <c r="V74" s="121"/>
      <c r="W74" s="121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22"/>
      <c r="B593" s="122"/>
      <c r="C593" s="122"/>
      <c r="D593" s="123"/>
      <c r="E593" s="122"/>
      <c r="F593" s="124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72"/>
      <c r="V593" s="72"/>
      <c r="W593" s="72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4067</v>
      </c>
      <c r="D2" s="10"/>
      <c r="E2" s="9">
        <f t="shared" ref="E2:R2" si="1">SUM(E5,E14,E17)</f>
        <v>0</v>
      </c>
      <c r="F2" s="9">
        <f t="shared" si="1"/>
        <v>18</v>
      </c>
      <c r="G2" s="9">
        <f t="shared" si="1"/>
        <v>4</v>
      </c>
      <c r="H2" s="9">
        <f t="shared" si="1"/>
        <v>3</v>
      </c>
      <c r="I2" s="9">
        <f t="shared" si="1"/>
        <v>0</v>
      </c>
      <c r="J2" s="9">
        <f t="shared" si="1"/>
        <v>0</v>
      </c>
      <c r="K2" s="9">
        <f t="shared" si="1"/>
        <v>2</v>
      </c>
      <c r="L2" s="9">
        <f t="shared" si="1"/>
        <v>1</v>
      </c>
      <c r="M2" s="9">
        <f t="shared" si="1"/>
        <v>30</v>
      </c>
      <c r="N2" s="9">
        <f t="shared" si="1"/>
        <v>6</v>
      </c>
      <c r="O2" s="9">
        <f t="shared" si="1"/>
        <v>2</v>
      </c>
      <c r="P2" s="9">
        <f t="shared" si="1"/>
        <v>2</v>
      </c>
      <c r="Q2" s="9">
        <f t="shared" si="1"/>
        <v>0</v>
      </c>
      <c r="R2" s="9">
        <f t="shared" si="1"/>
        <v>2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1355.666667</v>
      </c>
      <c r="F4" s="23">
        <f>IFERROR((G2+R2)/F2,0)</f>
        <v>0.3333333333</v>
      </c>
      <c r="G4" s="23">
        <f>IFERROR(H2/G2,0)</f>
        <v>0.75</v>
      </c>
      <c r="H4" s="22">
        <f>(C2/C4)</f>
        <v>92.43181818</v>
      </c>
      <c r="I4" s="24"/>
      <c r="J4" s="23">
        <f>IFERROR(J2/I2,0)</f>
        <v>0</v>
      </c>
      <c r="K4" s="24"/>
      <c r="L4" s="23">
        <f>IFERROR(L2/K2,0)</f>
        <v>0.5</v>
      </c>
      <c r="M4" s="25">
        <f>IFERROR(M2/G2,0)</f>
        <v>7.5</v>
      </c>
      <c r="N4" s="24"/>
      <c r="O4" s="23">
        <f>IFERROR(O2/N2,0)</f>
        <v>0.3333333333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2486</v>
      </c>
      <c r="D5" s="31"/>
      <c r="E5" s="32">
        <f>SUMIFS(T:T,A:A,B5,D:D,"Y")</f>
        <v>0</v>
      </c>
      <c r="F5" s="33">
        <f>SUMIF(A:A,B5,G:G)</f>
        <v>9</v>
      </c>
      <c r="G5" s="33">
        <f>SUMIF(A:A,B5,H:H)</f>
        <v>2</v>
      </c>
      <c r="H5" s="33">
        <f>SUMIF(A:A,B5,I:I)</f>
        <v>2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16</v>
      </c>
      <c r="N5" s="33">
        <f>SUMIF(A:A,B5,N:N)</f>
        <v>4</v>
      </c>
      <c r="O5" s="33">
        <f>SUMIF(A:A,B5,O:O)</f>
        <v>2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1243</v>
      </c>
      <c r="F7" s="41">
        <f>IFERROR((G5+R5)/F5,0)</f>
        <v>0.2222222222</v>
      </c>
      <c r="G7" s="41">
        <f>IFERROR(H5/G5,0)</f>
        <v>1</v>
      </c>
      <c r="H7" s="40">
        <f>(C5/C7)</f>
        <v>138.1111111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8</v>
      </c>
      <c r="N7" s="42"/>
      <c r="O7" s="41">
        <f>IFERROR(O5/N5,0)</f>
        <v>0.5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1536</v>
      </c>
      <c r="D11" s="47"/>
      <c r="E11" s="48">
        <f>SUMIFS(T:T,B:B,B11,D:D,"Y")</f>
        <v>0</v>
      </c>
      <c r="F11" s="49">
        <f t="shared" ref="F11:R11" si="2">SUMIF(B28:B1137,B11,G28:G1137)</f>
        <v>8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19</v>
      </c>
      <c r="M11" s="49">
        <f t="shared" si="2"/>
        <v>4</v>
      </c>
      <c r="N11" s="49">
        <f t="shared" si="2"/>
        <v>2</v>
      </c>
      <c r="O11" s="49">
        <f t="shared" si="2"/>
        <v>0</v>
      </c>
      <c r="P11" s="49">
        <f t="shared" si="2"/>
        <v>0</v>
      </c>
      <c r="Q11" s="49">
        <f t="shared" si="2"/>
        <v>1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10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153.6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1581</v>
      </c>
      <c r="D17" s="31"/>
      <c r="E17" s="53">
        <f>SUMIFS(T:T,A:A,B17,D:D,"Y")</f>
        <v>0</v>
      </c>
      <c r="F17" s="9">
        <f>SUMIF(A:A,B17,G:G)</f>
        <v>9</v>
      </c>
      <c r="G17" s="33">
        <f>SUMIF(A:A,B17,H:H)</f>
        <v>2</v>
      </c>
      <c r="H17" s="33">
        <f>SUMIF(A:A,B17,I:I)</f>
        <v>1</v>
      </c>
      <c r="I17" s="33">
        <f>SUMIF(A:A,B17,P:P)</f>
        <v>0</v>
      </c>
      <c r="J17" s="33">
        <f>SUMIF(A:A,B17,Q:Q)</f>
        <v>0</v>
      </c>
      <c r="K17" s="33">
        <f>SUMIF(A:A,B17,R:R)</f>
        <v>2</v>
      </c>
      <c r="L17" s="33">
        <f>SUMIF(A:A,B17,S:S)</f>
        <v>1</v>
      </c>
      <c r="M17" s="33">
        <f>SUMIF(A:A,B17,M:M)</f>
        <v>14</v>
      </c>
      <c r="N17" s="33">
        <f>SUMIF(A:A,B17,N:N)</f>
        <v>2</v>
      </c>
      <c r="O17" s="33">
        <f>SUMIF(A:A,B17,O:O)</f>
        <v>0</v>
      </c>
      <c r="P17" s="33">
        <f>SUMIF(A:A,B17,J:J)</f>
        <v>2</v>
      </c>
      <c r="Q17" s="33">
        <f>SUMIF(A:A,B17,K:K)</f>
        <v>0</v>
      </c>
      <c r="R17" s="34">
        <f>SUMIF(A:A,B17,L:L)</f>
        <v>2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1581</v>
      </c>
      <c r="F19" s="41">
        <f>IFERROR((G17+R17)/F17,0)</f>
        <v>0.4444444444</v>
      </c>
      <c r="G19" s="41">
        <f>IFERROR(H17/G17,0)</f>
        <v>0.5</v>
      </c>
      <c r="H19" s="40">
        <f>(C17/C19)</f>
        <v>71.86363636</v>
      </c>
      <c r="I19" s="42"/>
      <c r="J19" s="41">
        <f>IFERROR(J17/I17,0)</f>
        <v>0</v>
      </c>
      <c r="K19" s="42"/>
      <c r="L19" s="41">
        <f>IFERROR(L17/K17,0)</f>
        <v>0.5</v>
      </c>
      <c r="M19" s="54">
        <f>IFERROR(M17/SUM(G17+R17,0),"")</f>
        <v>3.5</v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1581</v>
      </c>
      <c r="D20" s="55"/>
      <c r="E20" s="48">
        <f>SUMIFS(T:T,B:B,B20,D:D,"Y")</f>
        <v>0</v>
      </c>
      <c r="F20" s="49">
        <f>SUMIF(B46:B1137,B20,G46:G1137)</f>
        <v>9</v>
      </c>
      <c r="G20" s="46">
        <f>SUMIF(B46:B1137,B20,H46:H1137)</f>
        <v>2</v>
      </c>
      <c r="H20" s="46">
        <f>SUMIF(B46:B1137,B20,I46:I1137)</f>
        <v>1</v>
      </c>
      <c r="I20" s="46">
        <f>SUMIF(B46:B1137,B20,P46:P1137)</f>
        <v>0</v>
      </c>
      <c r="J20" s="46">
        <f>SUMIF(B46:B1137,B20,Q46:Q1137)</f>
        <v>0</v>
      </c>
      <c r="K20" s="46">
        <f>SUMIF(B46:B1137,B20,R46:R1137)</f>
        <v>2</v>
      </c>
      <c r="L20" s="46">
        <f>SUMIF(B46:B1137,B20,S46:S1137)</f>
        <v>1</v>
      </c>
      <c r="M20" s="46">
        <f>SUMIF(B46:B1137,B20,M46:M1137)</f>
        <v>14</v>
      </c>
      <c r="N20" s="46">
        <f>SUMIF(B46:B1137,B20,N46:N1137)</f>
        <v>2</v>
      </c>
      <c r="O20" s="46">
        <f>SUMIF(B46:B1137,B20,O46:O1137)</f>
        <v>0</v>
      </c>
      <c r="P20" s="46">
        <f>SUMIF(B46:B1137,B20,J46:J1137)</f>
        <v>2</v>
      </c>
      <c r="Q20" s="46">
        <f>SUMIF(B46:B1137,B20,K46:K1137)</f>
        <v>0</v>
      </c>
      <c r="R20" s="50">
        <f>SUMIF(B46:B1137,B20,L46:L1137)</f>
        <v>2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1581</v>
      </c>
      <c r="F22" s="41">
        <f>IFERROR((G20+R20)/F20,0)</f>
        <v>0.4444444444</v>
      </c>
      <c r="G22" s="41">
        <f>IFERROR(H20/G20,0)</f>
        <v>0.5</v>
      </c>
      <c r="H22" s="40">
        <f>(C20/C22)</f>
        <v>112.9285714</v>
      </c>
      <c r="I22" s="42"/>
      <c r="J22" s="41">
        <f>IFERROR(J20/I20,0)</f>
        <v>0</v>
      </c>
      <c r="K22" s="42"/>
      <c r="L22" s="41">
        <f>IFERROR(L20/K20,0)</f>
        <v>0.5</v>
      </c>
      <c r="M22" s="43">
        <f>IFERROR(M20/SUM(G20+R20,0),"")</f>
        <v>3.5</v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SUMIF(B49:B1137,B23,G49:G1137)</f>
        <v>0</v>
      </c>
      <c r="G23" s="46">
        <f>SUMIF(B49:B1137,B23,H49:H1137)</f>
        <v>0</v>
      </c>
      <c r="H23" s="46">
        <f>SUMIF(B49:B1137,B23,I49:I1137)</f>
        <v>0</v>
      </c>
      <c r="I23" s="46">
        <f>SUMIF(B49:B1137,B23,P49:P1137)</f>
        <v>0</v>
      </c>
      <c r="J23" s="46">
        <f>SUMIF(B49:B1137,B23,Q49:Q1137)</f>
        <v>0</v>
      </c>
      <c r="K23" s="46">
        <f>SUMIF(B49:B1137,B23,R49:R1137)</f>
        <v>0</v>
      </c>
      <c r="L23" s="46">
        <f>SUMIF(B49:B1137,B23,S49:S1137)</f>
        <v>0</v>
      </c>
      <c r="M23" s="46">
        <f>SUMIF(B49:B1137,B23,M49:M1137)</f>
        <v>0</v>
      </c>
      <c r="N23" s="46">
        <f>SUMIF(B49:B1137,B23,N49:N1137)</f>
        <v>0</v>
      </c>
      <c r="O23" s="46">
        <f>SUMIF(B49:B1137,B23,O49:O1137)</f>
        <v>0</v>
      </c>
      <c r="P23" s="46">
        <f>SUMIF(B49:B1137,B23,J49:J1137)</f>
        <v>0</v>
      </c>
      <c r="Q23" s="46">
        <f>SUMIF(B49:B1137,B23,K49:K1137)</f>
        <v>0</v>
      </c>
      <c r="R23" s="50">
        <f>SUMIF(B49:B1137,B23,L49:L1137)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>IFERROR(I28/H28,0)</f>
        <v>0</v>
      </c>
      <c r="V28" s="71">
        <f t="shared" ref="V28:V45" si="3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6">
        <v>0.0</v>
      </c>
      <c r="H29" s="126">
        <v>0.0</v>
      </c>
      <c r="I29" s="126">
        <v>0.0</v>
      </c>
      <c r="J29" s="126">
        <v>0.0</v>
      </c>
      <c r="K29" s="126">
        <v>0.0</v>
      </c>
      <c r="L29" s="126">
        <v>0.0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6">
        <v>0.0</v>
      </c>
      <c r="T29" s="126">
        <v>950.0</v>
      </c>
      <c r="U29" s="127">
        <v>0.0</v>
      </c>
      <c r="V29" s="71">
        <f t="shared" si="3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6">
        <v>1.0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71">
        <f t="shared" ref="U30:U33" si="4">IFERROR(I30/H30,0)</f>
        <v>0</v>
      </c>
      <c r="V30" s="71">
        <f t="shared" si="3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4"/>
        <v>0</v>
      </c>
      <c r="V31" s="71">
        <f t="shared" si="3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4"/>
        <v>0</v>
      </c>
      <c r="V32" s="71">
        <f t="shared" si="3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2.0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3.0</v>
      </c>
      <c r="N33" s="126">
        <v>1.0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71">
        <f t="shared" si="4"/>
        <v>0</v>
      </c>
      <c r="V33" s="71">
        <f t="shared" si="3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6">
        <v>3.0</v>
      </c>
      <c r="H34" s="126">
        <v>1.0</v>
      </c>
      <c r="I34" s="126">
        <v>1.0</v>
      </c>
      <c r="J34" s="126">
        <v>0.0</v>
      </c>
      <c r="K34" s="126">
        <v>0.0</v>
      </c>
      <c r="L34" s="126">
        <v>0.0</v>
      </c>
      <c r="M34" s="126">
        <v>0.0</v>
      </c>
      <c r="N34" s="126">
        <v>1.0</v>
      </c>
      <c r="O34" s="126">
        <v>1.0</v>
      </c>
      <c r="P34" s="126">
        <v>0.0</v>
      </c>
      <c r="Q34" s="126">
        <v>0.0</v>
      </c>
      <c r="R34" s="126">
        <v>0.0</v>
      </c>
      <c r="S34" s="126">
        <v>0.0</v>
      </c>
      <c r="T34" s="126">
        <v>931.0</v>
      </c>
      <c r="U34" s="127">
        <v>0.0</v>
      </c>
      <c r="V34" s="71">
        <f t="shared" si="3"/>
        <v>0.3333333333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6">
        <v>1.0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9.0</v>
      </c>
      <c r="N35" s="126">
        <v>1.0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127">
        <v>0.0</v>
      </c>
      <c r="V35" s="71">
        <f t="shared" si="3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71">
        <f t="shared" ref="U36:U45" si="5">IFERROR(I36/H36,0)</f>
        <v>0</v>
      </c>
      <c r="V36" s="71">
        <f t="shared" si="3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71">
        <f t="shared" si="5"/>
        <v>0</v>
      </c>
      <c r="V37" s="71">
        <f t="shared" si="3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6">
        <v>2.0</v>
      </c>
      <c r="H38" s="126">
        <v>1.0</v>
      </c>
      <c r="I38" s="126">
        <v>1.0</v>
      </c>
      <c r="J38" s="126">
        <v>0.0</v>
      </c>
      <c r="K38" s="126">
        <v>0.0</v>
      </c>
      <c r="L38" s="126">
        <v>0.0</v>
      </c>
      <c r="M38" s="126">
        <v>4.0</v>
      </c>
      <c r="N38" s="126">
        <v>1.0</v>
      </c>
      <c r="O38" s="126">
        <v>1.0</v>
      </c>
      <c r="P38" s="126">
        <v>0.0</v>
      </c>
      <c r="Q38" s="126">
        <v>0.0</v>
      </c>
      <c r="R38" s="126">
        <v>0.0</v>
      </c>
      <c r="S38" s="126">
        <v>0.0</v>
      </c>
      <c r="T38" s="126">
        <v>605.0</v>
      </c>
      <c r="U38" s="71">
        <f t="shared" si="5"/>
        <v>1</v>
      </c>
      <c r="V38" s="71">
        <f t="shared" si="3"/>
        <v>0.5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5"/>
        <v>0</v>
      </c>
      <c r="V39" s="71">
        <f t="shared" si="3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5"/>
        <v>0</v>
      </c>
      <c r="V40" s="71">
        <f t="shared" si="3"/>
        <v>0</v>
      </c>
      <c r="W40" s="72"/>
    </row>
    <row r="41">
      <c r="A41" s="78" t="s">
        <v>26</v>
      </c>
      <c r="B41" s="79" t="s">
        <v>27</v>
      </c>
      <c r="C41" s="94"/>
      <c r="D41" s="79" t="s">
        <v>49</v>
      </c>
      <c r="E41" s="95"/>
      <c r="F41" s="79" t="s">
        <v>27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5"/>
        <v>0</v>
      </c>
      <c r="V41" s="71">
        <f t="shared" si="3"/>
        <v>0</v>
      </c>
      <c r="W41" s="72"/>
    </row>
    <row r="42">
      <c r="A42" s="96" t="s">
        <v>26</v>
      </c>
      <c r="B42" s="77" t="s">
        <v>27</v>
      </c>
      <c r="C42" s="75"/>
      <c r="D42" s="75"/>
      <c r="E42" s="75"/>
      <c r="F42" s="77" t="s">
        <v>61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5"/>
        <v>0</v>
      </c>
      <c r="V42" s="71">
        <f t="shared" si="3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5"/>
        <v>0</v>
      </c>
      <c r="V43" s="71">
        <f t="shared" si="3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5"/>
        <v>0</v>
      </c>
      <c r="V44" s="71">
        <f t="shared" si="3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5"/>
        <v>0</v>
      </c>
      <c r="V45" s="71">
        <f t="shared" si="3"/>
        <v>0</v>
      </c>
      <c r="W45" s="72"/>
    </row>
    <row r="46" ht="20.25" customHeight="1">
      <c r="A46" s="61" t="s">
        <v>33</v>
      </c>
      <c r="B46" s="62" t="s">
        <v>34</v>
      </c>
      <c r="C46" s="62" t="s">
        <v>35</v>
      </c>
      <c r="D46" s="63"/>
      <c r="E46" s="62" t="s">
        <v>36</v>
      </c>
      <c r="F46" s="62" t="s">
        <v>37</v>
      </c>
      <c r="G46" s="64" t="s">
        <v>38</v>
      </c>
      <c r="H46" s="64" t="s">
        <v>39</v>
      </c>
      <c r="I46" s="64" t="s">
        <v>40</v>
      </c>
      <c r="J46" s="64" t="s">
        <v>12</v>
      </c>
      <c r="K46" s="64" t="s">
        <v>41</v>
      </c>
      <c r="L46" s="64" t="s">
        <v>14</v>
      </c>
      <c r="M46" s="64" t="s">
        <v>9</v>
      </c>
      <c r="N46" s="64" t="s">
        <v>10</v>
      </c>
      <c r="O46" s="64" t="s">
        <v>42</v>
      </c>
      <c r="P46" s="64" t="s">
        <v>5</v>
      </c>
      <c r="Q46" s="64" t="s">
        <v>43</v>
      </c>
      <c r="R46" s="64" t="s">
        <v>44</v>
      </c>
      <c r="S46" s="64" t="s">
        <v>45</v>
      </c>
      <c r="T46" s="64" t="s">
        <v>0</v>
      </c>
      <c r="U46" s="62" t="s">
        <v>46</v>
      </c>
      <c r="V46" s="62" t="s">
        <v>47</v>
      </c>
      <c r="W46" s="97"/>
    </row>
    <row r="47" ht="12.75" customHeight="1">
      <c r="A47" s="66" t="s">
        <v>29</v>
      </c>
      <c r="B47" s="67"/>
      <c r="C47" s="67"/>
      <c r="D47" s="68" t="s">
        <v>49</v>
      </c>
      <c r="E47" s="69"/>
      <c r="F47" s="68" t="s">
        <v>29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ref="U47:U50" si="6">IFERROR(I47/H47,0)</f>
        <v>0</v>
      </c>
      <c r="V47" s="71">
        <f t="shared" ref="V47:V50" si="7">IFERROR(SUM(H47+L47)/G47,0)</f>
        <v>0</v>
      </c>
      <c r="W47" s="72"/>
    </row>
    <row r="48" ht="12.75" customHeight="1">
      <c r="A48" s="73" t="s">
        <v>29</v>
      </c>
      <c r="B48" s="77"/>
      <c r="C48" s="75"/>
      <c r="D48" s="75"/>
      <c r="E48" s="75"/>
      <c r="F48" s="77" t="s">
        <v>65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6"/>
        <v>0</v>
      </c>
      <c r="V48" s="71">
        <f t="shared" si="7"/>
        <v>0</v>
      </c>
      <c r="W48" s="72"/>
    </row>
    <row r="49" ht="12.75" customHeight="1">
      <c r="A49" s="82" t="s">
        <v>29</v>
      </c>
      <c r="B49" s="84"/>
      <c r="C49" s="98" t="s">
        <v>66</v>
      </c>
      <c r="D49" s="99" t="s">
        <v>49</v>
      </c>
      <c r="E49" s="84"/>
      <c r="F49" s="98" t="s">
        <v>66</v>
      </c>
      <c r="G49" s="126">
        <v>0.0</v>
      </c>
      <c r="H49" s="126">
        <v>0.0</v>
      </c>
      <c r="I49" s="126">
        <v>0.0</v>
      </c>
      <c r="J49" s="126">
        <v>0.0</v>
      </c>
      <c r="K49" s="126">
        <v>0.0</v>
      </c>
      <c r="L49" s="126">
        <v>0.0</v>
      </c>
      <c r="M49" s="126">
        <v>0.0</v>
      </c>
      <c r="N49" s="126">
        <v>0.0</v>
      </c>
      <c r="O49" s="126">
        <v>0.0</v>
      </c>
      <c r="P49" s="126">
        <v>0.0</v>
      </c>
      <c r="Q49" s="126">
        <v>0.0</v>
      </c>
      <c r="R49" s="126">
        <v>0.0</v>
      </c>
      <c r="S49" s="126">
        <v>0.0</v>
      </c>
      <c r="T49" s="126">
        <v>0.0</v>
      </c>
      <c r="U49" s="71">
        <f t="shared" si="6"/>
        <v>0</v>
      </c>
      <c r="V49" s="71">
        <f t="shared" si="7"/>
        <v>0</v>
      </c>
      <c r="W49" s="72"/>
    </row>
    <row r="50" ht="12.75" customHeight="1">
      <c r="A50" s="85" t="s">
        <v>29</v>
      </c>
      <c r="B50" s="86"/>
      <c r="C50" s="86" t="s">
        <v>66</v>
      </c>
      <c r="D50" s="84"/>
      <c r="E50" s="84"/>
      <c r="F50" s="88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6"/>
        <v>0</v>
      </c>
      <c r="V50" s="71">
        <f t="shared" si="7"/>
        <v>0</v>
      </c>
      <c r="W50" s="72"/>
    </row>
    <row r="51" ht="20.25" customHeight="1">
      <c r="A51" s="61" t="s">
        <v>33</v>
      </c>
      <c r="B51" s="62" t="s">
        <v>34</v>
      </c>
      <c r="C51" s="62" t="s">
        <v>35</v>
      </c>
      <c r="D51" s="63"/>
      <c r="E51" s="62" t="s">
        <v>36</v>
      </c>
      <c r="F51" s="62" t="s">
        <v>37</v>
      </c>
      <c r="G51" s="64" t="s">
        <v>38</v>
      </c>
      <c r="H51" s="64" t="s">
        <v>39</v>
      </c>
      <c r="I51" s="64" t="s">
        <v>40</v>
      </c>
      <c r="J51" s="64" t="s">
        <v>12</v>
      </c>
      <c r="K51" s="64" t="s">
        <v>41</v>
      </c>
      <c r="L51" s="64" t="s">
        <v>14</v>
      </c>
      <c r="M51" s="64" t="s">
        <v>9</v>
      </c>
      <c r="N51" s="64" t="s">
        <v>10</v>
      </c>
      <c r="O51" s="64" t="s">
        <v>42</v>
      </c>
      <c r="P51" s="64" t="s">
        <v>5</v>
      </c>
      <c r="Q51" s="64" t="s">
        <v>43</v>
      </c>
      <c r="R51" s="64" t="s">
        <v>44</v>
      </c>
      <c r="S51" s="64" t="s">
        <v>45</v>
      </c>
      <c r="T51" s="64" t="s">
        <v>0</v>
      </c>
      <c r="U51" s="62" t="s">
        <v>46</v>
      </c>
      <c r="V51" s="62" t="s">
        <v>47</v>
      </c>
      <c r="W51" s="97"/>
    </row>
    <row r="52" ht="12.75" customHeight="1">
      <c r="A52" s="100" t="s">
        <v>30</v>
      </c>
      <c r="B52" s="59"/>
      <c r="C52" s="59"/>
      <c r="D52" s="101" t="s">
        <v>49</v>
      </c>
      <c r="E52" s="59"/>
      <c r="F52" s="100" t="s">
        <v>30</v>
      </c>
      <c r="G52" s="126">
        <v>0.0</v>
      </c>
      <c r="H52" s="126">
        <v>0.0</v>
      </c>
      <c r="I52" s="126">
        <v>0.0</v>
      </c>
      <c r="J52" s="126">
        <v>0.0</v>
      </c>
      <c r="K52" s="126">
        <v>0.0</v>
      </c>
      <c r="L52" s="126">
        <v>0.0</v>
      </c>
      <c r="M52" s="126">
        <v>0.0</v>
      </c>
      <c r="N52" s="126">
        <v>0.0</v>
      </c>
      <c r="O52" s="126">
        <v>0.0</v>
      </c>
      <c r="P52" s="126">
        <v>0.0</v>
      </c>
      <c r="Q52" s="126">
        <v>0.0</v>
      </c>
      <c r="R52" s="126">
        <v>0.0</v>
      </c>
      <c r="S52" s="126">
        <v>0.0</v>
      </c>
      <c r="T52" s="126">
        <v>0.0</v>
      </c>
      <c r="U52" s="71">
        <f t="shared" ref="U52:U73" si="8">IFERROR(I52/H52,0)</f>
        <v>0</v>
      </c>
      <c r="V52" s="71">
        <f t="shared" ref="V52:V73" si="9">IFERROR(SUM(H52+L52)/G52,0)</f>
        <v>0</v>
      </c>
      <c r="W52" s="72"/>
    </row>
    <row r="53" ht="12.75" customHeight="1">
      <c r="A53" s="102" t="s">
        <v>30</v>
      </c>
      <c r="B53" s="59"/>
      <c r="C53" s="59"/>
      <c r="D53" s="58"/>
      <c r="E53" s="75"/>
      <c r="F53" s="102" t="s">
        <v>68</v>
      </c>
      <c r="G53" s="126">
        <v>0.0</v>
      </c>
      <c r="H53" s="126">
        <v>0.0</v>
      </c>
      <c r="I53" s="126">
        <v>0.0</v>
      </c>
      <c r="J53" s="126">
        <v>0.0</v>
      </c>
      <c r="K53" s="126">
        <v>0.0</v>
      </c>
      <c r="L53" s="126">
        <v>0.0</v>
      </c>
      <c r="M53" s="126">
        <v>0.0</v>
      </c>
      <c r="N53" s="126">
        <v>0.0</v>
      </c>
      <c r="O53" s="126">
        <v>0.0</v>
      </c>
      <c r="P53" s="126">
        <v>0.0</v>
      </c>
      <c r="Q53" s="126">
        <v>0.0</v>
      </c>
      <c r="R53" s="126">
        <v>0.0</v>
      </c>
      <c r="S53" s="126">
        <v>0.0</v>
      </c>
      <c r="T53" s="126">
        <v>0.0</v>
      </c>
      <c r="U53" s="71">
        <f t="shared" si="8"/>
        <v>0</v>
      </c>
      <c r="V53" s="71">
        <f t="shared" si="9"/>
        <v>0</v>
      </c>
      <c r="W53" s="72"/>
    </row>
    <row r="54" ht="12.75" customHeight="1">
      <c r="A54" s="103" t="s">
        <v>30</v>
      </c>
      <c r="B54" s="103"/>
      <c r="C54" s="103"/>
      <c r="D54" s="58"/>
      <c r="E54" s="75"/>
      <c r="F54" s="104" t="s">
        <v>69</v>
      </c>
      <c r="G54" s="126">
        <v>0.0</v>
      </c>
      <c r="H54" s="126">
        <v>0.0</v>
      </c>
      <c r="I54" s="126">
        <v>0.0</v>
      </c>
      <c r="J54" s="126">
        <v>0.0</v>
      </c>
      <c r="K54" s="126">
        <v>0.0</v>
      </c>
      <c r="L54" s="126">
        <v>0.0</v>
      </c>
      <c r="M54" s="126">
        <v>0.0</v>
      </c>
      <c r="N54" s="126">
        <v>0.0</v>
      </c>
      <c r="O54" s="126">
        <v>0.0</v>
      </c>
      <c r="P54" s="126">
        <v>0.0</v>
      </c>
      <c r="Q54" s="126">
        <v>0.0</v>
      </c>
      <c r="R54" s="126">
        <v>0.0</v>
      </c>
      <c r="S54" s="126">
        <v>0.0</v>
      </c>
      <c r="T54" s="126">
        <v>0.0</v>
      </c>
      <c r="U54" s="71">
        <f t="shared" si="8"/>
        <v>0</v>
      </c>
      <c r="V54" s="71">
        <f t="shared" si="9"/>
        <v>0</v>
      </c>
      <c r="W54" s="72"/>
    </row>
    <row r="55" ht="12.75" customHeight="1">
      <c r="A55" s="105" t="s">
        <v>30</v>
      </c>
      <c r="B55" s="105" t="s">
        <v>31</v>
      </c>
      <c r="C55" s="106"/>
      <c r="D55" s="107" t="s">
        <v>49</v>
      </c>
      <c r="E55" s="95"/>
      <c r="F55" s="105" t="s">
        <v>31</v>
      </c>
      <c r="G55" s="126">
        <v>3.0</v>
      </c>
      <c r="H55" s="126">
        <v>1.0</v>
      </c>
      <c r="I55" s="126">
        <v>0.0</v>
      </c>
      <c r="J55" s="126">
        <v>1.0</v>
      </c>
      <c r="K55" s="126">
        <v>0.0</v>
      </c>
      <c r="L55" s="126">
        <v>1.0</v>
      </c>
      <c r="M55" s="126">
        <v>4.0</v>
      </c>
      <c r="N55" s="126">
        <v>1.0</v>
      </c>
      <c r="O55" s="126">
        <v>0.0</v>
      </c>
      <c r="P55" s="126">
        <v>0.0</v>
      </c>
      <c r="Q55" s="126">
        <v>0.0</v>
      </c>
      <c r="R55" s="126">
        <v>1.0</v>
      </c>
      <c r="S55" s="126">
        <v>0.0</v>
      </c>
      <c r="T55" s="126">
        <v>0.0</v>
      </c>
      <c r="U55" s="71">
        <f t="shared" si="8"/>
        <v>0</v>
      </c>
      <c r="V55" s="71">
        <f t="shared" si="9"/>
        <v>0.6666666667</v>
      </c>
      <c r="W55" s="72"/>
    </row>
    <row r="56" ht="12.75" customHeight="1">
      <c r="A56" s="102" t="s">
        <v>30</v>
      </c>
      <c r="B56" s="103" t="s">
        <v>31</v>
      </c>
      <c r="C56" s="103"/>
      <c r="D56" s="108"/>
      <c r="E56" s="69"/>
      <c r="F56" s="109" t="s">
        <v>70</v>
      </c>
      <c r="G56" s="126">
        <v>0.0</v>
      </c>
      <c r="H56" s="126">
        <v>0.0</v>
      </c>
      <c r="I56" s="126">
        <v>0.0</v>
      </c>
      <c r="J56" s="126">
        <v>0.0</v>
      </c>
      <c r="K56" s="126">
        <v>0.0</v>
      </c>
      <c r="L56" s="126">
        <v>0.0</v>
      </c>
      <c r="M56" s="126">
        <v>0.0</v>
      </c>
      <c r="N56" s="126">
        <v>0.0</v>
      </c>
      <c r="O56" s="126">
        <v>0.0</v>
      </c>
      <c r="P56" s="126">
        <v>0.0</v>
      </c>
      <c r="Q56" s="126">
        <v>0.0</v>
      </c>
      <c r="R56" s="126">
        <v>0.0</v>
      </c>
      <c r="S56" s="126">
        <v>0.0</v>
      </c>
      <c r="T56" s="126">
        <v>0.0</v>
      </c>
      <c r="U56" s="71">
        <f t="shared" si="8"/>
        <v>0</v>
      </c>
      <c r="V56" s="71">
        <f t="shared" si="9"/>
        <v>0</v>
      </c>
      <c r="W56" s="72"/>
    </row>
    <row r="57" ht="12.75" customHeight="1">
      <c r="A57" s="102" t="s">
        <v>30</v>
      </c>
      <c r="B57" s="102" t="s">
        <v>31</v>
      </c>
      <c r="C57" s="59"/>
      <c r="D57" s="59"/>
      <c r="E57" s="75"/>
      <c r="F57" s="102" t="s">
        <v>71</v>
      </c>
      <c r="G57" s="126">
        <v>0.0</v>
      </c>
      <c r="H57" s="126">
        <v>0.0</v>
      </c>
      <c r="I57" s="126">
        <v>0.0</v>
      </c>
      <c r="J57" s="126">
        <v>0.0</v>
      </c>
      <c r="K57" s="126">
        <v>0.0</v>
      </c>
      <c r="L57" s="126">
        <v>0.0</v>
      </c>
      <c r="M57" s="126">
        <v>0.0</v>
      </c>
      <c r="N57" s="126">
        <v>0.0</v>
      </c>
      <c r="O57" s="126">
        <v>0.0</v>
      </c>
      <c r="P57" s="126">
        <v>0.0</v>
      </c>
      <c r="Q57" s="126">
        <v>0.0</v>
      </c>
      <c r="R57" s="126">
        <v>0.0</v>
      </c>
      <c r="S57" s="126">
        <v>0.0</v>
      </c>
      <c r="T57" s="126">
        <v>0.0</v>
      </c>
      <c r="U57" s="71">
        <f t="shared" si="8"/>
        <v>0</v>
      </c>
      <c r="V57" s="71">
        <f t="shared" si="9"/>
        <v>0</v>
      </c>
      <c r="W57" s="72"/>
    </row>
    <row r="58" ht="12.75" customHeight="1">
      <c r="A58" s="102" t="s">
        <v>30</v>
      </c>
      <c r="B58" s="102" t="s">
        <v>31</v>
      </c>
      <c r="C58" s="102"/>
      <c r="D58" s="59"/>
      <c r="E58" s="75"/>
      <c r="F58" s="102" t="s">
        <v>72</v>
      </c>
      <c r="G58" s="126">
        <v>1.0</v>
      </c>
      <c r="H58" s="126">
        <v>0.0</v>
      </c>
      <c r="I58" s="126">
        <v>0.0</v>
      </c>
      <c r="J58" s="126">
        <v>0.0</v>
      </c>
      <c r="K58" s="126">
        <v>0.0</v>
      </c>
      <c r="L58" s="126">
        <v>0.0</v>
      </c>
      <c r="M58" s="126">
        <v>0.0</v>
      </c>
      <c r="N58" s="126">
        <v>0.0</v>
      </c>
      <c r="O58" s="126">
        <v>0.0</v>
      </c>
      <c r="P58" s="126">
        <v>0.0</v>
      </c>
      <c r="Q58" s="126">
        <v>0.0</v>
      </c>
      <c r="R58" s="126">
        <v>0.0</v>
      </c>
      <c r="S58" s="126">
        <v>0.0</v>
      </c>
      <c r="T58" s="126">
        <v>0.0</v>
      </c>
      <c r="U58" s="71">
        <f t="shared" si="8"/>
        <v>0</v>
      </c>
      <c r="V58" s="71">
        <f t="shared" si="9"/>
        <v>0</v>
      </c>
      <c r="W58" s="72"/>
    </row>
    <row r="59" ht="12.75" customHeight="1">
      <c r="A59" s="110" t="s">
        <v>30</v>
      </c>
      <c r="B59" s="110" t="s">
        <v>31</v>
      </c>
      <c r="C59" s="110" t="s">
        <v>73</v>
      </c>
      <c r="D59" s="99" t="s">
        <v>49</v>
      </c>
      <c r="E59" s="84"/>
      <c r="F59" s="110" t="s">
        <v>73</v>
      </c>
      <c r="G59" s="126">
        <v>0.0</v>
      </c>
      <c r="H59" s="126">
        <v>0.0</v>
      </c>
      <c r="I59" s="126">
        <v>0.0</v>
      </c>
      <c r="J59" s="126">
        <v>0.0</v>
      </c>
      <c r="K59" s="126">
        <v>0.0</v>
      </c>
      <c r="L59" s="126">
        <v>0.0</v>
      </c>
      <c r="M59" s="126">
        <v>0.0</v>
      </c>
      <c r="N59" s="126">
        <v>0.0</v>
      </c>
      <c r="O59" s="126">
        <v>0.0</v>
      </c>
      <c r="P59" s="126">
        <v>0.0</v>
      </c>
      <c r="Q59" s="126">
        <v>0.0</v>
      </c>
      <c r="R59" s="126">
        <v>0.0</v>
      </c>
      <c r="S59" s="126">
        <v>0.0</v>
      </c>
      <c r="T59" s="126">
        <v>0.0</v>
      </c>
      <c r="U59" s="71">
        <f t="shared" si="8"/>
        <v>0</v>
      </c>
      <c r="V59" s="71">
        <f t="shared" si="9"/>
        <v>0</v>
      </c>
      <c r="W59" s="72"/>
    </row>
    <row r="60" ht="12.75" customHeight="1">
      <c r="A60" s="111" t="s">
        <v>30</v>
      </c>
      <c r="B60" s="111" t="s">
        <v>31</v>
      </c>
      <c r="C60" s="111" t="s">
        <v>73</v>
      </c>
      <c r="D60" s="112"/>
      <c r="E60" s="84"/>
      <c r="F60" s="111" t="s">
        <v>74</v>
      </c>
      <c r="G60" s="126">
        <v>0.0</v>
      </c>
      <c r="H60" s="126">
        <v>0.0</v>
      </c>
      <c r="I60" s="126">
        <v>0.0</v>
      </c>
      <c r="J60" s="126">
        <v>0.0</v>
      </c>
      <c r="K60" s="126">
        <v>0.0</v>
      </c>
      <c r="L60" s="126">
        <v>0.0</v>
      </c>
      <c r="M60" s="126">
        <v>0.0</v>
      </c>
      <c r="N60" s="126">
        <v>0.0</v>
      </c>
      <c r="O60" s="126">
        <v>0.0</v>
      </c>
      <c r="P60" s="126">
        <v>0.0</v>
      </c>
      <c r="Q60" s="126">
        <v>0.0</v>
      </c>
      <c r="R60" s="126">
        <v>0.0</v>
      </c>
      <c r="S60" s="126">
        <v>0.0</v>
      </c>
      <c r="T60" s="126">
        <v>0.0</v>
      </c>
      <c r="U60" s="71">
        <f t="shared" si="8"/>
        <v>0</v>
      </c>
      <c r="V60" s="71">
        <f t="shared" si="9"/>
        <v>0</v>
      </c>
      <c r="W60" s="72"/>
    </row>
    <row r="61" ht="12.75" customHeight="1">
      <c r="A61" s="111" t="s">
        <v>30</v>
      </c>
      <c r="B61" s="111" t="s">
        <v>31</v>
      </c>
      <c r="C61" s="111" t="s">
        <v>73</v>
      </c>
      <c r="D61" s="112"/>
      <c r="E61" s="84"/>
      <c r="F61" s="111" t="s">
        <v>75</v>
      </c>
      <c r="G61" s="126">
        <v>0.0</v>
      </c>
      <c r="H61" s="126">
        <v>0.0</v>
      </c>
      <c r="I61" s="126">
        <v>0.0</v>
      </c>
      <c r="J61" s="126">
        <v>0.0</v>
      </c>
      <c r="K61" s="126">
        <v>0.0</v>
      </c>
      <c r="L61" s="126">
        <v>0.0</v>
      </c>
      <c r="M61" s="126">
        <v>0.0</v>
      </c>
      <c r="N61" s="126">
        <v>0.0</v>
      </c>
      <c r="O61" s="126">
        <v>0.0</v>
      </c>
      <c r="P61" s="126">
        <v>0.0</v>
      </c>
      <c r="Q61" s="126">
        <v>0.0</v>
      </c>
      <c r="R61" s="126">
        <v>0.0</v>
      </c>
      <c r="S61" s="126">
        <v>0.0</v>
      </c>
      <c r="T61" s="126">
        <v>0.0</v>
      </c>
      <c r="U61" s="71">
        <f t="shared" si="8"/>
        <v>0</v>
      </c>
      <c r="V61" s="71">
        <f t="shared" si="9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73</v>
      </c>
      <c r="D62" s="112"/>
      <c r="E62" s="84"/>
      <c r="F62" s="111" t="s">
        <v>76</v>
      </c>
      <c r="G62" s="126">
        <v>4.0</v>
      </c>
      <c r="H62" s="126">
        <v>1.0</v>
      </c>
      <c r="I62" s="126">
        <v>1.0</v>
      </c>
      <c r="J62" s="126">
        <v>0.0</v>
      </c>
      <c r="K62" s="126">
        <v>0.0</v>
      </c>
      <c r="L62" s="126">
        <v>0.0</v>
      </c>
      <c r="M62" s="126">
        <v>3.0</v>
      </c>
      <c r="N62" s="126">
        <v>0.0</v>
      </c>
      <c r="O62" s="126">
        <v>0.0</v>
      </c>
      <c r="P62" s="126">
        <v>0.0</v>
      </c>
      <c r="Q62" s="126">
        <v>0.0</v>
      </c>
      <c r="R62" s="126">
        <v>1.0</v>
      </c>
      <c r="S62" s="126">
        <v>1.0</v>
      </c>
      <c r="T62" s="126">
        <v>1581.0</v>
      </c>
      <c r="U62" s="71">
        <f t="shared" si="8"/>
        <v>1</v>
      </c>
      <c r="V62" s="71">
        <f t="shared" si="9"/>
        <v>0.25</v>
      </c>
      <c r="W62" s="72"/>
    </row>
    <row r="63" ht="12.75" customHeight="1">
      <c r="A63" s="111" t="s">
        <v>30</v>
      </c>
      <c r="B63" s="111" t="s">
        <v>31</v>
      </c>
      <c r="C63" s="111" t="s">
        <v>73</v>
      </c>
      <c r="D63" s="112"/>
      <c r="E63" s="84"/>
      <c r="F63" s="113" t="s">
        <v>77</v>
      </c>
      <c r="G63" s="126">
        <v>1.0</v>
      </c>
      <c r="H63" s="126">
        <v>0.0</v>
      </c>
      <c r="I63" s="126">
        <v>0.0</v>
      </c>
      <c r="J63" s="126">
        <v>1.0</v>
      </c>
      <c r="K63" s="126">
        <v>0.0</v>
      </c>
      <c r="L63" s="126">
        <v>1.0</v>
      </c>
      <c r="M63" s="126">
        <v>7.0</v>
      </c>
      <c r="N63" s="126">
        <v>1.0</v>
      </c>
      <c r="O63" s="126">
        <v>0.0</v>
      </c>
      <c r="P63" s="126">
        <v>0.0</v>
      </c>
      <c r="Q63" s="126">
        <v>0.0</v>
      </c>
      <c r="R63" s="126">
        <v>0.0</v>
      </c>
      <c r="S63" s="126">
        <v>0.0</v>
      </c>
      <c r="T63" s="126">
        <v>0.0</v>
      </c>
      <c r="U63" s="71">
        <f t="shared" si="8"/>
        <v>0</v>
      </c>
      <c r="V63" s="71">
        <f t="shared" si="9"/>
        <v>1</v>
      </c>
      <c r="W63" s="72"/>
    </row>
    <row r="64" ht="12.75" customHeight="1">
      <c r="A64" s="111" t="s">
        <v>30</v>
      </c>
      <c r="B64" s="111" t="s">
        <v>31</v>
      </c>
      <c r="C64" s="111" t="s">
        <v>73</v>
      </c>
      <c r="D64" s="112"/>
      <c r="E64" s="84"/>
      <c r="F64" s="113" t="s">
        <v>78</v>
      </c>
      <c r="G64" s="126">
        <v>0.0</v>
      </c>
      <c r="H64" s="126">
        <v>0.0</v>
      </c>
      <c r="I64" s="126">
        <v>0.0</v>
      </c>
      <c r="J64" s="126">
        <v>0.0</v>
      </c>
      <c r="K64" s="126">
        <v>0.0</v>
      </c>
      <c r="L64" s="126">
        <v>0.0</v>
      </c>
      <c r="M64" s="126">
        <v>0.0</v>
      </c>
      <c r="N64" s="126">
        <v>0.0</v>
      </c>
      <c r="O64" s="126">
        <v>0.0</v>
      </c>
      <c r="P64" s="126">
        <v>0.0</v>
      </c>
      <c r="Q64" s="126">
        <v>0.0</v>
      </c>
      <c r="R64" s="126">
        <v>0.0</v>
      </c>
      <c r="S64" s="126">
        <v>0.0</v>
      </c>
      <c r="T64" s="126">
        <v>0.0</v>
      </c>
      <c r="U64" s="71">
        <f t="shared" si="8"/>
        <v>0</v>
      </c>
      <c r="V64" s="71">
        <f t="shared" si="9"/>
        <v>0</v>
      </c>
      <c r="W64" s="72"/>
    </row>
    <row r="65" ht="12.75" customHeight="1">
      <c r="A65" s="100" t="s">
        <v>30</v>
      </c>
      <c r="B65" s="100" t="s">
        <v>31</v>
      </c>
      <c r="C65" s="100" t="s">
        <v>79</v>
      </c>
      <c r="D65" s="114" t="s">
        <v>49</v>
      </c>
      <c r="E65" s="75"/>
      <c r="F65" s="100" t="s">
        <v>79</v>
      </c>
      <c r="G65" s="126">
        <v>0.0</v>
      </c>
      <c r="H65" s="126">
        <v>0.0</v>
      </c>
      <c r="I65" s="126">
        <v>0.0</v>
      </c>
      <c r="J65" s="126">
        <v>0.0</v>
      </c>
      <c r="K65" s="126">
        <v>0.0</v>
      </c>
      <c r="L65" s="126">
        <v>0.0</v>
      </c>
      <c r="M65" s="126">
        <v>0.0</v>
      </c>
      <c r="N65" s="126">
        <v>0.0</v>
      </c>
      <c r="O65" s="126">
        <v>0.0</v>
      </c>
      <c r="P65" s="126">
        <v>0.0</v>
      </c>
      <c r="Q65" s="126">
        <v>0.0</v>
      </c>
      <c r="R65" s="126">
        <v>0.0</v>
      </c>
      <c r="S65" s="126">
        <v>0.0</v>
      </c>
      <c r="T65" s="126">
        <v>0.0</v>
      </c>
      <c r="U65" s="71">
        <f t="shared" si="8"/>
        <v>0</v>
      </c>
      <c r="V65" s="71">
        <f t="shared" si="9"/>
        <v>0</v>
      </c>
      <c r="W65" s="72"/>
    </row>
    <row r="66" ht="12.75" customHeight="1">
      <c r="A66" s="110" t="s">
        <v>30</v>
      </c>
      <c r="B66" s="110" t="s">
        <v>31</v>
      </c>
      <c r="C66" s="115" t="s">
        <v>80</v>
      </c>
      <c r="D66" s="116" t="s">
        <v>49</v>
      </c>
      <c r="E66" s="117"/>
      <c r="F66" s="115" t="s">
        <v>80</v>
      </c>
      <c r="G66" s="126">
        <v>0.0</v>
      </c>
      <c r="H66" s="126">
        <v>0.0</v>
      </c>
      <c r="I66" s="126">
        <v>0.0</v>
      </c>
      <c r="J66" s="126">
        <v>0.0</v>
      </c>
      <c r="K66" s="126">
        <v>0.0</v>
      </c>
      <c r="L66" s="126">
        <v>0.0</v>
      </c>
      <c r="M66" s="126">
        <v>0.0</v>
      </c>
      <c r="N66" s="126">
        <v>0.0</v>
      </c>
      <c r="O66" s="126">
        <v>0.0</v>
      </c>
      <c r="P66" s="126">
        <v>0.0</v>
      </c>
      <c r="Q66" s="126">
        <v>0.0</v>
      </c>
      <c r="R66" s="126">
        <v>0.0</v>
      </c>
      <c r="S66" s="126">
        <v>0.0</v>
      </c>
      <c r="T66" s="126">
        <v>0.0</v>
      </c>
      <c r="U66" s="71">
        <f t="shared" si="8"/>
        <v>0</v>
      </c>
      <c r="V66" s="71">
        <f t="shared" si="9"/>
        <v>0</v>
      </c>
      <c r="W66" s="72"/>
    </row>
    <row r="67" ht="12.75" customHeight="1">
      <c r="A67" s="111" t="s">
        <v>30</v>
      </c>
      <c r="B67" s="111" t="s">
        <v>31</v>
      </c>
      <c r="C67" s="113" t="s">
        <v>80</v>
      </c>
      <c r="D67" s="112"/>
      <c r="E67" s="84"/>
      <c r="F67" s="113" t="s">
        <v>81</v>
      </c>
      <c r="G67" s="126">
        <v>0.0</v>
      </c>
      <c r="H67" s="126">
        <v>0.0</v>
      </c>
      <c r="I67" s="126">
        <v>0.0</v>
      </c>
      <c r="J67" s="126">
        <v>0.0</v>
      </c>
      <c r="K67" s="126">
        <v>0.0</v>
      </c>
      <c r="L67" s="126">
        <v>0.0</v>
      </c>
      <c r="M67" s="126">
        <v>0.0</v>
      </c>
      <c r="N67" s="126">
        <v>0.0</v>
      </c>
      <c r="O67" s="126">
        <v>0.0</v>
      </c>
      <c r="P67" s="126">
        <v>0.0</v>
      </c>
      <c r="Q67" s="126">
        <v>0.0</v>
      </c>
      <c r="R67" s="126">
        <v>0.0</v>
      </c>
      <c r="S67" s="126">
        <v>0.0</v>
      </c>
      <c r="T67" s="126">
        <v>0.0</v>
      </c>
      <c r="U67" s="71">
        <f t="shared" si="8"/>
        <v>0</v>
      </c>
      <c r="V67" s="71">
        <f t="shared" si="9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80</v>
      </c>
      <c r="D68" s="118"/>
      <c r="E68" s="84"/>
      <c r="F68" s="113" t="s">
        <v>82</v>
      </c>
      <c r="G68" s="126">
        <v>0.0</v>
      </c>
      <c r="H68" s="126">
        <v>0.0</v>
      </c>
      <c r="I68" s="126">
        <v>0.0</v>
      </c>
      <c r="J68" s="126">
        <v>0.0</v>
      </c>
      <c r="K68" s="126">
        <v>0.0</v>
      </c>
      <c r="L68" s="126">
        <v>0.0</v>
      </c>
      <c r="M68" s="126">
        <v>0.0</v>
      </c>
      <c r="N68" s="126">
        <v>0.0</v>
      </c>
      <c r="O68" s="126">
        <v>0.0</v>
      </c>
      <c r="P68" s="126">
        <v>0.0</v>
      </c>
      <c r="Q68" s="126">
        <v>0.0</v>
      </c>
      <c r="R68" s="126">
        <v>0.0</v>
      </c>
      <c r="S68" s="126">
        <v>0.0</v>
      </c>
      <c r="T68" s="126">
        <v>0.0</v>
      </c>
      <c r="U68" s="71">
        <f t="shared" si="8"/>
        <v>0</v>
      </c>
      <c r="V68" s="71">
        <f t="shared" si="9"/>
        <v>0</v>
      </c>
      <c r="W68" s="72"/>
    </row>
    <row r="69" ht="12.75" customHeight="1">
      <c r="A69" s="105" t="s">
        <v>30</v>
      </c>
      <c r="B69" s="105" t="s">
        <v>32</v>
      </c>
      <c r="C69" s="105"/>
      <c r="D69" s="107" t="s">
        <v>49</v>
      </c>
      <c r="E69" s="81"/>
      <c r="F69" s="105" t="s">
        <v>32</v>
      </c>
      <c r="G69" s="126">
        <v>0.0</v>
      </c>
      <c r="H69" s="126">
        <v>0.0</v>
      </c>
      <c r="I69" s="126">
        <v>0.0</v>
      </c>
      <c r="J69" s="126">
        <v>0.0</v>
      </c>
      <c r="K69" s="126">
        <v>0.0</v>
      </c>
      <c r="L69" s="126">
        <v>0.0</v>
      </c>
      <c r="M69" s="126">
        <v>0.0</v>
      </c>
      <c r="N69" s="126">
        <v>0.0</v>
      </c>
      <c r="O69" s="126">
        <v>0.0</v>
      </c>
      <c r="P69" s="126">
        <v>0.0</v>
      </c>
      <c r="Q69" s="126">
        <v>0.0</v>
      </c>
      <c r="R69" s="126">
        <v>0.0</v>
      </c>
      <c r="S69" s="126">
        <v>0.0</v>
      </c>
      <c r="T69" s="126">
        <v>0.0</v>
      </c>
      <c r="U69" s="71">
        <f t="shared" si="8"/>
        <v>0</v>
      </c>
      <c r="V69" s="71">
        <f t="shared" si="9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2" t="s">
        <v>83</v>
      </c>
      <c r="G70" s="126">
        <v>0.0</v>
      </c>
      <c r="H70" s="126">
        <v>0.0</v>
      </c>
      <c r="I70" s="126">
        <v>0.0</v>
      </c>
      <c r="J70" s="126">
        <v>0.0</v>
      </c>
      <c r="K70" s="126">
        <v>0.0</v>
      </c>
      <c r="L70" s="126">
        <v>0.0</v>
      </c>
      <c r="M70" s="126">
        <v>0.0</v>
      </c>
      <c r="N70" s="126">
        <v>0.0</v>
      </c>
      <c r="O70" s="126">
        <v>0.0</v>
      </c>
      <c r="P70" s="126">
        <v>0.0</v>
      </c>
      <c r="Q70" s="126">
        <v>0.0</v>
      </c>
      <c r="R70" s="126">
        <v>0.0</v>
      </c>
      <c r="S70" s="126">
        <v>0.0</v>
      </c>
      <c r="T70" s="126">
        <v>0.0</v>
      </c>
      <c r="U70" s="71">
        <f t="shared" si="8"/>
        <v>0</v>
      </c>
      <c r="V70" s="71">
        <f t="shared" si="9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126">
        <v>0.0</v>
      </c>
      <c r="H71" s="126">
        <v>0.0</v>
      </c>
      <c r="I71" s="126">
        <v>0.0</v>
      </c>
      <c r="J71" s="126">
        <v>0.0</v>
      </c>
      <c r="K71" s="126">
        <v>0.0</v>
      </c>
      <c r="L71" s="126">
        <v>0.0</v>
      </c>
      <c r="M71" s="126">
        <v>0.0</v>
      </c>
      <c r="N71" s="126">
        <v>0.0</v>
      </c>
      <c r="O71" s="126">
        <v>0.0</v>
      </c>
      <c r="P71" s="126">
        <v>0.0</v>
      </c>
      <c r="Q71" s="126">
        <v>0.0</v>
      </c>
      <c r="R71" s="126">
        <v>0.0</v>
      </c>
      <c r="S71" s="126">
        <v>0.0</v>
      </c>
      <c r="T71" s="126">
        <v>0.0</v>
      </c>
      <c r="U71" s="71">
        <f t="shared" si="8"/>
        <v>0</v>
      </c>
      <c r="V71" s="71">
        <f t="shared" si="9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126">
        <v>0.0</v>
      </c>
      <c r="H72" s="126">
        <v>0.0</v>
      </c>
      <c r="I72" s="126">
        <v>0.0</v>
      </c>
      <c r="J72" s="126">
        <v>0.0</v>
      </c>
      <c r="K72" s="126">
        <v>0.0</v>
      </c>
      <c r="L72" s="126">
        <v>0.0</v>
      </c>
      <c r="M72" s="126">
        <v>0.0</v>
      </c>
      <c r="N72" s="126">
        <v>0.0</v>
      </c>
      <c r="O72" s="126">
        <v>0.0</v>
      </c>
      <c r="P72" s="126">
        <v>0.0</v>
      </c>
      <c r="Q72" s="126">
        <v>0.0</v>
      </c>
      <c r="R72" s="126">
        <v>0.0</v>
      </c>
      <c r="S72" s="126">
        <v>0.0</v>
      </c>
      <c r="T72" s="126">
        <v>0.0</v>
      </c>
      <c r="U72" s="71">
        <f t="shared" si="8"/>
        <v>0</v>
      </c>
      <c r="V72" s="71">
        <f t="shared" si="9"/>
        <v>0</v>
      </c>
      <c r="W72" s="72"/>
    </row>
    <row r="73" ht="12.75" customHeight="1">
      <c r="A73" s="110" t="s">
        <v>30</v>
      </c>
      <c r="B73" s="110" t="s">
        <v>32</v>
      </c>
      <c r="C73" s="110" t="s">
        <v>86</v>
      </c>
      <c r="D73" s="99" t="s">
        <v>49</v>
      </c>
      <c r="E73" s="84"/>
      <c r="F73" s="110" t="s">
        <v>86</v>
      </c>
      <c r="G73" s="126">
        <v>0.0</v>
      </c>
      <c r="H73" s="126">
        <v>0.0</v>
      </c>
      <c r="I73" s="126">
        <v>0.0</v>
      </c>
      <c r="J73" s="126">
        <v>0.0</v>
      </c>
      <c r="K73" s="126">
        <v>0.0</v>
      </c>
      <c r="L73" s="126">
        <v>0.0</v>
      </c>
      <c r="M73" s="126">
        <v>0.0</v>
      </c>
      <c r="N73" s="126">
        <v>0.0</v>
      </c>
      <c r="O73" s="126">
        <v>0.0</v>
      </c>
      <c r="P73" s="126">
        <v>0.0</v>
      </c>
      <c r="Q73" s="126">
        <v>0.0</v>
      </c>
      <c r="R73" s="126">
        <v>0.0</v>
      </c>
      <c r="S73" s="126">
        <v>0.0</v>
      </c>
      <c r="T73" s="126">
        <v>0.0</v>
      </c>
      <c r="U73" s="71">
        <f t="shared" si="8"/>
        <v>0</v>
      </c>
      <c r="V73" s="71">
        <f t="shared" si="9"/>
        <v>0</v>
      </c>
      <c r="W73" s="72"/>
    </row>
    <row r="74" ht="12.75" customHeight="1">
      <c r="A74" s="119"/>
      <c r="B74" s="119"/>
      <c r="C74" s="119"/>
      <c r="D74" s="1"/>
      <c r="E74" s="119"/>
      <c r="F74" s="11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1"/>
      <c r="V74" s="121"/>
      <c r="W74" s="121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22"/>
      <c r="B593" s="122"/>
      <c r="C593" s="122"/>
      <c r="D593" s="123"/>
      <c r="E593" s="122"/>
      <c r="F593" s="124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72"/>
      <c r="V593" s="72"/>
      <c r="W593" s="72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3515</v>
      </c>
      <c r="D2" s="10"/>
      <c r="E2" s="9">
        <f t="shared" ref="E2:R2" si="1">SUM(E5,E14,E17)</f>
        <v>0</v>
      </c>
      <c r="F2" s="9">
        <f t="shared" si="1"/>
        <v>12</v>
      </c>
      <c r="G2" s="9">
        <f t="shared" si="1"/>
        <v>4</v>
      </c>
      <c r="H2" s="9">
        <f t="shared" si="1"/>
        <v>2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22</v>
      </c>
      <c r="N2" s="9">
        <f t="shared" si="1"/>
        <v>3</v>
      </c>
      <c r="O2" s="9">
        <f t="shared" si="1"/>
        <v>2</v>
      </c>
      <c r="P2" s="9">
        <f t="shared" si="1"/>
        <v>0</v>
      </c>
      <c r="Q2" s="9">
        <f t="shared" si="1"/>
        <v>0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1757.5</v>
      </c>
      <c r="F4" s="23">
        <f>IFERROR((G2+R2)/F2,0)</f>
        <v>0.4166666667</v>
      </c>
      <c r="G4" s="23">
        <f>IFERROR(H2/G2,0)</f>
        <v>0.5</v>
      </c>
      <c r="H4" s="22">
        <f>(C2/C4)</f>
        <v>79.88636364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5.5</v>
      </c>
      <c r="N4" s="24"/>
      <c r="O4" s="23">
        <f>IFERROR(O2/N2,0)</f>
        <v>0.6666666667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1236</v>
      </c>
      <c r="D5" s="31"/>
      <c r="E5" s="32">
        <f>SUMIFS(T:T,A:A,B5,D:D,"Y")</f>
        <v>0</v>
      </c>
      <c r="F5" s="33">
        <f>SUMIF(A:A,B5,G:G)</f>
        <v>5</v>
      </c>
      <c r="G5" s="33">
        <f>SUMIF(A:A,B5,H:H)</f>
        <v>3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17</v>
      </c>
      <c r="N5" s="33">
        <f>SUMIF(A:A,B5,N:N)</f>
        <v>2</v>
      </c>
      <c r="O5" s="33">
        <f>SUMIF(A:A,B5,O:O)</f>
        <v>1</v>
      </c>
      <c r="P5" s="33">
        <f>SUMIF(A:A,B5,J:J)</f>
        <v>0</v>
      </c>
      <c r="Q5" s="33">
        <f>SUMIF(A:A,B5,K:K)</f>
        <v>0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1236</v>
      </c>
      <c r="F7" s="41">
        <f>IFERROR((G5+R5)/F5,0)</f>
        <v>0.8</v>
      </c>
      <c r="G7" s="41">
        <f>IFERROR(H5/G5,0)</f>
        <v>0.3333333333</v>
      </c>
      <c r="H7" s="40">
        <f>(C5/C7)</f>
        <v>68.66666667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4.25</v>
      </c>
      <c r="N7" s="42"/>
      <c r="O7" s="41">
        <f>IFERROR(O5/N5,0)</f>
        <v>0.5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1236</v>
      </c>
      <c r="D11" s="47"/>
      <c r="E11" s="48">
        <f>SUMIFS(T:T,B:B,B11,D:D,"Y")</f>
        <v>0</v>
      </c>
      <c r="F11" s="49">
        <f t="shared" ref="F11:R11" si="2">SUMIF(B28:B1137,B11,G28:G1137)</f>
        <v>5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1</v>
      </c>
      <c r="N11" s="49">
        <f t="shared" si="2"/>
        <v>2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10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123.6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2279</v>
      </c>
      <c r="D17" s="31"/>
      <c r="E17" s="53">
        <f>SUMIFS(T:T,A:A,B17,D:D,"Y")</f>
        <v>0</v>
      </c>
      <c r="F17" s="9">
        <f>SUMIF(A:A,B17,G:G)</f>
        <v>6</v>
      </c>
      <c r="G17" s="33">
        <f>SUMIF(A:A,B17,H:H)</f>
        <v>1</v>
      </c>
      <c r="H17" s="33">
        <f>SUMIF(A:A,B17,I:I)</f>
        <v>1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5</v>
      </c>
      <c r="N17" s="33">
        <f>SUMIF(A:A,B17,N:N)</f>
        <v>1</v>
      </c>
      <c r="O17" s="33">
        <f>SUMIF(A:A,B17,O:O)</f>
        <v>1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2279</v>
      </c>
      <c r="F19" s="41">
        <f>IFERROR((G17+R17)/F17,0)</f>
        <v>0.1666666667</v>
      </c>
      <c r="G19" s="41">
        <f>IFERROR(H17/G17,0)</f>
        <v>1</v>
      </c>
      <c r="H19" s="40">
        <f>(C17/C19)</f>
        <v>103.5909091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5</v>
      </c>
      <c r="N19" s="42"/>
      <c r="O19" s="41">
        <f>IFERROR(O17/N17,0)</f>
        <v>1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2279</v>
      </c>
      <c r="D20" s="55"/>
      <c r="E20" s="48">
        <f>SUMIFS(T:T,B:B,B20,D:D,"Y")</f>
        <v>0</v>
      </c>
      <c r="F20" s="49">
        <f>SUMIF(B46:B1137,B20,G46:G1137)</f>
        <v>6</v>
      </c>
      <c r="G20" s="46">
        <f>SUMIF(B46:B1137,B20,H46:H1137)</f>
        <v>1</v>
      </c>
      <c r="H20" s="46">
        <f>SUMIF(B46:B1137,B20,I46:I1137)</f>
        <v>1</v>
      </c>
      <c r="I20" s="46">
        <f>SUMIF(B46:B1137,B20,P46:P1137)</f>
        <v>0</v>
      </c>
      <c r="J20" s="46">
        <f>SUMIF(B46:B1137,B20,Q46:Q1137)</f>
        <v>0</v>
      </c>
      <c r="K20" s="46">
        <f>SUMIF(B46:B1137,B20,R46:R1137)</f>
        <v>0</v>
      </c>
      <c r="L20" s="46">
        <f>SUMIF(B46:B1137,B20,S46:S1137)</f>
        <v>0</v>
      </c>
      <c r="M20" s="46">
        <f>SUMIF(B46:B1137,B20,M46:M1137)</f>
        <v>5</v>
      </c>
      <c r="N20" s="46">
        <f>SUMIF(B46:B1137,B20,N46:N1137)</f>
        <v>1</v>
      </c>
      <c r="O20" s="46">
        <f>SUMIF(B46:B1137,B20,O46:O1137)</f>
        <v>1</v>
      </c>
      <c r="P20" s="46">
        <f>SUMIF(B46:B1137,B20,J46:J1137)</f>
        <v>0</v>
      </c>
      <c r="Q20" s="46">
        <f>SUMIF(B46:B1137,B20,K46:K1137)</f>
        <v>0</v>
      </c>
      <c r="R20" s="50">
        <f>SUMIF(B46:B1137,B20,L46:L1137)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2279</v>
      </c>
      <c r="F22" s="41">
        <f>IFERROR((G20+R20)/F20,0)</f>
        <v>0.1666666667</v>
      </c>
      <c r="G22" s="41">
        <f>IFERROR(H20/G20,0)</f>
        <v>1</v>
      </c>
      <c r="H22" s="40">
        <f>(C20/C22)</f>
        <v>162.7857143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5</v>
      </c>
      <c r="N22" s="42"/>
      <c r="O22" s="41">
        <f>IFERROR(O20/N20,0)</f>
        <v>1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SUMIF(B49:B1137,B23,G49:G1137)</f>
        <v>0</v>
      </c>
      <c r="G23" s="46">
        <f>SUMIF(B49:B1137,B23,H49:H1137)</f>
        <v>0</v>
      </c>
      <c r="H23" s="46">
        <f>SUMIF(B49:B1137,B23,I49:I1137)</f>
        <v>0</v>
      </c>
      <c r="I23" s="46">
        <f>SUMIF(B49:B1137,B23,P49:P1137)</f>
        <v>0</v>
      </c>
      <c r="J23" s="46">
        <f>SUMIF(B49:B1137,B23,Q49:Q1137)</f>
        <v>0</v>
      </c>
      <c r="K23" s="46">
        <f>SUMIF(B49:B1137,B23,R49:R1137)</f>
        <v>0</v>
      </c>
      <c r="L23" s="46">
        <f>SUMIF(B49:B1137,B23,S49:S1137)</f>
        <v>0</v>
      </c>
      <c r="M23" s="46">
        <f>SUMIF(B49:B1137,B23,M49:M1137)</f>
        <v>0</v>
      </c>
      <c r="N23" s="46">
        <f>SUMIF(B49:B1137,B23,N49:N1137)</f>
        <v>0</v>
      </c>
      <c r="O23" s="46">
        <f>SUMIF(B49:B1137,B23,O49:O1137)</f>
        <v>0</v>
      </c>
      <c r="P23" s="46">
        <f>SUMIF(B49:B1137,B23,J49:J1137)</f>
        <v>0</v>
      </c>
      <c r="Q23" s="46">
        <f>SUMIF(B49:B1137,B23,K49:K1137)</f>
        <v>0</v>
      </c>
      <c r="R23" s="50">
        <f>SUMIF(B49:B1137,B23,L49:L1137)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>IFERROR(I28/H28,0)</f>
        <v>0</v>
      </c>
      <c r="V28" s="71">
        <f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6">
        <v>0.0</v>
      </c>
      <c r="H29" s="126">
        <v>0.0</v>
      </c>
      <c r="I29" s="126">
        <v>0.0</v>
      </c>
      <c r="J29" s="126">
        <v>0.0</v>
      </c>
      <c r="K29" s="126">
        <v>0.0</v>
      </c>
      <c r="L29" s="126">
        <v>0.0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6">
        <v>0.0</v>
      </c>
      <c r="T29" s="126">
        <v>0.0</v>
      </c>
      <c r="U29" s="127">
        <v>0.0</v>
      </c>
      <c r="V29" s="127">
        <v>0.0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6">
        <v>0.0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71">
        <f t="shared" ref="U30:U32" si="3">IFERROR(I30/H30,0)</f>
        <v>0</v>
      </c>
      <c r="V30" s="71">
        <f t="shared" ref="V30:V45" si="4">IFERROR(SUM(H30+L30)/G30,0)</f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127">
        <v>0.0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6">
        <v>4.0</v>
      </c>
      <c r="H34" s="126">
        <v>2.0</v>
      </c>
      <c r="I34" s="126">
        <v>1.0</v>
      </c>
      <c r="J34" s="126">
        <v>0.0</v>
      </c>
      <c r="K34" s="126">
        <v>0.0</v>
      </c>
      <c r="L34" s="126">
        <v>1.0</v>
      </c>
      <c r="M34" s="126">
        <v>9.0</v>
      </c>
      <c r="N34" s="126">
        <v>1.0</v>
      </c>
      <c r="O34" s="126">
        <v>1.0</v>
      </c>
      <c r="P34" s="126">
        <v>0.0</v>
      </c>
      <c r="Q34" s="126">
        <v>0.0</v>
      </c>
      <c r="R34" s="126">
        <v>0.0</v>
      </c>
      <c r="S34" s="126">
        <v>0.0</v>
      </c>
      <c r="T34" s="126">
        <v>1236.0</v>
      </c>
      <c r="U34" s="71">
        <f t="shared" ref="U34:U35" si="5">IFERROR(I34/H34,0)</f>
        <v>0.5</v>
      </c>
      <c r="V34" s="71">
        <f t="shared" si="4"/>
        <v>0.75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6">
        <v>0.0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71">
        <f t="shared" si="5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127">
        <v>0.0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71">
        <f t="shared" ref="U37:U45" si="6">IFERROR(I37/H37,0)</f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6">
        <v>1.0</v>
      </c>
      <c r="H38" s="126">
        <v>1.0</v>
      </c>
      <c r="I38" s="126">
        <v>0.0</v>
      </c>
      <c r="J38" s="126">
        <v>0.0</v>
      </c>
      <c r="K38" s="126">
        <v>0.0</v>
      </c>
      <c r="L38" s="126">
        <v>0.0</v>
      </c>
      <c r="M38" s="126">
        <v>8.0</v>
      </c>
      <c r="N38" s="126">
        <v>1.0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71">
        <f t="shared" si="6"/>
        <v>0</v>
      </c>
      <c r="V38" s="71">
        <f t="shared" si="4"/>
        <v>1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6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6"/>
        <v>0</v>
      </c>
      <c r="V40" s="71">
        <f t="shared" si="4"/>
        <v>0</v>
      </c>
      <c r="W40" s="72"/>
    </row>
    <row r="41">
      <c r="A41" s="78" t="s">
        <v>26</v>
      </c>
      <c r="B41" s="79" t="s">
        <v>27</v>
      </c>
      <c r="C41" s="94"/>
      <c r="D41" s="79" t="s">
        <v>49</v>
      </c>
      <c r="E41" s="95"/>
      <c r="F41" s="79" t="s">
        <v>27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6"/>
        <v>0</v>
      </c>
      <c r="V41" s="71">
        <f t="shared" si="4"/>
        <v>0</v>
      </c>
      <c r="W41" s="72"/>
    </row>
    <row r="42">
      <c r="A42" s="96" t="s">
        <v>26</v>
      </c>
      <c r="B42" s="77" t="s">
        <v>27</v>
      </c>
      <c r="C42" s="75"/>
      <c r="D42" s="75"/>
      <c r="E42" s="75"/>
      <c r="F42" s="77" t="s">
        <v>61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6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6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6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6"/>
        <v>0</v>
      </c>
      <c r="V45" s="71">
        <f t="shared" si="4"/>
        <v>0</v>
      </c>
      <c r="W45" s="72"/>
    </row>
    <row r="46" ht="20.25" customHeight="1">
      <c r="A46" s="61" t="s">
        <v>33</v>
      </c>
      <c r="B46" s="62" t="s">
        <v>34</v>
      </c>
      <c r="C46" s="62" t="s">
        <v>35</v>
      </c>
      <c r="D46" s="63"/>
      <c r="E46" s="62" t="s">
        <v>36</v>
      </c>
      <c r="F46" s="62" t="s">
        <v>37</v>
      </c>
      <c r="G46" s="64" t="s">
        <v>38</v>
      </c>
      <c r="H46" s="64" t="s">
        <v>39</v>
      </c>
      <c r="I46" s="64" t="s">
        <v>40</v>
      </c>
      <c r="J46" s="64" t="s">
        <v>12</v>
      </c>
      <c r="K46" s="64" t="s">
        <v>41</v>
      </c>
      <c r="L46" s="64" t="s">
        <v>14</v>
      </c>
      <c r="M46" s="64" t="s">
        <v>9</v>
      </c>
      <c r="N46" s="64" t="s">
        <v>10</v>
      </c>
      <c r="O46" s="64" t="s">
        <v>42</v>
      </c>
      <c r="P46" s="64" t="s">
        <v>5</v>
      </c>
      <c r="Q46" s="64" t="s">
        <v>43</v>
      </c>
      <c r="R46" s="64" t="s">
        <v>44</v>
      </c>
      <c r="S46" s="64" t="s">
        <v>45</v>
      </c>
      <c r="T46" s="64" t="s">
        <v>0</v>
      </c>
      <c r="U46" s="62" t="s">
        <v>46</v>
      </c>
      <c r="V46" s="62" t="s">
        <v>47</v>
      </c>
      <c r="W46" s="97"/>
    </row>
    <row r="47" ht="12.75" customHeight="1">
      <c r="A47" s="66" t="s">
        <v>29</v>
      </c>
      <c r="B47" s="67"/>
      <c r="C47" s="67"/>
      <c r="D47" s="68" t="s">
        <v>49</v>
      </c>
      <c r="E47" s="69"/>
      <c r="F47" s="68" t="s">
        <v>29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ref="U47:U50" si="7">IFERROR(I47/H47,0)</f>
        <v>0</v>
      </c>
      <c r="V47" s="71">
        <f t="shared" ref="V47:V50" si="8">IFERROR(SUM(H47+L47)/G47,0)</f>
        <v>0</v>
      </c>
      <c r="W47" s="72"/>
    </row>
    <row r="48" ht="12.75" customHeight="1">
      <c r="A48" s="73" t="s">
        <v>29</v>
      </c>
      <c r="B48" s="77"/>
      <c r="C48" s="75"/>
      <c r="D48" s="75"/>
      <c r="E48" s="75"/>
      <c r="F48" s="77" t="s">
        <v>65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7"/>
        <v>0</v>
      </c>
      <c r="V48" s="71">
        <f t="shared" si="8"/>
        <v>0</v>
      </c>
      <c r="W48" s="72"/>
    </row>
    <row r="49" ht="12.75" customHeight="1">
      <c r="A49" s="82" t="s">
        <v>29</v>
      </c>
      <c r="B49" s="84"/>
      <c r="C49" s="98" t="s">
        <v>66</v>
      </c>
      <c r="D49" s="99" t="s">
        <v>49</v>
      </c>
      <c r="E49" s="84"/>
      <c r="F49" s="98" t="s">
        <v>66</v>
      </c>
      <c r="G49" s="126">
        <v>1.0</v>
      </c>
      <c r="H49" s="126">
        <v>0.0</v>
      </c>
      <c r="I49" s="126">
        <v>0.0</v>
      </c>
      <c r="J49" s="126">
        <v>0.0</v>
      </c>
      <c r="K49" s="126">
        <v>0.0</v>
      </c>
      <c r="L49" s="126">
        <v>0.0</v>
      </c>
      <c r="M49" s="126">
        <v>0.0</v>
      </c>
      <c r="N49" s="126">
        <v>0.0</v>
      </c>
      <c r="O49" s="126">
        <v>0.0</v>
      </c>
      <c r="P49" s="70"/>
      <c r="Q49" s="126">
        <v>0.0</v>
      </c>
      <c r="R49" s="126">
        <v>0.0</v>
      </c>
      <c r="S49" s="126">
        <v>0.0</v>
      </c>
      <c r="T49" s="126">
        <v>0.0</v>
      </c>
      <c r="U49" s="71">
        <f t="shared" si="7"/>
        <v>0</v>
      </c>
      <c r="V49" s="71">
        <f t="shared" si="8"/>
        <v>0</v>
      </c>
      <c r="W49" s="72"/>
    </row>
    <row r="50" ht="12.75" customHeight="1">
      <c r="A50" s="85" t="s">
        <v>29</v>
      </c>
      <c r="B50" s="86"/>
      <c r="C50" s="86" t="s">
        <v>66</v>
      </c>
      <c r="D50" s="84"/>
      <c r="E50" s="84"/>
      <c r="F50" s="88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7"/>
        <v>0</v>
      </c>
      <c r="V50" s="71">
        <f t="shared" si="8"/>
        <v>0</v>
      </c>
      <c r="W50" s="72"/>
    </row>
    <row r="51" ht="20.25" customHeight="1">
      <c r="A51" s="61" t="s">
        <v>33</v>
      </c>
      <c r="B51" s="62" t="s">
        <v>34</v>
      </c>
      <c r="C51" s="62" t="s">
        <v>35</v>
      </c>
      <c r="D51" s="63"/>
      <c r="E51" s="62" t="s">
        <v>36</v>
      </c>
      <c r="F51" s="62" t="s">
        <v>37</v>
      </c>
      <c r="G51" s="64" t="s">
        <v>38</v>
      </c>
      <c r="H51" s="64" t="s">
        <v>39</v>
      </c>
      <c r="I51" s="64" t="s">
        <v>40</v>
      </c>
      <c r="J51" s="64" t="s">
        <v>12</v>
      </c>
      <c r="K51" s="64" t="s">
        <v>41</v>
      </c>
      <c r="L51" s="64" t="s">
        <v>14</v>
      </c>
      <c r="M51" s="64" t="s">
        <v>9</v>
      </c>
      <c r="N51" s="64" t="s">
        <v>10</v>
      </c>
      <c r="O51" s="64" t="s">
        <v>42</v>
      </c>
      <c r="P51" s="64" t="s">
        <v>5</v>
      </c>
      <c r="Q51" s="64" t="s">
        <v>43</v>
      </c>
      <c r="R51" s="64" t="s">
        <v>44</v>
      </c>
      <c r="S51" s="64" t="s">
        <v>45</v>
      </c>
      <c r="T51" s="64" t="s">
        <v>0</v>
      </c>
      <c r="U51" s="62" t="s">
        <v>46</v>
      </c>
      <c r="V51" s="62" t="s">
        <v>47</v>
      </c>
      <c r="W51" s="97"/>
    </row>
    <row r="52" ht="12.75" customHeight="1">
      <c r="A52" s="100" t="s">
        <v>30</v>
      </c>
      <c r="B52" s="59"/>
      <c r="C52" s="59"/>
      <c r="D52" s="101" t="s">
        <v>49</v>
      </c>
      <c r="E52" s="59"/>
      <c r="F52" s="100" t="s">
        <v>30</v>
      </c>
      <c r="G52" s="126">
        <v>0.0</v>
      </c>
      <c r="H52" s="126">
        <v>0.0</v>
      </c>
      <c r="I52" s="126">
        <v>0.0</v>
      </c>
      <c r="J52" s="126">
        <v>0.0</v>
      </c>
      <c r="K52" s="126">
        <v>0.0</v>
      </c>
      <c r="L52" s="126">
        <v>0.0</v>
      </c>
      <c r="M52" s="126">
        <v>0.0</v>
      </c>
      <c r="N52" s="126">
        <v>0.0</v>
      </c>
      <c r="O52" s="126">
        <v>0.0</v>
      </c>
      <c r="P52" s="126">
        <v>0.0</v>
      </c>
      <c r="Q52" s="126">
        <v>0.0</v>
      </c>
      <c r="R52" s="126">
        <v>0.0</v>
      </c>
      <c r="S52" s="126">
        <v>0.0</v>
      </c>
      <c r="T52" s="126">
        <v>0.0</v>
      </c>
      <c r="U52" s="71">
        <f t="shared" ref="U52:U73" si="9">IFERROR(I52/H52,0)</f>
        <v>0</v>
      </c>
      <c r="V52" s="71">
        <f t="shared" ref="V52:V73" si="10">IFERROR(SUM(H52+L52)/G52,0)</f>
        <v>0</v>
      </c>
      <c r="W52" s="72"/>
    </row>
    <row r="53" ht="12.75" customHeight="1">
      <c r="A53" s="102" t="s">
        <v>30</v>
      </c>
      <c r="B53" s="59"/>
      <c r="C53" s="59"/>
      <c r="D53" s="58"/>
      <c r="E53" s="75"/>
      <c r="F53" s="102" t="s">
        <v>68</v>
      </c>
      <c r="G53" s="126">
        <v>0.0</v>
      </c>
      <c r="H53" s="126">
        <v>0.0</v>
      </c>
      <c r="I53" s="126">
        <v>0.0</v>
      </c>
      <c r="J53" s="126">
        <v>0.0</v>
      </c>
      <c r="K53" s="126">
        <v>0.0</v>
      </c>
      <c r="L53" s="126">
        <v>0.0</v>
      </c>
      <c r="M53" s="126">
        <v>0.0</v>
      </c>
      <c r="N53" s="126">
        <v>0.0</v>
      </c>
      <c r="O53" s="126">
        <v>0.0</v>
      </c>
      <c r="P53" s="126">
        <v>0.0</v>
      </c>
      <c r="Q53" s="126">
        <v>0.0</v>
      </c>
      <c r="R53" s="126">
        <v>0.0</v>
      </c>
      <c r="S53" s="126">
        <v>0.0</v>
      </c>
      <c r="T53" s="126">
        <v>0.0</v>
      </c>
      <c r="U53" s="71">
        <f t="shared" si="9"/>
        <v>0</v>
      </c>
      <c r="V53" s="71">
        <f t="shared" si="10"/>
        <v>0</v>
      </c>
      <c r="W53" s="72"/>
    </row>
    <row r="54" ht="12.75" customHeight="1">
      <c r="A54" s="103" t="s">
        <v>30</v>
      </c>
      <c r="B54" s="103"/>
      <c r="C54" s="103"/>
      <c r="D54" s="58"/>
      <c r="E54" s="75"/>
      <c r="F54" s="104" t="s">
        <v>69</v>
      </c>
      <c r="G54" s="126">
        <v>0.0</v>
      </c>
      <c r="H54" s="126">
        <v>0.0</v>
      </c>
      <c r="I54" s="126">
        <v>0.0</v>
      </c>
      <c r="J54" s="126">
        <v>0.0</v>
      </c>
      <c r="K54" s="126">
        <v>0.0</v>
      </c>
      <c r="L54" s="126">
        <v>0.0</v>
      </c>
      <c r="M54" s="126">
        <v>0.0</v>
      </c>
      <c r="N54" s="126">
        <v>0.0</v>
      </c>
      <c r="O54" s="126">
        <v>0.0</v>
      </c>
      <c r="P54" s="126">
        <v>0.0</v>
      </c>
      <c r="Q54" s="126">
        <v>0.0</v>
      </c>
      <c r="R54" s="126">
        <v>0.0</v>
      </c>
      <c r="S54" s="126">
        <v>0.0</v>
      </c>
      <c r="T54" s="126">
        <v>0.0</v>
      </c>
      <c r="U54" s="71">
        <f t="shared" si="9"/>
        <v>0</v>
      </c>
      <c r="V54" s="71">
        <f t="shared" si="10"/>
        <v>0</v>
      </c>
      <c r="W54" s="72"/>
    </row>
    <row r="55" ht="12.75" customHeight="1">
      <c r="A55" s="105" t="s">
        <v>30</v>
      </c>
      <c r="B55" s="105" t="s">
        <v>31</v>
      </c>
      <c r="C55" s="106"/>
      <c r="D55" s="107" t="s">
        <v>49</v>
      </c>
      <c r="E55" s="95"/>
      <c r="F55" s="105" t="s">
        <v>31</v>
      </c>
      <c r="G55" s="126">
        <v>5.0</v>
      </c>
      <c r="H55" s="126">
        <v>0.0</v>
      </c>
      <c r="I55" s="126">
        <v>0.0</v>
      </c>
      <c r="J55" s="126">
        <v>0.0</v>
      </c>
      <c r="K55" s="126">
        <v>0.0</v>
      </c>
      <c r="L55" s="126">
        <v>0.0</v>
      </c>
      <c r="M55" s="126">
        <v>0.0</v>
      </c>
      <c r="N55" s="126">
        <v>0.0</v>
      </c>
      <c r="O55" s="126">
        <v>0.0</v>
      </c>
      <c r="P55" s="126">
        <v>0.0</v>
      </c>
      <c r="Q55" s="126">
        <v>0.0</v>
      </c>
      <c r="R55" s="126">
        <v>0.0</v>
      </c>
      <c r="S55" s="126">
        <v>0.0</v>
      </c>
      <c r="T55" s="126">
        <v>0.0</v>
      </c>
      <c r="U55" s="71">
        <f t="shared" si="9"/>
        <v>0</v>
      </c>
      <c r="V55" s="71">
        <f t="shared" si="10"/>
        <v>0</v>
      </c>
      <c r="W55" s="72"/>
    </row>
    <row r="56" ht="12.75" customHeight="1">
      <c r="A56" s="102" t="s">
        <v>30</v>
      </c>
      <c r="B56" s="103" t="s">
        <v>31</v>
      </c>
      <c r="C56" s="103"/>
      <c r="D56" s="108"/>
      <c r="E56" s="69"/>
      <c r="F56" s="109" t="s">
        <v>70</v>
      </c>
      <c r="G56" s="126">
        <v>0.0</v>
      </c>
      <c r="H56" s="126">
        <v>0.0</v>
      </c>
      <c r="I56" s="126">
        <v>0.0</v>
      </c>
      <c r="J56" s="126">
        <v>0.0</v>
      </c>
      <c r="K56" s="126">
        <v>0.0</v>
      </c>
      <c r="L56" s="126">
        <v>0.0</v>
      </c>
      <c r="M56" s="126">
        <v>0.0</v>
      </c>
      <c r="N56" s="126">
        <v>0.0</v>
      </c>
      <c r="O56" s="126">
        <v>0.0</v>
      </c>
      <c r="P56" s="126">
        <v>0.0</v>
      </c>
      <c r="Q56" s="126">
        <v>0.0</v>
      </c>
      <c r="R56" s="126">
        <v>0.0</v>
      </c>
      <c r="S56" s="126">
        <v>0.0</v>
      </c>
      <c r="T56" s="126">
        <v>0.0</v>
      </c>
      <c r="U56" s="71">
        <f t="shared" si="9"/>
        <v>0</v>
      </c>
      <c r="V56" s="71">
        <f t="shared" si="10"/>
        <v>0</v>
      </c>
      <c r="W56" s="72"/>
    </row>
    <row r="57" ht="12.75" customHeight="1">
      <c r="A57" s="102" t="s">
        <v>30</v>
      </c>
      <c r="B57" s="102" t="s">
        <v>31</v>
      </c>
      <c r="C57" s="59"/>
      <c r="D57" s="59"/>
      <c r="E57" s="75"/>
      <c r="F57" s="102" t="s">
        <v>71</v>
      </c>
      <c r="G57" s="126">
        <v>0.0</v>
      </c>
      <c r="H57" s="126">
        <v>0.0</v>
      </c>
      <c r="I57" s="126">
        <v>0.0</v>
      </c>
      <c r="J57" s="126">
        <v>0.0</v>
      </c>
      <c r="K57" s="126">
        <v>0.0</v>
      </c>
      <c r="L57" s="126">
        <v>0.0</v>
      </c>
      <c r="M57" s="126">
        <v>0.0</v>
      </c>
      <c r="N57" s="126">
        <v>0.0</v>
      </c>
      <c r="O57" s="126">
        <v>0.0</v>
      </c>
      <c r="P57" s="126">
        <v>0.0</v>
      </c>
      <c r="Q57" s="126">
        <v>0.0</v>
      </c>
      <c r="R57" s="126">
        <v>0.0</v>
      </c>
      <c r="S57" s="126">
        <v>0.0</v>
      </c>
      <c r="T57" s="126">
        <v>0.0</v>
      </c>
      <c r="U57" s="71">
        <f t="shared" si="9"/>
        <v>0</v>
      </c>
      <c r="V57" s="71">
        <f t="shared" si="10"/>
        <v>0</v>
      </c>
      <c r="W57" s="72"/>
    </row>
    <row r="58" ht="12.75" customHeight="1">
      <c r="A58" s="102" t="s">
        <v>30</v>
      </c>
      <c r="B58" s="102" t="s">
        <v>31</v>
      </c>
      <c r="C58" s="102"/>
      <c r="D58" s="59"/>
      <c r="E58" s="75"/>
      <c r="F58" s="102" t="s">
        <v>72</v>
      </c>
      <c r="G58" s="126">
        <v>0.0</v>
      </c>
      <c r="H58" s="126">
        <v>0.0</v>
      </c>
      <c r="I58" s="126">
        <v>0.0</v>
      </c>
      <c r="J58" s="126">
        <v>0.0</v>
      </c>
      <c r="K58" s="126">
        <v>0.0</v>
      </c>
      <c r="L58" s="126">
        <v>0.0</v>
      </c>
      <c r="M58" s="126">
        <v>0.0</v>
      </c>
      <c r="N58" s="126">
        <v>0.0</v>
      </c>
      <c r="O58" s="126">
        <v>0.0</v>
      </c>
      <c r="P58" s="126">
        <v>0.0</v>
      </c>
      <c r="Q58" s="126">
        <v>0.0</v>
      </c>
      <c r="R58" s="126">
        <v>0.0</v>
      </c>
      <c r="S58" s="126">
        <v>0.0</v>
      </c>
      <c r="T58" s="126">
        <v>0.0</v>
      </c>
      <c r="U58" s="71">
        <f t="shared" si="9"/>
        <v>0</v>
      </c>
      <c r="V58" s="71">
        <f t="shared" si="10"/>
        <v>0</v>
      </c>
      <c r="W58" s="72"/>
    </row>
    <row r="59" ht="12.75" customHeight="1">
      <c r="A59" s="110" t="s">
        <v>30</v>
      </c>
      <c r="B59" s="110" t="s">
        <v>31</v>
      </c>
      <c r="C59" s="110" t="s">
        <v>73</v>
      </c>
      <c r="D59" s="99" t="s">
        <v>49</v>
      </c>
      <c r="E59" s="84"/>
      <c r="F59" s="110" t="s">
        <v>73</v>
      </c>
      <c r="G59" s="126">
        <v>0.0</v>
      </c>
      <c r="H59" s="126">
        <v>0.0</v>
      </c>
      <c r="I59" s="126">
        <v>0.0</v>
      </c>
      <c r="J59" s="126">
        <v>0.0</v>
      </c>
      <c r="K59" s="126">
        <v>0.0</v>
      </c>
      <c r="L59" s="126">
        <v>0.0</v>
      </c>
      <c r="M59" s="126">
        <v>0.0</v>
      </c>
      <c r="N59" s="126">
        <v>0.0</v>
      </c>
      <c r="O59" s="126">
        <v>0.0</v>
      </c>
      <c r="P59" s="126">
        <v>0.0</v>
      </c>
      <c r="Q59" s="126">
        <v>0.0</v>
      </c>
      <c r="R59" s="126">
        <v>0.0</v>
      </c>
      <c r="S59" s="126">
        <v>0.0</v>
      </c>
      <c r="T59" s="126">
        <v>0.0</v>
      </c>
      <c r="U59" s="71">
        <f t="shared" si="9"/>
        <v>0</v>
      </c>
      <c r="V59" s="71">
        <f t="shared" si="10"/>
        <v>0</v>
      </c>
      <c r="W59" s="72"/>
    </row>
    <row r="60" ht="12.75" customHeight="1">
      <c r="A60" s="111" t="s">
        <v>30</v>
      </c>
      <c r="B60" s="111" t="s">
        <v>31</v>
      </c>
      <c r="C60" s="111" t="s">
        <v>73</v>
      </c>
      <c r="D60" s="112"/>
      <c r="E60" s="84"/>
      <c r="F60" s="111" t="s">
        <v>74</v>
      </c>
      <c r="G60" s="126">
        <v>0.0</v>
      </c>
      <c r="H60" s="126">
        <v>0.0</v>
      </c>
      <c r="I60" s="126">
        <v>0.0</v>
      </c>
      <c r="J60" s="126">
        <v>0.0</v>
      </c>
      <c r="K60" s="126">
        <v>0.0</v>
      </c>
      <c r="L60" s="126">
        <v>0.0</v>
      </c>
      <c r="M60" s="126">
        <v>0.0</v>
      </c>
      <c r="N60" s="126">
        <v>0.0</v>
      </c>
      <c r="O60" s="126">
        <v>0.0</v>
      </c>
      <c r="P60" s="126">
        <v>0.0</v>
      </c>
      <c r="Q60" s="126">
        <v>0.0</v>
      </c>
      <c r="R60" s="126">
        <v>0.0</v>
      </c>
      <c r="S60" s="126">
        <v>0.0</v>
      </c>
      <c r="T60" s="126">
        <v>0.0</v>
      </c>
      <c r="U60" s="71">
        <f t="shared" si="9"/>
        <v>0</v>
      </c>
      <c r="V60" s="71">
        <f t="shared" si="10"/>
        <v>0</v>
      </c>
      <c r="W60" s="72"/>
    </row>
    <row r="61" ht="12.75" customHeight="1">
      <c r="A61" s="111" t="s">
        <v>30</v>
      </c>
      <c r="B61" s="111" t="s">
        <v>31</v>
      </c>
      <c r="C61" s="111" t="s">
        <v>73</v>
      </c>
      <c r="D61" s="112"/>
      <c r="E61" s="84"/>
      <c r="F61" s="111" t="s">
        <v>75</v>
      </c>
      <c r="G61" s="126">
        <v>0.0</v>
      </c>
      <c r="H61" s="126">
        <v>0.0</v>
      </c>
      <c r="I61" s="126">
        <v>0.0</v>
      </c>
      <c r="J61" s="126">
        <v>0.0</v>
      </c>
      <c r="K61" s="126">
        <v>0.0</v>
      </c>
      <c r="L61" s="126">
        <v>0.0</v>
      </c>
      <c r="M61" s="126">
        <v>0.0</v>
      </c>
      <c r="N61" s="126">
        <v>0.0</v>
      </c>
      <c r="O61" s="126">
        <v>0.0</v>
      </c>
      <c r="P61" s="126">
        <v>0.0</v>
      </c>
      <c r="Q61" s="126">
        <v>0.0</v>
      </c>
      <c r="R61" s="126">
        <v>0.0</v>
      </c>
      <c r="S61" s="126">
        <v>0.0</v>
      </c>
      <c r="T61" s="126">
        <v>0.0</v>
      </c>
      <c r="U61" s="71">
        <f t="shared" si="9"/>
        <v>0</v>
      </c>
      <c r="V61" s="71">
        <f t="shared" si="10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73</v>
      </c>
      <c r="D62" s="112"/>
      <c r="E62" s="84"/>
      <c r="F62" s="111" t="s">
        <v>76</v>
      </c>
      <c r="G62" s="126">
        <v>1.0</v>
      </c>
      <c r="H62" s="126">
        <v>1.0</v>
      </c>
      <c r="I62" s="126">
        <v>1.0</v>
      </c>
      <c r="J62" s="126">
        <v>0.0</v>
      </c>
      <c r="K62" s="126">
        <v>0.0</v>
      </c>
      <c r="L62" s="126">
        <v>0.0</v>
      </c>
      <c r="M62" s="126">
        <v>5.0</v>
      </c>
      <c r="N62" s="126">
        <v>1.0</v>
      </c>
      <c r="O62" s="126">
        <v>1.0</v>
      </c>
      <c r="P62" s="126">
        <v>0.0</v>
      </c>
      <c r="Q62" s="126">
        <v>0.0</v>
      </c>
      <c r="R62" s="126">
        <v>0.0</v>
      </c>
      <c r="S62" s="126">
        <v>0.0</v>
      </c>
      <c r="T62" s="126">
        <v>2279.0</v>
      </c>
      <c r="U62" s="71">
        <f t="shared" si="9"/>
        <v>1</v>
      </c>
      <c r="V62" s="71">
        <f t="shared" si="10"/>
        <v>1</v>
      </c>
      <c r="W62" s="72"/>
    </row>
    <row r="63" ht="12.75" customHeight="1">
      <c r="A63" s="111" t="s">
        <v>30</v>
      </c>
      <c r="B63" s="111" t="s">
        <v>31</v>
      </c>
      <c r="C63" s="111" t="s">
        <v>73</v>
      </c>
      <c r="D63" s="112"/>
      <c r="E63" s="84"/>
      <c r="F63" s="113" t="s">
        <v>77</v>
      </c>
      <c r="G63" s="126">
        <v>0.0</v>
      </c>
      <c r="H63" s="126">
        <v>0.0</v>
      </c>
      <c r="I63" s="126">
        <v>0.0</v>
      </c>
      <c r="J63" s="126">
        <v>0.0</v>
      </c>
      <c r="K63" s="126">
        <v>0.0</v>
      </c>
      <c r="L63" s="126">
        <v>0.0</v>
      </c>
      <c r="M63" s="126">
        <v>0.0</v>
      </c>
      <c r="N63" s="126">
        <v>0.0</v>
      </c>
      <c r="O63" s="126">
        <v>0.0</v>
      </c>
      <c r="P63" s="126">
        <v>0.0</v>
      </c>
      <c r="Q63" s="126">
        <v>0.0</v>
      </c>
      <c r="R63" s="126">
        <v>0.0</v>
      </c>
      <c r="S63" s="126">
        <v>0.0</v>
      </c>
      <c r="T63" s="126">
        <v>0.0</v>
      </c>
      <c r="U63" s="71">
        <f t="shared" si="9"/>
        <v>0</v>
      </c>
      <c r="V63" s="71">
        <f t="shared" si="10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73</v>
      </c>
      <c r="D64" s="112"/>
      <c r="E64" s="84"/>
      <c r="F64" s="113" t="s">
        <v>78</v>
      </c>
      <c r="G64" s="126">
        <v>0.0</v>
      </c>
      <c r="H64" s="126">
        <v>0.0</v>
      </c>
      <c r="I64" s="126">
        <v>0.0</v>
      </c>
      <c r="J64" s="126">
        <v>0.0</v>
      </c>
      <c r="K64" s="126">
        <v>0.0</v>
      </c>
      <c r="L64" s="126">
        <v>0.0</v>
      </c>
      <c r="M64" s="126">
        <v>0.0</v>
      </c>
      <c r="N64" s="126">
        <v>0.0</v>
      </c>
      <c r="O64" s="126">
        <v>0.0</v>
      </c>
      <c r="P64" s="126">
        <v>0.0</v>
      </c>
      <c r="Q64" s="126">
        <v>0.0</v>
      </c>
      <c r="R64" s="126">
        <v>0.0</v>
      </c>
      <c r="S64" s="126">
        <v>0.0</v>
      </c>
      <c r="T64" s="126">
        <v>0.0</v>
      </c>
      <c r="U64" s="71">
        <f t="shared" si="9"/>
        <v>0</v>
      </c>
      <c r="V64" s="71">
        <f t="shared" si="10"/>
        <v>0</v>
      </c>
      <c r="W64" s="72"/>
    </row>
    <row r="65" ht="12.75" customHeight="1">
      <c r="A65" s="100" t="s">
        <v>30</v>
      </c>
      <c r="B65" s="100" t="s">
        <v>31</v>
      </c>
      <c r="C65" s="100" t="s">
        <v>79</v>
      </c>
      <c r="D65" s="114" t="s">
        <v>49</v>
      </c>
      <c r="E65" s="75"/>
      <c r="F65" s="100" t="s">
        <v>79</v>
      </c>
      <c r="G65" s="126">
        <v>0.0</v>
      </c>
      <c r="H65" s="126">
        <v>0.0</v>
      </c>
      <c r="I65" s="126">
        <v>0.0</v>
      </c>
      <c r="J65" s="126">
        <v>0.0</v>
      </c>
      <c r="K65" s="126">
        <v>0.0</v>
      </c>
      <c r="L65" s="126">
        <v>0.0</v>
      </c>
      <c r="M65" s="126">
        <v>0.0</v>
      </c>
      <c r="N65" s="126">
        <v>0.0</v>
      </c>
      <c r="O65" s="126">
        <v>0.0</v>
      </c>
      <c r="P65" s="126">
        <v>0.0</v>
      </c>
      <c r="Q65" s="126">
        <v>0.0</v>
      </c>
      <c r="R65" s="126">
        <v>0.0</v>
      </c>
      <c r="S65" s="126">
        <v>0.0</v>
      </c>
      <c r="T65" s="126">
        <v>0.0</v>
      </c>
      <c r="U65" s="71">
        <f t="shared" si="9"/>
        <v>0</v>
      </c>
      <c r="V65" s="71">
        <f t="shared" si="10"/>
        <v>0</v>
      </c>
      <c r="W65" s="72"/>
    </row>
    <row r="66" ht="12.75" customHeight="1">
      <c r="A66" s="110" t="s">
        <v>30</v>
      </c>
      <c r="B66" s="110" t="s">
        <v>31</v>
      </c>
      <c r="C66" s="115" t="s">
        <v>80</v>
      </c>
      <c r="D66" s="116" t="s">
        <v>49</v>
      </c>
      <c r="E66" s="117"/>
      <c r="F66" s="115" t="s">
        <v>80</v>
      </c>
      <c r="G66" s="126">
        <v>0.0</v>
      </c>
      <c r="H66" s="126">
        <v>0.0</v>
      </c>
      <c r="I66" s="126">
        <v>0.0</v>
      </c>
      <c r="J66" s="126">
        <v>0.0</v>
      </c>
      <c r="K66" s="126">
        <v>0.0</v>
      </c>
      <c r="L66" s="126">
        <v>0.0</v>
      </c>
      <c r="M66" s="126">
        <v>0.0</v>
      </c>
      <c r="N66" s="126">
        <v>0.0</v>
      </c>
      <c r="O66" s="126">
        <v>0.0</v>
      </c>
      <c r="P66" s="126">
        <v>0.0</v>
      </c>
      <c r="Q66" s="126">
        <v>0.0</v>
      </c>
      <c r="R66" s="126">
        <v>0.0</v>
      </c>
      <c r="S66" s="126">
        <v>0.0</v>
      </c>
      <c r="T66" s="126">
        <v>0.0</v>
      </c>
      <c r="U66" s="71">
        <f t="shared" si="9"/>
        <v>0</v>
      </c>
      <c r="V66" s="71">
        <f t="shared" si="10"/>
        <v>0</v>
      </c>
      <c r="W66" s="72"/>
    </row>
    <row r="67" ht="12.75" customHeight="1">
      <c r="A67" s="111" t="s">
        <v>30</v>
      </c>
      <c r="B67" s="111" t="s">
        <v>31</v>
      </c>
      <c r="C67" s="113" t="s">
        <v>80</v>
      </c>
      <c r="D67" s="112"/>
      <c r="E67" s="84"/>
      <c r="F67" s="113" t="s">
        <v>81</v>
      </c>
      <c r="G67" s="126">
        <v>0.0</v>
      </c>
      <c r="H67" s="126">
        <v>0.0</v>
      </c>
      <c r="I67" s="126">
        <v>0.0</v>
      </c>
      <c r="J67" s="126">
        <v>0.0</v>
      </c>
      <c r="K67" s="126">
        <v>0.0</v>
      </c>
      <c r="L67" s="126">
        <v>0.0</v>
      </c>
      <c r="M67" s="126">
        <v>0.0</v>
      </c>
      <c r="N67" s="126">
        <v>0.0</v>
      </c>
      <c r="O67" s="126">
        <v>0.0</v>
      </c>
      <c r="P67" s="126">
        <v>0.0</v>
      </c>
      <c r="Q67" s="126">
        <v>0.0</v>
      </c>
      <c r="R67" s="126">
        <v>0.0</v>
      </c>
      <c r="S67" s="126">
        <v>0.0</v>
      </c>
      <c r="T67" s="126">
        <v>0.0</v>
      </c>
      <c r="U67" s="71">
        <f t="shared" si="9"/>
        <v>0</v>
      </c>
      <c r="V67" s="71">
        <f t="shared" si="10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80</v>
      </c>
      <c r="D68" s="118"/>
      <c r="E68" s="84"/>
      <c r="F68" s="113" t="s">
        <v>82</v>
      </c>
      <c r="G68" s="126">
        <v>0.0</v>
      </c>
      <c r="H68" s="126">
        <v>0.0</v>
      </c>
      <c r="I68" s="126">
        <v>0.0</v>
      </c>
      <c r="J68" s="126">
        <v>0.0</v>
      </c>
      <c r="K68" s="126">
        <v>0.0</v>
      </c>
      <c r="L68" s="126">
        <v>0.0</v>
      </c>
      <c r="M68" s="126">
        <v>0.0</v>
      </c>
      <c r="N68" s="126">
        <v>0.0</v>
      </c>
      <c r="O68" s="126">
        <v>0.0</v>
      </c>
      <c r="P68" s="126">
        <v>0.0</v>
      </c>
      <c r="Q68" s="126">
        <v>0.0</v>
      </c>
      <c r="R68" s="126">
        <v>0.0</v>
      </c>
      <c r="S68" s="126">
        <v>0.0</v>
      </c>
      <c r="T68" s="126">
        <v>0.0</v>
      </c>
      <c r="U68" s="71">
        <f t="shared" si="9"/>
        <v>0</v>
      </c>
      <c r="V68" s="71">
        <f t="shared" si="10"/>
        <v>0</v>
      </c>
      <c r="W68" s="72"/>
    </row>
    <row r="69" ht="12.75" customHeight="1">
      <c r="A69" s="105" t="s">
        <v>30</v>
      </c>
      <c r="B69" s="105" t="s">
        <v>32</v>
      </c>
      <c r="C69" s="105"/>
      <c r="D69" s="107" t="s">
        <v>49</v>
      </c>
      <c r="E69" s="81"/>
      <c r="F69" s="105" t="s">
        <v>32</v>
      </c>
      <c r="G69" s="126">
        <v>0.0</v>
      </c>
      <c r="H69" s="126">
        <v>0.0</v>
      </c>
      <c r="I69" s="126">
        <v>0.0</v>
      </c>
      <c r="J69" s="126">
        <v>0.0</v>
      </c>
      <c r="K69" s="126">
        <v>0.0</v>
      </c>
      <c r="L69" s="126">
        <v>0.0</v>
      </c>
      <c r="M69" s="126">
        <v>0.0</v>
      </c>
      <c r="N69" s="126">
        <v>0.0</v>
      </c>
      <c r="O69" s="126">
        <v>0.0</v>
      </c>
      <c r="P69" s="126">
        <v>0.0</v>
      </c>
      <c r="Q69" s="126">
        <v>0.0</v>
      </c>
      <c r="R69" s="126">
        <v>0.0</v>
      </c>
      <c r="S69" s="126">
        <v>0.0</v>
      </c>
      <c r="T69" s="126">
        <v>0.0</v>
      </c>
      <c r="U69" s="71">
        <f t="shared" si="9"/>
        <v>0</v>
      </c>
      <c r="V69" s="71">
        <f t="shared" si="10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2" t="s">
        <v>83</v>
      </c>
      <c r="G70" s="126">
        <v>0.0</v>
      </c>
      <c r="H70" s="126">
        <v>0.0</v>
      </c>
      <c r="I70" s="126">
        <v>0.0</v>
      </c>
      <c r="J70" s="126">
        <v>0.0</v>
      </c>
      <c r="K70" s="126">
        <v>0.0</v>
      </c>
      <c r="L70" s="126">
        <v>0.0</v>
      </c>
      <c r="M70" s="126">
        <v>0.0</v>
      </c>
      <c r="N70" s="126">
        <v>0.0</v>
      </c>
      <c r="O70" s="126">
        <v>0.0</v>
      </c>
      <c r="P70" s="126">
        <v>0.0</v>
      </c>
      <c r="Q70" s="126">
        <v>0.0</v>
      </c>
      <c r="R70" s="126">
        <v>0.0</v>
      </c>
      <c r="S70" s="126">
        <v>0.0</v>
      </c>
      <c r="T70" s="126">
        <v>0.0</v>
      </c>
      <c r="U70" s="71">
        <f t="shared" si="9"/>
        <v>0</v>
      </c>
      <c r="V70" s="71">
        <f t="shared" si="10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126">
        <v>0.0</v>
      </c>
      <c r="H71" s="126">
        <v>0.0</v>
      </c>
      <c r="I71" s="126">
        <v>0.0</v>
      </c>
      <c r="J71" s="126">
        <v>0.0</v>
      </c>
      <c r="K71" s="126">
        <v>0.0</v>
      </c>
      <c r="L71" s="126">
        <v>0.0</v>
      </c>
      <c r="M71" s="126">
        <v>0.0</v>
      </c>
      <c r="N71" s="126">
        <v>0.0</v>
      </c>
      <c r="O71" s="126">
        <v>0.0</v>
      </c>
      <c r="P71" s="126">
        <v>0.0</v>
      </c>
      <c r="Q71" s="126">
        <v>0.0</v>
      </c>
      <c r="R71" s="126">
        <v>0.0</v>
      </c>
      <c r="S71" s="126">
        <v>0.0</v>
      </c>
      <c r="T71" s="126">
        <v>0.0</v>
      </c>
      <c r="U71" s="71">
        <f t="shared" si="9"/>
        <v>0</v>
      </c>
      <c r="V71" s="71">
        <f t="shared" si="10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126">
        <v>0.0</v>
      </c>
      <c r="H72" s="126">
        <v>0.0</v>
      </c>
      <c r="I72" s="126">
        <v>0.0</v>
      </c>
      <c r="J72" s="126">
        <v>0.0</v>
      </c>
      <c r="K72" s="126">
        <v>0.0</v>
      </c>
      <c r="L72" s="126">
        <v>0.0</v>
      </c>
      <c r="M72" s="126">
        <v>0.0</v>
      </c>
      <c r="N72" s="126">
        <v>0.0</v>
      </c>
      <c r="O72" s="126">
        <v>0.0</v>
      </c>
      <c r="P72" s="126">
        <v>0.0</v>
      </c>
      <c r="Q72" s="126">
        <v>0.0</v>
      </c>
      <c r="R72" s="126">
        <v>0.0</v>
      </c>
      <c r="S72" s="126">
        <v>0.0</v>
      </c>
      <c r="T72" s="126">
        <v>0.0</v>
      </c>
      <c r="U72" s="71">
        <f t="shared" si="9"/>
        <v>0</v>
      </c>
      <c r="V72" s="71">
        <f t="shared" si="10"/>
        <v>0</v>
      </c>
      <c r="W72" s="72"/>
    </row>
    <row r="73" ht="12.75" customHeight="1">
      <c r="A73" s="110" t="s">
        <v>30</v>
      </c>
      <c r="B73" s="110" t="s">
        <v>32</v>
      </c>
      <c r="C73" s="110" t="s">
        <v>86</v>
      </c>
      <c r="D73" s="99" t="s">
        <v>49</v>
      </c>
      <c r="E73" s="84"/>
      <c r="F73" s="110" t="s">
        <v>86</v>
      </c>
      <c r="G73" s="126">
        <v>0.0</v>
      </c>
      <c r="H73" s="126">
        <v>0.0</v>
      </c>
      <c r="I73" s="126">
        <v>0.0</v>
      </c>
      <c r="J73" s="126">
        <v>0.0</v>
      </c>
      <c r="K73" s="126">
        <v>0.0</v>
      </c>
      <c r="L73" s="126">
        <v>0.0</v>
      </c>
      <c r="M73" s="126">
        <v>0.0</v>
      </c>
      <c r="N73" s="126">
        <v>0.0</v>
      </c>
      <c r="O73" s="126">
        <v>0.0</v>
      </c>
      <c r="P73" s="126">
        <v>0.0</v>
      </c>
      <c r="Q73" s="126">
        <v>0.0</v>
      </c>
      <c r="R73" s="126">
        <v>0.0</v>
      </c>
      <c r="S73" s="126">
        <v>0.0</v>
      </c>
      <c r="T73" s="126">
        <v>0.0</v>
      </c>
      <c r="U73" s="71">
        <f t="shared" si="9"/>
        <v>0</v>
      </c>
      <c r="V73" s="71">
        <f t="shared" si="10"/>
        <v>0</v>
      </c>
      <c r="W73" s="72"/>
    </row>
    <row r="74" ht="12.75" customHeight="1">
      <c r="A74" s="119"/>
      <c r="B74" s="119"/>
      <c r="C74" s="119"/>
      <c r="D74" s="1"/>
      <c r="E74" s="119"/>
      <c r="F74" s="11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1"/>
      <c r="V74" s="121"/>
      <c r="W74" s="121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22"/>
      <c r="B593" s="122"/>
      <c r="C593" s="122"/>
      <c r="D593" s="123"/>
      <c r="E593" s="122"/>
      <c r="F593" s="124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72"/>
      <c r="V593" s="72"/>
      <c r="W593" s="72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2947</v>
      </c>
      <c r="D2" s="10"/>
      <c r="E2" s="9">
        <f t="shared" ref="E2:R2" si="1">SUM(E5,E14,E17)</f>
        <v>258</v>
      </c>
      <c r="F2" s="9">
        <f t="shared" si="1"/>
        <v>11</v>
      </c>
      <c r="G2" s="9">
        <f t="shared" si="1"/>
        <v>4</v>
      </c>
      <c r="H2" s="9">
        <f t="shared" si="1"/>
        <v>3</v>
      </c>
      <c r="I2" s="9">
        <f t="shared" si="1"/>
        <v>1</v>
      </c>
      <c r="J2" s="9">
        <f t="shared" si="1"/>
        <v>1</v>
      </c>
      <c r="K2" s="9">
        <f t="shared" si="1"/>
        <v>0</v>
      </c>
      <c r="L2" s="9">
        <f t="shared" si="1"/>
        <v>0</v>
      </c>
      <c r="M2" s="9">
        <f t="shared" si="1"/>
        <v>18</v>
      </c>
      <c r="N2" s="9">
        <f t="shared" si="1"/>
        <v>2</v>
      </c>
      <c r="O2" s="9">
        <f t="shared" si="1"/>
        <v>2</v>
      </c>
      <c r="P2" s="9">
        <f t="shared" si="1"/>
        <v>1</v>
      </c>
      <c r="Q2" s="9">
        <f t="shared" si="1"/>
        <v>0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982.3333333</v>
      </c>
      <c r="F4" s="23">
        <f>IFERROR((G2+R2)/F2,0)</f>
        <v>0.4545454545</v>
      </c>
      <c r="G4" s="23">
        <f>IFERROR(H2/G2,0)</f>
        <v>0.75</v>
      </c>
      <c r="H4" s="22">
        <f>(C2/C4)</f>
        <v>66.97727273</v>
      </c>
      <c r="I4" s="24"/>
      <c r="J4" s="23">
        <f>IFERROR(J2/I2,0)</f>
        <v>1</v>
      </c>
      <c r="K4" s="24"/>
      <c r="L4" s="23">
        <f>IFERROR(L2/K2,0)</f>
        <v>0</v>
      </c>
      <c r="M4" s="25">
        <f>IFERROR(M2/G2,0)</f>
        <v>4.5</v>
      </c>
      <c r="N4" s="24"/>
      <c r="O4" s="23">
        <f>IFERROR(O2/N2,0)</f>
        <v>1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1461</v>
      </c>
      <c r="D5" s="31"/>
      <c r="E5" s="32">
        <f>SUMIFS(T:T,A:A,B5,D:D,"Y")</f>
        <v>0</v>
      </c>
      <c r="F5" s="33">
        <f>SUMIF(A:A,B5,G:G)</f>
        <v>2</v>
      </c>
      <c r="G5" s="33">
        <f>SUMIF(A:A,B5,H:H)</f>
        <v>2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10</v>
      </c>
      <c r="N5" s="33">
        <f>SUMIF(A:A,B5,N:N)</f>
        <v>1</v>
      </c>
      <c r="O5" s="33">
        <f>SUMIF(A:A,B5,O:O)</f>
        <v>1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1461</v>
      </c>
      <c r="F7" s="41">
        <f>IFERROR((G5+R5)/F5,0)</f>
        <v>1</v>
      </c>
      <c r="G7" s="41">
        <f>IFERROR(H5/G5,0)</f>
        <v>0.5</v>
      </c>
      <c r="H7" s="40">
        <f>(C5/C7)</f>
        <v>81.16666667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5</v>
      </c>
      <c r="N7" s="42"/>
      <c r="O7" s="41">
        <f>IFERROR(O5/N5,0)</f>
        <v>1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1461</v>
      </c>
      <c r="D11" s="47"/>
      <c r="E11" s="48">
        <f>SUMIFS(T:T,B:B,B11,D:D,"Y")</f>
        <v>0</v>
      </c>
      <c r="F11" s="49">
        <f t="shared" ref="F11:R11" si="2">SUMIF(B28:B1137,B11,G28:G1137)</f>
        <v>1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3</v>
      </c>
      <c r="M11" s="49">
        <f t="shared" si="2"/>
        <v>0</v>
      </c>
      <c r="N11" s="49">
        <f t="shared" si="2"/>
        <v>2</v>
      </c>
      <c r="O11" s="49">
        <f t="shared" si="2"/>
        <v>1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10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146.1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0.5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258</v>
      </c>
      <c r="D14" s="31"/>
      <c r="E14" s="53">
        <f>SUMIFS(T:T,A:A,B14,D:D,"Y")</f>
        <v>258</v>
      </c>
      <c r="F14" s="9">
        <f>SUMIF(A:A,B14,G:G)</f>
        <v>1</v>
      </c>
      <c r="G14" s="33">
        <f>SUMIF(A:A,B14,H:H)</f>
        <v>1</v>
      </c>
      <c r="H14" s="33">
        <f>SUMIF(A:A,B14,I:I)</f>
        <v>1</v>
      </c>
      <c r="I14" s="33">
        <f>SUMIF(A:A,B14,P:P)</f>
        <v>1</v>
      </c>
      <c r="J14" s="33">
        <f>SUMIF(A:A,B14,Q:Q)</f>
        <v>1</v>
      </c>
      <c r="K14" s="33">
        <f>SUMIF(A:A,B14,R:R)</f>
        <v>0</v>
      </c>
      <c r="L14" s="33">
        <f>SUMIF(A:A,B14,S:S)</f>
        <v>0</v>
      </c>
      <c r="M14" s="33">
        <f>SUMIF(A:A,B14,M:M)</f>
        <v>1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258</v>
      </c>
      <c r="F16" s="23">
        <f>IFERROR((G14+R14)/F14,0)</f>
        <v>1</v>
      </c>
      <c r="G16" s="23">
        <f>IFERROR(H14/G14,0)</f>
        <v>1</v>
      </c>
      <c r="H16" s="22">
        <f>(C14/C16)</f>
        <v>64.5</v>
      </c>
      <c r="I16" s="24"/>
      <c r="J16" s="23">
        <f>IFERROR(J14/I14,0)</f>
        <v>1</v>
      </c>
      <c r="K16" s="24"/>
      <c r="L16" s="23">
        <f>IFERROR(L14/K14,0)</f>
        <v>0</v>
      </c>
      <c r="M16" s="26">
        <f>IFERROR(M14/SUM(R14+G14,0),"")</f>
        <v>1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1228</v>
      </c>
      <c r="D17" s="31"/>
      <c r="E17" s="53">
        <f>SUMIFS(T:T,A:A,B17,D:D,"Y")</f>
        <v>0</v>
      </c>
      <c r="F17" s="9">
        <f>SUMIF(A:A,B17,G:G)</f>
        <v>8</v>
      </c>
      <c r="G17" s="33">
        <f>SUMIF(A:A,B17,H:H)</f>
        <v>1</v>
      </c>
      <c r="H17" s="33">
        <f>SUMIF(A:A,B17,I:I)</f>
        <v>1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7</v>
      </c>
      <c r="N17" s="33">
        <f>SUMIF(A:A,B17,N:N)</f>
        <v>1</v>
      </c>
      <c r="O17" s="33">
        <f>SUMIF(A:A,B17,O:O)</f>
        <v>1</v>
      </c>
      <c r="P17" s="33">
        <f>SUMIF(A:A,B17,J:J)</f>
        <v>1</v>
      </c>
      <c r="Q17" s="33">
        <f>SUMIF(A:A,B17,K:K)</f>
        <v>0</v>
      </c>
      <c r="R17" s="34">
        <f>SUMIF(A:A,B17,L:L)</f>
        <v>1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1228</v>
      </c>
      <c r="F19" s="41">
        <f>IFERROR((G17+R17)/F17,0)</f>
        <v>0.25</v>
      </c>
      <c r="G19" s="41">
        <f>IFERROR(H17/G17,0)</f>
        <v>1</v>
      </c>
      <c r="H19" s="40">
        <f>(C17/C19)</f>
        <v>55.81818182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3.5</v>
      </c>
      <c r="N19" s="42"/>
      <c r="O19" s="41">
        <f>IFERROR(O17/N17,0)</f>
        <v>1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1228</v>
      </c>
      <c r="D20" s="55"/>
      <c r="E20" s="48">
        <f>SUMIFS(T:T,B:B,B20,D:D,"Y")</f>
        <v>0</v>
      </c>
      <c r="F20" s="49">
        <f>SUMIF(B46:B1137,B20,G46:G1137)</f>
        <v>8</v>
      </c>
      <c r="G20" s="46">
        <f>SUMIF(B46:B1137,B20,H46:H1137)</f>
        <v>1</v>
      </c>
      <c r="H20" s="46">
        <f>SUMIF(B46:B1137,B20,I46:I1137)</f>
        <v>1</v>
      </c>
      <c r="I20" s="46">
        <f>SUMIF(B46:B1137,B20,P46:P1137)</f>
        <v>0</v>
      </c>
      <c r="J20" s="46">
        <f>SUMIF(B46:B1137,B20,Q46:Q1137)</f>
        <v>0</v>
      </c>
      <c r="K20" s="46">
        <f>SUMIF(B46:B1137,B20,R46:R1137)</f>
        <v>0</v>
      </c>
      <c r="L20" s="46">
        <f>SUMIF(B46:B1137,B20,S46:S1137)</f>
        <v>0</v>
      </c>
      <c r="M20" s="46">
        <f>SUMIF(B46:B1137,B20,M46:M1137)</f>
        <v>7</v>
      </c>
      <c r="N20" s="46">
        <f>SUMIF(B46:B1137,B20,N46:N1137)</f>
        <v>1</v>
      </c>
      <c r="O20" s="46">
        <f>SUMIF(B46:B1137,B20,O46:O1137)</f>
        <v>1</v>
      </c>
      <c r="P20" s="46">
        <f>SUMIF(B46:B1137,B20,J46:J1137)</f>
        <v>1</v>
      </c>
      <c r="Q20" s="46">
        <f>SUMIF(B46:B1137,B20,K46:K1137)</f>
        <v>0</v>
      </c>
      <c r="R20" s="50">
        <f>SUMIF(B46:B1137,B20,L46:L1137)</f>
        <v>1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1228</v>
      </c>
      <c r="F22" s="41">
        <f>IFERROR((G20+R20)/F20,0)</f>
        <v>0.25</v>
      </c>
      <c r="G22" s="41">
        <f>IFERROR(H20/G20,0)</f>
        <v>1</v>
      </c>
      <c r="H22" s="40">
        <f>(C20/C22)</f>
        <v>87.71428571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3.5</v>
      </c>
      <c r="N22" s="42"/>
      <c r="O22" s="41">
        <f>IFERROR(O20/N20,0)</f>
        <v>1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SUMIF(B49:B1137,B23,G49:G1137)</f>
        <v>0</v>
      </c>
      <c r="G23" s="46">
        <f>SUMIF(B49:B1137,B23,H49:H1137)</f>
        <v>0</v>
      </c>
      <c r="H23" s="46">
        <f>SUMIF(B49:B1137,B23,I49:I1137)</f>
        <v>0</v>
      </c>
      <c r="I23" s="46">
        <f>SUMIF(B49:B1137,B23,P49:P1137)</f>
        <v>0</v>
      </c>
      <c r="J23" s="46">
        <f>SUMIF(B49:B1137,B23,Q49:Q1137)</f>
        <v>0</v>
      </c>
      <c r="K23" s="46">
        <f>SUMIF(B49:B1137,B23,R49:R1137)</f>
        <v>0</v>
      </c>
      <c r="L23" s="46">
        <f>SUMIF(B49:B1137,B23,S49:S1137)</f>
        <v>0</v>
      </c>
      <c r="M23" s="46">
        <f>SUMIF(B49:B1137,B23,M49:M1137)</f>
        <v>0</v>
      </c>
      <c r="N23" s="46">
        <f>SUMIF(B49:B1137,B23,N49:N1137)</f>
        <v>0</v>
      </c>
      <c r="O23" s="46">
        <f>SUMIF(B49:B1137,B23,O49:O1137)</f>
        <v>0</v>
      </c>
      <c r="P23" s="46">
        <f>SUMIF(B49:B1137,B23,J49:J1137)</f>
        <v>0</v>
      </c>
      <c r="Q23" s="46">
        <f>SUMIF(B49:B1137,B23,K49:K1137)</f>
        <v>0</v>
      </c>
      <c r="R23" s="50">
        <f>SUMIF(B49:B1137,B23,L49:L1137)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>IFERROR(I28/H28,0)</f>
        <v>0</v>
      </c>
      <c r="V28" s="71">
        <f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6">
        <v>0.0</v>
      </c>
      <c r="H29" s="70"/>
      <c r="I29" s="126">
        <v>0.0</v>
      </c>
      <c r="J29" s="126">
        <v>0.0</v>
      </c>
      <c r="K29" s="126">
        <v>0.0</v>
      </c>
      <c r="L29" s="126">
        <v>0.0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6">
        <v>0.0</v>
      </c>
      <c r="T29" s="126">
        <v>0.0</v>
      </c>
      <c r="U29" s="127">
        <v>0.0</v>
      </c>
      <c r="V29" s="127">
        <v>0.0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6">
        <v>1.0</v>
      </c>
      <c r="H30" s="126">
        <v>1.0</v>
      </c>
      <c r="I30" s="126">
        <v>0.0</v>
      </c>
      <c r="J30" s="126">
        <v>0.0</v>
      </c>
      <c r="K30" s="126">
        <v>0.0</v>
      </c>
      <c r="L30" s="126">
        <v>0.0</v>
      </c>
      <c r="M30" s="126">
        <v>5.0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71">
        <f t="shared" ref="U30:U45" si="3">IFERROR(I30/H30,0)</f>
        <v>0</v>
      </c>
      <c r="V30" s="71">
        <f t="shared" ref="V30:V45" si="4">IFERROR(SUM(H30+L30)/G30,0)</f>
        <v>1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6">
        <v>0.0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6">
        <v>0.0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6">
        <v>1.0</v>
      </c>
      <c r="H38" s="126">
        <v>1.0</v>
      </c>
      <c r="I38" s="126">
        <v>1.0</v>
      </c>
      <c r="J38" s="126">
        <v>0.0</v>
      </c>
      <c r="K38" s="126">
        <v>0.0</v>
      </c>
      <c r="L38" s="126">
        <v>0.0</v>
      </c>
      <c r="M38" s="126">
        <v>5.0</v>
      </c>
      <c r="N38" s="126">
        <v>1.0</v>
      </c>
      <c r="O38" s="126">
        <v>1.0</v>
      </c>
      <c r="P38" s="126">
        <v>0.0</v>
      </c>
      <c r="Q38" s="126">
        <v>0.0</v>
      </c>
      <c r="R38" s="126">
        <v>0.0</v>
      </c>
      <c r="S38" s="126">
        <v>0.0</v>
      </c>
      <c r="T38" s="126">
        <v>1461.0</v>
      </c>
      <c r="U38" s="71">
        <f t="shared" si="3"/>
        <v>1</v>
      </c>
      <c r="V38" s="71">
        <f t="shared" si="4"/>
        <v>1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8" t="s">
        <v>26</v>
      </c>
      <c r="B41" s="79" t="s">
        <v>27</v>
      </c>
      <c r="C41" s="94"/>
      <c r="D41" s="79" t="s">
        <v>49</v>
      </c>
      <c r="E41" s="95"/>
      <c r="F41" s="79" t="s">
        <v>27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96" t="s">
        <v>26</v>
      </c>
      <c r="B42" s="77" t="s">
        <v>27</v>
      </c>
      <c r="C42" s="75"/>
      <c r="D42" s="75"/>
      <c r="E42" s="75"/>
      <c r="F42" s="77" t="s">
        <v>61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61" t="s">
        <v>33</v>
      </c>
      <c r="B46" s="62" t="s">
        <v>34</v>
      </c>
      <c r="C46" s="62" t="s">
        <v>35</v>
      </c>
      <c r="D46" s="63"/>
      <c r="E46" s="62" t="s">
        <v>36</v>
      </c>
      <c r="F46" s="62" t="s">
        <v>37</v>
      </c>
      <c r="G46" s="64" t="s">
        <v>38</v>
      </c>
      <c r="H46" s="64" t="s">
        <v>39</v>
      </c>
      <c r="I46" s="64" t="s">
        <v>40</v>
      </c>
      <c r="J46" s="64" t="s">
        <v>12</v>
      </c>
      <c r="K46" s="64" t="s">
        <v>41</v>
      </c>
      <c r="L46" s="64" t="s">
        <v>14</v>
      </c>
      <c r="M46" s="64" t="s">
        <v>9</v>
      </c>
      <c r="N46" s="64" t="s">
        <v>10</v>
      </c>
      <c r="O46" s="64" t="s">
        <v>42</v>
      </c>
      <c r="P46" s="64" t="s">
        <v>5</v>
      </c>
      <c r="Q46" s="64" t="s">
        <v>43</v>
      </c>
      <c r="R46" s="64" t="s">
        <v>44</v>
      </c>
      <c r="S46" s="64" t="s">
        <v>45</v>
      </c>
      <c r="T46" s="64" t="s">
        <v>0</v>
      </c>
      <c r="U46" s="62" t="s">
        <v>46</v>
      </c>
      <c r="V46" s="62" t="s">
        <v>47</v>
      </c>
      <c r="W46" s="97"/>
    </row>
    <row r="47" ht="12.75" customHeight="1">
      <c r="A47" s="66" t="s">
        <v>29</v>
      </c>
      <c r="B47" s="67"/>
      <c r="C47" s="67"/>
      <c r="D47" s="68" t="s">
        <v>49</v>
      </c>
      <c r="E47" s="69"/>
      <c r="F47" s="68" t="s">
        <v>29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ref="U47:U50" si="5">IFERROR(I47/H47,0)</f>
        <v>0</v>
      </c>
      <c r="V47" s="71">
        <f t="shared" ref="V47:V50" si="6">IFERROR(SUM(H47+L47)/G47,0)</f>
        <v>0</v>
      </c>
      <c r="W47" s="72"/>
    </row>
    <row r="48" ht="12.75" customHeight="1">
      <c r="A48" s="73" t="s">
        <v>29</v>
      </c>
      <c r="B48" s="77"/>
      <c r="C48" s="75"/>
      <c r="D48" s="75"/>
      <c r="E48" s="75"/>
      <c r="F48" s="77" t="s">
        <v>65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5"/>
        <v>0</v>
      </c>
      <c r="V48" s="71">
        <f t="shared" si="6"/>
        <v>0</v>
      </c>
      <c r="W48" s="72"/>
    </row>
    <row r="49" ht="12.75" customHeight="1">
      <c r="A49" s="82" t="s">
        <v>29</v>
      </c>
      <c r="B49" s="84"/>
      <c r="C49" s="98" t="s">
        <v>66</v>
      </c>
      <c r="D49" s="99" t="s">
        <v>49</v>
      </c>
      <c r="E49" s="84"/>
      <c r="F49" s="98" t="s">
        <v>66</v>
      </c>
      <c r="G49" s="126">
        <v>1.0</v>
      </c>
      <c r="H49" s="126">
        <v>1.0</v>
      </c>
      <c r="I49" s="126">
        <v>1.0</v>
      </c>
      <c r="J49" s="126">
        <v>0.0</v>
      </c>
      <c r="K49" s="126">
        <v>0.0</v>
      </c>
      <c r="L49" s="126">
        <v>0.0</v>
      </c>
      <c r="M49" s="126">
        <v>1.0</v>
      </c>
      <c r="N49" s="126">
        <v>0.0</v>
      </c>
      <c r="O49" s="126">
        <v>0.0</v>
      </c>
      <c r="P49" s="126">
        <v>1.0</v>
      </c>
      <c r="Q49" s="126">
        <v>1.0</v>
      </c>
      <c r="R49" s="126">
        <v>0.0</v>
      </c>
      <c r="S49" s="126">
        <v>0.0</v>
      </c>
      <c r="T49" s="126">
        <v>258.0</v>
      </c>
      <c r="U49" s="71">
        <f t="shared" si="5"/>
        <v>1</v>
      </c>
      <c r="V49" s="71">
        <f t="shared" si="6"/>
        <v>1</v>
      </c>
      <c r="W49" s="72"/>
    </row>
    <row r="50" ht="12.75" customHeight="1">
      <c r="A50" s="85" t="s">
        <v>29</v>
      </c>
      <c r="B50" s="86"/>
      <c r="C50" s="86" t="s">
        <v>66</v>
      </c>
      <c r="D50" s="84"/>
      <c r="E50" s="84"/>
      <c r="F50" s="88" t="s">
        <v>67</v>
      </c>
      <c r="G50" s="126">
        <v>0.0</v>
      </c>
      <c r="H50" s="126">
        <v>0.0</v>
      </c>
      <c r="I50" s="126">
        <v>0.0</v>
      </c>
      <c r="J50" s="126">
        <v>0.0</v>
      </c>
      <c r="K50" s="126">
        <v>0.0</v>
      </c>
      <c r="L50" s="126">
        <v>0.0</v>
      </c>
      <c r="M50" s="126">
        <v>0.0</v>
      </c>
      <c r="N50" s="126">
        <v>0.0</v>
      </c>
      <c r="O50" s="126">
        <v>0.0</v>
      </c>
      <c r="P50" s="126">
        <v>0.0</v>
      </c>
      <c r="Q50" s="126">
        <v>0.0</v>
      </c>
      <c r="R50" s="126">
        <v>0.0</v>
      </c>
      <c r="S50" s="126">
        <v>0.0</v>
      </c>
      <c r="T50" s="126">
        <v>0.0</v>
      </c>
      <c r="U50" s="71">
        <f t="shared" si="5"/>
        <v>0</v>
      </c>
      <c r="V50" s="71">
        <f t="shared" si="6"/>
        <v>0</v>
      </c>
      <c r="W50" s="72"/>
    </row>
    <row r="51" ht="20.25" customHeight="1">
      <c r="A51" s="61" t="s">
        <v>33</v>
      </c>
      <c r="B51" s="62" t="s">
        <v>34</v>
      </c>
      <c r="C51" s="62" t="s">
        <v>35</v>
      </c>
      <c r="D51" s="63"/>
      <c r="E51" s="62" t="s">
        <v>36</v>
      </c>
      <c r="F51" s="62" t="s">
        <v>37</v>
      </c>
      <c r="G51" s="64" t="s">
        <v>38</v>
      </c>
      <c r="H51" s="64" t="s">
        <v>39</v>
      </c>
      <c r="I51" s="64" t="s">
        <v>40</v>
      </c>
      <c r="J51" s="64" t="s">
        <v>12</v>
      </c>
      <c r="K51" s="64" t="s">
        <v>41</v>
      </c>
      <c r="L51" s="64" t="s">
        <v>14</v>
      </c>
      <c r="M51" s="64" t="s">
        <v>9</v>
      </c>
      <c r="N51" s="64" t="s">
        <v>10</v>
      </c>
      <c r="O51" s="64" t="s">
        <v>42</v>
      </c>
      <c r="P51" s="64" t="s">
        <v>5</v>
      </c>
      <c r="Q51" s="64" t="s">
        <v>43</v>
      </c>
      <c r="R51" s="64" t="s">
        <v>44</v>
      </c>
      <c r="S51" s="64" t="s">
        <v>45</v>
      </c>
      <c r="T51" s="64" t="s">
        <v>0</v>
      </c>
      <c r="U51" s="62" t="s">
        <v>46</v>
      </c>
      <c r="V51" s="62" t="s">
        <v>47</v>
      </c>
      <c r="W51" s="97"/>
    </row>
    <row r="52" ht="12.75" customHeight="1">
      <c r="A52" s="100" t="s">
        <v>30</v>
      </c>
      <c r="B52" s="59"/>
      <c r="C52" s="59"/>
      <c r="D52" s="101" t="s">
        <v>49</v>
      </c>
      <c r="E52" s="59"/>
      <c r="F52" s="100" t="s">
        <v>30</v>
      </c>
      <c r="G52" s="126">
        <v>0.0</v>
      </c>
      <c r="H52" s="126">
        <v>0.0</v>
      </c>
      <c r="I52" s="126">
        <v>0.0</v>
      </c>
      <c r="J52" s="126">
        <v>0.0</v>
      </c>
      <c r="K52" s="126">
        <v>0.0</v>
      </c>
      <c r="L52" s="126">
        <v>0.0</v>
      </c>
      <c r="M52" s="126">
        <v>0.0</v>
      </c>
      <c r="N52" s="126">
        <v>0.0</v>
      </c>
      <c r="O52" s="126">
        <v>0.0</v>
      </c>
      <c r="P52" s="126">
        <v>0.0</v>
      </c>
      <c r="Q52" s="126">
        <v>0.0</v>
      </c>
      <c r="R52" s="126">
        <v>0.0</v>
      </c>
      <c r="S52" s="126">
        <v>0.0</v>
      </c>
      <c r="T52" s="126">
        <v>0.0</v>
      </c>
      <c r="U52" s="71">
        <f t="shared" ref="U52:U73" si="7">IFERROR(I52/H52,0)</f>
        <v>0</v>
      </c>
      <c r="V52" s="71">
        <f t="shared" ref="V52:V73" si="8">IFERROR(SUM(H52+L52)/G52,0)</f>
        <v>0</v>
      </c>
      <c r="W52" s="72"/>
    </row>
    <row r="53" ht="12.75" customHeight="1">
      <c r="A53" s="102" t="s">
        <v>30</v>
      </c>
      <c r="B53" s="59"/>
      <c r="C53" s="59"/>
      <c r="D53" s="58"/>
      <c r="E53" s="75"/>
      <c r="F53" s="102" t="s">
        <v>68</v>
      </c>
      <c r="G53" s="126">
        <v>0.0</v>
      </c>
      <c r="H53" s="126">
        <v>0.0</v>
      </c>
      <c r="I53" s="126">
        <v>0.0</v>
      </c>
      <c r="J53" s="126">
        <v>0.0</v>
      </c>
      <c r="K53" s="126">
        <v>0.0</v>
      </c>
      <c r="L53" s="126">
        <v>0.0</v>
      </c>
      <c r="M53" s="126">
        <v>0.0</v>
      </c>
      <c r="N53" s="126">
        <v>0.0</v>
      </c>
      <c r="O53" s="126">
        <v>0.0</v>
      </c>
      <c r="P53" s="126">
        <v>0.0</v>
      </c>
      <c r="Q53" s="126">
        <v>0.0</v>
      </c>
      <c r="R53" s="126">
        <v>0.0</v>
      </c>
      <c r="S53" s="126">
        <v>0.0</v>
      </c>
      <c r="T53" s="126">
        <v>0.0</v>
      </c>
      <c r="U53" s="71">
        <f t="shared" si="7"/>
        <v>0</v>
      </c>
      <c r="V53" s="71">
        <f t="shared" si="8"/>
        <v>0</v>
      </c>
      <c r="W53" s="72"/>
    </row>
    <row r="54" ht="12.75" customHeight="1">
      <c r="A54" s="103" t="s">
        <v>30</v>
      </c>
      <c r="B54" s="103"/>
      <c r="C54" s="103"/>
      <c r="D54" s="58"/>
      <c r="E54" s="75"/>
      <c r="F54" s="104" t="s">
        <v>69</v>
      </c>
      <c r="G54" s="126">
        <v>0.0</v>
      </c>
      <c r="H54" s="126">
        <v>0.0</v>
      </c>
      <c r="I54" s="126">
        <v>0.0</v>
      </c>
      <c r="J54" s="126">
        <v>0.0</v>
      </c>
      <c r="K54" s="126">
        <v>0.0</v>
      </c>
      <c r="L54" s="126">
        <v>0.0</v>
      </c>
      <c r="M54" s="126">
        <v>0.0</v>
      </c>
      <c r="N54" s="126">
        <v>0.0</v>
      </c>
      <c r="O54" s="126">
        <v>0.0</v>
      </c>
      <c r="P54" s="126">
        <v>0.0</v>
      </c>
      <c r="Q54" s="126">
        <v>0.0</v>
      </c>
      <c r="R54" s="126">
        <v>0.0</v>
      </c>
      <c r="S54" s="126">
        <v>0.0</v>
      </c>
      <c r="T54" s="126">
        <v>0.0</v>
      </c>
      <c r="U54" s="71">
        <f t="shared" si="7"/>
        <v>0</v>
      </c>
      <c r="V54" s="71">
        <f t="shared" si="8"/>
        <v>0</v>
      </c>
      <c r="W54" s="72"/>
    </row>
    <row r="55" ht="12.75" customHeight="1">
      <c r="A55" s="105" t="s">
        <v>30</v>
      </c>
      <c r="B55" s="105" t="s">
        <v>31</v>
      </c>
      <c r="C55" s="106"/>
      <c r="D55" s="107" t="s">
        <v>49</v>
      </c>
      <c r="E55" s="95"/>
      <c r="F55" s="105" t="s">
        <v>31</v>
      </c>
      <c r="G55" s="126">
        <v>3.0</v>
      </c>
      <c r="H55" s="126">
        <v>0.0</v>
      </c>
      <c r="I55" s="126">
        <v>0.0</v>
      </c>
      <c r="J55" s="126">
        <v>0.0</v>
      </c>
      <c r="K55" s="126">
        <v>0.0</v>
      </c>
      <c r="L55" s="126">
        <v>0.0</v>
      </c>
      <c r="M55" s="126">
        <v>0.0</v>
      </c>
      <c r="N55" s="126">
        <v>0.0</v>
      </c>
      <c r="O55" s="126">
        <v>0.0</v>
      </c>
      <c r="P55" s="126">
        <v>0.0</v>
      </c>
      <c r="Q55" s="126">
        <v>0.0</v>
      </c>
      <c r="R55" s="126">
        <v>0.0</v>
      </c>
      <c r="S55" s="126">
        <v>0.0</v>
      </c>
      <c r="T55" s="126">
        <v>0.0</v>
      </c>
      <c r="U55" s="71">
        <f t="shared" si="7"/>
        <v>0</v>
      </c>
      <c r="V55" s="71">
        <f t="shared" si="8"/>
        <v>0</v>
      </c>
      <c r="W55" s="72"/>
    </row>
    <row r="56" ht="12.75" customHeight="1">
      <c r="A56" s="102" t="s">
        <v>30</v>
      </c>
      <c r="B56" s="103" t="s">
        <v>31</v>
      </c>
      <c r="C56" s="103"/>
      <c r="D56" s="108"/>
      <c r="E56" s="69"/>
      <c r="F56" s="109" t="s">
        <v>70</v>
      </c>
      <c r="G56" s="126">
        <v>4.0</v>
      </c>
      <c r="H56" s="126">
        <v>1.0</v>
      </c>
      <c r="I56" s="126">
        <v>1.0</v>
      </c>
      <c r="J56" s="126">
        <v>0.0</v>
      </c>
      <c r="K56" s="126">
        <v>0.0</v>
      </c>
      <c r="L56" s="126">
        <v>0.0</v>
      </c>
      <c r="M56" s="126">
        <v>4.0</v>
      </c>
      <c r="N56" s="126">
        <v>1.0</v>
      </c>
      <c r="O56" s="126">
        <v>1.0</v>
      </c>
      <c r="P56" s="126">
        <v>0.0</v>
      </c>
      <c r="Q56" s="126">
        <v>0.0</v>
      </c>
      <c r="R56" s="126">
        <v>0.0</v>
      </c>
      <c r="S56" s="126">
        <v>0.0</v>
      </c>
      <c r="T56" s="126">
        <v>1228.0</v>
      </c>
      <c r="U56" s="71">
        <f t="shared" si="7"/>
        <v>1</v>
      </c>
      <c r="V56" s="71">
        <f t="shared" si="8"/>
        <v>0.25</v>
      </c>
      <c r="W56" s="72"/>
    </row>
    <row r="57" ht="12.75" customHeight="1">
      <c r="A57" s="102" t="s">
        <v>30</v>
      </c>
      <c r="B57" s="102" t="s">
        <v>31</v>
      </c>
      <c r="C57" s="59"/>
      <c r="D57" s="59"/>
      <c r="E57" s="75"/>
      <c r="F57" s="102" t="s">
        <v>71</v>
      </c>
      <c r="G57" s="126">
        <v>0.0</v>
      </c>
      <c r="H57" s="126">
        <v>0.0</v>
      </c>
      <c r="I57" s="126">
        <v>0.0</v>
      </c>
      <c r="J57" s="126">
        <v>0.0</v>
      </c>
      <c r="K57" s="126">
        <v>0.0</v>
      </c>
      <c r="L57" s="126">
        <v>0.0</v>
      </c>
      <c r="M57" s="126">
        <v>0.0</v>
      </c>
      <c r="N57" s="126">
        <v>0.0</v>
      </c>
      <c r="O57" s="126">
        <v>0.0</v>
      </c>
      <c r="P57" s="126">
        <v>0.0</v>
      </c>
      <c r="Q57" s="126">
        <v>0.0</v>
      </c>
      <c r="R57" s="126">
        <v>0.0</v>
      </c>
      <c r="S57" s="126">
        <v>0.0</v>
      </c>
      <c r="T57" s="126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2" t="s">
        <v>31</v>
      </c>
      <c r="C58" s="102"/>
      <c r="D58" s="59"/>
      <c r="E58" s="75"/>
      <c r="F58" s="102" t="s">
        <v>72</v>
      </c>
      <c r="G58" s="126">
        <v>0.0</v>
      </c>
      <c r="H58" s="126">
        <v>0.0</v>
      </c>
      <c r="I58" s="126">
        <v>0.0</v>
      </c>
      <c r="J58" s="126">
        <v>0.0</v>
      </c>
      <c r="K58" s="126">
        <v>0.0</v>
      </c>
      <c r="L58" s="126">
        <v>0.0</v>
      </c>
      <c r="M58" s="126">
        <v>0.0</v>
      </c>
      <c r="N58" s="126">
        <v>0.0</v>
      </c>
      <c r="O58" s="126">
        <v>0.0</v>
      </c>
      <c r="P58" s="126">
        <v>0.0</v>
      </c>
      <c r="Q58" s="126">
        <v>0.0</v>
      </c>
      <c r="R58" s="126">
        <v>0.0</v>
      </c>
      <c r="S58" s="126">
        <v>0.0</v>
      </c>
      <c r="T58" s="126">
        <v>0.0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10" t="s">
        <v>30</v>
      </c>
      <c r="B59" s="110" t="s">
        <v>31</v>
      </c>
      <c r="C59" s="110" t="s">
        <v>73</v>
      </c>
      <c r="D59" s="99" t="s">
        <v>49</v>
      </c>
      <c r="E59" s="84"/>
      <c r="F59" s="110" t="s">
        <v>73</v>
      </c>
      <c r="G59" s="126">
        <v>0.0</v>
      </c>
      <c r="H59" s="126">
        <v>0.0</v>
      </c>
      <c r="I59" s="126">
        <v>0.0</v>
      </c>
      <c r="J59" s="126">
        <v>0.0</v>
      </c>
      <c r="K59" s="126">
        <v>0.0</v>
      </c>
      <c r="L59" s="126">
        <v>0.0</v>
      </c>
      <c r="M59" s="126">
        <v>0.0</v>
      </c>
      <c r="N59" s="126">
        <v>0.0</v>
      </c>
      <c r="O59" s="126">
        <v>0.0</v>
      </c>
      <c r="P59" s="126">
        <v>0.0</v>
      </c>
      <c r="Q59" s="126">
        <v>0.0</v>
      </c>
      <c r="R59" s="126">
        <v>0.0</v>
      </c>
      <c r="S59" s="126">
        <v>0.0</v>
      </c>
      <c r="T59" s="126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11" t="s">
        <v>30</v>
      </c>
      <c r="B60" s="111" t="s">
        <v>31</v>
      </c>
      <c r="C60" s="111" t="s">
        <v>73</v>
      </c>
      <c r="D60" s="112"/>
      <c r="E60" s="84"/>
      <c r="F60" s="111" t="s">
        <v>74</v>
      </c>
      <c r="G60" s="126">
        <v>1.0</v>
      </c>
      <c r="H60" s="126">
        <v>0.0</v>
      </c>
      <c r="I60" s="126">
        <v>0.0</v>
      </c>
      <c r="J60" s="126">
        <v>1.0</v>
      </c>
      <c r="K60" s="126">
        <v>0.0</v>
      </c>
      <c r="L60" s="126">
        <v>1.0</v>
      </c>
      <c r="M60" s="126">
        <v>3.0</v>
      </c>
      <c r="N60" s="126">
        <v>0.0</v>
      </c>
      <c r="O60" s="126">
        <v>0.0</v>
      </c>
      <c r="P60" s="126">
        <v>0.0</v>
      </c>
      <c r="Q60" s="126">
        <v>0.0</v>
      </c>
      <c r="R60" s="126">
        <v>0.0</v>
      </c>
      <c r="S60" s="126">
        <v>0.0</v>
      </c>
      <c r="T60" s="126">
        <v>0.0</v>
      </c>
      <c r="U60" s="71">
        <f t="shared" si="7"/>
        <v>0</v>
      </c>
      <c r="V60" s="71">
        <f t="shared" si="8"/>
        <v>1</v>
      </c>
      <c r="W60" s="72"/>
    </row>
    <row r="61" ht="12.75" customHeight="1">
      <c r="A61" s="111" t="s">
        <v>30</v>
      </c>
      <c r="B61" s="111" t="s">
        <v>31</v>
      </c>
      <c r="C61" s="111" t="s">
        <v>73</v>
      </c>
      <c r="D61" s="112"/>
      <c r="E61" s="84"/>
      <c r="F61" s="111" t="s">
        <v>75</v>
      </c>
      <c r="G61" s="126">
        <v>0.0</v>
      </c>
      <c r="H61" s="126">
        <v>0.0</v>
      </c>
      <c r="I61" s="126">
        <v>0.0</v>
      </c>
      <c r="J61" s="126">
        <v>0.0</v>
      </c>
      <c r="K61" s="126">
        <v>0.0</v>
      </c>
      <c r="L61" s="126">
        <v>0.0</v>
      </c>
      <c r="M61" s="126">
        <v>0.0</v>
      </c>
      <c r="N61" s="126">
        <v>0.0</v>
      </c>
      <c r="O61" s="126">
        <v>0.0</v>
      </c>
      <c r="P61" s="126">
        <v>0.0</v>
      </c>
      <c r="Q61" s="126">
        <v>0.0</v>
      </c>
      <c r="R61" s="126">
        <v>0.0</v>
      </c>
      <c r="S61" s="126">
        <v>0.0</v>
      </c>
      <c r="T61" s="126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73</v>
      </c>
      <c r="D62" s="112"/>
      <c r="E62" s="84"/>
      <c r="F62" s="111" t="s">
        <v>76</v>
      </c>
      <c r="G62" s="126">
        <v>0.0</v>
      </c>
      <c r="H62" s="126">
        <v>0.0</v>
      </c>
      <c r="I62" s="126">
        <v>0.0</v>
      </c>
      <c r="J62" s="126">
        <v>0.0</v>
      </c>
      <c r="K62" s="126">
        <v>0.0</v>
      </c>
      <c r="L62" s="126">
        <v>0.0</v>
      </c>
      <c r="M62" s="126">
        <v>0.0</v>
      </c>
      <c r="N62" s="126">
        <v>0.0</v>
      </c>
      <c r="O62" s="126">
        <v>0.0</v>
      </c>
      <c r="P62" s="126">
        <v>0.0</v>
      </c>
      <c r="Q62" s="126">
        <v>0.0</v>
      </c>
      <c r="R62" s="126">
        <v>0.0</v>
      </c>
      <c r="S62" s="126">
        <v>0.0</v>
      </c>
      <c r="T62" s="126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73</v>
      </c>
      <c r="D63" s="112"/>
      <c r="E63" s="84"/>
      <c r="F63" s="113" t="s">
        <v>77</v>
      </c>
      <c r="G63" s="126">
        <v>0.0</v>
      </c>
      <c r="H63" s="126">
        <v>0.0</v>
      </c>
      <c r="I63" s="126">
        <v>0.0</v>
      </c>
      <c r="J63" s="126">
        <v>0.0</v>
      </c>
      <c r="K63" s="126">
        <v>0.0</v>
      </c>
      <c r="L63" s="126">
        <v>0.0</v>
      </c>
      <c r="M63" s="126">
        <v>0.0</v>
      </c>
      <c r="N63" s="126">
        <v>0.0</v>
      </c>
      <c r="O63" s="126">
        <v>0.0</v>
      </c>
      <c r="P63" s="126">
        <v>0.0</v>
      </c>
      <c r="Q63" s="126">
        <v>0.0</v>
      </c>
      <c r="R63" s="126">
        <v>0.0</v>
      </c>
      <c r="S63" s="126">
        <v>0.0</v>
      </c>
      <c r="T63" s="126">
        <v>0.0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73</v>
      </c>
      <c r="D64" s="112"/>
      <c r="E64" s="84"/>
      <c r="F64" s="113" t="s">
        <v>78</v>
      </c>
      <c r="G64" s="126">
        <v>0.0</v>
      </c>
      <c r="H64" s="126">
        <v>0.0</v>
      </c>
      <c r="I64" s="126">
        <v>0.0</v>
      </c>
      <c r="J64" s="126">
        <v>0.0</v>
      </c>
      <c r="K64" s="126">
        <v>0.0</v>
      </c>
      <c r="L64" s="126">
        <v>0.0</v>
      </c>
      <c r="M64" s="126">
        <v>0.0</v>
      </c>
      <c r="N64" s="126">
        <v>0.0</v>
      </c>
      <c r="O64" s="126">
        <v>0.0</v>
      </c>
      <c r="P64" s="126">
        <v>0.0</v>
      </c>
      <c r="Q64" s="126">
        <v>0.0</v>
      </c>
      <c r="R64" s="126">
        <v>0.0</v>
      </c>
      <c r="S64" s="126">
        <v>0.0</v>
      </c>
      <c r="T64" s="126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00" t="s">
        <v>30</v>
      </c>
      <c r="B65" s="100" t="s">
        <v>31</v>
      </c>
      <c r="C65" s="100" t="s">
        <v>79</v>
      </c>
      <c r="D65" s="114" t="s">
        <v>49</v>
      </c>
      <c r="E65" s="75"/>
      <c r="F65" s="100" t="s">
        <v>79</v>
      </c>
      <c r="G65" s="126">
        <v>0.0</v>
      </c>
      <c r="H65" s="126">
        <v>0.0</v>
      </c>
      <c r="I65" s="126">
        <v>0.0</v>
      </c>
      <c r="J65" s="126">
        <v>0.0</v>
      </c>
      <c r="K65" s="126">
        <v>0.0</v>
      </c>
      <c r="L65" s="126">
        <v>0.0</v>
      </c>
      <c r="M65" s="126">
        <v>0.0</v>
      </c>
      <c r="N65" s="126">
        <v>0.0</v>
      </c>
      <c r="O65" s="126">
        <v>0.0</v>
      </c>
      <c r="P65" s="126">
        <v>0.0</v>
      </c>
      <c r="Q65" s="126">
        <v>0.0</v>
      </c>
      <c r="R65" s="126">
        <v>0.0</v>
      </c>
      <c r="S65" s="126">
        <v>0.0</v>
      </c>
      <c r="T65" s="126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10" t="s">
        <v>30</v>
      </c>
      <c r="B66" s="110" t="s">
        <v>31</v>
      </c>
      <c r="C66" s="115" t="s">
        <v>80</v>
      </c>
      <c r="D66" s="116" t="s">
        <v>49</v>
      </c>
      <c r="E66" s="117"/>
      <c r="F66" s="115" t="s">
        <v>80</v>
      </c>
      <c r="G66" s="126">
        <v>0.0</v>
      </c>
      <c r="H66" s="126">
        <v>0.0</v>
      </c>
      <c r="I66" s="126">
        <v>0.0</v>
      </c>
      <c r="J66" s="126">
        <v>0.0</v>
      </c>
      <c r="K66" s="126">
        <v>0.0</v>
      </c>
      <c r="L66" s="126">
        <v>0.0</v>
      </c>
      <c r="M66" s="126">
        <v>0.0</v>
      </c>
      <c r="N66" s="126">
        <v>0.0</v>
      </c>
      <c r="O66" s="126">
        <v>0.0</v>
      </c>
      <c r="P66" s="126">
        <v>0.0</v>
      </c>
      <c r="Q66" s="126">
        <v>0.0</v>
      </c>
      <c r="R66" s="126">
        <v>0.0</v>
      </c>
      <c r="S66" s="126">
        <v>0.0</v>
      </c>
      <c r="T66" s="126">
        <v>0.0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11" t="s">
        <v>30</v>
      </c>
      <c r="B67" s="111" t="s">
        <v>31</v>
      </c>
      <c r="C67" s="113" t="s">
        <v>80</v>
      </c>
      <c r="D67" s="112"/>
      <c r="E67" s="84"/>
      <c r="F67" s="113" t="s">
        <v>81</v>
      </c>
      <c r="G67" s="126">
        <v>0.0</v>
      </c>
      <c r="H67" s="126">
        <v>0.0</v>
      </c>
      <c r="I67" s="126">
        <v>0.0</v>
      </c>
      <c r="J67" s="126">
        <v>0.0</v>
      </c>
      <c r="K67" s="126">
        <v>0.0</v>
      </c>
      <c r="L67" s="126">
        <v>0.0</v>
      </c>
      <c r="M67" s="126">
        <v>0.0</v>
      </c>
      <c r="N67" s="126">
        <v>0.0</v>
      </c>
      <c r="O67" s="126">
        <v>0.0</v>
      </c>
      <c r="P67" s="126">
        <v>0.0</v>
      </c>
      <c r="Q67" s="126">
        <v>0.0</v>
      </c>
      <c r="R67" s="126">
        <v>0.0</v>
      </c>
      <c r="S67" s="126">
        <v>0.0</v>
      </c>
      <c r="T67" s="126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80</v>
      </c>
      <c r="D68" s="118"/>
      <c r="E68" s="84"/>
      <c r="F68" s="113" t="s">
        <v>82</v>
      </c>
      <c r="G68" s="126">
        <v>0.0</v>
      </c>
      <c r="H68" s="126">
        <v>0.0</v>
      </c>
      <c r="I68" s="126">
        <v>0.0</v>
      </c>
      <c r="J68" s="126">
        <v>0.0</v>
      </c>
      <c r="K68" s="126">
        <v>0.0</v>
      </c>
      <c r="L68" s="126">
        <v>0.0</v>
      </c>
      <c r="M68" s="126">
        <v>0.0</v>
      </c>
      <c r="N68" s="126">
        <v>0.0</v>
      </c>
      <c r="O68" s="126">
        <v>0.0</v>
      </c>
      <c r="P68" s="126">
        <v>0.0</v>
      </c>
      <c r="Q68" s="126">
        <v>0.0</v>
      </c>
      <c r="R68" s="126">
        <v>0.0</v>
      </c>
      <c r="S68" s="126">
        <v>0.0</v>
      </c>
      <c r="T68" s="126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05" t="s">
        <v>30</v>
      </c>
      <c r="B69" s="105" t="s">
        <v>32</v>
      </c>
      <c r="C69" s="105"/>
      <c r="D69" s="107" t="s">
        <v>49</v>
      </c>
      <c r="E69" s="81"/>
      <c r="F69" s="105" t="s">
        <v>32</v>
      </c>
      <c r="G69" s="126">
        <v>0.0</v>
      </c>
      <c r="H69" s="126">
        <v>0.0</v>
      </c>
      <c r="I69" s="126">
        <v>0.0</v>
      </c>
      <c r="J69" s="126">
        <v>0.0</v>
      </c>
      <c r="K69" s="126">
        <v>0.0</v>
      </c>
      <c r="L69" s="126">
        <v>0.0</v>
      </c>
      <c r="M69" s="126">
        <v>0.0</v>
      </c>
      <c r="N69" s="126">
        <v>0.0</v>
      </c>
      <c r="O69" s="126">
        <v>0.0</v>
      </c>
      <c r="P69" s="126">
        <v>0.0</v>
      </c>
      <c r="Q69" s="126">
        <v>0.0</v>
      </c>
      <c r="R69" s="126">
        <v>0.0</v>
      </c>
      <c r="S69" s="126">
        <v>0.0</v>
      </c>
      <c r="T69" s="126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2" t="s">
        <v>83</v>
      </c>
      <c r="G70" s="126">
        <v>0.0</v>
      </c>
      <c r="H70" s="126">
        <v>0.0</v>
      </c>
      <c r="I70" s="126">
        <v>0.0</v>
      </c>
      <c r="J70" s="126">
        <v>0.0</v>
      </c>
      <c r="K70" s="126">
        <v>0.0</v>
      </c>
      <c r="L70" s="126">
        <v>0.0</v>
      </c>
      <c r="M70" s="126">
        <v>0.0</v>
      </c>
      <c r="N70" s="126">
        <v>0.0</v>
      </c>
      <c r="O70" s="126">
        <v>0.0</v>
      </c>
      <c r="P70" s="126">
        <v>0.0</v>
      </c>
      <c r="Q70" s="126">
        <v>0.0</v>
      </c>
      <c r="R70" s="126">
        <v>0.0</v>
      </c>
      <c r="S70" s="126">
        <v>0.0</v>
      </c>
      <c r="T70" s="126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126">
        <v>0.0</v>
      </c>
      <c r="H71" s="126">
        <v>0.0</v>
      </c>
      <c r="I71" s="126">
        <v>0.0</v>
      </c>
      <c r="J71" s="126">
        <v>0.0</v>
      </c>
      <c r="K71" s="126">
        <v>0.0</v>
      </c>
      <c r="L71" s="126">
        <v>0.0</v>
      </c>
      <c r="M71" s="126">
        <v>0.0</v>
      </c>
      <c r="N71" s="126">
        <v>0.0</v>
      </c>
      <c r="O71" s="126">
        <v>0.0</v>
      </c>
      <c r="P71" s="126">
        <v>0.0</v>
      </c>
      <c r="Q71" s="126">
        <v>0.0</v>
      </c>
      <c r="R71" s="126">
        <v>0.0</v>
      </c>
      <c r="S71" s="126">
        <v>0.0</v>
      </c>
      <c r="T71" s="126">
        <v>0.0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126">
        <v>0.0</v>
      </c>
      <c r="H72" s="126">
        <v>0.0</v>
      </c>
      <c r="I72" s="126">
        <v>0.0</v>
      </c>
      <c r="J72" s="126">
        <v>0.0</v>
      </c>
      <c r="K72" s="126">
        <v>0.0</v>
      </c>
      <c r="L72" s="126">
        <v>0.0</v>
      </c>
      <c r="M72" s="126">
        <v>0.0</v>
      </c>
      <c r="N72" s="126">
        <v>0.0</v>
      </c>
      <c r="O72" s="126">
        <v>0.0</v>
      </c>
      <c r="P72" s="126">
        <v>0.0</v>
      </c>
      <c r="Q72" s="126">
        <v>0.0</v>
      </c>
      <c r="R72" s="126">
        <v>0.0</v>
      </c>
      <c r="S72" s="126">
        <v>0.0</v>
      </c>
      <c r="T72" s="126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10" t="s">
        <v>30</v>
      </c>
      <c r="B73" s="110" t="s">
        <v>32</v>
      </c>
      <c r="C73" s="110" t="s">
        <v>86</v>
      </c>
      <c r="D73" s="99" t="s">
        <v>49</v>
      </c>
      <c r="E73" s="84"/>
      <c r="F73" s="110" t="s">
        <v>86</v>
      </c>
      <c r="G73" s="126">
        <v>0.0</v>
      </c>
      <c r="H73" s="126">
        <v>0.0</v>
      </c>
      <c r="I73" s="126">
        <v>0.0</v>
      </c>
      <c r="J73" s="126">
        <v>0.0</v>
      </c>
      <c r="K73" s="126">
        <v>0.0</v>
      </c>
      <c r="L73" s="126">
        <v>0.0</v>
      </c>
      <c r="M73" s="126">
        <v>0.0</v>
      </c>
      <c r="N73" s="126">
        <v>0.0</v>
      </c>
      <c r="O73" s="126">
        <v>0.0</v>
      </c>
      <c r="P73" s="126">
        <v>0.0</v>
      </c>
      <c r="Q73" s="126">
        <v>0.0</v>
      </c>
      <c r="R73" s="126">
        <v>0.0</v>
      </c>
      <c r="S73" s="126">
        <v>0.0</v>
      </c>
      <c r="T73" s="126">
        <v>0.0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19"/>
      <c r="B74" s="119"/>
      <c r="C74" s="119"/>
      <c r="D74" s="1"/>
      <c r="E74" s="119"/>
      <c r="F74" s="11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1"/>
      <c r="V74" s="121"/>
      <c r="W74" s="121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22"/>
      <c r="B593" s="122"/>
      <c r="C593" s="122"/>
      <c r="D593" s="123"/>
      <c r="E593" s="122"/>
      <c r="F593" s="124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72"/>
      <c r="V593" s="72"/>
      <c r="W593" s="72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2388</v>
      </c>
      <c r="D2" s="10"/>
      <c r="E2" s="9">
        <f t="shared" ref="E2:R2" si="1">SUM(E5,E14,E17)</f>
        <v>0</v>
      </c>
      <c r="F2" s="9">
        <f t="shared" si="1"/>
        <v>12</v>
      </c>
      <c r="G2" s="9">
        <f t="shared" si="1"/>
        <v>6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5</v>
      </c>
      <c r="L2" s="9">
        <f t="shared" si="1"/>
        <v>0</v>
      </c>
      <c r="M2" s="9">
        <f t="shared" si="1"/>
        <v>14</v>
      </c>
      <c r="N2" s="9">
        <f t="shared" si="1"/>
        <v>0</v>
      </c>
      <c r="O2" s="9">
        <f t="shared" si="1"/>
        <v>0</v>
      </c>
      <c r="P2" s="9">
        <f t="shared" si="1"/>
        <v>3</v>
      </c>
      <c r="Q2" s="9">
        <f t="shared" si="1"/>
        <v>0</v>
      </c>
      <c r="R2" s="9">
        <f t="shared" si="1"/>
        <v>2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2388</v>
      </c>
      <c r="F4" s="23">
        <f>IFERROR((G2+R2)/F2,0)</f>
        <v>0.6666666667</v>
      </c>
      <c r="G4" s="23">
        <f>IFERROR(H2/G2,0)</f>
        <v>0.1666666667</v>
      </c>
      <c r="H4" s="22">
        <f>(C2/C4)</f>
        <v>54.27272727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2.333333333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2388</v>
      </c>
      <c r="D5" s="31"/>
      <c r="E5" s="32">
        <f>SUMIFS(T:T,A:A,B5,D:D,"Y")</f>
        <v>0</v>
      </c>
      <c r="F5" s="33">
        <f>SUMIF(A:A,B5,G:G)</f>
        <v>7</v>
      </c>
      <c r="G5" s="33">
        <f>SUMIF(A:A,B5,H:H)</f>
        <v>3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1</v>
      </c>
      <c r="L5" s="33">
        <f>SUMIF(A:A,B5,S:S)</f>
        <v>0</v>
      </c>
      <c r="M5" s="33">
        <f>SUMIF(A:A,B5,M:M)</f>
        <v>4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2388</v>
      </c>
      <c r="F7" s="41">
        <f>IFERROR((G5+R5)/F5,0)</f>
        <v>0.4285714286</v>
      </c>
      <c r="G7" s="41">
        <f>IFERROR(H5/G5,0)</f>
        <v>0.3333333333</v>
      </c>
      <c r="H7" s="40">
        <f>(C5/C7)</f>
        <v>132.6666667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1.333333333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1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10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1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1</v>
      </c>
      <c r="L14" s="33">
        <f>SUMIF(A:A,B14,S:S)</f>
        <v>0</v>
      </c>
      <c r="M14" s="33">
        <f>SUMIF(A:A,B14,M:M)</f>
        <v>2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1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2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1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4</v>
      </c>
      <c r="G17" s="33">
        <f>SUMIF(A:A,B17,H:H)</f>
        <v>2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3</v>
      </c>
      <c r="L17" s="33">
        <f>SUMIF(A:A,B17,S:S)</f>
        <v>0</v>
      </c>
      <c r="M17" s="33">
        <f>SUMIF(A:A,B17,M:M)</f>
        <v>8</v>
      </c>
      <c r="N17" s="33">
        <f>SUMIF(A:A,B17,N:N)</f>
        <v>0</v>
      </c>
      <c r="O17" s="33">
        <f>SUMIF(A:A,B17,O:O)</f>
        <v>0</v>
      </c>
      <c r="P17" s="33">
        <f>SUMIF(A:A,B17,J:J)</f>
        <v>3</v>
      </c>
      <c r="Q17" s="33">
        <f>SUMIF(A:A,B17,K:K)</f>
        <v>0</v>
      </c>
      <c r="R17" s="34">
        <f>SUMIF(A:A,B17,L:L)</f>
        <v>1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0.75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2.666666667</v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SUMIF(B46:B1137,B20,G46:G1137)</f>
        <v>4</v>
      </c>
      <c r="G20" s="46">
        <f>SUMIF(B46:B1137,B20,H46:H1137)</f>
        <v>2</v>
      </c>
      <c r="H20" s="46">
        <f>SUMIF(B46:B1137,B20,I46:I1137)</f>
        <v>0</v>
      </c>
      <c r="I20" s="46">
        <f>SUMIF(B46:B1137,B20,P46:P1137)</f>
        <v>0</v>
      </c>
      <c r="J20" s="46">
        <f>SUMIF(B46:B1137,B20,Q46:Q1137)</f>
        <v>0</v>
      </c>
      <c r="K20" s="46">
        <f>SUMIF(B46:B1137,B20,R46:R1137)</f>
        <v>3</v>
      </c>
      <c r="L20" s="46">
        <f>SUMIF(B46:B1137,B20,S46:S1137)</f>
        <v>0</v>
      </c>
      <c r="M20" s="46">
        <f>SUMIF(B46:B1137,B20,M46:M1137)</f>
        <v>8</v>
      </c>
      <c r="N20" s="46">
        <f>SUMIF(B46:B1137,B20,N46:N1137)</f>
        <v>0</v>
      </c>
      <c r="O20" s="46">
        <f>SUMIF(B46:B1137,B20,O46:O1137)</f>
        <v>0</v>
      </c>
      <c r="P20" s="46">
        <f>SUMIF(B46:B1137,B20,J46:J1137)</f>
        <v>3</v>
      </c>
      <c r="Q20" s="46">
        <f>SUMIF(B46:B1137,B20,K46:K1137)</f>
        <v>0</v>
      </c>
      <c r="R20" s="50">
        <f>SUMIF(B46:B1137,B20,L46:L1137)</f>
        <v>1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0.75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2.666666667</v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SUMIF(B49:B1137,B23,G49:G1137)</f>
        <v>0</v>
      </c>
      <c r="G23" s="46">
        <f>SUMIF(B49:B1137,B23,H49:H1137)</f>
        <v>0</v>
      </c>
      <c r="H23" s="46">
        <f>SUMIF(B49:B1137,B23,I49:I1137)</f>
        <v>0</v>
      </c>
      <c r="I23" s="46">
        <f>SUMIF(B49:B1137,B23,P49:P1137)</f>
        <v>0</v>
      </c>
      <c r="J23" s="46">
        <f>SUMIF(B49:B1137,B23,Q49:Q1137)</f>
        <v>0</v>
      </c>
      <c r="K23" s="46">
        <f>SUMIF(B49:B1137,B23,R49:R1137)</f>
        <v>0</v>
      </c>
      <c r="L23" s="46">
        <f>SUMIF(B49:B1137,B23,S49:S1137)</f>
        <v>0</v>
      </c>
      <c r="M23" s="46">
        <f>SUMIF(B49:B1137,B23,M49:M1137)</f>
        <v>0</v>
      </c>
      <c r="N23" s="46">
        <f>SUMIF(B49:B1137,B23,N49:N1137)</f>
        <v>0</v>
      </c>
      <c r="O23" s="46">
        <f>SUMIF(B49:B1137,B23,O49:O1137)</f>
        <v>0</v>
      </c>
      <c r="P23" s="46">
        <f>SUMIF(B49:B1137,B23,J49:J1137)</f>
        <v>0</v>
      </c>
      <c r="Q23" s="46">
        <f>SUMIF(B49:B1137,B23,K49:K1137)</f>
        <v>0</v>
      </c>
      <c r="R23" s="50">
        <f>SUMIF(B49:B1137,B23,L49:L1137)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5" si="3">IFERROR(I28/H28,0)</f>
        <v>0</v>
      </c>
      <c r="V28" s="71">
        <f t="shared" ref="V28:V45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6">
        <v>5.0</v>
      </c>
      <c r="H29" s="126">
        <v>3.0</v>
      </c>
      <c r="I29" s="126">
        <v>1.0</v>
      </c>
      <c r="J29" s="126">
        <v>0.0</v>
      </c>
      <c r="K29" s="126">
        <v>0.0</v>
      </c>
      <c r="L29" s="126">
        <v>0.0</v>
      </c>
      <c r="M29" s="126">
        <v>4.0</v>
      </c>
      <c r="N29" s="126">
        <v>0.0</v>
      </c>
      <c r="O29" s="126">
        <v>0.0</v>
      </c>
      <c r="P29" s="126">
        <v>0.0</v>
      </c>
      <c r="Q29" s="126">
        <v>0.0</v>
      </c>
      <c r="R29" s="126">
        <v>1.0</v>
      </c>
      <c r="S29" s="126">
        <v>0.0</v>
      </c>
      <c r="T29" s="126">
        <v>2388.0</v>
      </c>
      <c r="U29" s="71">
        <f t="shared" si="3"/>
        <v>0.3333333333</v>
      </c>
      <c r="V29" s="71">
        <f t="shared" si="4"/>
        <v>0.6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6">
        <v>1.0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1.0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8" t="s">
        <v>26</v>
      </c>
      <c r="B41" s="79" t="s">
        <v>27</v>
      </c>
      <c r="C41" s="94"/>
      <c r="D41" s="79" t="s">
        <v>49</v>
      </c>
      <c r="E41" s="95"/>
      <c r="F41" s="79" t="s">
        <v>27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96" t="s">
        <v>26</v>
      </c>
      <c r="B42" s="77" t="s">
        <v>27</v>
      </c>
      <c r="C42" s="75"/>
      <c r="D42" s="75"/>
      <c r="E42" s="75"/>
      <c r="F42" s="77" t="s">
        <v>61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61" t="s">
        <v>33</v>
      </c>
      <c r="B46" s="62" t="s">
        <v>34</v>
      </c>
      <c r="C46" s="62" t="s">
        <v>35</v>
      </c>
      <c r="D46" s="63"/>
      <c r="E46" s="62" t="s">
        <v>36</v>
      </c>
      <c r="F46" s="62" t="s">
        <v>37</v>
      </c>
      <c r="G46" s="64" t="s">
        <v>38</v>
      </c>
      <c r="H46" s="64" t="s">
        <v>39</v>
      </c>
      <c r="I46" s="64" t="s">
        <v>40</v>
      </c>
      <c r="J46" s="64" t="s">
        <v>12</v>
      </c>
      <c r="K46" s="64" t="s">
        <v>41</v>
      </c>
      <c r="L46" s="64" t="s">
        <v>14</v>
      </c>
      <c r="M46" s="64" t="s">
        <v>9</v>
      </c>
      <c r="N46" s="64" t="s">
        <v>10</v>
      </c>
      <c r="O46" s="64" t="s">
        <v>42</v>
      </c>
      <c r="P46" s="64" t="s">
        <v>5</v>
      </c>
      <c r="Q46" s="64" t="s">
        <v>43</v>
      </c>
      <c r="R46" s="64" t="s">
        <v>44</v>
      </c>
      <c r="S46" s="64" t="s">
        <v>45</v>
      </c>
      <c r="T46" s="64" t="s">
        <v>0</v>
      </c>
      <c r="U46" s="62" t="s">
        <v>46</v>
      </c>
      <c r="V46" s="62" t="s">
        <v>47</v>
      </c>
      <c r="W46" s="97"/>
    </row>
    <row r="47" ht="12.75" customHeight="1">
      <c r="A47" s="66" t="s">
        <v>29</v>
      </c>
      <c r="B47" s="67"/>
      <c r="C47" s="67"/>
      <c r="D47" s="68" t="s">
        <v>49</v>
      </c>
      <c r="E47" s="69"/>
      <c r="F47" s="68" t="s">
        <v>29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ref="U47:U50" si="5">IFERROR(I47/H47,0)</f>
        <v>0</v>
      </c>
      <c r="V47" s="71">
        <f t="shared" ref="V47:V50" si="6">IFERROR(SUM(H47+L47)/G47,0)</f>
        <v>0</v>
      </c>
      <c r="W47" s="72"/>
    </row>
    <row r="48" ht="12.75" customHeight="1">
      <c r="A48" s="73" t="s">
        <v>29</v>
      </c>
      <c r="B48" s="77"/>
      <c r="C48" s="75"/>
      <c r="D48" s="75"/>
      <c r="E48" s="75"/>
      <c r="F48" s="77" t="s">
        <v>65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5"/>
        <v>0</v>
      </c>
      <c r="V48" s="71">
        <f t="shared" si="6"/>
        <v>0</v>
      </c>
      <c r="W48" s="72"/>
    </row>
    <row r="49" ht="12.75" customHeight="1">
      <c r="A49" s="82" t="s">
        <v>29</v>
      </c>
      <c r="B49" s="84"/>
      <c r="C49" s="98" t="s">
        <v>66</v>
      </c>
      <c r="D49" s="99" t="s">
        <v>49</v>
      </c>
      <c r="E49" s="84"/>
      <c r="F49" s="98" t="s">
        <v>66</v>
      </c>
      <c r="G49" s="126">
        <v>1.0</v>
      </c>
      <c r="H49" s="126">
        <v>1.0</v>
      </c>
      <c r="I49" s="126">
        <v>0.0</v>
      </c>
      <c r="J49" s="126">
        <v>0.0</v>
      </c>
      <c r="K49" s="126">
        <v>0.0</v>
      </c>
      <c r="L49" s="126">
        <v>1.0</v>
      </c>
      <c r="M49" s="126">
        <v>2.0</v>
      </c>
      <c r="N49" s="126">
        <v>0.0</v>
      </c>
      <c r="O49" s="126">
        <v>0.0</v>
      </c>
      <c r="P49" s="126">
        <v>0.0</v>
      </c>
      <c r="Q49" s="126">
        <v>0.0</v>
      </c>
      <c r="R49" s="126">
        <v>1.0</v>
      </c>
      <c r="S49" s="126">
        <v>0.0</v>
      </c>
      <c r="T49" s="126">
        <v>0.0</v>
      </c>
      <c r="U49" s="71">
        <f t="shared" si="5"/>
        <v>0</v>
      </c>
      <c r="V49" s="71">
        <f t="shared" si="6"/>
        <v>2</v>
      </c>
      <c r="W49" s="72"/>
    </row>
    <row r="50" ht="12.75" customHeight="1">
      <c r="A50" s="85" t="s">
        <v>29</v>
      </c>
      <c r="B50" s="86"/>
      <c r="C50" s="86" t="s">
        <v>66</v>
      </c>
      <c r="D50" s="84"/>
      <c r="E50" s="84"/>
      <c r="F50" s="88" t="s">
        <v>67</v>
      </c>
      <c r="G50" s="126">
        <v>0.0</v>
      </c>
      <c r="H50" s="126">
        <v>0.0</v>
      </c>
      <c r="I50" s="126">
        <v>0.0</v>
      </c>
      <c r="J50" s="126">
        <v>0.0</v>
      </c>
      <c r="K50" s="126">
        <v>0.0</v>
      </c>
      <c r="L50" s="126">
        <v>0.0</v>
      </c>
      <c r="M50" s="126">
        <v>0.0</v>
      </c>
      <c r="N50" s="126">
        <v>0.0</v>
      </c>
      <c r="O50" s="126">
        <v>0.0</v>
      </c>
      <c r="P50" s="126">
        <v>0.0</v>
      </c>
      <c r="Q50" s="126">
        <v>0.0</v>
      </c>
      <c r="R50" s="126">
        <v>0.0</v>
      </c>
      <c r="S50" s="126">
        <v>0.0</v>
      </c>
      <c r="T50" s="126">
        <v>0.0</v>
      </c>
      <c r="U50" s="71">
        <f t="shared" si="5"/>
        <v>0</v>
      </c>
      <c r="V50" s="71">
        <f t="shared" si="6"/>
        <v>0</v>
      </c>
      <c r="W50" s="72"/>
    </row>
    <row r="51" ht="20.25" customHeight="1">
      <c r="A51" s="61" t="s">
        <v>33</v>
      </c>
      <c r="B51" s="62" t="s">
        <v>34</v>
      </c>
      <c r="C51" s="62" t="s">
        <v>35</v>
      </c>
      <c r="D51" s="63"/>
      <c r="E51" s="62" t="s">
        <v>36</v>
      </c>
      <c r="F51" s="62" t="s">
        <v>37</v>
      </c>
      <c r="G51" s="64" t="s">
        <v>38</v>
      </c>
      <c r="H51" s="64" t="s">
        <v>39</v>
      </c>
      <c r="I51" s="64" t="s">
        <v>40</v>
      </c>
      <c r="J51" s="64" t="s">
        <v>12</v>
      </c>
      <c r="K51" s="64" t="s">
        <v>41</v>
      </c>
      <c r="L51" s="64" t="s">
        <v>14</v>
      </c>
      <c r="M51" s="64" t="s">
        <v>9</v>
      </c>
      <c r="N51" s="64" t="s">
        <v>10</v>
      </c>
      <c r="O51" s="64" t="s">
        <v>42</v>
      </c>
      <c r="P51" s="64" t="s">
        <v>5</v>
      </c>
      <c r="Q51" s="64" t="s">
        <v>43</v>
      </c>
      <c r="R51" s="64" t="s">
        <v>44</v>
      </c>
      <c r="S51" s="64" t="s">
        <v>45</v>
      </c>
      <c r="T51" s="64" t="s">
        <v>0</v>
      </c>
      <c r="U51" s="62" t="s">
        <v>46</v>
      </c>
      <c r="V51" s="62" t="s">
        <v>47</v>
      </c>
      <c r="W51" s="97"/>
    </row>
    <row r="52" ht="12.75" customHeight="1">
      <c r="A52" s="100" t="s">
        <v>30</v>
      </c>
      <c r="B52" s="59"/>
      <c r="C52" s="59"/>
      <c r="D52" s="101" t="s">
        <v>49</v>
      </c>
      <c r="E52" s="59"/>
      <c r="F52" s="100" t="s">
        <v>30</v>
      </c>
      <c r="G52" s="126">
        <v>0.0</v>
      </c>
      <c r="H52" s="126">
        <v>0.0</v>
      </c>
      <c r="I52" s="126">
        <v>0.0</v>
      </c>
      <c r="J52" s="126">
        <v>0.0</v>
      </c>
      <c r="K52" s="126">
        <v>0.0</v>
      </c>
      <c r="L52" s="126">
        <v>0.0</v>
      </c>
      <c r="M52" s="126">
        <v>0.0</v>
      </c>
      <c r="N52" s="126">
        <v>0.0</v>
      </c>
      <c r="O52" s="126">
        <v>0.0</v>
      </c>
      <c r="P52" s="126">
        <v>0.0</v>
      </c>
      <c r="Q52" s="126">
        <v>0.0</v>
      </c>
      <c r="R52" s="126">
        <v>0.0</v>
      </c>
      <c r="S52" s="126">
        <v>0.0</v>
      </c>
      <c r="T52" s="126">
        <v>0.0</v>
      </c>
      <c r="U52" s="71">
        <f t="shared" ref="U52:U73" si="7">IFERROR(I52/H52,0)</f>
        <v>0</v>
      </c>
      <c r="V52" s="71">
        <f t="shared" ref="V52:V73" si="8">IFERROR(SUM(H52+L52)/G52,0)</f>
        <v>0</v>
      </c>
      <c r="W52" s="72"/>
    </row>
    <row r="53" ht="12.75" customHeight="1">
      <c r="A53" s="102" t="s">
        <v>30</v>
      </c>
      <c r="B53" s="59"/>
      <c r="C53" s="59"/>
      <c r="D53" s="58"/>
      <c r="E53" s="75"/>
      <c r="F53" s="102" t="s">
        <v>68</v>
      </c>
      <c r="G53" s="126">
        <v>0.0</v>
      </c>
      <c r="H53" s="126">
        <v>0.0</v>
      </c>
      <c r="I53" s="126">
        <v>0.0</v>
      </c>
      <c r="J53" s="126">
        <v>0.0</v>
      </c>
      <c r="K53" s="126">
        <v>0.0</v>
      </c>
      <c r="L53" s="126">
        <v>0.0</v>
      </c>
      <c r="M53" s="126">
        <v>0.0</v>
      </c>
      <c r="N53" s="126">
        <v>0.0</v>
      </c>
      <c r="O53" s="126">
        <v>0.0</v>
      </c>
      <c r="P53" s="126">
        <v>0.0</v>
      </c>
      <c r="Q53" s="126">
        <v>0.0</v>
      </c>
      <c r="R53" s="126">
        <v>0.0</v>
      </c>
      <c r="S53" s="126">
        <v>0.0</v>
      </c>
      <c r="T53" s="126">
        <v>0.0</v>
      </c>
      <c r="U53" s="71">
        <f t="shared" si="7"/>
        <v>0</v>
      </c>
      <c r="V53" s="71">
        <f t="shared" si="8"/>
        <v>0</v>
      </c>
      <c r="W53" s="72"/>
    </row>
    <row r="54" ht="12.75" customHeight="1">
      <c r="A54" s="103" t="s">
        <v>30</v>
      </c>
      <c r="B54" s="103"/>
      <c r="C54" s="103"/>
      <c r="D54" s="58"/>
      <c r="E54" s="75"/>
      <c r="F54" s="104" t="s">
        <v>69</v>
      </c>
      <c r="G54" s="126">
        <v>0.0</v>
      </c>
      <c r="H54" s="126">
        <v>0.0</v>
      </c>
      <c r="I54" s="126">
        <v>0.0</v>
      </c>
      <c r="J54" s="126">
        <v>0.0</v>
      </c>
      <c r="K54" s="126">
        <v>0.0</v>
      </c>
      <c r="L54" s="126">
        <v>0.0</v>
      </c>
      <c r="M54" s="126">
        <v>0.0</v>
      </c>
      <c r="N54" s="126">
        <v>0.0</v>
      </c>
      <c r="O54" s="126">
        <v>0.0</v>
      </c>
      <c r="P54" s="126">
        <v>0.0</v>
      </c>
      <c r="Q54" s="126">
        <v>0.0</v>
      </c>
      <c r="R54" s="126">
        <v>0.0</v>
      </c>
      <c r="S54" s="126">
        <v>0.0</v>
      </c>
      <c r="T54" s="126">
        <v>0.0</v>
      </c>
      <c r="U54" s="71">
        <f t="shared" si="7"/>
        <v>0</v>
      </c>
      <c r="V54" s="71">
        <f t="shared" si="8"/>
        <v>0</v>
      </c>
      <c r="W54" s="72"/>
    </row>
    <row r="55" ht="12.75" customHeight="1">
      <c r="A55" s="105" t="s">
        <v>30</v>
      </c>
      <c r="B55" s="105" t="s">
        <v>31</v>
      </c>
      <c r="C55" s="106"/>
      <c r="D55" s="107" t="s">
        <v>49</v>
      </c>
      <c r="E55" s="95"/>
      <c r="F55" s="105" t="s">
        <v>31</v>
      </c>
      <c r="G55" s="126">
        <v>4.0</v>
      </c>
      <c r="H55" s="126">
        <v>2.0</v>
      </c>
      <c r="I55" s="126">
        <v>0.0</v>
      </c>
      <c r="J55" s="126">
        <v>3.0</v>
      </c>
      <c r="K55" s="126">
        <v>0.0</v>
      </c>
      <c r="L55" s="126">
        <v>1.0</v>
      </c>
      <c r="M55" s="126">
        <v>8.0</v>
      </c>
      <c r="N55" s="126">
        <v>0.0</v>
      </c>
      <c r="O55" s="126">
        <v>0.0</v>
      </c>
      <c r="P55" s="126">
        <v>0.0</v>
      </c>
      <c r="Q55" s="126">
        <v>0.0</v>
      </c>
      <c r="R55" s="126">
        <v>3.0</v>
      </c>
      <c r="S55" s="126">
        <v>0.0</v>
      </c>
      <c r="T55" s="126">
        <v>0.0</v>
      </c>
      <c r="U55" s="71">
        <f t="shared" si="7"/>
        <v>0</v>
      </c>
      <c r="V55" s="71">
        <f t="shared" si="8"/>
        <v>0.75</v>
      </c>
      <c r="W55" s="72"/>
    </row>
    <row r="56" ht="12.75" customHeight="1">
      <c r="A56" s="102" t="s">
        <v>30</v>
      </c>
      <c r="B56" s="103" t="s">
        <v>31</v>
      </c>
      <c r="C56" s="103"/>
      <c r="D56" s="108"/>
      <c r="E56" s="69"/>
      <c r="F56" s="109" t="s">
        <v>70</v>
      </c>
      <c r="G56" s="126">
        <v>0.0</v>
      </c>
      <c r="H56" s="126">
        <v>0.0</v>
      </c>
      <c r="I56" s="126">
        <v>0.0</v>
      </c>
      <c r="J56" s="126">
        <v>0.0</v>
      </c>
      <c r="K56" s="126">
        <v>0.0</v>
      </c>
      <c r="L56" s="126">
        <v>0.0</v>
      </c>
      <c r="M56" s="126">
        <v>0.0</v>
      </c>
      <c r="N56" s="126">
        <v>0.0</v>
      </c>
      <c r="O56" s="126">
        <v>0.0</v>
      </c>
      <c r="P56" s="126">
        <v>0.0</v>
      </c>
      <c r="Q56" s="126">
        <v>0.0</v>
      </c>
      <c r="R56" s="126">
        <v>0.0</v>
      </c>
      <c r="S56" s="126">
        <v>0.0</v>
      </c>
      <c r="T56" s="126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102" t="s">
        <v>31</v>
      </c>
      <c r="C57" s="59"/>
      <c r="D57" s="59"/>
      <c r="E57" s="75"/>
      <c r="F57" s="102" t="s">
        <v>71</v>
      </c>
      <c r="G57" s="126">
        <v>0.0</v>
      </c>
      <c r="H57" s="126">
        <v>0.0</v>
      </c>
      <c r="I57" s="126">
        <v>0.0</v>
      </c>
      <c r="J57" s="126">
        <v>0.0</v>
      </c>
      <c r="K57" s="126">
        <v>0.0</v>
      </c>
      <c r="L57" s="126">
        <v>0.0</v>
      </c>
      <c r="M57" s="126">
        <v>0.0</v>
      </c>
      <c r="N57" s="126">
        <v>0.0</v>
      </c>
      <c r="O57" s="126">
        <v>0.0</v>
      </c>
      <c r="P57" s="126">
        <v>0.0</v>
      </c>
      <c r="Q57" s="126">
        <v>0.0</v>
      </c>
      <c r="R57" s="126">
        <v>0.0</v>
      </c>
      <c r="S57" s="126">
        <v>0.0</v>
      </c>
      <c r="T57" s="126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2" t="s">
        <v>31</v>
      </c>
      <c r="C58" s="102"/>
      <c r="D58" s="59"/>
      <c r="E58" s="75"/>
      <c r="F58" s="102" t="s">
        <v>72</v>
      </c>
      <c r="G58" s="126">
        <v>0.0</v>
      </c>
      <c r="H58" s="126">
        <v>0.0</v>
      </c>
      <c r="I58" s="126">
        <v>0.0</v>
      </c>
      <c r="J58" s="126">
        <v>0.0</v>
      </c>
      <c r="K58" s="126">
        <v>0.0</v>
      </c>
      <c r="L58" s="126">
        <v>0.0</v>
      </c>
      <c r="M58" s="126">
        <v>0.0</v>
      </c>
      <c r="N58" s="126">
        <v>0.0</v>
      </c>
      <c r="O58" s="126">
        <v>0.0</v>
      </c>
      <c r="P58" s="126">
        <v>0.0</v>
      </c>
      <c r="Q58" s="126">
        <v>0.0</v>
      </c>
      <c r="R58" s="126">
        <v>0.0</v>
      </c>
      <c r="S58" s="126">
        <v>0.0</v>
      </c>
      <c r="T58" s="126">
        <v>0.0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10" t="s">
        <v>30</v>
      </c>
      <c r="B59" s="110" t="s">
        <v>31</v>
      </c>
      <c r="C59" s="110" t="s">
        <v>73</v>
      </c>
      <c r="D59" s="99" t="s">
        <v>49</v>
      </c>
      <c r="E59" s="84"/>
      <c r="F59" s="110" t="s">
        <v>73</v>
      </c>
      <c r="G59" s="126">
        <v>0.0</v>
      </c>
      <c r="H59" s="126">
        <v>0.0</v>
      </c>
      <c r="I59" s="126">
        <v>0.0</v>
      </c>
      <c r="J59" s="126">
        <v>0.0</v>
      </c>
      <c r="K59" s="126">
        <v>0.0</v>
      </c>
      <c r="L59" s="126">
        <v>0.0</v>
      </c>
      <c r="M59" s="126">
        <v>0.0</v>
      </c>
      <c r="N59" s="126">
        <v>0.0</v>
      </c>
      <c r="O59" s="126">
        <v>0.0</v>
      </c>
      <c r="P59" s="126">
        <v>0.0</v>
      </c>
      <c r="Q59" s="126">
        <v>0.0</v>
      </c>
      <c r="R59" s="126">
        <v>0.0</v>
      </c>
      <c r="S59" s="126">
        <v>0.0</v>
      </c>
      <c r="T59" s="126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11" t="s">
        <v>30</v>
      </c>
      <c r="B60" s="111" t="s">
        <v>31</v>
      </c>
      <c r="C60" s="111" t="s">
        <v>73</v>
      </c>
      <c r="D60" s="112"/>
      <c r="E60" s="84"/>
      <c r="F60" s="111" t="s">
        <v>74</v>
      </c>
      <c r="G60" s="126">
        <v>0.0</v>
      </c>
      <c r="H60" s="126">
        <v>0.0</v>
      </c>
      <c r="I60" s="126">
        <v>0.0</v>
      </c>
      <c r="J60" s="126">
        <v>0.0</v>
      </c>
      <c r="K60" s="126">
        <v>0.0</v>
      </c>
      <c r="L60" s="126">
        <v>0.0</v>
      </c>
      <c r="M60" s="126">
        <v>0.0</v>
      </c>
      <c r="N60" s="126">
        <v>0.0</v>
      </c>
      <c r="O60" s="126">
        <v>0.0</v>
      </c>
      <c r="P60" s="126">
        <v>0.0</v>
      </c>
      <c r="Q60" s="126">
        <v>0.0</v>
      </c>
      <c r="R60" s="126">
        <v>0.0</v>
      </c>
      <c r="S60" s="126">
        <v>0.0</v>
      </c>
      <c r="T60" s="126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11" t="s">
        <v>30</v>
      </c>
      <c r="B61" s="111" t="s">
        <v>31</v>
      </c>
      <c r="C61" s="111" t="s">
        <v>73</v>
      </c>
      <c r="D61" s="112"/>
      <c r="E61" s="84"/>
      <c r="F61" s="111" t="s">
        <v>75</v>
      </c>
      <c r="G61" s="126">
        <v>0.0</v>
      </c>
      <c r="H61" s="126">
        <v>0.0</v>
      </c>
      <c r="I61" s="126">
        <v>0.0</v>
      </c>
      <c r="J61" s="126">
        <v>0.0</v>
      </c>
      <c r="K61" s="126">
        <v>0.0</v>
      </c>
      <c r="L61" s="126">
        <v>0.0</v>
      </c>
      <c r="M61" s="126">
        <v>0.0</v>
      </c>
      <c r="N61" s="126">
        <v>0.0</v>
      </c>
      <c r="O61" s="126">
        <v>0.0</v>
      </c>
      <c r="P61" s="126">
        <v>0.0</v>
      </c>
      <c r="Q61" s="126">
        <v>0.0</v>
      </c>
      <c r="R61" s="126">
        <v>0.0</v>
      </c>
      <c r="S61" s="126">
        <v>0.0</v>
      </c>
      <c r="T61" s="126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73</v>
      </c>
      <c r="D62" s="112"/>
      <c r="E62" s="84"/>
      <c r="F62" s="111" t="s">
        <v>76</v>
      </c>
      <c r="G62" s="126">
        <v>0.0</v>
      </c>
      <c r="H62" s="126">
        <v>0.0</v>
      </c>
      <c r="I62" s="126">
        <v>0.0</v>
      </c>
      <c r="J62" s="126">
        <v>0.0</v>
      </c>
      <c r="K62" s="126">
        <v>0.0</v>
      </c>
      <c r="L62" s="126">
        <v>0.0</v>
      </c>
      <c r="M62" s="126">
        <v>0.0</v>
      </c>
      <c r="N62" s="126">
        <v>0.0</v>
      </c>
      <c r="O62" s="126">
        <v>0.0</v>
      </c>
      <c r="P62" s="126">
        <v>0.0</v>
      </c>
      <c r="Q62" s="126">
        <v>0.0</v>
      </c>
      <c r="R62" s="126">
        <v>0.0</v>
      </c>
      <c r="S62" s="126">
        <v>0.0</v>
      </c>
      <c r="T62" s="126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73</v>
      </c>
      <c r="D63" s="112"/>
      <c r="E63" s="84"/>
      <c r="F63" s="113" t="s">
        <v>77</v>
      </c>
      <c r="G63" s="126">
        <v>0.0</v>
      </c>
      <c r="H63" s="126">
        <v>0.0</v>
      </c>
      <c r="I63" s="126">
        <v>0.0</v>
      </c>
      <c r="J63" s="126">
        <v>0.0</v>
      </c>
      <c r="K63" s="126">
        <v>0.0</v>
      </c>
      <c r="L63" s="126">
        <v>0.0</v>
      </c>
      <c r="M63" s="126">
        <v>0.0</v>
      </c>
      <c r="N63" s="126">
        <v>0.0</v>
      </c>
      <c r="O63" s="126">
        <v>0.0</v>
      </c>
      <c r="P63" s="126">
        <v>0.0</v>
      </c>
      <c r="Q63" s="126">
        <v>0.0</v>
      </c>
      <c r="R63" s="126">
        <v>0.0</v>
      </c>
      <c r="S63" s="126">
        <v>0.0</v>
      </c>
      <c r="T63" s="126">
        <v>0.0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73</v>
      </c>
      <c r="D64" s="112"/>
      <c r="E64" s="84"/>
      <c r="F64" s="113" t="s">
        <v>78</v>
      </c>
      <c r="G64" s="126">
        <v>0.0</v>
      </c>
      <c r="H64" s="126">
        <v>0.0</v>
      </c>
      <c r="I64" s="126">
        <v>0.0</v>
      </c>
      <c r="J64" s="126">
        <v>0.0</v>
      </c>
      <c r="K64" s="126">
        <v>0.0</v>
      </c>
      <c r="L64" s="126">
        <v>0.0</v>
      </c>
      <c r="M64" s="126">
        <v>0.0</v>
      </c>
      <c r="N64" s="126">
        <v>0.0</v>
      </c>
      <c r="O64" s="126">
        <v>0.0</v>
      </c>
      <c r="P64" s="126">
        <v>0.0</v>
      </c>
      <c r="Q64" s="126">
        <v>0.0</v>
      </c>
      <c r="R64" s="126">
        <v>0.0</v>
      </c>
      <c r="S64" s="126">
        <v>0.0</v>
      </c>
      <c r="T64" s="126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00" t="s">
        <v>30</v>
      </c>
      <c r="B65" s="100" t="s">
        <v>31</v>
      </c>
      <c r="C65" s="100" t="s">
        <v>79</v>
      </c>
      <c r="D65" s="114" t="s">
        <v>49</v>
      </c>
      <c r="E65" s="75"/>
      <c r="F65" s="100" t="s">
        <v>79</v>
      </c>
      <c r="G65" s="126">
        <v>0.0</v>
      </c>
      <c r="H65" s="126">
        <v>0.0</v>
      </c>
      <c r="I65" s="126">
        <v>0.0</v>
      </c>
      <c r="J65" s="126">
        <v>0.0</v>
      </c>
      <c r="K65" s="126">
        <v>0.0</v>
      </c>
      <c r="L65" s="126">
        <v>0.0</v>
      </c>
      <c r="M65" s="126">
        <v>0.0</v>
      </c>
      <c r="N65" s="126">
        <v>0.0</v>
      </c>
      <c r="O65" s="126">
        <v>0.0</v>
      </c>
      <c r="P65" s="126">
        <v>0.0</v>
      </c>
      <c r="Q65" s="126">
        <v>0.0</v>
      </c>
      <c r="R65" s="126">
        <v>0.0</v>
      </c>
      <c r="S65" s="126">
        <v>0.0</v>
      </c>
      <c r="T65" s="126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10" t="s">
        <v>30</v>
      </c>
      <c r="B66" s="110" t="s">
        <v>31</v>
      </c>
      <c r="C66" s="115" t="s">
        <v>80</v>
      </c>
      <c r="D66" s="116" t="s">
        <v>49</v>
      </c>
      <c r="E66" s="117"/>
      <c r="F66" s="115" t="s">
        <v>80</v>
      </c>
      <c r="G66" s="126">
        <v>0.0</v>
      </c>
      <c r="H66" s="126">
        <v>0.0</v>
      </c>
      <c r="I66" s="126">
        <v>0.0</v>
      </c>
      <c r="J66" s="126">
        <v>0.0</v>
      </c>
      <c r="K66" s="126">
        <v>0.0</v>
      </c>
      <c r="L66" s="126">
        <v>0.0</v>
      </c>
      <c r="M66" s="126">
        <v>0.0</v>
      </c>
      <c r="N66" s="126">
        <v>0.0</v>
      </c>
      <c r="O66" s="126">
        <v>0.0</v>
      </c>
      <c r="P66" s="126">
        <v>0.0</v>
      </c>
      <c r="Q66" s="126">
        <v>0.0</v>
      </c>
      <c r="R66" s="126">
        <v>0.0</v>
      </c>
      <c r="S66" s="126">
        <v>0.0</v>
      </c>
      <c r="T66" s="126">
        <v>0.0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11" t="s">
        <v>30</v>
      </c>
      <c r="B67" s="111" t="s">
        <v>31</v>
      </c>
      <c r="C67" s="113" t="s">
        <v>80</v>
      </c>
      <c r="D67" s="112"/>
      <c r="E67" s="84"/>
      <c r="F67" s="113" t="s">
        <v>81</v>
      </c>
      <c r="G67" s="126">
        <v>0.0</v>
      </c>
      <c r="H67" s="126">
        <v>0.0</v>
      </c>
      <c r="I67" s="126">
        <v>0.0</v>
      </c>
      <c r="J67" s="126">
        <v>0.0</v>
      </c>
      <c r="K67" s="126">
        <v>0.0</v>
      </c>
      <c r="L67" s="126">
        <v>0.0</v>
      </c>
      <c r="M67" s="126">
        <v>0.0</v>
      </c>
      <c r="N67" s="126">
        <v>0.0</v>
      </c>
      <c r="O67" s="126">
        <v>0.0</v>
      </c>
      <c r="P67" s="126">
        <v>0.0</v>
      </c>
      <c r="Q67" s="126">
        <v>0.0</v>
      </c>
      <c r="R67" s="126">
        <v>0.0</v>
      </c>
      <c r="S67" s="126">
        <v>0.0</v>
      </c>
      <c r="T67" s="126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80</v>
      </c>
      <c r="D68" s="118"/>
      <c r="E68" s="84"/>
      <c r="F68" s="113" t="s">
        <v>82</v>
      </c>
      <c r="G68" s="126">
        <v>0.0</v>
      </c>
      <c r="H68" s="126">
        <v>0.0</v>
      </c>
      <c r="I68" s="126">
        <v>0.0</v>
      </c>
      <c r="J68" s="126">
        <v>0.0</v>
      </c>
      <c r="K68" s="126">
        <v>0.0</v>
      </c>
      <c r="L68" s="126">
        <v>0.0</v>
      </c>
      <c r="M68" s="126">
        <v>0.0</v>
      </c>
      <c r="N68" s="126">
        <v>0.0</v>
      </c>
      <c r="O68" s="126">
        <v>0.0</v>
      </c>
      <c r="P68" s="126">
        <v>0.0</v>
      </c>
      <c r="Q68" s="126">
        <v>0.0</v>
      </c>
      <c r="R68" s="126">
        <v>0.0</v>
      </c>
      <c r="S68" s="126">
        <v>0.0</v>
      </c>
      <c r="T68" s="126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05" t="s">
        <v>30</v>
      </c>
      <c r="B69" s="105" t="s">
        <v>32</v>
      </c>
      <c r="C69" s="105"/>
      <c r="D69" s="107" t="s">
        <v>49</v>
      </c>
      <c r="E69" s="81"/>
      <c r="F69" s="105" t="s">
        <v>32</v>
      </c>
      <c r="G69" s="126">
        <v>0.0</v>
      </c>
      <c r="H69" s="126">
        <v>0.0</v>
      </c>
      <c r="I69" s="126">
        <v>0.0</v>
      </c>
      <c r="J69" s="126">
        <v>0.0</v>
      </c>
      <c r="K69" s="126">
        <v>0.0</v>
      </c>
      <c r="L69" s="126">
        <v>0.0</v>
      </c>
      <c r="M69" s="126">
        <v>0.0</v>
      </c>
      <c r="N69" s="126">
        <v>0.0</v>
      </c>
      <c r="O69" s="126">
        <v>0.0</v>
      </c>
      <c r="P69" s="126">
        <v>0.0</v>
      </c>
      <c r="Q69" s="126">
        <v>0.0</v>
      </c>
      <c r="R69" s="126">
        <v>0.0</v>
      </c>
      <c r="S69" s="126">
        <v>0.0</v>
      </c>
      <c r="T69" s="126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2" t="s">
        <v>83</v>
      </c>
      <c r="G70" s="126">
        <v>0.0</v>
      </c>
      <c r="H70" s="126">
        <v>0.0</v>
      </c>
      <c r="I70" s="126">
        <v>0.0</v>
      </c>
      <c r="J70" s="126">
        <v>0.0</v>
      </c>
      <c r="K70" s="126">
        <v>0.0</v>
      </c>
      <c r="L70" s="126">
        <v>0.0</v>
      </c>
      <c r="M70" s="126">
        <v>0.0</v>
      </c>
      <c r="N70" s="126">
        <v>0.0</v>
      </c>
      <c r="O70" s="126">
        <v>0.0</v>
      </c>
      <c r="P70" s="126">
        <v>0.0</v>
      </c>
      <c r="Q70" s="126">
        <v>0.0</v>
      </c>
      <c r="R70" s="126">
        <v>0.0</v>
      </c>
      <c r="S70" s="126">
        <v>0.0</v>
      </c>
      <c r="T70" s="126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126">
        <v>0.0</v>
      </c>
      <c r="H71" s="126">
        <v>0.0</v>
      </c>
      <c r="I71" s="126">
        <v>0.0</v>
      </c>
      <c r="J71" s="126">
        <v>0.0</v>
      </c>
      <c r="K71" s="126">
        <v>0.0</v>
      </c>
      <c r="L71" s="126">
        <v>0.0</v>
      </c>
      <c r="M71" s="126">
        <v>0.0</v>
      </c>
      <c r="N71" s="126">
        <v>0.0</v>
      </c>
      <c r="O71" s="126">
        <v>0.0</v>
      </c>
      <c r="P71" s="126">
        <v>0.0</v>
      </c>
      <c r="Q71" s="126">
        <v>0.0</v>
      </c>
      <c r="R71" s="126">
        <v>0.0</v>
      </c>
      <c r="S71" s="126">
        <v>0.0</v>
      </c>
      <c r="T71" s="126">
        <v>0.0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126">
        <v>0.0</v>
      </c>
      <c r="H72" s="126">
        <v>0.0</v>
      </c>
      <c r="I72" s="126">
        <v>0.0</v>
      </c>
      <c r="J72" s="126">
        <v>0.0</v>
      </c>
      <c r="K72" s="126">
        <v>0.0</v>
      </c>
      <c r="L72" s="126">
        <v>0.0</v>
      </c>
      <c r="M72" s="126">
        <v>0.0</v>
      </c>
      <c r="N72" s="126">
        <v>0.0</v>
      </c>
      <c r="O72" s="126">
        <v>0.0</v>
      </c>
      <c r="P72" s="126">
        <v>0.0</v>
      </c>
      <c r="Q72" s="126">
        <v>0.0</v>
      </c>
      <c r="R72" s="126">
        <v>0.0</v>
      </c>
      <c r="S72" s="126">
        <v>0.0</v>
      </c>
      <c r="T72" s="126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10" t="s">
        <v>30</v>
      </c>
      <c r="B73" s="110" t="s">
        <v>32</v>
      </c>
      <c r="C73" s="110" t="s">
        <v>86</v>
      </c>
      <c r="D73" s="99" t="s">
        <v>49</v>
      </c>
      <c r="E73" s="84"/>
      <c r="F73" s="110" t="s">
        <v>86</v>
      </c>
      <c r="G73" s="126">
        <v>0.0</v>
      </c>
      <c r="H73" s="126">
        <v>0.0</v>
      </c>
      <c r="I73" s="126">
        <v>0.0</v>
      </c>
      <c r="J73" s="126">
        <v>0.0</v>
      </c>
      <c r="K73" s="126">
        <v>0.0</v>
      </c>
      <c r="L73" s="126">
        <v>0.0</v>
      </c>
      <c r="M73" s="126">
        <v>0.0</v>
      </c>
      <c r="N73" s="126">
        <v>0.0</v>
      </c>
      <c r="O73" s="126">
        <v>0.0</v>
      </c>
      <c r="P73" s="126">
        <v>0.0</v>
      </c>
      <c r="Q73" s="126">
        <v>0.0</v>
      </c>
      <c r="R73" s="126">
        <v>0.0</v>
      </c>
      <c r="S73" s="126">
        <v>0.0</v>
      </c>
      <c r="T73" s="126">
        <v>0.0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19"/>
      <c r="B74" s="119"/>
      <c r="C74" s="119"/>
      <c r="D74" s="1"/>
      <c r="E74" s="119"/>
      <c r="F74" s="11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1"/>
      <c r="V74" s="121"/>
      <c r="W74" s="121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22"/>
      <c r="B593" s="122"/>
      <c r="C593" s="122"/>
      <c r="D593" s="123"/>
      <c r="E593" s="122"/>
      <c r="F593" s="124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72"/>
      <c r="V593" s="72"/>
      <c r="W593" s="72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2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2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10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SUMIF(B46:B1137,B20,G46:G1137)</f>
        <v>0</v>
      </c>
      <c r="G20" s="46">
        <f>SUMIF(B46:B1137,B20,H46:H1137)</f>
        <v>0</v>
      </c>
      <c r="H20" s="46">
        <f>SUMIF(B46:B1137,B20,I46:I1137)</f>
        <v>0</v>
      </c>
      <c r="I20" s="46">
        <f>SUMIF(B46:B1137,B20,P46:P1137)</f>
        <v>0</v>
      </c>
      <c r="J20" s="46">
        <f>SUMIF(B46:B1137,B20,Q46:Q1137)</f>
        <v>0</v>
      </c>
      <c r="K20" s="46">
        <f>SUMIF(B46:B1137,B20,R46:R1137)</f>
        <v>0</v>
      </c>
      <c r="L20" s="46">
        <f>SUMIF(B46:B1137,B20,S46:S1137)</f>
        <v>0</v>
      </c>
      <c r="M20" s="46">
        <f>SUMIF(B46:B1137,B20,M46:M1137)</f>
        <v>0</v>
      </c>
      <c r="N20" s="46">
        <f>SUMIF(B46:B1137,B20,N46:N1137)</f>
        <v>0</v>
      </c>
      <c r="O20" s="46">
        <f>SUMIF(B46:B1137,B20,O46:O1137)</f>
        <v>0</v>
      </c>
      <c r="P20" s="46">
        <f>SUMIF(B46:B1137,B20,J46:J1137)</f>
        <v>0</v>
      </c>
      <c r="Q20" s="46">
        <f>SUMIF(B46:B1137,B20,K46:K1137)</f>
        <v>0</v>
      </c>
      <c r="R20" s="50">
        <f>SUMIF(B46:B1137,B20,L46:L1137)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SUMIF(B49:B1137,B23,G49:G1137)</f>
        <v>0</v>
      </c>
      <c r="G23" s="46">
        <f>SUMIF(B49:B1137,B23,H49:H1137)</f>
        <v>0</v>
      </c>
      <c r="H23" s="46">
        <f>SUMIF(B49:B1137,B23,I49:I1137)</f>
        <v>0</v>
      </c>
      <c r="I23" s="46">
        <f>SUMIF(B49:B1137,B23,P49:P1137)</f>
        <v>0</v>
      </c>
      <c r="J23" s="46">
        <f>SUMIF(B49:B1137,B23,Q49:Q1137)</f>
        <v>0</v>
      </c>
      <c r="K23" s="46">
        <f>SUMIF(B49:B1137,B23,R49:R1137)</f>
        <v>0</v>
      </c>
      <c r="L23" s="46">
        <f>SUMIF(B49:B1137,B23,S49:S1137)</f>
        <v>0</v>
      </c>
      <c r="M23" s="46">
        <f>SUMIF(B49:B1137,B23,M49:M1137)</f>
        <v>0</v>
      </c>
      <c r="N23" s="46">
        <f>SUMIF(B49:B1137,B23,N49:N1137)</f>
        <v>0</v>
      </c>
      <c r="O23" s="46">
        <f>SUMIF(B49:B1137,B23,O49:O1137)</f>
        <v>0</v>
      </c>
      <c r="P23" s="46">
        <f>SUMIF(B49:B1137,B23,J49:J1137)</f>
        <v>0</v>
      </c>
      <c r="Q23" s="46">
        <f>SUMIF(B49:B1137,B23,K49:K1137)</f>
        <v>0</v>
      </c>
      <c r="R23" s="50">
        <f>SUMIF(B49:B1137,B23,L49:L1137)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5" si="3">IFERROR(I28/H28,0)</f>
        <v>0</v>
      </c>
      <c r="V28" s="71">
        <f t="shared" ref="V28:V45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6">
        <v>2.0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8" t="s">
        <v>26</v>
      </c>
      <c r="B41" s="79" t="s">
        <v>27</v>
      </c>
      <c r="C41" s="94"/>
      <c r="D41" s="79" t="s">
        <v>49</v>
      </c>
      <c r="E41" s="95"/>
      <c r="F41" s="79" t="s">
        <v>27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96" t="s">
        <v>26</v>
      </c>
      <c r="B42" s="77" t="s">
        <v>27</v>
      </c>
      <c r="C42" s="75"/>
      <c r="D42" s="75"/>
      <c r="E42" s="75"/>
      <c r="F42" s="77" t="s">
        <v>61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61" t="s">
        <v>33</v>
      </c>
      <c r="B46" s="62" t="s">
        <v>34</v>
      </c>
      <c r="C46" s="62" t="s">
        <v>35</v>
      </c>
      <c r="D46" s="63"/>
      <c r="E46" s="62" t="s">
        <v>36</v>
      </c>
      <c r="F46" s="62" t="s">
        <v>37</v>
      </c>
      <c r="G46" s="64" t="s">
        <v>38</v>
      </c>
      <c r="H46" s="64" t="s">
        <v>39</v>
      </c>
      <c r="I46" s="64" t="s">
        <v>40</v>
      </c>
      <c r="J46" s="64" t="s">
        <v>12</v>
      </c>
      <c r="K46" s="64" t="s">
        <v>41</v>
      </c>
      <c r="L46" s="64" t="s">
        <v>14</v>
      </c>
      <c r="M46" s="64" t="s">
        <v>9</v>
      </c>
      <c r="N46" s="64" t="s">
        <v>10</v>
      </c>
      <c r="O46" s="64" t="s">
        <v>42</v>
      </c>
      <c r="P46" s="64" t="s">
        <v>5</v>
      </c>
      <c r="Q46" s="64" t="s">
        <v>43</v>
      </c>
      <c r="R46" s="64" t="s">
        <v>44</v>
      </c>
      <c r="S46" s="64" t="s">
        <v>45</v>
      </c>
      <c r="T46" s="64" t="s">
        <v>0</v>
      </c>
      <c r="U46" s="62" t="s">
        <v>46</v>
      </c>
      <c r="V46" s="62" t="s">
        <v>47</v>
      </c>
      <c r="W46" s="97"/>
    </row>
    <row r="47" ht="12.75" customHeight="1">
      <c r="A47" s="66" t="s">
        <v>29</v>
      </c>
      <c r="B47" s="67"/>
      <c r="C47" s="67"/>
      <c r="D47" s="68" t="s">
        <v>49</v>
      </c>
      <c r="E47" s="69"/>
      <c r="F47" s="68" t="s">
        <v>29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ref="U47:U50" si="5">IFERROR(I47/H47,0)</f>
        <v>0</v>
      </c>
      <c r="V47" s="71">
        <f t="shared" ref="V47:V50" si="6">IFERROR(SUM(H47+L47)/G47,0)</f>
        <v>0</v>
      </c>
      <c r="W47" s="72"/>
    </row>
    <row r="48" ht="12.75" customHeight="1">
      <c r="A48" s="73" t="s">
        <v>29</v>
      </c>
      <c r="B48" s="77"/>
      <c r="C48" s="75"/>
      <c r="D48" s="75"/>
      <c r="E48" s="75"/>
      <c r="F48" s="77" t="s">
        <v>65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5"/>
        <v>0</v>
      </c>
      <c r="V48" s="71">
        <f t="shared" si="6"/>
        <v>0</v>
      </c>
      <c r="W48" s="72"/>
    </row>
    <row r="49" ht="12.75" customHeight="1">
      <c r="A49" s="82" t="s">
        <v>29</v>
      </c>
      <c r="B49" s="84"/>
      <c r="C49" s="98" t="s">
        <v>66</v>
      </c>
      <c r="D49" s="99" t="s">
        <v>49</v>
      </c>
      <c r="E49" s="84"/>
      <c r="F49" s="98" t="s">
        <v>66</v>
      </c>
      <c r="G49" s="126">
        <v>0.0</v>
      </c>
      <c r="H49" s="126">
        <v>0.0</v>
      </c>
      <c r="I49" s="126">
        <v>0.0</v>
      </c>
      <c r="J49" s="126">
        <v>0.0</v>
      </c>
      <c r="K49" s="126">
        <v>0.0</v>
      </c>
      <c r="L49" s="126">
        <v>0.0</v>
      </c>
      <c r="M49" s="126">
        <v>0.0</v>
      </c>
      <c r="N49" s="126">
        <v>0.0</v>
      </c>
      <c r="O49" s="126">
        <v>0.0</v>
      </c>
      <c r="P49" s="126">
        <v>0.0</v>
      </c>
      <c r="Q49" s="126">
        <v>0.0</v>
      </c>
      <c r="R49" s="126">
        <v>0.0</v>
      </c>
      <c r="S49" s="126">
        <v>0.0</v>
      </c>
      <c r="T49" s="126">
        <v>0.0</v>
      </c>
      <c r="U49" s="71">
        <f t="shared" si="5"/>
        <v>0</v>
      </c>
      <c r="V49" s="71">
        <f t="shared" si="6"/>
        <v>0</v>
      </c>
      <c r="W49" s="72"/>
    </row>
    <row r="50" ht="12.75" customHeight="1">
      <c r="A50" s="85" t="s">
        <v>29</v>
      </c>
      <c r="B50" s="86"/>
      <c r="C50" s="86" t="s">
        <v>66</v>
      </c>
      <c r="D50" s="84"/>
      <c r="E50" s="84"/>
      <c r="F50" s="88" t="s">
        <v>67</v>
      </c>
      <c r="G50" s="126">
        <v>0.0</v>
      </c>
      <c r="H50" s="126">
        <v>0.0</v>
      </c>
      <c r="I50" s="126">
        <v>0.0</v>
      </c>
      <c r="J50" s="126">
        <v>0.0</v>
      </c>
      <c r="K50" s="126">
        <v>0.0</v>
      </c>
      <c r="L50" s="126">
        <v>0.0</v>
      </c>
      <c r="M50" s="126">
        <v>0.0</v>
      </c>
      <c r="N50" s="126">
        <v>0.0</v>
      </c>
      <c r="O50" s="126">
        <v>0.0</v>
      </c>
      <c r="P50" s="126">
        <v>0.0</v>
      </c>
      <c r="Q50" s="126">
        <v>0.0</v>
      </c>
      <c r="R50" s="126">
        <v>0.0</v>
      </c>
      <c r="S50" s="126">
        <v>0.0</v>
      </c>
      <c r="T50" s="126">
        <v>0.0</v>
      </c>
      <c r="U50" s="71">
        <f t="shared" si="5"/>
        <v>0</v>
      </c>
      <c r="V50" s="71">
        <f t="shared" si="6"/>
        <v>0</v>
      </c>
      <c r="W50" s="72"/>
    </row>
    <row r="51" ht="20.25" customHeight="1">
      <c r="A51" s="61" t="s">
        <v>33</v>
      </c>
      <c r="B51" s="62" t="s">
        <v>34</v>
      </c>
      <c r="C51" s="62" t="s">
        <v>35</v>
      </c>
      <c r="D51" s="63"/>
      <c r="E51" s="62" t="s">
        <v>36</v>
      </c>
      <c r="F51" s="62" t="s">
        <v>37</v>
      </c>
      <c r="G51" s="64" t="s">
        <v>38</v>
      </c>
      <c r="H51" s="64" t="s">
        <v>39</v>
      </c>
      <c r="I51" s="64" t="s">
        <v>40</v>
      </c>
      <c r="J51" s="64" t="s">
        <v>12</v>
      </c>
      <c r="K51" s="64" t="s">
        <v>41</v>
      </c>
      <c r="L51" s="64" t="s">
        <v>14</v>
      </c>
      <c r="M51" s="64" t="s">
        <v>9</v>
      </c>
      <c r="N51" s="64" t="s">
        <v>10</v>
      </c>
      <c r="O51" s="64" t="s">
        <v>42</v>
      </c>
      <c r="P51" s="64" t="s">
        <v>5</v>
      </c>
      <c r="Q51" s="64" t="s">
        <v>43</v>
      </c>
      <c r="R51" s="64" t="s">
        <v>44</v>
      </c>
      <c r="S51" s="64" t="s">
        <v>45</v>
      </c>
      <c r="T51" s="64" t="s">
        <v>0</v>
      </c>
      <c r="U51" s="62" t="s">
        <v>46</v>
      </c>
      <c r="V51" s="62" t="s">
        <v>47</v>
      </c>
      <c r="W51" s="97"/>
    </row>
    <row r="52" ht="12.75" customHeight="1">
      <c r="A52" s="100" t="s">
        <v>30</v>
      </c>
      <c r="B52" s="59"/>
      <c r="C52" s="59"/>
      <c r="D52" s="101" t="s">
        <v>49</v>
      </c>
      <c r="E52" s="59"/>
      <c r="F52" s="100" t="s">
        <v>30</v>
      </c>
      <c r="G52" s="126">
        <v>0.0</v>
      </c>
      <c r="H52" s="126">
        <v>0.0</v>
      </c>
      <c r="I52" s="126">
        <v>0.0</v>
      </c>
      <c r="J52" s="126">
        <v>0.0</v>
      </c>
      <c r="K52" s="126">
        <v>0.0</v>
      </c>
      <c r="L52" s="126">
        <v>0.0</v>
      </c>
      <c r="M52" s="126">
        <v>0.0</v>
      </c>
      <c r="N52" s="126">
        <v>0.0</v>
      </c>
      <c r="O52" s="126">
        <v>0.0</v>
      </c>
      <c r="P52" s="126">
        <v>0.0</v>
      </c>
      <c r="Q52" s="126">
        <v>0.0</v>
      </c>
      <c r="R52" s="126">
        <v>0.0</v>
      </c>
      <c r="S52" s="126">
        <v>0.0</v>
      </c>
      <c r="T52" s="126">
        <v>0.0</v>
      </c>
      <c r="U52" s="71">
        <f t="shared" ref="U52:U73" si="7">IFERROR(I52/H52,0)</f>
        <v>0</v>
      </c>
      <c r="V52" s="71">
        <f t="shared" ref="V52:V73" si="8">IFERROR(SUM(H52+L52)/G52,0)</f>
        <v>0</v>
      </c>
      <c r="W52" s="72"/>
    </row>
    <row r="53" ht="12.75" customHeight="1">
      <c r="A53" s="102" t="s">
        <v>30</v>
      </c>
      <c r="B53" s="59"/>
      <c r="C53" s="59"/>
      <c r="D53" s="58"/>
      <c r="E53" s="75"/>
      <c r="F53" s="102" t="s">
        <v>68</v>
      </c>
      <c r="G53" s="126">
        <v>0.0</v>
      </c>
      <c r="H53" s="126">
        <v>0.0</v>
      </c>
      <c r="I53" s="126">
        <v>0.0</v>
      </c>
      <c r="J53" s="126">
        <v>0.0</v>
      </c>
      <c r="K53" s="126">
        <v>0.0</v>
      </c>
      <c r="L53" s="126">
        <v>0.0</v>
      </c>
      <c r="M53" s="126">
        <v>0.0</v>
      </c>
      <c r="N53" s="126">
        <v>0.0</v>
      </c>
      <c r="O53" s="126">
        <v>0.0</v>
      </c>
      <c r="P53" s="126">
        <v>0.0</v>
      </c>
      <c r="Q53" s="126">
        <v>0.0</v>
      </c>
      <c r="R53" s="126">
        <v>0.0</v>
      </c>
      <c r="S53" s="126">
        <v>0.0</v>
      </c>
      <c r="T53" s="126">
        <v>0.0</v>
      </c>
      <c r="U53" s="71">
        <f t="shared" si="7"/>
        <v>0</v>
      </c>
      <c r="V53" s="71">
        <f t="shared" si="8"/>
        <v>0</v>
      </c>
      <c r="W53" s="72"/>
    </row>
    <row r="54" ht="12.75" customHeight="1">
      <c r="A54" s="103" t="s">
        <v>30</v>
      </c>
      <c r="B54" s="103"/>
      <c r="C54" s="103"/>
      <c r="D54" s="58"/>
      <c r="E54" s="75"/>
      <c r="F54" s="104" t="s">
        <v>69</v>
      </c>
      <c r="G54" s="126">
        <v>0.0</v>
      </c>
      <c r="H54" s="126">
        <v>0.0</v>
      </c>
      <c r="I54" s="126">
        <v>0.0</v>
      </c>
      <c r="J54" s="126">
        <v>0.0</v>
      </c>
      <c r="K54" s="126">
        <v>0.0</v>
      </c>
      <c r="L54" s="126">
        <v>0.0</v>
      </c>
      <c r="M54" s="126">
        <v>0.0</v>
      </c>
      <c r="N54" s="126">
        <v>0.0</v>
      </c>
      <c r="O54" s="126">
        <v>0.0</v>
      </c>
      <c r="P54" s="126">
        <v>0.0</v>
      </c>
      <c r="Q54" s="126">
        <v>0.0</v>
      </c>
      <c r="R54" s="126">
        <v>0.0</v>
      </c>
      <c r="S54" s="126">
        <v>0.0</v>
      </c>
      <c r="T54" s="126">
        <v>0.0</v>
      </c>
      <c r="U54" s="71">
        <f t="shared" si="7"/>
        <v>0</v>
      </c>
      <c r="V54" s="71">
        <f t="shared" si="8"/>
        <v>0</v>
      </c>
      <c r="W54" s="72"/>
    </row>
    <row r="55" ht="12.75" customHeight="1">
      <c r="A55" s="105" t="s">
        <v>30</v>
      </c>
      <c r="B55" s="105" t="s">
        <v>31</v>
      </c>
      <c r="C55" s="106"/>
      <c r="D55" s="107" t="s">
        <v>49</v>
      </c>
      <c r="E55" s="95"/>
      <c r="F55" s="105" t="s">
        <v>31</v>
      </c>
      <c r="G55" s="126">
        <v>0.0</v>
      </c>
      <c r="H55" s="126">
        <v>0.0</v>
      </c>
      <c r="I55" s="126">
        <v>0.0</v>
      </c>
      <c r="J55" s="126">
        <v>0.0</v>
      </c>
      <c r="K55" s="126">
        <v>0.0</v>
      </c>
      <c r="L55" s="126">
        <v>0.0</v>
      </c>
      <c r="M55" s="126">
        <v>0.0</v>
      </c>
      <c r="N55" s="126">
        <v>0.0</v>
      </c>
      <c r="O55" s="126">
        <v>0.0</v>
      </c>
      <c r="P55" s="126">
        <v>0.0</v>
      </c>
      <c r="Q55" s="126">
        <v>0.0</v>
      </c>
      <c r="R55" s="126">
        <v>0.0</v>
      </c>
      <c r="S55" s="126">
        <v>0.0</v>
      </c>
      <c r="T55" s="126">
        <v>0.0</v>
      </c>
      <c r="U55" s="71">
        <f t="shared" si="7"/>
        <v>0</v>
      </c>
      <c r="V55" s="71">
        <f t="shared" si="8"/>
        <v>0</v>
      </c>
      <c r="W55" s="72"/>
    </row>
    <row r="56" ht="12.75" customHeight="1">
      <c r="A56" s="102" t="s">
        <v>30</v>
      </c>
      <c r="B56" s="103" t="s">
        <v>31</v>
      </c>
      <c r="C56" s="103"/>
      <c r="D56" s="108"/>
      <c r="E56" s="69"/>
      <c r="F56" s="109" t="s">
        <v>70</v>
      </c>
      <c r="G56" s="126">
        <v>0.0</v>
      </c>
      <c r="H56" s="126">
        <v>0.0</v>
      </c>
      <c r="I56" s="126">
        <v>0.0</v>
      </c>
      <c r="J56" s="126">
        <v>0.0</v>
      </c>
      <c r="K56" s="126">
        <v>0.0</v>
      </c>
      <c r="L56" s="126">
        <v>0.0</v>
      </c>
      <c r="M56" s="126">
        <v>0.0</v>
      </c>
      <c r="N56" s="126">
        <v>0.0</v>
      </c>
      <c r="O56" s="126">
        <v>0.0</v>
      </c>
      <c r="P56" s="126">
        <v>0.0</v>
      </c>
      <c r="Q56" s="126">
        <v>0.0</v>
      </c>
      <c r="R56" s="126">
        <v>0.0</v>
      </c>
      <c r="S56" s="126">
        <v>0.0</v>
      </c>
      <c r="T56" s="126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102" t="s">
        <v>31</v>
      </c>
      <c r="C57" s="59"/>
      <c r="D57" s="59"/>
      <c r="E57" s="75"/>
      <c r="F57" s="102" t="s">
        <v>71</v>
      </c>
      <c r="G57" s="126">
        <v>0.0</v>
      </c>
      <c r="H57" s="126">
        <v>0.0</v>
      </c>
      <c r="I57" s="126">
        <v>0.0</v>
      </c>
      <c r="J57" s="126">
        <v>0.0</v>
      </c>
      <c r="K57" s="126">
        <v>0.0</v>
      </c>
      <c r="L57" s="126">
        <v>0.0</v>
      </c>
      <c r="M57" s="126">
        <v>0.0</v>
      </c>
      <c r="N57" s="126">
        <v>0.0</v>
      </c>
      <c r="O57" s="126">
        <v>0.0</v>
      </c>
      <c r="P57" s="126">
        <v>0.0</v>
      </c>
      <c r="Q57" s="126">
        <v>0.0</v>
      </c>
      <c r="R57" s="126">
        <v>0.0</v>
      </c>
      <c r="S57" s="126">
        <v>0.0</v>
      </c>
      <c r="T57" s="126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2" t="s">
        <v>31</v>
      </c>
      <c r="C58" s="102"/>
      <c r="D58" s="59"/>
      <c r="E58" s="75"/>
      <c r="F58" s="102" t="s">
        <v>72</v>
      </c>
      <c r="G58" s="126">
        <v>0.0</v>
      </c>
      <c r="H58" s="126">
        <v>0.0</v>
      </c>
      <c r="I58" s="126">
        <v>0.0</v>
      </c>
      <c r="J58" s="126">
        <v>0.0</v>
      </c>
      <c r="K58" s="126">
        <v>0.0</v>
      </c>
      <c r="L58" s="126">
        <v>0.0</v>
      </c>
      <c r="M58" s="126">
        <v>0.0</v>
      </c>
      <c r="N58" s="126">
        <v>0.0</v>
      </c>
      <c r="O58" s="126">
        <v>0.0</v>
      </c>
      <c r="P58" s="126">
        <v>0.0</v>
      </c>
      <c r="Q58" s="126">
        <v>0.0</v>
      </c>
      <c r="R58" s="126">
        <v>0.0</v>
      </c>
      <c r="S58" s="126">
        <v>0.0</v>
      </c>
      <c r="T58" s="126">
        <v>0.0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10" t="s">
        <v>30</v>
      </c>
      <c r="B59" s="110" t="s">
        <v>31</v>
      </c>
      <c r="C59" s="110" t="s">
        <v>73</v>
      </c>
      <c r="D59" s="99" t="s">
        <v>49</v>
      </c>
      <c r="E59" s="84"/>
      <c r="F59" s="110" t="s">
        <v>73</v>
      </c>
      <c r="G59" s="126">
        <v>0.0</v>
      </c>
      <c r="H59" s="126">
        <v>0.0</v>
      </c>
      <c r="I59" s="126">
        <v>0.0</v>
      </c>
      <c r="J59" s="126">
        <v>0.0</v>
      </c>
      <c r="K59" s="126">
        <v>0.0</v>
      </c>
      <c r="L59" s="126">
        <v>0.0</v>
      </c>
      <c r="M59" s="126">
        <v>0.0</v>
      </c>
      <c r="N59" s="126">
        <v>0.0</v>
      </c>
      <c r="O59" s="126">
        <v>0.0</v>
      </c>
      <c r="P59" s="126">
        <v>0.0</v>
      </c>
      <c r="Q59" s="126">
        <v>0.0</v>
      </c>
      <c r="R59" s="126">
        <v>0.0</v>
      </c>
      <c r="S59" s="126">
        <v>0.0</v>
      </c>
      <c r="T59" s="126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11" t="s">
        <v>30</v>
      </c>
      <c r="B60" s="111" t="s">
        <v>31</v>
      </c>
      <c r="C60" s="111" t="s">
        <v>73</v>
      </c>
      <c r="D60" s="112"/>
      <c r="E60" s="84"/>
      <c r="F60" s="111" t="s">
        <v>74</v>
      </c>
      <c r="G60" s="126">
        <v>0.0</v>
      </c>
      <c r="H60" s="126">
        <v>0.0</v>
      </c>
      <c r="I60" s="126">
        <v>0.0</v>
      </c>
      <c r="J60" s="126">
        <v>0.0</v>
      </c>
      <c r="K60" s="126">
        <v>0.0</v>
      </c>
      <c r="L60" s="126">
        <v>0.0</v>
      </c>
      <c r="M60" s="126">
        <v>0.0</v>
      </c>
      <c r="N60" s="126">
        <v>0.0</v>
      </c>
      <c r="O60" s="126">
        <v>0.0</v>
      </c>
      <c r="P60" s="126">
        <v>0.0</v>
      </c>
      <c r="Q60" s="126">
        <v>0.0</v>
      </c>
      <c r="R60" s="126">
        <v>0.0</v>
      </c>
      <c r="S60" s="126">
        <v>0.0</v>
      </c>
      <c r="T60" s="126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11" t="s">
        <v>30</v>
      </c>
      <c r="B61" s="111" t="s">
        <v>31</v>
      </c>
      <c r="C61" s="111" t="s">
        <v>73</v>
      </c>
      <c r="D61" s="112"/>
      <c r="E61" s="84"/>
      <c r="F61" s="111" t="s">
        <v>75</v>
      </c>
      <c r="G61" s="126">
        <v>0.0</v>
      </c>
      <c r="H61" s="126">
        <v>0.0</v>
      </c>
      <c r="I61" s="126">
        <v>0.0</v>
      </c>
      <c r="J61" s="126">
        <v>0.0</v>
      </c>
      <c r="K61" s="126">
        <v>0.0</v>
      </c>
      <c r="L61" s="126">
        <v>0.0</v>
      </c>
      <c r="M61" s="126">
        <v>0.0</v>
      </c>
      <c r="N61" s="126">
        <v>0.0</v>
      </c>
      <c r="O61" s="126">
        <v>0.0</v>
      </c>
      <c r="P61" s="126">
        <v>0.0</v>
      </c>
      <c r="Q61" s="126">
        <v>0.0</v>
      </c>
      <c r="R61" s="126">
        <v>0.0</v>
      </c>
      <c r="S61" s="126">
        <v>0.0</v>
      </c>
      <c r="T61" s="126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73</v>
      </c>
      <c r="D62" s="112"/>
      <c r="E62" s="84"/>
      <c r="F62" s="111" t="s">
        <v>76</v>
      </c>
      <c r="G62" s="126">
        <v>0.0</v>
      </c>
      <c r="H62" s="126">
        <v>0.0</v>
      </c>
      <c r="I62" s="126">
        <v>0.0</v>
      </c>
      <c r="J62" s="126">
        <v>0.0</v>
      </c>
      <c r="K62" s="126">
        <v>0.0</v>
      </c>
      <c r="L62" s="126">
        <v>0.0</v>
      </c>
      <c r="M62" s="126">
        <v>0.0</v>
      </c>
      <c r="N62" s="126">
        <v>0.0</v>
      </c>
      <c r="O62" s="126">
        <v>0.0</v>
      </c>
      <c r="P62" s="126">
        <v>0.0</v>
      </c>
      <c r="Q62" s="126">
        <v>0.0</v>
      </c>
      <c r="R62" s="126">
        <v>0.0</v>
      </c>
      <c r="S62" s="126">
        <v>0.0</v>
      </c>
      <c r="T62" s="126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73</v>
      </c>
      <c r="D63" s="112"/>
      <c r="E63" s="84"/>
      <c r="F63" s="113" t="s">
        <v>77</v>
      </c>
      <c r="G63" s="126">
        <v>0.0</v>
      </c>
      <c r="H63" s="126">
        <v>0.0</v>
      </c>
      <c r="I63" s="126">
        <v>0.0</v>
      </c>
      <c r="J63" s="126">
        <v>0.0</v>
      </c>
      <c r="K63" s="126">
        <v>0.0</v>
      </c>
      <c r="L63" s="126">
        <v>0.0</v>
      </c>
      <c r="M63" s="126">
        <v>0.0</v>
      </c>
      <c r="N63" s="126">
        <v>0.0</v>
      </c>
      <c r="O63" s="126">
        <v>0.0</v>
      </c>
      <c r="P63" s="126">
        <v>0.0</v>
      </c>
      <c r="Q63" s="126">
        <v>0.0</v>
      </c>
      <c r="R63" s="126">
        <v>0.0</v>
      </c>
      <c r="S63" s="126">
        <v>0.0</v>
      </c>
      <c r="T63" s="126">
        <v>0.0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73</v>
      </c>
      <c r="D64" s="112"/>
      <c r="E64" s="84"/>
      <c r="F64" s="113" t="s">
        <v>78</v>
      </c>
      <c r="G64" s="126">
        <v>0.0</v>
      </c>
      <c r="H64" s="126">
        <v>0.0</v>
      </c>
      <c r="I64" s="126">
        <v>0.0</v>
      </c>
      <c r="J64" s="126">
        <v>0.0</v>
      </c>
      <c r="K64" s="126">
        <v>0.0</v>
      </c>
      <c r="L64" s="126">
        <v>0.0</v>
      </c>
      <c r="M64" s="126">
        <v>0.0</v>
      </c>
      <c r="N64" s="126">
        <v>0.0</v>
      </c>
      <c r="O64" s="126">
        <v>0.0</v>
      </c>
      <c r="P64" s="126">
        <v>0.0</v>
      </c>
      <c r="Q64" s="126">
        <v>0.0</v>
      </c>
      <c r="R64" s="126">
        <v>0.0</v>
      </c>
      <c r="S64" s="126">
        <v>0.0</v>
      </c>
      <c r="T64" s="126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00" t="s">
        <v>30</v>
      </c>
      <c r="B65" s="100" t="s">
        <v>31</v>
      </c>
      <c r="C65" s="100" t="s">
        <v>79</v>
      </c>
      <c r="D65" s="114" t="s">
        <v>49</v>
      </c>
      <c r="E65" s="75"/>
      <c r="F65" s="100" t="s">
        <v>79</v>
      </c>
      <c r="G65" s="126">
        <v>0.0</v>
      </c>
      <c r="H65" s="126">
        <v>0.0</v>
      </c>
      <c r="I65" s="126">
        <v>0.0</v>
      </c>
      <c r="J65" s="126">
        <v>0.0</v>
      </c>
      <c r="K65" s="126">
        <v>0.0</v>
      </c>
      <c r="L65" s="126">
        <v>0.0</v>
      </c>
      <c r="M65" s="126">
        <v>0.0</v>
      </c>
      <c r="N65" s="126">
        <v>0.0</v>
      </c>
      <c r="O65" s="126">
        <v>0.0</v>
      </c>
      <c r="P65" s="126">
        <v>0.0</v>
      </c>
      <c r="Q65" s="126">
        <v>0.0</v>
      </c>
      <c r="R65" s="126">
        <v>0.0</v>
      </c>
      <c r="S65" s="126">
        <v>0.0</v>
      </c>
      <c r="T65" s="126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10" t="s">
        <v>30</v>
      </c>
      <c r="B66" s="110" t="s">
        <v>31</v>
      </c>
      <c r="C66" s="115" t="s">
        <v>80</v>
      </c>
      <c r="D66" s="116" t="s">
        <v>49</v>
      </c>
      <c r="E66" s="117"/>
      <c r="F66" s="115" t="s">
        <v>80</v>
      </c>
      <c r="G66" s="126">
        <v>0.0</v>
      </c>
      <c r="H66" s="126">
        <v>0.0</v>
      </c>
      <c r="I66" s="126">
        <v>0.0</v>
      </c>
      <c r="J66" s="126">
        <v>0.0</v>
      </c>
      <c r="K66" s="126">
        <v>0.0</v>
      </c>
      <c r="L66" s="126">
        <v>0.0</v>
      </c>
      <c r="M66" s="126">
        <v>0.0</v>
      </c>
      <c r="N66" s="126">
        <v>0.0</v>
      </c>
      <c r="O66" s="126">
        <v>0.0</v>
      </c>
      <c r="P66" s="126">
        <v>0.0</v>
      </c>
      <c r="Q66" s="126">
        <v>0.0</v>
      </c>
      <c r="R66" s="126">
        <v>0.0</v>
      </c>
      <c r="S66" s="126">
        <v>0.0</v>
      </c>
      <c r="T66" s="126">
        <v>0.0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11" t="s">
        <v>30</v>
      </c>
      <c r="B67" s="111" t="s">
        <v>31</v>
      </c>
      <c r="C67" s="113" t="s">
        <v>80</v>
      </c>
      <c r="D67" s="112"/>
      <c r="E67" s="84"/>
      <c r="F67" s="113" t="s">
        <v>81</v>
      </c>
      <c r="G67" s="126">
        <v>0.0</v>
      </c>
      <c r="H67" s="126">
        <v>0.0</v>
      </c>
      <c r="I67" s="126">
        <v>0.0</v>
      </c>
      <c r="J67" s="126">
        <v>0.0</v>
      </c>
      <c r="K67" s="126">
        <v>0.0</v>
      </c>
      <c r="L67" s="126">
        <v>0.0</v>
      </c>
      <c r="M67" s="126">
        <v>0.0</v>
      </c>
      <c r="N67" s="126">
        <v>0.0</v>
      </c>
      <c r="O67" s="126">
        <v>0.0</v>
      </c>
      <c r="P67" s="126">
        <v>0.0</v>
      </c>
      <c r="Q67" s="126">
        <v>0.0</v>
      </c>
      <c r="R67" s="126">
        <v>0.0</v>
      </c>
      <c r="S67" s="126">
        <v>0.0</v>
      </c>
      <c r="T67" s="126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80</v>
      </c>
      <c r="D68" s="118"/>
      <c r="E68" s="84"/>
      <c r="F68" s="113" t="s">
        <v>82</v>
      </c>
      <c r="G68" s="126">
        <v>0.0</v>
      </c>
      <c r="H68" s="126">
        <v>0.0</v>
      </c>
      <c r="I68" s="126">
        <v>0.0</v>
      </c>
      <c r="J68" s="126">
        <v>0.0</v>
      </c>
      <c r="K68" s="126">
        <v>0.0</v>
      </c>
      <c r="L68" s="126">
        <v>0.0</v>
      </c>
      <c r="M68" s="126">
        <v>0.0</v>
      </c>
      <c r="N68" s="126">
        <v>0.0</v>
      </c>
      <c r="O68" s="126">
        <v>0.0</v>
      </c>
      <c r="P68" s="126">
        <v>0.0</v>
      </c>
      <c r="Q68" s="126">
        <v>0.0</v>
      </c>
      <c r="R68" s="126">
        <v>0.0</v>
      </c>
      <c r="S68" s="126">
        <v>0.0</v>
      </c>
      <c r="T68" s="126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05" t="s">
        <v>30</v>
      </c>
      <c r="B69" s="105" t="s">
        <v>32</v>
      </c>
      <c r="C69" s="105"/>
      <c r="D69" s="107" t="s">
        <v>49</v>
      </c>
      <c r="E69" s="81"/>
      <c r="F69" s="105" t="s">
        <v>32</v>
      </c>
      <c r="G69" s="126">
        <v>0.0</v>
      </c>
      <c r="H69" s="126">
        <v>0.0</v>
      </c>
      <c r="I69" s="126">
        <v>0.0</v>
      </c>
      <c r="J69" s="126">
        <v>0.0</v>
      </c>
      <c r="K69" s="126">
        <v>0.0</v>
      </c>
      <c r="L69" s="126">
        <v>0.0</v>
      </c>
      <c r="M69" s="126">
        <v>0.0</v>
      </c>
      <c r="N69" s="126">
        <v>0.0</v>
      </c>
      <c r="O69" s="126">
        <v>0.0</v>
      </c>
      <c r="P69" s="126">
        <v>0.0</v>
      </c>
      <c r="Q69" s="126">
        <v>0.0</v>
      </c>
      <c r="R69" s="126">
        <v>0.0</v>
      </c>
      <c r="S69" s="126">
        <v>0.0</v>
      </c>
      <c r="T69" s="126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2" t="s">
        <v>83</v>
      </c>
      <c r="G70" s="126">
        <v>0.0</v>
      </c>
      <c r="H70" s="126">
        <v>0.0</v>
      </c>
      <c r="I70" s="126">
        <v>0.0</v>
      </c>
      <c r="J70" s="126">
        <v>0.0</v>
      </c>
      <c r="K70" s="126">
        <v>0.0</v>
      </c>
      <c r="L70" s="126">
        <v>0.0</v>
      </c>
      <c r="M70" s="126">
        <v>0.0</v>
      </c>
      <c r="N70" s="126">
        <v>0.0</v>
      </c>
      <c r="O70" s="126">
        <v>0.0</v>
      </c>
      <c r="P70" s="126">
        <v>0.0</v>
      </c>
      <c r="Q70" s="126">
        <v>0.0</v>
      </c>
      <c r="R70" s="126">
        <v>0.0</v>
      </c>
      <c r="S70" s="126">
        <v>0.0</v>
      </c>
      <c r="T70" s="126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126">
        <v>0.0</v>
      </c>
      <c r="H71" s="126">
        <v>0.0</v>
      </c>
      <c r="I71" s="126">
        <v>0.0</v>
      </c>
      <c r="J71" s="126">
        <v>0.0</v>
      </c>
      <c r="K71" s="126">
        <v>0.0</v>
      </c>
      <c r="L71" s="126">
        <v>0.0</v>
      </c>
      <c r="M71" s="126">
        <v>0.0</v>
      </c>
      <c r="N71" s="126">
        <v>0.0</v>
      </c>
      <c r="O71" s="126">
        <v>0.0</v>
      </c>
      <c r="P71" s="126">
        <v>0.0</v>
      </c>
      <c r="Q71" s="126">
        <v>0.0</v>
      </c>
      <c r="R71" s="126">
        <v>0.0</v>
      </c>
      <c r="S71" s="126">
        <v>0.0</v>
      </c>
      <c r="T71" s="126">
        <v>0.0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126">
        <v>0.0</v>
      </c>
      <c r="H72" s="126">
        <v>0.0</v>
      </c>
      <c r="I72" s="126">
        <v>0.0</v>
      </c>
      <c r="J72" s="126">
        <v>0.0</v>
      </c>
      <c r="K72" s="126">
        <v>0.0</v>
      </c>
      <c r="L72" s="126">
        <v>0.0</v>
      </c>
      <c r="M72" s="126">
        <v>0.0</v>
      </c>
      <c r="N72" s="126">
        <v>0.0</v>
      </c>
      <c r="O72" s="126">
        <v>0.0</v>
      </c>
      <c r="P72" s="126">
        <v>0.0</v>
      </c>
      <c r="Q72" s="126">
        <v>0.0</v>
      </c>
      <c r="R72" s="126">
        <v>0.0</v>
      </c>
      <c r="S72" s="126">
        <v>0.0</v>
      </c>
      <c r="T72" s="126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10" t="s">
        <v>30</v>
      </c>
      <c r="B73" s="110" t="s">
        <v>32</v>
      </c>
      <c r="C73" s="110" t="s">
        <v>86</v>
      </c>
      <c r="D73" s="99" t="s">
        <v>49</v>
      </c>
      <c r="E73" s="84"/>
      <c r="F73" s="110" t="s">
        <v>86</v>
      </c>
      <c r="G73" s="126">
        <v>0.0</v>
      </c>
      <c r="H73" s="126">
        <v>0.0</v>
      </c>
      <c r="I73" s="126">
        <v>0.0</v>
      </c>
      <c r="J73" s="126">
        <v>0.0</v>
      </c>
      <c r="K73" s="126">
        <v>0.0</v>
      </c>
      <c r="L73" s="126">
        <v>0.0</v>
      </c>
      <c r="M73" s="126">
        <v>0.0</v>
      </c>
      <c r="N73" s="126">
        <v>0.0</v>
      </c>
      <c r="O73" s="126">
        <v>0.0</v>
      </c>
      <c r="P73" s="126">
        <v>0.0</v>
      </c>
      <c r="Q73" s="126">
        <v>0.0</v>
      </c>
      <c r="R73" s="126">
        <v>0.0</v>
      </c>
      <c r="S73" s="126">
        <v>0.0</v>
      </c>
      <c r="T73" s="126">
        <v>0.0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19"/>
      <c r="B74" s="119"/>
      <c r="C74" s="119"/>
      <c r="D74" s="1"/>
      <c r="E74" s="119"/>
      <c r="F74" s="11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1"/>
      <c r="V74" s="121"/>
      <c r="W74" s="121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22"/>
      <c r="B593" s="122"/>
      <c r="C593" s="122"/>
      <c r="D593" s="123"/>
      <c r="E593" s="122"/>
      <c r="F593" s="124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72"/>
      <c r="V593" s="72"/>
      <c r="W593" s="72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5</v>
      </c>
      <c r="G2" s="9">
        <f t="shared" si="1"/>
        <v>2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2</v>
      </c>
      <c r="L2" s="9">
        <f t="shared" si="1"/>
        <v>0</v>
      </c>
      <c r="M2" s="9">
        <f t="shared" si="1"/>
        <v>7</v>
      </c>
      <c r="N2" s="9">
        <f t="shared" si="1"/>
        <v>0</v>
      </c>
      <c r="O2" s="9">
        <f t="shared" si="1"/>
        <v>0</v>
      </c>
      <c r="P2" s="9">
        <f t="shared" si="1"/>
        <v>2</v>
      </c>
      <c r="Q2" s="9">
        <f t="shared" si="1"/>
        <v>0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0</v>
      </c>
      <c r="F4" s="23">
        <f>IFERROR((G2+R2)/F2,0)</f>
        <v>0.6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3.5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2</v>
      </c>
      <c r="G5" s="33">
        <f>SUMIF(A:A,B5,H:H)</f>
        <v>1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1</v>
      </c>
      <c r="L5" s="33">
        <f>SUMIF(A:A,B5,S:S)</f>
        <v>0</v>
      </c>
      <c r="M5" s="33">
        <f>SUMIF(A:A,B5,M:M)</f>
        <v>5</v>
      </c>
      <c r="N5" s="33">
        <f>SUMIF(A:A,B5,N:N)</f>
        <v>0</v>
      </c>
      <c r="O5" s="33">
        <f>SUMIF(A:A,B5,O:O)</f>
        <v>0</v>
      </c>
      <c r="P5" s="33">
        <f>SUMIF(A:A,B5,J:J)</f>
        <v>1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0</v>
      </c>
      <c r="F7" s="41">
        <f>IFERROR((G5+R5)/F5,0)</f>
        <v>0.5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5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1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10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3</v>
      </c>
      <c r="G14" s="33">
        <f>SUMIF(A:A,B14,H:H)</f>
        <v>1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1</v>
      </c>
      <c r="L14" s="33">
        <f>SUMIF(A:A,B14,S:S)</f>
        <v>0</v>
      </c>
      <c r="M14" s="33">
        <f>SUMIF(A:A,B14,M:M)</f>
        <v>2</v>
      </c>
      <c r="N14" s="33">
        <f>SUMIF(A:A,B14,N:N)</f>
        <v>0</v>
      </c>
      <c r="O14" s="33">
        <f>SUMIF(A:A,B14,O:O)</f>
        <v>0</v>
      </c>
      <c r="P14" s="33">
        <f>SUMIF(A:A,B14,J:J)</f>
        <v>1</v>
      </c>
      <c r="Q14" s="33">
        <f>SUMIF(A:A,B14,K:K)</f>
        <v>0</v>
      </c>
      <c r="R14" s="34">
        <f>SUMIF(A:A,B14,L:L)</f>
        <v>1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0.6666666667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1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SUMIF(B46:B1137,B20,G46:G1137)</f>
        <v>0</v>
      </c>
      <c r="G20" s="46">
        <f>SUMIF(B46:B1137,B20,H46:H1137)</f>
        <v>0</v>
      </c>
      <c r="H20" s="46">
        <f>SUMIF(B46:B1137,B20,I46:I1137)</f>
        <v>0</v>
      </c>
      <c r="I20" s="46">
        <f>SUMIF(B46:B1137,B20,P46:P1137)</f>
        <v>0</v>
      </c>
      <c r="J20" s="46">
        <f>SUMIF(B46:B1137,B20,Q46:Q1137)</f>
        <v>0</v>
      </c>
      <c r="K20" s="46">
        <f>SUMIF(B46:B1137,B20,R46:R1137)</f>
        <v>0</v>
      </c>
      <c r="L20" s="46">
        <f>SUMIF(B46:B1137,B20,S46:S1137)</f>
        <v>0</v>
      </c>
      <c r="M20" s="46">
        <f>SUMIF(B46:B1137,B20,M46:M1137)</f>
        <v>0</v>
      </c>
      <c r="N20" s="46">
        <f>SUMIF(B46:B1137,B20,N46:N1137)</f>
        <v>0</v>
      </c>
      <c r="O20" s="46">
        <f>SUMIF(B46:B1137,B20,O46:O1137)</f>
        <v>0</v>
      </c>
      <c r="P20" s="46">
        <f>SUMIF(B46:B1137,B20,J46:J1137)</f>
        <v>0</v>
      </c>
      <c r="Q20" s="46">
        <f>SUMIF(B46:B1137,B20,K46:K1137)</f>
        <v>0</v>
      </c>
      <c r="R20" s="50">
        <f>SUMIF(B46:B1137,B20,L46:L1137)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SUMIF(B49:B1137,B23,G49:G1137)</f>
        <v>0</v>
      </c>
      <c r="G23" s="46">
        <f>SUMIF(B49:B1137,B23,H49:H1137)</f>
        <v>0</v>
      </c>
      <c r="H23" s="46">
        <f>SUMIF(B49:B1137,B23,I49:I1137)</f>
        <v>0</v>
      </c>
      <c r="I23" s="46">
        <f>SUMIF(B49:B1137,B23,P49:P1137)</f>
        <v>0</v>
      </c>
      <c r="J23" s="46">
        <f>SUMIF(B49:B1137,B23,Q49:Q1137)</f>
        <v>0</v>
      </c>
      <c r="K23" s="46">
        <f>SUMIF(B49:B1137,B23,R49:R1137)</f>
        <v>0</v>
      </c>
      <c r="L23" s="46">
        <f>SUMIF(B49:B1137,B23,S49:S1137)</f>
        <v>0</v>
      </c>
      <c r="M23" s="46">
        <f>SUMIF(B49:B1137,B23,M49:M1137)</f>
        <v>0</v>
      </c>
      <c r="N23" s="46">
        <f>SUMIF(B49:B1137,B23,N49:N1137)</f>
        <v>0</v>
      </c>
      <c r="O23" s="46">
        <f>SUMIF(B49:B1137,B23,O49:O1137)</f>
        <v>0</v>
      </c>
      <c r="P23" s="46">
        <f>SUMIF(B49:B1137,B23,J49:J1137)</f>
        <v>0</v>
      </c>
      <c r="Q23" s="46">
        <f>SUMIF(B49:B1137,B23,K49:K1137)</f>
        <v>0</v>
      </c>
      <c r="R23" s="50">
        <f>SUMIF(B49:B1137,B23,L49:L1137)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5" si="3">IFERROR(I28/H28,0)</f>
        <v>0</v>
      </c>
      <c r="V28" s="71">
        <f t="shared" ref="V28:V45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6">
        <v>1.0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6">
        <v>1.0</v>
      </c>
      <c r="H34" s="126">
        <v>1.0</v>
      </c>
      <c r="I34" s="126">
        <v>0.0</v>
      </c>
      <c r="J34" s="126">
        <v>1.0</v>
      </c>
      <c r="K34" s="126">
        <v>0.0</v>
      </c>
      <c r="L34" s="126">
        <v>0.0</v>
      </c>
      <c r="M34" s="126">
        <v>5.0</v>
      </c>
      <c r="N34" s="126">
        <v>0.0</v>
      </c>
      <c r="O34" s="126">
        <v>0.0</v>
      </c>
      <c r="P34" s="126">
        <v>0.0</v>
      </c>
      <c r="Q34" s="126">
        <v>0.0</v>
      </c>
      <c r="R34" s="126">
        <v>1.0</v>
      </c>
      <c r="S34" s="126">
        <v>0.0</v>
      </c>
      <c r="T34" s="126">
        <v>0.0</v>
      </c>
      <c r="U34" s="71">
        <f t="shared" si="3"/>
        <v>0</v>
      </c>
      <c r="V34" s="71">
        <f t="shared" si="4"/>
        <v>1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6">
        <v>0.0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6">
        <v>0.0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71">
        <f t="shared" si="3"/>
        <v>0</v>
      </c>
      <c r="V38" s="71">
        <f t="shared" si="4"/>
        <v>0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8" t="s">
        <v>26</v>
      </c>
      <c r="B41" s="79" t="s">
        <v>27</v>
      </c>
      <c r="C41" s="94"/>
      <c r="D41" s="79" t="s">
        <v>49</v>
      </c>
      <c r="E41" s="95"/>
      <c r="F41" s="79" t="s">
        <v>27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96" t="s">
        <v>26</v>
      </c>
      <c r="B42" s="77" t="s">
        <v>27</v>
      </c>
      <c r="C42" s="75"/>
      <c r="D42" s="75"/>
      <c r="E42" s="75"/>
      <c r="F42" s="77" t="s">
        <v>61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61" t="s">
        <v>33</v>
      </c>
      <c r="B46" s="62" t="s">
        <v>34</v>
      </c>
      <c r="C46" s="62" t="s">
        <v>35</v>
      </c>
      <c r="D46" s="63"/>
      <c r="E46" s="62" t="s">
        <v>36</v>
      </c>
      <c r="F46" s="62" t="s">
        <v>37</v>
      </c>
      <c r="G46" s="64" t="s">
        <v>38</v>
      </c>
      <c r="H46" s="64" t="s">
        <v>39</v>
      </c>
      <c r="I46" s="64" t="s">
        <v>40</v>
      </c>
      <c r="J46" s="64" t="s">
        <v>12</v>
      </c>
      <c r="K46" s="64" t="s">
        <v>41</v>
      </c>
      <c r="L46" s="64" t="s">
        <v>14</v>
      </c>
      <c r="M46" s="64" t="s">
        <v>9</v>
      </c>
      <c r="N46" s="64" t="s">
        <v>10</v>
      </c>
      <c r="O46" s="64" t="s">
        <v>42</v>
      </c>
      <c r="P46" s="64" t="s">
        <v>5</v>
      </c>
      <c r="Q46" s="64" t="s">
        <v>43</v>
      </c>
      <c r="R46" s="64" t="s">
        <v>44</v>
      </c>
      <c r="S46" s="64" t="s">
        <v>45</v>
      </c>
      <c r="T46" s="64" t="s">
        <v>0</v>
      </c>
      <c r="U46" s="62" t="s">
        <v>46</v>
      </c>
      <c r="V46" s="62" t="s">
        <v>47</v>
      </c>
      <c r="W46" s="97"/>
    </row>
    <row r="47" ht="12.75" customHeight="1">
      <c r="A47" s="66" t="s">
        <v>29</v>
      </c>
      <c r="B47" s="67"/>
      <c r="C47" s="67"/>
      <c r="D47" s="68" t="s">
        <v>49</v>
      </c>
      <c r="E47" s="69"/>
      <c r="F47" s="68" t="s">
        <v>29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ref="U47:U50" si="5">IFERROR(I47/H47,0)</f>
        <v>0</v>
      </c>
      <c r="V47" s="71">
        <f t="shared" ref="V47:V50" si="6">IFERROR(SUM(H47+L47)/G47,0)</f>
        <v>0</v>
      </c>
      <c r="W47" s="72"/>
    </row>
    <row r="48" ht="12.75" customHeight="1">
      <c r="A48" s="73" t="s">
        <v>29</v>
      </c>
      <c r="B48" s="77"/>
      <c r="C48" s="75"/>
      <c r="D48" s="75"/>
      <c r="E48" s="75"/>
      <c r="F48" s="77" t="s">
        <v>65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5"/>
        <v>0</v>
      </c>
      <c r="V48" s="71">
        <f t="shared" si="6"/>
        <v>0</v>
      </c>
      <c r="W48" s="72"/>
    </row>
    <row r="49" ht="12.75" customHeight="1">
      <c r="A49" s="82" t="s">
        <v>29</v>
      </c>
      <c r="B49" s="84"/>
      <c r="C49" s="98" t="s">
        <v>66</v>
      </c>
      <c r="D49" s="99" t="s">
        <v>49</v>
      </c>
      <c r="E49" s="84"/>
      <c r="F49" s="98" t="s">
        <v>66</v>
      </c>
      <c r="G49" s="126">
        <v>3.0</v>
      </c>
      <c r="H49" s="126">
        <v>1.0</v>
      </c>
      <c r="I49" s="126">
        <v>0.0</v>
      </c>
      <c r="J49" s="126">
        <v>1.0</v>
      </c>
      <c r="K49" s="126">
        <v>0.0</v>
      </c>
      <c r="L49" s="126">
        <v>1.0</v>
      </c>
      <c r="M49" s="126">
        <v>2.0</v>
      </c>
      <c r="N49" s="126">
        <v>0.0</v>
      </c>
      <c r="O49" s="126">
        <v>0.0</v>
      </c>
      <c r="P49" s="126">
        <v>0.0</v>
      </c>
      <c r="Q49" s="126">
        <v>0.0</v>
      </c>
      <c r="R49" s="126">
        <v>1.0</v>
      </c>
      <c r="S49" s="126">
        <v>0.0</v>
      </c>
      <c r="T49" s="126">
        <v>0.0</v>
      </c>
      <c r="U49" s="71">
        <f t="shared" si="5"/>
        <v>0</v>
      </c>
      <c r="V49" s="71">
        <f t="shared" si="6"/>
        <v>0.6666666667</v>
      </c>
      <c r="W49" s="72"/>
    </row>
    <row r="50" ht="12.75" customHeight="1">
      <c r="A50" s="85" t="s">
        <v>29</v>
      </c>
      <c r="B50" s="86"/>
      <c r="C50" s="86" t="s">
        <v>66</v>
      </c>
      <c r="D50" s="84"/>
      <c r="E50" s="84"/>
      <c r="F50" s="88" t="s">
        <v>67</v>
      </c>
      <c r="G50" s="126">
        <v>0.0</v>
      </c>
      <c r="H50" s="126">
        <v>0.0</v>
      </c>
      <c r="I50" s="126">
        <v>0.0</v>
      </c>
      <c r="J50" s="126">
        <v>0.0</v>
      </c>
      <c r="K50" s="126">
        <v>0.0</v>
      </c>
      <c r="L50" s="126">
        <v>0.0</v>
      </c>
      <c r="M50" s="126">
        <v>0.0</v>
      </c>
      <c r="N50" s="126">
        <v>0.0</v>
      </c>
      <c r="O50" s="126">
        <v>0.0</v>
      </c>
      <c r="P50" s="126">
        <v>0.0</v>
      </c>
      <c r="Q50" s="126">
        <v>0.0</v>
      </c>
      <c r="R50" s="126">
        <v>0.0</v>
      </c>
      <c r="S50" s="126">
        <v>0.0</v>
      </c>
      <c r="T50" s="126">
        <v>0.0</v>
      </c>
      <c r="U50" s="71">
        <f t="shared" si="5"/>
        <v>0</v>
      </c>
      <c r="V50" s="71">
        <f t="shared" si="6"/>
        <v>0</v>
      </c>
      <c r="W50" s="72"/>
    </row>
    <row r="51" ht="20.25" customHeight="1">
      <c r="A51" s="61" t="s">
        <v>33</v>
      </c>
      <c r="B51" s="62" t="s">
        <v>34</v>
      </c>
      <c r="C51" s="62" t="s">
        <v>35</v>
      </c>
      <c r="D51" s="63"/>
      <c r="E51" s="62" t="s">
        <v>36</v>
      </c>
      <c r="F51" s="62" t="s">
        <v>37</v>
      </c>
      <c r="G51" s="64" t="s">
        <v>38</v>
      </c>
      <c r="H51" s="64" t="s">
        <v>39</v>
      </c>
      <c r="I51" s="64" t="s">
        <v>40</v>
      </c>
      <c r="J51" s="64" t="s">
        <v>12</v>
      </c>
      <c r="K51" s="64" t="s">
        <v>41</v>
      </c>
      <c r="L51" s="64" t="s">
        <v>14</v>
      </c>
      <c r="M51" s="64" t="s">
        <v>9</v>
      </c>
      <c r="N51" s="64" t="s">
        <v>10</v>
      </c>
      <c r="O51" s="64" t="s">
        <v>42</v>
      </c>
      <c r="P51" s="64" t="s">
        <v>5</v>
      </c>
      <c r="Q51" s="64" t="s">
        <v>43</v>
      </c>
      <c r="R51" s="64" t="s">
        <v>44</v>
      </c>
      <c r="S51" s="64" t="s">
        <v>45</v>
      </c>
      <c r="T51" s="64" t="s">
        <v>0</v>
      </c>
      <c r="U51" s="62" t="s">
        <v>46</v>
      </c>
      <c r="V51" s="62" t="s">
        <v>47</v>
      </c>
      <c r="W51" s="97"/>
    </row>
    <row r="52" ht="12.75" customHeight="1">
      <c r="A52" s="100" t="s">
        <v>30</v>
      </c>
      <c r="B52" s="59"/>
      <c r="C52" s="59"/>
      <c r="D52" s="101" t="s">
        <v>49</v>
      </c>
      <c r="E52" s="59"/>
      <c r="F52" s="100" t="s">
        <v>30</v>
      </c>
      <c r="G52" s="126">
        <v>0.0</v>
      </c>
      <c r="H52" s="126">
        <v>0.0</v>
      </c>
      <c r="I52" s="126">
        <v>0.0</v>
      </c>
      <c r="J52" s="126">
        <v>0.0</v>
      </c>
      <c r="K52" s="126">
        <v>0.0</v>
      </c>
      <c r="L52" s="126">
        <v>0.0</v>
      </c>
      <c r="M52" s="126">
        <v>0.0</v>
      </c>
      <c r="N52" s="126">
        <v>0.0</v>
      </c>
      <c r="O52" s="126">
        <v>0.0</v>
      </c>
      <c r="P52" s="126">
        <v>0.0</v>
      </c>
      <c r="Q52" s="126">
        <v>0.0</v>
      </c>
      <c r="R52" s="126">
        <v>0.0</v>
      </c>
      <c r="S52" s="126">
        <v>0.0</v>
      </c>
      <c r="T52" s="126">
        <v>0.0</v>
      </c>
      <c r="U52" s="71">
        <f t="shared" ref="U52:U73" si="7">IFERROR(I52/H52,0)</f>
        <v>0</v>
      </c>
      <c r="V52" s="71">
        <f t="shared" ref="V52:V73" si="8">IFERROR(SUM(H52+L52)/G52,0)</f>
        <v>0</v>
      </c>
      <c r="W52" s="72"/>
    </row>
    <row r="53" ht="12.75" customHeight="1">
      <c r="A53" s="102" t="s">
        <v>30</v>
      </c>
      <c r="B53" s="59"/>
      <c r="C53" s="59"/>
      <c r="D53" s="58"/>
      <c r="E53" s="75"/>
      <c r="F53" s="102" t="s">
        <v>68</v>
      </c>
      <c r="G53" s="126">
        <v>0.0</v>
      </c>
      <c r="H53" s="126">
        <v>0.0</v>
      </c>
      <c r="I53" s="126">
        <v>0.0</v>
      </c>
      <c r="J53" s="126">
        <v>0.0</v>
      </c>
      <c r="K53" s="126">
        <v>0.0</v>
      </c>
      <c r="L53" s="126">
        <v>0.0</v>
      </c>
      <c r="M53" s="126">
        <v>0.0</v>
      </c>
      <c r="N53" s="126">
        <v>0.0</v>
      </c>
      <c r="O53" s="126">
        <v>0.0</v>
      </c>
      <c r="P53" s="126">
        <v>0.0</v>
      </c>
      <c r="Q53" s="126">
        <v>0.0</v>
      </c>
      <c r="R53" s="126">
        <v>0.0</v>
      </c>
      <c r="S53" s="126">
        <v>0.0</v>
      </c>
      <c r="T53" s="126">
        <v>0.0</v>
      </c>
      <c r="U53" s="71">
        <f t="shared" si="7"/>
        <v>0</v>
      </c>
      <c r="V53" s="71">
        <f t="shared" si="8"/>
        <v>0</v>
      </c>
      <c r="W53" s="72"/>
    </row>
    <row r="54" ht="12.75" customHeight="1">
      <c r="A54" s="103" t="s">
        <v>30</v>
      </c>
      <c r="B54" s="103"/>
      <c r="C54" s="103"/>
      <c r="D54" s="58"/>
      <c r="E54" s="75"/>
      <c r="F54" s="104" t="s">
        <v>69</v>
      </c>
      <c r="G54" s="126">
        <v>0.0</v>
      </c>
      <c r="H54" s="126">
        <v>0.0</v>
      </c>
      <c r="I54" s="126">
        <v>0.0</v>
      </c>
      <c r="J54" s="126">
        <v>0.0</v>
      </c>
      <c r="K54" s="126">
        <v>0.0</v>
      </c>
      <c r="L54" s="126">
        <v>0.0</v>
      </c>
      <c r="M54" s="126">
        <v>0.0</v>
      </c>
      <c r="N54" s="126">
        <v>0.0</v>
      </c>
      <c r="O54" s="126">
        <v>0.0</v>
      </c>
      <c r="P54" s="126">
        <v>0.0</v>
      </c>
      <c r="Q54" s="126">
        <v>0.0</v>
      </c>
      <c r="R54" s="126">
        <v>0.0</v>
      </c>
      <c r="S54" s="126">
        <v>0.0</v>
      </c>
      <c r="T54" s="126">
        <v>0.0</v>
      </c>
      <c r="U54" s="71">
        <f t="shared" si="7"/>
        <v>0</v>
      </c>
      <c r="V54" s="71">
        <f t="shared" si="8"/>
        <v>0</v>
      </c>
      <c r="W54" s="72"/>
    </row>
    <row r="55" ht="12.75" customHeight="1">
      <c r="A55" s="105" t="s">
        <v>30</v>
      </c>
      <c r="B55" s="105" t="s">
        <v>31</v>
      </c>
      <c r="C55" s="106"/>
      <c r="D55" s="107" t="s">
        <v>49</v>
      </c>
      <c r="E55" s="95"/>
      <c r="F55" s="105" t="s">
        <v>31</v>
      </c>
      <c r="G55" s="126">
        <v>0.0</v>
      </c>
      <c r="H55" s="126">
        <v>0.0</v>
      </c>
      <c r="I55" s="126">
        <v>0.0</v>
      </c>
      <c r="J55" s="126">
        <v>0.0</v>
      </c>
      <c r="K55" s="126">
        <v>0.0</v>
      </c>
      <c r="L55" s="126">
        <v>0.0</v>
      </c>
      <c r="M55" s="126">
        <v>0.0</v>
      </c>
      <c r="N55" s="126">
        <v>0.0</v>
      </c>
      <c r="O55" s="126">
        <v>0.0</v>
      </c>
      <c r="P55" s="126">
        <v>0.0</v>
      </c>
      <c r="Q55" s="126">
        <v>0.0</v>
      </c>
      <c r="R55" s="126">
        <v>0.0</v>
      </c>
      <c r="S55" s="126">
        <v>0.0</v>
      </c>
      <c r="T55" s="126">
        <v>0.0</v>
      </c>
      <c r="U55" s="71">
        <f t="shared" si="7"/>
        <v>0</v>
      </c>
      <c r="V55" s="71">
        <f t="shared" si="8"/>
        <v>0</v>
      </c>
      <c r="W55" s="72"/>
    </row>
    <row r="56" ht="12.75" customHeight="1">
      <c r="A56" s="102" t="s">
        <v>30</v>
      </c>
      <c r="B56" s="103" t="s">
        <v>31</v>
      </c>
      <c r="C56" s="103"/>
      <c r="D56" s="108"/>
      <c r="E56" s="69"/>
      <c r="F56" s="109" t="s">
        <v>70</v>
      </c>
      <c r="G56" s="126">
        <v>0.0</v>
      </c>
      <c r="H56" s="126">
        <v>0.0</v>
      </c>
      <c r="I56" s="126">
        <v>0.0</v>
      </c>
      <c r="J56" s="126">
        <v>0.0</v>
      </c>
      <c r="K56" s="126">
        <v>0.0</v>
      </c>
      <c r="L56" s="126">
        <v>0.0</v>
      </c>
      <c r="M56" s="126">
        <v>0.0</v>
      </c>
      <c r="N56" s="126">
        <v>0.0</v>
      </c>
      <c r="O56" s="126">
        <v>0.0</v>
      </c>
      <c r="P56" s="126">
        <v>0.0</v>
      </c>
      <c r="Q56" s="126">
        <v>0.0</v>
      </c>
      <c r="R56" s="126">
        <v>0.0</v>
      </c>
      <c r="S56" s="126">
        <v>0.0</v>
      </c>
      <c r="T56" s="126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102" t="s">
        <v>31</v>
      </c>
      <c r="C57" s="59"/>
      <c r="D57" s="59"/>
      <c r="E57" s="75"/>
      <c r="F57" s="102" t="s">
        <v>71</v>
      </c>
      <c r="G57" s="126">
        <v>0.0</v>
      </c>
      <c r="H57" s="126">
        <v>0.0</v>
      </c>
      <c r="I57" s="126">
        <v>0.0</v>
      </c>
      <c r="J57" s="126">
        <v>0.0</v>
      </c>
      <c r="K57" s="126">
        <v>0.0</v>
      </c>
      <c r="L57" s="126">
        <v>0.0</v>
      </c>
      <c r="M57" s="126">
        <v>0.0</v>
      </c>
      <c r="N57" s="126">
        <v>0.0</v>
      </c>
      <c r="O57" s="126">
        <v>0.0</v>
      </c>
      <c r="P57" s="126">
        <v>0.0</v>
      </c>
      <c r="Q57" s="126">
        <v>0.0</v>
      </c>
      <c r="R57" s="126">
        <v>0.0</v>
      </c>
      <c r="S57" s="126">
        <v>0.0</v>
      </c>
      <c r="T57" s="126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2" t="s">
        <v>31</v>
      </c>
      <c r="C58" s="102"/>
      <c r="D58" s="59"/>
      <c r="E58" s="75"/>
      <c r="F58" s="102" t="s">
        <v>72</v>
      </c>
      <c r="G58" s="126">
        <v>0.0</v>
      </c>
      <c r="H58" s="126">
        <v>0.0</v>
      </c>
      <c r="I58" s="126">
        <v>0.0</v>
      </c>
      <c r="J58" s="126">
        <v>0.0</v>
      </c>
      <c r="K58" s="126">
        <v>0.0</v>
      </c>
      <c r="L58" s="126">
        <v>0.0</v>
      </c>
      <c r="M58" s="126">
        <v>0.0</v>
      </c>
      <c r="N58" s="126">
        <v>0.0</v>
      </c>
      <c r="O58" s="126">
        <v>0.0</v>
      </c>
      <c r="P58" s="126">
        <v>0.0</v>
      </c>
      <c r="Q58" s="126">
        <v>0.0</v>
      </c>
      <c r="R58" s="126">
        <v>0.0</v>
      </c>
      <c r="S58" s="126">
        <v>0.0</v>
      </c>
      <c r="T58" s="126">
        <v>0.0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10" t="s">
        <v>30</v>
      </c>
      <c r="B59" s="110" t="s">
        <v>31</v>
      </c>
      <c r="C59" s="110" t="s">
        <v>73</v>
      </c>
      <c r="D59" s="99" t="s">
        <v>49</v>
      </c>
      <c r="E59" s="84"/>
      <c r="F59" s="110" t="s">
        <v>73</v>
      </c>
      <c r="G59" s="126">
        <v>0.0</v>
      </c>
      <c r="H59" s="126">
        <v>0.0</v>
      </c>
      <c r="I59" s="126">
        <v>0.0</v>
      </c>
      <c r="J59" s="126">
        <v>0.0</v>
      </c>
      <c r="K59" s="126">
        <v>0.0</v>
      </c>
      <c r="L59" s="126">
        <v>0.0</v>
      </c>
      <c r="M59" s="126">
        <v>0.0</v>
      </c>
      <c r="N59" s="126">
        <v>0.0</v>
      </c>
      <c r="O59" s="126">
        <v>0.0</v>
      </c>
      <c r="P59" s="126">
        <v>0.0</v>
      </c>
      <c r="Q59" s="126">
        <v>0.0</v>
      </c>
      <c r="R59" s="126">
        <v>0.0</v>
      </c>
      <c r="S59" s="126">
        <v>0.0</v>
      </c>
      <c r="T59" s="126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11" t="s">
        <v>30</v>
      </c>
      <c r="B60" s="111" t="s">
        <v>31</v>
      </c>
      <c r="C60" s="111" t="s">
        <v>73</v>
      </c>
      <c r="D60" s="112"/>
      <c r="E60" s="84"/>
      <c r="F60" s="111" t="s">
        <v>74</v>
      </c>
      <c r="G60" s="126">
        <v>0.0</v>
      </c>
      <c r="H60" s="126">
        <v>0.0</v>
      </c>
      <c r="I60" s="126">
        <v>0.0</v>
      </c>
      <c r="J60" s="126">
        <v>0.0</v>
      </c>
      <c r="K60" s="126">
        <v>0.0</v>
      </c>
      <c r="L60" s="126">
        <v>0.0</v>
      </c>
      <c r="M60" s="126">
        <v>0.0</v>
      </c>
      <c r="N60" s="126">
        <v>0.0</v>
      </c>
      <c r="O60" s="126">
        <v>0.0</v>
      </c>
      <c r="P60" s="126">
        <v>0.0</v>
      </c>
      <c r="Q60" s="126">
        <v>0.0</v>
      </c>
      <c r="R60" s="126">
        <v>0.0</v>
      </c>
      <c r="S60" s="126">
        <v>0.0</v>
      </c>
      <c r="T60" s="126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11" t="s">
        <v>30</v>
      </c>
      <c r="B61" s="111" t="s">
        <v>31</v>
      </c>
      <c r="C61" s="111" t="s">
        <v>73</v>
      </c>
      <c r="D61" s="112"/>
      <c r="E61" s="84"/>
      <c r="F61" s="111" t="s">
        <v>75</v>
      </c>
      <c r="G61" s="126">
        <v>0.0</v>
      </c>
      <c r="H61" s="126">
        <v>0.0</v>
      </c>
      <c r="I61" s="126">
        <v>0.0</v>
      </c>
      <c r="J61" s="126">
        <v>0.0</v>
      </c>
      <c r="K61" s="126">
        <v>0.0</v>
      </c>
      <c r="L61" s="126">
        <v>0.0</v>
      </c>
      <c r="M61" s="126">
        <v>0.0</v>
      </c>
      <c r="N61" s="126">
        <v>0.0</v>
      </c>
      <c r="O61" s="126">
        <v>0.0</v>
      </c>
      <c r="P61" s="126">
        <v>0.0</v>
      </c>
      <c r="Q61" s="126">
        <v>0.0</v>
      </c>
      <c r="R61" s="126">
        <v>0.0</v>
      </c>
      <c r="S61" s="126">
        <v>0.0</v>
      </c>
      <c r="T61" s="126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73</v>
      </c>
      <c r="D62" s="112"/>
      <c r="E62" s="84"/>
      <c r="F62" s="111" t="s">
        <v>76</v>
      </c>
      <c r="G62" s="126">
        <v>0.0</v>
      </c>
      <c r="H62" s="126">
        <v>0.0</v>
      </c>
      <c r="I62" s="126">
        <v>0.0</v>
      </c>
      <c r="J62" s="126">
        <v>0.0</v>
      </c>
      <c r="K62" s="126">
        <v>0.0</v>
      </c>
      <c r="L62" s="126">
        <v>0.0</v>
      </c>
      <c r="M62" s="126">
        <v>0.0</v>
      </c>
      <c r="N62" s="126">
        <v>0.0</v>
      </c>
      <c r="O62" s="126">
        <v>0.0</v>
      </c>
      <c r="P62" s="126">
        <v>0.0</v>
      </c>
      <c r="Q62" s="126">
        <v>0.0</v>
      </c>
      <c r="R62" s="126">
        <v>0.0</v>
      </c>
      <c r="S62" s="126">
        <v>0.0</v>
      </c>
      <c r="T62" s="126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73</v>
      </c>
      <c r="D63" s="112"/>
      <c r="E63" s="84"/>
      <c r="F63" s="113" t="s">
        <v>77</v>
      </c>
      <c r="G63" s="126">
        <v>0.0</v>
      </c>
      <c r="H63" s="126">
        <v>0.0</v>
      </c>
      <c r="I63" s="126">
        <v>0.0</v>
      </c>
      <c r="J63" s="126">
        <v>0.0</v>
      </c>
      <c r="K63" s="126">
        <v>0.0</v>
      </c>
      <c r="L63" s="126">
        <v>0.0</v>
      </c>
      <c r="M63" s="126">
        <v>0.0</v>
      </c>
      <c r="N63" s="126">
        <v>0.0</v>
      </c>
      <c r="O63" s="126">
        <v>0.0</v>
      </c>
      <c r="P63" s="126">
        <v>0.0</v>
      </c>
      <c r="Q63" s="126">
        <v>0.0</v>
      </c>
      <c r="R63" s="126">
        <v>0.0</v>
      </c>
      <c r="S63" s="126">
        <v>0.0</v>
      </c>
      <c r="T63" s="126">
        <v>0.0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73</v>
      </c>
      <c r="D64" s="112"/>
      <c r="E64" s="84"/>
      <c r="F64" s="113" t="s">
        <v>78</v>
      </c>
      <c r="G64" s="126">
        <v>0.0</v>
      </c>
      <c r="H64" s="126">
        <v>0.0</v>
      </c>
      <c r="I64" s="126">
        <v>0.0</v>
      </c>
      <c r="J64" s="126">
        <v>0.0</v>
      </c>
      <c r="K64" s="126">
        <v>0.0</v>
      </c>
      <c r="L64" s="126">
        <v>0.0</v>
      </c>
      <c r="M64" s="126">
        <v>0.0</v>
      </c>
      <c r="N64" s="126">
        <v>0.0</v>
      </c>
      <c r="O64" s="126">
        <v>0.0</v>
      </c>
      <c r="P64" s="126">
        <v>0.0</v>
      </c>
      <c r="Q64" s="126">
        <v>0.0</v>
      </c>
      <c r="R64" s="126">
        <v>0.0</v>
      </c>
      <c r="S64" s="126">
        <v>0.0</v>
      </c>
      <c r="T64" s="126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00" t="s">
        <v>30</v>
      </c>
      <c r="B65" s="100" t="s">
        <v>31</v>
      </c>
      <c r="C65" s="100" t="s">
        <v>79</v>
      </c>
      <c r="D65" s="114" t="s">
        <v>49</v>
      </c>
      <c r="E65" s="75"/>
      <c r="F65" s="100" t="s">
        <v>79</v>
      </c>
      <c r="G65" s="126">
        <v>0.0</v>
      </c>
      <c r="H65" s="126">
        <v>0.0</v>
      </c>
      <c r="I65" s="126">
        <v>0.0</v>
      </c>
      <c r="J65" s="126">
        <v>0.0</v>
      </c>
      <c r="K65" s="126">
        <v>0.0</v>
      </c>
      <c r="L65" s="126">
        <v>0.0</v>
      </c>
      <c r="M65" s="126">
        <v>0.0</v>
      </c>
      <c r="N65" s="126">
        <v>0.0</v>
      </c>
      <c r="O65" s="126">
        <v>0.0</v>
      </c>
      <c r="P65" s="126">
        <v>0.0</v>
      </c>
      <c r="Q65" s="126">
        <v>0.0</v>
      </c>
      <c r="R65" s="126">
        <v>0.0</v>
      </c>
      <c r="S65" s="126">
        <v>0.0</v>
      </c>
      <c r="T65" s="126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10" t="s">
        <v>30</v>
      </c>
      <c r="B66" s="110" t="s">
        <v>31</v>
      </c>
      <c r="C66" s="115" t="s">
        <v>80</v>
      </c>
      <c r="D66" s="116" t="s">
        <v>49</v>
      </c>
      <c r="E66" s="117"/>
      <c r="F66" s="115" t="s">
        <v>80</v>
      </c>
      <c r="G66" s="126">
        <v>0.0</v>
      </c>
      <c r="H66" s="126">
        <v>0.0</v>
      </c>
      <c r="I66" s="126">
        <v>0.0</v>
      </c>
      <c r="J66" s="126">
        <v>0.0</v>
      </c>
      <c r="K66" s="126">
        <v>0.0</v>
      </c>
      <c r="L66" s="126">
        <v>0.0</v>
      </c>
      <c r="M66" s="126">
        <v>0.0</v>
      </c>
      <c r="N66" s="126">
        <v>0.0</v>
      </c>
      <c r="O66" s="126">
        <v>0.0</v>
      </c>
      <c r="P66" s="126">
        <v>0.0</v>
      </c>
      <c r="Q66" s="126">
        <v>0.0</v>
      </c>
      <c r="R66" s="126">
        <v>0.0</v>
      </c>
      <c r="S66" s="126">
        <v>0.0</v>
      </c>
      <c r="T66" s="126">
        <v>0.0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11" t="s">
        <v>30</v>
      </c>
      <c r="B67" s="111" t="s">
        <v>31</v>
      </c>
      <c r="C67" s="113" t="s">
        <v>80</v>
      </c>
      <c r="D67" s="112"/>
      <c r="E67" s="84"/>
      <c r="F67" s="113" t="s">
        <v>81</v>
      </c>
      <c r="G67" s="126">
        <v>0.0</v>
      </c>
      <c r="H67" s="126">
        <v>0.0</v>
      </c>
      <c r="I67" s="126">
        <v>0.0</v>
      </c>
      <c r="J67" s="126">
        <v>0.0</v>
      </c>
      <c r="K67" s="126">
        <v>0.0</v>
      </c>
      <c r="L67" s="126">
        <v>0.0</v>
      </c>
      <c r="M67" s="126">
        <v>0.0</v>
      </c>
      <c r="N67" s="126">
        <v>0.0</v>
      </c>
      <c r="O67" s="126">
        <v>0.0</v>
      </c>
      <c r="P67" s="126">
        <v>0.0</v>
      </c>
      <c r="Q67" s="126">
        <v>0.0</v>
      </c>
      <c r="R67" s="126">
        <v>0.0</v>
      </c>
      <c r="S67" s="126">
        <v>0.0</v>
      </c>
      <c r="T67" s="126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80</v>
      </c>
      <c r="D68" s="118"/>
      <c r="E68" s="84"/>
      <c r="F68" s="113" t="s">
        <v>82</v>
      </c>
      <c r="G68" s="126">
        <v>0.0</v>
      </c>
      <c r="H68" s="126">
        <v>0.0</v>
      </c>
      <c r="I68" s="126">
        <v>0.0</v>
      </c>
      <c r="J68" s="126">
        <v>0.0</v>
      </c>
      <c r="K68" s="126">
        <v>0.0</v>
      </c>
      <c r="L68" s="126">
        <v>0.0</v>
      </c>
      <c r="M68" s="126">
        <v>0.0</v>
      </c>
      <c r="N68" s="126">
        <v>0.0</v>
      </c>
      <c r="O68" s="126">
        <v>0.0</v>
      </c>
      <c r="P68" s="126">
        <v>0.0</v>
      </c>
      <c r="Q68" s="126">
        <v>0.0</v>
      </c>
      <c r="R68" s="126">
        <v>0.0</v>
      </c>
      <c r="S68" s="126">
        <v>0.0</v>
      </c>
      <c r="T68" s="126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05" t="s">
        <v>30</v>
      </c>
      <c r="B69" s="105" t="s">
        <v>32</v>
      </c>
      <c r="C69" s="105"/>
      <c r="D69" s="107" t="s">
        <v>49</v>
      </c>
      <c r="E69" s="81"/>
      <c r="F69" s="105" t="s">
        <v>32</v>
      </c>
      <c r="G69" s="126">
        <v>0.0</v>
      </c>
      <c r="H69" s="126">
        <v>0.0</v>
      </c>
      <c r="I69" s="126">
        <v>0.0</v>
      </c>
      <c r="J69" s="126">
        <v>0.0</v>
      </c>
      <c r="K69" s="126">
        <v>0.0</v>
      </c>
      <c r="L69" s="126">
        <v>0.0</v>
      </c>
      <c r="M69" s="126">
        <v>0.0</v>
      </c>
      <c r="N69" s="126">
        <v>0.0</v>
      </c>
      <c r="O69" s="126">
        <v>0.0</v>
      </c>
      <c r="P69" s="126">
        <v>0.0</v>
      </c>
      <c r="Q69" s="126">
        <v>0.0</v>
      </c>
      <c r="R69" s="126">
        <v>0.0</v>
      </c>
      <c r="S69" s="126">
        <v>0.0</v>
      </c>
      <c r="T69" s="126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2" t="s">
        <v>83</v>
      </c>
      <c r="G70" s="126">
        <v>0.0</v>
      </c>
      <c r="H70" s="126">
        <v>0.0</v>
      </c>
      <c r="I70" s="126">
        <v>0.0</v>
      </c>
      <c r="J70" s="126">
        <v>0.0</v>
      </c>
      <c r="K70" s="126">
        <v>0.0</v>
      </c>
      <c r="L70" s="126">
        <v>0.0</v>
      </c>
      <c r="M70" s="126">
        <v>0.0</v>
      </c>
      <c r="N70" s="126">
        <v>0.0</v>
      </c>
      <c r="O70" s="126">
        <v>0.0</v>
      </c>
      <c r="P70" s="126">
        <v>0.0</v>
      </c>
      <c r="Q70" s="126">
        <v>0.0</v>
      </c>
      <c r="R70" s="126">
        <v>0.0</v>
      </c>
      <c r="S70" s="126">
        <v>0.0</v>
      </c>
      <c r="T70" s="126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126">
        <v>0.0</v>
      </c>
      <c r="H71" s="126">
        <v>0.0</v>
      </c>
      <c r="I71" s="126">
        <v>0.0</v>
      </c>
      <c r="J71" s="126">
        <v>0.0</v>
      </c>
      <c r="K71" s="126">
        <v>0.0</v>
      </c>
      <c r="L71" s="126">
        <v>0.0</v>
      </c>
      <c r="M71" s="126">
        <v>0.0</v>
      </c>
      <c r="N71" s="126">
        <v>0.0</v>
      </c>
      <c r="O71" s="126">
        <v>0.0</v>
      </c>
      <c r="P71" s="126">
        <v>0.0</v>
      </c>
      <c r="Q71" s="126">
        <v>0.0</v>
      </c>
      <c r="R71" s="126">
        <v>0.0</v>
      </c>
      <c r="S71" s="126">
        <v>0.0</v>
      </c>
      <c r="T71" s="126">
        <v>0.0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126">
        <v>0.0</v>
      </c>
      <c r="H72" s="126">
        <v>0.0</v>
      </c>
      <c r="I72" s="126">
        <v>0.0</v>
      </c>
      <c r="J72" s="126">
        <v>0.0</v>
      </c>
      <c r="K72" s="126">
        <v>0.0</v>
      </c>
      <c r="L72" s="126">
        <v>0.0</v>
      </c>
      <c r="M72" s="126">
        <v>0.0</v>
      </c>
      <c r="N72" s="126">
        <v>0.0</v>
      </c>
      <c r="O72" s="126">
        <v>0.0</v>
      </c>
      <c r="P72" s="126">
        <v>0.0</v>
      </c>
      <c r="Q72" s="126">
        <v>0.0</v>
      </c>
      <c r="R72" s="126">
        <v>0.0</v>
      </c>
      <c r="S72" s="126">
        <v>0.0</v>
      </c>
      <c r="T72" s="126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10" t="s">
        <v>30</v>
      </c>
      <c r="B73" s="110" t="s">
        <v>32</v>
      </c>
      <c r="C73" s="110" t="s">
        <v>86</v>
      </c>
      <c r="D73" s="99" t="s">
        <v>49</v>
      </c>
      <c r="E73" s="84"/>
      <c r="F73" s="110" t="s">
        <v>86</v>
      </c>
      <c r="G73" s="126">
        <v>0.0</v>
      </c>
      <c r="H73" s="126">
        <v>0.0</v>
      </c>
      <c r="I73" s="126">
        <v>0.0</v>
      </c>
      <c r="J73" s="126">
        <v>0.0</v>
      </c>
      <c r="K73" s="126">
        <v>0.0</v>
      </c>
      <c r="L73" s="126">
        <v>0.0</v>
      </c>
      <c r="M73" s="126">
        <v>0.0</v>
      </c>
      <c r="N73" s="126">
        <v>0.0</v>
      </c>
      <c r="O73" s="126">
        <v>0.0</v>
      </c>
      <c r="P73" s="126">
        <v>0.0</v>
      </c>
      <c r="Q73" s="126">
        <v>0.0</v>
      </c>
      <c r="R73" s="126">
        <v>0.0</v>
      </c>
      <c r="S73" s="126">
        <v>0.0</v>
      </c>
      <c r="T73" s="126">
        <v>0.0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19"/>
      <c r="B74" s="119"/>
      <c r="C74" s="119"/>
      <c r="D74" s="1"/>
      <c r="E74" s="119"/>
      <c r="F74" s="11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1"/>
      <c r="V74" s="121"/>
      <c r="W74" s="121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22"/>
      <c r="B593" s="122"/>
      <c r="C593" s="122"/>
      <c r="D593" s="123"/>
      <c r="E593" s="122"/>
      <c r="F593" s="124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72"/>
      <c r="V593" s="72"/>
      <c r="W593" s="72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2</v>
      </c>
      <c r="G2" s="9">
        <f t="shared" si="1"/>
        <v>2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2</v>
      </c>
      <c r="L2" s="9">
        <f t="shared" si="1"/>
        <v>0</v>
      </c>
      <c r="M2" s="9">
        <f t="shared" si="1"/>
        <v>9</v>
      </c>
      <c r="N2" s="9">
        <f t="shared" si="1"/>
        <v>0</v>
      </c>
      <c r="O2" s="9">
        <f t="shared" si="1"/>
        <v>0</v>
      </c>
      <c r="P2" s="9">
        <f t="shared" si="1"/>
        <v>1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0</v>
      </c>
      <c r="F4" s="23">
        <f>IFERROR((G2+R2)/F2,0)</f>
        <v>1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4.5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2</v>
      </c>
      <c r="G5" s="33">
        <f>SUMIF(A:A,B5,H:H)</f>
        <v>2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2</v>
      </c>
      <c r="L5" s="33">
        <f>SUMIF(A:A,B5,S:S)</f>
        <v>0</v>
      </c>
      <c r="M5" s="33">
        <f>SUMIF(A:A,B5,M:M)</f>
        <v>9</v>
      </c>
      <c r="N5" s="33">
        <f>SUMIF(A:A,B5,N:N)</f>
        <v>0</v>
      </c>
      <c r="O5" s="33">
        <f>SUMIF(A:A,B5,O:O)</f>
        <v>0</v>
      </c>
      <c r="P5" s="33">
        <f>SUMIF(A:A,B5,J:J)</f>
        <v>1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0</v>
      </c>
      <c r="F7" s="41">
        <f>IFERROR((G5+R5)/F5,0)</f>
        <v>1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4.5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2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10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SUMIF(B46:B1137,B20,G46:G1137)</f>
        <v>0</v>
      </c>
      <c r="G20" s="46">
        <f>SUMIF(B46:B1137,B20,H46:H1137)</f>
        <v>0</v>
      </c>
      <c r="H20" s="46">
        <f>SUMIF(B46:B1137,B20,I46:I1137)</f>
        <v>0</v>
      </c>
      <c r="I20" s="46">
        <f>SUMIF(B46:B1137,B20,P46:P1137)</f>
        <v>0</v>
      </c>
      <c r="J20" s="46">
        <f>SUMIF(B46:B1137,B20,Q46:Q1137)</f>
        <v>0</v>
      </c>
      <c r="K20" s="46">
        <f>SUMIF(B46:B1137,B20,R46:R1137)</f>
        <v>0</v>
      </c>
      <c r="L20" s="46">
        <f>SUMIF(B46:B1137,B20,S46:S1137)</f>
        <v>0</v>
      </c>
      <c r="M20" s="46">
        <f>SUMIF(B46:B1137,B20,M46:M1137)</f>
        <v>0</v>
      </c>
      <c r="N20" s="46">
        <f>SUMIF(B46:B1137,B20,N46:N1137)</f>
        <v>0</v>
      </c>
      <c r="O20" s="46">
        <f>SUMIF(B46:B1137,B20,O46:O1137)</f>
        <v>0</v>
      </c>
      <c r="P20" s="46">
        <f>SUMIF(B46:B1137,B20,J46:J1137)</f>
        <v>0</v>
      </c>
      <c r="Q20" s="46">
        <f>SUMIF(B46:B1137,B20,K46:K1137)</f>
        <v>0</v>
      </c>
      <c r="R20" s="50">
        <f>SUMIF(B46:B1137,B20,L46:L1137)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SUMIF(B49:B1137,B23,G49:G1137)</f>
        <v>0</v>
      </c>
      <c r="G23" s="46">
        <f>SUMIF(B49:B1137,B23,H49:H1137)</f>
        <v>0</v>
      </c>
      <c r="H23" s="46">
        <f>SUMIF(B49:B1137,B23,I49:I1137)</f>
        <v>0</v>
      </c>
      <c r="I23" s="46">
        <f>SUMIF(B49:B1137,B23,P49:P1137)</f>
        <v>0</v>
      </c>
      <c r="J23" s="46">
        <f>SUMIF(B49:B1137,B23,Q49:Q1137)</f>
        <v>0</v>
      </c>
      <c r="K23" s="46">
        <f>SUMIF(B49:B1137,B23,R49:R1137)</f>
        <v>0</v>
      </c>
      <c r="L23" s="46">
        <f>SUMIF(B49:B1137,B23,S49:S1137)</f>
        <v>0</v>
      </c>
      <c r="M23" s="46">
        <f>SUMIF(B49:B1137,B23,M49:M1137)</f>
        <v>0</v>
      </c>
      <c r="N23" s="46">
        <f>SUMIF(B49:B1137,B23,N49:N1137)</f>
        <v>0</v>
      </c>
      <c r="O23" s="46">
        <f>SUMIF(B49:B1137,B23,O49:O1137)</f>
        <v>0</v>
      </c>
      <c r="P23" s="46">
        <f>SUMIF(B49:B1137,B23,J49:J1137)</f>
        <v>0</v>
      </c>
      <c r="Q23" s="46">
        <f>SUMIF(B49:B1137,B23,K49:K1137)</f>
        <v>0</v>
      </c>
      <c r="R23" s="50">
        <f>SUMIF(B49:B1137,B23,L49:L1137)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5" si="3">IFERROR(I28/H28,0)</f>
        <v>0</v>
      </c>
      <c r="V28" s="71">
        <f t="shared" ref="V28:V45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6">
        <v>0.0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6">
        <v>1.0</v>
      </c>
      <c r="H34" s="126">
        <v>2.0</v>
      </c>
      <c r="I34" s="126">
        <v>0.0</v>
      </c>
      <c r="J34" s="126">
        <v>1.0</v>
      </c>
      <c r="K34" s="126">
        <v>0.0</v>
      </c>
      <c r="L34" s="126">
        <v>0.0</v>
      </c>
      <c r="M34" s="126">
        <v>9.0</v>
      </c>
      <c r="N34" s="126">
        <v>0.0</v>
      </c>
      <c r="O34" s="126">
        <v>0.0</v>
      </c>
      <c r="P34" s="126">
        <v>0.0</v>
      </c>
      <c r="Q34" s="126">
        <v>0.0</v>
      </c>
      <c r="R34" s="126">
        <v>2.0</v>
      </c>
      <c r="S34" s="126">
        <v>0.0</v>
      </c>
      <c r="T34" s="126">
        <v>0.0</v>
      </c>
      <c r="U34" s="71">
        <f t="shared" si="3"/>
        <v>0</v>
      </c>
      <c r="V34" s="71">
        <f t="shared" si="4"/>
        <v>2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6">
        <v>1.0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6">
        <v>0.0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71">
        <f t="shared" si="3"/>
        <v>0</v>
      </c>
      <c r="V38" s="71">
        <f t="shared" si="4"/>
        <v>0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8" t="s">
        <v>26</v>
      </c>
      <c r="B41" s="79" t="s">
        <v>27</v>
      </c>
      <c r="C41" s="94"/>
      <c r="D41" s="79" t="s">
        <v>49</v>
      </c>
      <c r="E41" s="95"/>
      <c r="F41" s="79" t="s">
        <v>27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96" t="s">
        <v>26</v>
      </c>
      <c r="B42" s="77" t="s">
        <v>27</v>
      </c>
      <c r="C42" s="75"/>
      <c r="D42" s="75"/>
      <c r="E42" s="75"/>
      <c r="F42" s="77" t="s">
        <v>61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61" t="s">
        <v>33</v>
      </c>
      <c r="B46" s="62" t="s">
        <v>34</v>
      </c>
      <c r="C46" s="62" t="s">
        <v>35</v>
      </c>
      <c r="D46" s="63"/>
      <c r="E46" s="62" t="s">
        <v>36</v>
      </c>
      <c r="F46" s="62" t="s">
        <v>37</v>
      </c>
      <c r="G46" s="64" t="s">
        <v>38</v>
      </c>
      <c r="H46" s="64" t="s">
        <v>39</v>
      </c>
      <c r="I46" s="64" t="s">
        <v>40</v>
      </c>
      <c r="J46" s="64" t="s">
        <v>12</v>
      </c>
      <c r="K46" s="64" t="s">
        <v>41</v>
      </c>
      <c r="L46" s="64" t="s">
        <v>14</v>
      </c>
      <c r="M46" s="64" t="s">
        <v>9</v>
      </c>
      <c r="N46" s="64" t="s">
        <v>10</v>
      </c>
      <c r="O46" s="64" t="s">
        <v>42</v>
      </c>
      <c r="P46" s="64" t="s">
        <v>5</v>
      </c>
      <c r="Q46" s="64" t="s">
        <v>43</v>
      </c>
      <c r="R46" s="64" t="s">
        <v>44</v>
      </c>
      <c r="S46" s="64" t="s">
        <v>45</v>
      </c>
      <c r="T46" s="64" t="s">
        <v>0</v>
      </c>
      <c r="U46" s="62" t="s">
        <v>46</v>
      </c>
      <c r="V46" s="62" t="s">
        <v>47</v>
      </c>
      <c r="W46" s="97"/>
    </row>
    <row r="47" ht="12.75" customHeight="1">
      <c r="A47" s="66" t="s">
        <v>29</v>
      </c>
      <c r="B47" s="67"/>
      <c r="C47" s="67"/>
      <c r="D47" s="68" t="s">
        <v>49</v>
      </c>
      <c r="E47" s="69"/>
      <c r="F47" s="68" t="s">
        <v>29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ref="U47:U50" si="5">IFERROR(I47/H47,0)</f>
        <v>0</v>
      </c>
      <c r="V47" s="71">
        <f t="shared" ref="V47:V50" si="6">IFERROR(SUM(H47+L47)/G47,0)</f>
        <v>0</v>
      </c>
      <c r="W47" s="72"/>
    </row>
    <row r="48" ht="12.75" customHeight="1">
      <c r="A48" s="73" t="s">
        <v>29</v>
      </c>
      <c r="B48" s="77"/>
      <c r="C48" s="75"/>
      <c r="D48" s="75"/>
      <c r="E48" s="75"/>
      <c r="F48" s="77" t="s">
        <v>65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5"/>
        <v>0</v>
      </c>
      <c r="V48" s="71">
        <f t="shared" si="6"/>
        <v>0</v>
      </c>
      <c r="W48" s="72"/>
    </row>
    <row r="49" ht="12.75" customHeight="1">
      <c r="A49" s="82" t="s">
        <v>29</v>
      </c>
      <c r="B49" s="84"/>
      <c r="C49" s="98" t="s">
        <v>66</v>
      </c>
      <c r="D49" s="99" t="s">
        <v>49</v>
      </c>
      <c r="E49" s="84"/>
      <c r="F49" s="98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5" t="s">
        <v>29</v>
      </c>
      <c r="B50" s="86"/>
      <c r="C50" s="86" t="s">
        <v>66</v>
      </c>
      <c r="D50" s="84"/>
      <c r="E50" s="84"/>
      <c r="F50" s="88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5"/>
        <v>0</v>
      </c>
      <c r="V50" s="71">
        <f t="shared" si="6"/>
        <v>0</v>
      </c>
      <c r="W50" s="72"/>
    </row>
    <row r="51" ht="20.25" customHeight="1">
      <c r="A51" s="61" t="s">
        <v>33</v>
      </c>
      <c r="B51" s="62" t="s">
        <v>34</v>
      </c>
      <c r="C51" s="62" t="s">
        <v>35</v>
      </c>
      <c r="D51" s="63"/>
      <c r="E51" s="62" t="s">
        <v>36</v>
      </c>
      <c r="F51" s="62" t="s">
        <v>37</v>
      </c>
      <c r="G51" s="64" t="s">
        <v>38</v>
      </c>
      <c r="H51" s="64" t="s">
        <v>39</v>
      </c>
      <c r="I51" s="64" t="s">
        <v>40</v>
      </c>
      <c r="J51" s="64" t="s">
        <v>12</v>
      </c>
      <c r="K51" s="64" t="s">
        <v>41</v>
      </c>
      <c r="L51" s="64" t="s">
        <v>14</v>
      </c>
      <c r="M51" s="64" t="s">
        <v>9</v>
      </c>
      <c r="N51" s="64" t="s">
        <v>10</v>
      </c>
      <c r="O51" s="64" t="s">
        <v>42</v>
      </c>
      <c r="P51" s="64" t="s">
        <v>5</v>
      </c>
      <c r="Q51" s="64" t="s">
        <v>43</v>
      </c>
      <c r="R51" s="64" t="s">
        <v>44</v>
      </c>
      <c r="S51" s="64" t="s">
        <v>45</v>
      </c>
      <c r="T51" s="64" t="s">
        <v>0</v>
      </c>
      <c r="U51" s="62" t="s">
        <v>46</v>
      </c>
      <c r="V51" s="62" t="s">
        <v>47</v>
      </c>
      <c r="W51" s="97"/>
    </row>
    <row r="52" ht="12.75" customHeight="1">
      <c r="A52" s="100" t="s">
        <v>30</v>
      </c>
      <c r="B52" s="59"/>
      <c r="C52" s="59"/>
      <c r="D52" s="101" t="s">
        <v>49</v>
      </c>
      <c r="E52" s="59"/>
      <c r="F52" s="100" t="s">
        <v>30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ref="U52:U73" si="7">IFERROR(I52/H52,0)</f>
        <v>0</v>
      </c>
      <c r="V52" s="71">
        <f t="shared" ref="V52:V73" si="8">IFERROR(SUM(H52+L52)/G52,0)</f>
        <v>0</v>
      </c>
      <c r="W52" s="72"/>
    </row>
    <row r="53" ht="12.75" customHeight="1">
      <c r="A53" s="102" t="s">
        <v>30</v>
      </c>
      <c r="B53" s="59"/>
      <c r="C53" s="59"/>
      <c r="D53" s="58"/>
      <c r="E53" s="75"/>
      <c r="F53" s="102" t="s">
        <v>68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7"/>
        <v>0</v>
      </c>
      <c r="V53" s="71">
        <f t="shared" si="8"/>
        <v>0</v>
      </c>
      <c r="W53" s="72"/>
    </row>
    <row r="54" ht="12.75" customHeight="1">
      <c r="A54" s="103" t="s">
        <v>30</v>
      </c>
      <c r="B54" s="103"/>
      <c r="C54" s="103"/>
      <c r="D54" s="58"/>
      <c r="E54" s="75"/>
      <c r="F54" s="104" t="s">
        <v>69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7"/>
        <v>0</v>
      </c>
      <c r="V54" s="71">
        <f t="shared" si="8"/>
        <v>0</v>
      </c>
      <c r="W54" s="72"/>
    </row>
    <row r="55" ht="12.75" customHeight="1">
      <c r="A55" s="105" t="s">
        <v>30</v>
      </c>
      <c r="B55" s="105" t="s">
        <v>31</v>
      </c>
      <c r="C55" s="106"/>
      <c r="D55" s="107" t="s">
        <v>49</v>
      </c>
      <c r="E55" s="95"/>
      <c r="F55" s="105" t="s">
        <v>31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7"/>
        <v>0</v>
      </c>
      <c r="V55" s="71">
        <f t="shared" si="8"/>
        <v>0</v>
      </c>
      <c r="W55" s="72"/>
    </row>
    <row r="56" ht="12.75" customHeight="1">
      <c r="A56" s="102" t="s">
        <v>30</v>
      </c>
      <c r="B56" s="103" t="s">
        <v>31</v>
      </c>
      <c r="C56" s="103"/>
      <c r="D56" s="108"/>
      <c r="E56" s="69"/>
      <c r="F56" s="109" t="s">
        <v>70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102" t="s">
        <v>31</v>
      </c>
      <c r="C57" s="59"/>
      <c r="D57" s="59"/>
      <c r="E57" s="75"/>
      <c r="F57" s="102" t="s">
        <v>71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2" t="s">
        <v>31</v>
      </c>
      <c r="C58" s="102"/>
      <c r="D58" s="59"/>
      <c r="E58" s="75"/>
      <c r="F58" s="102" t="s">
        <v>72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10" t="s">
        <v>30</v>
      </c>
      <c r="B59" s="110" t="s">
        <v>31</v>
      </c>
      <c r="C59" s="110" t="s">
        <v>73</v>
      </c>
      <c r="D59" s="99" t="s">
        <v>49</v>
      </c>
      <c r="E59" s="84"/>
      <c r="F59" s="110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11" t="s">
        <v>30</v>
      </c>
      <c r="B60" s="111" t="s">
        <v>31</v>
      </c>
      <c r="C60" s="111" t="s">
        <v>73</v>
      </c>
      <c r="D60" s="112"/>
      <c r="E60" s="84"/>
      <c r="F60" s="111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11" t="s">
        <v>30</v>
      </c>
      <c r="B61" s="111" t="s">
        <v>31</v>
      </c>
      <c r="C61" s="111" t="s">
        <v>73</v>
      </c>
      <c r="D61" s="112"/>
      <c r="E61" s="84"/>
      <c r="F61" s="111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73</v>
      </c>
      <c r="D62" s="112"/>
      <c r="E62" s="84"/>
      <c r="F62" s="111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73</v>
      </c>
      <c r="D63" s="112"/>
      <c r="E63" s="84"/>
      <c r="F63" s="113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73</v>
      </c>
      <c r="D64" s="112"/>
      <c r="E64" s="84"/>
      <c r="F64" s="113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00" t="s">
        <v>30</v>
      </c>
      <c r="B65" s="100" t="s">
        <v>31</v>
      </c>
      <c r="C65" s="100" t="s">
        <v>79</v>
      </c>
      <c r="D65" s="114" t="s">
        <v>49</v>
      </c>
      <c r="E65" s="75"/>
      <c r="F65" s="100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0" t="s">
        <v>30</v>
      </c>
      <c r="B66" s="110" t="s">
        <v>31</v>
      </c>
      <c r="C66" s="115" t="s">
        <v>80</v>
      </c>
      <c r="D66" s="116" t="s">
        <v>49</v>
      </c>
      <c r="E66" s="117"/>
      <c r="F66" s="115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1" t="s">
        <v>30</v>
      </c>
      <c r="B67" s="111" t="s">
        <v>31</v>
      </c>
      <c r="C67" s="113" t="s">
        <v>80</v>
      </c>
      <c r="D67" s="112"/>
      <c r="E67" s="84"/>
      <c r="F67" s="113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80</v>
      </c>
      <c r="D68" s="118"/>
      <c r="E68" s="84"/>
      <c r="F68" s="113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05" t="s">
        <v>30</v>
      </c>
      <c r="B69" s="105" t="s">
        <v>32</v>
      </c>
      <c r="C69" s="105"/>
      <c r="D69" s="107" t="s">
        <v>49</v>
      </c>
      <c r="E69" s="81"/>
      <c r="F69" s="105" t="s">
        <v>32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2" t="s">
        <v>83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10" t="s">
        <v>30</v>
      </c>
      <c r="B73" s="110" t="s">
        <v>32</v>
      </c>
      <c r="C73" s="110" t="s">
        <v>86</v>
      </c>
      <c r="D73" s="99" t="s">
        <v>49</v>
      </c>
      <c r="E73" s="84"/>
      <c r="F73" s="110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19"/>
      <c r="B74" s="119"/>
      <c r="C74" s="119"/>
      <c r="D74" s="1"/>
      <c r="E74" s="119"/>
      <c r="F74" s="11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1"/>
      <c r="V74" s="121"/>
      <c r="W74" s="121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22"/>
      <c r="B593" s="122"/>
      <c r="C593" s="122"/>
      <c r="D593" s="123"/>
      <c r="E593" s="122"/>
      <c r="F593" s="124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72"/>
      <c r="V593" s="72"/>
      <c r="W593" s="72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3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3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3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10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SUMIF(B46:B1137,B20,G46:G1137)</f>
        <v>0</v>
      </c>
      <c r="G20" s="46">
        <f>SUMIF(B46:B1137,B20,H46:H1137)</f>
        <v>0</v>
      </c>
      <c r="H20" s="46">
        <f>SUMIF(B46:B1137,B20,I46:I1137)</f>
        <v>0</v>
      </c>
      <c r="I20" s="46">
        <f>SUMIF(B46:B1137,B20,P46:P1137)</f>
        <v>0</v>
      </c>
      <c r="J20" s="46">
        <f>SUMIF(B46:B1137,B20,Q46:Q1137)</f>
        <v>0</v>
      </c>
      <c r="K20" s="46">
        <f>SUMIF(B46:B1137,B20,R46:R1137)</f>
        <v>0</v>
      </c>
      <c r="L20" s="46">
        <f>SUMIF(B46:B1137,B20,S46:S1137)</f>
        <v>0</v>
      </c>
      <c r="M20" s="46">
        <f>SUMIF(B46:B1137,B20,M46:M1137)</f>
        <v>0</v>
      </c>
      <c r="N20" s="46">
        <f>SUMIF(B46:B1137,B20,N46:N1137)</f>
        <v>0</v>
      </c>
      <c r="O20" s="46">
        <f>SUMIF(B46:B1137,B20,O46:O1137)</f>
        <v>0</v>
      </c>
      <c r="P20" s="46">
        <f>SUMIF(B46:B1137,B20,J46:J1137)</f>
        <v>0</v>
      </c>
      <c r="Q20" s="46">
        <f>SUMIF(B46:B1137,B20,K46:K1137)</f>
        <v>0</v>
      </c>
      <c r="R20" s="50">
        <f>SUMIF(B46:B1137,B20,L46:L1137)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SUMIF(B49:B1137,B23,G49:G1137)</f>
        <v>0</v>
      </c>
      <c r="G23" s="46">
        <f>SUMIF(B49:B1137,B23,H49:H1137)</f>
        <v>0</v>
      </c>
      <c r="H23" s="46">
        <f>SUMIF(B49:B1137,B23,I49:I1137)</f>
        <v>0</v>
      </c>
      <c r="I23" s="46">
        <f>SUMIF(B49:B1137,B23,P49:P1137)</f>
        <v>0</v>
      </c>
      <c r="J23" s="46">
        <f>SUMIF(B49:B1137,B23,Q49:Q1137)</f>
        <v>0</v>
      </c>
      <c r="K23" s="46">
        <f>SUMIF(B49:B1137,B23,R49:R1137)</f>
        <v>0</v>
      </c>
      <c r="L23" s="46">
        <f>SUMIF(B49:B1137,B23,S49:S1137)</f>
        <v>0</v>
      </c>
      <c r="M23" s="46">
        <f>SUMIF(B49:B1137,B23,M49:M1137)</f>
        <v>0</v>
      </c>
      <c r="N23" s="46">
        <f>SUMIF(B49:B1137,B23,N49:N1137)</f>
        <v>0</v>
      </c>
      <c r="O23" s="46">
        <f>SUMIF(B49:B1137,B23,O49:O1137)</f>
        <v>0</v>
      </c>
      <c r="P23" s="46">
        <f>SUMIF(B49:B1137,B23,J49:J1137)</f>
        <v>0</v>
      </c>
      <c r="Q23" s="46">
        <f>SUMIF(B49:B1137,B23,K49:K1137)</f>
        <v>0</v>
      </c>
      <c r="R23" s="50">
        <f>SUMIF(B49:B1137,B23,L49:L1137)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5" si="3">IFERROR(I28/H28,0)</f>
        <v>0</v>
      </c>
      <c r="V28" s="71">
        <f t="shared" ref="V28:V45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2.0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6">
        <v>0.0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6">
        <v>1.0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6">
        <v>0.0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71">
        <f t="shared" si="3"/>
        <v>0</v>
      </c>
      <c r="V38" s="71">
        <f t="shared" si="4"/>
        <v>0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8" t="s">
        <v>26</v>
      </c>
      <c r="B41" s="79" t="s">
        <v>27</v>
      </c>
      <c r="C41" s="94"/>
      <c r="D41" s="79" t="s">
        <v>49</v>
      </c>
      <c r="E41" s="95"/>
      <c r="F41" s="79" t="s">
        <v>27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96" t="s">
        <v>26</v>
      </c>
      <c r="B42" s="77" t="s">
        <v>27</v>
      </c>
      <c r="C42" s="75"/>
      <c r="D42" s="75"/>
      <c r="E42" s="75"/>
      <c r="F42" s="77" t="s">
        <v>61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61" t="s">
        <v>33</v>
      </c>
      <c r="B46" s="62" t="s">
        <v>34</v>
      </c>
      <c r="C46" s="62" t="s">
        <v>35</v>
      </c>
      <c r="D46" s="63"/>
      <c r="E46" s="62" t="s">
        <v>36</v>
      </c>
      <c r="F46" s="62" t="s">
        <v>37</v>
      </c>
      <c r="G46" s="64" t="s">
        <v>38</v>
      </c>
      <c r="H46" s="64" t="s">
        <v>39</v>
      </c>
      <c r="I46" s="64" t="s">
        <v>40</v>
      </c>
      <c r="J46" s="64" t="s">
        <v>12</v>
      </c>
      <c r="K46" s="64" t="s">
        <v>41</v>
      </c>
      <c r="L46" s="64" t="s">
        <v>14</v>
      </c>
      <c r="M46" s="64" t="s">
        <v>9</v>
      </c>
      <c r="N46" s="64" t="s">
        <v>10</v>
      </c>
      <c r="O46" s="64" t="s">
        <v>42</v>
      </c>
      <c r="P46" s="64" t="s">
        <v>5</v>
      </c>
      <c r="Q46" s="64" t="s">
        <v>43</v>
      </c>
      <c r="R46" s="64" t="s">
        <v>44</v>
      </c>
      <c r="S46" s="64" t="s">
        <v>45</v>
      </c>
      <c r="T46" s="64" t="s">
        <v>0</v>
      </c>
      <c r="U46" s="62" t="s">
        <v>46</v>
      </c>
      <c r="V46" s="62" t="s">
        <v>47</v>
      </c>
      <c r="W46" s="97"/>
    </row>
    <row r="47" ht="12.75" customHeight="1">
      <c r="A47" s="66" t="s">
        <v>29</v>
      </c>
      <c r="B47" s="67"/>
      <c r="C47" s="67"/>
      <c r="D47" s="68" t="s">
        <v>49</v>
      </c>
      <c r="E47" s="69"/>
      <c r="F47" s="68" t="s">
        <v>29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ref="U47:U50" si="5">IFERROR(I47/H47,0)</f>
        <v>0</v>
      </c>
      <c r="V47" s="71">
        <f t="shared" ref="V47:V50" si="6">IFERROR(SUM(H47+L47)/G47,0)</f>
        <v>0</v>
      </c>
      <c r="W47" s="72"/>
    </row>
    <row r="48" ht="12.75" customHeight="1">
      <c r="A48" s="73" t="s">
        <v>29</v>
      </c>
      <c r="B48" s="77"/>
      <c r="C48" s="75"/>
      <c r="D48" s="75"/>
      <c r="E48" s="75"/>
      <c r="F48" s="77" t="s">
        <v>65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5"/>
        <v>0</v>
      </c>
      <c r="V48" s="71">
        <f t="shared" si="6"/>
        <v>0</v>
      </c>
      <c r="W48" s="72"/>
    </row>
    <row r="49" ht="12.75" customHeight="1">
      <c r="A49" s="82" t="s">
        <v>29</v>
      </c>
      <c r="B49" s="84"/>
      <c r="C49" s="98" t="s">
        <v>66</v>
      </c>
      <c r="D49" s="99" t="s">
        <v>49</v>
      </c>
      <c r="E49" s="84"/>
      <c r="F49" s="98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5" t="s">
        <v>29</v>
      </c>
      <c r="B50" s="86"/>
      <c r="C50" s="86" t="s">
        <v>66</v>
      </c>
      <c r="D50" s="84"/>
      <c r="E50" s="84"/>
      <c r="F50" s="88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5"/>
        <v>0</v>
      </c>
      <c r="V50" s="71">
        <f t="shared" si="6"/>
        <v>0</v>
      </c>
      <c r="W50" s="72"/>
    </row>
    <row r="51" ht="20.25" customHeight="1">
      <c r="A51" s="61" t="s">
        <v>33</v>
      </c>
      <c r="B51" s="62" t="s">
        <v>34</v>
      </c>
      <c r="C51" s="62" t="s">
        <v>35</v>
      </c>
      <c r="D51" s="63"/>
      <c r="E51" s="62" t="s">
        <v>36</v>
      </c>
      <c r="F51" s="62" t="s">
        <v>37</v>
      </c>
      <c r="G51" s="64" t="s">
        <v>38</v>
      </c>
      <c r="H51" s="64" t="s">
        <v>39</v>
      </c>
      <c r="I51" s="64" t="s">
        <v>40</v>
      </c>
      <c r="J51" s="64" t="s">
        <v>12</v>
      </c>
      <c r="K51" s="64" t="s">
        <v>41</v>
      </c>
      <c r="L51" s="64" t="s">
        <v>14</v>
      </c>
      <c r="M51" s="64" t="s">
        <v>9</v>
      </c>
      <c r="N51" s="64" t="s">
        <v>10</v>
      </c>
      <c r="O51" s="64" t="s">
        <v>42</v>
      </c>
      <c r="P51" s="64" t="s">
        <v>5</v>
      </c>
      <c r="Q51" s="64" t="s">
        <v>43</v>
      </c>
      <c r="R51" s="64" t="s">
        <v>44</v>
      </c>
      <c r="S51" s="64" t="s">
        <v>45</v>
      </c>
      <c r="T51" s="64" t="s">
        <v>0</v>
      </c>
      <c r="U51" s="62" t="s">
        <v>46</v>
      </c>
      <c r="V51" s="62" t="s">
        <v>47</v>
      </c>
      <c r="W51" s="97"/>
    </row>
    <row r="52" ht="12.75" customHeight="1">
      <c r="A52" s="100" t="s">
        <v>30</v>
      </c>
      <c r="B52" s="59"/>
      <c r="C52" s="59"/>
      <c r="D52" s="101" t="s">
        <v>49</v>
      </c>
      <c r="E52" s="59"/>
      <c r="F52" s="100" t="s">
        <v>30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ref="U52:U73" si="7">IFERROR(I52/H52,0)</f>
        <v>0</v>
      </c>
      <c r="V52" s="71">
        <f t="shared" ref="V52:V73" si="8">IFERROR(SUM(H52+L52)/G52,0)</f>
        <v>0</v>
      </c>
      <c r="W52" s="72"/>
    </row>
    <row r="53" ht="12.75" customHeight="1">
      <c r="A53" s="102" t="s">
        <v>30</v>
      </c>
      <c r="B53" s="59"/>
      <c r="C53" s="59"/>
      <c r="D53" s="58"/>
      <c r="E53" s="75"/>
      <c r="F53" s="102" t="s">
        <v>68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7"/>
        <v>0</v>
      </c>
      <c r="V53" s="71">
        <f t="shared" si="8"/>
        <v>0</v>
      </c>
      <c r="W53" s="72"/>
    </row>
    <row r="54" ht="12.75" customHeight="1">
      <c r="A54" s="103" t="s">
        <v>30</v>
      </c>
      <c r="B54" s="103"/>
      <c r="C54" s="103"/>
      <c r="D54" s="58"/>
      <c r="E54" s="75"/>
      <c r="F54" s="104" t="s">
        <v>69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7"/>
        <v>0</v>
      </c>
      <c r="V54" s="71">
        <f t="shared" si="8"/>
        <v>0</v>
      </c>
      <c r="W54" s="72"/>
    </row>
    <row r="55" ht="12.75" customHeight="1">
      <c r="A55" s="105" t="s">
        <v>30</v>
      </c>
      <c r="B55" s="105" t="s">
        <v>31</v>
      </c>
      <c r="C55" s="106"/>
      <c r="D55" s="107" t="s">
        <v>49</v>
      </c>
      <c r="E55" s="95"/>
      <c r="F55" s="105" t="s">
        <v>31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7"/>
        <v>0</v>
      </c>
      <c r="V55" s="71">
        <f t="shared" si="8"/>
        <v>0</v>
      </c>
      <c r="W55" s="72"/>
    </row>
    <row r="56" ht="12.75" customHeight="1">
      <c r="A56" s="102" t="s">
        <v>30</v>
      </c>
      <c r="B56" s="103" t="s">
        <v>31</v>
      </c>
      <c r="C56" s="103"/>
      <c r="D56" s="108"/>
      <c r="E56" s="69"/>
      <c r="F56" s="109" t="s">
        <v>70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102" t="s">
        <v>31</v>
      </c>
      <c r="C57" s="59"/>
      <c r="D57" s="59"/>
      <c r="E57" s="75"/>
      <c r="F57" s="102" t="s">
        <v>71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2" t="s">
        <v>31</v>
      </c>
      <c r="C58" s="102"/>
      <c r="D58" s="59"/>
      <c r="E58" s="75"/>
      <c r="F58" s="102" t="s">
        <v>72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10" t="s">
        <v>30</v>
      </c>
      <c r="B59" s="110" t="s">
        <v>31</v>
      </c>
      <c r="C59" s="110" t="s">
        <v>73</v>
      </c>
      <c r="D59" s="99" t="s">
        <v>49</v>
      </c>
      <c r="E59" s="84"/>
      <c r="F59" s="110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11" t="s">
        <v>30</v>
      </c>
      <c r="B60" s="111" t="s">
        <v>31</v>
      </c>
      <c r="C60" s="111" t="s">
        <v>73</v>
      </c>
      <c r="D60" s="112"/>
      <c r="E60" s="84"/>
      <c r="F60" s="111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11" t="s">
        <v>30</v>
      </c>
      <c r="B61" s="111" t="s">
        <v>31</v>
      </c>
      <c r="C61" s="111" t="s">
        <v>73</v>
      </c>
      <c r="D61" s="112"/>
      <c r="E61" s="84"/>
      <c r="F61" s="111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73</v>
      </c>
      <c r="D62" s="112"/>
      <c r="E62" s="84"/>
      <c r="F62" s="111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73</v>
      </c>
      <c r="D63" s="112"/>
      <c r="E63" s="84"/>
      <c r="F63" s="113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73</v>
      </c>
      <c r="D64" s="112"/>
      <c r="E64" s="84"/>
      <c r="F64" s="113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00" t="s">
        <v>30</v>
      </c>
      <c r="B65" s="100" t="s">
        <v>31</v>
      </c>
      <c r="C65" s="100" t="s">
        <v>79</v>
      </c>
      <c r="D65" s="114" t="s">
        <v>49</v>
      </c>
      <c r="E65" s="75"/>
      <c r="F65" s="100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0" t="s">
        <v>30</v>
      </c>
      <c r="B66" s="110" t="s">
        <v>31</v>
      </c>
      <c r="C66" s="115" t="s">
        <v>80</v>
      </c>
      <c r="D66" s="116" t="s">
        <v>49</v>
      </c>
      <c r="E66" s="117"/>
      <c r="F66" s="115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1" t="s">
        <v>30</v>
      </c>
      <c r="B67" s="111" t="s">
        <v>31</v>
      </c>
      <c r="C67" s="113" t="s">
        <v>80</v>
      </c>
      <c r="D67" s="112"/>
      <c r="E67" s="84"/>
      <c r="F67" s="113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80</v>
      </c>
      <c r="D68" s="118"/>
      <c r="E68" s="84"/>
      <c r="F68" s="113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05" t="s">
        <v>30</v>
      </c>
      <c r="B69" s="105" t="s">
        <v>32</v>
      </c>
      <c r="C69" s="105"/>
      <c r="D69" s="107" t="s">
        <v>49</v>
      </c>
      <c r="E69" s="81"/>
      <c r="F69" s="105" t="s">
        <v>32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2" t="s">
        <v>83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10" t="s">
        <v>30</v>
      </c>
      <c r="B73" s="110" t="s">
        <v>32</v>
      </c>
      <c r="C73" s="110" t="s">
        <v>86</v>
      </c>
      <c r="D73" s="99" t="s">
        <v>49</v>
      </c>
      <c r="E73" s="84"/>
      <c r="F73" s="110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19"/>
      <c r="B74" s="119"/>
      <c r="C74" s="119"/>
      <c r="D74" s="1"/>
      <c r="E74" s="119"/>
      <c r="F74" s="11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1"/>
      <c r="V74" s="121"/>
      <c r="W74" s="121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22"/>
      <c r="B593" s="122"/>
      <c r="C593" s="122"/>
      <c r="D593" s="123"/>
      <c r="E593" s="122"/>
      <c r="F593" s="124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72"/>
      <c r="V593" s="72"/>
      <c r="W593" s="72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SUMIF(B39:B1137,B8,G39:G1137)</f>
        <v>0</v>
      </c>
      <c r="G8" s="46">
        <f>SUMIF(B39:B1137,B8,H39:H1137)</f>
        <v>0</v>
      </c>
      <c r="H8" s="46">
        <f>SUMIF(B39:B1137,B8,I39:I1137)</f>
        <v>0</v>
      </c>
      <c r="I8" s="46">
        <f>SUMIF(B39:B1137,B8,P39:P1137)</f>
        <v>0</v>
      </c>
      <c r="J8" s="46">
        <f>SUMIF(B39:B1137,B8,Q39:Q1137)</f>
        <v>0</v>
      </c>
      <c r="K8" s="46">
        <f>SUMIF(B39:B1137,B8,R39:R1137)</f>
        <v>0</v>
      </c>
      <c r="L8" s="46">
        <f>SUMIF(B39:B1137,B8,S39:S1137)</f>
        <v>0</v>
      </c>
      <c r="M8" s="46">
        <f>SUMIF(B39:B1137,B8,M39:M1137)</f>
        <v>0</v>
      </c>
      <c r="N8" s="46">
        <f>SUMIF(B39:B1137,B8,N39:N1137)</f>
        <v>0</v>
      </c>
      <c r="O8" s="46">
        <f>SUMIF(B39:B1137,B8,O39:O1137)</f>
        <v>0</v>
      </c>
      <c r="P8" s="46">
        <f>SUMIF(B39:B1137,B8,J39:J1137)</f>
        <v>0</v>
      </c>
      <c r="Q8" s="46">
        <f>SUMIF(B39:B1137,B8,K39:K1137)</f>
        <v>0</v>
      </c>
      <c r="R8" s="50">
        <f>SUMIF(B39:B1137,B8,L39:L1137)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10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SUMIF(B46:B1137,B20,G46:G1137)</f>
        <v>0</v>
      </c>
      <c r="G20" s="46">
        <f>SUMIF(B46:B1137,B20,H46:H1137)</f>
        <v>0</v>
      </c>
      <c r="H20" s="46">
        <f>SUMIF(B46:B1137,B20,I46:I1137)</f>
        <v>0</v>
      </c>
      <c r="I20" s="46">
        <f>SUMIF(B46:B1137,B20,P46:P1137)</f>
        <v>0</v>
      </c>
      <c r="J20" s="46">
        <f>SUMIF(B46:B1137,B20,Q46:Q1137)</f>
        <v>0</v>
      </c>
      <c r="K20" s="46">
        <f>SUMIF(B46:B1137,B20,R46:R1137)</f>
        <v>0</v>
      </c>
      <c r="L20" s="46">
        <f>SUMIF(B46:B1137,B20,S46:S1137)</f>
        <v>0</v>
      </c>
      <c r="M20" s="46">
        <f>SUMIF(B46:B1137,B20,M46:M1137)</f>
        <v>0</v>
      </c>
      <c r="N20" s="46">
        <f>SUMIF(B46:B1137,B20,N46:N1137)</f>
        <v>0</v>
      </c>
      <c r="O20" s="46">
        <f>SUMIF(B46:B1137,B20,O46:O1137)</f>
        <v>0</v>
      </c>
      <c r="P20" s="46">
        <f>SUMIF(B46:B1137,B20,J46:J1137)</f>
        <v>0</v>
      </c>
      <c r="Q20" s="46">
        <f>SUMIF(B46:B1137,B20,K46:K1137)</f>
        <v>0</v>
      </c>
      <c r="R20" s="50">
        <f>SUMIF(B46:B1137,B20,L46:L1137)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SUMIF(B49:B1137,B23,G49:G1137)</f>
        <v>0</v>
      </c>
      <c r="G23" s="46">
        <f>SUMIF(B49:B1137,B23,H49:H1137)</f>
        <v>0</v>
      </c>
      <c r="H23" s="46">
        <f>SUMIF(B49:B1137,B23,I49:I1137)</f>
        <v>0</v>
      </c>
      <c r="I23" s="46">
        <f>SUMIF(B49:B1137,B23,P49:P1137)</f>
        <v>0</v>
      </c>
      <c r="J23" s="46">
        <f>SUMIF(B49:B1137,B23,Q49:Q1137)</f>
        <v>0</v>
      </c>
      <c r="K23" s="46">
        <f>SUMIF(B49:B1137,B23,R49:R1137)</f>
        <v>0</v>
      </c>
      <c r="L23" s="46">
        <f>SUMIF(B49:B1137,B23,S49:S1137)</f>
        <v>0</v>
      </c>
      <c r="M23" s="46">
        <f>SUMIF(B49:B1137,B23,M49:M1137)</f>
        <v>0</v>
      </c>
      <c r="N23" s="46">
        <f>SUMIF(B49:B1137,B23,N49:N1137)</f>
        <v>0</v>
      </c>
      <c r="O23" s="46">
        <f>SUMIF(B49:B1137,B23,O49:O1137)</f>
        <v>0</v>
      </c>
      <c r="P23" s="46">
        <f>SUMIF(B49:B1137,B23,J49:J1137)</f>
        <v>0</v>
      </c>
      <c r="Q23" s="46">
        <f>SUMIF(B49:B1137,B23,K49:K1137)</f>
        <v>0</v>
      </c>
      <c r="R23" s="50">
        <f>SUMIF(B49:B1137,B23,L49:L1137)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5" si="3">IFERROR(I28/H28,0)</f>
        <v>0</v>
      </c>
      <c r="V28" s="71">
        <f t="shared" ref="V28:V45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9" t="s">
        <v>26</v>
      </c>
      <c r="B39" s="90" t="s">
        <v>28</v>
      </c>
      <c r="C39" s="91" t="s">
        <v>59</v>
      </c>
      <c r="D39" s="91" t="s">
        <v>49</v>
      </c>
      <c r="E39" s="92"/>
      <c r="F39" s="91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73" t="s">
        <v>26</v>
      </c>
      <c r="B40" s="74" t="s">
        <v>28</v>
      </c>
      <c r="C40" s="93" t="s">
        <v>59</v>
      </c>
      <c r="D40" s="75"/>
      <c r="E40" s="75"/>
      <c r="F40" s="74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8" t="s">
        <v>26</v>
      </c>
      <c r="B41" s="79" t="s">
        <v>27</v>
      </c>
      <c r="C41" s="94"/>
      <c r="D41" s="79" t="s">
        <v>49</v>
      </c>
      <c r="E41" s="95"/>
      <c r="F41" s="79" t="s">
        <v>27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96" t="s">
        <v>26</v>
      </c>
      <c r="B42" s="77" t="s">
        <v>27</v>
      </c>
      <c r="C42" s="75"/>
      <c r="D42" s="75"/>
      <c r="E42" s="75"/>
      <c r="F42" s="77" t="s">
        <v>61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96" t="s">
        <v>26</v>
      </c>
      <c r="B43" s="77" t="s">
        <v>27</v>
      </c>
      <c r="C43" s="75"/>
      <c r="D43" s="75"/>
      <c r="E43" s="75"/>
      <c r="F43" s="77" t="s">
        <v>62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61" t="s">
        <v>33</v>
      </c>
      <c r="B46" s="62" t="s">
        <v>34</v>
      </c>
      <c r="C46" s="62" t="s">
        <v>35</v>
      </c>
      <c r="D46" s="63"/>
      <c r="E46" s="62" t="s">
        <v>36</v>
      </c>
      <c r="F46" s="62" t="s">
        <v>37</v>
      </c>
      <c r="G46" s="64" t="s">
        <v>38</v>
      </c>
      <c r="H46" s="64" t="s">
        <v>39</v>
      </c>
      <c r="I46" s="64" t="s">
        <v>40</v>
      </c>
      <c r="J46" s="64" t="s">
        <v>12</v>
      </c>
      <c r="K46" s="64" t="s">
        <v>41</v>
      </c>
      <c r="L46" s="64" t="s">
        <v>14</v>
      </c>
      <c r="M46" s="64" t="s">
        <v>9</v>
      </c>
      <c r="N46" s="64" t="s">
        <v>10</v>
      </c>
      <c r="O46" s="64" t="s">
        <v>42</v>
      </c>
      <c r="P46" s="64" t="s">
        <v>5</v>
      </c>
      <c r="Q46" s="64" t="s">
        <v>43</v>
      </c>
      <c r="R46" s="64" t="s">
        <v>44</v>
      </c>
      <c r="S46" s="64" t="s">
        <v>45</v>
      </c>
      <c r="T46" s="64" t="s">
        <v>0</v>
      </c>
      <c r="U46" s="62" t="s">
        <v>46</v>
      </c>
      <c r="V46" s="62" t="s">
        <v>47</v>
      </c>
      <c r="W46" s="97"/>
    </row>
    <row r="47" ht="12.75" customHeight="1">
      <c r="A47" s="66" t="s">
        <v>29</v>
      </c>
      <c r="B47" s="67"/>
      <c r="C47" s="67"/>
      <c r="D47" s="68" t="s">
        <v>49</v>
      </c>
      <c r="E47" s="69"/>
      <c r="F47" s="68" t="s">
        <v>29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ref="U47:U50" si="5">IFERROR(I47/H47,0)</f>
        <v>0</v>
      </c>
      <c r="V47" s="71">
        <f t="shared" ref="V47:V50" si="6">IFERROR(SUM(H47+L47)/G47,0)</f>
        <v>0</v>
      </c>
      <c r="W47" s="72"/>
    </row>
    <row r="48" ht="12.75" customHeight="1">
      <c r="A48" s="73" t="s">
        <v>29</v>
      </c>
      <c r="B48" s="77"/>
      <c r="C48" s="75"/>
      <c r="D48" s="75"/>
      <c r="E48" s="75"/>
      <c r="F48" s="77" t="s">
        <v>65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5"/>
        <v>0</v>
      </c>
      <c r="V48" s="71">
        <f t="shared" si="6"/>
        <v>0</v>
      </c>
      <c r="W48" s="72"/>
    </row>
    <row r="49" ht="12.75" customHeight="1">
      <c r="A49" s="82" t="s">
        <v>29</v>
      </c>
      <c r="B49" s="84"/>
      <c r="C49" s="98" t="s">
        <v>66</v>
      </c>
      <c r="D49" s="99" t="s">
        <v>49</v>
      </c>
      <c r="E49" s="84"/>
      <c r="F49" s="98" t="s">
        <v>66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6"/>
        <v>0</v>
      </c>
      <c r="W49" s="72"/>
    </row>
    <row r="50" ht="12.75" customHeight="1">
      <c r="A50" s="85" t="s">
        <v>29</v>
      </c>
      <c r="B50" s="86"/>
      <c r="C50" s="86" t="s">
        <v>66</v>
      </c>
      <c r="D50" s="84"/>
      <c r="E50" s="84"/>
      <c r="F50" s="88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5"/>
        <v>0</v>
      </c>
      <c r="V50" s="71">
        <f t="shared" si="6"/>
        <v>0</v>
      </c>
      <c r="W50" s="72"/>
    </row>
    <row r="51" ht="20.25" customHeight="1">
      <c r="A51" s="61" t="s">
        <v>33</v>
      </c>
      <c r="B51" s="62" t="s">
        <v>34</v>
      </c>
      <c r="C51" s="62" t="s">
        <v>35</v>
      </c>
      <c r="D51" s="63"/>
      <c r="E51" s="62" t="s">
        <v>36</v>
      </c>
      <c r="F51" s="62" t="s">
        <v>37</v>
      </c>
      <c r="G51" s="64" t="s">
        <v>38</v>
      </c>
      <c r="H51" s="64" t="s">
        <v>39</v>
      </c>
      <c r="I51" s="64" t="s">
        <v>40</v>
      </c>
      <c r="J51" s="64" t="s">
        <v>12</v>
      </c>
      <c r="K51" s="64" t="s">
        <v>41</v>
      </c>
      <c r="L51" s="64" t="s">
        <v>14</v>
      </c>
      <c r="M51" s="64" t="s">
        <v>9</v>
      </c>
      <c r="N51" s="64" t="s">
        <v>10</v>
      </c>
      <c r="O51" s="64" t="s">
        <v>42</v>
      </c>
      <c r="P51" s="64" t="s">
        <v>5</v>
      </c>
      <c r="Q51" s="64" t="s">
        <v>43</v>
      </c>
      <c r="R51" s="64" t="s">
        <v>44</v>
      </c>
      <c r="S51" s="64" t="s">
        <v>45</v>
      </c>
      <c r="T51" s="64" t="s">
        <v>0</v>
      </c>
      <c r="U51" s="62" t="s">
        <v>46</v>
      </c>
      <c r="V51" s="62" t="s">
        <v>47</v>
      </c>
      <c r="W51" s="97"/>
    </row>
    <row r="52" ht="12.75" customHeight="1">
      <c r="A52" s="100" t="s">
        <v>30</v>
      </c>
      <c r="B52" s="59"/>
      <c r="C52" s="59"/>
      <c r="D52" s="101" t="s">
        <v>49</v>
      </c>
      <c r="E52" s="59"/>
      <c r="F52" s="100" t="s">
        <v>30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ref="U52:U73" si="7">IFERROR(I52/H52,0)</f>
        <v>0</v>
      </c>
      <c r="V52" s="71">
        <f t="shared" ref="V52:V73" si="8">IFERROR(SUM(H52+L52)/G52,0)</f>
        <v>0</v>
      </c>
      <c r="W52" s="72"/>
    </row>
    <row r="53" ht="12.75" customHeight="1">
      <c r="A53" s="102" t="s">
        <v>30</v>
      </c>
      <c r="B53" s="59"/>
      <c r="C53" s="59"/>
      <c r="D53" s="58"/>
      <c r="E53" s="75"/>
      <c r="F53" s="102" t="s">
        <v>68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7"/>
        <v>0</v>
      </c>
      <c r="V53" s="71">
        <f t="shared" si="8"/>
        <v>0</v>
      </c>
      <c r="W53" s="72"/>
    </row>
    <row r="54" ht="12.75" customHeight="1">
      <c r="A54" s="103" t="s">
        <v>30</v>
      </c>
      <c r="B54" s="103"/>
      <c r="C54" s="103"/>
      <c r="D54" s="58"/>
      <c r="E54" s="75"/>
      <c r="F54" s="104" t="s">
        <v>69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7"/>
        <v>0</v>
      </c>
      <c r="V54" s="71">
        <f t="shared" si="8"/>
        <v>0</v>
      </c>
      <c r="W54" s="72"/>
    </row>
    <row r="55" ht="12.75" customHeight="1">
      <c r="A55" s="105" t="s">
        <v>30</v>
      </c>
      <c r="B55" s="105" t="s">
        <v>31</v>
      </c>
      <c r="C55" s="106"/>
      <c r="D55" s="107" t="s">
        <v>49</v>
      </c>
      <c r="E55" s="95"/>
      <c r="F55" s="105" t="s">
        <v>31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7"/>
        <v>0</v>
      </c>
      <c r="V55" s="71">
        <f t="shared" si="8"/>
        <v>0</v>
      </c>
      <c r="W55" s="72"/>
    </row>
    <row r="56" ht="12.75" customHeight="1">
      <c r="A56" s="102" t="s">
        <v>30</v>
      </c>
      <c r="B56" s="103" t="s">
        <v>31</v>
      </c>
      <c r="C56" s="103"/>
      <c r="D56" s="108"/>
      <c r="E56" s="69"/>
      <c r="F56" s="109" t="s">
        <v>70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102" t="s">
        <v>31</v>
      </c>
      <c r="C57" s="59"/>
      <c r="D57" s="59"/>
      <c r="E57" s="75"/>
      <c r="F57" s="102" t="s">
        <v>71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2" t="s">
        <v>30</v>
      </c>
      <c r="B58" s="102" t="s">
        <v>31</v>
      </c>
      <c r="C58" s="102"/>
      <c r="D58" s="59"/>
      <c r="E58" s="75"/>
      <c r="F58" s="102" t="s">
        <v>72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10" t="s">
        <v>30</v>
      </c>
      <c r="B59" s="110" t="s">
        <v>31</v>
      </c>
      <c r="C59" s="110" t="s">
        <v>73</v>
      </c>
      <c r="D59" s="99" t="s">
        <v>49</v>
      </c>
      <c r="E59" s="84"/>
      <c r="F59" s="110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11" t="s">
        <v>30</v>
      </c>
      <c r="B60" s="111" t="s">
        <v>31</v>
      </c>
      <c r="C60" s="111" t="s">
        <v>73</v>
      </c>
      <c r="D60" s="112"/>
      <c r="E60" s="84"/>
      <c r="F60" s="111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11" t="s">
        <v>30</v>
      </c>
      <c r="B61" s="111" t="s">
        <v>31</v>
      </c>
      <c r="C61" s="111" t="s">
        <v>73</v>
      </c>
      <c r="D61" s="112"/>
      <c r="E61" s="84"/>
      <c r="F61" s="111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1" t="s">
        <v>30</v>
      </c>
      <c r="B62" s="111" t="s">
        <v>31</v>
      </c>
      <c r="C62" s="111" t="s">
        <v>73</v>
      </c>
      <c r="D62" s="112"/>
      <c r="E62" s="84"/>
      <c r="F62" s="111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73</v>
      </c>
      <c r="D63" s="112"/>
      <c r="E63" s="84"/>
      <c r="F63" s="113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73</v>
      </c>
      <c r="D64" s="112"/>
      <c r="E64" s="84"/>
      <c r="F64" s="113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00" t="s">
        <v>30</v>
      </c>
      <c r="B65" s="100" t="s">
        <v>31</v>
      </c>
      <c r="C65" s="100" t="s">
        <v>79</v>
      </c>
      <c r="D65" s="114" t="s">
        <v>49</v>
      </c>
      <c r="E65" s="75"/>
      <c r="F65" s="100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0" t="s">
        <v>30</v>
      </c>
      <c r="B66" s="110" t="s">
        <v>31</v>
      </c>
      <c r="C66" s="115" t="s">
        <v>80</v>
      </c>
      <c r="D66" s="116" t="s">
        <v>49</v>
      </c>
      <c r="E66" s="117"/>
      <c r="F66" s="115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1" t="s">
        <v>30</v>
      </c>
      <c r="B67" s="111" t="s">
        <v>31</v>
      </c>
      <c r="C67" s="113" t="s">
        <v>80</v>
      </c>
      <c r="D67" s="112"/>
      <c r="E67" s="84"/>
      <c r="F67" s="113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3" t="s">
        <v>80</v>
      </c>
      <c r="D68" s="118"/>
      <c r="E68" s="84"/>
      <c r="F68" s="113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05" t="s">
        <v>30</v>
      </c>
      <c r="B69" s="105" t="s">
        <v>32</v>
      </c>
      <c r="C69" s="105"/>
      <c r="D69" s="107" t="s">
        <v>49</v>
      </c>
      <c r="E69" s="81"/>
      <c r="F69" s="105" t="s">
        <v>32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2" t="s">
        <v>83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03" t="s">
        <v>30</v>
      </c>
      <c r="B72" s="103" t="s">
        <v>32</v>
      </c>
      <c r="C72" s="103"/>
      <c r="D72" s="58"/>
      <c r="E72" s="75"/>
      <c r="F72" s="104" t="s">
        <v>85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10" t="s">
        <v>30</v>
      </c>
      <c r="B73" s="110" t="s">
        <v>32</v>
      </c>
      <c r="C73" s="110" t="s">
        <v>86</v>
      </c>
      <c r="D73" s="99" t="s">
        <v>49</v>
      </c>
      <c r="E73" s="84"/>
      <c r="F73" s="110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19"/>
      <c r="B74" s="119"/>
      <c r="C74" s="119"/>
      <c r="D74" s="1"/>
      <c r="E74" s="119"/>
      <c r="F74" s="11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1"/>
      <c r="V74" s="121"/>
      <c r="W74" s="121"/>
    </row>
    <row r="75" ht="12.75" customHeight="1">
      <c r="A75" s="119"/>
      <c r="B75" s="119"/>
      <c r="C75" s="119"/>
      <c r="D75" s="1"/>
      <c r="E75" s="119"/>
      <c r="F75" s="11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1"/>
      <c r="V75" s="121"/>
      <c r="W75" s="121"/>
    </row>
    <row r="76" ht="12.75" customHeight="1">
      <c r="A76" s="119"/>
      <c r="B76" s="119"/>
      <c r="C76" s="119"/>
      <c r="D76" s="1"/>
      <c r="E76" s="119"/>
      <c r="F76" s="11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1"/>
      <c r="V76" s="121"/>
      <c r="W76" s="121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22"/>
      <c r="B593" s="122"/>
      <c r="C593" s="122"/>
      <c r="D593" s="123"/>
      <c r="E593" s="122"/>
      <c r="F593" s="124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72"/>
      <c r="V593" s="72"/>
      <c r="W593" s="72"/>
    </row>
    <row r="594" ht="12.75" customHeight="1">
      <c r="A594" s="122"/>
      <c r="B594" s="122"/>
      <c r="C594" s="122"/>
      <c r="D594" s="123"/>
      <c r="E594" s="122"/>
      <c r="F594" s="124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72"/>
      <c r="V594" s="72"/>
      <c r="W594" s="72"/>
    </row>
    <row r="595" ht="12.75" customHeight="1">
      <c r="A595" s="122"/>
      <c r="B595" s="122"/>
      <c r="C595" s="122"/>
      <c r="D595" s="123"/>
      <c r="E595" s="122"/>
      <c r="F595" s="124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72"/>
      <c r="V595" s="72"/>
      <c r="W595" s="72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6.25" customHeight="1">
      <c r="A1" s="132" t="s">
        <v>87</v>
      </c>
      <c r="B1" s="132" t="s">
        <v>88</v>
      </c>
      <c r="C1" s="132" t="s">
        <v>33</v>
      </c>
      <c r="D1" s="132" t="s">
        <v>89</v>
      </c>
      <c r="E1" s="132" t="s">
        <v>0</v>
      </c>
      <c r="F1" s="132" t="s">
        <v>90</v>
      </c>
      <c r="G1" s="132" t="s">
        <v>91</v>
      </c>
      <c r="H1" s="132" t="s">
        <v>92</v>
      </c>
      <c r="I1" s="132" t="s">
        <v>93</v>
      </c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</row>
    <row r="2">
      <c r="A2" s="134" t="s">
        <v>94</v>
      </c>
      <c r="B2" s="134" t="s">
        <v>95</v>
      </c>
      <c r="C2" s="134" t="s">
        <v>96</v>
      </c>
      <c r="D2" s="135">
        <v>46106.0</v>
      </c>
      <c r="E2" s="134">
        <v>2251.92</v>
      </c>
      <c r="F2" s="134" t="s">
        <v>97</v>
      </c>
      <c r="G2" s="134" t="s">
        <v>98</v>
      </c>
      <c r="H2" s="134" t="s">
        <v>99</v>
      </c>
      <c r="I2" s="134" t="s">
        <v>100</v>
      </c>
    </row>
  </sheetData>
  <drawing r:id="rId1"/>
</worksheet>
</file>