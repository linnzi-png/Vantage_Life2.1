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<sst xmlns="http://schemas.openxmlformats.org/spreadsheetml/2006/main" count="5181" uniqueCount="146">
  <si>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</si>
  <si>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</si>
  <si>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</si>
  <si>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</si>
  <si>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</si>
  <si>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</si>
  <si>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</si>
  <si>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</si>
  <si>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</si>
  <si>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</si>
  <si>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</si>
  <si>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</si>
  <si>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</si>
  <si>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</si>
  <si>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</si>
  <si>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</si>
  <si>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</si>
  <si>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</si>
  <si>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</si>
  <si>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</si>
  <si>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</si>
  <si>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</si>
  <si>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</si>
  <si>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</si>
  <si>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</si>
  <si>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</si>
  <si>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</si>
  <si>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</si>
  <si>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</si>
  <si>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</si>
  <si>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</si>
  <si>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</si>
  <si>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</si>
  <si>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</si>
  <si>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</si>
  <si>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</si>
  <si>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</si>
  <si>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</si>
  <si>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</si>
  <si>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</si>
  <si>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</si>
  <si>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</si>
  <si>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</si>
  <si>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</si>
  <si>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</si>
  <si>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</si>
  <si>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</si>
  <si>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</si>
  <si>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</si>
  <si>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</si>
  <si>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</si>
  <si>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</si>
  <si>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</si>
  <si>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</si>
  <si>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</si>
  <si>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</si>
  <si>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</si>
  <si>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</si>
  <si>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</si>
  <si>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</si>
  <si>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</si>
  <si>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</si>
  <si>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</si>
  <si>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</si>
  <si>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TN</t>
  </si>
  <si>
    <t>Preston Opperman</t>
  </si>
  <si>
    <t>Bilal Abdullah</t>
  </si>
  <si>
    <t>Kain White-Conley</t>
  </si>
  <si>
    <t>NH</t>
  </si>
  <si>
    <t>Cheri DiPiero</t>
  </si>
  <si>
    <t>Regina Gumma</t>
  </si>
  <si>
    <t>Andre Alire</t>
  </si>
  <si>
    <t>Kelvin Claney</t>
  </si>
  <si>
    <t>Patty Kilburn</t>
  </si>
  <si>
    <t>Jacob Bandyk</t>
  </si>
  <si>
    <t>Angelo Perez</t>
  </si>
  <si>
    <t>Megan Cannon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</si>
  <si>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</si>
  <si>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</si>
  <si>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</si>
  <si>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</si>
  <si>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</si>
  <si>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</si>
  <si>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</si>
  <si>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Tiera Williams</t>
  </si>
  <si>
    <t>Romona Armstead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</si>
  <si>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</si>
  <si>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</si>
  <si>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</si>
  <si>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</si>
  <si>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</si>
  <si>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</si>
  <si>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</si>
  <si>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</si>
  <si>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</si>
  <si>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</si>
  <si>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</si>
  <si>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</si>
  <si>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</si>
  <si>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</si>
  <si>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</si>
  <si>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</si>
  <si>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</si>
  <si>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</si>
  <si>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</si>
  <si>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</si>
  <si>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Emmy Phipps</t>
  </si>
  <si>
    <t>Sasha Blake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</si>
  <si>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</si>
  <si>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</si>
  <si>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</si>
  <si>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</si>
  <si>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</si>
  <si>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</si>
  <si>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</si>
  <si>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</si>
  <si>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</si>
  <si>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</si>
  <si>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</si>
  <si>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</si>
  <si>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</si>
  <si>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</si>
  <si>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</si>
  <si>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</si>
  <si>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</si>
  <si>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</si>
  <si>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</si>
  <si>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</si>
  <si>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</si>
  <si>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</si>
  <si>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</si>
  <si>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TARA JISKRA</t>
  </si>
  <si>
    <t>BRYANNA WAGNER</t>
  </si>
  <si>
    <t>TYLER</t>
  </si>
  <si>
    <t>N/A</t>
  </si>
  <si>
    <t>NO</t>
  </si>
  <si>
    <t>CANCEL PER AGENT NOTE</t>
  </si>
  <si>
    <t>JESSIE OTERO</t>
  </si>
  <si>
    <t>MICHAEL HALL</t>
  </si>
  <si>
    <t>BROWN</t>
  </si>
  <si>
    <t>YES</t>
  </si>
  <si>
    <t>REWRITE PER MANAGER NOTE.</t>
  </si>
  <si>
    <t>JOSHUA WHITE</t>
  </si>
  <si>
    <t>PRESTON OPPERMAN</t>
  </si>
  <si>
    <t>GOJCAJ</t>
  </si>
  <si>
    <t>REWRITING CLOSER TO EOM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</si>
</sst>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0" xfId="0" applyAlignment="1" applyBorder="1" applyFon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readingOrder="0" shrinkToFit="0" vertical="bottom" wrapText="1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4" numFmtId="0" xfId="0" applyAlignment="1" applyBorder="1" applyFont="1">
      <alignment shrinkToFit="0" vertical="bottom" wrapText="1"/>
    </xf>
    <xf borderId="22" fillId="3" fontId="15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6" numFmtId="0" xfId="0" applyAlignment="1" applyBorder="1" applyFont="1">
      <alignment shrinkToFit="0" vertical="bottom" wrapText="1"/>
    </xf>
    <xf borderId="22" fillId="4" fontId="16" numFmtId="0" xfId="0" applyAlignment="1" applyBorder="1" applyFont="1">
      <alignment shrinkToFit="0" vertical="center" wrapText="1"/>
    </xf>
    <xf borderId="22" fillId="4" fontId="16" numFmtId="0" xfId="0" applyAlignment="1" applyBorder="1" applyFont="1">
      <alignment readingOrder="0" vertical="center"/>
    </xf>
    <xf borderId="22" fillId="4" fontId="16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6" numFmtId="0" xfId="0" applyAlignment="1" applyBorder="1" applyFont="1">
      <alignment readingOrder="0" shrinkToFit="0" vertical="bottom" wrapText="1"/>
    </xf>
    <xf borderId="22" fillId="0" fontId="16" numFmtId="0" xfId="0" applyAlignment="1" applyBorder="1" applyFont="1">
      <alignment vertical="bottom"/>
    </xf>
    <xf borderId="22" fillId="0" fontId="16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4" fontId="1" numFmtId="0" xfId="0" applyAlignment="1" applyBorder="1" applyFont="1">
      <alignment vertical="bottom"/>
    </xf>
    <xf borderId="22" fillId="5" fontId="17" numFmtId="0" xfId="0" applyAlignment="1" applyBorder="1" applyFont="1">
      <alignment readingOrder="0" vertical="bottom"/>
    </xf>
    <xf borderId="22" fillId="5" fontId="1" numFmtId="0" xfId="0" applyAlignment="1" applyBorder="1" applyFont="1">
      <alignment vertical="bottom"/>
    </xf>
    <xf borderId="19" fillId="0" fontId="16" numFmtId="0" xfId="0" applyAlignment="1" applyBorder="1" applyFont="1">
      <alignment readingOrder="0" shrinkToFit="0" vertical="bottom" wrapText="1"/>
    </xf>
    <xf borderId="22" fillId="0" fontId="16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0" fontId="17" numFmtId="0" xfId="0" applyAlignment="1" applyBorder="1" applyFont="1">
      <alignment readingOrder="0" vertical="bottom"/>
    </xf>
    <xf borderId="22" fillId="0" fontId="1" numFmtId="0" xfId="0" applyAlignment="1" applyBorder="1" applyFont="1">
      <alignment vertical="bottom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7" fillId="6" fontId="9" numFmtId="9" xfId="0" applyAlignment="1" applyBorder="1" applyFont="1" applyNumberFormat="1">
      <alignment horizontal="right" readingOrder="0" vertical="center"/>
    </xf>
    <xf borderId="22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 t="str">
        <f>SUM(C5,C17,C20,C23,C26,C29)</f>
        <v>#REF!</v>
      </c>
      <c r="D2" s="10"/>
      <c r="E2" s="9">
        <f t="shared" ref="E2:R2" si="1">SUM(E5,E17,E20,E23,E26,E29)</f>
        <v>31015.96</v>
      </c>
      <c r="F2" s="9">
        <f t="shared" si="1"/>
        <v>102</v>
      </c>
      <c r="G2" s="9" t="str">
        <f t="shared" si="1"/>
        <v>#REF!</v>
      </c>
      <c r="H2" s="9" t="str">
        <f t="shared" si="1"/>
        <v>#REF!</v>
      </c>
      <c r="I2" s="9" t="str">
        <f t="shared" si="1"/>
        <v>#REF!</v>
      </c>
      <c r="J2" s="9" t="str">
        <f t="shared" si="1"/>
        <v>#REF!</v>
      </c>
      <c r="K2" s="9" t="str">
        <f t="shared" si="1"/>
        <v>#REF!</v>
      </c>
      <c r="L2" s="9" t="str">
        <f t="shared" si="1"/>
        <v>#REF!</v>
      </c>
      <c r="M2" s="9" t="str">
        <f t="shared" si="1"/>
        <v>#REF!</v>
      </c>
      <c r="N2" s="9" t="str">
        <f t="shared" si="1"/>
        <v>#REF!</v>
      </c>
      <c r="O2" s="9" t="str">
        <f t="shared" si="1"/>
        <v>#REF!</v>
      </c>
      <c r="P2" s="9" t="str">
        <f t="shared" si="1"/>
        <v>#REF!</v>
      </c>
      <c r="Q2" s="9" t="str">
        <f t="shared" si="1"/>
        <v>#REF!</v>
      </c>
      <c r="R2" s="9" t="str">
        <f t="shared" si="1"/>
        <v>#REF!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 t="str">
        <f>(C2/C4)</f>
        <v>#REF!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27865</v>
      </c>
      <c r="D5" s="31"/>
      <c r="E5" s="32">
        <f>SUMIFS(T:T,A:A,B5,D:D,"Y")</f>
        <v>23485</v>
      </c>
      <c r="F5" s="9">
        <f>SUMIF(A:A,B5,G:G)</f>
        <v>60</v>
      </c>
      <c r="G5" s="9">
        <f>SUMIF(A:A,B5,H:H)</f>
        <v>29</v>
      </c>
      <c r="H5" s="9">
        <f>SUMIF(A:A,B5,I:I)</f>
        <v>18</v>
      </c>
      <c r="I5" s="9">
        <f>SUMIF(A:A,B5,P:P)</f>
        <v>3</v>
      </c>
      <c r="J5" s="9">
        <f>SUMIF(A:A,B5,Q:Q)</f>
        <v>1</v>
      </c>
      <c r="K5" s="9">
        <f>SUMIF(A:A,B5,R:R)</f>
        <v>8</v>
      </c>
      <c r="L5" s="9">
        <f>SUMIF(A:A,B5,S:S)</f>
        <v>4</v>
      </c>
      <c r="M5" s="9">
        <f>SUMIF(A:A,B5,M:M)</f>
        <v>79</v>
      </c>
      <c r="N5" s="9">
        <f>SUMIF(A:A,B5,N:N)</f>
        <v>18</v>
      </c>
      <c r="O5" s="9">
        <f>SUMIF(A:A,B5,O:O)</f>
        <v>10</v>
      </c>
      <c r="P5" s="9">
        <f>SUMIF(A:A,B5,J:J)</f>
        <v>16</v>
      </c>
      <c r="Q5" s="9">
        <f>SUMIF(A:A,B5,K:K)</f>
        <v>12</v>
      </c>
      <c r="R5" s="33">
        <f>SUMIF(A:A,B5,L:L)</f>
        <v>7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1548.055556</v>
      </c>
      <c r="F7" s="41">
        <f>IFERROR((G5+R5)/F5,0)</f>
        <v>0.6</v>
      </c>
      <c r="G7" s="41">
        <f>IFERROR(H5/G5,0)</f>
        <v>0.6206896552</v>
      </c>
      <c r="H7" s="40">
        <f>(C5/C7)</f>
        <v>960.862069</v>
      </c>
      <c r="I7" s="42"/>
      <c r="J7" s="41">
        <f>IFERROR(J5/I5,0)</f>
        <v>0.3333333333</v>
      </c>
      <c r="K7" s="42"/>
      <c r="L7" s="41">
        <f>IFERROR(L5/K5,0)</f>
        <v>0.5</v>
      </c>
      <c r="M7" s="43">
        <f>IFERROR(M5/SUM(R5+G5,0),"")</f>
        <v>2.194444444</v>
      </c>
      <c r="N7" s="42"/>
      <c r="O7" s="41">
        <f>IFERROR(O5/N5,0)</f>
        <v>0.5555555556</v>
      </c>
      <c r="P7" s="43"/>
      <c r="Q7" s="41">
        <f>IFERROR(Q5/P5,0)</f>
        <v>0.75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8108</v>
      </c>
      <c r="D8" s="48"/>
      <c r="E8" s="49">
        <f>SUMIFS(T:T,B:B,B8,D:D,"Y")</f>
        <v>6408</v>
      </c>
      <c r="F8" s="50">
        <f>SUMIF(B28:B1082,B8,G28:G1082)</f>
        <v>6</v>
      </c>
      <c r="G8" s="51">
        <f>SUMIF(B28:B1082,B8,H28:H1082)</f>
        <v>6</v>
      </c>
      <c r="H8" s="51">
        <f>SUMIF(B28:B1082,B8,I28:I1082)</f>
        <v>2</v>
      </c>
      <c r="I8" s="51">
        <f>SUMIF(B28:B1082,B8,P28:P1082)</f>
        <v>0</v>
      </c>
      <c r="J8" s="51">
        <f>SUMIF(B28:B1082,B8,Q28:Q1082)</f>
        <v>0</v>
      </c>
      <c r="K8" s="51">
        <f>SUMIF(B28:B1082,B8,R28:R1082)</f>
        <v>2</v>
      </c>
      <c r="L8" s="51">
        <f>SUMIF(B28:B1082,B8,S28:S1082)</f>
        <v>1</v>
      </c>
      <c r="M8" s="51">
        <f>SUMIF(B28:B1082,B8,M28:M1082)</f>
        <v>23</v>
      </c>
      <c r="N8" s="51">
        <f>SUMIF(B28:B1082,B8,N28:N1082)</f>
        <v>3</v>
      </c>
      <c r="O8" s="51">
        <f>SUMIF(B28:B1082,B8,O28:O1082)</f>
        <v>1</v>
      </c>
      <c r="P8" s="51">
        <f>SUMIF(B28:B1082,B8,J28:J1082)</f>
        <v>1</v>
      </c>
      <c r="Q8" s="51">
        <f>SUMIF(B28:B1082,B8,K28:K1082)</f>
        <v>1</v>
      </c>
      <c r="R8" s="52">
        <f>SUMIF(B28:B1082,B8,L28:L1082)</f>
        <v>1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COUNTIFS(B35:B1082,B8)</f>
        <v>8</v>
      </c>
      <c r="D10" s="58"/>
      <c r="E10" s="22">
        <f>IFERROR(C8/H8,0)</f>
        <v>4054</v>
      </c>
      <c r="F10" s="23">
        <f>IFERROR((G8+R8)/F8,0)</f>
        <v>1.166666667</v>
      </c>
      <c r="G10" s="23">
        <f>IFERROR(H8/G8,0)</f>
        <v>0.3333333333</v>
      </c>
      <c r="H10" s="22">
        <f>(C8/C10)</f>
        <v>1013.5</v>
      </c>
      <c r="I10" s="24"/>
      <c r="J10" s="23">
        <f>IFERROR(J8/I8,0)</f>
        <v>0</v>
      </c>
      <c r="K10" s="24"/>
      <c r="L10" s="23">
        <f>IFERROR(L8/K8,0)</f>
        <v>0.5</v>
      </c>
      <c r="M10" s="25">
        <f>IFERROR(M8/SUM(R8+G8,0),"")</f>
        <v>3.285714286</v>
      </c>
      <c r="N10" s="24"/>
      <c r="O10" s="23">
        <f>IFERROR(O8/N8,0)</f>
        <v>0.3333333333</v>
      </c>
      <c r="P10" s="25"/>
      <c r="Q10" s="23">
        <f>IFERROR(Q8/P8,0)</f>
        <v>1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5917</v>
      </c>
      <c r="D11" s="48"/>
      <c r="E11" s="59">
        <f>SUMIFS(T:T,B:B,B11,D:D,"Y")</f>
        <v>4836</v>
      </c>
      <c r="F11" s="60">
        <f>SUMIF(B31:B1082,B11,G31:G1082)</f>
        <v>22</v>
      </c>
      <c r="G11" s="61">
        <f>SUMIF(B31:B1082,B11,H31:H1082)</f>
        <v>10</v>
      </c>
      <c r="H11" s="61">
        <f>SUMIF(B31:B1082,B11,I31:I1082)</f>
        <v>7</v>
      </c>
      <c r="I11" s="61">
        <f>SUMIF(B31:B1082,B11,P31:P1082)</f>
        <v>3</v>
      </c>
      <c r="J11" s="61">
        <f>SUMIF(B31:B1082,B11,Q31:Q1082)</f>
        <v>1</v>
      </c>
      <c r="K11" s="61">
        <f>SUMIF(B31:B1082,B11,R31:R1082)</f>
        <v>0</v>
      </c>
      <c r="L11" s="61">
        <f>SUMIF(B31:B1082,B11,S31:S1082)</f>
        <v>0</v>
      </c>
      <c r="M11" s="61">
        <f>SUMIF(B31:B1082,B11,M31:M1082)</f>
        <v>10</v>
      </c>
      <c r="N11" s="61">
        <f>SUMIF(B31:B1082,B11,N31:N1082)</f>
        <v>9</v>
      </c>
      <c r="O11" s="61">
        <f>SUMIF(B31:B1082,B11,O31:O1082)</f>
        <v>6</v>
      </c>
      <c r="P11" s="61">
        <f>SUMIF(B31:B1082,B11,J31:J1082)</f>
        <v>6</v>
      </c>
      <c r="Q11" s="61">
        <f>SUMIF(B31:B1082,B11,K31:K1082)</f>
        <v>5</v>
      </c>
      <c r="R11" s="62">
        <f>SUMIF(B31:B1082,B11,L31:L1082)</f>
        <v>1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COUNTIFS(B36:B1082,B11)</f>
        <v>4</v>
      </c>
      <c r="D13" s="58"/>
      <c r="E13" s="22">
        <f>IFERROR(C11/H11,0)</f>
        <v>845.2857143</v>
      </c>
      <c r="F13" s="23">
        <f>IFERROR((G11+R11)/F11,0)</f>
        <v>0.5</v>
      </c>
      <c r="G13" s="23">
        <f>IFERROR(H11/G11,0)</f>
        <v>0.7</v>
      </c>
      <c r="H13" s="22">
        <f>(C11/C13)</f>
        <v>1479.25</v>
      </c>
      <c r="I13" s="24"/>
      <c r="J13" s="23">
        <f>IFERROR(J11/I11,0)</f>
        <v>0.3333333333</v>
      </c>
      <c r="K13" s="24"/>
      <c r="L13" s="23">
        <f>IFERROR(L11/K11,0)</f>
        <v>0</v>
      </c>
      <c r="M13" s="25">
        <f>IFERROR(M11/SUM(R11+G11,0),"")</f>
        <v>0.9090909091</v>
      </c>
      <c r="N13" s="24"/>
      <c r="O13" s="23">
        <f>IFERROR(O11/N11,0)</f>
        <v>0.6666666667</v>
      </c>
      <c r="P13" s="25"/>
      <c r="Q13" s="23">
        <f>IFERROR(Q11/P11,0)</f>
        <v>0.8333333333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13840</v>
      </c>
      <c r="D14" s="64"/>
      <c r="E14" s="65">
        <f>SUMIFS(T:T,B:B,B14,D:D,"Y")</f>
        <v>12241</v>
      </c>
      <c r="F14" s="66">
        <f>SUMIF(B34:B1082,B14,G34:G1082)</f>
        <v>32</v>
      </c>
      <c r="G14" s="67">
        <f>SUMIF(B34:B1082,B14,H34:H1082)</f>
        <v>13</v>
      </c>
      <c r="H14" s="67">
        <f>SUMIF(B34:B1082,B14,I34:I1082)</f>
        <v>9</v>
      </c>
      <c r="I14" s="67">
        <f>SUMIF(B34:B1082,B14,P34:P1082)</f>
        <v>0</v>
      </c>
      <c r="J14" s="67">
        <f>SUMIF(B34:B1082,B14,Q34:Q1082)</f>
        <v>0</v>
      </c>
      <c r="K14" s="67">
        <f>SUMIF(B34:B1082,B14,R34:R1082)</f>
        <v>6</v>
      </c>
      <c r="L14" s="67">
        <f>SUMIF(B34:B1082,B14,S34:S1082)</f>
        <v>3</v>
      </c>
      <c r="M14" s="67">
        <f>SUMIF(B34:B1082,B14,M34:M1082)</f>
        <v>46</v>
      </c>
      <c r="N14" s="67">
        <f>SUMIF(B34:B1082,B14,N34:N1082)</f>
        <v>6</v>
      </c>
      <c r="O14" s="67">
        <f>SUMIF(B34:B1082,B14,O34:O1082)</f>
        <v>3</v>
      </c>
      <c r="P14" s="67">
        <f>SUMIF(B34:B1082,B14,J34:J1082)</f>
        <v>9</v>
      </c>
      <c r="Q14" s="67">
        <f>SUMIF(B34:B1082,B14,K34:K1082)</f>
        <v>6</v>
      </c>
      <c r="R14" s="68">
        <f>SUMIF(B34:B1082,B14,L34:L1082)</f>
        <v>5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COUNTIFS(B34:B1082,B14)</f>
        <v>16</v>
      </c>
      <c r="D16" s="58"/>
      <c r="E16" s="22">
        <f>IFERROR(C14/H14,0)</f>
        <v>1537.777778</v>
      </c>
      <c r="F16" s="23">
        <f>IFERROR((G14+R14)/F14,0)</f>
        <v>0.5625</v>
      </c>
      <c r="G16" s="23">
        <f>IFERROR(H14/G14,0)</f>
        <v>0.6923076923</v>
      </c>
      <c r="H16" s="22">
        <f>(C14/C16)</f>
        <v>865</v>
      </c>
      <c r="I16" s="24"/>
      <c r="J16" s="23">
        <f>IFERROR(J14/I14,0)</f>
        <v>0</v>
      </c>
      <c r="K16" s="24"/>
      <c r="L16" s="23">
        <f>IFERROR(L14/K14,0)</f>
        <v>0.5</v>
      </c>
      <c r="M16" s="25">
        <f>IFERROR(M14/SUM(G14+R14,0),"")</f>
        <v>2.555555556</v>
      </c>
      <c r="N16" s="24"/>
      <c r="O16" s="23">
        <f>IFERROR(O14/N14,0)</f>
        <v>0.5</v>
      </c>
      <c r="P16" s="25"/>
      <c r="Q16" s="23">
        <f>IFERROR(Q14/P14,0)</f>
        <v>0.6666666667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 t="str">
        <f>SUMIF(A:A,B17,T:T)</f>
        <v>#REF!</v>
      </c>
      <c r="D17" s="31"/>
      <c r="E17" s="70">
        <f>SUMIFS(T:T,A:A,B17,D:D,"Y")</f>
        <v>0</v>
      </c>
      <c r="F17" s="30">
        <f>SUMIF(A:A,B17,G:G)</f>
        <v>7</v>
      </c>
      <c r="G17" s="9" t="str">
        <f>SUMIF(A:A,B17,H:H)</f>
        <v>#REF!</v>
      </c>
      <c r="H17" s="9" t="str">
        <f>SUMIF(A:A,B17,I:I)</f>
        <v>#REF!</v>
      </c>
      <c r="I17" s="9" t="str">
        <f>SUMIF(A:A,B17,P:P)</f>
        <v>#REF!</v>
      </c>
      <c r="J17" s="9" t="str">
        <f>SUMIF(A:A,B17,Q:Q)</f>
        <v>#REF!</v>
      </c>
      <c r="K17" s="9" t="str">
        <f>SUMIF(A:A,B17,R:R)</f>
        <v>#REF!</v>
      </c>
      <c r="L17" s="9" t="str">
        <f>SUMIF(A:A,B17,S:S)</f>
        <v>#REF!</v>
      </c>
      <c r="M17" s="9" t="str">
        <f>SUMIF(A:A,B17,M:M)</f>
        <v>#REF!</v>
      </c>
      <c r="N17" s="9" t="str">
        <f>SUMIF(A:A,B17,N:N)</f>
        <v>#REF!</v>
      </c>
      <c r="O17" s="9" t="str">
        <f>SUMIF(A:A,B17,O:O)</f>
        <v>#REF!</v>
      </c>
      <c r="P17" s="9" t="str">
        <f>SUMIF(A:A,B17,J:J)</f>
        <v>#REF!</v>
      </c>
      <c r="Q17" s="9" t="str">
        <f>SUMIF(A:A,B17,K:K)</f>
        <v>#REF!</v>
      </c>
      <c r="R17" s="33" t="str">
        <f>SUMIF(A:A,B17,L:L)</f>
        <v>#REF!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 t="str">
        <f>(C17/C19)</f>
        <v>#REF!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2100</v>
      </c>
      <c r="D20" s="31"/>
      <c r="E20" s="70">
        <f>SUMIFS(T:T,A:A,B20,D:D,"Y")</f>
        <v>0</v>
      </c>
      <c r="F20" s="30">
        <f>SUMIF(A:A,B20,G:G)</f>
        <v>1</v>
      </c>
      <c r="G20" s="9">
        <f>SUMIF(A:A,B20,H:H)</f>
        <v>1</v>
      </c>
      <c r="H20" s="9">
        <f>SUMIF(A:A,B20,I:I)</f>
        <v>1</v>
      </c>
      <c r="I20" s="9">
        <f>SUMIF(A:A,B20,P:P)</f>
        <v>0</v>
      </c>
      <c r="J20" s="9">
        <f>SUMIF(A:A,B20,Q:Q)</f>
        <v>0</v>
      </c>
      <c r="K20" s="9">
        <f>SUMIF(A:A,B20,R:R)</f>
        <v>1</v>
      </c>
      <c r="L20" s="9">
        <f>SUMIF(A:A,B20,S:S)</f>
        <v>1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1</v>
      </c>
      <c r="Q20" s="9">
        <f>SUMIF(A:A,B20,K:K)</f>
        <v>1</v>
      </c>
      <c r="R20" s="33">
        <f>SUMIF(A:A,B20,L:L)</f>
        <v>1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2100</v>
      </c>
      <c r="F22" s="23">
        <f>IFERROR((G20+R20)/F20,0)</f>
        <v>2</v>
      </c>
      <c r="G22" s="23">
        <f>IFERROR(H20/G20,0)</f>
        <v>1</v>
      </c>
      <c r="H22" s="22">
        <f>(C20/C22)</f>
        <v>233.3333333</v>
      </c>
      <c r="I22" s="24"/>
      <c r="J22" s="23">
        <f>IFERROR(J20/I20,0)</f>
        <v>0</v>
      </c>
      <c r="K22" s="24"/>
      <c r="L22" s="23">
        <f>IFERROR(L20/K20,0)</f>
        <v>1</v>
      </c>
      <c r="M22" s="25">
        <f>IFERROR(M20/SUM(R20+G20,0),"")</f>
        <v>0</v>
      </c>
      <c r="N22" s="24"/>
      <c r="O22" s="23">
        <f>IFERROR(O20/N20,0)</f>
        <v>0</v>
      </c>
      <c r="P22" s="25"/>
      <c r="Q22" s="23">
        <f>IFERROR(Q20/P20,0)</f>
        <v>1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1262.76</v>
      </c>
      <c r="D23" s="31"/>
      <c r="E23" s="70">
        <f>SUMIFS(T:T,A:A,B23,D:D,"Y")</f>
        <v>1262.76</v>
      </c>
      <c r="F23" s="30">
        <f>SUMIF(A:A,B23,G:G)</f>
        <v>3</v>
      </c>
      <c r="G23" s="9">
        <f>SUMIF(A:A,B23,H:H)</f>
        <v>4</v>
      </c>
      <c r="H23" s="9">
        <f>SUMIF(A:A,B23,I:I)</f>
        <v>1</v>
      </c>
      <c r="I23" s="9">
        <f>SUMIF(A:A,B23,P:P)</f>
        <v>0</v>
      </c>
      <c r="J23" s="9">
        <f>SUMIF(A:A,B23,Q:Q)</f>
        <v>0</v>
      </c>
      <c r="K23" s="9">
        <f>SUMIF(A:A,B23,R:R)</f>
        <v>3</v>
      </c>
      <c r="L23" s="9">
        <f>SUMIF(A:A,B23,S:S)</f>
        <v>1</v>
      </c>
      <c r="M23" s="9">
        <f>SUMIF(A:A,B23,M:M)</f>
        <v>17</v>
      </c>
      <c r="N23" s="9">
        <f>SUMIF(A:A,B23,N:N)</f>
        <v>2</v>
      </c>
      <c r="O23" s="9">
        <f>SUMIF(A:A,B23,O:O)</f>
        <v>1</v>
      </c>
      <c r="P23" s="9">
        <f>SUMIF(A:A,B23,J:J)</f>
        <v>3</v>
      </c>
      <c r="Q23" s="9">
        <f>SUMIF(A:A,B23,K:K)</f>
        <v>1</v>
      </c>
      <c r="R23" s="33">
        <f>SUMIF(A:A,B23,L:L)</f>
        <v>1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1262.76</v>
      </c>
      <c r="F25" s="23">
        <f>IFERROR((G23+R23)/F23,0)</f>
        <v>1.666666667</v>
      </c>
      <c r="G25" s="23">
        <f>IFERROR(H23/G23,0)</f>
        <v>0.25</v>
      </c>
      <c r="H25" s="22">
        <f>(C23/C25)</f>
        <v>180.3942857</v>
      </c>
      <c r="I25" s="24"/>
      <c r="J25" s="23">
        <f>IFERROR(J23/I23,0)</f>
        <v>0</v>
      </c>
      <c r="K25" s="24"/>
      <c r="L25" s="23">
        <f>IFERROR(L23/K23,0)</f>
        <v>0.3333333333</v>
      </c>
      <c r="M25" s="25">
        <f>IFERROR(M23/SUM(R23+G23,0),"")</f>
        <v>3.4</v>
      </c>
      <c r="N25" s="24"/>
      <c r="O25" s="23">
        <f>IFERROR(O23/N23,0)</f>
        <v>0.5</v>
      </c>
      <c r="P25" s="25"/>
      <c r="Q25" s="23">
        <f>IFERROR(Q23/P23,0)</f>
        <v>0.3333333333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11023.2</v>
      </c>
      <c r="D26" s="75"/>
      <c r="E26" s="76">
        <f>SUMIFS(T:T,A:A,B26,D:D,"Y")</f>
        <v>6268.2</v>
      </c>
      <c r="F26" s="77">
        <f>SUMIF(A:A,B26,G:G)</f>
        <v>31</v>
      </c>
      <c r="G26" s="78">
        <f>SUMIF(A:A,B26,H:H)</f>
        <v>27</v>
      </c>
      <c r="H26" s="78" t="str">
        <f>SUMIF(A:A,B26,I:I)</f>
        <v>#VALUE!</v>
      </c>
      <c r="I26" s="78">
        <f>SUMIF(A:A,B26,P:P)</f>
        <v>1</v>
      </c>
      <c r="J26" s="78" t="str">
        <f>SUMIF(A:A,B26,Q:Q)</f>
        <v>#REF!</v>
      </c>
      <c r="K26" s="78">
        <f>SUMIF(A:A,B26,R:R)</f>
        <v>5</v>
      </c>
      <c r="L26" s="78">
        <f>SUMIF(A:A,B26,S:S)</f>
        <v>2</v>
      </c>
      <c r="M26" s="78">
        <f>SUMIF(A:A,B26,M:M)</f>
        <v>88</v>
      </c>
      <c r="N26" s="78">
        <f>SUMIF(A:A,B26,N:N)</f>
        <v>20</v>
      </c>
      <c r="O26" s="78">
        <f>SUMIF(A:A,B26,O:O)</f>
        <v>6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0.8709677419</v>
      </c>
      <c r="G28" s="89">
        <f>IFERROR(H26/G26,0)</f>
        <v>0</v>
      </c>
      <c r="H28" s="88">
        <f>(C26/C28)</f>
        <v>1002.109091</v>
      </c>
      <c r="I28" s="90"/>
      <c r="J28" s="89">
        <f>IFERROR(J26/I26,0)</f>
        <v>0</v>
      </c>
      <c r="K28" s="90"/>
      <c r="L28" s="89">
        <f>IFERROR(L26/K26,0)</f>
        <v>0.4</v>
      </c>
      <c r="M28" s="91">
        <f>IFERROR(M26/SUM(R26+G26,0),"")</f>
        <v>3.259259259</v>
      </c>
      <c r="N28" s="90"/>
      <c r="O28" s="89">
        <f>IFERROR(O26/N26,0)</f>
        <v>0.3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0</v>
      </c>
      <c r="H35" s="110">
        <f>('Thurs (2)'!H35+Thurs!H35+'Tues '!H35+Wed!H35+Fri!H35+'Mon '!H35+'Wed (2)'!H35+Sun!H35+Sat!H35)</f>
        <v>0</v>
      </c>
      <c r="I35" s="110">
        <f>('Thurs (2)'!I35+Thurs!I35+'Tues '!I35+Wed!I35+Fri!I35+'Mon '!I35+'Wed (2)'!I35+Sun!I35+Sat!I35)</f>
        <v>0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0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0</v>
      </c>
      <c r="Q35" s="110">
        <f>('Thurs (2)'!Q35+Thurs!Q35+'Tues '!Q35+Wed!Q35+Fri!Q35+'Mon '!Q35+'Wed (2)'!Q35+Sun!Q35+Sat!Q35)</f>
        <v>0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0</v>
      </c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0</v>
      </c>
      <c r="H36" s="110">
        <f>('Thurs (2)'!H36+Thurs!H36+'Tues '!H36+Wed!H36+Fri!H36+'Mon '!H36+'Wed (2)'!H36+Sun!H36+Sat!H36)</f>
        <v>0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0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0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0</v>
      </c>
      <c r="H37" s="110">
        <f>('Thurs (2)'!H37+Thurs!H37+'Tues '!H37+Wed!H37+Fri!H37+'Mon '!H37+'Wed (2)'!H37+Sun!H37+Sat!H37)</f>
        <v>1</v>
      </c>
      <c r="I37" s="110">
        <f>('Thurs (2)'!I37+Thurs!I37+'Tues '!I37+Wed!I37+Fri!I37+'Mon '!I37+'Wed (2)'!I37+Sun!I37+Sat!I37)</f>
        <v>1</v>
      </c>
      <c r="J37" s="110">
        <f>('Thurs (2)'!J37+Thurs!J37+'Tues '!J37+Wed!J37+Fri!J37+'Mon '!J37+'Wed (2)'!J37+Sun!J37+Sat!J37)</f>
        <v>1</v>
      </c>
      <c r="K37" s="110">
        <f>('Thurs (2)'!K37+Thurs!K37+'Tues '!K37+Wed!K37+Fri!K37+'Mon '!K37+'Wed (2)'!K37+Sun!K37+Sat!K37)</f>
        <v>1</v>
      </c>
      <c r="L37" s="110">
        <f>('Thurs (2)'!L37+Thurs!L37+'Tues '!L37+Wed!L37+Fri!L37+'Mon '!L37+'Wed (2)'!L37+Sun!L37+Sat!L37)</f>
        <v>0</v>
      </c>
      <c r="M37" s="110">
        <f>('Thurs (2)'!M37+Thurs!M37+'Tues '!M37+Wed!M37+Fri!M37+'Mon '!M37+'Wed (2)'!M37+Sun!M37+Sat!M37)</f>
        <v>7</v>
      </c>
      <c r="N37" s="110">
        <f>('Thurs (2)'!N37+Thurs!N37+'Tues '!N37+Wed!N37+Fri!N37+'Mon '!N37+'Wed (2)'!N37+Sun!N37+Sat!N37)</f>
        <v>0</v>
      </c>
      <c r="O37" s="110">
        <f>('Thurs (2)'!O37+Thurs!O37+'Tues '!O37+Wed!O37+Fri!O37+'Mon '!O37+'Wed (2)'!O37+Sun!O37+Sat!O37)</f>
        <v>0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1</v>
      </c>
      <c r="S37" s="110">
        <f>('Thurs (2)'!S37+Thurs!S37+'Tues '!S37+Wed!S37+Fri!S37+'Mon '!S37+'Wed (2)'!S37+Sun!S37+Sat!S37)</f>
        <v>1</v>
      </c>
      <c r="T37" s="110">
        <f>('Thurs (2)'!T37+Thurs!T37+'Tues '!T37+Wed!T37+Fri!T37+'Mon '!T37+'Wed (2)'!T37+Sun!T37+Sat!T37)</f>
        <v>6408</v>
      </c>
      <c r="U37" s="111">
        <f t="shared" si="2"/>
        <v>1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5</v>
      </c>
      <c r="H38" s="110">
        <f>('Thurs (2)'!H38+Thurs!H38+'Tues '!H38+Wed!H38+Fri!H38+'Mon '!H38+'Wed (2)'!H38+Sun!H38+Sat!H38)</f>
        <v>4</v>
      </c>
      <c r="I38" s="110">
        <f>('Thurs (2)'!I38+Thurs!I38+'Tues '!I38+Wed!I38+Fri!I38+'Mon '!I38+'Wed (2)'!I38+Sun!I38+Sat!I38)</f>
        <v>1</v>
      </c>
      <c r="J38" s="110">
        <f>('Thurs (2)'!J38+Thurs!J38+'Tues '!J38+Wed!J38+Fri!J38+'Mon '!J38+'Wed (2)'!J38+Sun!J38+Sat!J38)</f>
        <v>0</v>
      </c>
      <c r="K38" s="110">
        <f>('Thurs (2)'!K38+Thurs!K38+'Tues '!K38+Wed!K38+Fri!K38+'Mon '!K38+'Wed (2)'!K38+Sun!K38+Sat!K38)</f>
        <v>0</v>
      </c>
      <c r="L38" s="110">
        <f>('Thurs (2)'!L38+Thurs!L38+'Tues '!L38+Wed!L38+Fri!L38+'Mon '!L38+'Wed (2)'!L38+Sun!L38+Sat!L38)</f>
        <v>1</v>
      </c>
      <c r="M38" s="110">
        <f>('Thurs (2)'!M38+Thurs!M38+'Tues '!M38+Wed!M38+Fri!M38+'Mon '!M38+'Wed (2)'!M38+Sun!M38+Sat!M38)</f>
        <v>16</v>
      </c>
      <c r="N38" s="110">
        <f>('Thurs (2)'!N38+Thurs!N38+'Tues '!N38+Wed!N38+Fri!N38+'Mon '!N38+'Wed (2)'!N38+Sun!N38+Sat!N38)</f>
        <v>3</v>
      </c>
      <c r="O38" s="110">
        <f>('Thurs (2)'!O38+Thurs!O38+'Tues '!O38+Wed!O38+Fri!O38+'Mon '!O38+'Wed (2)'!O38+Sun!O38+Sat!O38)</f>
        <v>1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1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1700</v>
      </c>
      <c r="U38" s="111">
        <f t="shared" si="2"/>
        <v>0.25</v>
      </c>
      <c r="V38" s="111">
        <f t="shared" si="3"/>
        <v>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>
        <f>('Thurs (2)'!G39+Thurs!G39+'Tues '!G39+Wed!G39+Fri!G39+'Mon '!G39+'Wed (2)'!G39+Sun!G39+Sat!G39)</f>
        <v>0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>
        <f>('Thurs (2)'!G40+Thurs!G40+'Tues '!G40+Wed!G40+Fri!G40+'Mon '!G40+'Wed (2)'!G40+Sun!G40+Sat!G40)</f>
        <v>1</v>
      </c>
      <c r="H40" s="110">
        <f>('Thurs (2)'!H40+Thurs!H40+'Tues '!H40+Wed!H40+Fri!H40+'Mon '!H40+'Wed (2)'!H40+Sun!H40+Sat!H40)</f>
        <v>1</v>
      </c>
      <c r="I40" s="110">
        <f>('Thurs (2)'!I40+Thurs!I40+'Tues '!I40+Wed!I40+Fri!I40+'Mon '!I40+'Wed (2)'!I40+Sun!I40+Sat!I40)</f>
        <v>0</v>
      </c>
      <c r="J40" s="110">
        <f>('Thurs (2)'!J40+Thurs!J40+'Tues '!J40+Wed!J40+Fri!J40+'Mon '!J40+'Wed (2)'!J40+Sun!J40+Sat!J40)</f>
        <v>0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0</v>
      </c>
      <c r="U40" s="111">
        <f t="shared" si="2"/>
        <v>0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>
        <f>('Thurs (2)'!G41+Thurs!G41+'Tues '!G41+Wed!G41+Fri!G41+'Mon '!G41+'Wed (2)'!G41+Sun!G41+Sat!G41)</f>
        <v>0</v>
      </c>
      <c r="H41" s="110">
        <f>('Thurs (2)'!H41+Thurs!H41+'Tues '!H41+Wed!H41+Fri!H41+'Mon '!H41+'Wed (2)'!H41+Sun!H41+Sat!H41)</f>
        <v>0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0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0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>
        <f>('Thurs (2)'!G43+Thurs!G43+'Tues '!G43+Wed!G43+Fri!G43+'Mon '!G43+'Wed (2)'!G43+Sun!G43+Sat!G43)</f>
        <v>19</v>
      </c>
      <c r="H43" s="110">
        <f>('Thurs (2)'!H43+Thurs!H43+'Tues '!H43+Wed!H43+Fri!H43+'Mon '!H43+'Wed (2)'!H43+Sun!H43+Sat!H43)</f>
        <v>7</v>
      </c>
      <c r="I43" s="110">
        <f>('Thurs (2)'!I43+Thurs!I43+'Tues '!I43+Wed!I43+Fri!I43+'Mon '!I43+'Wed (2)'!I43+Sun!I43+Sat!I43)</f>
        <v>5</v>
      </c>
      <c r="J43" s="110">
        <f>('Thurs (2)'!J43+Thurs!J43+'Tues '!J43+Wed!J43+Fri!J43+'Mon '!J43+'Wed (2)'!J43+Sun!J43+Sat!J43)</f>
        <v>3</v>
      </c>
      <c r="K43" s="110">
        <f>('Thurs (2)'!K43+Thurs!K43+'Tues '!K43+Wed!K43+Fri!K43+'Mon '!K43+'Wed (2)'!K43+Sun!K43+Sat!K43)</f>
        <v>3</v>
      </c>
      <c r="L43" s="110">
        <f>('Thurs (2)'!L43+Thurs!L43+'Tues '!L43+Wed!L43+Fri!L43+'Mon '!L43+'Wed (2)'!L43+Sun!L43+Sat!L43)</f>
        <v>1</v>
      </c>
      <c r="M43" s="110">
        <f>('Thurs (2)'!M43+Thurs!M43+'Tues '!M43+Wed!M43+Fri!M43+'Mon '!M43+'Wed (2)'!M43+Sun!M43+Sat!M43)</f>
        <v>10</v>
      </c>
      <c r="N43" s="110">
        <f>('Thurs (2)'!N43+Thurs!N43+'Tues '!N43+Wed!N43+Fri!N43+'Mon '!N43+'Wed (2)'!N43+Sun!N43+Sat!N43)</f>
        <v>6</v>
      </c>
      <c r="O43" s="110">
        <f>('Thurs (2)'!O43+Thurs!O43+'Tues '!O43+Wed!O43+Fri!O43+'Mon '!O43+'Wed (2)'!O43+Sun!O43+Sat!O43)</f>
        <v>4</v>
      </c>
      <c r="P43" s="110">
        <f>('Thurs (2)'!P43+Thurs!P43+'Tues '!P43+Wed!P43+Fri!P43+'Mon '!P43+'Wed (2)'!P43+Sun!P43+Sat!P43)</f>
        <v>3</v>
      </c>
      <c r="Q43" s="110">
        <f>('Thurs (2)'!Q43+Thurs!Q43+'Tues '!Q43+Wed!Q43+Fri!Q43+'Mon '!Q43+'Wed (2)'!Q43+Sun!Q43+Sat!Q43)</f>
        <v>1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4836</v>
      </c>
      <c r="U43" s="111">
        <f t="shared" si="2"/>
        <v>0.7142857143</v>
      </c>
      <c r="V43" s="111">
        <f t="shared" si="3"/>
        <v>0.4210526316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>
        <f>('Thurs (2)'!G45+Thurs!G45+'Tues '!G45+Wed!G45+Fri!G45+'Mon '!G45+'Wed (2)'!G45+Sun!G45+Sat!G45)</f>
        <v>3</v>
      </c>
      <c r="H45" s="110">
        <f>('Thurs (2)'!H45+Thurs!H45+'Tues '!H45+Wed!H45+Fri!H45+'Mon '!H45+'Wed (2)'!H45+Sun!H45+Sat!H45)</f>
        <v>3</v>
      </c>
      <c r="I45" s="110">
        <f>('Thurs (2)'!I45+Thurs!I45+'Tues '!I45+Wed!I45+Fri!I45+'Mon '!I45+'Wed (2)'!I45+Sun!I45+Sat!I45)</f>
        <v>2</v>
      </c>
      <c r="J45" s="110">
        <f>('Thurs (2)'!J45+Thurs!J45+'Tues '!J45+Wed!J45+Fri!J45+'Mon '!J45+'Wed (2)'!J45+Sun!J45+Sat!J45)</f>
        <v>3</v>
      </c>
      <c r="K45" s="110">
        <f>('Thurs (2)'!K45+Thurs!K45+'Tues '!K45+Wed!K45+Fri!K45+'Mon '!K45+'Wed (2)'!K45+Sun!K45+Sat!K45)</f>
        <v>2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3</v>
      </c>
      <c r="O45" s="110">
        <f>('Thurs (2)'!O45+Thurs!O45+'Tues '!O45+Wed!O45+Fri!O45+'Mon '!O45+'Wed (2)'!O45+Sun!O45+Sat!O45)</f>
        <v>2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1081</v>
      </c>
      <c r="U45" s="111">
        <f t="shared" si="2"/>
        <v>0.6666666667</v>
      </c>
      <c r="V45" s="111">
        <f t="shared" si="3"/>
        <v>1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>
        <f>('Thurs (2)'!G46+Thurs!G46+'Tues '!G46+Wed!G46+Fri!G46+'Mon '!G46+'Wed (2)'!G46+Sun!G46+Sat!G46)</f>
        <v>0</v>
      </c>
      <c r="H46" s="110">
        <f>('Thurs (2)'!H46+Thurs!H46+'Tues '!H46+Wed!H46+Fri!H46+'Mon '!H46+'Wed (2)'!H46+Sun!H46+Sat!H46)</f>
        <v>0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0</v>
      </c>
      <c r="M46" s="110">
        <f>('Thurs (2)'!M46+Thurs!M46+'Tues '!M46+Wed!M46+Fri!M46+'Mon '!M46+'Wed (2)'!M46+Sun!M46+Sat!M46)</f>
        <v>0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0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>
        <f>('Thurs (2)'!G47+Thurs!G47+'Tues '!G47+Wed!G47+Fri!G47+'Mon '!G47+'Wed (2)'!G47+Sun!G47+Sat!G47)</f>
        <v>0</v>
      </c>
      <c r="H47" s="110">
        <f>('Thurs (2)'!H47+Thurs!H47+'Tues '!H47+Wed!H47+Fri!H47+'Mon '!H47+'Wed (2)'!H47+Sun!H47+Sat!H47)</f>
        <v>0</v>
      </c>
      <c r="I47" s="110">
        <f>('Thurs (2)'!I47+Thurs!I47+'Tues '!I47+Wed!I47+Fri!I47+'Mon '!I47+'Wed (2)'!I47+Sun!I47+Sat!I47)</f>
        <v>0</v>
      </c>
      <c r="J47" s="110">
        <f>('Thurs (2)'!J47+Thurs!J47+'Tues '!J47+Wed!J47+Fri!J47+'Mon '!J47+'Wed (2)'!J47+Sun!J47+Sat!J47)</f>
        <v>0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0</v>
      </c>
      <c r="M47" s="110">
        <f>('Thurs (2)'!M47+Thurs!M47+'Tues '!M47+Wed!M47+Fri!M47+'Mon '!M47+'Wed (2)'!M47+Sun!M47+Sat!M47)</f>
        <v>0</v>
      </c>
      <c r="N47" s="110">
        <f>('Thurs (2)'!N47+Thurs!N47+'Tues '!N47+Wed!N47+Fri!N47+'Mon '!N47+'Wed (2)'!N47+Sun!N47+Sat!N47)</f>
        <v>0</v>
      </c>
      <c r="O47" s="110">
        <f>('Thurs (2)'!O47+Thurs!O47+'Tues '!O47+Wed!O47+Fri!O47+'Mon '!O47+'Wed (2)'!O47+Sun!O47+Sat!O47)</f>
        <v>0</v>
      </c>
      <c r="P47" s="110">
        <f>('Thurs (2)'!P47+Thurs!P47+'Tues '!P47+Wed!P47+Fri!P47+'Mon '!P47+'Wed (2)'!P47+Sun!P47+Sat!P47)</f>
        <v>0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0</v>
      </c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>
        <f>('Thurs (2)'!G49+Thurs!G49+'Tues '!G49+Wed!G49+Fri!G49+'Mon '!G49+'Wed (2)'!G49+Sun!G49+Sat!G49)</f>
        <v>0</v>
      </c>
      <c r="H49" s="110">
        <f>('Thurs (2)'!H49+Thurs!H49+'Tues '!H49+Wed!H49+Fri!H49+'Mon '!H49+'Wed (2)'!H49+Sun!H49+Sat!H49)</f>
        <v>0</v>
      </c>
      <c r="I49" s="110">
        <f>('Thurs (2)'!I49+Thurs!I49+'Tues '!I49+Wed!I49+Fri!I49+'Mon '!I49+'Wed (2)'!I49+Sun!I49+Sat!I49)</f>
        <v>0</v>
      </c>
      <c r="J49" s="110">
        <f>('Thurs (2)'!J49+Thurs!J49+'Tues '!J49+Wed!J49+Fri!J49+'Mon '!J49+'Wed (2)'!J49+Sun!J49+Sat!J49)</f>
        <v>0</v>
      </c>
      <c r="K49" s="110">
        <f>('Thurs (2)'!K49+Thurs!K49+'Tues '!K49+Wed!K49+Fri!K49+'Mon '!K49+'Wed (2)'!K49+Sun!K49+Sat!K49)</f>
        <v>0</v>
      </c>
      <c r="L49" s="110">
        <f>('Thurs (2)'!L49+Thurs!L49+'Tues '!L49+Wed!L49+Fri!L49+'Mon '!L49+'Wed (2)'!L49+Sun!L49+Sat!L49)</f>
        <v>0</v>
      </c>
      <c r="M49" s="110">
        <f>('Thurs (2)'!M49+Thurs!M49+'Tues '!M49+Wed!M49+Fri!M49+'Mon '!M49+'Wed (2)'!M49+Sun!M49+Sat!M49)</f>
        <v>0</v>
      </c>
      <c r="N49" s="110">
        <f>('Thurs (2)'!N49+Thurs!N49+'Tues '!N49+Wed!N49+Fri!N49+'Mon '!N49+'Wed (2)'!N49+Sun!N49+Sat!N49)</f>
        <v>0</v>
      </c>
      <c r="O49" s="110">
        <f>('Thurs (2)'!O49+Thurs!O49+'Tues '!O49+Wed!O49+Fri!O49+'Mon '!O49+'Wed (2)'!O49+Sun!O49+Sat!O49)</f>
        <v>0</v>
      </c>
      <c r="P49" s="110">
        <f>('Thurs (2)'!P49+Thurs!P49+'Tues '!P49+Wed!P49+Fri!P49+'Mon '!P49+'Wed (2)'!P49+Sun!P49+Sat!P49)</f>
        <v>0</v>
      </c>
      <c r="Q49" s="110">
        <f>('Thurs (2)'!Q49+Thurs!Q49+'Tues '!Q49+Wed!Q49+Fri!Q49+'Mon '!Q49+'Wed (2)'!Q49+Sun!Q49+Sat!Q49)</f>
        <v>0</v>
      </c>
      <c r="R49" s="110">
        <f>('Thurs (2)'!R49+Thurs!R49+'Tues '!R49+Wed!R49+Fri!R49+'Mon '!R49+'Wed (2)'!R49+Sun!R49+Sat!R49)</f>
        <v>0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>
        <f>('Thurs (2)'!G50+Thurs!G50+'Tues '!G50+Wed!G50+Fri!G50+'Mon '!G50+'Wed (2)'!G50+Sun!G50+Sat!G50)</f>
        <v>0</v>
      </c>
      <c r="H50" s="110">
        <f>('Thurs (2)'!H50+Thurs!H50+'Tues '!H50+Wed!H50+Fri!H50+'Mon '!H50+'Wed (2)'!H50+Sun!H50+Sat!H50)</f>
        <v>0</v>
      </c>
      <c r="I50" s="110">
        <f>('Thurs (2)'!I50+Thurs!I50+'Tues '!I50+Wed!I50+Fri!I50+'Mon '!I50+'Wed (2)'!I50+Sun!I50+Sat!I50)</f>
        <v>0</v>
      </c>
      <c r="J50" s="110">
        <f>('Thurs (2)'!J50+Thurs!J50+'Tues '!J50+Wed!J50+Fri!J50+'Mon '!J50+'Wed (2)'!J50+Sun!J50+Sat!J50)</f>
        <v>0</v>
      </c>
      <c r="K50" s="110">
        <f>('Thurs (2)'!K50+Thurs!K50+'Tues '!K50+Wed!K50+Fri!K50+'Mon '!K50+'Wed (2)'!K50+Sun!K50+Sat!K50)</f>
        <v>0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0</v>
      </c>
      <c r="N50" s="110">
        <f>('Thurs (2)'!N50+Thurs!N50+'Tues '!N50+Wed!N50+Fri!N50+'Mon '!N50+'Wed (2)'!N50+Sun!N50+Sat!N50)</f>
        <v>0</v>
      </c>
      <c r="O50" s="110">
        <f>('Thurs (2)'!O50+Thurs!O50+'Tues '!O50+Wed!O50+Fri!O50+'Mon '!O50+'Wed (2)'!O50+Sun!O50+Sat!O50)</f>
        <v>0</v>
      </c>
      <c r="P50" s="110">
        <f>('Thurs (2)'!P50+Thurs!P50+'Tues '!P50+Wed!P50+Fri!P50+'Mon '!P50+'Wed (2)'!P50+Sun!P50+Sat!P50)</f>
        <v>0</v>
      </c>
      <c r="Q50" s="110">
        <f>('Thurs (2)'!Q50+Thurs!Q50+'Tues '!Q50+Wed!Q50+Fri!Q50+'Mon '!Q50+'Wed (2)'!Q50+Sun!Q50+Sat!Q50)</f>
        <v>0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>
        <f>('Thurs (2)'!G51+Thurs!G51+'Tues '!G51+Wed!G51+Fri!G51+'Mon '!G51+'Wed (2)'!G51+Sun!G51+Sat!G51)</f>
        <v>0</v>
      </c>
      <c r="H51" s="110">
        <f>('Thurs (2)'!H51+Thurs!H51+'Tues '!H51+Wed!H51+Fri!H51+'Mon '!H51+'Wed (2)'!H51+Sun!H51+Sat!H51)</f>
        <v>0</v>
      </c>
      <c r="I51" s="110">
        <f>('Thurs (2)'!I51+Thurs!I51+'Tues '!I51+Wed!I51+Fri!I51+'Mon '!I51+'Wed (2)'!I51+Sun!I51+Sat!I51)</f>
        <v>0</v>
      </c>
      <c r="J51" s="110">
        <f>('Thurs (2)'!J51+Thurs!J51+'Tues '!J51+Wed!J51+Fri!J51+'Mon '!J51+'Wed (2)'!J51+Sun!J51+Sat!J51)</f>
        <v>0</v>
      </c>
      <c r="K51" s="110">
        <f>('Thurs (2)'!K51+Thurs!K51+'Tues '!K51+Wed!K51+Fri!K51+'Mon '!K51+'Wed (2)'!K51+Sun!K51+Sat!K51)</f>
        <v>0</v>
      </c>
      <c r="L51" s="110">
        <f>('Thurs (2)'!L51+Thurs!L51+'Tues '!L51+Wed!L51+Fri!L51+'Mon '!L51+'Wed (2)'!L51+Sun!L51+Sat!L51)</f>
        <v>0</v>
      </c>
      <c r="M51" s="110">
        <f>('Thurs (2)'!M51+Thurs!M51+'Tues '!M51+Wed!M51+Fri!M51+'Mon '!M51+'Wed (2)'!M51+Sun!M51+Sat!M51)</f>
        <v>0</v>
      </c>
      <c r="N51" s="110">
        <f>('Thurs (2)'!N51+Thurs!N51+'Tues '!N51+Wed!N51+Fri!N51+'Mon '!N51+'Wed (2)'!N51+Sun!N51+Sat!N51)</f>
        <v>0</v>
      </c>
      <c r="O51" s="110">
        <f>('Thurs (2)'!O51+Thurs!O51+'Tues '!O51+Wed!O51+Fri!O51+'Mon '!O51+'Wed (2)'!O51+Sun!O51+Sat!O51)</f>
        <v>0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0</v>
      </c>
      <c r="S51" s="110">
        <f>('Thurs (2)'!S51+Thurs!S51+'Tues '!S51+Wed!S51+Fri!S51+'Mon '!S51+'Wed (2)'!S51+Sun!S51+Sat!S51)</f>
        <v>0</v>
      </c>
      <c r="T51" s="110">
        <f>('Thurs (2)'!T51+Thurs!T51+'Tues '!T51+Wed!T51+Fri!T51+'Mon '!T51+'Wed (2)'!T51+Sun!T51+Sat!T51)</f>
        <v>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>
        <f>('Thurs (2)'!G52+Thurs!G52+'Tues '!G52+Wed!G52+Fri!G52+'Mon '!G52+'Wed (2)'!G52+Sun!G52+Sat!G52)</f>
        <v>0</v>
      </c>
      <c r="H52" s="110">
        <f>('Thurs (2)'!H52+Thurs!H52+'Tues '!H52+Wed!H52+Fri!H52+'Mon '!H52+'Wed (2)'!H52+Sun!H52+Sat!H52)</f>
        <v>0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0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0</v>
      </c>
      <c r="M52" s="110">
        <f>('Thurs (2)'!M52+Thurs!M52+'Tues '!M52+Wed!M52+Fri!M52+'Mon '!M52+'Wed (2)'!M52+Sun!M52+Sat!M52)</f>
        <v>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>
        <f>('Thurs (2)'!G53+Thurs!G53+'Tues '!G53+Wed!G53+Fri!G53+'Mon '!G53+'Wed (2)'!G53+Sun!G53+Sat!G53)</f>
        <v>13</v>
      </c>
      <c r="H53" s="110">
        <f>('Thurs (2)'!H53+Thurs!H53+'Tues '!H53+Wed!H53+Fri!H53+'Mon '!H53+'Wed (2)'!H53+Sun!H53+Sat!H53)</f>
        <v>4</v>
      </c>
      <c r="I53" s="110">
        <f>('Thurs (2)'!I53+Thurs!I53+'Tues '!I53+Wed!I53+Fri!I53+'Mon '!I53+'Wed (2)'!I53+Sun!I53+Sat!I53)</f>
        <v>4</v>
      </c>
      <c r="J53" s="110">
        <f>('Thurs (2)'!J53+Thurs!J53+'Tues '!J53+Wed!J53+Fri!J53+'Mon '!J53+'Wed (2)'!J53+Sun!J53+Sat!J53)</f>
        <v>3</v>
      </c>
      <c r="K53" s="110">
        <f>('Thurs (2)'!K53+Thurs!K53+'Tues '!K53+Wed!K53+Fri!K53+'Mon '!K53+'Wed (2)'!K53+Sun!K53+Sat!K53)</f>
        <v>3</v>
      </c>
      <c r="L53" s="110">
        <f>('Thurs (2)'!L53+Thurs!L53+'Tues '!L53+Wed!L53+Fri!L53+'Mon '!L53+'Wed (2)'!L53+Sun!L53+Sat!L53)</f>
        <v>0</v>
      </c>
      <c r="M53" s="110">
        <f>('Thurs (2)'!M53+Thurs!M53+'Tues '!M53+Wed!M53+Fri!M53+'Mon '!M53+'Wed (2)'!M53+Sun!M53+Sat!M53)</f>
        <v>15</v>
      </c>
      <c r="N53" s="110">
        <f>('Thurs (2)'!N53+Thurs!N53+'Tues '!N53+Wed!N53+Fri!N53+'Mon '!N53+'Wed (2)'!N53+Sun!N53+Sat!N53)</f>
        <v>2</v>
      </c>
      <c r="O53" s="110">
        <f>('Thurs (2)'!O53+Thurs!O53+'Tues '!O53+Wed!O53+Fri!O53+'Mon '!O53+'Wed (2)'!O53+Sun!O53+Sat!O53)</f>
        <v>1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1</v>
      </c>
      <c r="S53" s="110">
        <f>('Thurs (2)'!S53+Thurs!S53+'Tues '!S53+Wed!S53+Fri!S53+'Mon '!S53+'Wed (2)'!S53+Sun!S53+Sat!S53)</f>
        <v>1</v>
      </c>
      <c r="T53" s="110">
        <f>('Thurs (2)'!T53+Thurs!T53+'Tues '!T53+Wed!T53+Fri!T53+'Mon '!T53+'Wed (2)'!T53+Sun!T53+Sat!T53)</f>
        <v>8383</v>
      </c>
      <c r="U53" s="111">
        <f t="shared" si="2"/>
        <v>1</v>
      </c>
      <c r="V53" s="111">
        <f t="shared" si="3"/>
        <v>0.3076923077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>
        <f>('Thurs (2)'!G54+Thurs!G54+'Tues '!G54+Wed!G54+Fri!G54+'Mon '!G54+'Wed (2)'!G54+Sun!G54+Sat!G54)</f>
        <v>0</v>
      </c>
      <c r="H54" s="110">
        <f>('Thurs (2)'!H54+Thurs!H54+'Tues '!H54+Wed!H54+Fri!H54+'Mon '!H54+'Wed (2)'!H54+Sun!H54+Sat!H54)</f>
        <v>0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0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0</v>
      </c>
      <c r="M54" s="110">
        <f>('Thurs (2)'!M54+Thurs!M54+'Tues '!M54+Wed!M54+Fri!M54+'Mon '!M54+'Wed (2)'!M54+Sun!M54+Sat!M54)</f>
        <v>0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>
        <f>('Thurs (2)'!G56+Thurs!G56+'Tues '!G56+Wed!G56+Fri!G56+'Mon '!G56+'Wed (2)'!G56+Sun!G56+Sat!G56)</f>
        <v>6</v>
      </c>
      <c r="H56" s="110">
        <f>('Thurs (2)'!H56+Thurs!H56+'Tues '!H56+Wed!H56+Fri!H56+'Mon '!H56+'Wed (2)'!H56+Sun!H56+Sat!H56)</f>
        <v>3</v>
      </c>
      <c r="I56" s="110">
        <f>('Thurs (2)'!I56+Thurs!I56+'Tues '!I56+Wed!I56+Fri!I56+'Mon '!I56+'Wed (2)'!I56+Sun!I56+Sat!I56)</f>
        <v>3</v>
      </c>
      <c r="J56" s="110">
        <f>('Thurs (2)'!J56+Thurs!J56+'Tues '!J56+Wed!J56+Fri!J56+'Mon '!J56+'Wed (2)'!J56+Sun!J56+Sat!J56)</f>
        <v>1</v>
      </c>
      <c r="K56" s="110">
        <f>('Thurs (2)'!K56+Thurs!K56+'Tues '!K56+Wed!K56+Fri!K56+'Mon '!K56+'Wed (2)'!K56+Sun!K56+Sat!K56)</f>
        <v>1</v>
      </c>
      <c r="L56" s="110">
        <f>('Thurs (2)'!L56+Thurs!L56+'Tues '!L56+Wed!L56+Fri!L56+'Mon '!L56+'Wed (2)'!L56+Sun!L56+Sat!L56)</f>
        <v>1</v>
      </c>
      <c r="M56" s="110">
        <f>('Thurs (2)'!M56+Thurs!M56+'Tues '!M56+Wed!M56+Fri!M56+'Mon '!M56+'Wed (2)'!M56+Sun!M56+Sat!M56)</f>
        <v>12</v>
      </c>
      <c r="N56" s="110">
        <f>('Thurs (2)'!N56+Thurs!N56+'Tues '!N56+Wed!N56+Fri!N56+'Mon '!N56+'Wed (2)'!N56+Sun!N56+Sat!N56)</f>
        <v>1</v>
      </c>
      <c r="O56" s="110">
        <f>('Thurs (2)'!O56+Thurs!O56+'Tues '!O56+Wed!O56+Fri!O56+'Mon '!O56+'Wed (2)'!O56+Sun!O56+Sat!O56)</f>
        <v>1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2</v>
      </c>
      <c r="S56" s="110">
        <f>('Thurs (2)'!S56+Thurs!S56+'Tues '!S56+Wed!S56+Fri!S56+'Mon '!S56+'Wed (2)'!S56+Sun!S56+Sat!S56)</f>
        <v>2</v>
      </c>
      <c r="T56" s="110">
        <f>('Thurs (2)'!T56+Thurs!T56+'Tues '!T56+Wed!T56+Fri!T56+'Mon '!T56+'Wed (2)'!T56+Sun!T56+Sat!T56)</f>
        <v>3858</v>
      </c>
      <c r="U56" s="111">
        <f t="shared" si="2"/>
        <v>1</v>
      </c>
      <c r="V56" s="111">
        <f t="shared" si="3"/>
        <v>0.6666666667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f>('Thurs (2)'!G57+Thurs!G57+'Tues '!G57+Wed!G57+Fri!G57+'Mon '!G57+'Wed (2)'!G57+Sun!G57+Sat!G57)</f>
        <v>1</v>
      </c>
      <c r="H57" s="110">
        <f>('Thurs (2)'!H57+Thurs!H57+'Tues '!H57+Wed!H57+Fri!H57+'Mon '!H57+'Wed (2)'!H57+Sun!H57+Sat!H57)</f>
        <v>1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1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11">
        <f t="shared" si="2"/>
        <v>0</v>
      </c>
      <c r="V57" s="111">
        <f t="shared" si="3"/>
        <v>1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>
        <f>('Thurs (2)'!G58+Thurs!G58+'Tues '!G58+Wed!G58+Fri!G58+'Mon '!G58+'Wed (2)'!G58+Sun!G58+Sat!G58)</f>
        <v>3</v>
      </c>
      <c r="H58" s="110">
        <f>('Thurs (2)'!H58+Thurs!H58+'Tues '!H58+Wed!H58+Fri!H58+'Mon '!H58+'Wed (2)'!H58+Sun!H58+Sat!H58)</f>
        <v>2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1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5</v>
      </c>
      <c r="N58" s="110">
        <f>('Thurs (2)'!N58+Thurs!N58+'Tues '!N58+Wed!N58+Fri!N58+'Mon '!N58+'Wed (2)'!N58+Sun!N58+Sat!N58)</f>
        <v>1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1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11">
        <f t="shared" si="2"/>
        <v>0</v>
      </c>
      <c r="V58" s="111">
        <f t="shared" si="3"/>
        <v>0.6666666667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>
        <f>('Thurs (2)'!G59+Thurs!G59+'Tues '!G59+Wed!G59+Fri!G59+'Mon '!G59+'Wed (2)'!G59+Sun!G59+Sat!G59)</f>
        <v>3</v>
      </c>
      <c r="H59" s="110">
        <f>('Thurs (2)'!H59+Thurs!H59+'Tues '!H59+Wed!H59+Fri!H59+'Mon '!H59+'Wed (2)'!H59+Sun!H59+Sat!H59)</f>
        <v>1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2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2</v>
      </c>
      <c r="M59" s="110">
        <f>('Thurs (2)'!M59+Thurs!M59+'Tues '!M59+Wed!M59+Fri!M59+'Mon '!M59+'Wed (2)'!M59+Sun!M59+Sat!M59)</f>
        <v>8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1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11">
        <f t="shared" si="2"/>
        <v>0</v>
      </c>
      <c r="V59" s="111">
        <f t="shared" si="3"/>
        <v>1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>
        <f>('Thurs (2)'!G60+Thurs!G60+'Tues '!G60+Wed!G60+Fri!G60+'Mon '!G60+'Wed (2)'!G60+Sun!G60+Sat!G60)</f>
        <v>6</v>
      </c>
      <c r="H60" s="110">
        <f>('Thurs (2)'!H60+Thurs!H60+'Tues '!H60+Wed!H60+Fri!H60+'Mon '!H60+'Wed (2)'!H60+Sun!H60+Sat!H60)</f>
        <v>2</v>
      </c>
      <c r="I60" s="110">
        <f>('Thurs (2)'!I60+Thurs!I60+'Tues '!I60+Wed!I60+Fri!I60+'Mon '!I60+'Wed (2)'!I60+Sun!I60+Sat!I60)</f>
        <v>2</v>
      </c>
      <c r="J60" s="110">
        <f>('Thurs (2)'!J60+Thurs!J60+'Tues '!J60+Wed!J60+Fri!J60+'Mon '!J60+'Wed (2)'!J60+Sun!J60+Sat!J60)</f>
        <v>2</v>
      </c>
      <c r="K60" s="110">
        <f>('Thurs (2)'!K60+Thurs!K60+'Tues '!K60+Wed!K60+Fri!K60+'Mon '!K60+'Wed (2)'!K60+Sun!K60+Sat!K60)</f>
        <v>2</v>
      </c>
      <c r="L60" s="110">
        <f>('Thurs (2)'!L60+Thurs!L60+'Tues '!L60+Wed!L60+Fri!L60+'Mon '!L60+'Wed (2)'!L60+Sun!L60+Sat!L60)</f>
        <v>2</v>
      </c>
      <c r="M60" s="110">
        <f>('Thurs (2)'!M60+Thurs!M60+'Tues '!M60+Wed!M60+Fri!M60+'Mon '!M60+'Wed (2)'!M60+Sun!M60+Sat!M60)</f>
        <v>6</v>
      </c>
      <c r="N60" s="110">
        <f>('Thurs (2)'!N60+Thurs!N60+'Tues '!N60+Wed!N60+Fri!N60+'Mon '!N60+'Wed (2)'!N60+Sun!N60+Sat!N60)</f>
        <v>1</v>
      </c>
      <c r="O60" s="110">
        <f>('Thurs (2)'!O60+Thurs!O60+'Tues '!O60+Wed!O60+Fri!O60+'Mon '!O60+'Wed (2)'!O60+Sun!O60+Sat!O60)</f>
        <v>1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1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1599</v>
      </c>
      <c r="U60" s="111">
        <f t="shared" si="2"/>
        <v>1</v>
      </c>
      <c r="V60" s="111">
        <f t="shared" si="3"/>
        <v>0.6666666667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0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f>('Thurs (2)'!G62+Thurs!G62+'Tues '!G62+Wed!G62+Fri!G62+'Mon '!G62+'Wed (2)'!G62+Sun!G62+Sat!G62)</f>
        <v>0</v>
      </c>
      <c r="H62" s="110">
        <f>('Thurs (2)'!H62+Thurs!H62+'Tues '!H62+Wed!H62+Fri!H62+'Mon '!H62+'Wed (2)'!H62+Sun!H62+Sat!H62)</f>
        <v>0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0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0</v>
      </c>
      <c r="M62" s="110">
        <f>('Thurs (2)'!M62+Thurs!M62+'Tues '!M62+Wed!M62+Fri!M62+'Mon '!M62+'Wed (2)'!M62+Sun!M62+Sat!M62)</f>
        <v>0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0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>
        <f>('Thurs (2)'!G64+Thurs!G64+'Tues '!G64+Wed!G64+Fri!G64+'Mon '!G64+'Wed (2)'!G64+Sun!G64+Sat!G64)</f>
        <v>0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0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>
        <f>('Thurs (2)'!G65+Thurs!G65+'Tues '!G65+Wed!G65+Fri!G65+'Mon '!G65+'Wed (2)'!G65+Sun!G65+Sat!G65)</f>
        <v>1</v>
      </c>
      <c r="H65" s="110">
        <f>('Thurs (2)'!H65+Thurs!H65+'Tues '!H65+Wed!H65+Fri!H65+'Mon '!H65+'Wed (2)'!H65+Sun!H65+Sat!H65)</f>
        <v>1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1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0</v>
      </c>
      <c r="M65" s="110">
        <f>('Thurs (2)'!M65+Thurs!M65+'Tues '!M65+Wed!M65+Fri!M65+'Mon '!M65+'Wed (2)'!M65+Sun!M65+Sat!M65)</f>
        <v>3</v>
      </c>
      <c r="N65" s="110">
        <f>('Thurs (2)'!N65+Thurs!N65+'Tues '!N65+Wed!N65+Fri!N65+'Mon '!N65+'Wed (2)'!N65+Sun!N65+Sat!N65)</f>
        <v>1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52">
        <f t="shared" si="4"/>
        <v>0</v>
      </c>
      <c r="V65" s="152">
        <f t="shared" si="5"/>
        <v>1</v>
      </c>
      <c r="W65" s="153"/>
    </row>
    <row r="66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>
        <f>('Thurs (2)'!G66+Thurs!G66+'Tues '!G66+Wed!G66+Fri!G66+'Mon '!G66+'Wed (2)'!G66+Sun!G66+Sat!G66)</f>
        <v>0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0</v>
      </c>
      <c r="L66" s="110">
        <f>('Thurs (2)'!L66+Thurs!L66+'Tues '!L66+Wed!L66+Fri!L66+'Mon '!L66+'Wed (2)'!L66+Sun!L66+Sat!L66)</f>
        <v>0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>
        <f>('Thurs (2)'!G67+Thurs!G67+'Tues '!G67+Wed!G67+Fri!G67+'Mon '!G67+'Wed (2)'!G67+Sun!G67+Sat!G67)</f>
        <v>3</v>
      </c>
      <c r="H67" s="110">
        <f>('Thurs (2)'!H67+Thurs!H67+'Tues '!H67+Wed!H67+Fri!H67+'Mon '!H67+'Wed (2)'!H67+Sun!H67+Sat!H67)</f>
        <v>3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3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1</v>
      </c>
      <c r="M67" s="110">
        <f>('Thurs (2)'!M67+Thurs!M67+'Tues '!M67+Wed!M67+Fri!M67+'Mon '!M67+'Wed (2)'!M67+Sun!M67+Sat!M67)</f>
        <v>23</v>
      </c>
      <c r="N67" s="110">
        <f>('Thurs (2)'!N67+Thurs!N67+'Tues '!N67+Wed!N67+Fri!N67+'Mon '!N67+'Wed (2)'!N67+Sun!N67+Sat!N67)</f>
        <v>1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2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52">
        <f t="shared" si="4"/>
        <v>0</v>
      </c>
      <c r="V67" s="152">
        <f t="shared" si="5"/>
        <v>1.333333333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>
        <f>('Thurs (2)'!G68+Thurs!G68+'Tues '!G68+Wed!G68+Fri!G68+'Mon '!H69+'Wed (2)'!G68+Sun!G68+Sat!G68)</f>
        <v>1</v>
      </c>
      <c r="H68" s="110">
        <f>('Thurs (2)'!H68+Thurs!H68+'Tues '!H68+Wed!H68+Fri!H68+'Mon '!I69+'Wed (2)'!H68+Sun!H68+Sat!H68)</f>
        <v>1</v>
      </c>
      <c r="I68" s="110">
        <f>('Thurs (2)'!I68+Thurs!I68+'Tues '!I68+Wed!I68+Fri!I68+'Mon '!J69+'Wed (2)'!I68+Sun!I68+Sat!I68)</f>
        <v>0</v>
      </c>
      <c r="J68" s="110">
        <f>('Thurs (2)'!J68+Thurs!J68+'Tues '!J68+Wed!J68+Fri!J68+'Mon '!K69+'Wed (2)'!J68+Sun!J68+Sat!J68)</f>
        <v>1</v>
      </c>
      <c r="K68" s="110">
        <f>('Thurs (2)'!K68+Thurs!K68+'Tues '!K68+Wed!K68+Fri!K68+'Mon '!L69+'Wed (2)'!K68+Sun!K68+Sat!K68)</f>
        <v>0</v>
      </c>
      <c r="L68" s="110">
        <f>('Thurs (2)'!L68+Thurs!L68+'Tues '!L68+Wed!L68+Fri!L68+'Mon '!M69+'Wed (2)'!L68+Sun!L68+Sat!L68)</f>
        <v>1</v>
      </c>
      <c r="M68" s="110">
        <f>('Thurs (2)'!M68+Thurs!M68+'Tues '!M68+Wed!M68+Fri!M68+'Mon '!N69+'Wed (2)'!M68+Sun!M68+Sat!M68)</f>
        <v>2</v>
      </c>
      <c r="N68" s="110">
        <f>('Thurs (2)'!N68+Thurs!N68+'Tues '!N68+Wed!N68+Fri!N68+'Mon '!O69+'Wed (2)'!N68+Sun!N68+Sat!N68)</f>
        <v>0</v>
      </c>
      <c r="O68" s="110">
        <f>('Thurs (2)'!O68+Thurs!O68+'Tues '!O68+Wed!O68+Fri!O68+'Mon '!P69+'Wed (2)'!O68+Sun!O68+Sat!O68)</f>
        <v>0</v>
      </c>
      <c r="P68" s="110">
        <f>('Thurs (2)'!P68+Thurs!P68+'Tues '!P68+Wed!P68+Fri!P68+'Mon '!Q69+'Wed (2)'!P68+Sun!P68+Sat!P68)</f>
        <v>0</v>
      </c>
      <c r="Q68" s="110">
        <f>('Thurs (2)'!Q68+Thurs!Q68+'Tues '!Q68+Wed!Q68+Fri!Q68+'Mon '!R69+'Wed (2)'!Q68+Sun!Q68+Sat!Q68)</f>
        <v>0</v>
      </c>
      <c r="R68" s="110">
        <f>('Thurs (2)'!R68+Thurs!R68+'Tues '!R68+Wed!R68+Fri!R68+'Mon '!S69+'Wed (2)'!R68+Sun!R68+Sat!R68)</f>
        <v>1</v>
      </c>
      <c r="S68" s="110">
        <f>('Thurs (2)'!S68+Thurs!S68+'Tues '!S68+Wed!S68+Fri!S68+'Mon '!T69+'Wed (2)'!S68+Sun!S68+Sat!S68)</f>
        <v>0</v>
      </c>
      <c r="T68" s="110">
        <f>('Thurs (2)'!T68+Thurs!T68+'Tues '!T68+Wed!T68+Fri!T68+'Mon '!T68+'Wed (2)'!T68+Sun!T68+Sat!T68)</f>
        <v>0</v>
      </c>
      <c r="U68" s="152">
        <f t="shared" si="4"/>
        <v>0</v>
      </c>
      <c r="V68" s="152">
        <f t="shared" si="5"/>
        <v>2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>
        <f>('Thurs (2)'!G69+Thurs!G69+'Tues '!G69+Wed!G69+Fri!G69+'Mon '!G69+'Wed (2)'!G69+Sun!G69+Sat!G69)</f>
        <v>2</v>
      </c>
      <c r="H69" s="110" t="str">
        <f>('Thurs (2)'!H69+Thurs!H69+'Tues '!H69+Wed!H69+Fri!H69+#REF!+'Wed (2)'!H69+Sun!H69+Sat!H69)</f>
        <v>#REF!</v>
      </c>
      <c r="I69" s="110" t="str">
        <f>('Thurs (2)'!I69+Thurs!I69+'Tues '!I69+Wed!I69+Fri!I69+#REF!+'Wed (2)'!I69+Sun!I69+Sat!I69)</f>
        <v>#REF!</v>
      </c>
      <c r="J69" s="110" t="str">
        <f>('Thurs (2)'!J69+Thurs!J69+'Tues '!J69+Wed!J69+Fri!J69+#REF!+'Wed (2)'!J69+Sun!J69+Sat!J69)</f>
        <v>#REF!</v>
      </c>
      <c r="K69" s="110" t="str">
        <f>('Thurs (2)'!K69+Thurs!K69+'Tues '!K69+Wed!K69+Fri!K69+#REF!+'Wed (2)'!K69+Sun!K69+Sat!K69)</f>
        <v>#REF!</v>
      </c>
      <c r="L69" s="110" t="str">
        <f>('Thurs (2)'!L69+Thurs!L69+'Tues '!L69+Wed!L69+Fri!L69+#REF!+'Wed (2)'!L69+Sun!L69+Sat!L69)</f>
        <v>#REF!</v>
      </c>
      <c r="M69" s="110" t="str">
        <f>('Thurs (2)'!M69+Thurs!M69+'Tues '!M69+Wed!M69+Fri!M69+#REF!+'Wed (2)'!M69+Sun!M69+Sat!M69)</f>
        <v>#REF!</v>
      </c>
      <c r="N69" s="110" t="str">
        <f>('Thurs (2)'!N69+Thurs!N69+'Tues '!N69+Wed!N69+Fri!N69+#REF!+'Wed (2)'!N69+Sun!N69+Sat!N69)</f>
        <v>#REF!</v>
      </c>
      <c r="O69" s="110" t="str">
        <f>('Thurs (2)'!O69+Thurs!O69+'Tues '!O69+Wed!O69+Fri!O69+#REF!+'Wed (2)'!O69+Sun!O69+Sat!O69)</f>
        <v>#REF!</v>
      </c>
      <c r="P69" s="110" t="str">
        <f>('Thurs (2)'!P69+Thurs!P69+'Tues '!P69+Wed!P69+Fri!P69+#REF!+'Wed (2)'!P69+Sun!P69+Sat!P69)</f>
        <v>#REF!</v>
      </c>
      <c r="Q69" s="110" t="str">
        <f>('Thurs (2)'!Q69+Thurs!Q69+'Tues '!Q69+Wed!Q69+Fri!Q69+#REF!+'Wed (2)'!Q69+Sun!Q69+Sat!Q69)</f>
        <v>#REF!</v>
      </c>
      <c r="R69" s="110" t="str">
        <f>('Thurs (2)'!R69+Thurs!R69+'Tues '!R69+Wed!R69+Fri!R69+#REF!+'Wed (2)'!R69+Sun!R69+Sat!R69)</f>
        <v>#REF!</v>
      </c>
      <c r="S69" s="110" t="str">
        <f>('Thurs (2)'!S69+Thurs!S69+'Tues '!S69+Wed!S69+Fri!S69+#REF!+'Wed (2)'!S69+Sun!S69+Sat!S69)</f>
        <v>#REF!</v>
      </c>
      <c r="T69" s="110" t="str">
        <f>('Thurs (2)'!T69+Thurs!T69+'Tues '!T69+Wed!T69+Fri!T69+#REF!+'Wed (2)'!T69+Sun!T69+Sat!T69)</f>
        <v>#REF!</v>
      </c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>
        <f>('Thurs (2)'!G71+Thurs!G71+'Tues '!G71+Wed!G71+Fri!G71+'Mon '!G71+'Wed (2)'!G71+Sun!G71+Sat!G71)</f>
        <v>0</v>
      </c>
      <c r="H71" s="110">
        <f>('Thurs (2)'!H71+Thurs!H71+'Tues '!H71+Wed!H71+Fri!H71+'Mon '!H71+'Wed (2)'!H71+Sun!H71+Sat!H71)</f>
        <v>0</v>
      </c>
      <c r="I71" s="110">
        <f>('Thurs (2)'!I71+Thurs!I71+'Tues '!I71+Wed!I71+Fri!I71+'Mon '!I71+'Wed (2)'!I71+Sun!I71+Sat!I71)</f>
        <v>0</v>
      </c>
      <c r="J71" s="110">
        <f>('Thurs (2)'!J71+Thurs!J71+'Tues '!J71+Wed!J71+Fri!J71+'Mon '!J71+'Wed (2)'!J71+Sun!J71+Sat!J71)</f>
        <v>0</v>
      </c>
      <c r="K71" s="110">
        <f>('Thurs (2)'!K71+Thurs!K71+'Tues '!K71+Wed!K71+Fri!K71+'Mon '!K71+'Wed (2)'!K71+Sun!K71+Sat!K71)</f>
        <v>0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0</v>
      </c>
      <c r="N71" s="110">
        <f>('Thurs (2)'!N71+Thurs!N71+'Tues '!N71+Wed!N71+Fri!N71+'Mon '!N71+'Wed (2)'!N71+Sun!N71+Sat!N71)</f>
        <v>0</v>
      </c>
      <c r="O71" s="110">
        <f>('Thurs (2)'!O71+Thurs!O71+'Tues '!O71+Wed!O71+Fri!O71+'Mon '!O71+'Wed (2)'!O71+Sun!O71+Sat!O71)</f>
        <v>0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0</v>
      </c>
      <c r="S71" s="110">
        <f>('Thurs (2)'!S71+Thurs!S71+'Tues '!S71+Wed!S71+Fri!S71+'Mon '!S71+'Wed (2)'!S71+Sun!S71+Sat!S71)</f>
        <v>0</v>
      </c>
      <c r="T71" s="110">
        <f>('Thurs (2)'!T71+Thurs!T71+'Tues '!T71+Wed!T71+Fri!T71+'Mon '!T71+'Wed (2)'!T71+Sun!T71+Sat!T71)</f>
        <v>0</v>
      </c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>
        <f>('Thurs (2)'!G75+Thurs!G75+'Tues '!G75+Wed!G75+Fri!G75+'Mon '!G75+'Wed (2)'!G75+Sun!G75+Sat!G75)</f>
        <v>0</v>
      </c>
      <c r="H75" s="110">
        <f>('Thurs (2)'!H75+Thurs!H75+'Tues '!H75+Wed!H75+Fri!H75+'Mon '!H75+'Wed (2)'!H75+Sun!H75+Sat!H75)</f>
        <v>0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>
        <f>('Thurs (2)'!G78+Thurs!G78+'Tues '!G78+Wed!G78+Fri!G78+'Mon '!G78+'Wed (2)'!G78+Sun!G78+Sat!G78)</f>
        <v>1</v>
      </c>
      <c r="H78" s="110">
        <f>('Thurs (2)'!H78+Thurs!H78+'Tues '!H78+Wed!H78+Fri!H78+'Mon '!H78+'Wed (2)'!H78+Sun!H78+Sat!H78)</f>
        <v>1</v>
      </c>
      <c r="I78" s="110">
        <f>('Thurs (2)'!I78+Thurs!I78+'Tues '!I78+Wed!I78+Fri!I78+'Mon '!I78+'Wed (2)'!I78+Sun!I78+Sat!I78)</f>
        <v>1</v>
      </c>
      <c r="J78" s="110">
        <f>('Thurs (2)'!J78+Thurs!J78+'Tues '!J78+Wed!J78+Fri!J78+'Mon '!J78+'Wed (2)'!J78+Sun!J78+Sat!J78)</f>
        <v>1</v>
      </c>
      <c r="K78" s="110">
        <f>('Thurs (2)'!K78+Thurs!K78+'Tues '!K78+Wed!K78+Fri!K78+'Mon '!K78+'Wed (2)'!K78+Sun!K78+Sat!K78)</f>
        <v>1</v>
      </c>
      <c r="L78" s="110">
        <f>('Thurs (2)'!L78+Thurs!L78+'Tues '!L78+Wed!L78+Fri!L78+'Mon '!L78+'Wed (2)'!L78+Sun!L78+Sat!L78)</f>
        <v>1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1</v>
      </c>
      <c r="S78" s="110">
        <f>('Thurs (2)'!S78+Thurs!S78+'Tues '!S78+Wed!S78+Fri!S78+'Mon '!S78+'Wed (2)'!S78+Sun!S78+Sat!S78)</f>
        <v>1</v>
      </c>
      <c r="T78" s="110">
        <f>('Thurs (2)'!T78+Thurs!T78+'Tues '!T78+Wed!T78+Fri!T78+'Mon '!T78+'Wed (2)'!T78+Sun!T78+Sat!T78)</f>
        <v>2100</v>
      </c>
      <c r="U78" s="111">
        <f t="shared" si="6"/>
        <v>1</v>
      </c>
      <c r="V78" s="111">
        <f t="shared" si="7"/>
        <v>2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>
        <f>('Thurs (2)'!G79+Thurs!G79+'Tues '!G79+Wed!G79+Fri!G79+'Mon '!G79+'Wed (2)'!G79+Sun!G79+Sat!G79)</f>
        <v>0</v>
      </c>
      <c r="H79" s="110">
        <f>('Thurs (2)'!H79+Thurs!H79+'Tues '!H79+Wed!H79+Fri!H79+'Mon '!H79+'Wed (2)'!H79+Sun!H79+Sat!H79)</f>
        <v>0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0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0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>
        <f>('Thurs (2)'!G83+Thurs!G83+'Tues '!G83+Wed!G83+Fri!G83+'Mon '!G83+'Wed (2)'!G83+Sun!G83+Sat!G83)</f>
        <v>3</v>
      </c>
      <c r="H83" s="110">
        <f>('Thurs (2)'!H83+Thurs!H83+'Tues '!H83+Wed!H83+Fri!H83+'Mon '!H83+'Wed (2)'!H83+Sun!H83+Sat!H83)</f>
        <v>4</v>
      </c>
      <c r="I83" s="110">
        <f>('Thurs (2)'!I83+Thurs!I83+'Tues '!I83+Wed!I83+Fri!I83+'Mon '!I83+'Wed (2)'!I83+Sun!I83+Sat!I83)</f>
        <v>1</v>
      </c>
      <c r="J83" s="110">
        <f>('Thurs (2)'!J83+Thurs!J83+'Tues '!J83+Wed!J83+Fri!J83+'Mon '!J83+'Wed (2)'!J83+Sun!J83+Sat!J83)</f>
        <v>3</v>
      </c>
      <c r="K83" s="110">
        <f>('Thurs (2)'!K83+Thurs!K83+'Tues '!K83+Wed!K83+Fri!K83+'Mon '!K83+'Wed (2)'!K83+Sun!K83+Sat!K83)</f>
        <v>1</v>
      </c>
      <c r="L83" s="110">
        <f>('Thurs (2)'!L83+Thurs!L83+'Tues '!L83+Wed!L83+Fri!L83+'Mon '!L83+'Wed (2)'!L83+Sun!L83+Sat!L83)</f>
        <v>1</v>
      </c>
      <c r="M83" s="110">
        <f>('Thurs (2)'!M83+Thurs!M83+'Tues '!M83+Wed!M83+Fri!M83+'Mon '!M83+'Wed (2)'!M83+Sun!M83+Sat!M83)</f>
        <v>17</v>
      </c>
      <c r="N83" s="110">
        <f>('Thurs (2)'!N83+Thurs!N83+'Tues '!N83+Wed!N83+Fri!N83+'Mon '!N83+'Wed (2)'!N83+Sun!N83+Sat!N83)</f>
        <v>2</v>
      </c>
      <c r="O83" s="110">
        <f>('Thurs (2)'!O83+Thurs!O83+'Tues '!O83+Wed!O83+Fri!O83+'Mon '!O83+'Wed (2)'!O83+Sun!O83+Sat!O83)</f>
        <v>1</v>
      </c>
      <c r="P83" s="110">
        <f>('Thurs (2)'!P83+Thurs!P83+'Tues '!P83+Wed!P83+Fri!P83+'Mon '!P83+'Wed (2)'!P83+Sun!P83+Sat!P83)</f>
        <v>0</v>
      </c>
      <c r="Q83" s="110">
        <f>('Thurs (2)'!Q83+Thurs!Q83+'Tues '!Q83+Wed!Q83+Fri!Q83+'Mon '!Q83+'Wed (2)'!Q83+Sun!Q83+Sat!Q83)</f>
        <v>0</v>
      </c>
      <c r="R83" s="110">
        <f>('Thurs (2)'!R83+Thurs!R83+'Tues '!R83+Wed!R83+Fri!R83+'Mon '!R83+'Wed (2)'!R83+Sun!R83+Sat!R83)</f>
        <v>3</v>
      </c>
      <c r="S83" s="110">
        <f>('Thurs (2)'!S83+Thurs!S83+'Tues '!S83+Wed!S83+Fri!S83+'Mon '!S83+'Wed (2)'!S83+Sun!S83+Sat!S83)</f>
        <v>1</v>
      </c>
      <c r="T83" s="110">
        <f>('Thurs (2)'!T83+Thurs!T83+'Tues '!T83+Wed!T83+Fri!T83+'Mon '!T83+'Wed (2)'!T83+Sun!T83+Sat!T83)</f>
        <v>1262.76</v>
      </c>
      <c r="U83" s="111">
        <f t="shared" si="8"/>
        <v>0.25</v>
      </c>
      <c r="V83" s="111">
        <f t="shared" si="9"/>
        <v>1.666666667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0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0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0</v>
      </c>
      <c r="N86" s="110">
        <f>('Thurs (2)'!N86+Thurs!N86+'Tues '!N86+Wed!N86+Fri!N86+'Mon '!N86+'Wed (2)'!N86+Sun!N86+Sat!N86)</f>
        <v>0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0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ref="U89:U99" si="10">IFERROR(I89/H89,0)</f>
        <v>0</v>
      </c>
      <c r="V89" s="111">
        <f t="shared" ref="V89:V99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>
        <f>('Thurs (2)'!G90+Thurs!G90+'Tues '!G90+Wed!G90+Fri!G90+'Mon '!G90+'Wed (2)'!G90+Sun!G90+Sat!G90)</f>
        <v>12</v>
      </c>
      <c r="H90" s="110">
        <f>('Thurs (2)'!H90+Thurs!H90+'Tues '!H90+Wed!H90+Fri!H90+'Mon '!H90+'Wed (2)'!H90+Sun!H90+Sat!H90)</f>
        <v>11</v>
      </c>
      <c r="I90" s="110">
        <f>('Thurs (2)'!I90+Thurs!I90+'Tues '!I90+Wed!I90+Fri!I90+'Mon '!I90+'Wed (2)'!I90+Sun!I90+Sat!I90)</f>
        <v>4</v>
      </c>
      <c r="J90" s="110">
        <f>('Thurs (2)'!J90+Thurs!J90+'Tues '!J90+Wed!J90+Fri!J90+'Mon '!J90+'Wed (2)'!J90+Sun!J90+Sat!J90)</f>
        <v>0</v>
      </c>
      <c r="K90" s="110">
        <f>('Thurs (2)'!K90+Thurs!K90+'Tues '!K90+Wed!K90+Fri!K90+'Mon '!K90+'Wed (2)'!K90+Sun!K90+Sat!K90)</f>
        <v>0</v>
      </c>
      <c r="L90" s="110">
        <f>('Thurs (2)'!L90+Thurs!L90+'Tues '!L90+Wed!L90+Fri!L90+'Mon '!L90+'Wed (2)'!L90+Sun!L90+Sat!L90)</f>
        <v>0</v>
      </c>
      <c r="M90" s="110">
        <f>('Thurs (2)'!M90+Thurs!M90+'Tues '!M90+Wed!M90+Fri!M90+'Mon '!M90+'Wed (2)'!M90+Sun!M90+Sat!M90)</f>
        <v>50</v>
      </c>
      <c r="N90" s="110">
        <f>('Thurs (2)'!N90+Thurs!N90+'Tues '!N90+Wed!N90+Fri!N90+'Mon '!N90+'Wed (2)'!N90+Sun!N90+Sat!N90)</f>
        <v>8</v>
      </c>
      <c r="O90" s="110">
        <f>('Thurs (2)'!O90+Thurs!O90+'Tues '!O90+Wed!O90+Fri!O90+'Mon '!O90+'Wed (2)'!O90+Sun!O90+Sat!O90)</f>
        <v>2</v>
      </c>
      <c r="P90" s="110">
        <f>('Thurs (2)'!P90+Thurs!P90+'Tues '!P90+Wed!P90+Fri!P90+'Mon '!P90+'Wed (2)'!P90+Sun!P90+Sat!P90)</f>
        <v>0</v>
      </c>
      <c r="Q90" s="110">
        <f>('Thurs (2)'!Q90+Thurs!Q90+'Tues '!Q90+Wed!Q90+Fri!Q90+'Mon '!Q90+'Wed (2)'!Q90+Sun!Q90+Sat!Q90)</f>
        <v>0</v>
      </c>
      <c r="R90" s="110">
        <f>('Thurs (2)'!R90+Thurs!R90+'Tues '!R90+Wed!R90+Fri!R90+'Mon '!R90+'Wed (2)'!R90+Sun!R90+Sat!R90)</f>
        <v>3</v>
      </c>
      <c r="S90" s="110">
        <f>('Thurs (2)'!S90+Thurs!S90+'Tues '!S90+Wed!S90+Fri!S90+'Mon '!S90+'Wed (2)'!S90+Sun!S90+Sat!S90)</f>
        <v>1</v>
      </c>
      <c r="T90" s="110">
        <f>('Thurs (2)'!T90+Thurs!T90+'Tues '!T90+Wed!T90+Fri!T90+'Mon '!T90+'Wed (2)'!T90+Sun!T90+Sat!T90)</f>
        <v>4755</v>
      </c>
      <c r="U90" s="111">
        <f t="shared" si="10"/>
        <v>0.3636363636</v>
      </c>
      <c r="V90" s="111">
        <f t="shared" si="11"/>
        <v>0.9166666667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si="10"/>
        <v>0</v>
      </c>
      <c r="V91" s="111">
        <f t="shared" si="11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(2)'!Q92+Sun!Q93+Sat!Q92)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10"/>
        <v>0</v>
      </c>
      <c r="V92" s="111">
        <f t="shared" si="11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>
        <f>('Thurs (2)'!G93+Thurs!G93+'Tues '!G93+Wed!G93+Fri!G93+'Mon '!G93+'Wed (2)'!G93+Sun!G93+Sat!G93)</f>
        <v>6</v>
      </c>
      <c r="H93" s="110">
        <f>('Thurs (2)'!H93+Thurs!H93+'Tues '!H93+Wed!H93+Fri!H93+'Mon '!H93+'Wed (2)'!H93+Sun!H93+Sat!H93)</f>
        <v>6</v>
      </c>
      <c r="I93" s="110">
        <f>('Thurs (2)'!I93+Thurs!I93+'Tues '!I93+Wed!I93+Fri!I93+'Mon '!I93+'Wed (2)'!I93+Sun!I93+Sat!I93)</f>
        <v>4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19</v>
      </c>
      <c r="N93" s="110">
        <f>('Thurs (2)'!N93+Thurs!N93+'Tues '!N93+Wed!N93+Fri!N93+'Mon '!N93+'Wed (2)'!N93+Sun!N93+Sat!N93)</f>
        <v>6</v>
      </c>
      <c r="O93" s="110">
        <f>('Thurs (2)'!O93+Thurs!O93+'Tues '!O93+Wed!O93+Fri!O93+'Mon '!O93+'Wed (2)'!O93+Sun!O93+Sat!O93)</f>
        <v>3</v>
      </c>
      <c r="P93" s="110">
        <f>('Thurs (2)'!P93+Thurs!P93+'Tues '!P93+Wed!P93+Fri!P93+'Mon '!P93+'Wed (2)'!P93+Sun!P93+Sat!P93)</f>
        <v>0</v>
      </c>
      <c r="Q93" s="110" t="str">
        <f>('Thurs (2)'!Q93+Thurs!Q93+'Tues '!Q93+Wed!Q93+Fri!Q93+'Mon '!Q93+'Wed (2)'!Q93+#REF!+Sat!Q93)</f>
        <v>#REF!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2293.2</v>
      </c>
      <c r="U93" s="111">
        <f t="shared" si="10"/>
        <v>0.6666666667</v>
      </c>
      <c r="V93" s="111">
        <f t="shared" si="11"/>
        <v>1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>
        <f>('Thurs (2)'!G94+Thurs!G94+'Tues '!G94+Wed!G94+Fri!G94+'Mon '!G94+'Wed (2)'!G94+Sun!G94+Sat!G94)</f>
        <v>10</v>
      </c>
      <c r="H94" s="110">
        <f>('Thurs (2)'!H94+Thurs!H94+'Tues '!H94+Wed!H94+Fri!H94+'Mon '!H94+'Wed (2)'!H94+Sun!H94+Sat!H94)</f>
        <v>7</v>
      </c>
      <c r="I94" s="110" t="str">
        <f>('Thurs (2)'!I94+Thurs!I94+'Tues '!I94+Wed!I94+Fri!I94+'Mon '!I94+'Wed (2)'!I94+Sun!I94+Sat!I94)</f>
        <v>#VALUE!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18</v>
      </c>
      <c r="N94" s="110">
        <f>('Thurs (2)'!N94+Thurs!N94+'Tues '!N94+Wed!N94+Fri!N94+'Mon '!N94+'Wed (2)'!N94+Sun!N94+Sat!N94)</f>
        <v>4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1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1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10"/>
        <v>0</v>
      </c>
      <c r="V94" s="111">
        <f t="shared" si="11"/>
        <v>0.7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10"/>
        <v>0</v>
      </c>
      <c r="V95" s="111">
        <f t="shared" si="11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10"/>
        <v>0</v>
      </c>
      <c r="V96" s="111">
        <f t="shared" si="11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10"/>
        <v>0</v>
      </c>
      <c r="V97" s="111">
        <f t="shared" si="11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>
        <f>('Thurs (2)'!G98+Thurs!G98+'Tues '!G98+Wed!G98+Fri!G98+'Mon '!G98+'Wed (2)'!G98+Sun!G98+Sat!G98)</f>
        <v>3</v>
      </c>
      <c r="H98" s="110">
        <f>('Thurs (2)'!H98+Thurs!H98+'Tues '!H98+Wed!H98+Fri!H98+'Mon '!H98+'Wed (2)'!H98+Sun!H98+Sat!H98)</f>
        <v>3</v>
      </c>
      <c r="I98" s="110">
        <f>('Thurs (2)'!I98+Thurs!I98+'Tues '!I98+Wed!I98+Fri!I98+'Mon '!I98+'Wed (2)'!I98+Sun!I98+Sat!I98)</f>
        <v>2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1</v>
      </c>
      <c r="N98" s="110">
        <f>('Thurs (2)'!N98+Thurs!N98+'Tues '!N98+Wed!N98+Fri!N98+'Mon '!N98+'Wed (2)'!N98+Sun!N98+Sat!N98)</f>
        <v>2</v>
      </c>
      <c r="O98" s="110">
        <f>('Thurs (2)'!O98+Thurs!O98+'Tues '!O98+Wed!O98+Fri!O98+'Mon '!O98+'Wed (2)'!O98+Sun!O98+Sat!O98)</f>
        <v>1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1</v>
      </c>
      <c r="S98" s="110">
        <f>('Thurs (2)'!S98+Thurs!S98+'Tues '!S98+Wed!S98+Fri!S98+'Mon '!S98+'Wed (2)'!S98+Sun!S98+Sat!S98)</f>
        <v>1</v>
      </c>
      <c r="T98" s="110">
        <f>('Thurs (2)'!T98+Thurs!T98+'Tues '!T98+Wed!T98+Fri!T98+'Mon '!T98+'Wed (2)'!T98+Sun!T98+Sat!T98)</f>
        <v>3975</v>
      </c>
      <c r="U98" s="111">
        <f t="shared" si="10"/>
        <v>0.6666666667</v>
      </c>
      <c r="V98" s="111">
        <f t="shared" si="11"/>
        <v>1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10"/>
        <v>0</v>
      </c>
      <c r="V99" s="111">
        <f t="shared" si="11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52">
        <f t="shared" ref="U101:U102" si="12">IFERROR(I101/H101,0)</f>
        <v>0</v>
      </c>
      <c r="V101" s="152">
        <f t="shared" ref="V101:V102" si="13">IFERROR(SUM(H101+L101)/G101,0)</f>
        <v>0</v>
      </c>
      <c r="W101" s="153"/>
    </row>
    <row r="102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>
        <f>('Thurs (2)'!G102+Thurs!G102+'Tues '!G102+Wed!G102+Fri!G102+'Mon '!G102+'Wed (2)'!G102+Sun!G102+Sat!G102)</f>
        <v>0</v>
      </c>
      <c r="H102" s="110">
        <f>('Thurs (2)'!H102+Thurs!H102+'Tues '!H102+Wed!H102+Fri!H102+'Mon '!H102+'Wed (2)'!H102+Sun!H102+Sat!H102)</f>
        <v>0</v>
      </c>
      <c r="I102" s="110">
        <f>('Thurs (2)'!I102+Thurs!I102+'Tues '!I102+Wed!I102+Fri!I102+'Mon '!I102+'Wed (2)'!I102+Sun!I102+Sat!I102)</f>
        <v>0</v>
      </c>
      <c r="J102" s="110">
        <f>('Thurs (2)'!J102+Thurs!J102+'Tues '!J102+Wed!J102+Fri!J102+'Mon '!J102+'Wed (2)'!J102+Sun!J102+Sat!J102)</f>
        <v>0</v>
      </c>
      <c r="K102" s="110">
        <f>('Thurs (2)'!K102+Thurs!K102+'Tues '!K102+Wed!K102+Fri!K102+'Mon '!K102+'Wed (2)'!K102+Sun!K102+Sat!K102)</f>
        <v>0</v>
      </c>
      <c r="L102" s="110">
        <f>('Thurs (2)'!L102+Thurs!L102+'Tues '!L102+Wed!L102+Fri!L102+'Mon '!L102+'Wed (2)'!L102+Sun!L102+Sat!L102)</f>
        <v>0</v>
      </c>
      <c r="M102" s="110">
        <f>('Thurs (2)'!M102+Thurs!M102+'Tues '!M102+Wed!M102+Fri!M102+'Mon '!M102+'Wed (2)'!M102+Sun!M102+Sat!M102)</f>
        <v>0</v>
      </c>
      <c r="N102" s="110">
        <f>('Thurs (2)'!N102+Thurs!N102+'Tues '!N102+Wed!N102+Fri!N102+'Mon '!N102+'Wed (2)'!N102+Sun!N102+Sat!N102)</f>
        <v>0</v>
      </c>
      <c r="O102" s="110">
        <f>('Thurs (2)'!O102+Thurs!O102+'Tues '!O102+Wed!O102+Fri!O102+'Mon '!O102+'Wed (2)'!O102+Sun!O102+Sat!O102)</f>
        <v>0</v>
      </c>
      <c r="P102" s="110">
        <f>('Thurs (2)'!P102+Thurs!P102+'Tues '!P102+Wed!P102+Fri!P102+'Mon '!P102+'Wed (2)'!P102+Sun!P102+Sat!P102)</f>
        <v>0</v>
      </c>
      <c r="Q102" s="110">
        <f>('Thurs (2)'!Q102+Thurs!Q102+'Tues '!Q102+Wed!Q102+Fri!Q102+'Mon '!Q102+'Wed (2)'!Q102+Sun!Q102+Sat!Q102)</f>
        <v>0</v>
      </c>
      <c r="R102" s="110">
        <f>('Thurs (2)'!R102+Thurs!R102+'Tues '!R102+Wed!R102+Fri!R102+'Mon '!R102+'Wed (2)'!R102+Sun!R102+Sat!R102)</f>
        <v>0</v>
      </c>
      <c r="S102" s="110">
        <f>('Thurs (2)'!S102+Thurs!S102+'Tues '!S102+Wed!S102+Fri!S102+'Mon '!S102+'Wed (2)'!S102+Sun!S102+Sat!S102)</f>
        <v>0</v>
      </c>
      <c r="T102" s="110">
        <f>('Thurs (2)'!T102+Thurs!T102+'Tues '!T102+Wed!T102+Fri!T102+'Mon '!T102+'Wed (2)'!T102+Sun!T102+Sat!T102)</f>
        <v>0</v>
      </c>
      <c r="U102" s="152">
        <f t="shared" si="12"/>
        <v>0</v>
      </c>
      <c r="V102" s="152">
        <f t="shared" si="13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11169</v>
      </c>
      <c r="D2" s="10"/>
      <c r="E2" s="9">
        <f t="shared" ref="E2:R2" si="1">SUM(E5,E17,E20,E23,E26,E29)</f>
        <v>7470</v>
      </c>
      <c r="F2" s="9">
        <f t="shared" si="1"/>
        <v>15</v>
      </c>
      <c r="G2" s="9">
        <f t="shared" si="1"/>
        <v>9</v>
      </c>
      <c r="H2" s="9">
        <f t="shared" si="1"/>
        <v>7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2</v>
      </c>
      <c r="M2" s="9">
        <f t="shared" si="1"/>
        <v>27</v>
      </c>
      <c r="N2" s="9">
        <f t="shared" si="1"/>
        <v>4</v>
      </c>
      <c r="O2" s="9">
        <f t="shared" si="1"/>
        <v>2</v>
      </c>
      <c r="P2" s="9">
        <f t="shared" si="1"/>
        <v>4</v>
      </c>
      <c r="Q2" s="9">
        <f t="shared" si="1"/>
        <v>3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1595.571429</v>
      </c>
      <c r="F4" s="23">
        <f>IFERROR((G2+R2)/F2,0)</f>
        <v>0.8</v>
      </c>
      <c r="G4" s="23">
        <f>IFERROR(H2/G2,0)</f>
        <v>0.7777777778</v>
      </c>
      <c r="H4" s="22">
        <f>(C2/C4)</f>
        <v>174.515625</v>
      </c>
      <c r="I4" s="24"/>
      <c r="J4" s="23">
        <f>IFERROR(J2/I2,0)</f>
        <v>0</v>
      </c>
      <c r="K4" s="24"/>
      <c r="L4" s="23">
        <f>IFERROR(L2/K2,0)</f>
        <v>0.6666666667</v>
      </c>
      <c r="M4" s="25">
        <f>IFERROR(M2/G2,0)</f>
        <v>3</v>
      </c>
      <c r="N4" s="24"/>
      <c r="O4" s="23">
        <f>IFERROR(O2/N2,0)</f>
        <v>0.5</v>
      </c>
      <c r="P4" s="25"/>
      <c r="Q4" s="23">
        <f>IFERROR(Q2/P2,0)</f>
        <v>0.75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6339</v>
      </c>
      <c r="D5" s="31"/>
      <c r="E5" s="32">
        <f>SUMIFS(T:T,A:A,B5,D:D,"Y")</f>
        <v>4740</v>
      </c>
      <c r="F5" s="9">
        <f>SUMIF(A:A,B5,G:G)</f>
        <v>7</v>
      </c>
      <c r="G5" s="9">
        <f>SUMIF(A:A,B5,H:H)</f>
        <v>3</v>
      </c>
      <c r="H5" s="9">
        <f>SUMIF(A:A,B5,I:I)</f>
        <v>3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18</v>
      </c>
      <c r="N5" s="9">
        <f>SUMIF(A:A,B5,N:N)</f>
        <v>2</v>
      </c>
      <c r="O5" s="9">
        <f>SUMIF(A:A,B5,O:O)</f>
        <v>1</v>
      </c>
      <c r="P5" s="9">
        <f>SUMIF(A:A,B5,J:J)</f>
        <v>2</v>
      </c>
      <c r="Q5" s="9">
        <f>SUMIF(A:A,B5,K:K)</f>
        <v>2</v>
      </c>
      <c r="R5" s="33">
        <f>SUMIF(A:A,B5,L:L)</f>
        <v>1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2113</v>
      </c>
      <c r="F7" s="41">
        <f>IFERROR((G5+R5)/F5,0)</f>
        <v>0.5714285714</v>
      </c>
      <c r="G7" s="41">
        <f>IFERROR(H5/G5,0)</f>
        <v>1</v>
      </c>
      <c r="H7" s="40">
        <f>(C5/C7)</f>
        <v>218.5862069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4.5</v>
      </c>
      <c r="N7" s="42"/>
      <c r="O7" s="41">
        <f>IFERROR(O5/N5,0)</f>
        <v>0.5</v>
      </c>
      <c r="P7" s="43"/>
      <c r="Q7" s="41">
        <f>IFERROR(Q5/P5,0)</f>
        <v>1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6339</v>
      </c>
      <c r="D14" s="64"/>
      <c r="E14" s="65">
        <f>SUMIFS(T:T,B:B,B14,D:D,"Y")</f>
        <v>4740</v>
      </c>
      <c r="F14" s="66">
        <f>SUMIF(B34:B1137,B14,G34:G1137)</f>
        <v>7</v>
      </c>
      <c r="G14" s="67">
        <f>SUMIF(B34:B1137,B14,H34:H1137)</f>
        <v>3</v>
      </c>
      <c r="H14" s="67">
        <f>SUMIF(B34:B1137,B14,I34:I1137)</f>
        <v>3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18</v>
      </c>
      <c r="N14" s="67">
        <f>SUMIF(B34:B1137,B14,N34:N1137)</f>
        <v>2</v>
      </c>
      <c r="O14" s="67">
        <f>SUMIF(B34:B1137,B14,O34:O1137)</f>
        <v>1</v>
      </c>
      <c r="P14" s="67">
        <f>SUMIF(B34:B1137,B14,J34:J1137)</f>
        <v>2</v>
      </c>
      <c r="Q14" s="67">
        <f>SUMIF(B34:B1137,B14,K34:K1137)</f>
        <v>2</v>
      </c>
      <c r="R14" s="68">
        <f>SUMIF(B34:B1137,B14,L34:L1137)</f>
        <v>1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2113</v>
      </c>
      <c r="F16" s="23">
        <f>IFERROR((G14+R14)/F14,0)</f>
        <v>0.5714285714</v>
      </c>
      <c r="G16" s="23">
        <f>IFERROR(H14/G14,0)</f>
        <v>1</v>
      </c>
      <c r="H16" s="22">
        <f>(C14/C16)</f>
        <v>396.1875</v>
      </c>
      <c r="I16" s="24"/>
      <c r="J16" s="23">
        <f>IFERROR(J14/I14,0)</f>
        <v>0</v>
      </c>
      <c r="K16" s="24"/>
      <c r="L16" s="23">
        <f>IFERROR(L14/K14,0)</f>
        <v>0</v>
      </c>
      <c r="M16" s="25">
        <f>IFERROR(M14/SUM(G14+R14,0),"")</f>
        <v>4.5</v>
      </c>
      <c r="N16" s="24"/>
      <c r="O16" s="23">
        <f>IFERROR(O14/N14,0)</f>
        <v>0.5</v>
      </c>
      <c r="P16" s="25"/>
      <c r="Q16" s="23">
        <f>IFERROR(Q14/P14,0)</f>
        <v>1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1</v>
      </c>
      <c r="G17" s="9">
        <f>SUMIF(A:A,B17,H:H)</f>
        <v>1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1</v>
      </c>
      <c r="L17" s="9">
        <f>SUMIF(A:A,B17,S:S)</f>
        <v>0</v>
      </c>
      <c r="M17" s="9">
        <f>SUMIF(A:A,B17,M:M)</f>
        <v>2</v>
      </c>
      <c r="N17" s="9">
        <f>SUMIF(A:A,B17,N:N)</f>
        <v>0</v>
      </c>
      <c r="O17" s="9">
        <f>SUMIF(A:A,B17,O:O)</f>
        <v>0</v>
      </c>
      <c r="P17" s="9">
        <f>SUMIF(A:A,B17,J:J)</f>
        <v>1</v>
      </c>
      <c r="Q17" s="9">
        <f>SUMIF(A:A,B17,K:K)</f>
        <v>0</v>
      </c>
      <c r="R17" s="33">
        <f>SUMIF(A:A,B17,L:L)</f>
        <v>1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2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>
        <f>IFERROR(M17/SUM(R17+G17,0),"")</f>
        <v>1</v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2100</v>
      </c>
      <c r="D20" s="31"/>
      <c r="E20" s="70">
        <f>SUMIFS(T:T,A:A,B20,D:D,"Y")</f>
        <v>0</v>
      </c>
      <c r="F20" s="30">
        <f>SUMIF(A:A,B20,G:G)</f>
        <v>1</v>
      </c>
      <c r="G20" s="9">
        <f>SUMIF(A:A,B20,H:H)</f>
        <v>1</v>
      </c>
      <c r="H20" s="9">
        <f>SUMIF(A:A,B20,I:I)</f>
        <v>1</v>
      </c>
      <c r="I20" s="9">
        <f>SUMIF(A:A,B20,P:P)</f>
        <v>0</v>
      </c>
      <c r="J20" s="9">
        <f>SUMIF(A:A,B20,Q:Q)</f>
        <v>0</v>
      </c>
      <c r="K20" s="9">
        <f>SUMIF(A:A,B20,R:R)</f>
        <v>1</v>
      </c>
      <c r="L20" s="9">
        <f>SUMIF(A:A,B20,S:S)</f>
        <v>1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1</v>
      </c>
      <c r="Q20" s="9">
        <f>SUMIF(A:A,B20,K:K)</f>
        <v>1</v>
      </c>
      <c r="R20" s="33">
        <f>SUMIF(A:A,B20,L:L)</f>
        <v>1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2100</v>
      </c>
      <c r="F22" s="23">
        <f>IFERROR((G20+R20)/F20,0)</f>
        <v>2</v>
      </c>
      <c r="G22" s="23">
        <f>IFERROR(H20/G20,0)</f>
        <v>1</v>
      </c>
      <c r="H22" s="22">
        <f>(C20/C22)</f>
        <v>233.3333333</v>
      </c>
      <c r="I22" s="24"/>
      <c r="J22" s="23">
        <f>IFERROR(J20/I20,0)</f>
        <v>0</v>
      </c>
      <c r="K22" s="24"/>
      <c r="L22" s="23">
        <f>IFERROR(L20/K20,0)</f>
        <v>1</v>
      </c>
      <c r="M22" s="25">
        <f>IFERROR(M20/SUM(R20+G20,0),"")</f>
        <v>0</v>
      </c>
      <c r="N22" s="24"/>
      <c r="O22" s="23">
        <f>IFERROR(O20/N20,0)</f>
        <v>0</v>
      </c>
      <c r="P22" s="25"/>
      <c r="Q22" s="23">
        <f>IFERROR(Q20/P20,0)</f>
        <v>1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2730</v>
      </c>
      <c r="D26" s="75"/>
      <c r="E26" s="76">
        <f>SUMIFS(T:T,A:A,B26,D:D,"Y")</f>
        <v>2730</v>
      </c>
      <c r="F26" s="77">
        <f>SUMIF(A:A,B26,G:G)</f>
        <v>6</v>
      </c>
      <c r="G26" s="78">
        <f>SUMIF(A:A,B26,H:H)</f>
        <v>4</v>
      </c>
      <c r="H26" s="78">
        <f>SUMIF(A:A,B26,I:I)</f>
        <v>3</v>
      </c>
      <c r="I26" s="78">
        <f>SUMIF(A:A,B26,P:P)</f>
        <v>0</v>
      </c>
      <c r="J26" s="78">
        <f>SUMIF(A:A,B26,Q:Q)</f>
        <v>0</v>
      </c>
      <c r="K26" s="78">
        <f>SUMIF(A:A,B26,R:R)</f>
        <v>1</v>
      </c>
      <c r="L26" s="78">
        <f>SUMIF(A:A,B26,S:S)</f>
        <v>1</v>
      </c>
      <c r="M26" s="78">
        <f>SUMIF(A:A,B26,M:M)</f>
        <v>7</v>
      </c>
      <c r="N26" s="78">
        <f>SUMIF(A:A,B26,N:N)</f>
        <v>2</v>
      </c>
      <c r="O26" s="78">
        <f>SUMIF(A:A,B26,O:O)</f>
        <v>1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910</v>
      </c>
      <c r="F28" s="89">
        <f>IFERROR((G26+R26)/F26,0)</f>
        <v>0.6666666667</v>
      </c>
      <c r="G28" s="89">
        <f>IFERROR(H26/G26,0)</f>
        <v>0.75</v>
      </c>
      <c r="H28" s="88">
        <f>(C26/C28)</f>
        <v>248.1818182</v>
      </c>
      <c r="I28" s="90"/>
      <c r="J28" s="89">
        <f>IFERROR(J26/I26,0)</f>
        <v>0</v>
      </c>
      <c r="K28" s="90"/>
      <c r="L28" s="89">
        <f>IFERROR(L26/K26,0)</f>
        <v>1</v>
      </c>
      <c r="M28" s="91">
        <f>IFERROR(M26/SUM(R26+G26,0),"")</f>
        <v>1.75</v>
      </c>
      <c r="N28" s="90"/>
      <c r="O28" s="89">
        <f>IFERROR(O26/N26,0)</f>
        <v>0.5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5.0</v>
      </c>
      <c r="H53" s="190">
        <v>2.0</v>
      </c>
      <c r="I53" s="190">
        <v>2.0</v>
      </c>
      <c r="J53" s="190">
        <v>1.0</v>
      </c>
      <c r="K53" s="190">
        <v>1.0</v>
      </c>
      <c r="L53" s="110"/>
      <c r="M53" s="190">
        <v>13.0</v>
      </c>
      <c r="N53" s="190">
        <v>1.0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4740.0</v>
      </c>
      <c r="U53" s="111">
        <f t="shared" si="2"/>
        <v>1</v>
      </c>
      <c r="V53" s="111">
        <f t="shared" si="3"/>
        <v>0.4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v>0.0</v>
      </c>
      <c r="H57" s="110">
        <v>0.0</v>
      </c>
      <c r="I57" s="110">
        <v>0.0</v>
      </c>
      <c r="J57" s="110">
        <v>0.0</v>
      </c>
      <c r="K57" s="110">
        <v>0.0</v>
      </c>
      <c r="L57" s="110">
        <v>0.0</v>
      </c>
      <c r="M57" s="110">
        <v>0.0</v>
      </c>
      <c r="N57" s="110">
        <v>0.0</v>
      </c>
      <c r="O57" s="110">
        <v>0.0</v>
      </c>
      <c r="P57" s="110">
        <v>0.0</v>
      </c>
      <c r="Q57" s="110">
        <v>0.0</v>
      </c>
      <c r="R57" s="110">
        <v>0.0</v>
      </c>
      <c r="S57" s="110">
        <v>0.0</v>
      </c>
      <c r="T57" s="11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>
        <v>0.0</v>
      </c>
      <c r="H58" s="110">
        <v>0.0</v>
      </c>
      <c r="I58" s="110">
        <v>0.0</v>
      </c>
      <c r="J58" s="110">
        <v>0.0</v>
      </c>
      <c r="K58" s="110">
        <v>0.0</v>
      </c>
      <c r="L58" s="110">
        <v>0.0</v>
      </c>
      <c r="M58" s="110">
        <v>0.0</v>
      </c>
      <c r="N58" s="110">
        <v>0.0</v>
      </c>
      <c r="O58" s="110">
        <v>0.0</v>
      </c>
      <c r="P58" s="110">
        <v>0.0</v>
      </c>
      <c r="Q58" s="110">
        <v>0.0</v>
      </c>
      <c r="R58" s="110">
        <v>0.0</v>
      </c>
      <c r="S58" s="110">
        <v>0.0</v>
      </c>
      <c r="T58" s="11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2.0</v>
      </c>
      <c r="H60" s="190">
        <v>1.0</v>
      </c>
      <c r="I60" s="190">
        <v>1.0</v>
      </c>
      <c r="J60" s="190">
        <v>1.0</v>
      </c>
      <c r="K60" s="190">
        <v>1.0</v>
      </c>
      <c r="L60" s="190">
        <v>1.0</v>
      </c>
      <c r="M60" s="190">
        <v>5.0</v>
      </c>
      <c r="N60" s="190">
        <v>1.0</v>
      </c>
      <c r="O60" s="190">
        <v>1.0</v>
      </c>
      <c r="P60" s="190">
        <v>0.0</v>
      </c>
      <c r="Q60" s="190">
        <v>0.0</v>
      </c>
      <c r="R60" s="190">
        <v>0.0</v>
      </c>
      <c r="S60" s="190">
        <v>0.0</v>
      </c>
      <c r="T60" s="190">
        <v>1599.0</v>
      </c>
      <c r="U60" s="111">
        <f t="shared" si="2"/>
        <v>1</v>
      </c>
      <c r="V60" s="111">
        <f t="shared" si="3"/>
        <v>1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v>0.0</v>
      </c>
      <c r="H61" s="110">
        <v>0.0</v>
      </c>
      <c r="I61" s="110">
        <v>0.0</v>
      </c>
      <c r="J61" s="110">
        <v>0.0</v>
      </c>
      <c r="K61" s="110">
        <v>0.0</v>
      </c>
      <c r="L61" s="110">
        <v>0.0</v>
      </c>
      <c r="M61" s="110">
        <v>0.0</v>
      </c>
      <c r="N61" s="110">
        <v>0.0</v>
      </c>
      <c r="O61" s="110">
        <v>0.0</v>
      </c>
      <c r="P61" s="110">
        <v>0.0</v>
      </c>
      <c r="Q61" s="110">
        <v>0.0</v>
      </c>
      <c r="R61" s="110">
        <v>0.0</v>
      </c>
      <c r="S61" s="110">
        <v>0.0</v>
      </c>
      <c r="T61" s="11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6" si="4">IFERROR(I64/H64,0)</f>
        <v>0</v>
      </c>
      <c r="V64" s="111">
        <f t="shared" ref="V64:V66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91">
        <v>0.0</v>
      </c>
      <c r="V67" s="191">
        <v>0.0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1.0</v>
      </c>
      <c r="H68" s="190">
        <v>1.0</v>
      </c>
      <c r="I68" s="190">
        <v>0.0</v>
      </c>
      <c r="J68" s="190">
        <v>1.0</v>
      </c>
      <c r="K68" s="190">
        <v>0.0</v>
      </c>
      <c r="L68" s="190">
        <v>1.0</v>
      </c>
      <c r="M68" s="190">
        <v>2.0</v>
      </c>
      <c r="N68" s="190">
        <v>0.0</v>
      </c>
      <c r="O68" s="190">
        <v>0.0</v>
      </c>
      <c r="P68" s="190">
        <v>0.0</v>
      </c>
      <c r="Q68" s="190">
        <v>0.0</v>
      </c>
      <c r="R68" s="190">
        <v>1.0</v>
      </c>
      <c r="S68" s="190">
        <v>0.0</v>
      </c>
      <c r="T68" s="190">
        <v>0.0</v>
      </c>
      <c r="U68" s="152">
        <f t="shared" ref="U68:U69" si="6">IFERROR(I68/H68,0)</f>
        <v>0</v>
      </c>
      <c r="V68" s="152">
        <f t="shared" ref="V68:V69" si="7">IFERROR(SUM(H68+L68)/G68,0)</f>
        <v>2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6"/>
        <v>0</v>
      </c>
      <c r="V69" s="152">
        <f t="shared" si="7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8">IFERROR(I71/H71,0)</f>
        <v>0</v>
      </c>
      <c r="V71" s="111">
        <f t="shared" ref="V71:V79" si="9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8"/>
        <v>0</v>
      </c>
      <c r="V72" s="111">
        <f t="shared" si="9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8"/>
        <v>0</v>
      </c>
      <c r="V73" s="111">
        <f t="shared" si="9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8"/>
        <v>0</v>
      </c>
      <c r="V74" s="111">
        <f t="shared" si="9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8"/>
        <v>0</v>
      </c>
      <c r="V75" s="111">
        <f t="shared" si="9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8"/>
        <v>0</v>
      </c>
      <c r="V76" s="111">
        <f t="shared" si="9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8"/>
        <v>0</v>
      </c>
      <c r="V77" s="111">
        <f t="shared" si="9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90">
        <v>1.0</v>
      </c>
      <c r="H78" s="190">
        <v>1.0</v>
      </c>
      <c r="I78" s="190">
        <v>1.0</v>
      </c>
      <c r="J78" s="190">
        <v>1.0</v>
      </c>
      <c r="K78" s="190">
        <v>1.0</v>
      </c>
      <c r="L78" s="190">
        <v>1.0</v>
      </c>
      <c r="M78" s="190">
        <v>0.0</v>
      </c>
      <c r="N78" s="190">
        <v>0.0</v>
      </c>
      <c r="O78" s="110"/>
      <c r="P78" s="110"/>
      <c r="Q78" s="110"/>
      <c r="R78" s="190">
        <v>1.0</v>
      </c>
      <c r="S78" s="190">
        <v>1.0</v>
      </c>
      <c r="T78" s="190">
        <v>2100.0</v>
      </c>
      <c r="U78" s="111">
        <f t="shared" si="8"/>
        <v>1</v>
      </c>
      <c r="V78" s="111">
        <f t="shared" si="9"/>
        <v>2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8"/>
        <v>0</v>
      </c>
      <c r="V79" s="111">
        <f t="shared" si="9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10">IFERROR(I81/H81,0)</f>
        <v>0</v>
      </c>
      <c r="V81" s="111">
        <f t="shared" ref="V81:V87" si="11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10"/>
        <v>0</v>
      </c>
      <c r="V82" s="111">
        <f t="shared" si="11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10"/>
        <v>0</v>
      </c>
      <c r="V83" s="111">
        <f t="shared" si="11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10"/>
        <v>0</v>
      </c>
      <c r="V84" s="111">
        <f t="shared" si="11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10"/>
        <v>0</v>
      </c>
      <c r="V85" s="111">
        <f t="shared" si="11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10"/>
        <v>0</v>
      </c>
      <c r="V86" s="111">
        <f t="shared" si="11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10"/>
        <v>0</v>
      </c>
      <c r="V87" s="111">
        <f t="shared" si="11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2">IFERROR(I89/H89,0)</f>
        <v>0</v>
      </c>
      <c r="V89" s="111">
        <f t="shared" ref="V89:V99" si="13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2"/>
        <v>0</v>
      </c>
      <c r="V90" s="111">
        <f t="shared" si="13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2"/>
        <v>0</v>
      </c>
      <c r="V91" s="111">
        <f t="shared" si="13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2"/>
        <v>0</v>
      </c>
      <c r="V92" s="111">
        <f t="shared" si="13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90">
        <v>2.0</v>
      </c>
      <c r="H93" s="190">
        <v>2.0</v>
      </c>
      <c r="I93" s="190">
        <v>2.0</v>
      </c>
      <c r="J93" s="110"/>
      <c r="K93" s="110"/>
      <c r="L93" s="110"/>
      <c r="M93" s="190">
        <v>3.0</v>
      </c>
      <c r="N93" s="190">
        <v>2.0</v>
      </c>
      <c r="O93" s="190">
        <v>1.0</v>
      </c>
      <c r="P93" s="110"/>
      <c r="Q93" s="110"/>
      <c r="R93" s="110"/>
      <c r="S93" s="110"/>
      <c r="T93" s="190">
        <v>870.0</v>
      </c>
      <c r="U93" s="111">
        <f t="shared" si="12"/>
        <v>1</v>
      </c>
      <c r="V93" s="111">
        <f t="shared" si="13"/>
        <v>1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90">
        <v>3.0</v>
      </c>
      <c r="H94" s="190">
        <v>1.0</v>
      </c>
      <c r="I94" s="190" t="s">
        <v>124</v>
      </c>
      <c r="J94" s="110"/>
      <c r="K94" s="110"/>
      <c r="L94" s="110"/>
      <c r="M94" s="190">
        <v>4.0</v>
      </c>
      <c r="N94" s="110"/>
      <c r="O94" s="110"/>
      <c r="P94" s="110"/>
      <c r="Q94" s="110"/>
      <c r="R94" s="110"/>
      <c r="S94" s="110"/>
      <c r="T94" s="110"/>
      <c r="U94" s="111">
        <f t="shared" si="12"/>
        <v>0</v>
      </c>
      <c r="V94" s="111">
        <f t="shared" si="13"/>
        <v>0.3333333333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2"/>
        <v>0</v>
      </c>
      <c r="V95" s="111">
        <f t="shared" si="13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2"/>
        <v>0</v>
      </c>
      <c r="V96" s="111">
        <f t="shared" si="13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2"/>
        <v>0</v>
      </c>
      <c r="V97" s="111">
        <f t="shared" si="13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90">
        <v>1.0</v>
      </c>
      <c r="H98" s="190">
        <v>1.0</v>
      </c>
      <c r="I98" s="190">
        <v>1.0</v>
      </c>
      <c r="J98" s="110"/>
      <c r="K98" s="110"/>
      <c r="L98" s="110"/>
      <c r="M98" s="110"/>
      <c r="N98" s="110"/>
      <c r="O98" s="110"/>
      <c r="P98" s="110"/>
      <c r="Q98" s="110"/>
      <c r="R98" s="190">
        <v>1.0</v>
      </c>
      <c r="S98" s="190">
        <v>1.0</v>
      </c>
      <c r="T98" s="190">
        <v>1860.0</v>
      </c>
      <c r="U98" s="111">
        <f t="shared" si="12"/>
        <v>1</v>
      </c>
      <c r="V98" s="111">
        <f t="shared" si="13"/>
        <v>1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2"/>
        <v>0</v>
      </c>
      <c r="V99" s="111">
        <f t="shared" si="13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4">IFERROR(I101/H101,0)</f>
        <v>0</v>
      </c>
      <c r="V101" s="152">
        <f t="shared" ref="V101:V102" si="15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4"/>
        <v>0</v>
      </c>
      <c r="V102" s="152">
        <f t="shared" si="15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1750</v>
      </c>
      <c r="D2" s="10"/>
      <c r="E2" s="9">
        <f t="shared" ref="E2:R2" si="1">SUM(E5,E17,E20,E23,E26,E29)</f>
        <v>1750</v>
      </c>
      <c r="F2" s="9">
        <f t="shared" si="1"/>
        <v>4</v>
      </c>
      <c r="G2" s="9">
        <f t="shared" si="1"/>
        <v>3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5</v>
      </c>
      <c r="N2" s="9">
        <f t="shared" si="1"/>
        <v>1</v>
      </c>
      <c r="O2" s="9">
        <f t="shared" si="1"/>
        <v>1</v>
      </c>
      <c r="P2" s="9">
        <f t="shared" si="1"/>
        <v>2</v>
      </c>
      <c r="Q2" s="9">
        <f t="shared" si="1"/>
        <v>2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875</v>
      </c>
      <c r="F4" s="23">
        <f>IFERROR((G2+R2)/F2,0)</f>
        <v>0.75</v>
      </c>
      <c r="G4" s="23">
        <f>IFERROR(H2/G2,0)</f>
        <v>0.6666666667</v>
      </c>
      <c r="H4" s="22">
        <f>(C2/C4)</f>
        <v>27.34375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1.666666667</v>
      </c>
      <c r="N4" s="24"/>
      <c r="O4" s="23">
        <f>IFERROR(O2/N2,0)</f>
        <v>1</v>
      </c>
      <c r="P4" s="25"/>
      <c r="Q4" s="23">
        <f>IFERROR(Q2/P2,0)</f>
        <v>1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1750</v>
      </c>
      <c r="D5" s="31"/>
      <c r="E5" s="32">
        <f>SUMIFS(T:T,A:A,B5,D:D,"Y")</f>
        <v>1750</v>
      </c>
      <c r="F5" s="9">
        <f>SUMIF(A:A,B5,G:G)</f>
        <v>4</v>
      </c>
      <c r="G5" s="9">
        <f>SUMIF(A:A,B5,H:H)</f>
        <v>2</v>
      </c>
      <c r="H5" s="9">
        <f>SUMIF(A:A,B5,I:I)</f>
        <v>2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2</v>
      </c>
      <c r="N5" s="9">
        <f>SUMIF(A:A,B5,N:N)</f>
        <v>1</v>
      </c>
      <c r="O5" s="9">
        <f>SUMIF(A:A,B5,O:O)</f>
        <v>1</v>
      </c>
      <c r="P5" s="9">
        <f>SUMIF(A:A,B5,J:J)</f>
        <v>1</v>
      </c>
      <c r="Q5" s="9">
        <f>SUMIF(A:A,B5,K:K)</f>
        <v>2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875</v>
      </c>
      <c r="F7" s="41">
        <f>IFERROR((G5+R5)/F5,0)</f>
        <v>0.5</v>
      </c>
      <c r="G7" s="41">
        <f>IFERROR(H5/G5,0)</f>
        <v>1</v>
      </c>
      <c r="H7" s="40">
        <f>(C5/C7)</f>
        <v>60.34482759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</v>
      </c>
      <c r="N7" s="42"/>
      <c r="O7" s="41">
        <f>IFERROR(O5/N5,0)</f>
        <v>1</v>
      </c>
      <c r="P7" s="43"/>
      <c r="Q7" s="41">
        <f>IFERROR(Q5/P5,0)</f>
        <v>2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1750</v>
      </c>
      <c r="D14" s="64"/>
      <c r="E14" s="65">
        <f>SUMIFS(T:T,B:B,B14,D:D,"Y")</f>
        <v>1750</v>
      </c>
      <c r="F14" s="66">
        <f>SUMIF(B34:B1137,B14,G34:G1137)</f>
        <v>4</v>
      </c>
      <c r="G14" s="67">
        <f>SUMIF(B34:B1137,B14,H34:H1137)</f>
        <v>2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2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1</v>
      </c>
      <c r="Q14" s="67">
        <f>SUMIF(B34:B1137,B14,K34:K1137)</f>
        <v>2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875</v>
      </c>
      <c r="F16" s="23">
        <f>IFERROR((G14+R14)/F14,0)</f>
        <v>0.5</v>
      </c>
      <c r="G16" s="23">
        <f>IFERROR(H14/G14,0)</f>
        <v>1</v>
      </c>
      <c r="H16" s="22">
        <f>(C14/C16)</f>
        <v>109.375</v>
      </c>
      <c r="I16" s="24"/>
      <c r="J16" s="23">
        <f>IFERROR(J14/I14,0)</f>
        <v>0</v>
      </c>
      <c r="K16" s="24"/>
      <c r="L16" s="23">
        <f>IFERROR(L14/K14,0)</f>
        <v>0</v>
      </c>
      <c r="M16" s="25">
        <f>IFERROR(M14/SUM(G14+R14,0),"")</f>
        <v>1</v>
      </c>
      <c r="N16" s="24"/>
      <c r="O16" s="23">
        <f>IFERROR(O14/N14,0)</f>
        <v>1</v>
      </c>
      <c r="P16" s="25"/>
      <c r="Q16" s="23">
        <f>IFERROR(Q14/P14,0)</f>
        <v>2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1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1</v>
      </c>
      <c r="L23" s="9">
        <f>SUMIF(A:A,B23,S:S)</f>
        <v>0</v>
      </c>
      <c r="M23" s="9">
        <f>SUMIF(A:A,B23,M:M)</f>
        <v>3</v>
      </c>
      <c r="N23" s="9">
        <f>SUMIF(A:A,B23,N:N)</f>
        <v>0</v>
      </c>
      <c r="O23" s="9">
        <f>SUMIF(A:A,B23,O:O)</f>
        <v>0</v>
      </c>
      <c r="P23" s="9">
        <f>SUMIF(A:A,B23,J:J)</f>
        <v>1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>
        <f>IFERROR(M23/SUM(R23+G23,0),"")</f>
        <v>3</v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2.0</v>
      </c>
      <c r="H53" s="190">
        <v>1.0</v>
      </c>
      <c r="I53" s="190">
        <v>1.0</v>
      </c>
      <c r="J53" s="190">
        <v>1.0</v>
      </c>
      <c r="K53" s="190">
        <v>1.0</v>
      </c>
      <c r="L53" s="190">
        <v>0.0</v>
      </c>
      <c r="M53" s="190">
        <v>1.0</v>
      </c>
      <c r="N53" s="190">
        <v>1.0</v>
      </c>
      <c r="O53" s="190">
        <v>1.0</v>
      </c>
      <c r="P53" s="190">
        <v>0.0</v>
      </c>
      <c r="Q53" s="190">
        <v>0.0</v>
      </c>
      <c r="R53" s="190">
        <v>0.0</v>
      </c>
      <c r="S53" s="190">
        <v>0.0</v>
      </c>
      <c r="T53" s="190">
        <v>1750.0</v>
      </c>
      <c r="U53" s="111">
        <f t="shared" si="2"/>
        <v>1</v>
      </c>
      <c r="V53" s="111">
        <f t="shared" si="3"/>
        <v>0.5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v>0.0</v>
      </c>
      <c r="H57" s="110">
        <v>0.0</v>
      </c>
      <c r="I57" s="110">
        <v>0.0</v>
      </c>
      <c r="J57" s="110">
        <v>0.0</v>
      </c>
      <c r="K57" s="110">
        <v>0.0</v>
      </c>
      <c r="L57" s="110">
        <v>0.0</v>
      </c>
      <c r="M57" s="110">
        <v>0.0</v>
      </c>
      <c r="N57" s="110">
        <v>0.0</v>
      </c>
      <c r="O57" s="110">
        <v>0.0</v>
      </c>
      <c r="P57" s="110">
        <v>0.0</v>
      </c>
      <c r="Q57" s="110">
        <v>0.0</v>
      </c>
      <c r="R57" s="110">
        <v>0.0</v>
      </c>
      <c r="S57" s="110">
        <v>0.0</v>
      </c>
      <c r="T57" s="11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>
        <v>0.0</v>
      </c>
      <c r="H58" s="110">
        <v>0.0</v>
      </c>
      <c r="I58" s="110">
        <v>0.0</v>
      </c>
      <c r="J58" s="110">
        <v>0.0</v>
      </c>
      <c r="K58" s="110">
        <v>0.0</v>
      </c>
      <c r="L58" s="110">
        <v>0.0</v>
      </c>
      <c r="M58" s="110">
        <v>0.0</v>
      </c>
      <c r="N58" s="110">
        <v>0.0</v>
      </c>
      <c r="O58" s="110">
        <v>0.0</v>
      </c>
      <c r="P58" s="110">
        <v>0.0</v>
      </c>
      <c r="Q58" s="110">
        <v>0.0</v>
      </c>
      <c r="R58" s="110">
        <v>0.0</v>
      </c>
      <c r="S58" s="110">
        <v>0.0</v>
      </c>
      <c r="T58" s="11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>
        <v>0.0</v>
      </c>
      <c r="H59" s="110">
        <v>0.0</v>
      </c>
      <c r="I59" s="110">
        <v>0.0</v>
      </c>
      <c r="J59" s="110">
        <v>0.0</v>
      </c>
      <c r="K59" s="110">
        <v>0.0</v>
      </c>
      <c r="L59" s="110">
        <v>0.0</v>
      </c>
      <c r="M59" s="110">
        <v>0.0</v>
      </c>
      <c r="N59" s="110">
        <v>0.0</v>
      </c>
      <c r="O59" s="110">
        <v>0.0</v>
      </c>
      <c r="P59" s="110">
        <v>0.0</v>
      </c>
      <c r="Q59" s="110">
        <v>0.0</v>
      </c>
      <c r="R59" s="110">
        <v>0.0</v>
      </c>
      <c r="S59" s="110">
        <v>0.0</v>
      </c>
      <c r="T59" s="110">
        <v>0.0</v>
      </c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2.0</v>
      </c>
      <c r="H60" s="190">
        <v>1.0</v>
      </c>
      <c r="I60" s="190">
        <v>1.0</v>
      </c>
      <c r="J60" s="190">
        <v>0.0</v>
      </c>
      <c r="K60" s="190">
        <v>1.0</v>
      </c>
      <c r="L60" s="190">
        <v>0.0</v>
      </c>
      <c r="M60" s="190">
        <v>1.0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2"/>
        <v>1</v>
      </c>
      <c r="V60" s="111">
        <f t="shared" si="3"/>
        <v>0.5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v>0.0</v>
      </c>
      <c r="H61" s="110">
        <v>0.0</v>
      </c>
      <c r="I61" s="110">
        <v>0.0</v>
      </c>
      <c r="J61" s="110">
        <v>0.0</v>
      </c>
      <c r="K61" s="110">
        <v>0.0</v>
      </c>
      <c r="L61" s="110">
        <v>0.0</v>
      </c>
      <c r="M61" s="110">
        <v>0.0</v>
      </c>
      <c r="N61" s="110">
        <v>0.0</v>
      </c>
      <c r="O61" s="110">
        <v>0.0</v>
      </c>
      <c r="P61" s="110">
        <v>0.0</v>
      </c>
      <c r="Q61" s="110">
        <v>0.0</v>
      </c>
      <c r="R61" s="110">
        <v>0.0</v>
      </c>
      <c r="S61" s="110">
        <v>0.0</v>
      </c>
      <c r="T61" s="11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10"/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6"/>
        <v>0</v>
      </c>
      <c r="V78" s="111">
        <f t="shared" si="7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1.0</v>
      </c>
      <c r="I83" s="190">
        <v>0.0</v>
      </c>
      <c r="J83" s="190">
        <v>1.0</v>
      </c>
      <c r="K83" s="190">
        <v>0.0</v>
      </c>
      <c r="L83" s="190">
        <v>0.0</v>
      </c>
      <c r="M83" s="190">
        <v>3.0</v>
      </c>
      <c r="N83" s="190">
        <v>0.0</v>
      </c>
      <c r="O83" s="190">
        <v>0.0</v>
      </c>
      <c r="P83" s="190">
        <v>0.0</v>
      </c>
      <c r="Q83" s="190">
        <v>0.0</v>
      </c>
      <c r="R83" s="190">
        <v>1.0</v>
      </c>
      <c r="S83" s="190">
        <v>0.0</v>
      </c>
      <c r="T83" s="190">
        <v>0.0</v>
      </c>
      <c r="U83" s="111">
        <f t="shared" si="8"/>
        <v>0</v>
      </c>
      <c r="V83" s="111">
        <f t="shared" si="9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0">IFERROR(I89/H89,0)</f>
        <v>0</v>
      </c>
      <c r="V89" s="111">
        <f t="shared" ref="V89:V99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0"/>
        <v>0</v>
      </c>
      <c r="V90" s="111">
        <f t="shared" si="11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0"/>
        <v>0</v>
      </c>
      <c r="V99" s="111">
        <f t="shared" si="11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2">IFERROR(I101/H101,0)</f>
        <v>0</v>
      </c>
      <c r="V101" s="152">
        <f t="shared" ref="V101:V102" si="13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2"/>
        <v>0</v>
      </c>
      <c r="V102" s="152">
        <f t="shared" si="13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1893</v>
      </c>
      <c r="D2" s="10"/>
      <c r="E2" s="9">
        <f t="shared" ref="E2:R2" si="1">SUM(E5,E17,E20,E23,E26,E29)</f>
        <v>1893</v>
      </c>
      <c r="F2" s="9">
        <f t="shared" si="1"/>
        <v>4</v>
      </c>
      <c r="G2" s="9">
        <f t="shared" si="1"/>
        <v>4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1</v>
      </c>
      <c r="M2" s="9">
        <f t="shared" si="1"/>
        <v>21</v>
      </c>
      <c r="N2" s="9">
        <f t="shared" si="1"/>
        <v>2</v>
      </c>
      <c r="O2" s="9">
        <f t="shared" si="1"/>
        <v>0</v>
      </c>
      <c r="P2" s="9">
        <f t="shared" si="1"/>
        <v>3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1893</v>
      </c>
      <c r="F4" s="23">
        <f>IFERROR((G2+R2)/F2,0)</f>
        <v>1.25</v>
      </c>
      <c r="G4" s="23">
        <f>IFERROR(H2/G2,0)</f>
        <v>0.25</v>
      </c>
      <c r="H4" s="22">
        <f>(C2/C4)</f>
        <v>29.578125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5.25</v>
      </c>
      <c r="N4" s="24"/>
      <c r="O4" s="23">
        <f>IFERROR(O2/N2,0)</f>
        <v>0</v>
      </c>
      <c r="P4" s="25"/>
      <c r="Q4" s="23">
        <f>IFERROR(Q2/P2,0)</f>
        <v>0.3333333333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1893</v>
      </c>
      <c r="D5" s="31"/>
      <c r="E5" s="32">
        <f>SUMIFS(T:T,A:A,B5,D:D,"Y")</f>
        <v>1893</v>
      </c>
      <c r="F5" s="9">
        <f>SUMIF(A:A,B5,G:G)</f>
        <v>4</v>
      </c>
      <c r="G5" s="9">
        <f>SUMIF(A:A,B5,H:H)</f>
        <v>3</v>
      </c>
      <c r="H5" s="9">
        <f>SUMIF(A:A,B5,I:I)</f>
        <v>1</v>
      </c>
      <c r="I5" s="9">
        <f>SUMIF(A:A,B5,P:P)</f>
        <v>0</v>
      </c>
      <c r="J5" s="9">
        <f>SUMIF(A:A,B5,Q:Q)</f>
        <v>0</v>
      </c>
      <c r="K5" s="9">
        <f>SUMIF(A:A,B5,R:R)</f>
        <v>1</v>
      </c>
      <c r="L5" s="9">
        <f>SUMIF(A:A,B5,S:S)</f>
        <v>1</v>
      </c>
      <c r="M5" s="9">
        <f>SUMIF(A:A,B5,M:M)</f>
        <v>10</v>
      </c>
      <c r="N5" s="9">
        <f>SUMIF(A:A,B5,N:N)</f>
        <v>1</v>
      </c>
      <c r="O5" s="9">
        <f>SUMIF(A:A,B5,O:O)</f>
        <v>0</v>
      </c>
      <c r="P5" s="9">
        <f>SUMIF(A:A,B5,J:J)</f>
        <v>3</v>
      </c>
      <c r="Q5" s="9">
        <f>SUMIF(A:A,B5,K:K)</f>
        <v>1</v>
      </c>
      <c r="R5" s="33">
        <f>SUMIF(A:A,B5,L:L)</f>
        <v>1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1893</v>
      </c>
      <c r="F7" s="41">
        <f>IFERROR((G5+R5)/F5,0)</f>
        <v>1</v>
      </c>
      <c r="G7" s="41">
        <f>IFERROR(H5/G5,0)</f>
        <v>0.3333333333</v>
      </c>
      <c r="H7" s="40">
        <f>(C5/C7)</f>
        <v>65.27586207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2.5</v>
      </c>
      <c r="N7" s="42"/>
      <c r="O7" s="41">
        <f>IFERROR(O5/N5,0)</f>
        <v>0</v>
      </c>
      <c r="P7" s="43"/>
      <c r="Q7" s="41">
        <f>IFERROR(Q5/P5,0)</f>
        <v>0.3333333333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1893</v>
      </c>
      <c r="D14" s="64"/>
      <c r="E14" s="65">
        <f>SUMIFS(T:T,B:B,B14,D:D,"Y")</f>
        <v>1893</v>
      </c>
      <c r="F14" s="66">
        <f>SUMIF(B34:B1137,B14,G34:G1137)</f>
        <v>4</v>
      </c>
      <c r="G14" s="67">
        <f>SUMIF(B34:B1137,B14,H34:H1137)</f>
        <v>3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10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3</v>
      </c>
      <c r="Q14" s="67">
        <f>SUMIF(B34:B1137,B14,K34:K1137)</f>
        <v>1</v>
      </c>
      <c r="R14" s="68">
        <f>SUMIF(B34:B1137,B14,L34:L1137)</f>
        <v>1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1893</v>
      </c>
      <c r="F16" s="23">
        <f>IFERROR((G14+R14)/F14,0)</f>
        <v>1</v>
      </c>
      <c r="G16" s="23">
        <f>IFERROR(H14/G14,0)</f>
        <v>0.3333333333</v>
      </c>
      <c r="H16" s="22">
        <f>(C14/C16)</f>
        <v>118.3125</v>
      </c>
      <c r="I16" s="24"/>
      <c r="J16" s="23">
        <f>IFERROR(J14/I14,0)</f>
        <v>0</v>
      </c>
      <c r="K16" s="24"/>
      <c r="L16" s="23">
        <f>IFERROR(L14/K14,0)</f>
        <v>1</v>
      </c>
      <c r="M16" s="25">
        <f>IFERROR(M14/SUM(G14+R14,0),"")</f>
        <v>2.5</v>
      </c>
      <c r="N16" s="24"/>
      <c r="O16" s="23">
        <f>IFERROR(O14/N14,0)</f>
        <v>0</v>
      </c>
      <c r="P16" s="25"/>
      <c r="Q16" s="23">
        <f>IFERROR(Q14/P14,0)</f>
        <v>0.3333333333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1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11</v>
      </c>
      <c r="N23" s="9">
        <f>SUMIF(A:A,B23,N:N)</f>
        <v>1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>
        <f>IFERROR(M23/SUM(R23+G23,0),"")</f>
        <v>11</v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8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1.0</v>
      </c>
      <c r="I53" s="190">
        <v>1.0</v>
      </c>
      <c r="J53" s="190">
        <v>1.0</v>
      </c>
      <c r="K53" s="190">
        <v>1.0</v>
      </c>
      <c r="L53" s="190">
        <v>0.0</v>
      </c>
      <c r="M53" s="190">
        <v>1.0</v>
      </c>
      <c r="N53" s="190">
        <v>0.0</v>
      </c>
      <c r="O53" s="190">
        <v>0.0</v>
      </c>
      <c r="P53" s="190">
        <v>0.0</v>
      </c>
      <c r="Q53" s="190">
        <v>0.0</v>
      </c>
      <c r="R53" s="190">
        <v>1.0</v>
      </c>
      <c r="S53" s="190">
        <v>1.0</v>
      </c>
      <c r="T53" s="190">
        <v>1893.0</v>
      </c>
      <c r="U53" s="111">
        <f t="shared" si="2"/>
        <v>1</v>
      </c>
      <c r="V53" s="111">
        <f t="shared" si="3"/>
        <v>1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v>0.0</v>
      </c>
      <c r="H57" s="110">
        <v>0.0</v>
      </c>
      <c r="I57" s="110">
        <v>0.0</v>
      </c>
      <c r="J57" s="110">
        <v>0.0</v>
      </c>
      <c r="K57" s="110">
        <v>0.0</v>
      </c>
      <c r="L57" s="110">
        <v>0.0</v>
      </c>
      <c r="M57" s="110">
        <v>0.0</v>
      </c>
      <c r="N57" s="110">
        <v>0.0</v>
      </c>
      <c r="O57" s="110">
        <v>0.0</v>
      </c>
      <c r="P57" s="110">
        <v>0.0</v>
      </c>
      <c r="Q57" s="110">
        <v>0.0</v>
      </c>
      <c r="R57" s="110">
        <v>0.0</v>
      </c>
      <c r="S57" s="110">
        <v>0.0</v>
      </c>
      <c r="T57" s="11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1.0</v>
      </c>
      <c r="H58" s="190">
        <v>1.0</v>
      </c>
      <c r="I58" s="190">
        <v>0.0</v>
      </c>
      <c r="J58" s="190">
        <v>1.0</v>
      </c>
      <c r="K58" s="190">
        <v>0.0</v>
      </c>
      <c r="L58" s="190">
        <v>0.0</v>
      </c>
      <c r="M58" s="190">
        <v>5.0</v>
      </c>
      <c r="N58" s="190">
        <v>1.0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2"/>
        <v>0</v>
      </c>
      <c r="V58" s="111">
        <f t="shared" si="3"/>
        <v>1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2.0</v>
      </c>
      <c r="H59" s="190">
        <v>1.0</v>
      </c>
      <c r="I59" s="190">
        <v>0.0</v>
      </c>
      <c r="J59" s="190">
        <v>1.0</v>
      </c>
      <c r="K59" s="190">
        <v>0.0</v>
      </c>
      <c r="L59" s="190">
        <v>1.0</v>
      </c>
      <c r="M59" s="190">
        <v>4.0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92">
        <v>0.0</v>
      </c>
      <c r="V59" s="111">
        <f t="shared" si="3"/>
        <v>1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>
        <v>0.0</v>
      </c>
      <c r="H60" s="110">
        <v>0.0</v>
      </c>
      <c r="I60" s="110">
        <v>0.0</v>
      </c>
      <c r="J60" s="110">
        <v>0.0</v>
      </c>
      <c r="K60" s="110">
        <v>0.0</v>
      </c>
      <c r="L60" s="110">
        <v>0.0</v>
      </c>
      <c r="M60" s="110">
        <v>0.0</v>
      </c>
      <c r="N60" s="110">
        <v>0.0</v>
      </c>
      <c r="O60" s="110">
        <v>0.0</v>
      </c>
      <c r="P60" s="110">
        <v>0.0</v>
      </c>
      <c r="Q60" s="110">
        <v>0.0</v>
      </c>
      <c r="R60" s="110">
        <v>0.0</v>
      </c>
      <c r="S60" s="110">
        <v>0.0</v>
      </c>
      <c r="T60" s="110">
        <v>0.0</v>
      </c>
      <c r="U60" s="111">
        <f t="shared" ref="U60:U62" si="4">IFERROR(I60/H60,0)</f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v>0.0</v>
      </c>
      <c r="H61" s="110">
        <v>0.0</v>
      </c>
      <c r="I61" s="110">
        <v>0.0</v>
      </c>
      <c r="J61" s="110">
        <v>0.0</v>
      </c>
      <c r="K61" s="110">
        <v>0.0</v>
      </c>
      <c r="L61" s="110">
        <v>0.0</v>
      </c>
      <c r="M61" s="110">
        <v>0.0</v>
      </c>
      <c r="N61" s="110">
        <v>0.0</v>
      </c>
      <c r="O61" s="110">
        <v>0.0</v>
      </c>
      <c r="P61" s="110">
        <v>0.0</v>
      </c>
      <c r="Q61" s="110">
        <v>0.0</v>
      </c>
      <c r="R61" s="110">
        <v>0.0</v>
      </c>
      <c r="S61" s="110">
        <v>0.0</v>
      </c>
      <c r="T61" s="110">
        <v>0.0</v>
      </c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4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5">IFERROR(I64/H64,0)</f>
        <v>0</v>
      </c>
      <c r="V64" s="111">
        <f t="shared" ref="V64:V69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5"/>
        <v>0</v>
      </c>
      <c r="V65" s="152">
        <f t="shared" si="6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5"/>
        <v>0</v>
      </c>
      <c r="V68" s="152">
        <f t="shared" si="6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5"/>
        <v>0</v>
      </c>
      <c r="V69" s="152">
        <f t="shared" si="6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1.0</v>
      </c>
      <c r="I83" s="190">
        <v>0.0</v>
      </c>
      <c r="J83" s="190">
        <v>0.0</v>
      </c>
      <c r="K83" s="190">
        <v>0.0</v>
      </c>
      <c r="L83" s="190">
        <v>0.0</v>
      </c>
      <c r="M83" s="190">
        <v>11.0</v>
      </c>
      <c r="N83" s="190">
        <v>1.0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1">IFERROR(I89/H89,0)</f>
        <v>0</v>
      </c>
      <c r="V89" s="111">
        <f t="shared" ref="V89:V99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3">IFERROR(I101/H101,0)</f>
        <v>0</v>
      </c>
      <c r="V101" s="152">
        <f t="shared" ref="V101:V102" si="14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3"/>
        <v>0</v>
      </c>
      <c r="V102" s="152">
        <f t="shared" si="14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4677</v>
      </c>
      <c r="D2" s="10"/>
      <c r="E2" s="9">
        <f t="shared" ref="E2:R2" si="1">SUM(E5,E17,E20,E23,E26,E29)</f>
        <v>3596</v>
      </c>
      <c r="F2" s="9">
        <f t="shared" si="1"/>
        <v>10</v>
      </c>
      <c r="G2" s="9">
        <f t="shared" si="1"/>
        <v>7</v>
      </c>
      <c r="H2" s="9">
        <f t="shared" si="1"/>
        <v>5</v>
      </c>
      <c r="I2" s="9">
        <f t="shared" si="1"/>
        <v>1</v>
      </c>
      <c r="J2" s="9">
        <f t="shared" si="1"/>
        <v>1</v>
      </c>
      <c r="K2" s="9">
        <f t="shared" si="1"/>
        <v>0</v>
      </c>
      <c r="L2" s="9">
        <f t="shared" si="1"/>
        <v>0</v>
      </c>
      <c r="M2" s="9">
        <f t="shared" si="1"/>
        <v>5</v>
      </c>
      <c r="N2" s="9">
        <f t="shared" si="1"/>
        <v>7</v>
      </c>
      <c r="O2" s="9">
        <f t="shared" si="1"/>
        <v>4</v>
      </c>
      <c r="P2" s="9">
        <f t="shared" si="1"/>
        <v>5</v>
      </c>
      <c r="Q2" s="9">
        <f t="shared" si="1"/>
        <v>4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935.4</v>
      </c>
      <c r="F4" s="23">
        <f>IFERROR((G2+R2)/F2,0)</f>
        <v>0.7</v>
      </c>
      <c r="G4" s="23">
        <f>IFERROR(H2/G2,0)</f>
        <v>0.7142857143</v>
      </c>
      <c r="H4" s="22">
        <f>(C2/C4)</f>
        <v>73.078125</v>
      </c>
      <c r="I4" s="24"/>
      <c r="J4" s="23">
        <f>IFERROR(J2/I2,0)</f>
        <v>1</v>
      </c>
      <c r="K4" s="24"/>
      <c r="L4" s="23">
        <f>IFERROR(L2/K2,0)</f>
        <v>0</v>
      </c>
      <c r="M4" s="25">
        <f>IFERROR(M2/G2,0)</f>
        <v>0.7142857143</v>
      </c>
      <c r="N4" s="24"/>
      <c r="O4" s="23">
        <f>IFERROR(O2/N2,0)</f>
        <v>0.5714285714</v>
      </c>
      <c r="P4" s="25"/>
      <c r="Q4" s="23">
        <f>IFERROR(Q2/P2,0)</f>
        <v>0.8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4677</v>
      </c>
      <c r="D5" s="31"/>
      <c r="E5" s="32">
        <f>SUMIFS(T:T,A:A,B5,D:D,"Y")</f>
        <v>3596</v>
      </c>
      <c r="F5" s="9">
        <f>SUMIF(A:A,B5,G:G)</f>
        <v>10</v>
      </c>
      <c r="G5" s="9">
        <f>SUMIF(A:A,B5,H:H)</f>
        <v>7</v>
      </c>
      <c r="H5" s="9">
        <f>SUMIF(A:A,B5,I:I)</f>
        <v>5</v>
      </c>
      <c r="I5" s="9">
        <f>SUMIF(A:A,B5,P:P)</f>
        <v>1</v>
      </c>
      <c r="J5" s="9">
        <f>SUMIF(A:A,B5,Q:Q)</f>
        <v>1</v>
      </c>
      <c r="K5" s="9">
        <f>SUMIF(A:A,B5,R:R)</f>
        <v>0</v>
      </c>
      <c r="L5" s="9">
        <f>SUMIF(A:A,B5,S:S)</f>
        <v>0</v>
      </c>
      <c r="M5" s="9">
        <f>SUMIF(A:A,B5,M:M)</f>
        <v>5</v>
      </c>
      <c r="N5" s="9">
        <f>SUMIF(A:A,B5,N:N)</f>
        <v>7</v>
      </c>
      <c r="O5" s="9">
        <f>SUMIF(A:A,B5,O:O)</f>
        <v>4</v>
      </c>
      <c r="P5" s="9">
        <f>SUMIF(A:A,B5,J:J)</f>
        <v>5</v>
      </c>
      <c r="Q5" s="9">
        <f>SUMIF(A:A,B5,K:K)</f>
        <v>4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935.4</v>
      </c>
      <c r="F7" s="41">
        <f>IFERROR((G5+R5)/F5,0)</f>
        <v>0.7</v>
      </c>
      <c r="G7" s="41">
        <f>IFERROR(H5/G5,0)</f>
        <v>0.7142857143</v>
      </c>
      <c r="H7" s="40">
        <f>(C5/C7)</f>
        <v>161.2758621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0.7142857143</v>
      </c>
      <c r="N7" s="42"/>
      <c r="O7" s="41">
        <f>IFERROR(O5/N5,0)</f>
        <v>0.5714285714</v>
      </c>
      <c r="P7" s="43"/>
      <c r="Q7" s="41">
        <f>IFERROR(Q5/P5,0)</f>
        <v>0.8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4677</v>
      </c>
      <c r="D11" s="48"/>
      <c r="E11" s="59">
        <f>SUMIFS(T:T,B:B,B11,D:D,"Y")</f>
        <v>3596</v>
      </c>
      <c r="F11" s="60">
        <f>SUMIF(B31:B1137,B11,G31:G1137)</f>
        <v>9</v>
      </c>
      <c r="G11" s="61">
        <f>SUMIF(B31:B1137,B11,H31:H1137)</f>
        <v>7</v>
      </c>
      <c r="H11" s="61">
        <f>SUMIF(B31:B1137,B11,I31:I1137)</f>
        <v>5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7</v>
      </c>
      <c r="O11" s="61">
        <f>SUMIF(B31:B1137,B11,O31:O1137)</f>
        <v>4</v>
      </c>
      <c r="P11" s="61">
        <f>SUMIF(B31:B1137,B11,J31:J1137)</f>
        <v>5</v>
      </c>
      <c r="Q11" s="61">
        <f>SUMIF(B31:B1137,B11,K31:K1137)</f>
        <v>4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935.4</v>
      </c>
      <c r="F13" s="23">
        <f>IFERROR((G11+R11)/F11,0)</f>
        <v>0.7777777778</v>
      </c>
      <c r="G13" s="23">
        <f>IFERROR(H11/G11,0)</f>
        <v>0.7142857143</v>
      </c>
      <c r="H13" s="22">
        <f>(C11/C13)</f>
        <v>1169.25</v>
      </c>
      <c r="I13" s="24"/>
      <c r="J13" s="23">
        <f>IFERROR(J11/I11,0)</f>
        <v>1</v>
      </c>
      <c r="K13" s="24"/>
      <c r="L13" s="23">
        <f>IFERROR(L11/K11,0)</f>
        <v>0</v>
      </c>
      <c r="M13" s="25">
        <f>IFERROR(M11/SUM(R11+G11,0),"")</f>
        <v>0.7142857143</v>
      </c>
      <c r="N13" s="24"/>
      <c r="O13" s="23">
        <f>IFERROR(O11/N11,0)</f>
        <v>0.5714285714</v>
      </c>
      <c r="P13" s="25"/>
      <c r="Q13" s="23">
        <f>IFERROR(Q11/P11,0)</f>
        <v>0.8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IFERROR(M14/SUM(G14+R14,0),"")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90">
        <v>6.0</v>
      </c>
      <c r="H43" s="190">
        <v>4.0</v>
      </c>
      <c r="I43" s="190">
        <v>3.0</v>
      </c>
      <c r="J43" s="190">
        <v>2.0</v>
      </c>
      <c r="K43" s="190">
        <v>2.0</v>
      </c>
      <c r="L43" s="190">
        <v>0.0</v>
      </c>
      <c r="M43" s="190">
        <v>5.0</v>
      </c>
      <c r="N43" s="190">
        <v>4.0</v>
      </c>
      <c r="O43" s="190">
        <v>2.0</v>
      </c>
      <c r="P43" s="190">
        <v>1.0</v>
      </c>
      <c r="Q43" s="190">
        <v>1.0</v>
      </c>
      <c r="R43" s="190">
        <v>0.0</v>
      </c>
      <c r="S43" s="190">
        <v>0.0</v>
      </c>
      <c r="T43" s="190">
        <v>3596.0</v>
      </c>
      <c r="U43" s="111">
        <f t="shared" si="2"/>
        <v>0.75</v>
      </c>
      <c r="V43" s="111">
        <f t="shared" si="3"/>
        <v>0.6666666667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90">
        <v>3.0</v>
      </c>
      <c r="H45" s="190">
        <v>3.0</v>
      </c>
      <c r="I45" s="190">
        <v>2.0</v>
      </c>
      <c r="J45" s="190">
        <v>3.0</v>
      </c>
      <c r="K45" s="190">
        <v>2.0</v>
      </c>
      <c r="L45" s="190">
        <v>0.0</v>
      </c>
      <c r="M45" s="190">
        <v>0.0</v>
      </c>
      <c r="N45" s="190">
        <v>3.0</v>
      </c>
      <c r="O45" s="190">
        <v>2.0</v>
      </c>
      <c r="P45" s="190">
        <v>0.0</v>
      </c>
      <c r="Q45" s="190">
        <v>0.0</v>
      </c>
      <c r="R45" s="190">
        <v>0.0</v>
      </c>
      <c r="S45" s="190">
        <v>0.0</v>
      </c>
      <c r="T45" s="190">
        <v>1081.0</v>
      </c>
      <c r="U45" s="111">
        <f t="shared" si="2"/>
        <v>0.6666666667</v>
      </c>
      <c r="V45" s="111">
        <f t="shared" si="3"/>
        <v>1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0.0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10"/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2" si="4">IFERROR(I54/H54,0)</f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4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4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4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4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4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4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5">IFERROR(I64/H64,0)</f>
        <v>0</v>
      </c>
      <c r="V64" s="111">
        <f t="shared" ref="V64:V69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5"/>
        <v>0</v>
      </c>
      <c r="V65" s="152">
        <f t="shared" si="6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5"/>
        <v>0</v>
      </c>
      <c r="V68" s="152">
        <f t="shared" si="6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5"/>
        <v>0</v>
      </c>
      <c r="V69" s="152">
        <f t="shared" si="6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1">IFERROR(I89/H89,0)</f>
        <v>0</v>
      </c>
      <c r="V89" s="111">
        <f t="shared" ref="V89:V99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3">IFERROR(I101/H101,0)</f>
        <v>0</v>
      </c>
      <c r="V101" s="152">
        <f t="shared" ref="V101:V102" si="14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3"/>
        <v>0</v>
      </c>
      <c r="V102" s="152">
        <f t="shared" si="14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9555.96</v>
      </c>
      <c r="D2" s="10"/>
      <c r="E2" s="9">
        <f t="shared" ref="E2:R2" si="1">SUM(E5,E17,E20,E23,E26,E29)</f>
        <v>4800.96</v>
      </c>
      <c r="F2" s="9">
        <f t="shared" si="1"/>
        <v>29</v>
      </c>
      <c r="G2" s="9">
        <f t="shared" si="1"/>
        <v>24</v>
      </c>
      <c r="H2" s="9">
        <f t="shared" si="1"/>
        <v>8</v>
      </c>
      <c r="I2" s="9">
        <f t="shared" si="1"/>
        <v>1</v>
      </c>
      <c r="J2" s="9">
        <f t="shared" si="1"/>
        <v>0</v>
      </c>
      <c r="K2" s="9">
        <f t="shared" si="1"/>
        <v>5</v>
      </c>
      <c r="L2" s="9">
        <f t="shared" si="1"/>
        <v>2</v>
      </c>
      <c r="M2" s="9">
        <f t="shared" si="1"/>
        <v>84</v>
      </c>
      <c r="N2" s="9">
        <f t="shared" si="1"/>
        <v>19</v>
      </c>
      <c r="O2" s="9">
        <f t="shared" si="1"/>
        <v>6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1194.495</v>
      </c>
      <c r="F4" s="23">
        <f>IFERROR((G2+R2)/F2,0)</f>
        <v>0.8275862069</v>
      </c>
      <c r="G4" s="23">
        <f>IFERROR(H2/G2,0)</f>
        <v>0.3333333333</v>
      </c>
      <c r="H4" s="22">
        <f>(C2/C4)</f>
        <v>149.311875</v>
      </c>
      <c r="I4" s="24"/>
      <c r="J4" s="23">
        <f>IFERROR(J2/I2,0)</f>
        <v>0</v>
      </c>
      <c r="K4" s="24"/>
      <c r="L4" s="23">
        <f>IFERROR(L2/K2,0)</f>
        <v>0.4</v>
      </c>
      <c r="M4" s="25">
        <f>IFERROR(M2/G2,0)</f>
        <v>3.5</v>
      </c>
      <c r="N4" s="24"/>
      <c r="O4" s="23">
        <f>IFERROR(O2/N2,0)</f>
        <v>0.3157894737</v>
      </c>
      <c r="P4" s="25"/>
      <c r="Q4" s="23">
        <f>IFERROR(Q2/P2,0)</f>
        <v>1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3</v>
      </c>
      <c r="G5" s="9">
        <f>SUMIF(A:A,B5,H:H)</f>
        <v>0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0</v>
      </c>
      <c r="N5" s="9">
        <f>SUMIF(A:A,B5,N:N)</f>
        <v>0</v>
      </c>
      <c r="O5" s="9">
        <f>SUMIF(A:A,B5,O:O)</f>
        <v>0</v>
      </c>
      <c r="P5" s="9">
        <f>SUMIF(A:A,B5,J:J)</f>
        <v>0</v>
      </c>
      <c r="Q5" s="9">
        <f>SUMIF(A:A,B5,K:K)</f>
        <v>0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3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IFERROR(M14/SUM(G14+R14,0),"")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1262.76</v>
      </c>
      <c r="D23" s="31"/>
      <c r="E23" s="70">
        <f>SUMIFS(T:T,A:A,B23,D:D,"Y")</f>
        <v>1262.76</v>
      </c>
      <c r="F23" s="30">
        <f>SUMIF(A:A,B23,G:G)</f>
        <v>1</v>
      </c>
      <c r="G23" s="9">
        <f>SUMIF(A:A,B23,H:H)</f>
        <v>1</v>
      </c>
      <c r="H23" s="9">
        <f>SUMIF(A:A,B23,I:I)</f>
        <v>1</v>
      </c>
      <c r="I23" s="9">
        <f>SUMIF(A:A,B23,P:P)</f>
        <v>0</v>
      </c>
      <c r="J23" s="9">
        <f>SUMIF(A:A,B23,Q:Q)</f>
        <v>0</v>
      </c>
      <c r="K23" s="9">
        <f>SUMIF(A:A,B23,R:R)</f>
        <v>1</v>
      </c>
      <c r="L23" s="9">
        <f>SUMIF(A:A,B23,S:S)</f>
        <v>1</v>
      </c>
      <c r="M23" s="9">
        <f>SUMIF(A:A,B23,M:M)</f>
        <v>3</v>
      </c>
      <c r="N23" s="9">
        <f>SUMIF(A:A,B23,N:N)</f>
        <v>1</v>
      </c>
      <c r="O23" s="9">
        <f>SUMIF(A:A,B23,O:O)</f>
        <v>1</v>
      </c>
      <c r="P23" s="9">
        <f>SUMIF(A:A,B23,J:J)</f>
        <v>1</v>
      </c>
      <c r="Q23" s="9">
        <f>SUMIF(A:A,B23,K:K)</f>
        <v>1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1262.76</v>
      </c>
      <c r="F25" s="23">
        <f>IFERROR((G23+R23)/F23,0)</f>
        <v>1</v>
      </c>
      <c r="G25" s="23">
        <f>IFERROR(H23/G23,0)</f>
        <v>1</v>
      </c>
      <c r="H25" s="22">
        <f>(C23/C25)</f>
        <v>180.3942857</v>
      </c>
      <c r="I25" s="24"/>
      <c r="J25" s="23">
        <f>IFERROR(J23/I23,0)</f>
        <v>0</v>
      </c>
      <c r="K25" s="24"/>
      <c r="L25" s="23">
        <f>IFERROR(L23/K23,0)</f>
        <v>1</v>
      </c>
      <c r="M25" s="25">
        <f>IFERROR(M23/SUM(R23+G23,0),"")</f>
        <v>3</v>
      </c>
      <c r="N25" s="24"/>
      <c r="O25" s="23">
        <f>IFERROR(O23/N23,0)</f>
        <v>1</v>
      </c>
      <c r="P25" s="25"/>
      <c r="Q25" s="23">
        <f>IFERROR(Q23/P23,0)</f>
        <v>1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8293.2</v>
      </c>
      <c r="D26" s="75"/>
      <c r="E26" s="76">
        <f>SUMIFS(T:T,A:A,B26,D:D,"Y")</f>
        <v>3538.2</v>
      </c>
      <c r="F26" s="77">
        <f>SUMIF(A:A,B26,G:G)</f>
        <v>25</v>
      </c>
      <c r="G26" s="78">
        <f>SUMIF(A:A,B26,H:H)</f>
        <v>23</v>
      </c>
      <c r="H26" s="78">
        <f>SUMIF(A:A,B26,I:I)</f>
        <v>7</v>
      </c>
      <c r="I26" s="78">
        <f>SUMIF(A:A,B26,P:P)</f>
        <v>1</v>
      </c>
      <c r="J26" s="78">
        <f>SUMIF(A:A,B26,Q:Q)</f>
        <v>0</v>
      </c>
      <c r="K26" s="78">
        <f>SUMIF(A:A,B26,R:R)</f>
        <v>4</v>
      </c>
      <c r="L26" s="78">
        <f>SUMIF(A:A,B26,S:S)</f>
        <v>1</v>
      </c>
      <c r="M26" s="78">
        <f>SUMIF(A:A,B26,M:M)</f>
        <v>81</v>
      </c>
      <c r="N26" s="78">
        <f>SUMIF(A:A,B26,N:N)</f>
        <v>18</v>
      </c>
      <c r="O26" s="78">
        <f>SUMIF(A:A,B26,O:O)</f>
        <v>5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1184.742857</v>
      </c>
      <c r="F28" s="89">
        <f>IFERROR((G26+R26)/F26,0)</f>
        <v>0.92</v>
      </c>
      <c r="G28" s="89">
        <f>IFERROR(H26/G26,0)</f>
        <v>0.3043478261</v>
      </c>
      <c r="H28" s="88">
        <f>(C26/C28)</f>
        <v>753.9272727</v>
      </c>
      <c r="I28" s="90"/>
      <c r="J28" s="89">
        <f>IFERROR(J26/I26,0)</f>
        <v>0</v>
      </c>
      <c r="K28" s="90"/>
      <c r="L28" s="89">
        <f>IFERROR(L26/K26,0)</f>
        <v>0.25</v>
      </c>
      <c r="M28" s="91">
        <f>IFERROR(M26/SUM(R26+G26,0),"")</f>
        <v>3.52173913</v>
      </c>
      <c r="N28" s="90"/>
      <c r="O28" s="89">
        <f>IFERROR(O26/N26,0)</f>
        <v>0.2777777778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5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2.0</v>
      </c>
      <c r="H53" s="190">
        <v>0.0</v>
      </c>
      <c r="I53" s="190">
        <v>0.0</v>
      </c>
      <c r="J53" s="190">
        <v>0.0</v>
      </c>
      <c r="K53" s="110"/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92">
        <v>0.0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2" si="4">IFERROR(I54/H54,0)</f>
        <v>0</v>
      </c>
      <c r="V54" s="111">
        <f t="shared" ref="V54:V62" si="5">IFERROR(SUM(H54+L54)/G54,0)</f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5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1.0</v>
      </c>
      <c r="H56" s="110">
        <v>0.0</v>
      </c>
      <c r="I56" s="110">
        <v>0.0</v>
      </c>
      <c r="J56" s="110">
        <v>0.0</v>
      </c>
      <c r="K56" s="110">
        <v>0.0</v>
      </c>
      <c r="L56" s="110">
        <v>0.0</v>
      </c>
      <c r="M56" s="110">
        <v>0.0</v>
      </c>
      <c r="N56" s="110">
        <v>0.0</v>
      </c>
      <c r="O56" s="110">
        <v>0.0</v>
      </c>
      <c r="P56" s="110">
        <v>0.0</v>
      </c>
      <c r="Q56" s="110">
        <v>0.0</v>
      </c>
      <c r="R56" s="110">
        <v>0.0</v>
      </c>
      <c r="S56" s="110">
        <v>0.0</v>
      </c>
      <c r="T56" s="110">
        <v>0.0</v>
      </c>
      <c r="U56" s="111">
        <f t="shared" si="4"/>
        <v>0</v>
      </c>
      <c r="V56" s="111">
        <f t="shared" si="5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v>0.0</v>
      </c>
      <c r="H57" s="110">
        <v>0.0</v>
      </c>
      <c r="I57" s="110">
        <v>0.0</v>
      </c>
      <c r="J57" s="110">
        <v>0.0</v>
      </c>
      <c r="K57" s="110">
        <v>0.0</v>
      </c>
      <c r="L57" s="110">
        <v>0.0</v>
      </c>
      <c r="M57" s="110">
        <v>0.0</v>
      </c>
      <c r="N57" s="110">
        <v>0.0</v>
      </c>
      <c r="O57" s="110">
        <v>0.0</v>
      </c>
      <c r="P57" s="110">
        <v>0.0</v>
      </c>
      <c r="Q57" s="110">
        <v>0.0</v>
      </c>
      <c r="R57" s="110">
        <v>0.0</v>
      </c>
      <c r="S57" s="110">
        <v>0.0</v>
      </c>
      <c r="T57" s="110">
        <v>0.0</v>
      </c>
      <c r="U57" s="111">
        <f t="shared" si="4"/>
        <v>0</v>
      </c>
      <c r="V57" s="111">
        <f t="shared" si="5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>
        <v>0.0</v>
      </c>
      <c r="H58" s="110">
        <v>0.0</v>
      </c>
      <c r="I58" s="110">
        <v>0.0</v>
      </c>
      <c r="J58" s="110">
        <v>0.0</v>
      </c>
      <c r="K58" s="110">
        <v>0.0</v>
      </c>
      <c r="L58" s="110">
        <v>0.0</v>
      </c>
      <c r="M58" s="110">
        <v>0.0</v>
      </c>
      <c r="N58" s="110">
        <v>0.0</v>
      </c>
      <c r="O58" s="110">
        <v>0.0</v>
      </c>
      <c r="P58" s="110">
        <v>0.0</v>
      </c>
      <c r="Q58" s="110">
        <v>0.0</v>
      </c>
      <c r="R58" s="110">
        <v>0.0</v>
      </c>
      <c r="S58" s="110">
        <v>0.0</v>
      </c>
      <c r="T58" s="110">
        <v>0.0</v>
      </c>
      <c r="U58" s="111">
        <f t="shared" si="4"/>
        <v>0</v>
      </c>
      <c r="V58" s="111">
        <f t="shared" si="5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>
        <v>0.0</v>
      </c>
      <c r="H59" s="110">
        <v>0.0</v>
      </c>
      <c r="I59" s="110">
        <v>0.0</v>
      </c>
      <c r="J59" s="110">
        <v>0.0</v>
      </c>
      <c r="K59" s="110">
        <v>0.0</v>
      </c>
      <c r="L59" s="110">
        <v>0.0</v>
      </c>
      <c r="M59" s="110">
        <v>0.0</v>
      </c>
      <c r="N59" s="110">
        <v>0.0</v>
      </c>
      <c r="O59" s="110">
        <v>0.0</v>
      </c>
      <c r="P59" s="110">
        <v>0.0</v>
      </c>
      <c r="Q59" s="110">
        <v>0.0</v>
      </c>
      <c r="R59" s="110">
        <v>0.0</v>
      </c>
      <c r="S59" s="110">
        <v>0.0</v>
      </c>
      <c r="T59" s="110">
        <v>0.0</v>
      </c>
      <c r="U59" s="111">
        <f t="shared" si="4"/>
        <v>0</v>
      </c>
      <c r="V59" s="111">
        <f t="shared" si="5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>
        <v>0.0</v>
      </c>
      <c r="H60" s="110">
        <v>0.0</v>
      </c>
      <c r="I60" s="110">
        <v>0.0</v>
      </c>
      <c r="J60" s="110">
        <v>0.0</v>
      </c>
      <c r="K60" s="110">
        <v>0.0</v>
      </c>
      <c r="L60" s="110">
        <v>0.0</v>
      </c>
      <c r="M60" s="110">
        <v>0.0</v>
      </c>
      <c r="N60" s="110">
        <v>0.0</v>
      </c>
      <c r="O60" s="110">
        <v>0.0</v>
      </c>
      <c r="P60" s="110">
        <v>0.0</v>
      </c>
      <c r="Q60" s="110">
        <v>0.0</v>
      </c>
      <c r="R60" s="110">
        <v>0.0</v>
      </c>
      <c r="S60" s="110">
        <v>0.0</v>
      </c>
      <c r="T60" s="110">
        <v>0.0</v>
      </c>
      <c r="U60" s="111">
        <f t="shared" si="4"/>
        <v>0</v>
      </c>
      <c r="V60" s="111">
        <f t="shared" si="5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v>0.0</v>
      </c>
      <c r="H61" s="110">
        <v>0.0</v>
      </c>
      <c r="I61" s="110">
        <v>0.0</v>
      </c>
      <c r="J61" s="110">
        <v>0.0</v>
      </c>
      <c r="K61" s="110">
        <v>0.0</v>
      </c>
      <c r="L61" s="110">
        <v>0.0</v>
      </c>
      <c r="M61" s="110">
        <v>0.0</v>
      </c>
      <c r="N61" s="110">
        <v>0.0</v>
      </c>
      <c r="O61" s="110">
        <v>0.0</v>
      </c>
      <c r="P61" s="110">
        <v>0.0</v>
      </c>
      <c r="Q61" s="110">
        <v>0.0</v>
      </c>
      <c r="R61" s="110">
        <v>0.0</v>
      </c>
      <c r="S61" s="110">
        <v>0.0</v>
      </c>
      <c r="T61" s="110">
        <v>0.0</v>
      </c>
      <c r="U61" s="111">
        <f t="shared" si="4"/>
        <v>0</v>
      </c>
      <c r="V61" s="111">
        <f t="shared" si="5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4"/>
        <v>0</v>
      </c>
      <c r="V62" s="111">
        <f t="shared" si="5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6">IFERROR(I64/H64,0)</f>
        <v>0</v>
      </c>
      <c r="V64" s="111">
        <f t="shared" ref="V64:V69" si="7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6"/>
        <v>0</v>
      </c>
      <c r="V65" s="152">
        <f t="shared" si="7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6"/>
        <v>0</v>
      </c>
      <c r="V66" s="152">
        <f t="shared" si="7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6"/>
        <v>0</v>
      </c>
      <c r="V67" s="152">
        <f t="shared" si="7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6"/>
        <v>0</v>
      </c>
      <c r="V68" s="152">
        <f t="shared" si="7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6"/>
        <v>0</v>
      </c>
      <c r="V69" s="152">
        <f t="shared" si="7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8">IFERROR(I71/H71,0)</f>
        <v>0</v>
      </c>
      <c r="V71" s="111">
        <f t="shared" ref="V71:V79" si="9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8"/>
        <v>0</v>
      </c>
      <c r="V72" s="111">
        <f t="shared" si="9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8"/>
        <v>0</v>
      </c>
      <c r="V73" s="111">
        <f t="shared" si="9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8"/>
        <v>0</v>
      </c>
      <c r="V74" s="111">
        <f t="shared" si="9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8"/>
        <v>0</v>
      </c>
      <c r="V75" s="111">
        <f t="shared" si="9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8"/>
        <v>0</v>
      </c>
      <c r="V76" s="111">
        <f t="shared" si="9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8"/>
        <v>0</v>
      </c>
      <c r="V77" s="111">
        <f t="shared" si="9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8"/>
        <v>0</v>
      </c>
      <c r="V78" s="111">
        <f t="shared" si="9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8"/>
        <v>0</v>
      </c>
      <c r="V79" s="111">
        <f t="shared" si="9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10">IFERROR(I81/H81,0)</f>
        <v>0</v>
      </c>
      <c r="V81" s="111">
        <f t="shared" ref="V81:V87" si="11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10"/>
        <v>0</v>
      </c>
      <c r="V82" s="111">
        <f t="shared" si="11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1.0</v>
      </c>
      <c r="I83" s="190">
        <v>1.0</v>
      </c>
      <c r="J83" s="190">
        <v>1.0</v>
      </c>
      <c r="K83" s="190">
        <v>1.0</v>
      </c>
      <c r="L83" s="190">
        <v>0.0</v>
      </c>
      <c r="M83" s="190">
        <v>3.0</v>
      </c>
      <c r="N83" s="190">
        <v>1.0</v>
      </c>
      <c r="O83" s="190">
        <v>1.0</v>
      </c>
      <c r="P83" s="190">
        <v>0.0</v>
      </c>
      <c r="Q83" s="190">
        <v>0.0</v>
      </c>
      <c r="R83" s="190">
        <v>1.0</v>
      </c>
      <c r="S83" s="190">
        <v>1.0</v>
      </c>
      <c r="T83" s="190">
        <v>1262.76</v>
      </c>
      <c r="U83" s="111">
        <f t="shared" si="10"/>
        <v>1</v>
      </c>
      <c r="V83" s="111">
        <f t="shared" si="11"/>
        <v>1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10"/>
        <v>0</v>
      </c>
      <c r="V84" s="111">
        <f t="shared" si="11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10"/>
        <v>0</v>
      </c>
      <c r="V85" s="111">
        <f t="shared" si="11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10"/>
        <v>0</v>
      </c>
      <c r="V86" s="111">
        <f t="shared" si="11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10"/>
        <v>0</v>
      </c>
      <c r="V87" s="111">
        <f t="shared" si="11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2">IFERROR(I89/H89,0)</f>
        <v>0</v>
      </c>
      <c r="V89" s="111">
        <f t="shared" ref="V89:V99" si="13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90">
        <v>12.0</v>
      </c>
      <c r="H90" s="190">
        <v>11.0</v>
      </c>
      <c r="I90" s="190">
        <v>4.0</v>
      </c>
      <c r="J90" s="110"/>
      <c r="K90" s="110"/>
      <c r="L90" s="110"/>
      <c r="M90" s="190">
        <v>50.0</v>
      </c>
      <c r="N90" s="190">
        <v>8.0</v>
      </c>
      <c r="O90" s="190">
        <v>2.0</v>
      </c>
      <c r="P90" s="110"/>
      <c r="Q90" s="110"/>
      <c r="R90" s="190">
        <v>3.0</v>
      </c>
      <c r="S90" s="190">
        <v>1.0</v>
      </c>
      <c r="T90" s="190">
        <v>4755.0</v>
      </c>
      <c r="U90" s="111">
        <f t="shared" si="12"/>
        <v>0.3636363636</v>
      </c>
      <c r="V90" s="111">
        <f t="shared" si="13"/>
        <v>0.9166666667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2"/>
        <v>0</v>
      </c>
      <c r="V91" s="111">
        <f t="shared" si="13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R92" s="110"/>
      <c r="S92" s="110"/>
      <c r="T92" s="110"/>
      <c r="U92" s="111">
        <f t="shared" si="12"/>
        <v>0</v>
      </c>
      <c r="V92" s="111">
        <f t="shared" si="13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90">
        <v>4.0</v>
      </c>
      <c r="H93" s="190">
        <v>4.0</v>
      </c>
      <c r="I93" s="190">
        <v>2.0</v>
      </c>
      <c r="J93" s="110"/>
      <c r="K93" s="110"/>
      <c r="L93" s="110"/>
      <c r="M93" s="190">
        <v>16.0</v>
      </c>
      <c r="N93" s="190">
        <v>4.0</v>
      </c>
      <c r="O93" s="190">
        <v>2.0</v>
      </c>
      <c r="P93" s="110"/>
      <c r="Q93" s="110"/>
      <c r="R93" s="110"/>
      <c r="S93" s="110"/>
      <c r="T93" s="190">
        <v>1423.2</v>
      </c>
      <c r="U93" s="111">
        <f t="shared" si="12"/>
        <v>0.5</v>
      </c>
      <c r="V93" s="111">
        <f t="shared" si="13"/>
        <v>1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90">
        <v>7.0</v>
      </c>
      <c r="H94" s="190">
        <v>6.0</v>
      </c>
      <c r="I94" s="110"/>
      <c r="J94" s="110"/>
      <c r="K94" s="110"/>
      <c r="L94" s="110"/>
      <c r="M94" s="190">
        <v>14.0</v>
      </c>
      <c r="N94" s="190">
        <v>4.0</v>
      </c>
      <c r="O94" s="110"/>
      <c r="P94" s="190">
        <v>1.0</v>
      </c>
      <c r="Q94" s="110"/>
      <c r="R94" s="190">
        <v>1.0</v>
      </c>
      <c r="S94" s="110"/>
      <c r="T94" s="110"/>
      <c r="U94" s="111">
        <f t="shared" si="12"/>
        <v>0</v>
      </c>
      <c r="V94" s="111">
        <f t="shared" si="13"/>
        <v>0.8571428571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2"/>
        <v>0</v>
      </c>
      <c r="V95" s="111">
        <f t="shared" si="13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2"/>
        <v>0</v>
      </c>
      <c r="V96" s="111">
        <f t="shared" si="13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2"/>
        <v>0</v>
      </c>
      <c r="V97" s="111">
        <f t="shared" si="13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90">
        <v>2.0</v>
      </c>
      <c r="H98" s="190">
        <v>2.0</v>
      </c>
      <c r="I98" s="190">
        <v>1.0</v>
      </c>
      <c r="J98" s="110"/>
      <c r="K98" s="110"/>
      <c r="L98" s="110"/>
      <c r="M98" s="190">
        <v>1.0</v>
      </c>
      <c r="N98" s="190">
        <v>2.0</v>
      </c>
      <c r="O98" s="190">
        <v>1.0</v>
      </c>
      <c r="P98" s="110"/>
      <c r="Q98" s="110"/>
      <c r="R98" s="110"/>
      <c r="S98" s="110"/>
      <c r="T98" s="190">
        <v>2115.0</v>
      </c>
      <c r="U98" s="111">
        <f t="shared" si="12"/>
        <v>0.5</v>
      </c>
      <c r="V98" s="111">
        <f t="shared" si="13"/>
        <v>1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2"/>
        <v>0</v>
      </c>
      <c r="V99" s="111">
        <f t="shared" si="13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4">IFERROR(I101/H101,0)</f>
        <v>0</v>
      </c>
      <c r="V101" s="152">
        <f t="shared" ref="V101:V102" si="15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4"/>
        <v>0</v>
      </c>
      <c r="V102" s="152">
        <f t="shared" si="15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3798</v>
      </c>
      <c r="D2" s="10"/>
      <c r="E2" s="9">
        <f t="shared" ref="E2:R2" si="1">SUM(E5,E17,E20,E23,E26,E29)</f>
        <v>3798</v>
      </c>
      <c r="F2" s="9">
        <f t="shared" si="1"/>
        <v>24</v>
      </c>
      <c r="G2" s="9">
        <f t="shared" si="1"/>
        <v>7</v>
      </c>
      <c r="H2" s="9">
        <f t="shared" si="1"/>
        <v>4</v>
      </c>
      <c r="I2" s="9">
        <f t="shared" si="1"/>
        <v>2</v>
      </c>
      <c r="J2" s="9">
        <f t="shared" si="1"/>
        <v>0</v>
      </c>
      <c r="K2" s="9">
        <f t="shared" si="1"/>
        <v>5</v>
      </c>
      <c r="L2" s="9">
        <f t="shared" si="1"/>
        <v>1</v>
      </c>
      <c r="M2" s="9">
        <f t="shared" si="1"/>
        <v>18</v>
      </c>
      <c r="N2" s="9">
        <f t="shared" si="1"/>
        <v>3</v>
      </c>
      <c r="O2" s="9">
        <f t="shared" si="1"/>
        <v>3</v>
      </c>
      <c r="P2" s="9">
        <f t="shared" si="1"/>
        <v>4</v>
      </c>
      <c r="Q2" s="9">
        <f t="shared" si="1"/>
        <v>1</v>
      </c>
      <c r="R2" s="9">
        <f t="shared" si="1"/>
        <v>5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949.5</v>
      </c>
      <c r="F4" s="23">
        <f>IFERROR((G2+R2)/F2,0)</f>
        <v>0.5</v>
      </c>
      <c r="G4" s="23">
        <f>IFERROR(H2/G2,0)</f>
        <v>0.5714285714</v>
      </c>
      <c r="H4" s="22">
        <f>(C2/C4)</f>
        <v>59.34375</v>
      </c>
      <c r="I4" s="24"/>
      <c r="J4" s="23">
        <f>IFERROR(J2/I2,0)</f>
        <v>0</v>
      </c>
      <c r="K4" s="24"/>
      <c r="L4" s="23">
        <f>IFERROR(L2/K2,0)</f>
        <v>0.2</v>
      </c>
      <c r="M4" s="25">
        <f>IFERROR(M2/G2,0)</f>
        <v>2.571428571</v>
      </c>
      <c r="N4" s="24"/>
      <c r="O4" s="23">
        <f>IFERROR(O2/N2,0)</f>
        <v>1</v>
      </c>
      <c r="P4" s="25"/>
      <c r="Q4" s="23">
        <f>IFERROR(Q2/P2,0)</f>
        <v>0.25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3798</v>
      </c>
      <c r="D5" s="31"/>
      <c r="E5" s="32">
        <f>SUMIFS(T:T,A:A,B5,D:D,"Y")</f>
        <v>3798</v>
      </c>
      <c r="F5" s="9">
        <f>SUMIF(A:A,B5,G:G)</f>
        <v>23</v>
      </c>
      <c r="G5" s="9">
        <f>SUMIF(A:A,B5,H:H)</f>
        <v>6</v>
      </c>
      <c r="H5" s="9">
        <f>SUMIF(A:A,B5,I:I)</f>
        <v>4</v>
      </c>
      <c r="I5" s="9">
        <f>SUMIF(A:A,B5,P:P)</f>
        <v>2</v>
      </c>
      <c r="J5" s="9">
        <f>SUMIF(A:A,B5,Q:Q)</f>
        <v>0</v>
      </c>
      <c r="K5" s="9">
        <f>SUMIF(A:A,B5,R:R)</f>
        <v>4</v>
      </c>
      <c r="L5" s="9">
        <f>SUMIF(A:A,B5,S:S)</f>
        <v>1</v>
      </c>
      <c r="M5" s="9">
        <f>SUMIF(A:A,B5,M:M)</f>
        <v>18</v>
      </c>
      <c r="N5" s="9">
        <f>SUMIF(A:A,B5,N:N)</f>
        <v>3</v>
      </c>
      <c r="O5" s="9">
        <f>SUMIF(A:A,B5,O:O)</f>
        <v>3</v>
      </c>
      <c r="P5" s="9">
        <f>SUMIF(A:A,B5,J:J)</f>
        <v>3</v>
      </c>
      <c r="Q5" s="9">
        <f>SUMIF(A:A,B5,K:K)</f>
        <v>1</v>
      </c>
      <c r="R5" s="33">
        <f>SUMIF(A:A,B5,L:L)</f>
        <v>4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949.5</v>
      </c>
      <c r="F7" s="41">
        <f>IFERROR((G5+R5)/F5,0)</f>
        <v>0.4347826087</v>
      </c>
      <c r="G7" s="41">
        <f>IFERROR(H5/G5,0)</f>
        <v>0.6666666667</v>
      </c>
      <c r="H7" s="40">
        <f>(C5/C7)</f>
        <v>130.9655172</v>
      </c>
      <c r="I7" s="42"/>
      <c r="J7" s="41">
        <f>IFERROR(J5/I5,0)</f>
        <v>0</v>
      </c>
      <c r="K7" s="42"/>
      <c r="L7" s="41">
        <f>IFERROR(L5/K5,0)</f>
        <v>0.25</v>
      </c>
      <c r="M7" s="43">
        <f>IFERROR(M5/SUM(R5+G5,0),"")</f>
        <v>1.8</v>
      </c>
      <c r="N7" s="42"/>
      <c r="O7" s="41">
        <f>IFERROR(O5/N5,0)</f>
        <v>1</v>
      </c>
      <c r="P7" s="43"/>
      <c r="Q7" s="41">
        <f>IFERROR(Q5/P5,0)</f>
        <v>0.3333333333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1240</v>
      </c>
      <c r="D11" s="48"/>
      <c r="E11" s="59">
        <f>SUMIFS(T:T,B:B,B11,D:D,"Y")</f>
        <v>1240</v>
      </c>
      <c r="F11" s="60">
        <f>SUMIF(B31:B1137,B11,G31:G1137)</f>
        <v>13</v>
      </c>
      <c r="G11" s="61">
        <f>SUMIF(B31:B1137,B11,H31:H1137)</f>
        <v>3</v>
      </c>
      <c r="H11" s="61">
        <f>SUMIF(B31:B1137,B11,I31:I1137)</f>
        <v>2</v>
      </c>
      <c r="I11" s="61">
        <f>SUMIF(B31:B1137,B11,P31:P1137)</f>
        <v>2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2</v>
      </c>
      <c r="O11" s="61">
        <f>SUMIF(B31:B1137,B11,O31:O1137)</f>
        <v>2</v>
      </c>
      <c r="P11" s="61">
        <f>SUMIF(B31:B1137,B11,J31:J1137)</f>
        <v>1</v>
      </c>
      <c r="Q11" s="61">
        <f>SUMIF(B31:B1137,B11,K31:K1137)</f>
        <v>1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620</v>
      </c>
      <c r="F13" s="23">
        <f>IFERROR((G11+R11)/F11,0)</f>
        <v>0.3076923077</v>
      </c>
      <c r="G13" s="23">
        <f>IFERROR(H11/G11,0)</f>
        <v>0.6666666667</v>
      </c>
      <c r="H13" s="22">
        <f>(C11/C13)</f>
        <v>310</v>
      </c>
      <c r="I13" s="24"/>
      <c r="J13" s="23">
        <f>IFERROR(J11/I11,0)</f>
        <v>0</v>
      </c>
      <c r="K13" s="24"/>
      <c r="L13" s="23">
        <f>IFERROR(L11/K11,0)</f>
        <v>0</v>
      </c>
      <c r="M13" s="25">
        <f>IFERROR(M11/SUM(R11+G11,0),"")</f>
        <v>1.25</v>
      </c>
      <c r="N13" s="24"/>
      <c r="O13" s="23">
        <f>IFERROR(O11/N11,0)</f>
        <v>1</v>
      </c>
      <c r="P13" s="25"/>
      <c r="Q13" s="23">
        <f>IFERROR(Q11/P11,0)</f>
        <v>1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2558</v>
      </c>
      <c r="D14" s="64"/>
      <c r="E14" s="65">
        <f>SUMIFS(T:T,B:B,B14,D:D,"Y")</f>
        <v>2558</v>
      </c>
      <c r="F14" s="66">
        <f>SUMIF(B34:B1137,B14,G34:G1137)</f>
        <v>10</v>
      </c>
      <c r="G14" s="67">
        <f>SUMIF(B34:B1137,B14,H34:H1137)</f>
        <v>3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4</v>
      </c>
      <c r="L14" s="67">
        <f>SUMIF(B34:B1137,B14,S34:S1137)</f>
        <v>1</v>
      </c>
      <c r="M14" s="67">
        <f>SUMIF(B34:B1137,B14,M34:M1137)</f>
        <v>13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3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1279</v>
      </c>
      <c r="F16" s="23">
        <f>IFERROR((G14+R14)/F14,0)</f>
        <v>0.6</v>
      </c>
      <c r="G16" s="23">
        <f>IFERROR(H14/G14,0)</f>
        <v>0.6666666667</v>
      </c>
      <c r="H16" s="22">
        <f>(C14/C16)</f>
        <v>159.875</v>
      </c>
      <c r="I16" s="24"/>
      <c r="J16" s="23">
        <f>IFERROR(J14/I14,0)</f>
        <v>0</v>
      </c>
      <c r="K16" s="24"/>
      <c r="L16" s="23">
        <f>IFERROR(L14/K14,0)</f>
        <v>0.25</v>
      </c>
      <c r="M16" s="25">
        <f>IFERROR(M14/SUM(G14+R14,0),"")</f>
        <v>2.166666667</v>
      </c>
      <c r="N16" s="24"/>
      <c r="O16" s="23">
        <f>IFERROR(O14/N14,0)</f>
        <v>1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1</v>
      </c>
      <c r="G23" s="9">
        <f>SUMIF(A:A,B23,H:H)</f>
        <v>1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1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1</v>
      </c>
      <c r="Q23" s="9">
        <f>SUMIF(A:A,B23,K:K)</f>
        <v>0</v>
      </c>
      <c r="R23" s="33">
        <f>SUMIF(A:A,B23,L:L)</f>
        <v>1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2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>
        <f>IFERROR(M23/SUM(R23+G23,0),"")</f>
        <v>0</v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90">
        <v>13.0</v>
      </c>
      <c r="H43" s="190">
        <v>3.0</v>
      </c>
      <c r="I43" s="190">
        <v>2.0</v>
      </c>
      <c r="J43" s="190">
        <v>1.0</v>
      </c>
      <c r="K43" s="190">
        <v>1.0</v>
      </c>
      <c r="L43" s="190">
        <v>1.0</v>
      </c>
      <c r="M43" s="190">
        <v>5.0</v>
      </c>
      <c r="N43" s="190">
        <v>2.0</v>
      </c>
      <c r="O43" s="190">
        <v>2.0</v>
      </c>
      <c r="P43" s="190">
        <v>2.0</v>
      </c>
      <c r="Q43" s="190">
        <v>0.0</v>
      </c>
      <c r="R43" s="190">
        <v>0.0</v>
      </c>
      <c r="S43" s="190">
        <v>0.0</v>
      </c>
      <c r="T43" s="190">
        <v>1240.0</v>
      </c>
      <c r="U43" s="111">
        <f t="shared" si="2"/>
        <v>0.6666666667</v>
      </c>
      <c r="V43" s="111">
        <f t="shared" si="3"/>
        <v>0.3076923077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0.0</v>
      </c>
      <c r="I53" s="190">
        <v>0.0</v>
      </c>
      <c r="J53" s="190">
        <v>0.0</v>
      </c>
      <c r="K53" s="190">
        <v>0.0</v>
      </c>
      <c r="L53" s="110"/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1" si="4">IFERROR(I54/H54,0)</f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4.0</v>
      </c>
      <c r="H56" s="190">
        <v>2.0</v>
      </c>
      <c r="I56" s="190">
        <v>2.0</v>
      </c>
      <c r="J56" s="190">
        <v>0.0</v>
      </c>
      <c r="K56" s="190">
        <v>0.0</v>
      </c>
      <c r="L56" s="190">
        <v>1.0</v>
      </c>
      <c r="M56" s="190">
        <v>9.0</v>
      </c>
      <c r="N56" s="190">
        <v>1.0</v>
      </c>
      <c r="O56" s="190">
        <v>1.0</v>
      </c>
      <c r="P56" s="190">
        <v>0.0</v>
      </c>
      <c r="Q56" s="190">
        <v>0.0</v>
      </c>
      <c r="R56" s="190">
        <v>1.0</v>
      </c>
      <c r="S56" s="190">
        <v>1.0</v>
      </c>
      <c r="T56" s="190">
        <v>2558.0</v>
      </c>
      <c r="U56" s="111">
        <f t="shared" si="4"/>
        <v>1</v>
      </c>
      <c r="V56" s="111">
        <f t="shared" si="3"/>
        <v>0.75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4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2.0</v>
      </c>
      <c r="H58" s="190">
        <v>1.0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1.0</v>
      </c>
      <c r="S58" s="190">
        <v>0.0</v>
      </c>
      <c r="T58" s="190">
        <v>0.0</v>
      </c>
      <c r="U58" s="111">
        <f t="shared" si="4"/>
        <v>0</v>
      </c>
      <c r="V58" s="111">
        <f t="shared" si="3"/>
        <v>0.5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1.0</v>
      </c>
      <c r="H59" s="190">
        <v>0.0</v>
      </c>
      <c r="I59" s="190">
        <v>0.0</v>
      </c>
      <c r="J59" s="190">
        <v>1.0</v>
      </c>
      <c r="K59" s="190">
        <v>0.0</v>
      </c>
      <c r="L59" s="190">
        <v>1.0</v>
      </c>
      <c r="M59" s="190">
        <v>4.0</v>
      </c>
      <c r="N59" s="190">
        <v>0.0</v>
      </c>
      <c r="O59" s="190">
        <v>0.0</v>
      </c>
      <c r="P59" s="190">
        <v>0.0</v>
      </c>
      <c r="Q59" s="190">
        <v>0.0</v>
      </c>
      <c r="R59" s="190">
        <v>1.0</v>
      </c>
      <c r="S59" s="190">
        <v>0.0</v>
      </c>
      <c r="T59" s="190">
        <v>0.0</v>
      </c>
      <c r="U59" s="111">
        <f t="shared" si="4"/>
        <v>0</v>
      </c>
      <c r="V59" s="111">
        <f t="shared" si="3"/>
        <v>1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2.0</v>
      </c>
      <c r="H60" s="190">
        <v>0.0</v>
      </c>
      <c r="I60" s="190">
        <v>0.0</v>
      </c>
      <c r="J60" s="190">
        <v>1.0</v>
      </c>
      <c r="K60" s="190">
        <v>0.0</v>
      </c>
      <c r="L60" s="190">
        <v>1.0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1.0</v>
      </c>
      <c r="S60" s="190">
        <v>0.0</v>
      </c>
      <c r="T60" s="190">
        <v>0.0</v>
      </c>
      <c r="U60" s="111">
        <f t="shared" si="4"/>
        <v>0</v>
      </c>
      <c r="V60" s="111">
        <f t="shared" si="3"/>
        <v>0.5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92">
        <v>0.0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7" si="5">IFERROR(I64/H64,0)</f>
        <v>0</v>
      </c>
      <c r="V64" s="111">
        <f t="shared" ref="V64:V67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5"/>
        <v>0</v>
      </c>
      <c r="V65" s="152">
        <f t="shared" si="6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>IFERROR(J69/I69,0)</f>
        <v>0</v>
      </c>
      <c r="V68" s="152">
        <f>IFERROR(SUM(I69+M69)/H69,0)</f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>IFERROR(#REF!/#REF!,0)</f>
        <v>0</v>
      </c>
      <c r="V69" s="152">
        <f>IFERROR(SUM(#REF!+#REF!)/G69,0)</f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1.0</v>
      </c>
      <c r="I83" s="190">
        <v>0.0</v>
      </c>
      <c r="J83" s="190">
        <v>1.0</v>
      </c>
      <c r="K83" s="190">
        <v>0.0</v>
      </c>
      <c r="L83" s="190">
        <v>1.0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1.0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2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1">IFERROR(I89/H89,0)</f>
        <v>0</v>
      </c>
      <c r="V89" s="111">
        <f t="shared" ref="V89:V99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3">IFERROR(I101/H101,0)</f>
        <v>0</v>
      </c>
      <c r="V101" s="152">
        <f t="shared" ref="V101:V102" si="14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3"/>
        <v>0</v>
      </c>
      <c r="V102" s="152">
        <f t="shared" si="14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2284</v>
      </c>
      <c r="D2" s="10"/>
      <c r="E2" s="9">
        <f t="shared" ref="E2:R2" si="1">SUM(E5,E17,E20,E23,E26,E29)</f>
        <v>1300</v>
      </c>
      <c r="F2" s="9">
        <f t="shared" si="1"/>
        <v>10</v>
      </c>
      <c r="G2" s="9">
        <f t="shared" si="1"/>
        <v>8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1</v>
      </c>
      <c r="M2" s="9">
        <f t="shared" si="1"/>
        <v>31</v>
      </c>
      <c r="N2" s="9">
        <f t="shared" si="1"/>
        <v>5</v>
      </c>
      <c r="O2" s="9">
        <f t="shared" si="1"/>
        <v>1</v>
      </c>
      <c r="P2" s="9">
        <f t="shared" si="1"/>
        <v>5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1142</v>
      </c>
      <c r="F4" s="23">
        <f>IFERROR((G2+R2)/F2,0)</f>
        <v>0.9</v>
      </c>
      <c r="G4" s="23">
        <f>IFERROR(H2/G2,0)</f>
        <v>0.25</v>
      </c>
      <c r="H4" s="22">
        <f>(C2/C4)</f>
        <v>35.6875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3.875</v>
      </c>
      <c r="N4" s="24"/>
      <c r="O4" s="23">
        <f>IFERROR(O2/N2,0)</f>
        <v>0.2</v>
      </c>
      <c r="P4" s="25"/>
      <c r="Q4" s="23">
        <f>IFERROR(Q2/P2,0)</f>
        <v>0.2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1300</v>
      </c>
      <c r="D5" s="31"/>
      <c r="E5" s="32">
        <f>SUMIFS(T:T,A:A,B5,D:D,"Y")</f>
        <v>1300</v>
      </c>
      <c r="F5" s="9">
        <f>SUMIF(A:A,B5,G:G)</f>
        <v>3</v>
      </c>
      <c r="G5" s="9">
        <f>SUMIF(A:A,B5,H:H)</f>
        <v>2</v>
      </c>
      <c r="H5" s="9">
        <f>SUMIF(A:A,B5,I:I)</f>
        <v>1</v>
      </c>
      <c r="I5" s="9">
        <f>SUMIF(A:A,B5,P:P)</f>
        <v>0</v>
      </c>
      <c r="J5" s="9">
        <f>SUMIF(A:A,B5,Q:Q)</f>
        <v>0</v>
      </c>
      <c r="K5" s="9">
        <f>SUMIF(A:A,B5,R:R)</f>
        <v>1</v>
      </c>
      <c r="L5" s="9">
        <f>SUMIF(A:A,B5,S:S)</f>
        <v>1</v>
      </c>
      <c r="M5" s="9">
        <f>SUMIF(A:A,B5,M:M)</f>
        <v>3</v>
      </c>
      <c r="N5" s="9">
        <f>SUMIF(A:A,B5,N:N)</f>
        <v>1</v>
      </c>
      <c r="O5" s="9">
        <f>SUMIF(A:A,B5,O:O)</f>
        <v>0</v>
      </c>
      <c r="P5" s="9">
        <f>SUMIF(A:A,B5,J:J)</f>
        <v>1</v>
      </c>
      <c r="Q5" s="9">
        <f>SUMIF(A:A,B5,K:K)</f>
        <v>1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1300</v>
      </c>
      <c r="F7" s="41">
        <f>IFERROR((G5+R5)/F5,0)</f>
        <v>0.6666666667</v>
      </c>
      <c r="G7" s="41">
        <f>IFERROR(H5/G5,0)</f>
        <v>0.5</v>
      </c>
      <c r="H7" s="40">
        <f>(C5/C7)</f>
        <v>44.82758621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1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1300</v>
      </c>
      <c r="D14" s="64"/>
      <c r="E14" s="65">
        <f>SUMIFS(T:T,B:B,B14,D:D,"Y")</f>
        <v>1300</v>
      </c>
      <c r="F14" s="66">
        <f>SUMIF(B34:B1137,B14,G34:G1137)</f>
        <v>3</v>
      </c>
      <c r="G14" s="67">
        <f>SUMIF(B34:B1137,B14,H34:H1137)</f>
        <v>2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1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1300</v>
      </c>
      <c r="F16" s="23">
        <f>IFERROR((G14+R14)/F14,0)</f>
        <v>0.6666666667</v>
      </c>
      <c r="G16" s="23">
        <f>IFERROR(H14/G14,0)</f>
        <v>0.5</v>
      </c>
      <c r="H16" s="22">
        <f>(C14/C16)</f>
        <v>81.25</v>
      </c>
      <c r="I16" s="24"/>
      <c r="J16" s="23">
        <f>IFERROR(J14/I14,0)</f>
        <v>0</v>
      </c>
      <c r="K16" s="24"/>
      <c r="L16" s="23">
        <f>IFERROR(L14/K14,0)</f>
        <v>1</v>
      </c>
      <c r="M16" s="25">
        <f>IFERROR(M14/SUM(G14+R14,0),"")</f>
        <v>1.5</v>
      </c>
      <c r="N16" s="24"/>
      <c r="O16" s="23">
        <f>IFERROR(O14/N14,0)</f>
        <v>0</v>
      </c>
      <c r="P16" s="25"/>
      <c r="Q16" s="23">
        <f>IFERROR(Q14/P14,0)</f>
        <v>1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984</v>
      </c>
      <c r="D17" s="31"/>
      <c r="E17" s="70">
        <f>SUMIFS(T:T,A:A,B17,D:D,"Y")</f>
        <v>0</v>
      </c>
      <c r="F17" s="30">
        <f>SUMIF(A:A,B17,G:G)</f>
        <v>6</v>
      </c>
      <c r="G17" s="9">
        <f>SUMIF(A:A,B17,H:H)</f>
        <v>6</v>
      </c>
      <c r="H17" s="9">
        <f>SUMIF(A:A,B17,I:I)</f>
        <v>1</v>
      </c>
      <c r="I17" s="9">
        <f>SUMIF(A:A,B17,P:P)</f>
        <v>0</v>
      </c>
      <c r="J17" s="9">
        <f>SUMIF(A:A,B17,Q:Q)</f>
        <v>0</v>
      </c>
      <c r="K17" s="9">
        <f>SUMIF(A:A,B17,R:R)</f>
        <v>2</v>
      </c>
      <c r="L17" s="9">
        <f>SUMIF(A:A,B17,S:S)</f>
        <v>0</v>
      </c>
      <c r="M17" s="9">
        <f>SUMIF(A:A,B17,M:M)</f>
        <v>28</v>
      </c>
      <c r="N17" s="9">
        <f>SUMIF(A:A,B17,N:N)</f>
        <v>4</v>
      </c>
      <c r="O17" s="9">
        <f>SUMIF(A:A,B17,O:O)</f>
        <v>1</v>
      </c>
      <c r="P17" s="9">
        <f>SUMIF(A:A,B17,J:J)</f>
        <v>4</v>
      </c>
      <c r="Q17" s="9">
        <f>SUMIF(A:A,B17,K:K)</f>
        <v>0</v>
      </c>
      <c r="R17" s="33">
        <f>SUMIF(A:A,B17,L:L)</f>
        <v>1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984</v>
      </c>
      <c r="F19" s="23">
        <f>IFERROR((G17+R17)/F17,0)</f>
        <v>1.166666667</v>
      </c>
      <c r="G19" s="23">
        <f>IFERROR(H17/G17,0)</f>
        <v>0.1666666667</v>
      </c>
      <c r="H19" s="22">
        <f>(C17/C19)</f>
        <v>164</v>
      </c>
      <c r="I19" s="24"/>
      <c r="J19" s="23">
        <f>IFERROR(J17/I17,0)</f>
        <v>0</v>
      </c>
      <c r="K19" s="24"/>
      <c r="L19" s="23">
        <f>IFERROR(L17/K17,0)</f>
        <v>0</v>
      </c>
      <c r="M19" s="25">
        <f>IFERROR(M17/SUM(R17+G17,0),"")</f>
        <v>4</v>
      </c>
      <c r="N19" s="24"/>
      <c r="O19" s="23">
        <f>IFERROR(O17/N17,0)</f>
        <v>0.25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1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0.0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2" si="4">IFERROR(I54/H54,0)</f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1.0</v>
      </c>
      <c r="H56" s="190">
        <v>1.0</v>
      </c>
      <c r="I56" s="190">
        <v>1.0</v>
      </c>
      <c r="J56" s="190">
        <v>1.0</v>
      </c>
      <c r="K56" s="190">
        <v>1.0</v>
      </c>
      <c r="L56" s="190">
        <v>0.0</v>
      </c>
      <c r="M56" s="190">
        <v>3.0</v>
      </c>
      <c r="N56" s="190">
        <v>0.0</v>
      </c>
      <c r="O56" s="190">
        <v>0.0</v>
      </c>
      <c r="P56" s="190">
        <v>0.0</v>
      </c>
      <c r="Q56" s="190">
        <v>0.0</v>
      </c>
      <c r="R56" s="190">
        <v>1.0</v>
      </c>
      <c r="S56" s="190">
        <v>1.0</v>
      </c>
      <c r="T56" s="190">
        <v>1300.0</v>
      </c>
      <c r="U56" s="111">
        <f t="shared" si="4"/>
        <v>1</v>
      </c>
      <c r="V56" s="111">
        <f t="shared" si="3"/>
        <v>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1.0</v>
      </c>
      <c r="H57" s="190">
        <v>1.0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1.0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4"/>
        <v>0</v>
      </c>
      <c r="V57" s="111">
        <f t="shared" si="3"/>
        <v>1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4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4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4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4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5">IFERROR(I64/H64,0)</f>
        <v>0</v>
      </c>
      <c r="V64" s="111">
        <f t="shared" ref="V64:V69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1.0</v>
      </c>
      <c r="H65" s="190">
        <v>1.0</v>
      </c>
      <c r="I65" s="190">
        <v>0.0</v>
      </c>
      <c r="J65" s="190">
        <v>1.0</v>
      </c>
      <c r="K65" s="190">
        <v>0.0</v>
      </c>
      <c r="L65" s="190">
        <v>0.0</v>
      </c>
      <c r="M65" s="190">
        <v>3.0</v>
      </c>
      <c r="N65" s="190">
        <v>1.0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5"/>
        <v>0</v>
      </c>
      <c r="V65" s="152">
        <f t="shared" si="6"/>
        <v>1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3.0</v>
      </c>
      <c r="H67" s="190">
        <v>3.0</v>
      </c>
      <c r="I67" s="190">
        <v>0.0</v>
      </c>
      <c r="J67" s="190">
        <v>3.0</v>
      </c>
      <c r="K67" s="190">
        <v>0.0</v>
      </c>
      <c r="L67" s="190">
        <v>1.0</v>
      </c>
      <c r="M67" s="190">
        <v>23.0</v>
      </c>
      <c r="N67" s="190">
        <v>1.0</v>
      </c>
      <c r="O67" s="190">
        <v>0.0</v>
      </c>
      <c r="P67" s="190">
        <v>0.0</v>
      </c>
      <c r="Q67" s="190">
        <v>0.0</v>
      </c>
      <c r="R67" s="190">
        <v>2.0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1.333333333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5"/>
        <v>0</v>
      </c>
      <c r="V68" s="152">
        <f t="shared" si="6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2.0</v>
      </c>
      <c r="H69" s="190">
        <v>2.0</v>
      </c>
      <c r="I69" s="190">
        <v>1.0</v>
      </c>
      <c r="J69" s="190">
        <v>0.0</v>
      </c>
      <c r="K69" s="190">
        <v>0.0</v>
      </c>
      <c r="L69" s="190">
        <v>0.0</v>
      </c>
      <c r="M69" s="190">
        <v>2.0</v>
      </c>
      <c r="N69" s="190">
        <v>2.0</v>
      </c>
      <c r="O69" s="190">
        <v>1.0</v>
      </c>
      <c r="P69" s="190">
        <v>0.0</v>
      </c>
      <c r="Q69" s="190">
        <v>0.0</v>
      </c>
      <c r="R69" s="190">
        <v>0.0</v>
      </c>
      <c r="S69" s="190">
        <v>0.0</v>
      </c>
      <c r="T69" s="190">
        <v>984.0</v>
      </c>
      <c r="U69" s="152">
        <f t="shared" si="5"/>
        <v>0.5</v>
      </c>
      <c r="V69" s="152">
        <f t="shared" si="6"/>
        <v>1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1">IFERROR(I89/H89,0)</f>
        <v>0</v>
      </c>
      <c r="V89" s="111">
        <f t="shared" ref="V89:V99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3">IFERROR(I101/H101,0)</f>
        <v>0</v>
      </c>
      <c r="V101" s="152">
        <f t="shared" ref="V101:V102" si="14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3"/>
        <v>0</v>
      </c>
      <c r="V102" s="152">
        <f t="shared" si="14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0</v>
      </c>
      <c r="D2" s="10"/>
      <c r="E2" s="9">
        <f t="shared" ref="E2:R2" si="1">SUM(E5,E17,E20,E23,E26,E29)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0</v>
      </c>
      <c r="G5" s="9">
        <f>SUMIF(A:A,B5,H:H)</f>
        <v>0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0</v>
      </c>
      <c r="N5" s="9">
        <f>SUMIF(A:A,B5,N:N)</f>
        <v>0</v>
      </c>
      <c r="O5" s="9">
        <f>SUMIF(A:A,B5,O:O)</f>
        <v>0</v>
      </c>
      <c r="P5" s="9">
        <f>SUMIF(A:A,B5,J:J)</f>
        <v>0</v>
      </c>
      <c r="Q5" s="9">
        <f>SUMIF(A:A,B5,K:K)</f>
        <v>0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IFERROR(M14/SUM(G14+R14,0),"")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6"/>
        <v>0</v>
      </c>
      <c r="V78" s="111">
        <f t="shared" si="7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8"/>
        <v>0</v>
      </c>
      <c r="V83" s="111">
        <f t="shared" si="9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0">IFERROR(I89/H89,0)</f>
        <v>0</v>
      </c>
      <c r="V89" s="111">
        <f t="shared" ref="V89:V99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0"/>
        <v>0</v>
      </c>
      <c r="V90" s="111">
        <f t="shared" si="11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0"/>
        <v>0</v>
      </c>
      <c r="V99" s="111">
        <f t="shared" si="11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2">IFERROR(I101/H101,0)</f>
        <v>0</v>
      </c>
      <c r="V101" s="152">
        <f t="shared" ref="V101:V102" si="13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2"/>
        <v>0</v>
      </c>
      <c r="V102" s="152">
        <f t="shared" si="13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SUM(C5,C17,C20,C23,C26,C29)</f>
        <v>8108</v>
      </c>
      <c r="D2" s="10"/>
      <c r="E2" s="9">
        <f t="shared" ref="E2:R2" si="1">SUM(E5,E17,E20,E23,E26,E29)</f>
        <v>6408</v>
      </c>
      <c r="F2" s="9">
        <f t="shared" si="1"/>
        <v>6</v>
      </c>
      <c r="G2" s="9">
        <f t="shared" si="1"/>
        <v>6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23</v>
      </c>
      <c r="N2" s="9">
        <f t="shared" si="1"/>
        <v>3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SUM(C7,C22,C19,C25,C28,C31)</f>
        <v>64</v>
      </c>
      <c r="D4" s="21"/>
      <c r="E4" s="22">
        <f>IFERROR(C2/H2,0)</f>
        <v>4054</v>
      </c>
      <c r="F4" s="23">
        <f>IFERROR((G2+R2)/F2,0)</f>
        <v>1.166666667</v>
      </c>
      <c r="G4" s="23">
        <f>IFERROR(H2/G2,0)</f>
        <v>0.3333333333</v>
      </c>
      <c r="H4" s="22">
        <f>(C2/C4)</f>
        <v>126.6875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3.833333333</v>
      </c>
      <c r="N4" s="24"/>
      <c r="O4" s="23">
        <f>IFERROR(O2/N2,0)</f>
        <v>0.3333333333</v>
      </c>
      <c r="P4" s="25"/>
      <c r="Q4" s="23">
        <f>IFERROR(Q2/P2,0)</f>
        <v>1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8108</v>
      </c>
      <c r="D5" s="31"/>
      <c r="E5" s="32">
        <f>SUMIFS(T:T,A:A,B5,D:D,"Y")</f>
        <v>6408</v>
      </c>
      <c r="F5" s="9">
        <f>SUMIF(A:A,B5,G:G)</f>
        <v>6</v>
      </c>
      <c r="G5" s="9">
        <f>SUMIF(A:A,B5,H:H)</f>
        <v>6</v>
      </c>
      <c r="H5" s="9">
        <f>SUMIF(A:A,B5,I:I)</f>
        <v>2</v>
      </c>
      <c r="I5" s="9">
        <f>SUMIF(A:A,B5,P:P)</f>
        <v>0</v>
      </c>
      <c r="J5" s="9">
        <f>SUMIF(A:A,B5,Q:Q)</f>
        <v>0</v>
      </c>
      <c r="K5" s="9">
        <f>SUMIF(A:A,B5,R:R)</f>
        <v>2</v>
      </c>
      <c r="L5" s="9">
        <f>SUMIF(A:A,B5,S:S)</f>
        <v>1</v>
      </c>
      <c r="M5" s="9">
        <f>SUMIF(A:A,B5,M:M)</f>
        <v>23</v>
      </c>
      <c r="N5" s="9">
        <f>SUMIF(A:A,B5,N:N)</f>
        <v>3</v>
      </c>
      <c r="O5" s="9">
        <f>SUMIF(A:A,B5,O:O)</f>
        <v>1</v>
      </c>
      <c r="P5" s="9">
        <f>SUMIF(A:A,B5,J:J)</f>
        <v>1</v>
      </c>
      <c r="Q5" s="9">
        <f>SUMIF(A:A,B5,K:K)</f>
        <v>1</v>
      </c>
      <c r="R5" s="33">
        <f>SUMIF(A:A,B5,L:L)</f>
        <v>1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29</v>
      </c>
      <c r="D7" s="39"/>
      <c r="E7" s="40">
        <f>IFERROR(C5/H5,0)</f>
        <v>4054</v>
      </c>
      <c r="F7" s="41">
        <f>IFERROR((G5+R5)/F5,0)</f>
        <v>1.166666667</v>
      </c>
      <c r="G7" s="41">
        <f>IFERROR(H5/G5,0)</f>
        <v>0.3333333333</v>
      </c>
      <c r="H7" s="40">
        <f>(C5/C7)</f>
        <v>279.5862069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3.285714286</v>
      </c>
      <c r="N7" s="42"/>
      <c r="O7" s="41">
        <f>IFERROR(O5/N5,0)</f>
        <v>0.3333333333</v>
      </c>
      <c r="P7" s="43"/>
      <c r="Q7" s="41">
        <f>IFERROR(Q5/P5,0)</f>
        <v>1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8108</v>
      </c>
      <c r="D8" s="48"/>
      <c r="E8" s="49">
        <f>SUMIFS(T:T,B:B,B8,D:D,"Y")</f>
        <v>6408</v>
      </c>
      <c r="F8" s="50">
        <f>SUMIF(B28:B1137,B8,G28:G1137)</f>
        <v>6</v>
      </c>
      <c r="G8" s="51">
        <f>SUMIF(B28:B1137,B8,H28:H1137)</f>
        <v>6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1</v>
      </c>
      <c r="M8" s="51">
        <f>SUMIF(B28:B1137,B8,M28:M1137)</f>
        <v>23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COUNTIFS(B35:B1137,B8)</f>
        <v>8</v>
      </c>
      <c r="D10" s="58"/>
      <c r="E10" s="22">
        <f>IFERROR(C8/H8,0)</f>
        <v>4054</v>
      </c>
      <c r="F10" s="23">
        <f>IFERROR((G8+R8)/F8,0)</f>
        <v>1.166666667</v>
      </c>
      <c r="G10" s="23">
        <f>IFERROR(H8/G8,0)</f>
        <v>0.3333333333</v>
      </c>
      <c r="H10" s="22">
        <f>(C8/C10)</f>
        <v>1013.5</v>
      </c>
      <c r="I10" s="24"/>
      <c r="J10" s="23">
        <f>IFERROR(J8/I8,0)</f>
        <v>0</v>
      </c>
      <c r="K10" s="24"/>
      <c r="L10" s="23">
        <f>IFERROR(L8/K8,0)</f>
        <v>0.5</v>
      </c>
      <c r="M10" s="25">
        <f>IFERROR(M8/SUM(R8+G8,0),"")</f>
        <v>3.285714286</v>
      </c>
      <c r="N10" s="24"/>
      <c r="O10" s="23">
        <f>IFERROR(O8/N8,0)</f>
        <v>0.3333333333</v>
      </c>
      <c r="P10" s="25"/>
      <c r="Q10" s="23">
        <f>IFERROR(Q8/P8,0)</f>
        <v>1</v>
      </c>
      <c r="R10" s="26"/>
      <c r="S10" s="28"/>
      <c r="T10" s="28"/>
      <c r="U10" s="28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8"/>
      <c r="B12" s="36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COUNTIFS(B36:B1137,B11)</f>
        <v>4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28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8"/>
      <c r="W14" s="28"/>
    </row>
    <row r="15" ht="15.0" customHeight="1">
      <c r="A15" s="28"/>
      <c r="B15" s="12"/>
      <c r="C15" s="54" t="s">
        <v>16</v>
      </c>
      <c r="D15" s="6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COUNTIFS(B34:B1137,B14)</f>
        <v>16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IFERROR(M14/SUM(G14+R14,0),"")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8" t="s">
        <v>30</v>
      </c>
      <c r="C17" s="9">
        <f>SUMIF(A:A,B17,T:T)</f>
        <v>0</v>
      </c>
      <c r="D17" s="31"/>
      <c r="E17" s="70">
        <f>SUMIFS(T:T,A:A,B17,D:D,"Y")</f>
        <v>0</v>
      </c>
      <c r="F17" s="30">
        <f>SUMIF(A:A,B17,G:G)</f>
        <v>0</v>
      </c>
      <c r="G17" s="9">
        <f>SUMIF(A:A,B17,H:H)</f>
        <v>0</v>
      </c>
      <c r="H17" s="9">
        <f>SUMIF(A:A,B17,I:I)</f>
        <v>0</v>
      </c>
      <c r="I17" s="9">
        <f>SUMIF(A:A,B17,P:P)</f>
        <v>0</v>
      </c>
      <c r="J17" s="9">
        <f>SUMIF(A:A,B17,Q:Q)</f>
        <v>0</v>
      </c>
      <c r="K17" s="9">
        <f>SUMIF(A:A,B17,R:R)</f>
        <v>0</v>
      </c>
      <c r="L17" s="9">
        <f>SUMIF(A:A,B17,S:S)</f>
        <v>0</v>
      </c>
      <c r="M17" s="9">
        <f>SUMIF(A:A,B17,M:M)</f>
        <v>0</v>
      </c>
      <c r="N17" s="9">
        <f>SUMIF(A:A,B17,N:N)</f>
        <v>0</v>
      </c>
      <c r="O17" s="9">
        <f>SUMIF(A:A,B17,O:O)</f>
        <v>0</v>
      </c>
      <c r="P17" s="9">
        <f>SUMIF(A:A,B17,J:J)</f>
        <v>0</v>
      </c>
      <c r="Q17" s="9">
        <f>SUMIF(A:A,B17,K:K)</f>
        <v>0</v>
      </c>
      <c r="R17" s="33">
        <f>SUMIF(A:A,B17,L:L)</f>
        <v>0</v>
      </c>
      <c r="S17" s="28"/>
      <c r="T17" s="28"/>
      <c r="U17" s="28"/>
      <c r="V17" s="35"/>
      <c r="W17" s="35"/>
    </row>
    <row r="18" ht="15.0" customHeight="1">
      <c r="A18" s="28"/>
      <c r="B18" s="36"/>
      <c r="C18" s="13" t="s">
        <v>16</v>
      </c>
      <c r="D18" s="71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20">
        <f>COUNTIFS(A:A,B17)</f>
        <v>6</v>
      </c>
      <c r="D19" s="72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IFERROR(M17/SUM(R17+G17,0),"")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70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71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9</v>
      </c>
      <c r="D22" s="72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3.5" customHeight="1">
      <c r="A23" s="28"/>
      <c r="B23" s="8" t="s">
        <v>32</v>
      </c>
      <c r="C23" s="30">
        <f>SUMIF(A:A,B23,T:T)</f>
        <v>0</v>
      </c>
      <c r="D23" s="31"/>
      <c r="E23" s="70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34"/>
      <c r="T23" s="34"/>
      <c r="U23" s="28"/>
      <c r="V23" s="35"/>
      <c r="W23" s="35"/>
    </row>
    <row r="24" ht="15.0" customHeight="1">
      <c r="A24" s="35"/>
      <c r="B24" s="36"/>
      <c r="C24" s="13" t="s">
        <v>16</v>
      </c>
      <c r="D24" s="71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35"/>
      <c r="T24" s="35"/>
      <c r="U24" s="35"/>
      <c r="V24" s="35"/>
      <c r="W24" s="35"/>
    </row>
    <row r="25" ht="13.5" customHeight="1">
      <c r="A25" s="35"/>
      <c r="B25" s="56"/>
      <c r="C25" s="20">
        <f>COUNTIFS(A:A,B23)</f>
        <v>7</v>
      </c>
      <c r="D25" s="72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35"/>
      <c r="T25" s="35"/>
      <c r="U25" s="35"/>
      <c r="V25" s="35"/>
      <c r="W25" s="35"/>
    </row>
    <row r="26" ht="12.75" customHeight="1">
      <c r="A26" s="28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8"/>
      <c r="V26" s="80"/>
      <c r="W26" s="80"/>
    </row>
    <row r="27" ht="12.75" customHeight="1">
      <c r="A27" s="28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8"/>
      <c r="V27" s="80"/>
      <c r="W27" s="80"/>
    </row>
    <row r="28" ht="12.75" customHeight="1">
      <c r="A28" s="28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8"/>
      <c r="V28" s="80"/>
      <c r="W28" s="80"/>
    </row>
    <row r="29" ht="12.75" customHeight="1">
      <c r="A29" s="28"/>
      <c r="B29" s="8" t="s">
        <v>34</v>
      </c>
      <c r="C29" s="9">
        <f>SUMIF(A:A,B29,T:T)</f>
        <v>0</v>
      </c>
      <c r="D29" s="31"/>
      <c r="E29" s="70">
        <f>SUMIFS(T:T,A:A,B29,D:D,"Y")</f>
        <v>0</v>
      </c>
      <c r="F29" s="30">
        <f>SUMIF(A:A,B29,G:G)</f>
        <v>0</v>
      </c>
      <c r="G29" s="9">
        <f>SUMIF(A:A,B29,H:H)</f>
        <v>0</v>
      </c>
      <c r="H29" s="9">
        <f>SUMIF(A:A,B29,I:I)</f>
        <v>0</v>
      </c>
      <c r="I29" s="9">
        <f>SUMIF(A:A,B29,P:P)</f>
        <v>0</v>
      </c>
      <c r="J29" s="9">
        <f>SUMIF(A:A,B29,Q:Q)</f>
        <v>0</v>
      </c>
      <c r="K29" s="9">
        <f>SUMIF(A:A,B29,R:R)</f>
        <v>0</v>
      </c>
      <c r="L29" s="9">
        <f>SUMIF(A:A,B29,S:S)</f>
        <v>0</v>
      </c>
      <c r="M29" s="9">
        <f>SUMIF(A:A,B29,M:M)</f>
        <v>0</v>
      </c>
      <c r="N29" s="9">
        <f>SUMIF(A:A,B29,N:N)</f>
        <v>0</v>
      </c>
      <c r="O29" s="9">
        <f>SUMIF(A:A,B29,O:O)</f>
        <v>0</v>
      </c>
      <c r="P29" s="9">
        <f>SUMIF(A:A,B29,J:J)</f>
        <v>0</v>
      </c>
      <c r="Q29" s="9">
        <f>SUMIF(A:A,B29,K:K)</f>
        <v>0</v>
      </c>
      <c r="R29" s="33">
        <f>SUMIF(A:A,B29,L:L)</f>
        <v>0</v>
      </c>
      <c r="S29" s="28"/>
      <c r="T29" s="28"/>
      <c r="U29" s="28"/>
      <c r="V29" s="35"/>
      <c r="W29" s="35"/>
    </row>
    <row r="30" ht="15.0" customHeight="1">
      <c r="A30" s="28"/>
      <c r="B30" s="36"/>
      <c r="C30" s="13" t="s">
        <v>16</v>
      </c>
      <c r="D30" s="71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3"/>
      <c r="O30" s="16" t="s">
        <v>24</v>
      </c>
      <c r="P30" s="17"/>
      <c r="Q30" s="16" t="s">
        <v>25</v>
      </c>
      <c r="R30" s="18"/>
      <c r="S30" s="28"/>
      <c r="T30" s="28"/>
      <c r="U30" s="28"/>
      <c r="V30" s="35"/>
      <c r="W30" s="35"/>
    </row>
    <row r="31" ht="12.75" customHeight="1">
      <c r="A31" s="28"/>
      <c r="B31" s="56"/>
      <c r="C31" s="20">
        <f>COUNTIFS(A:A,B29)</f>
        <v>2</v>
      </c>
      <c r="D31" s="7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5" t="str">
        <f>IFERROR(M29/SUM(R29+G29,0),"")</f>
        <v/>
      </c>
      <c r="N31" s="24"/>
      <c r="O31" s="23">
        <f>IFERROR(O29/N29,0)</f>
        <v>0</v>
      </c>
      <c r="P31" s="25"/>
      <c r="Q31" s="23">
        <f>IFERROR(Q29/P29,0)</f>
        <v>0</v>
      </c>
      <c r="R31" s="26"/>
      <c r="S31" s="28"/>
      <c r="T31" s="28"/>
      <c r="U31" s="28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0.0</v>
      </c>
      <c r="H37" s="190">
        <v>1.0</v>
      </c>
      <c r="I37" s="190">
        <v>1.0</v>
      </c>
      <c r="J37" s="190">
        <v>1.0</v>
      </c>
      <c r="K37" s="190">
        <v>1.0</v>
      </c>
      <c r="L37" s="190">
        <v>0.0</v>
      </c>
      <c r="M37" s="190">
        <v>7.0</v>
      </c>
      <c r="N37" s="190">
        <v>0.0</v>
      </c>
      <c r="O37" s="190">
        <v>0.0</v>
      </c>
      <c r="P37" s="190">
        <v>0.0</v>
      </c>
      <c r="Q37" s="190">
        <v>0.0</v>
      </c>
      <c r="R37" s="190">
        <v>1.0</v>
      </c>
      <c r="S37" s="190">
        <v>1.0</v>
      </c>
      <c r="T37" s="190">
        <v>6408.0</v>
      </c>
      <c r="U37" s="111">
        <f t="shared" si="2"/>
        <v>1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5.0</v>
      </c>
      <c r="H38" s="190">
        <v>4.0</v>
      </c>
      <c r="I38" s="190">
        <v>1.0</v>
      </c>
      <c r="J38" s="190">
        <v>0.0</v>
      </c>
      <c r="K38" s="190">
        <v>0.0</v>
      </c>
      <c r="L38" s="190">
        <v>1.0</v>
      </c>
      <c r="M38" s="190">
        <v>16.0</v>
      </c>
      <c r="N38" s="190">
        <v>3.0</v>
      </c>
      <c r="O38" s="190">
        <v>1.0</v>
      </c>
      <c r="P38" s="190">
        <v>0.0</v>
      </c>
      <c r="Q38" s="190">
        <v>0.0</v>
      </c>
      <c r="R38" s="190">
        <v>1.0</v>
      </c>
      <c r="S38" s="190">
        <v>0.0</v>
      </c>
      <c r="T38" s="190">
        <v>1700.0</v>
      </c>
      <c r="U38" s="111">
        <f t="shared" si="2"/>
        <v>0.25</v>
      </c>
      <c r="V38" s="111">
        <f t="shared" si="3"/>
        <v>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1.0</v>
      </c>
      <c r="H40" s="190">
        <v>1.0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11">
        <f t="shared" si="2"/>
        <v>0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6"/>
        <v>0</v>
      </c>
      <c r="V78" s="111">
        <f t="shared" si="7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8"/>
        <v>0</v>
      </c>
      <c r="V83" s="111">
        <f t="shared" si="9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99" si="10">IFERROR(I89/H89,0)</f>
        <v>0</v>
      </c>
      <c r="V89" s="111">
        <f t="shared" ref="V89:V99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0"/>
        <v>0</v>
      </c>
      <c r="V90" s="111">
        <f t="shared" si="11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82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4" t="s">
        <v>33</v>
      </c>
      <c r="B92" s="175"/>
      <c r="C92" s="174"/>
      <c r="D92" s="175"/>
      <c r="E92" s="174"/>
      <c r="F92" s="174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6" t="s">
        <v>33</v>
      </c>
      <c r="B93" s="177"/>
      <c r="C93" s="176" t="s">
        <v>114</v>
      </c>
      <c r="D93" s="178" t="s">
        <v>51</v>
      </c>
      <c r="E93" s="176" t="s">
        <v>109</v>
      </c>
      <c r="F93" s="176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9" t="s">
        <v>33</v>
      </c>
      <c r="B94" s="180"/>
      <c r="C94" s="179" t="s">
        <v>114</v>
      </c>
      <c r="D94" s="180"/>
      <c r="E94" s="179" t="s">
        <v>115</v>
      </c>
      <c r="F94" s="179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9" t="s">
        <v>33</v>
      </c>
      <c r="B95" s="180"/>
      <c r="C95" s="179" t="s">
        <v>114</v>
      </c>
      <c r="D95" s="180"/>
      <c r="E95" s="179" t="s">
        <v>117</v>
      </c>
      <c r="F95" s="179" t="s">
        <v>118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9" t="s">
        <v>33</v>
      </c>
      <c r="B96" s="180"/>
      <c r="C96" s="179" t="s">
        <v>114</v>
      </c>
      <c r="D96" s="180"/>
      <c r="E96" s="179"/>
      <c r="F96" s="179" t="s">
        <v>116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9" t="s">
        <v>33</v>
      </c>
      <c r="B97" s="180"/>
      <c r="C97" s="179" t="s">
        <v>114</v>
      </c>
      <c r="D97" s="180"/>
      <c r="E97" s="179"/>
      <c r="F97" s="179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1" t="s">
        <v>33</v>
      </c>
      <c r="B98" s="181"/>
      <c r="C98" s="171" t="s">
        <v>120</v>
      </c>
      <c r="D98" s="171" t="s">
        <v>51</v>
      </c>
      <c r="E98" s="171" t="s">
        <v>121</v>
      </c>
      <c r="F98" s="171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4" t="s">
        <v>33</v>
      </c>
      <c r="B99" s="175"/>
      <c r="C99" s="174" t="s">
        <v>120</v>
      </c>
      <c r="D99" s="175"/>
      <c r="E99" s="174"/>
      <c r="F99" s="174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0"/>
        <v>0</v>
      </c>
      <c r="V99" s="111">
        <f t="shared" si="11"/>
        <v>0</v>
      </c>
      <c r="W99" s="112"/>
    </row>
    <row r="100" ht="20.25" customHeight="1">
      <c r="A100" s="100" t="s">
        <v>35</v>
      </c>
      <c r="B100" s="101" t="s">
        <v>36</v>
      </c>
      <c r="C100" s="101" t="s">
        <v>37</v>
      </c>
      <c r="D100" s="102"/>
      <c r="E100" s="103" t="s">
        <v>38</v>
      </c>
      <c r="F100" s="101" t="s">
        <v>39</v>
      </c>
      <c r="G100" s="104" t="s">
        <v>40</v>
      </c>
      <c r="H100" s="104" t="s">
        <v>41</v>
      </c>
      <c r="I100" s="104" t="s">
        <v>42</v>
      </c>
      <c r="J100" s="104" t="s">
        <v>12</v>
      </c>
      <c r="K100" s="104" t="s">
        <v>43</v>
      </c>
      <c r="L100" s="104" t="s">
        <v>14</v>
      </c>
      <c r="M100" s="104" t="s">
        <v>9</v>
      </c>
      <c r="N100" s="104" t="s">
        <v>10</v>
      </c>
      <c r="O100" s="104" t="s">
        <v>44</v>
      </c>
      <c r="P100" s="104" t="s">
        <v>5</v>
      </c>
      <c r="Q100" s="104" t="s">
        <v>45</v>
      </c>
      <c r="R100" s="104" t="s">
        <v>46</v>
      </c>
      <c r="S100" s="104" t="s">
        <v>47</v>
      </c>
      <c r="T100" s="104" t="s">
        <v>0</v>
      </c>
      <c r="U100" s="103" t="s">
        <v>48</v>
      </c>
      <c r="V100" s="103" t="s">
        <v>49</v>
      </c>
      <c r="W100" s="105"/>
    </row>
    <row r="101" ht="13.5" customHeight="1">
      <c r="A101" s="131" t="s">
        <v>34</v>
      </c>
      <c r="B101" s="161"/>
      <c r="C101" s="131"/>
      <c r="D101" s="131" t="s">
        <v>51</v>
      </c>
      <c r="E101" s="131" t="s">
        <v>60</v>
      </c>
      <c r="F101" s="131" t="s">
        <v>34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52">
        <f t="shared" ref="U101:U102" si="12">IFERROR(I101/H101,0)</f>
        <v>0</v>
      </c>
      <c r="V101" s="152">
        <f t="shared" ref="V101:V102" si="13">IFERROR(SUM(H101+L101)/G101,0)</f>
        <v>0</v>
      </c>
      <c r="W101" s="153"/>
    </row>
    <row r="102" ht="13.5" customHeight="1">
      <c r="A102" s="119" t="s">
        <v>34</v>
      </c>
      <c r="B102" s="147"/>
      <c r="C102" s="119" t="s">
        <v>123</v>
      </c>
      <c r="D102" s="119" t="s">
        <v>51</v>
      </c>
      <c r="E102" s="119"/>
      <c r="F102" s="119" t="s">
        <v>123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52">
        <f t="shared" si="12"/>
        <v>0</v>
      </c>
      <c r="V102" s="152">
        <f t="shared" si="13"/>
        <v>0</v>
      </c>
      <c r="W102" s="153"/>
    </row>
    <row r="103" ht="12.75" customHeight="1">
      <c r="A103" s="182"/>
      <c r="B103" s="182"/>
      <c r="C103" s="182"/>
      <c r="D103" s="1"/>
      <c r="E103" s="182"/>
      <c r="F103" s="183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5"/>
      <c r="V103" s="185"/>
      <c r="W103" s="185"/>
    </row>
    <row r="104" ht="12.75" customHeight="1">
      <c r="A104" s="182"/>
      <c r="B104" s="182"/>
      <c r="C104" s="182"/>
      <c r="D104" s="1"/>
      <c r="E104" s="182"/>
      <c r="F104" s="183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5"/>
      <c r="V104" s="185"/>
      <c r="W104" s="185"/>
    </row>
    <row r="105" ht="12.75" customHeight="1">
      <c r="A105" s="182"/>
      <c r="B105" s="182"/>
      <c r="C105" s="182"/>
      <c r="D105" s="1"/>
      <c r="E105" s="182"/>
      <c r="F105" s="183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5"/>
      <c r="V105" s="185"/>
      <c r="W105" s="185"/>
    </row>
    <row r="106" ht="12.75" customHeight="1">
      <c r="A106" s="182"/>
      <c r="B106" s="182"/>
      <c r="C106" s="182"/>
      <c r="D106" s="1"/>
      <c r="E106" s="182"/>
      <c r="F106" s="183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5"/>
      <c r="V106" s="185"/>
      <c r="W106" s="185"/>
    </row>
    <row r="107" ht="12.75" customHeight="1">
      <c r="A107" s="182"/>
      <c r="B107" s="182"/>
      <c r="C107" s="182"/>
      <c r="D107" s="1"/>
      <c r="E107" s="182"/>
      <c r="F107" s="183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85"/>
      <c r="W107" s="185"/>
    </row>
    <row r="108" ht="12.75" customHeight="1">
      <c r="A108" s="182"/>
      <c r="B108" s="182"/>
      <c r="C108" s="182"/>
      <c r="D108" s="1"/>
      <c r="E108" s="182"/>
      <c r="F108" s="183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  <c r="V108" s="185"/>
      <c r="W108" s="185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6"/>
      <c r="B610" s="186"/>
      <c r="C610" s="186"/>
      <c r="D610" s="187"/>
      <c r="E610" s="186"/>
      <c r="F610" s="188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53"/>
      <c r="V610" s="153"/>
      <c r="W610" s="153"/>
    </row>
    <row r="611" ht="12.75" customHeight="1">
      <c r="A611" s="186"/>
      <c r="B611" s="186"/>
      <c r="C611" s="186"/>
      <c r="D611" s="187"/>
      <c r="E611" s="186"/>
      <c r="F611" s="188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53"/>
      <c r="V611" s="153"/>
      <c r="W611" s="153"/>
    </row>
    <row r="612" ht="12.75" customHeight="1">
      <c r="A612" s="186"/>
      <c r="B612" s="186"/>
      <c r="C612" s="186"/>
      <c r="D612" s="187"/>
      <c r="E612" s="186"/>
      <c r="F612" s="188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53"/>
      <c r="V612" s="153"/>
      <c r="W612" s="153"/>
    </row>
    <row r="613" ht="12.75" customHeight="1">
      <c r="A613" s="186"/>
      <c r="B613" s="186"/>
      <c r="C613" s="186"/>
      <c r="D613" s="187"/>
      <c r="E613" s="186"/>
      <c r="F613" s="188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53"/>
      <c r="V613" s="153"/>
      <c r="W613" s="153"/>
    </row>
    <row r="614" ht="12.75" customHeight="1">
      <c r="A614" s="186"/>
      <c r="B614" s="186"/>
      <c r="C614" s="186"/>
      <c r="D614" s="187"/>
      <c r="E614" s="186"/>
      <c r="F614" s="188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53"/>
      <c r="V614" s="153"/>
      <c r="W614" s="153"/>
    </row>
    <row r="615" ht="12.75" customHeight="1">
      <c r="A615" s="186"/>
      <c r="B615" s="186"/>
      <c r="C615" s="186"/>
      <c r="D615" s="187"/>
      <c r="E615" s="186"/>
      <c r="F615" s="188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53"/>
      <c r="V615" s="153"/>
      <c r="W615" s="153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3" t="s">
        <v>124</v>
      </c>
      <c r="B1" s="193" t="s">
        <v>125</v>
      </c>
      <c r="C1" s="193" t="s">
        <v>35</v>
      </c>
      <c r="D1" s="193" t="s">
        <v>126</v>
      </c>
      <c r="E1" s="193" t="s">
        <v>0</v>
      </c>
      <c r="F1" s="193" t="s">
        <v>127</v>
      </c>
      <c r="G1" s="193" t="s">
        <v>128</v>
      </c>
      <c r="H1" s="193" t="s">
        <v>129</v>
      </c>
      <c r="I1" s="193" t="s">
        <v>130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>
      <c r="A2" s="195" t="s">
        <v>131</v>
      </c>
      <c r="B2" s="195" t="s">
        <v>132</v>
      </c>
      <c r="C2" s="195" t="s">
        <v>133</v>
      </c>
      <c r="D2" s="196">
        <v>46145.0</v>
      </c>
      <c r="E2" s="195">
        <v>1404.0</v>
      </c>
      <c r="F2" s="195" t="s">
        <v>134</v>
      </c>
      <c r="G2" s="195" t="s">
        <v>135</v>
      </c>
      <c r="H2" s="195" t="s">
        <v>136</v>
      </c>
      <c r="I2" s="195" t="s">
        <v>115</v>
      </c>
    </row>
    <row r="3">
      <c r="A3" s="195" t="s">
        <v>137</v>
      </c>
      <c r="B3" s="195" t="s">
        <v>138</v>
      </c>
      <c r="C3" s="195" t="s">
        <v>139</v>
      </c>
      <c r="D3" s="196">
        <v>46147.0</v>
      </c>
      <c r="E3" s="195">
        <v>710.52</v>
      </c>
      <c r="F3" s="195" t="s">
        <v>134</v>
      </c>
      <c r="G3" s="195" t="s">
        <v>140</v>
      </c>
      <c r="H3" s="195" t="s">
        <v>141</v>
      </c>
      <c r="I3" s="195" t="s">
        <v>115</v>
      </c>
    </row>
    <row r="4">
      <c r="A4" s="195" t="s">
        <v>142</v>
      </c>
      <c r="B4" s="195" t="s">
        <v>143</v>
      </c>
      <c r="C4" s="195" t="s">
        <v>144</v>
      </c>
      <c r="D4" s="196">
        <v>46144.0</v>
      </c>
      <c r="E4" s="195">
        <v>1081.56</v>
      </c>
      <c r="F4" s="195" t="s">
        <v>134</v>
      </c>
      <c r="G4" s="195" t="s">
        <v>140</v>
      </c>
      <c r="H4" s="195" t="s">
        <v>145</v>
      </c>
      <c r="I4" s="195" t="s">
        <v>115</v>
      </c>
    </row>
  </sheetData>
  <drawing r:id="rId1"/>
</worksheet>
</file>