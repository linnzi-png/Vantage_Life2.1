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<sst xmlns="http://schemas.openxmlformats.org/spreadsheetml/2006/main" count="5350" uniqueCount="151">
  <si>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</si>
  <si>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</si>
  <si>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</si>
  <si>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</si>
  <si>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</si>
  <si>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</si>
  <si>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</si>
  <si>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</si>
  <si>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</si>
  <si>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</si>
  <si>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</si>
  <si>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</si>
  <si>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</si>
  <si>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</si>
  <si>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</si>
  <si>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</si>
  <si>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</si>
  <si>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</si>
  <si>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</si>
  <si>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</si>
  <si>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</si>
  <si>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</si>
  <si>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</si>
  <si>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</si>
  <si>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</si>
  <si>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</si>
  <si>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</si>
  <si>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</si>
  <si>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Melissa Elam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</si>
  <si>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</si>
  <si>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</si>
  <si>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</si>
  <si>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</si>
  <si>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</si>
  <si>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</si>
  <si>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</si>
  <si>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</si>
  <si>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</si>
  <si>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</si>
  <si>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</si>
  <si>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</si>
  <si>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</si>
  <si>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</si>
  <si>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</si>
  <si>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</si>
  <si>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</si>
  <si>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</si>
  <si>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</si>
  <si>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</si>
  <si>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</si>
  <si>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</si>
  <si>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</si>
  <si>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</si>
  <si>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</si>
  <si>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</si>
  <si>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</si>
  <si>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</si>
  <si>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</si>
  <si>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 xml:space="preserve">Marcus Norton </t>
  </si>
  <si>
    <t>CO</t>
  </si>
  <si>
    <t>Marcus Norton</t>
  </si>
  <si>
    <t>Kaliyah Pyles</t>
  </si>
  <si>
    <t>Ethan Lasley</t>
  </si>
  <si>
    <t>Keith Chmiel</t>
  </si>
  <si>
    <t>TX</t>
  </si>
  <si>
    <t>Veronica Sanchez</t>
  </si>
  <si>
    <t>MS</t>
  </si>
  <si>
    <t>Ronald Montoya</t>
  </si>
  <si>
    <t>Nathan Fast</t>
  </si>
  <si>
    <t>Danielle Loux</t>
  </si>
  <si>
    <t>MO</t>
  </si>
  <si>
    <t>Frances Gonzalez</t>
  </si>
  <si>
    <t>Lacie Herring</t>
  </si>
  <si>
    <t>Tiera Williams</t>
  </si>
  <si>
    <t>TN</t>
  </si>
  <si>
    <t>Preston Opperman</t>
  </si>
  <si>
    <t>Bilal Abdullah</t>
  </si>
  <si>
    <t>Kain White-Conley</t>
  </si>
  <si>
    <t>NH</t>
  </si>
  <si>
    <t>Cheri DiPiero</t>
  </si>
  <si>
    <t>Andre Alire</t>
  </si>
  <si>
    <t>Kelvin Claney</t>
  </si>
  <si>
    <t>Jacob Bandyk</t>
  </si>
  <si>
    <t>ID</t>
  </si>
  <si>
    <t>Alayna Halverson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</si>
  <si>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</si>
  <si>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</si>
  <si>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</si>
  <si>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</si>
  <si>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</si>
  <si>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</si>
  <si>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</si>
  <si>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</si>
  <si>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Dylan Alexander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</si>
  <si>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</si>
  <si>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</si>
  <si>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</si>
  <si>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</si>
  <si>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</si>
  <si>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</si>
  <si>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</si>
  <si>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SC</t>
  </si>
  <si>
    <t>William Benline</t>
  </si>
  <si>
    <t>Ken Hermann</t>
  </si>
  <si>
    <t>Marci Joy Clark</t>
  </si>
  <si>
    <t>Emmy Phipps</t>
  </si>
  <si>
    <t>Sasha Blake</t>
  </si>
  <si>
    <t>Annie Ransom</t>
  </si>
  <si>
    <t>OR</t>
  </si>
  <si>
    <t>Caroline Sanazaro</t>
  </si>
  <si>
    <t>O'Neil Mbakwe</t>
  </si>
  <si>
    <t>Hillary Tucker</t>
  </si>
  <si>
    <t>Alexa Legg</t>
  </si>
  <si>
    <t>IN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</si>
  <si>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</si>
  <si>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</si>
  <si>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</si>
  <si>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</si>
  <si>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</si>
  <si>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</si>
  <si>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</si>
  <si>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</si>
  <si>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</si>
  <si>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</si>
  <si>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</si>
  <si>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</si>
  <si>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</si>
  <si>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</si>
  <si>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</si>
  <si>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</si>
  <si>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</si>
  <si>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</si>
  <si>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</si>
  <si>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</si>
  <si>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</si>
  <si>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</si>
  <si>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</si>
  <si>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</si>
  <si>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JOHNNY HAWKINS</t>
  </si>
  <si>
    <t>PRESTON OPPERMAN</t>
  </si>
  <si>
    <t>GOJCAJ</t>
  </si>
  <si>
    <t>N/A</t>
  </si>
  <si>
    <t>NO</t>
  </si>
  <si>
    <t>DECIDED AGAINST POLICY</t>
  </si>
  <si>
    <t>WALTER PETERS</t>
  </si>
  <si>
    <t>CATHERINE FIECHTER</t>
  </si>
  <si>
    <t>YES</t>
  </si>
  <si>
    <t>CODE REWRITE PER MELISSA'S NOTE.</t>
  </si>
  <si>
    <t>GLENNIS CUTTINGHALL</t>
  </si>
  <si>
    <t>EDDIE LEON</t>
  </si>
  <si>
    <t>CLIENT DECIDED AGAINST ADDITIONAL.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</si>
</sst>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5" fillId="0" fontId="7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6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7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6" fillId="5" fontId="2" numFmtId="0" xfId="0" applyAlignment="1" applyBorder="1" applyFont="1">
      <alignment vertical="center"/>
    </xf>
    <xf borderId="16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20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16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6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2" numFmtId="0" xfId="0" applyAlignment="1" applyBorder="1" applyFont="1">
      <alignment shrinkToFit="0" vertical="bottom" wrapText="1"/>
    </xf>
    <xf borderId="21" fillId="3" fontId="14" numFmtId="0" xfId="0" applyAlignment="1" applyBorder="1" applyFont="1">
      <alignment shrinkToFit="0" vertical="bottom" wrapText="1"/>
    </xf>
    <xf borderId="20" fillId="3" fontId="15" numFmtId="0" xfId="0" applyAlignment="1" applyBorder="1" applyFont="1">
      <alignment vertical="bottom"/>
    </xf>
    <xf borderId="16" fillId="0" fontId="11" numFmtId="0" xfId="0" applyAlignment="1" applyBorder="1" applyFont="1">
      <alignment readingOrder="0" shrinkToFit="0" vertical="bottom" wrapText="1"/>
    </xf>
    <xf borderId="16" fillId="0" fontId="12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vertical="bottom"/>
    </xf>
    <xf borderId="20" fillId="0" fontId="16" numFmtId="0" xfId="0" applyAlignment="1" applyBorder="1" applyFont="1">
      <alignment shrinkToFit="0" vertical="bottom" wrapText="1"/>
    </xf>
    <xf borderId="20" fillId="4" fontId="17" numFmtId="0" xfId="0" applyAlignment="1" applyBorder="1" applyFont="1">
      <alignment readingOrder="0" vertical="bottom"/>
    </xf>
    <xf borderId="16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0" fillId="4" fontId="1" numFmtId="0" xfId="0" applyAlignment="1" applyBorder="1" applyFont="1">
      <alignment vertical="bottom"/>
    </xf>
    <xf borderId="20" fillId="5" fontId="17" numFmtId="0" xfId="0" applyAlignment="1" applyBorder="1" applyFont="1">
      <alignment readingOrder="0" vertical="bottom"/>
    </xf>
    <xf borderId="20" fillId="5" fontId="1" numFmtId="0" xfId="0" applyAlignment="1" applyBorder="1" applyFont="1">
      <alignment vertical="bottom"/>
    </xf>
    <xf borderId="21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4" fontId="12" numFmtId="0" xfId="0" applyAlignment="1" applyBorder="1" applyFont="1">
      <alignment shrinkToFit="0" vertical="center" wrapText="1"/>
    </xf>
    <xf borderId="20" fillId="4" fontId="11" numFmtId="0" xfId="0" applyAlignment="1" applyBorder="1" applyFont="1">
      <alignment shrinkToFit="0" vertical="center" wrapText="1"/>
    </xf>
    <xf borderId="20" fillId="4" fontId="1" numFmtId="0" xfId="0" applyAlignment="1" applyBorder="1" applyFont="1">
      <alignment vertical="center"/>
    </xf>
    <xf borderId="20" fillId="4" fontId="11" numFmtId="0" xfId="0" applyAlignment="1" applyBorder="1" applyFont="1">
      <alignment readingOrder="0" shrinkToFit="0" vertical="center" wrapText="1"/>
    </xf>
    <xf borderId="20" fillId="0" fontId="17" numFmtId="0" xfId="0" applyAlignment="1" applyBorder="1" applyFont="1">
      <alignment readingOrder="0" vertical="bottom"/>
    </xf>
    <xf borderId="20" fillId="0" fontId="1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5" fontId="19" numFmtId="0" xfId="0" applyAlignment="1" applyBorder="1" applyFont="1">
      <alignment vertical="bottom"/>
    </xf>
    <xf borderId="20" fillId="5" fontId="20" numFmtId="0" xfId="0" applyAlignment="1" applyBorder="1" applyFont="1">
      <alignment readingOrder="0" vertical="bottom"/>
    </xf>
    <xf borderId="20" fillId="0" fontId="20" numFmtId="0" xfId="0" applyAlignment="1" applyBorder="1" applyFont="1">
      <alignment readingOrder="0" vertical="bottom"/>
    </xf>
    <xf borderId="20" fillId="0" fontId="19" numFmtId="0" xfId="0" applyAlignment="1" applyBorder="1" applyFont="1">
      <alignment vertical="bottom"/>
    </xf>
    <xf borderId="20" fillId="4" fontId="18" numFmtId="0" xfId="0" applyAlignment="1" applyBorder="1" applyFont="1">
      <alignment readingOrder="0" vertical="bottom"/>
    </xf>
    <xf borderId="20" fillId="4" fontId="21" numFmtId="0" xfId="0" applyAlignment="1" applyBorder="1" applyFont="1">
      <alignment vertical="bottom"/>
    </xf>
    <xf borderId="20" fillId="4" fontId="21" numFmtId="0" xfId="0" applyAlignment="1" applyBorder="1" applyFont="1">
      <alignment readingOrder="0" vertical="bottom"/>
    </xf>
    <xf borderId="20" fillId="4" fontId="20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79086.36</v>
      </c>
      <c r="D2" s="10"/>
      <c r="E2" s="11">
        <f t="shared" ref="E2:R2" si="1">SUM(E5,E20,E23,E26,E29,E32)</f>
        <v>45953.36</v>
      </c>
      <c r="F2" s="11">
        <f t="shared" si="1"/>
        <v>177</v>
      </c>
      <c r="G2" s="11">
        <f t="shared" si="1"/>
        <v>77</v>
      </c>
      <c r="H2" s="11">
        <f t="shared" si="1"/>
        <v>47</v>
      </c>
      <c r="I2" s="11">
        <f t="shared" si="1"/>
        <v>8</v>
      </c>
      <c r="J2" s="11">
        <f t="shared" si="1"/>
        <v>5</v>
      </c>
      <c r="K2" s="11">
        <f t="shared" si="1"/>
        <v>25</v>
      </c>
      <c r="L2" s="11">
        <f t="shared" si="1"/>
        <v>9</v>
      </c>
      <c r="M2" s="11">
        <f t="shared" si="1"/>
        <v>266</v>
      </c>
      <c r="N2" s="11">
        <f t="shared" si="1"/>
        <v>65</v>
      </c>
      <c r="O2" s="11">
        <f t="shared" si="1"/>
        <v>31</v>
      </c>
      <c r="P2" s="11">
        <f t="shared" si="1"/>
        <v>34</v>
      </c>
      <c r="Q2" s="11">
        <f t="shared" si="1"/>
        <v>17</v>
      </c>
      <c r="R2" s="11">
        <f t="shared" si="1"/>
        <v>9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1682.688511</v>
      </c>
      <c r="F4" s="24">
        <f>IFERROR((G2+R2)/F2,0)</f>
        <v>0.4858757062</v>
      </c>
      <c r="G4" s="24">
        <f>IFERROR(H2/G2,0)</f>
        <v>0.6103896104</v>
      </c>
      <c r="H4" s="23">
        <f>(C2/C4)</f>
        <v>1146.17913</v>
      </c>
      <c r="I4" s="25"/>
      <c r="J4" s="24">
        <f>IFERROR(J2/I2,0)</f>
        <v>0.625</v>
      </c>
      <c r="K4" s="25"/>
      <c r="L4" s="24">
        <f>IFERROR(L2/K2,0)</f>
        <v>0.36</v>
      </c>
      <c r="M4" s="26">
        <f>IFERROR(M2/G2,0)</f>
        <v>3.454545455</v>
      </c>
      <c r="N4" s="25"/>
      <c r="O4" s="24">
        <f>IFERROR(O2/N2,0)</f>
        <v>0.4769230769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43622.68</v>
      </c>
      <c r="D5" s="31"/>
      <c r="E5" s="32">
        <f>SUMIFS(T:T,A:A,B5,D:D,"Y")</f>
        <v>32928.68</v>
      </c>
      <c r="F5" s="11">
        <f>SUMIF(A:A,B5,G:G)</f>
        <v>136</v>
      </c>
      <c r="G5" s="11">
        <f>SUMIF(A:A,B5,H:H)</f>
        <v>49</v>
      </c>
      <c r="H5" s="11">
        <f>SUMIF(A:A,B5,I:I)</f>
        <v>27</v>
      </c>
      <c r="I5" s="11">
        <f>SUMIF(A:A,B5,P:P)</f>
        <v>8</v>
      </c>
      <c r="J5" s="11">
        <f>SUMIF(A:A,B5,Q:Q)</f>
        <v>5</v>
      </c>
      <c r="K5" s="11">
        <f>SUMIF(A:A,B5,R:R)</f>
        <v>17</v>
      </c>
      <c r="L5" s="11">
        <f>SUMIF(A:A,B5,S:S)</f>
        <v>6</v>
      </c>
      <c r="M5" s="11">
        <f>SUMIF(A:A,B5,M:M)</f>
        <v>134</v>
      </c>
      <c r="N5" s="11">
        <f>SUMIF(A:A,B5,N:N)</f>
        <v>35</v>
      </c>
      <c r="O5" s="11">
        <f>SUMIF(A:A,B5,O:O)</f>
        <v>14</v>
      </c>
      <c r="P5" s="11">
        <f>SUMIF(A:A,B5,J:J)</f>
        <v>18</v>
      </c>
      <c r="Q5" s="11">
        <f>SUMIF(A:A,B5,K:K)</f>
        <v>9</v>
      </c>
      <c r="R5" s="33">
        <f>SUMIF(A:A,B5,L:L)</f>
        <v>8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1615.654815</v>
      </c>
      <c r="F7" s="41">
        <f>IFERROR((G5+R5)/F5,0)</f>
        <v>0.4191176471</v>
      </c>
      <c r="G7" s="41">
        <f>IFERROR(H5/G5,0)</f>
        <v>0.5510204082</v>
      </c>
      <c r="H7" s="40">
        <f>(C5/C7)</f>
        <v>1677.795385</v>
      </c>
      <c r="I7" s="42"/>
      <c r="J7" s="41">
        <f>IFERROR(J5/I5,0)</f>
        <v>0.625</v>
      </c>
      <c r="K7" s="42"/>
      <c r="L7" s="41">
        <f>IFERROR(L5/K5,0)</f>
        <v>0.3529411765</v>
      </c>
      <c r="M7" s="43">
        <f>IFERROR(M5/SUM(R5+G5,0),"")</f>
        <v>2.350877193</v>
      </c>
      <c r="N7" s="42"/>
      <c r="O7" s="41">
        <f>IFERROR(O5/N5,0)</f>
        <v>0.4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22446</v>
      </c>
      <c r="D8" s="48"/>
      <c r="E8" s="49">
        <f>SUMIFS(T:T,B:B,B8,D:D,"Y")</f>
        <v>15080</v>
      </c>
      <c r="F8" s="50">
        <f>SUMIF(B38:B1090,B8,G38:G1090)</f>
        <v>54</v>
      </c>
      <c r="G8" s="51">
        <f>SUMIF(B38:B1090,B8,H38:H1090)</f>
        <v>22</v>
      </c>
      <c r="H8" s="51">
        <f>SUMIF(B38:B1090,B8,I38:I1090)</f>
        <v>12</v>
      </c>
      <c r="I8" s="51">
        <f>SUMIF(B38:B1090,B8,P38:P1090)</f>
        <v>8</v>
      </c>
      <c r="J8" s="51">
        <f>SUMIF(B38:B1090,B8,Q38:Q1090)</f>
        <v>5</v>
      </c>
      <c r="K8" s="51">
        <f>SUMIF(B38:B1090,B8,R38:R1090)</f>
        <v>7</v>
      </c>
      <c r="L8" s="51">
        <f>SUMIF(B38:B1090,B8,S38:S1090)</f>
        <v>1</v>
      </c>
      <c r="M8" s="51">
        <f>SUMIF(B38:B1090,B8,M38:M1090)</f>
        <v>61</v>
      </c>
      <c r="N8" s="51">
        <f>SUMIF(B38:B1090,B8,N38:N1090)</f>
        <v>8</v>
      </c>
      <c r="O8" s="51">
        <f>SUMIF(B38:B1090,B8,O38:O1090)</f>
        <v>5</v>
      </c>
      <c r="P8" s="51">
        <f>SUMIF(B38:B1090,B8,J38:J1090)</f>
        <v>3</v>
      </c>
      <c r="Q8" s="51">
        <f>SUMIF(B38:B1090,B8,K38:K1090)</f>
        <v>1</v>
      </c>
      <c r="R8" s="52">
        <f>SUMIF(B38:B1090,B8,L38:L1090)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COUNTIFS(B38:B1090,B8)</f>
        <v>8</v>
      </c>
      <c r="D10" s="58"/>
      <c r="E10" s="23">
        <f>IFERROR(C8/H8,0)</f>
        <v>1870.5</v>
      </c>
      <c r="F10" s="24">
        <f>IFERROR((G8+R8)/F8,0)</f>
        <v>0.4259259259</v>
      </c>
      <c r="G10" s="24">
        <f>IFERROR(H8/G8,0)</f>
        <v>0.5454545455</v>
      </c>
      <c r="H10" s="23">
        <f>(C8/C10)</f>
        <v>2805.75</v>
      </c>
      <c r="I10" s="25"/>
      <c r="J10" s="24">
        <f>IFERROR(J8/I8,0)</f>
        <v>0.625</v>
      </c>
      <c r="K10" s="25"/>
      <c r="L10" s="24">
        <f>IFERROR(L8/K8,0)</f>
        <v>0.1428571429</v>
      </c>
      <c r="M10" s="26">
        <f>IFERROR(M8/SUM(R8+G8,0),"")</f>
        <v>2.652173913</v>
      </c>
      <c r="N10" s="25"/>
      <c r="O10" s="24">
        <f>IFERROR(O8/N8,0)</f>
        <v>0.625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10412</v>
      </c>
      <c r="D11" s="48"/>
      <c r="E11" s="49">
        <f>SUMIFS(T:T,B:B,B11,D:D,"Y")</f>
        <v>9644</v>
      </c>
      <c r="F11" s="50">
        <f>SUMIF(B38:B1090,B11,G38:G1090)</f>
        <v>36</v>
      </c>
      <c r="G11" s="51">
        <f>SUMIF(B38:B1090,B11,H38:H1090)</f>
        <v>17</v>
      </c>
      <c r="H11" s="51">
        <f>SUMIF(B38:B1090,B11,I38:I1090)</f>
        <v>7</v>
      </c>
      <c r="I11" s="51">
        <f>SUMIF(B38:B1090,B11,P38:P1090)</f>
        <v>0</v>
      </c>
      <c r="J11" s="51">
        <f>SUMIF(B38:B1090,B11,Q38:Q1090)</f>
        <v>0</v>
      </c>
      <c r="K11" s="51">
        <f>SUMIF(B38:B1090,B11,R38:R1090)</f>
        <v>7</v>
      </c>
      <c r="L11" s="51">
        <f>SUMIF(B38:B1090,B11,S38:S1090)</f>
        <v>3</v>
      </c>
      <c r="M11" s="51">
        <f>SUMIF(B38:B1090,B11,M38:M1090)</f>
        <v>28</v>
      </c>
      <c r="N11" s="51">
        <f>SUMIF(B38:B1090,B11,N38:N1090)</f>
        <v>10</v>
      </c>
      <c r="O11" s="51">
        <f>SUMIF(B38:B1090,B11,O38:O1090)</f>
        <v>4</v>
      </c>
      <c r="P11" s="51">
        <f>SUMIF(B38:B1090,B11,J38:J1090)</f>
        <v>9</v>
      </c>
      <c r="Q11" s="51">
        <f>SUMIF(B38:B1090,B11,K38:K1090)</f>
        <v>4</v>
      </c>
      <c r="R11" s="52">
        <f>SUMIF(B38:B1090,B11,L38:L1090)</f>
        <v>6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COUNTIFS(B38:B1090,B11)</f>
        <v>7</v>
      </c>
      <c r="D13" s="58"/>
      <c r="E13" s="23">
        <f>IFERROR(C11/H11,0)</f>
        <v>1487.428571</v>
      </c>
      <c r="F13" s="24">
        <f>IFERROR((G11+R11)/F11,0)</f>
        <v>0.6388888889</v>
      </c>
      <c r="G13" s="24">
        <f>IFERROR(H11/G11,0)</f>
        <v>0.4117647059</v>
      </c>
      <c r="H13" s="23">
        <f>(C11/C13)</f>
        <v>1487.428571</v>
      </c>
      <c r="I13" s="25"/>
      <c r="J13" s="24">
        <f>IFERROR(J11/I11,0)</f>
        <v>0</v>
      </c>
      <c r="K13" s="25"/>
      <c r="L13" s="24">
        <f>IFERROR(L11/K11,0)</f>
        <v>0.4285714286</v>
      </c>
      <c r="M13" s="26">
        <f>IFERROR(M11/SUM(R11+G11,0),"")</f>
        <v>1.217391304</v>
      </c>
      <c r="N13" s="25"/>
      <c r="O13" s="24">
        <f>IFERROR(O11/N11,0)</f>
        <v>0.4</v>
      </c>
      <c r="P13" s="26"/>
      <c r="Q13" s="24">
        <f>IFERROR(Q11/P11,0)</f>
        <v>0.4444444444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SUMIF(B39:B1090,B14,G39:G1090)</f>
        <v>0</v>
      </c>
      <c r="G14" s="51">
        <f>SUMIF(B39:B1090,B14,H39:H1090)</f>
        <v>0</v>
      </c>
      <c r="H14" s="51">
        <f>SUMIF(B39:B1090,B14,I39:I1090)</f>
        <v>0</v>
      </c>
      <c r="I14" s="51">
        <f>SUMIF(B39:B1090,B14,P39:P1090)</f>
        <v>0</v>
      </c>
      <c r="J14" s="51">
        <f>SUMIF(B39:B1090,B14,Q39:Q1090)</f>
        <v>0</v>
      </c>
      <c r="K14" s="51">
        <f>SUMIF(B39:B1090,B14,R39:R1090)</f>
        <v>0</v>
      </c>
      <c r="L14" s="51">
        <f>SUMIF(B39:B1090,B14,S39:S1090)</f>
        <v>0</v>
      </c>
      <c r="M14" s="51">
        <f>SUMIF(B39:B1090,B14,M39:M1090)</f>
        <v>0</v>
      </c>
      <c r="N14" s="51">
        <f>SUMIF(B39:B1090,B14,N39:N1090)</f>
        <v>0</v>
      </c>
      <c r="O14" s="51">
        <f>SUMIF(B39:B1090,B14,O39:O1090)</f>
        <v>0</v>
      </c>
      <c r="P14" s="51">
        <f>SUMIF(B39:B1090,B14,J39:J1090)</f>
        <v>0</v>
      </c>
      <c r="Q14" s="51">
        <f>SUMIF(B39:B1090,B14,K39:K1090)</f>
        <v>0</v>
      </c>
      <c r="R14" s="52">
        <f>SUMIF(B39:B1090,B14,L39:L1090)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COUNTIFS(B39:B1090,B14)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10764.68</v>
      </c>
      <c r="D17" s="62"/>
      <c r="E17" s="49">
        <f>SUMIFS(T:T,B:B,B17,D:D,"Y")</f>
        <v>8204.68</v>
      </c>
      <c r="F17" s="50">
        <f>SUMIF(B37:B1090,B17,G37:G1090)</f>
        <v>46</v>
      </c>
      <c r="G17" s="51">
        <f>SUMIF(B37:B1090,B17,H37:H1090)</f>
        <v>10</v>
      </c>
      <c r="H17" s="51">
        <f>SUMIF(B37:B1090,B17,I37:I1090)</f>
        <v>8</v>
      </c>
      <c r="I17" s="51">
        <f>SUMIF(B37:B1090,B17,P37:P1090)</f>
        <v>0</v>
      </c>
      <c r="J17" s="51">
        <f>SUMIF(B37:B1090,B17,Q37:Q1090)</f>
        <v>0</v>
      </c>
      <c r="K17" s="51">
        <f>SUMIF(B37:B1090,B17,R37:R1090)</f>
        <v>3</v>
      </c>
      <c r="L17" s="51">
        <f>SUMIF(B37:B1090,B17,S37:S1090)</f>
        <v>2</v>
      </c>
      <c r="M17" s="51">
        <f>SUMIF(B37:B1090,B17,M37:M1090)</f>
        <v>45</v>
      </c>
      <c r="N17" s="51">
        <f>SUMIF(B37:B1090,B17,N37:N1090)</f>
        <v>17</v>
      </c>
      <c r="O17" s="51">
        <f>SUMIF(B37:B1090,B17,O37:O1090)</f>
        <v>5</v>
      </c>
      <c r="P17" s="51">
        <f>SUMIF(B37:B1090,B17,J37:J1090)</f>
        <v>6</v>
      </c>
      <c r="Q17" s="51">
        <f>SUMIF(B37:B1090,B17,K37:K1090)</f>
        <v>4</v>
      </c>
      <c r="R17" s="52">
        <f>SUMIF(B37:B1090,B17,L37:L1090)</f>
        <v>1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COUNTIFS(B37:B1090,B17)</f>
        <v>6</v>
      </c>
      <c r="D19" s="58"/>
      <c r="E19" s="23">
        <f>IFERROR(C17/H17,0)</f>
        <v>1345.585</v>
      </c>
      <c r="F19" s="24">
        <f>IFERROR((G17+R17)/F17,0)</f>
        <v>0.2391304348</v>
      </c>
      <c r="G19" s="24">
        <f>IFERROR(H17/G17,0)</f>
        <v>0.8</v>
      </c>
      <c r="H19" s="23">
        <f>(C17/C19)</f>
        <v>1794.113333</v>
      </c>
      <c r="I19" s="25"/>
      <c r="J19" s="24">
        <f>IFERROR(J17/I17,0)</f>
        <v>0</v>
      </c>
      <c r="K19" s="25"/>
      <c r="L19" s="24">
        <f>IFERROR(L17/K17,0)</f>
        <v>0.6666666667</v>
      </c>
      <c r="M19" s="26">
        <f>IFERROR(M17/SUM(G17+R17,0),"")</f>
        <v>4.090909091</v>
      </c>
      <c r="N19" s="25"/>
      <c r="O19" s="24">
        <f>IFERROR(O17/N17,0)</f>
        <v>0.2941176471</v>
      </c>
      <c r="P19" s="26"/>
      <c r="Q19" s="24">
        <f>IFERROR(Q17/P17,0)</f>
        <v>0.6666666667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7774</v>
      </c>
      <c r="D20" s="31"/>
      <c r="E20" s="64">
        <f>SUMIFS(T:T,A:A,B20,D:D,"Y")</f>
        <v>7774</v>
      </c>
      <c r="F20" s="9">
        <f>SUMIF(A:A,B20,G:G)</f>
        <v>13</v>
      </c>
      <c r="G20" s="11">
        <f>SUMIF(A:A,B20,H:H)</f>
        <v>10</v>
      </c>
      <c r="H20" s="11">
        <f>SUMIF(A:A,B20,I:I)</f>
        <v>4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2</v>
      </c>
      <c r="M20" s="11">
        <f>SUMIF(A:A,B20,M:M)</f>
        <v>41</v>
      </c>
      <c r="N20" s="11">
        <f>SUMIF(A:A,B20,N:N)</f>
        <v>7</v>
      </c>
      <c r="O20" s="11">
        <f>SUMIF(A:A,B20,O:O)</f>
        <v>2</v>
      </c>
      <c r="P20" s="11">
        <f>SUMIF(A:A,B20,J:J)</f>
        <v>12</v>
      </c>
      <c r="Q20" s="11">
        <f>SUMIF(A:A,B20,K:K)</f>
        <v>4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1943.5</v>
      </c>
      <c r="F22" s="24">
        <f>IFERROR((G20+R20)/F20,0)</f>
        <v>0.8461538462</v>
      </c>
      <c r="G22" s="24">
        <f>IFERROR(H20/G20,0)</f>
        <v>0.4</v>
      </c>
      <c r="H22" s="23">
        <f>(C20/C22)</f>
        <v>1295.666667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3.727272727</v>
      </c>
      <c r="N22" s="25"/>
      <c r="O22" s="24">
        <f>IFERROR(O20/N20,0)</f>
        <v>0.2857142857</v>
      </c>
      <c r="P22" s="26"/>
      <c r="Q22" s="24">
        <f>IFERROR(Q20/P20,0)</f>
        <v>0.3333333333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9861</v>
      </c>
      <c r="D23" s="31"/>
      <c r="E23" s="64">
        <f>SUMIFS(T:T,A:A,B23,D:D,"Y")</f>
        <v>2978</v>
      </c>
      <c r="F23" s="9">
        <f>SUMIF(A:A,B23,G:G)</f>
        <v>5</v>
      </c>
      <c r="G23" s="11">
        <f>SUMIF(A:A,B23,H:H)</f>
        <v>5</v>
      </c>
      <c r="H23" s="11">
        <f>SUMIF(A:A,B23,I:I)</f>
        <v>5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17</v>
      </c>
      <c r="N23" s="11">
        <f>SUMIF(A:A,B23,N:N)</f>
        <v>4</v>
      </c>
      <c r="O23" s="11">
        <f>SUMIF(A:A,B23,O:O)</f>
        <v>4</v>
      </c>
      <c r="P23" s="11">
        <f>SUMIF(A:A,B23,J:J)</f>
        <v>4</v>
      </c>
      <c r="Q23" s="11">
        <f>SUMIF(A:A,B23,K:K)</f>
        <v>4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1972.2</v>
      </c>
      <c r="F25" s="24">
        <f>IFERROR((G23+R23)/F23,0)</f>
        <v>1</v>
      </c>
      <c r="G25" s="24">
        <f>IFERROR(H23/G23,0)</f>
        <v>1</v>
      </c>
      <c r="H25" s="23">
        <f>(C23/C25)</f>
        <v>1095.666667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3.4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2272.68</v>
      </c>
      <c r="D26" s="31"/>
      <c r="E26" s="64">
        <f>SUMIFS(T:T,A:A,B26,D:D,"Y")</f>
        <v>2272.68</v>
      </c>
      <c r="F26" s="9">
        <f>SUMIF(A:A,B26,G:G)</f>
        <v>1</v>
      </c>
      <c r="G26" s="11">
        <f>SUMIF(A:A,B26,H:H)</f>
        <v>1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4</v>
      </c>
      <c r="N26" s="11">
        <f>SUMIF(A:A,B26,N:N)</f>
        <v>1</v>
      </c>
      <c r="O26" s="11">
        <f>SUMIF(A:A,B26,O:O)</f>
        <v>1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2272.68</v>
      </c>
      <c r="F28" s="24">
        <f>IFERROR((G26+R26)/F26,0)</f>
        <v>1</v>
      </c>
      <c r="G28" s="24">
        <f>IFERROR(H26/G26,0)</f>
        <v>1</v>
      </c>
      <c r="H28" s="23">
        <f>(C26/C28)</f>
        <v>284.085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4</v>
      </c>
      <c r="N28" s="25"/>
      <c r="O28" s="24">
        <f>IFERROR(O26/N26,0)</f>
        <v>1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15556</v>
      </c>
      <c r="D29" s="68"/>
      <c r="E29" s="69">
        <f>SUMIFS(T:T,A:A,B29,D:D,"Y")</f>
        <v>0</v>
      </c>
      <c r="F29" s="70">
        <f>SUMIF(A:A,B29,G:G)</f>
        <v>22</v>
      </c>
      <c r="G29" s="71">
        <f>SUMIF(A:A,B29,H:H)</f>
        <v>12</v>
      </c>
      <c r="H29" s="71">
        <f>SUMIF(A:A,B29,I:I)</f>
        <v>10</v>
      </c>
      <c r="I29" s="71">
        <f>SUMIF(A:A,B29,P:P)</f>
        <v>0</v>
      </c>
      <c r="J29" s="71">
        <f>SUMIF(A:A,B29,Q:Q)</f>
        <v>0</v>
      </c>
      <c r="K29" s="71">
        <f>SUMIF(A:A,B29,R:R)</f>
        <v>4</v>
      </c>
      <c r="L29" s="71">
        <f>SUMIF(A:A,B29,S:S)</f>
        <v>0</v>
      </c>
      <c r="M29" s="71">
        <f>SUMIF(A:A,B29,M:M)</f>
        <v>70</v>
      </c>
      <c r="N29" s="71">
        <f>SUMIF(A:A,B29,N:N)</f>
        <v>18</v>
      </c>
      <c r="O29" s="71">
        <f>SUMIF(A:A,B29,O:O)</f>
        <v>10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1555.6</v>
      </c>
      <c r="F31" s="82">
        <f>IFERROR((G29+R29)/F29,0)</f>
        <v>0.5454545455</v>
      </c>
      <c r="G31" s="82">
        <f>IFERROR(H29/G29,0)</f>
        <v>0.8333333333</v>
      </c>
      <c r="H31" s="81">
        <f>(C29/C31)</f>
        <v>864.2222222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5.833333333</v>
      </c>
      <c r="N31" s="83"/>
      <c r="O31" s="82">
        <f>IFERROR(O29/N29,0)</f>
        <v>0.5555555556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>
        <f>('Thurs (2)'!G38+Thurs!G38+'Tues '!G38+Wed!G38+Fri!G38+'Mon '!G38+'Wed (2)'!G38+Sun!G38+Sat!G38)</f>
        <v>33</v>
      </c>
      <c r="H38" s="103">
        <f>('Thurs (2)'!H38+Thurs!H38+'Tues '!H38+Wed!H38+Fri!H38+'Mon '!H38+'Wed (2)'!H38+Sun!H38+Sat!H38)</f>
        <v>12</v>
      </c>
      <c r="I38" s="103">
        <f>('Thurs (2)'!I38+Thurs!I38+'Tues '!I38+Wed!I38+Fri!I38+'Mon '!I38+'Wed (2)'!I38+Sun!I38+Sat!I38)</f>
        <v>8</v>
      </c>
      <c r="J38" s="103">
        <f>('Thurs (2)'!J38+Thurs!J38+'Tues '!J38+Wed!J38+Fri!J38+'Mon '!J38+'Wed (2)'!J38+Sun!J38+Sat!J38)</f>
        <v>1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16</v>
      </c>
      <c r="N38" s="103">
        <f>('Thurs (2)'!N38+Thurs!N38+'Tues '!N38+Wed!N38+Fri!N38+'Mon '!N38+'Wed (2)'!N38+Sun!N38+Sat!N38)</f>
        <v>4</v>
      </c>
      <c r="O38" s="103">
        <f>('Thurs (2)'!O38+Thurs!O38+'Tues '!O38+Wed!O38+Fri!O38+'Mon '!O38+'Wed (2)'!O38+Sun!O38+Sat!O38)</f>
        <v>3</v>
      </c>
      <c r="P38" s="103">
        <f>('Thurs (2)'!P38+Thurs!P38+'Tues '!P38+Wed!P38+Fri!P38+'Mon '!P38+'Wed (2)'!P38+Sun!P38+Sat!P38)</f>
        <v>8</v>
      </c>
      <c r="Q38" s="103">
        <f>('Thurs (2)'!Q38+Thurs!Q38+'Tues '!Q38+Wed!Q38+Fri!Q38+'Mon '!Q38+'Wed (2)'!Q38+Sun!Q38+Sat!Q38)</f>
        <v>5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15080</v>
      </c>
      <c r="U38" s="104">
        <f t="shared" si="2"/>
        <v>0.6666666667</v>
      </c>
      <c r="V38" s="104">
        <f t="shared" si="3"/>
        <v>0.3636363636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>
        <f>('Thurs (2)'!G39+Thurs!G39+'Tues '!G39+Wed!G39+Fri!G39+'Mon '!G39+'Wed (2)'!G39+Sun!G39+Sat!G39)</f>
        <v>4</v>
      </c>
      <c r="H39" s="103">
        <f>('Thurs (2)'!H39+Thurs!H39+'Tues '!H39+Wed!H39+Fri!H39+'Mon '!H39+'Wed (2)'!H39+Sun!H39+Sat!H39)</f>
        <v>2</v>
      </c>
      <c r="I39" s="103">
        <f>('Thurs (2)'!I39+Thurs!I39+'Tues '!I39+Wed!I39+Fri!I39+'Mon '!I39+'Wed (2)'!I39+Sun!I39+Sat!I39)</f>
        <v>1</v>
      </c>
      <c r="J39" s="103">
        <f>('Thurs (2)'!J39+Thurs!J39+'Tues '!J39+Wed!J39+Fri!J39+'Mon '!J39+'Wed (2)'!J39+Sun!J39+Sat!J39)</f>
        <v>0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0</v>
      </c>
      <c r="M39" s="103">
        <f>('Thurs (2)'!M39+Thurs!M39+'Tues '!M39+Wed!M39+Fri!M39+'Mon '!M39+'Wed (2)'!M39+Sun!M39+Sat!M39)</f>
        <v>0</v>
      </c>
      <c r="N39" s="103">
        <f>('Thurs (2)'!N39+Thurs!N39+'Tues '!N39+Wed!N39+Fri!N39+'Mon '!N39+'Wed (2)'!N39+Sun!N39+Sat!N39)</f>
        <v>0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3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0.5</v>
      </c>
      <c r="V39" s="104">
        <f t="shared" si="3"/>
        <v>0.5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>
        <f>('Thurs (2)'!G40+Thurs!G40+'Tues '!G40+Wed!G40+Fri!G40+'Mon '!G40+'Wed (2)'!G40+Sun!G40+Sat!G40)</f>
        <v>6</v>
      </c>
      <c r="H40" s="103">
        <f>('Thurs (2)'!H40+Thurs!H40+'Tues '!H40+Wed!H40+Fri!H40+'Mon '!H40+'Wed (2)'!H40+Sun!H40+Sat!H40)</f>
        <v>5</v>
      </c>
      <c r="I40" s="103">
        <f>('Thurs (2)'!I40+Thurs!I40+'Tues '!I40+Wed!I40+Fri!I40+'Mon '!I40+'Wed (2)'!I40+Sun!I40+Sat!I40)</f>
        <v>2</v>
      </c>
      <c r="J40" s="103">
        <f>('Thurs (2)'!J40+Thurs!J40+'Tues '!J40+Wed!J40+Fri!J40+'Mon '!J40+'Wed (2)'!J40+Sun!J40+Sat!J40)</f>
        <v>2</v>
      </c>
      <c r="K40" s="103">
        <f>('Thurs (2)'!K40+Thurs!K40+'Tues '!K40+Wed!K40+Fri!K40+'Mon '!K40+'Wed (2)'!K40+Sun!K40+Sat!K40)</f>
        <v>1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19</v>
      </c>
      <c r="N40" s="103">
        <f>('Thurs (2)'!N40+Thurs!N40+'Tues '!N40+Wed!N40+Fri!N40+'Mon '!N40+'Wed (2)'!N40+Sun!N40+Sat!N40)</f>
        <v>3</v>
      </c>
      <c r="O40" s="103">
        <f>('Thurs (2)'!O40+Thurs!O40+'Tues '!O40+Wed!O40+Fri!O40+'Mon '!O40+'Wed (2)'!O40+Sun!O40+Sat!O40)</f>
        <v>2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2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6094</v>
      </c>
      <c r="U40" s="104">
        <f t="shared" si="2"/>
        <v>0.4</v>
      </c>
      <c r="V40" s="104">
        <f t="shared" si="3"/>
        <v>0.8333333333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>
        <f>('Thurs (2)'!G41+Thurs!G41+'Tues '!G41+Wed!G41+Fri!G41+'Mon '!G41+'Wed (2)'!G41+Sun!G41+Sat!G41)</f>
        <v>0</v>
      </c>
      <c r="H41" s="103">
        <f>('Thurs (2)'!H41+Thurs!H41+'Tues '!H41+Wed!H41+Fri!H41+'Mon '!H41+'Wed (2)'!H41+Sun!H41+Sat!H41)</f>
        <v>0</v>
      </c>
      <c r="I41" s="103">
        <f>('Thurs (2)'!I41+Thurs!I41+'Tues '!I41+Wed!I41+Fri!I41+'Mon '!I41+'Wed (2)'!I41+Sun!I41+Sat!I41)</f>
        <v>0</v>
      </c>
      <c r="J41" s="103">
        <f>('Thurs (2)'!J41+Thurs!J41+'Tues '!J41+Wed!J41+Fri!J41+'Mon '!J41+'Wed (2)'!J41+Sun!J41+Sat!J41)</f>
        <v>0</v>
      </c>
      <c r="K41" s="103">
        <f>('Thurs (2)'!K41+Thurs!K41+'Tues '!K41+Wed!K41+Fri!K41+'Mon '!K41+'Wed (2)'!K41+Sun!K41+Sat!K41)</f>
        <v>0</v>
      </c>
      <c r="L41" s="103">
        <f>('Thurs (2)'!L41+Thurs!L41+'Tues '!L41+Wed!L41+Fri!L41+'Mon '!L41+'Wed (2)'!L41+Sun!L41+Sat!L41)</f>
        <v>0</v>
      </c>
      <c r="M41" s="103">
        <f>('Thurs (2)'!M41+Thurs!M41+'Tues '!M41+Wed!M41+Fri!M41+'Mon '!M41+'Wed (2)'!M41+Sun!M41+Sat!M41)</f>
        <v>0</v>
      </c>
      <c r="N41" s="103">
        <f>('Thurs (2)'!N41+Thurs!N41+'Tues '!N41+Wed!N41+Fri!N41+'Mon '!N41+'Wed (2)'!N41+Sun!N41+Sat!N41)</f>
        <v>0</v>
      </c>
      <c r="O41" s="103">
        <f>('Thurs (2)'!O41+Thurs!O41+'Tues '!O41+Wed!O41+Fri!O41+'Mon '!O41+'Wed (2)'!O41+Sun!O41+Sat!O41)</f>
        <v>0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0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0</v>
      </c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>
        <f>('Thurs (2)'!G42+Thurs!G42+'Tues '!G42+Wed!G42+Fri!G42+'Mon '!G42+'Wed (2)'!G42+Sun!G42+Sat!G42)</f>
        <v>5</v>
      </c>
      <c r="H42" s="103">
        <f>('Thurs (2)'!H42+Thurs!H42+'Tues '!H42+Wed!H42+Fri!H42+'Mon '!H42+'Wed (2)'!H42+Sun!H42+Sat!H42)</f>
        <v>2</v>
      </c>
      <c r="I42" s="103">
        <f>('Thurs (2)'!I42+Thurs!I42+'Tues '!I42+Wed!I42+Fri!I42+'Mon '!I42+'Wed (2)'!I42+Sun!I42+Sat!I42)</f>
        <v>1</v>
      </c>
      <c r="J42" s="103">
        <f>('Thurs (2)'!J42+Thurs!J42+'Tues '!J42+Wed!J42+Fri!J42+'Mon '!J42+'Wed (2)'!J42+Sun!J42+Sat!J42)</f>
        <v>0</v>
      </c>
      <c r="K42" s="103">
        <f>('Thurs (2)'!K42+Thurs!K42+'Tues '!K42+Wed!K42+Fri!K42+'Mon '!K42+'Wed (2)'!K42+Sun!K42+Sat!K42)</f>
        <v>0</v>
      </c>
      <c r="L42" s="103">
        <f>('Thurs (2)'!L42+Thurs!L42+'Tues '!L42+Wed!L42+Fri!L42+'Mon '!L42+'Wed (2)'!L42+Sun!L42+Sat!L42)</f>
        <v>1</v>
      </c>
      <c r="M42" s="103">
        <f>('Thurs (2)'!M42+Thurs!M42+'Tues '!M42+Wed!M42+Fri!M42+'Mon '!M42+'Wed (2)'!M42+Sun!M42+Sat!M42)</f>
        <v>21</v>
      </c>
      <c r="N42" s="103">
        <f>('Thurs (2)'!N42+Thurs!N42+'Tues '!N42+Wed!N42+Fri!N42+'Mon '!N42+'Wed (2)'!N42+Sun!N42+Sat!N42)</f>
        <v>1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1</v>
      </c>
      <c r="S42" s="103">
        <f>('Thurs (2)'!S42+Thurs!S42+'Tues '!S42+Wed!S42+Fri!S42+'Mon '!S42+'Wed (2)'!S42+Sun!S42+Sat!S42)</f>
        <v>1</v>
      </c>
      <c r="T42" s="103">
        <f>('Thurs (2)'!T42+Thurs!T42+'Tues '!T42+Wed!T42+Fri!T42+'Mon '!T42+'Wed (2)'!T42+Sun!T42+Sat!T42)</f>
        <v>1272</v>
      </c>
      <c r="U42" s="104">
        <f t="shared" si="2"/>
        <v>0.5</v>
      </c>
      <c r="V42" s="104">
        <f t="shared" si="3"/>
        <v>0.6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>
        <f>('Thurs (2)'!G43+Thurs!G43+'Tues '!G43+Wed!G43+Fri!G43+'Mon '!G43+'Wed (2)'!G43+Sun!G43+Sat!G43)</f>
        <v>6</v>
      </c>
      <c r="H43" s="103">
        <f>('Thurs (2)'!H43+Thurs!H43+'Tues '!H43+Wed!H43+Fri!H43+'Mon '!H43+'Wed (2)'!H43+Sun!H43+Sat!H43)</f>
        <v>1</v>
      </c>
      <c r="I43" s="103">
        <f>('Thurs (2)'!I43+Thurs!I43+'Tues '!I43+Wed!I43+Fri!I43+'Mon '!I43+'Wed (2)'!I43+Sun!I43+Sat!I43)</f>
        <v>0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5</v>
      </c>
      <c r="N43" s="103">
        <f>('Thurs (2)'!N43+Thurs!N43+'Tues '!N43+Wed!N43+Fri!N43+'Mon '!N43+'Wed (2)'!N43+Sun!N43+Sat!N43)</f>
        <v>0</v>
      </c>
      <c r="O43" s="103">
        <f>('Thurs (2)'!O43+Thurs!O43+'Tues '!O43+Wed!O43+Fri!O43+'Mon '!O43+'Wed (2)'!O43+Sun!O43+Sat!O43)</f>
        <v>0</v>
      </c>
      <c r="P43" s="103">
        <f>('Thurs (2)'!P43+Thurs!P43+'Tues '!P43+Wed!P43+Fri!P43+'Mon '!P43+'Wed (2)'!P43+Sun!P43+Sat!P43)</f>
        <v>0</v>
      </c>
      <c r="Q43" s="103">
        <f>('Thurs (2)'!Q43+Thurs!Q43+'Tues '!Q43+Wed!Q43+Fri!Q43+'Mon '!Q43+'Wed (2)'!Q43+Sun!Q43+Sat!Q43)</f>
        <v>0</v>
      </c>
      <c r="R43" s="103">
        <f>('Thurs (2)'!R43+Thurs!R43+'Tues '!R43+Wed!R43+Fri!R43+'Mon '!R43+'Wed (2)'!R43+Sun!R43+Sat!R43)</f>
        <v>1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0</v>
      </c>
      <c r="U43" s="104">
        <f t="shared" si="2"/>
        <v>0</v>
      </c>
      <c r="V43" s="104">
        <f t="shared" si="3"/>
        <v>0.1666666667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>
        <f>('Thurs (2)'!G44+Thurs!G44+'Tues '!G44+Wed!G44+Fri!G44+'Mon '!G44+'Wed (2)'!G44+Sun!G44+Sat!G44)</f>
        <v>0</v>
      </c>
      <c r="H44" s="103">
        <f>('Thurs (2)'!H44+Thurs!H44+'Tues '!H44+Wed!H44+Fri!H44+'Mon '!H44+'Wed (2)'!H44+Sun!H44+Sat!H44)</f>
        <v>0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0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>
        <f>('Thurs (2)'!G45+Thurs!G45+'Tues '!G45+Wed!G45+Fri!G45+'Mon '!G45+'Wed (2)'!G45+Sun!G45+Sat!G45)</f>
        <v>0</v>
      </c>
      <c r="H45" s="103">
        <f>('Thurs (2)'!H45+Thurs!H45+'Tues '!H45+Wed!H45+Fri!H45+'Mon '!H45+'Wed (2)'!H45+Sun!H45+Sat!H45)</f>
        <v>0</v>
      </c>
      <c r="I45" s="103">
        <f>('Thurs (2)'!I45+Thurs!I45+'Tues '!I45+Wed!I45+Fri!I45+'Mon '!I45+'Wed (2)'!I45+Sun!I45+Sat!I45)</f>
        <v>0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0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0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>
        <f>('Thurs (2)'!G46+Thurs!G46+'Tues '!G46+Wed!G46+Fri!G46+'Mon '!G46+'Wed (2)'!G46+Sun!G46+Sat!G46)</f>
        <v>22</v>
      </c>
      <c r="H46" s="103">
        <f>('Thurs (2)'!H46+Thurs!H46+'Tues '!H46+Wed!H46+Fri!H46+'Mon '!H46+'Wed (2)'!H46+Sun!H46+Sat!H46)</f>
        <v>10</v>
      </c>
      <c r="I46" s="103">
        <f>('Thurs (2)'!I46+Thurs!I46+'Tues '!I46+Wed!I46+Fri!I46+'Mon '!I46+'Wed (2)'!I46+Sun!I46+Sat!I46)</f>
        <v>4</v>
      </c>
      <c r="J46" s="103">
        <f>('Thurs (2)'!J46+Thurs!J46+'Tues '!J46+Wed!J46+Fri!J46+'Mon '!J46+'Wed (2)'!J46+Sun!J46+Sat!J46)</f>
        <v>5</v>
      </c>
      <c r="K46" s="103">
        <f>('Thurs (2)'!K46+Thurs!K46+'Tues '!K46+Wed!K46+Fri!K46+'Mon '!K46+'Wed (2)'!K46+Sun!K46+Sat!K46)</f>
        <v>3</v>
      </c>
      <c r="L46" s="103">
        <f>('Thurs (2)'!L46+Thurs!L46+'Tues '!L46+Wed!L46+Fri!L46+'Mon '!L46+'Wed (2)'!L46+Sun!L46+Sat!L46)</f>
        <v>2</v>
      </c>
      <c r="M46" s="103">
        <f>('Thurs (2)'!M46+Thurs!M46+'Tues '!M46+Wed!M46+Fri!M46+'Mon '!M46+'Wed (2)'!M46+Sun!M46+Sat!M46)</f>
        <v>16</v>
      </c>
      <c r="N46" s="103">
        <f>('Thurs (2)'!N46+Thurs!N46+'Tues '!N46+Wed!N46+Fri!N46+'Mon '!N46+'Wed (2)'!N46+Sun!N46+Sat!N46)</f>
        <v>5</v>
      </c>
      <c r="O46" s="103">
        <f>('Thurs (2)'!O46+Thurs!O46+'Tues '!O46+Wed!O46+Fri!O46+'Mon '!O46+'Wed (2)'!O46+Sun!O46+Sat!O46)</f>
        <v>2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6</v>
      </c>
      <c r="S46" s="103">
        <f>('Thurs (2)'!S46+Thurs!S46+'Tues '!S46+Wed!S46+Fri!S46+'Mon '!S46+'Wed (2)'!S46+Sun!S46+Sat!S46)</f>
        <v>2</v>
      </c>
      <c r="T46" s="103">
        <f>('Thurs (2)'!T46+Thurs!T46+'Tues '!T46+Wed!T46+Fri!T46+'Mon '!T46+'Wed (2)'!T46+Sun!T46+Sat!T46)</f>
        <v>6146</v>
      </c>
      <c r="U46" s="104">
        <f t="shared" si="2"/>
        <v>0.4</v>
      </c>
      <c r="V46" s="104">
        <f t="shared" si="3"/>
        <v>0.5454545455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f>('Thurs (2)'!G47+Thurs!G47+'Tues '!G47+Wed!G47+Fri!G47+'Mon '!G47+'Wed (2)'!G47+Sun!G47+Sat!G47)</f>
        <v>1</v>
      </c>
      <c r="H47" s="103">
        <f>('Thurs (2)'!H47+Thurs!H47+'Tues '!H47+Wed!H47+Fri!H47+'Mon '!H47+'Wed (2)'!H47+Sun!H47+Sat!H47)</f>
        <v>1</v>
      </c>
      <c r="I47" s="103">
        <f>('Thurs (2)'!I47+Thurs!I47+'Tues '!I47+Wed!I47+Fri!I47+'Mon '!I47+'Wed (2)'!I47+Sun!I47+Sat!I47)</f>
        <v>1</v>
      </c>
      <c r="J47" s="103">
        <f>('Thurs (2)'!J47+Thurs!J47+'Tues '!J47+Wed!J47+Fri!J47+'Mon '!J47+'Wed (2)'!J47+Sun!J47+Sat!J47)</f>
        <v>1</v>
      </c>
      <c r="K47" s="103">
        <f>('Thurs (2)'!K47+Thurs!K47+'Tues '!K47+Wed!K47+Fri!K47+'Mon '!K47+'Wed (2)'!K47+Sun!K47+Sat!K47)</f>
        <v>1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1</v>
      </c>
      <c r="N47" s="103">
        <f>('Thurs (2)'!N47+Thurs!N47+'Tues '!N47+Wed!N47+Fri!N47+'Mon '!N47+'Wed (2)'!N47+Sun!N47+Sat!N47)</f>
        <v>1</v>
      </c>
      <c r="O47" s="103">
        <f>('Thurs (2)'!O47+Thurs!O47+'Tues '!O47+Wed!O47+Fri!O47+'Mon '!O47+'Wed (2)'!O47+Sun!O47+Sat!O47)</f>
        <v>1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0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768</v>
      </c>
      <c r="U47" s="104">
        <f t="shared" si="2"/>
        <v>1</v>
      </c>
      <c r="V47" s="104">
        <f t="shared" si="3"/>
        <v>1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f>('Thurs (2)'!G48+Thurs!G48+'Tues '!G48+Wed!G48+Fri!G48+'Mon '!G48+'Wed (2)'!G48+Sun!G48+Sat!G48)</f>
        <v>0</v>
      </c>
      <c r="H48" s="103">
        <f>('Thurs (2)'!H48+Thurs!H48+'Tues '!H48+Wed!H48+Fri!H48+'Mon '!H48+'Wed (2)'!H48+Sun!H48+Sat!H48)</f>
        <v>0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0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f>('Thurs (2)'!G49+Thurs!G49+'Tues '!G49+Wed!G49+Fri!G49+'Mon '!G49+'Wed (2)'!G49+Sun!G49+Sat!G49)</f>
        <v>13</v>
      </c>
      <c r="H49" s="103">
        <f>('Thurs (2)'!H49+Thurs!H49+'Tues '!H49+Wed!H49+Fri!H49+'Mon '!H49+'Wed (2)'!H49+Sun!H49+Sat!H49)</f>
        <v>6</v>
      </c>
      <c r="I49" s="103">
        <f>('Thurs (2)'!I49+Thurs!I49+'Tues '!I49+Wed!I49+Fri!I49+'Mon '!I49+'Wed (2)'!I49+Sun!I49+Sat!I49)</f>
        <v>2</v>
      </c>
      <c r="J49" s="103">
        <f>('Thurs (2)'!J49+Thurs!J49+'Tues '!J49+Wed!J49+Fri!J49+'Mon '!J49+'Wed (2)'!J49+Sun!J49+Sat!J49)</f>
        <v>3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4</v>
      </c>
      <c r="M49" s="103">
        <f>('Thurs (2)'!M49+Thurs!M49+'Tues '!M49+Wed!M49+Fri!M49+'Mon '!M49+'Wed (2)'!M49+Sun!M49+Sat!M49)</f>
        <v>11</v>
      </c>
      <c r="N49" s="103">
        <f>('Thurs (2)'!N49+Thurs!N49+'Tues '!N49+Wed!N49+Fri!N49+'Mon '!N49+'Wed (2)'!N49+Sun!N49+Sat!N49)</f>
        <v>4</v>
      </c>
      <c r="O49" s="103">
        <f>('Thurs (2)'!O49+Thurs!O49+'Tues '!O49+Wed!O49+Fri!O49+'Mon '!O49+'Wed (2)'!O49+Sun!O49+Sat!O49)</f>
        <v>1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1</v>
      </c>
      <c r="S49" s="103">
        <f>('Thurs (2)'!S49+Thurs!S49+'Tues '!S49+Wed!S49+Fri!S49+'Mon '!S49+'Wed (2)'!S49+Sun!S49+Sat!S49)</f>
        <v>1</v>
      </c>
      <c r="T49" s="103">
        <f>('Thurs (2)'!T49+Thurs!T49+'Tues '!T49+Wed!T49+Fri!T49+'Mon '!T49+'Wed (2)'!T49+Sun!T49+Sat!T49)</f>
        <v>3498</v>
      </c>
      <c r="U49" s="104">
        <f t="shared" si="2"/>
        <v>0.3333333333</v>
      </c>
      <c r="V49" s="104">
        <f t="shared" si="3"/>
        <v>0.7692307692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f>('Thurs (2)'!G50+Thurs!G50+'Tues '!G50+Wed!G50+Fri!G50+'Mon '!G50+'Wed (2)'!G50+Sun!G50+Sat!G50)</f>
        <v>0</v>
      </c>
      <c r="H50" s="103">
        <f>('Thurs (2)'!H50+Thurs!H50+'Tues '!H50+Wed!H50+Fri!H50+'Mon '!H50+'Wed (2)'!H50+Sun!H50+Sat!H50)</f>
        <v>0</v>
      </c>
      <c r="I50" s="103">
        <f>('Thurs (2)'!I50+Thurs!I50+'Tues '!I50+Wed!I50+Fri!I50+'Mon '!I50+'Wed (2)'!I50+Sun!I50+Sat!I50)</f>
        <v>0</v>
      </c>
      <c r="J50" s="103">
        <f>('Thurs (2)'!J50+Thurs!J50+'Tues '!J50+Wed!J50+Fri!J50+'Mon '!J50+'Wed (2)'!J50+Sun!J50+Sat!J50)</f>
        <v>0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0</v>
      </c>
      <c r="N50" s="103">
        <f>('Thurs (2)'!N50+Thurs!N50+'Tues '!N50+Wed!N50+Fri!N50+'Mon '!N50+'Wed (2)'!N50+Sun!N50+Sat!N50)</f>
        <v>0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0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>
        <f>('Thurs (2)'!G53+Thurs!G53+'Tues '!G53+Wed!G53+Fri!G53+'Mon '!G53+'Wed (2)'!G53+Sun!G53+Sat!G53)</f>
        <v>0</v>
      </c>
      <c r="H53" s="103">
        <f>('Thurs (2)'!H53+Thurs!H53+'Tues '!H53+Wed!H53+Fri!H53+'Mon '!H53+'Wed (2)'!H53+Sun!H53+Sat!H53)</f>
        <v>0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0</v>
      </c>
      <c r="N53" s="103">
        <f>('Thurs (2)'!N53+Thurs!N53+'Tues '!N53+Wed!N53+Fri!N53+'Mon '!N53+'Wed (2)'!N53+Sun!N53+Sat!N53)</f>
        <v>0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>
        <f>('Thurs (2)'!G54+Thurs!G54+'Tues '!G54+Wed!G54+Fri!G54+'Mon '!G54+'Wed (2)'!G54+Sun!G54+Sat!G54)</f>
        <v>0</v>
      </c>
      <c r="H54" s="103">
        <f>('Thurs (2)'!H54+Thurs!H54+'Tues '!H54+Wed!H54+Fri!H54+'Mon '!H54+'Wed (2)'!H54+Sun!H54+Sat!H54)</f>
        <v>0</v>
      </c>
      <c r="I54" s="103">
        <f>('Thurs (2)'!I54+Thurs!I54+'Tues '!I54+Wed!I54+Fri!I54+'Mon '!I54+'Wed (2)'!I54+Sun!I54+Sat!I54)</f>
        <v>0</v>
      </c>
      <c r="J54" s="103">
        <f>('Thurs (2)'!J54+Thurs!J54+'Tues '!J54+Wed!J54+Fri!J54+'Mon '!J54+'Wed (2)'!J54+Sun!J54+Sat!J54)</f>
        <v>0</v>
      </c>
      <c r="K54" s="103">
        <f>('Thurs (2)'!K54+Thurs!K54+'Tues '!K54+Wed!K54+Fri!K54+'Mon '!K54+'Wed (2)'!K54+Sun!K54+Sat!K54)</f>
        <v>0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0</v>
      </c>
      <c r="N54" s="103">
        <f>('Thurs (2)'!N54+Thurs!N54+'Tues '!N54+Wed!N54+Fri!N54+'Mon '!N54+'Wed (2)'!N54+Sun!N54+Sat!N54)</f>
        <v>0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0</v>
      </c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>
        <f>('Thurs (2)'!G55+Thurs!G55+'Tues '!G55+Wed!G55+Fri!G55+'Mon '!G55+'Wed (2)'!G55+Sun!G55+Sat!G55)</f>
        <v>0</v>
      </c>
      <c r="H55" s="103">
        <f>('Thurs (2)'!H55+Thurs!H55+'Tues '!H55+Wed!H55+Fri!H55+'Mon '!H55+'Wed (2)'!H55+Sun!H55+Sat!H55)</f>
        <v>0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0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0</v>
      </c>
      <c r="N55" s="103">
        <f>('Thurs (2)'!N55+Thurs!N55+'Tues '!N55+Wed!N55+Fri!N55+'Mon '!N55+'Wed (2)'!N55+Sun!N55+Sat!N55)</f>
        <v>0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0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>
        <f>('Thurs (2)'!G56+Thurs!G56+'Tues '!G56+Wed!G56+Fri!G56+'Mon '!G56+'Wed (2)'!G56+Sun!G56+Sat!G56)</f>
        <v>0</v>
      </c>
      <c r="H56" s="103">
        <f>('Thurs (2)'!H56+Thurs!H56+'Tues '!H56+Wed!H56+Fri!H56+'Mon '!H56+'Wed (2)'!H56+Sun!H56+Sat!H56)</f>
        <v>0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0</v>
      </c>
      <c r="M56" s="103">
        <f>('Thurs (2)'!M56+Thurs!M56+'Tues '!M56+Wed!M56+Fri!M56+'Mon '!M56+'Wed (2)'!M56+Sun!M56+Sat!M56)</f>
        <v>0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0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>
        <f>('Thurs (2)'!G57+Thurs!G57+'Tues '!G57+Wed!G57+Fri!G57+'Mon '!G57+'Wed (2)'!G57+Sun!G57+Sat!G57)</f>
        <v>0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0</v>
      </c>
      <c r="M57" s="103">
        <f>('Thurs (2)'!M57+Thurs!M57+'Tues '!M57+Wed!M57+Fri!M57+'Mon '!M57+'Wed (2)'!M57+Sun!M57+Sat!M57)</f>
        <v>0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>
        <f>('Thurs (2)'!G58+Thurs!G58+'Tues '!G58+Wed!G58+Fri!G58+'Mon '!G58+'Wed (2)'!G58+Sun!G58+Sat!G58)</f>
        <v>0</v>
      </c>
      <c r="H58" s="103">
        <f>('Thurs (2)'!H58+Thurs!H58+'Tues '!H58+Wed!H58+Fri!H58+'Mon '!H58+'Wed (2)'!H58+Sun!H58+Sat!H58)</f>
        <v>0</v>
      </c>
      <c r="I58" s="103">
        <f>('Thurs (2)'!I58+Thurs!I58+'Tues '!I58+Wed!I58+Fri!I58+'Mon '!I58+'Wed (2)'!I58+Sun!I58+Sat!I58)</f>
        <v>0</v>
      </c>
      <c r="J58" s="103">
        <f>('Thurs (2)'!J58+Thurs!J58+'Tues '!J58+Wed!J58+Fri!J58+'Mon '!J58+'Wed (2)'!J58+Sun!J58+Sat!J58)</f>
        <v>0</v>
      </c>
      <c r="K58" s="103">
        <f>('Thurs (2)'!K58+Thurs!K58+'Tues '!K58+Wed!K58+Fri!K58+'Mon '!K58+'Wed (2)'!K58+Sun!K58+Sat!K58)</f>
        <v>0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0</v>
      </c>
      <c r="N58" s="103">
        <f>('Thurs (2)'!N58+Thurs!N58+'Tues '!N58+Wed!N58+Fri!N58+'Mon '!N58+'Wed (2)'!N58+Sun!N58+Sat!N58)</f>
        <v>0</v>
      </c>
      <c r="O58" s="103">
        <f>('Thurs (2)'!O58+Thurs!O58+'Tues '!O58+Wed!O58+Fri!O58+'Mon '!O58+'Wed (2)'!O58+Sun!O58+Sat!O58)</f>
        <v>0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03">
        <f>('Thurs (2)'!G59+Thurs!G59+'Tues '!G59+Wed!G59+Fri!G59+'Mon '!G59+'Wed (2)'!G59+Sun!G59+Sat!G59)</f>
        <v>18</v>
      </c>
      <c r="H59" s="103">
        <f>('Thurs (2)'!H59+Thurs!H59+'Tues '!H59+Wed!H59+Fri!H59+'Mon '!H59+'Wed (2)'!H59+Sun!H59+Sat!H59)</f>
        <v>3</v>
      </c>
      <c r="I59" s="103">
        <f>('Thurs (2)'!I59+Thurs!I59+'Tues '!I59+Wed!I59+Fri!I59+'Mon '!I59+'Wed (2)'!I59+Sun!I59+Sat!I59)</f>
        <v>2</v>
      </c>
      <c r="J59" s="103">
        <f>('Thurs (2)'!J59+Thurs!J59+'Tues '!J59+Wed!J59+Fri!J59+'Mon '!J59+'Wed (2)'!J59+Sun!J59+Sat!J59)</f>
        <v>3</v>
      </c>
      <c r="K59" s="103">
        <f>('Thurs (2)'!K59+Thurs!K59+'Tues '!K59+Wed!K59+Fri!K59+'Mon '!K59+'Wed (2)'!K59+Sun!K59+Sat!K59)</f>
        <v>2</v>
      </c>
      <c r="L59" s="103">
        <f>('Thurs (2)'!L59+Thurs!L59+'Tues '!L59+Wed!L59+Fri!L59+'Mon '!L59+'Wed (2)'!L59+Sun!L59+Sat!L59)</f>
        <v>1</v>
      </c>
      <c r="M59" s="103">
        <f>('Thurs (2)'!M59+Thurs!M59+'Tues '!M59+Wed!M59+Fri!M59+'Mon '!M59+'Wed (2)'!M59+Sun!M59+Sat!M59)</f>
        <v>14</v>
      </c>
      <c r="N59" s="103">
        <f>('Thurs (2)'!N59+Thurs!N59+'Tues '!N59+Wed!N59+Fri!N59+'Mon '!N59+'Wed (2)'!N59+Sun!N59+Sat!N59)</f>
        <v>2</v>
      </c>
      <c r="O59" s="103">
        <f>('Thurs (2)'!O59+Thurs!O59+'Tues '!O59+Wed!O59+Fri!O59+'Mon '!O59+'Wed (2)'!O59+Sun!O59+Sat!O59)</f>
        <v>2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2384</v>
      </c>
      <c r="U59" s="104">
        <f t="shared" si="2"/>
        <v>0.6666666667</v>
      </c>
      <c r="V59" s="104">
        <f t="shared" si="3"/>
        <v>0.2222222222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03">
        <f>('Thurs (2)'!G60+Thurs!G60+'Tues '!G60+Wed!G60+Fri!G60+'Mon '!G60+'Wed (2)'!G60+Sun!G60+Sat!G60)</f>
        <v>19</v>
      </c>
      <c r="H60" s="103">
        <f>('Thurs (2)'!H60+Thurs!H60+'Tues '!H60+Wed!H60+Fri!H60+'Mon '!H60+'Wed (2)'!H60+Sun!H60+Sat!H60)</f>
        <v>3</v>
      </c>
      <c r="I60" s="103">
        <f>('Thurs (2)'!I60+Thurs!I60+'Tues '!I60+Wed!I60+Fri!I60+'Mon '!I60+'Wed (2)'!I60+Sun!I60+Sat!I60)</f>
        <v>3</v>
      </c>
      <c r="J60" s="103">
        <f>('Thurs (2)'!J60+Thurs!J60+'Tues '!J60+Wed!J60+Fri!J60+'Mon '!J60+'Wed (2)'!J60+Sun!J60+Sat!J60)</f>
        <v>1</v>
      </c>
      <c r="K60" s="103">
        <f>('Thurs (2)'!K60+Thurs!K60+'Tues '!K60+Wed!K60+Fri!K60+'Mon '!K60+'Wed (2)'!K60+Sun!K60+Sat!K60)</f>
        <v>0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8</v>
      </c>
      <c r="N60" s="103">
        <f>('Thurs (2)'!N60+Thurs!N60+'Tues '!N60+Wed!N60+Fri!N60+'Mon '!N60+'Wed (2)'!N60+Sun!N60+Sat!N60)</f>
        <v>14</v>
      </c>
      <c r="O60" s="103">
        <f>('Thurs (2)'!O60+Thurs!O60+'Tues '!O60+Wed!O60+Fri!O60+'Mon '!O60+'Wed (2)'!O60+Sun!O60+Sat!O60)</f>
        <v>2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0</v>
      </c>
      <c r="S60" s="103">
        <f>('Thurs (2)'!S60+Thurs!S60+'Tues '!S60+Wed!S60+Fri!S60+'Mon '!S60+'Wed (2)'!S60+Sun!S60+Sat!S60)</f>
        <v>0</v>
      </c>
      <c r="T60" s="103">
        <f>('Thurs (2)'!T60+Thurs!T60+'Tues '!T60+Wed!T60+Fri!T60+'Mon '!T60+'Wed (2)'!T60+Sun!T60+Sat!T60)</f>
        <v>2560</v>
      </c>
      <c r="U60" s="104">
        <f t="shared" si="2"/>
        <v>1</v>
      </c>
      <c r="V60" s="104">
        <f t="shared" si="3"/>
        <v>0.1578947368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03">
        <f>('Thurs (2)'!G61+Thurs!G61+'Tues '!G61+Wed!G61+Fri!G61+'Mon '!G61+'Wed (2)'!G61+Sun!G61+Sat!G61)</f>
        <v>9</v>
      </c>
      <c r="H61" s="103">
        <f>('Thurs (2)'!H61+Thurs!H61+'Tues '!H61+Wed!H61+Fri!H61+'Mon '!H61+'Wed (2)'!H61+Sun!H61+Sat!H61)</f>
        <v>4</v>
      </c>
      <c r="I61" s="103">
        <f>('Thurs (2)'!I61+Thurs!I61+'Tues '!I61+Wed!I61+Fri!I61+'Mon '!I61+'Wed (2)'!I61+Sun!I61+Sat!I61)</f>
        <v>3</v>
      </c>
      <c r="J61" s="103">
        <f>('Thurs (2)'!J61+Thurs!J61+'Tues '!J61+Wed!J61+Fri!J61+'Mon '!J61+'Wed (2)'!J61+Sun!J61+Sat!J61)</f>
        <v>2</v>
      </c>
      <c r="K61" s="103">
        <f>('Thurs (2)'!K61+Thurs!K61+'Tues '!K61+Wed!K61+Fri!K61+'Mon '!K61+'Wed (2)'!K61+Sun!K61+Sat!K61)</f>
        <v>2</v>
      </c>
      <c r="L61" s="103">
        <f>('Thurs (2)'!L61+Thurs!L61+'Tues '!L61+Wed!L61+Fri!L61+'Mon '!L61+'Wed (2)'!L61+Sun!L61+Sat!L61)</f>
        <v>0</v>
      </c>
      <c r="M61" s="103">
        <f>('Thurs (2)'!M61+Thurs!M61+'Tues '!M61+Wed!M61+Fri!M61+'Mon '!M61+'Wed (2)'!M61+Sun!M61+Sat!M61)</f>
        <v>23</v>
      </c>
      <c r="N61" s="103">
        <f>('Thurs (2)'!N61+Thurs!N61+'Tues '!N61+Wed!N61+Fri!N61+'Mon '!N61+'Wed (2)'!N61+Sun!N61+Sat!N61)</f>
        <v>1</v>
      </c>
      <c r="O61" s="103">
        <f>('Thurs (2)'!O61+Thurs!O61+'Tues '!O61+Wed!O61+Fri!O61+'Mon '!O61+'Wed (2)'!O61+Sun!O61+Sat!O61)</f>
        <v>1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3</v>
      </c>
      <c r="S61" s="103">
        <f>('Thurs (2)'!S61+Thurs!S61+'Tues '!S61+Wed!S61+Fri!S61+'Mon '!S61+'Wed (2)'!S61+Sun!S61+Sat!S61)</f>
        <v>2</v>
      </c>
      <c r="T61" s="103">
        <f>('Thurs (2)'!T61+Thurs!T61+'Tues '!T61+Wed!T61+Fri!T61+'Mon '!T61+'Wed (2)'!T61+Sun!T61+Sat!T61)</f>
        <v>5820.68</v>
      </c>
      <c r="U61" s="104">
        <f t="shared" si="2"/>
        <v>0.75</v>
      </c>
      <c r="V61" s="104">
        <f t="shared" si="3"/>
        <v>0.4444444444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>
        <f>('Thurs (2)'!G62+Thurs!G62+'Tues '!G62+Wed!G62+Fri!G62+'Mon '!G62+'Wed (2)'!G62+Sun!G62+Sat!G62)</f>
        <v>0</v>
      </c>
      <c r="H62" s="103">
        <f>('Thurs (2)'!H62+Thurs!H62+'Tues '!H62+Wed!H62+Fri!H62+'Mon '!H62+'Wed (2)'!H62+Sun!H62+Sat!H62)</f>
        <v>0</v>
      </c>
      <c r="I62" s="103">
        <f>('Thurs (2)'!I62+Thurs!I62+'Tues '!I62+Wed!I62+Fri!I62+'Mon '!I62+'Wed (2)'!I62+Sun!I62+Sat!I62)</f>
        <v>0</v>
      </c>
      <c r="J62" s="103">
        <f>('Thurs (2)'!J62+Thurs!J62+'Tues '!J62+Wed!J62+Fri!J62+'Mon '!J62+'Wed (2)'!J62+Sun!J62+Sat!J62)</f>
        <v>0</v>
      </c>
      <c r="K62" s="103">
        <f>('Thurs (2)'!K62+Thurs!K62+'Tues '!K62+Wed!K62+Fri!K62+'Mon '!K62+'Wed (2)'!K62+Sun!K62+Sat!K62)</f>
        <v>0</v>
      </c>
      <c r="L62" s="103">
        <f>('Thurs (2)'!L62+Thurs!L62+'Tues '!L62+Wed!L62+Fri!L62+'Mon '!L62+'Wed (2)'!L62+Sun!L62+Sat!L62)</f>
        <v>0</v>
      </c>
      <c r="M62" s="103">
        <f>('Thurs (2)'!M62+Thurs!M62+'Tues '!M62+Wed!M62+Fri!M62+'Mon '!M62+'Wed (2)'!M62+Sun!M62+Sat!M62)</f>
        <v>0</v>
      </c>
      <c r="N62" s="103">
        <f>('Thurs (2)'!N62+Thurs!N62+'Tues '!N62+Wed!N62+Fri!N62+'Mon '!N62+'Wed (2)'!N62+Sun!N62+Sat!N62)</f>
        <v>0</v>
      </c>
      <c r="O62" s="103">
        <f>('Thurs (2)'!O62+Thurs!O62+'Tues '!O62+Wed!O62+Fri!O62+'Mon '!O62+'Wed (2)'!O62+Sun!O62+Sat!O62)</f>
        <v>0</v>
      </c>
      <c r="P62" s="103">
        <f>('Thurs (2)'!P62+Thurs!P62+'Tues '!P62+Wed!P62+Fri!P62+'Mon '!P62+'Wed (2)'!P62+Sun!P62+Sat!P62)</f>
        <v>0</v>
      </c>
      <c r="Q62" s="103">
        <f>('Thurs (2)'!Q62+Thurs!Q62+'Tues '!Q62+Wed!Q62+Fri!Q62+'Mon '!Q62+'Wed (2)'!Q62+Sun!Q62+Sat!Q62)</f>
        <v>0</v>
      </c>
      <c r="R62" s="103">
        <f>('Thurs (2)'!R62+Thurs!R62+'Tues '!R62+Wed!R62+Fri!R62+'Mon '!R62+'Wed (2)'!R62+Sun!R62+Sat!R62)</f>
        <v>0</v>
      </c>
      <c r="S62" s="103">
        <f>('Thurs (2)'!S62+Thurs!S62+'Tues '!S62+Wed!S62+Fri!S62+'Mon '!S62+'Wed (2)'!S62+Sun!S62+Sat!S62)</f>
        <v>0</v>
      </c>
      <c r="T62" s="103">
        <f>('Thurs (2)'!T62+Thurs!T62+'Tues '!T62+Wed!T62+Fri!T62+'Mon '!T62+'Wed (2)'!T62+Sun!T62+Sat!T62)</f>
        <v>0</v>
      </c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>
        <f>('Thurs (2)'!G64+Thurs!G64+'Tues '!G64+Wed!G64+Fri!G64+'Mon '!G64+'Wed (2)'!G64+Sun!G64+Sat!G64)</f>
        <v>0</v>
      </c>
      <c r="H64" s="103">
        <f>('Thurs (2)'!H64+Thurs!H64+'Tues '!H64+Wed!H64+Fri!H64+'Mon '!H64+'Wed (2)'!H64+Sun!H64+Sat!H64)</f>
        <v>0</v>
      </c>
      <c r="I64" s="103">
        <f>('Thurs (2)'!I64+Thurs!I64+'Tues '!I64+Wed!I64+Fri!I64+'Mon '!I64+'Wed (2)'!I64+Sun!I64+Sat!I64)</f>
        <v>0</v>
      </c>
      <c r="J64" s="103">
        <f>('Thurs (2)'!J64+Thurs!J64+'Tues '!J64+Wed!J64+Fri!J64+'Mon '!J64+'Wed (2)'!J64+Sun!J64+Sat!J64)</f>
        <v>0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0</v>
      </c>
      <c r="N64" s="103">
        <f>('Thurs (2)'!N64+Thurs!N64+'Tues '!N64+Wed!N64+Fri!N64+'Mon '!N64+'Wed (2)'!N64+Sun!N64+Sat!N64)</f>
        <v>0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0</v>
      </c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03">
        <f>('Thurs (2)'!G65+Thurs!G65+'Tues '!G65+Wed!G65+Fri!G65+'Mon '!G65+'Wed (2)'!G65+Sun!G65+Sat!G65)</f>
        <v>3</v>
      </c>
      <c r="H65" s="103">
        <f>('Thurs (2)'!H65+Thurs!H65+'Tues '!H65+Wed!H65+Fri!H65+'Mon '!H65+'Wed (2)'!H65+Sun!H65+Sat!H65)</f>
        <v>2</v>
      </c>
      <c r="I65" s="103">
        <f>('Thurs (2)'!I65+Thurs!I65+'Tues '!I65+Wed!I65+Fri!I65+'Mon '!I65+'Wed (2)'!I65+Sun!I65+Sat!I65)</f>
        <v>1</v>
      </c>
      <c r="J65" s="103">
        <f>('Thurs (2)'!J65+Thurs!J65+'Tues '!J65+Wed!J65+Fri!J65+'Mon '!J65+'Wed (2)'!J65+Sun!J65+Sat!J65)</f>
        <v>3</v>
      </c>
      <c r="K65" s="103">
        <f>('Thurs (2)'!K65+Thurs!K65+'Tues '!K65+Wed!K65+Fri!K65+'Mon '!K65+'Wed (2)'!K65+Sun!K65+Sat!K65)</f>
        <v>1</v>
      </c>
      <c r="L65" s="103">
        <f>('Thurs (2)'!L65+Thurs!L65+'Tues '!L65+Wed!L65+Fri!L65+'Mon '!L65+'Wed (2)'!L65+Sun!L65+Sat!L65)</f>
        <v>1</v>
      </c>
      <c r="M65" s="103">
        <f>('Thurs (2)'!M65+Thurs!M65+'Tues '!M65+Wed!M65+Fri!M65+'Mon '!M65+'Wed (2)'!M65+Sun!M65+Sat!M65)</f>
        <v>6</v>
      </c>
      <c r="N65" s="103">
        <f>('Thurs (2)'!N65+Thurs!N65+'Tues '!N65+Wed!N65+Fri!N65+'Mon '!N65+'Wed (2)'!N65+Sun!N65+Sat!N65)</f>
        <v>2</v>
      </c>
      <c r="O65" s="103">
        <f>('Thurs (2)'!O65+Thurs!O65+'Tues '!O65+Wed!O65+Fri!O65+'Mon '!O65+'Wed (2)'!O65+Sun!O65+Sat!O65)</f>
        <v>1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984</v>
      </c>
      <c r="U65" s="142">
        <f t="shared" si="4"/>
        <v>0.5</v>
      </c>
      <c r="V65" s="142">
        <f t="shared" si="5"/>
        <v>1</v>
      </c>
      <c r="W65" s="143"/>
    </row>
    <row r="66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03">
        <f>('Thurs (2)'!G66+Thurs!G66+'Tues '!G66+Wed!G66+Fri!G66+'Mon '!G66+'Wed (2)'!G66+Sun!G66+Sat!G66)</f>
        <v>1</v>
      </c>
      <c r="H66" s="103">
        <f>('Thurs (2)'!H66+Thurs!H66+'Tues '!H66+Wed!H66+Fri!H66+'Mon '!H66+'Wed (2)'!H66+Sun!H66+Sat!H66)</f>
        <v>1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1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2</v>
      </c>
      <c r="N66" s="103">
        <f>('Thurs (2)'!N66+Thurs!N66+'Tues '!N66+Wed!N66+Fri!N66+'Mon '!N66+'Wed (2)'!N66+Sun!N66+Sat!N66)</f>
        <v>1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42">
        <f t="shared" si="4"/>
        <v>0</v>
      </c>
      <c r="V66" s="142">
        <f t="shared" si="5"/>
        <v>1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03">
        <f>('Thurs (2)'!G67+Thurs!G67+'Tues '!G67+Wed!G67+Fri!G67+'Mon '!G67+'Wed (2)'!G67+Sun!G67+Sat!G67)</f>
        <v>3</v>
      </c>
      <c r="H67" s="103">
        <f>('Thurs (2)'!H67+Thurs!H67+'Tues '!H67+Wed!H67+Fri!H67+'Mon '!H67+'Wed (2)'!H67+Sun!H67+Sat!H67)</f>
        <v>5</v>
      </c>
      <c r="I67" s="103">
        <f>('Thurs (2)'!I67+Thurs!I67+'Tues '!I67+Wed!I67+Fri!I67+'Mon '!I67+'Wed (2)'!I67+Sun!I67+Sat!I67)</f>
        <v>3</v>
      </c>
      <c r="J67" s="103">
        <f>('Thurs (2)'!J67+Thurs!J67+'Tues '!J67+Wed!J67+Fri!J67+'Mon '!J67+'Wed (2)'!J67+Sun!J67+Sat!J67)</f>
        <v>5</v>
      </c>
      <c r="K67" s="103">
        <f>('Thurs (2)'!K67+Thurs!K67+'Tues '!K67+Wed!K67+Fri!K67+'Mon '!K67+'Wed (2)'!K67+Sun!K67+Sat!K67)</f>
        <v>3</v>
      </c>
      <c r="L67" s="103">
        <f>('Thurs (2)'!L67+Thurs!L67+'Tues '!L67+Wed!L67+Fri!L67+'Mon '!L67+'Wed (2)'!L67+Sun!L67+Sat!L67)</f>
        <v>0</v>
      </c>
      <c r="M67" s="103">
        <f>('Thurs (2)'!M67+Thurs!M67+'Tues '!M67+Wed!M67+Fri!M67+'Mon '!M67+'Wed (2)'!M67+Sun!M67+Sat!M67)</f>
        <v>27</v>
      </c>
      <c r="N67" s="103">
        <f>('Thurs (2)'!N67+Thurs!N67+'Tues '!N67+Wed!N67+Fri!N67+'Mon '!N67+'Wed (2)'!N67+Sun!N67+Sat!N67)</f>
        <v>3</v>
      </c>
      <c r="O67" s="103">
        <f>('Thurs (2)'!O67+Thurs!O67+'Tues '!O67+Wed!O67+Fri!O67+'Mon '!O67+'Wed (2)'!O67+Sun!O67+Sat!O67)</f>
        <v>1</v>
      </c>
      <c r="P67" s="103">
        <f>('Thurs (2)'!P67+Thurs!P67+'Tues '!P67+Wed!P67+Fri!P67+'Mon '!P67+'Wed (2)'!P67+Sun!P67+Sat!P67)</f>
        <v>0</v>
      </c>
      <c r="Q67" s="103">
        <f>('Thurs (2)'!Q67+Thurs!Q67+'Tues '!Q67+Wed!Q67+Fri!Q67+'Mon '!Q67+'Wed (2)'!Q67+Sun!Q67+Sat!Q67)</f>
        <v>0</v>
      </c>
      <c r="R67" s="103">
        <f>('Thurs (2)'!R67+Thurs!R67+'Tues '!R67+Wed!R67+Fri!R67+'Mon '!R67+'Wed (2)'!R67+Sun!R67+Sat!R67)</f>
        <v>2</v>
      </c>
      <c r="S67" s="103">
        <f>('Thurs (2)'!S67+Thurs!S67+'Tues '!S67+Wed!S67+Fri!S67+'Mon '!S67+'Wed (2)'!S67+Sun!S67+Sat!S67)</f>
        <v>2</v>
      </c>
      <c r="T67" s="103">
        <f>('Thurs (2)'!T67+Thurs!T67+'Tues '!T67+Wed!T67+Fri!T67+'Mon '!T67+'Wed (2)'!T67+Sun!T67+Sat!T67)</f>
        <v>6790</v>
      </c>
      <c r="U67" s="142">
        <f t="shared" si="4"/>
        <v>0.6</v>
      </c>
      <c r="V67" s="142">
        <f t="shared" si="5"/>
        <v>1.666666667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03">
        <f>('Thurs (2)'!G68+Thurs!G68+'Tues '!G68+Wed!G68+Fri!G68+'Mon '!G68+'Wed (2)'!G68+Sun!G68+Sat!G68)</f>
        <v>1</v>
      </c>
      <c r="H68" s="103">
        <f>('Thurs (2)'!H68+Thurs!H68+'Tues '!H68+Wed!H68+Fri!H68+'Mon '!H68+'Wed (2)'!H68+Sun!H68+Sat!H68)</f>
        <v>1</v>
      </c>
      <c r="I68" s="103">
        <f>('Thurs (2)'!I68+Thurs!I68+'Tues '!I68+Wed!I68+Fri!I68+'Mon '!I68+'Wed (2)'!I68+Sun!I68+Sat!I68)</f>
        <v>0</v>
      </c>
      <c r="J68" s="103">
        <f>('Thurs (2)'!J68+Thurs!J68+'Tues '!J68+Wed!J68+Fri!J68+'Mon '!J68+'Wed (2)'!J68+Sun!J68+Sat!J68)</f>
        <v>1</v>
      </c>
      <c r="K68" s="103">
        <f>('Thurs (2)'!K68+Thurs!K68+'Tues '!K68+Wed!K68+Fri!K68+'Mon '!K68+'Wed (2)'!K68+Sun!K68+Sat!K68)</f>
        <v>0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3</v>
      </c>
      <c r="N68" s="103">
        <f>('Thurs (2)'!N68+Thurs!N68+'Tues '!N68+Wed!N68+Fri!N68+'Mon '!N68+'Wed (2)'!N68+Sun!N68+Sat!N68)</f>
        <v>1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0</v>
      </c>
      <c r="S68" s="103">
        <f>('Thurs (2)'!S68+Thurs!S68+'Tues '!S68+Wed!S68+Fri!S68+'Mon '!S68+'Wed (2)'!S68+Sun!S68+Sat!S68)</f>
        <v>0</v>
      </c>
      <c r="T68" s="103">
        <f>('Thurs (2)'!T68+Thurs!T68+'Tues '!T68+Wed!T68+Fri!T68+'Mon '!T68+'Wed (2)'!T68+Sun!T68+Sat!T68)</f>
        <v>0</v>
      </c>
      <c r="U68" s="142">
        <f t="shared" si="4"/>
        <v>0</v>
      </c>
      <c r="V68" s="142">
        <f t="shared" si="5"/>
        <v>1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>
        <f>('Thurs (2)'!G69+Thurs!G69+'Tues '!G69+Wed!G69+Fri!G69+'Mon '!G69+'Wed (2)'!G69+Sun!G69+Sat!G69)</f>
        <v>5</v>
      </c>
      <c r="H69" s="103">
        <f>('Thurs (2)'!H69+Thurs!H69+'Tues '!H69+Wed!H69+Fri!H69+'Mon '!H69+'Wed (2)'!H69+Sun!H69+Sat!H69)</f>
        <v>1</v>
      </c>
      <c r="I69" s="103">
        <f>('Thurs (2)'!I69+Thurs!I69+'Tues '!I69+Wed!I69+Fri!I69+'Mon '!I69+'Wed (2)'!I69+Sun!I69+Sat!I69)</f>
        <v>0</v>
      </c>
      <c r="J69" s="103">
        <f>('Thurs (2)'!J69+Thurs!J69+'Tues '!J69+Wed!J69+Fri!J69+'Mon '!J69+'Wed (2)'!J69+Sun!J69+Sat!J69)</f>
        <v>2</v>
      </c>
      <c r="K69" s="103">
        <f>('Thurs (2)'!K69+Thurs!K69+'Tues '!K69+Wed!K69+Fri!K69+'Mon '!K69+'Wed (2)'!K69+Sun!K69+Sat!K69)</f>
        <v>0</v>
      </c>
      <c r="L69" s="103">
        <f>('Thurs (2)'!L69+Thurs!L69+'Tues '!L69+Wed!L69+Fri!L69+'Mon '!L69+'Wed (2)'!L69+Sun!L69+Sat!L69)</f>
        <v>0</v>
      </c>
      <c r="M69" s="103">
        <f>('Thurs (2)'!M69+Thurs!M69+'Tues '!M69+Wed!M69+Fri!M69+'Mon '!M69+'Wed (2)'!M69+Sun!M69+Sat!M69)</f>
        <v>3</v>
      </c>
      <c r="N69" s="103">
        <f>('Thurs (2)'!N69+Thurs!N69+'Tues '!N69+Wed!N69+Fri!N69+'Mon '!N69+'Wed (2)'!N69+Sun!N69+Sat!N69)</f>
        <v>0</v>
      </c>
      <c r="O69" s="103">
        <f>('Thurs (2)'!O69+Thurs!O69+'Tues '!O69+Wed!O69+Fri!O69+'Mon '!O69+'Wed (2)'!O69+Sun!O69+Sat!O69)</f>
        <v>0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0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0</v>
      </c>
      <c r="U69" s="142">
        <f t="shared" si="4"/>
        <v>0</v>
      </c>
      <c r="V69" s="142">
        <f t="shared" si="5"/>
        <v>0.2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>
        <f>('Thurs (2)'!G71+Thurs!G71+'Tues '!G71+Wed!G71+Fri!G71+'Mon '!G71+'Wed (2)'!G71+Sun!G71+Sat!G71)</f>
        <v>2</v>
      </c>
      <c r="H71" s="103">
        <f>('Thurs (2)'!H71+Thurs!H71+'Tues '!H71+Wed!H71+Fri!H71+'Mon '!H71+'Wed (2)'!H71+Sun!H71+Sat!H71)</f>
        <v>2</v>
      </c>
      <c r="I71" s="103">
        <f>('Thurs (2)'!I71+Thurs!I71+'Tues '!I71+Wed!I71+Fri!I71+'Mon '!I71+'Wed (2)'!I71+Sun!I71+Sat!I71)</f>
        <v>2</v>
      </c>
      <c r="J71" s="103">
        <f>('Thurs (2)'!J71+Thurs!J71+'Tues '!J71+Wed!J71+Fri!J71+'Mon '!J71+'Wed (2)'!J71+Sun!J71+Sat!J71)</f>
        <v>2</v>
      </c>
      <c r="K71" s="103">
        <f>('Thurs (2)'!K71+Thurs!K71+'Tues '!K71+Wed!K71+Fri!K71+'Mon '!K71+'Wed (2)'!K71+Sun!K71+Sat!K71)</f>
        <v>2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5</v>
      </c>
      <c r="N71" s="103">
        <f>('Thurs (2)'!N71+Thurs!N71+'Tues '!N71+Wed!N71+Fri!N71+'Mon '!N71+'Wed (2)'!N71+Sun!N71+Sat!N71)</f>
        <v>2</v>
      </c>
      <c r="O71" s="103">
        <f>('Thurs (2)'!O71+Thurs!O71+'Tues '!O71+Wed!O71+Fri!O71+'Mon '!O71+'Wed (2)'!O71+Sun!O71+Sat!O71)</f>
        <v>2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2978</v>
      </c>
      <c r="U71" s="104">
        <f t="shared" ref="U71:U79" si="6">IFERROR(I71/H71,0)</f>
        <v>1</v>
      </c>
      <c r="V71" s="104">
        <f t="shared" ref="V71:V79" si="7">IFERROR(SUM(H71+L71)/G71,0)</f>
        <v>1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>
        <f>('Thurs (2)'!G74+Thurs!G74+'Tues '!G74+Wed!G74+Fri!G74+'Mon '!G74+'Wed (2)'!G74+Sun!G74+Sat!G74)</f>
        <v>0</v>
      </c>
      <c r="H74" s="103">
        <f>('Thurs (2)'!H74+Thurs!H74+'Tues '!H74+Wed!H74+Fri!H74+'Mon '!H74+'Wed (2)'!H74+Sun!H74+Sat!H74)</f>
        <v>0</v>
      </c>
      <c r="I74" s="103">
        <f>('Thurs (2)'!I74+Thurs!I74+'Tues '!I74+Wed!I74+Fri!I74+'Mon '!I74+'Wed (2)'!I74+Sun!I74+Sat!I74)</f>
        <v>0</v>
      </c>
      <c r="J74" s="103">
        <f>('Thurs (2)'!J74+Thurs!J74+'Tues '!J74+Wed!J74+Fri!J74+'Mon '!J74+'Wed (2)'!J74+Sun!J74+Sat!J74)</f>
        <v>0</v>
      </c>
      <c r="K74" s="103">
        <f>('Thurs (2)'!K74+Thurs!K74+'Tues '!K74+Wed!K74+Fri!K74+'Mon '!K74+'Wed (2)'!K74+Sun!K74+Sat!K74)</f>
        <v>0</v>
      </c>
      <c r="L74" s="103">
        <f>('Thurs (2)'!L74+Thurs!L74+'Tues '!L74+Wed!L74+Fri!L74+'Mon '!L74+'Wed (2)'!L74+Sun!L74+Sat!L74)</f>
        <v>0</v>
      </c>
      <c r="M74" s="103">
        <f>('Thurs (2)'!M74+Thurs!M74+'Tues '!M74+Wed!M74+Fri!M74+'Mon '!M74+'Wed (2)'!M74+Sun!M74+Sat!M74)</f>
        <v>0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0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>
        <f>('Thurs (2)'!G75+Thurs!G75+'Tues '!G75+Wed!G75+Fri!G75+'Mon '!G75+'Wed (2)'!G75+Sun!G75+Sat!G75)</f>
        <v>0</v>
      </c>
      <c r="H75" s="103">
        <f>('Thurs (2)'!H75+Thurs!H75+'Tues '!H75+Wed!H75+Fri!H75+'Mon '!H75+'Wed (2)'!H75+Sun!H75+Sat!H75)</f>
        <v>0</v>
      </c>
      <c r="I75" s="103">
        <f>('Thurs (2)'!I75+Thurs!I75+'Tues '!I75+Wed!I75+Fri!I75+'Mon '!I75+'Wed (2)'!I75+Sun!I75+Sat!I75)</f>
        <v>0</v>
      </c>
      <c r="J75" s="103">
        <f>('Thurs (2)'!J75+Thurs!J75+'Tues '!J75+Wed!J75+Fri!J75+'Mon '!J75+'Wed (2)'!J75+Sun!J75+Sat!J75)</f>
        <v>0</v>
      </c>
      <c r="K75" s="103">
        <f>('Thurs (2)'!K75+Thurs!K75+'Tues '!K75+Wed!K75+Fri!K75+'Mon '!K75+'Wed (2)'!K75+Sun!K75+Sat!K75)</f>
        <v>0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0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0</v>
      </c>
      <c r="S75" s="103">
        <f>('Thurs (2)'!S75+Thurs!S75+'Tues '!S75+Wed!S75+Fri!S75+'Mon '!S75+'Wed (2)'!S75+Sun!S75+Sat!S75)</f>
        <v>0</v>
      </c>
      <c r="T75" s="103">
        <f>('Thurs (2)'!T75+Thurs!T75+'Tues '!T75+Wed!T75+Fri!T75+'Mon '!T75+'Wed (2)'!T75+Sun!T75+Sat!T75)</f>
        <v>0</v>
      </c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>
        <f>('Thurs (2)'!G78+Thurs!G78+'Tues '!G78+Wed!G78+Fri!G78+'Mon '!G78+'Wed (2)'!G78+Sun!G78+Sat!G78)</f>
        <v>0</v>
      </c>
      <c r="H78" s="103">
        <f>('Thurs (2)'!H78+Thurs!H78+'Tues '!H78+Wed!H78+Fri!H78+'Mon '!H78+'Wed (2)'!H78+Sun!H78+Sat!H78)</f>
        <v>0</v>
      </c>
      <c r="I78" s="103">
        <f>('Thurs (2)'!I78+Thurs!I78+'Tues '!I78+Wed!I78+Fri!I78+'Mon '!I78+'Wed (2)'!I78+Sun!I78+Sat!I78)</f>
        <v>0</v>
      </c>
      <c r="J78" s="103">
        <f>('Thurs (2)'!J78+Thurs!J78+'Tues '!J78+Wed!J78+Fri!J78+'Mon '!J78+'Wed (2)'!J78+Sun!J78+Sat!J78)</f>
        <v>0</v>
      </c>
      <c r="K78" s="103">
        <f>('Thurs (2)'!K78+Thurs!K78+'Tues '!K78+Wed!K78+Fri!K78+'Mon '!K78+'Wed (2)'!K78+Sun!K78+Sat!K78)</f>
        <v>0</v>
      </c>
      <c r="L78" s="103">
        <f>('Thurs (2)'!L78+Thurs!L78+'Tues '!L78+Wed!L78+Fri!L78+'Mon '!L78+'Wed (2)'!L78+Sun!L78+Sat!L78)</f>
        <v>0</v>
      </c>
      <c r="M78" s="103">
        <f>('Thurs (2)'!M78+Thurs!M78+'Tues '!M78+Wed!M78+Fri!M78+'Mon '!M78+'Wed (2)'!M78+Sun!M78+Sat!M78)</f>
        <v>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0</v>
      </c>
      <c r="S78" s="103">
        <f>('Thurs (2)'!S78+Thurs!S78+'Tues '!S78+Wed!S78+Fri!S78+'Mon '!S78+'Wed (2)'!S78+Sun!S78+Sat!S78)</f>
        <v>0</v>
      </c>
      <c r="T78" s="103">
        <f>('Thurs (2)'!T78+Thurs!T78+'Tues '!T78+Wed!T78+Fri!T78+'Mon '!T78+'Wed (2)'!T78+Sun!T78+Sat!T78)</f>
        <v>0</v>
      </c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>
        <f>('Thurs (2)'!G79+Thurs!G79+'Tues '!G79+Wed!G79+Fri!G79+'Mon '!G79+'Wed (2)'!G79+Sun!G79+Sat!G79)</f>
        <v>3</v>
      </c>
      <c r="H79" s="103">
        <f>('Thurs (2)'!H79+Thurs!H79+'Tues '!H79+Wed!H79+Fri!H79+'Mon '!H79+'Wed (2)'!H79+Sun!H79+Sat!H79)</f>
        <v>3</v>
      </c>
      <c r="I79" s="103">
        <f>('Thurs (2)'!I79+Thurs!I79+'Tues '!I79+Wed!I79+Fri!I79+'Mon '!I79+'Wed (2)'!I79+Sun!I79+Sat!I79)</f>
        <v>3</v>
      </c>
      <c r="J79" s="103">
        <f>('Thurs (2)'!J79+Thurs!J79+'Tues '!J79+Wed!J79+Fri!J79+'Mon '!J79+'Wed (2)'!J79+Sun!J79+Sat!J79)</f>
        <v>2</v>
      </c>
      <c r="K79" s="103">
        <f>('Thurs (2)'!K79+Thurs!K79+'Tues '!K79+Wed!K79+Fri!K79+'Mon '!K79+'Wed (2)'!K79+Sun!K79+Sat!K79)</f>
        <v>2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12</v>
      </c>
      <c r="N79" s="103">
        <f>('Thurs (2)'!N79+Thurs!N79+'Tues '!N79+Wed!N79+Fri!N79+'Mon '!N79+'Wed (2)'!N79+Sun!N79+Sat!N79)</f>
        <v>2</v>
      </c>
      <c r="O79" s="103">
        <f>('Thurs (2)'!O79+Thurs!O79+'Tues '!O79+Wed!O79+Fri!O79+'Mon '!O79+'Wed (2)'!O79+Sun!O79+Sat!O79)</f>
        <v>2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1</v>
      </c>
      <c r="S79" s="103">
        <f>('Thurs (2)'!S79+Thurs!S79+'Tues '!S79+Wed!S79+Fri!S79+'Mon '!S79+'Wed (2)'!S79+Sun!S79+Sat!S79)</f>
        <v>1</v>
      </c>
      <c r="T79" s="103">
        <f>('Thurs (2)'!T79+Thurs!T79+'Tues '!T79+Wed!T79+Fri!T79+'Mon '!T79+'Wed (2)'!T79+Sun!T79+Sat!T79)</f>
        <v>6883</v>
      </c>
      <c r="U79" s="104">
        <f t="shared" si="6"/>
        <v>1</v>
      </c>
      <c r="V79" s="104">
        <f t="shared" si="7"/>
        <v>1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>
        <f>('Thurs (2)'!G82+Thurs!G82+'Tues '!G82+Wed!G82+Fri!G82+'Mon '!G82+'Wed (2)'!G82+Sun!G82+Sat!G82)</f>
        <v>0</v>
      </c>
      <c r="H82" s="103">
        <f>('Thurs (2)'!H82+Thurs!H82+'Tues '!H82+Wed!H82+Fri!H82+'Mon '!H82+'Wed (2)'!H82+Sun!H82+Sat!H82)</f>
        <v>0</v>
      </c>
      <c r="I82" s="103">
        <f>('Thurs (2)'!I82+Thurs!I82+'Tues '!I82+Wed!I82+Fri!I82+'Mon '!I82+'Wed (2)'!I82+Sun!I82+Sat!I82)</f>
        <v>0</v>
      </c>
      <c r="J82" s="103">
        <f>('Thurs (2)'!J82+Thurs!J82+'Tues '!J82+Wed!J82+Fri!J82+'Mon '!J82+'Wed (2)'!J82+Sun!J82+Sat!J82)</f>
        <v>0</v>
      </c>
      <c r="K82" s="103">
        <f>('Thurs (2)'!K82+Thurs!K82+'Tues '!K82+Wed!K82+Fri!K82+'Mon '!K82+'Wed (2)'!K82+Sun!K82+Sat!K82)</f>
        <v>0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0</v>
      </c>
      <c r="N82" s="103">
        <f>('Thurs (2)'!N82+Thurs!N82+'Tues '!N82+Wed!N82+Fri!N82+'Mon '!N82+'Wed (2)'!N82+Sun!N82+Sat!N82)</f>
        <v>0</v>
      </c>
      <c r="O82" s="103">
        <f>('Thurs (2)'!O82+Thurs!O82+'Tues '!O82+Wed!O82+Fri!O82+'Mon '!O82+'Wed (2)'!O82+Sun!O82+Sat!O82)</f>
        <v>0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03">
        <f>('Thurs (2)'!G83+Thurs!G83+'Tues '!G83+Wed!G83+Fri!G83+'Mon '!G83+'Wed (2)'!G83+Sun!G83+Sat!G83)</f>
        <v>1</v>
      </c>
      <c r="H83" s="103">
        <f>('Thurs (2)'!H83+Thurs!H83+'Tues '!H83+Wed!H83+Fri!H83+'Mon '!H83+'Wed (2)'!H83+Sun!H83+Sat!H83)</f>
        <v>1</v>
      </c>
      <c r="I83" s="103">
        <f>('Thurs (2)'!I83+Thurs!I83+'Tues '!I83+Wed!I83+Fri!I83+'Mon '!I83+'Wed (2)'!I83+Sun!I83+Sat!I83)</f>
        <v>1</v>
      </c>
      <c r="J83" s="103">
        <f>('Thurs (2)'!J83+Thurs!J83+'Tues '!J83+Wed!J83+Fri!J83+'Mon '!J83+'Wed (2)'!J83+Sun!J83+Sat!J83)</f>
        <v>0</v>
      </c>
      <c r="K83" s="103">
        <f>('Thurs (2)'!K83+Thurs!K83+'Tues '!K83+Wed!K83+Fri!K83+'Mon '!K83+'Wed (2)'!K83+Sun!K83+Sat!K83)</f>
        <v>0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4</v>
      </c>
      <c r="N83" s="103">
        <f>('Thurs (2)'!N83+Thurs!N83+'Tues '!N83+Wed!N83+Fri!N83+'Mon '!N83+'Wed (2)'!N83+Sun!N83+Sat!N83)</f>
        <v>1</v>
      </c>
      <c r="O83" s="103">
        <f>('Thurs (2)'!O83+Thurs!O83+'Tues '!O83+Wed!O83+Fri!O83+'Mon '!O83+'Wed (2)'!O83+Sun!O83+Sat!O83)</f>
        <v>1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1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2272.68</v>
      </c>
      <c r="U83" s="104">
        <f t="shared" si="8"/>
        <v>1</v>
      </c>
      <c r="V83" s="104">
        <f t="shared" si="9"/>
        <v>1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>
        <f>('Thurs (2)'!G84+Thurs!G84+'Tues '!G84+Wed!G84+Fri!G84+'Mon '!G84+'Wed (2)'!G84+Sun!G84+Sat!G84)</f>
        <v>0</v>
      </c>
      <c r="H84" s="103">
        <f>('Thurs (2)'!H84+Thurs!H84+'Tues '!H84+Wed!H84+Fri!H84+'Mon '!H84+'Wed (2)'!H84+Sun!H84+Sat!H84)</f>
        <v>0</v>
      </c>
      <c r="I84" s="103">
        <f>('Thurs (2)'!I84+Thurs!I84+'Tues '!I84+Wed!I84+Fri!I84+'Mon '!I84+'Wed (2)'!I84+Sun!I84+Sat!I84)</f>
        <v>0</v>
      </c>
      <c r="J84" s="103">
        <f>('Thurs (2)'!J84+Thurs!J84+'Tues '!J84+Wed!J84+Fri!J84+'Mon '!J84+'Wed (2)'!J84+Sun!J84+Sat!J84)</f>
        <v>0</v>
      </c>
      <c r="K84" s="103">
        <f>('Thurs (2)'!K84+Thurs!K84+'Tues '!K84+Wed!K84+Fri!K84+'Mon '!K84+'Wed (2)'!K84+Sun!K84+Sat!K84)</f>
        <v>0</v>
      </c>
      <c r="L84" s="103">
        <f>('Thurs (2)'!L84+Thurs!L84+'Tues '!L84+Wed!L84+Fri!L84+'Mon '!L84+'Wed (2)'!L84+Sun!L84+Sat!L84)</f>
        <v>0</v>
      </c>
      <c r="M84" s="103">
        <f>('Thurs (2)'!M84+Thurs!M84+'Tues '!M84+Wed!M84+Fri!M84+'Mon '!M84+'Wed (2)'!M84+Sun!M84+Sat!M84)</f>
        <v>0</v>
      </c>
      <c r="N84" s="103">
        <f>('Thurs (2)'!N84+Thurs!N84+'Tues '!N84+Wed!N84+Fri!N84+'Mon '!N84+'Wed (2)'!N84+Sun!N84+Sat!N84)</f>
        <v>0</v>
      </c>
      <c r="O84" s="103">
        <f>('Thurs (2)'!O84+Thurs!O84+'Tues '!O84+Wed!O84+Fri!O84+'Mon '!O84+'Wed (2)'!O84+Sun!O84+Sat!O84)</f>
        <v>0</v>
      </c>
      <c r="P84" s="103">
        <f>('Thurs (2)'!P84+Thurs!P84+'Tues '!P84+Wed!P84+Fri!P84+'Mon '!P84+'Wed (2)'!P84+Sun!P84+Sat!P84)</f>
        <v>0</v>
      </c>
      <c r="Q84" s="103">
        <f>('Thurs (2)'!Q84+Thurs!Q84+'Tues '!Q84+Wed!Q84+Fri!Q84+'Mon '!Q84+'Wed (2)'!Q84+Sun!Q84+Sat!Q84)</f>
        <v>0</v>
      </c>
      <c r="R84" s="103">
        <f>('Thurs (2)'!R84+Thurs!R84+'Tues '!R84+Wed!R84+Fri!R84+'Mon '!R84+'Wed (2)'!R84+Sun!R84+Sat!R84)</f>
        <v>0</v>
      </c>
      <c r="S84" s="103">
        <f>('Thurs (2)'!S84+Thurs!S84+'Tues '!S84+Wed!S84+Fri!S84+'Mon '!S84+'Wed (2)'!S84+Sun!S84+Sat!S84)</f>
        <v>0</v>
      </c>
      <c r="T84" s="103">
        <f>('Thurs (2)'!T84+Thurs!T84+'Tues '!T84+Wed!T84+Fri!T84+'Mon '!T84+'Wed (2)'!T84+Sun!T84+Sat!T84)</f>
        <v>0</v>
      </c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>
        <f>('Thurs (2)'!G87+Thurs!G87+'Tues '!G87+Wed!G87+Fri!G87+'Mon '!G87+'Wed (2)'!G87+Sun!G87+Sat!G87)</f>
        <v>0</v>
      </c>
      <c r="H87" s="103">
        <f>('Thurs (2)'!H87+Thurs!H87+'Tues '!H87+Wed!H87+Fri!H87+'Mon '!H87+'Wed (2)'!H87+Sun!H87+Sat!H87)</f>
        <v>0</v>
      </c>
      <c r="I87" s="103">
        <f>('Thurs (2)'!I87+Thurs!I87+'Tues '!I87+Wed!I87+Fri!I87+'Mon '!I87+'Wed (2)'!I87+Sun!I87+Sat!I87)</f>
        <v>0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0</v>
      </c>
      <c r="N87" s="103">
        <f>('Thurs (2)'!N87+Thurs!N87+'Tues '!N87+Wed!N87+Fri!N87+'Mon '!N87+'Wed (2)'!N87+Sun!N87+Sat!N87)</f>
        <v>0</v>
      </c>
      <c r="O87" s="103">
        <f>('Thurs (2)'!O87+Thurs!O87+'Tues '!O87+Wed!O87+Fri!O87+'Mon '!O87+'Wed (2)'!O87+Sun!O87+Sat!O87)</f>
        <v>0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0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>
        <f>('Thurs (2)'!G91+Thurs!G91+'Tues '!G91+Wed!G91+Fri!G91+'Mon '!G91+'Wed (2)'!G91+Sun!G91+Sat!G91)</f>
        <v>22</v>
      </c>
      <c r="H91" s="103">
        <f>('Thurs (2)'!H91+Thurs!H91+'Tues '!H91+Wed!H91+Fri!H91+'Mon '!H91+'Wed (2)'!H91+Sun!H91+Sat!H91)</f>
        <v>12</v>
      </c>
      <c r="I91" s="103">
        <f>('Thurs (2)'!I91+Thurs!I91+'Tues '!I91+Wed!I91+Fri!I91+'Mon '!I91+'Wed (2)'!I91+Sun!I91+Sat!I91)</f>
        <v>10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70</v>
      </c>
      <c r="N91" s="103">
        <f>('Thurs (2)'!N91+Thurs!N91+'Tues '!N91+Wed!N91+Fri!N91+'Mon '!N91+'Wed (2)'!N91+Sun!N91+Sat!N91)</f>
        <v>18</v>
      </c>
      <c r="O91" s="103">
        <f>('Thurs (2)'!O91+Thurs!O91+'Tues '!O91+Wed!O91+Fri!O91+'Mon '!O91+'Wed (2)'!O91+Sun!O91+Sat!O91)</f>
        <v>10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4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15556</v>
      </c>
      <c r="U91" s="104">
        <f t="shared" si="10"/>
        <v>0.8333333333</v>
      </c>
      <c r="V91" s="104">
        <f t="shared" si="11"/>
        <v>0.5454545455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>
        <f>('Thurs (2)'!G98+Thurs!G98+'Tues '!G98+Wed!G98+Fri!G98+'Mon '!G98+'Wed (2)'!G98+Sun!G98+Sat!G98)</f>
        <v>0</v>
      </c>
      <c r="H98" s="103">
        <f>('Thurs (2)'!H98+Thurs!H98+'Tues '!H98+Wed!H98+Fri!H98+'Mon '!H98+'Wed (2)'!H98+Sun!H98+Sat!H98)</f>
        <v>0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>
        <f>('Thurs (2)'!G101+Thurs!G101+'Tues '!G101+Wed!G101+Fri!G101+'Mon '!G101+'Wed (2)'!G101+Sun!G101+Sat!G101)</f>
        <v>0</v>
      </c>
      <c r="H101" s="103">
        <f>('Thurs (2)'!H101+Thurs!H101+'Tues '!H101+Wed!H101+Fri!H101+'Mon '!H101+'Wed (2)'!H101+Sun!H101+Sat!H101)</f>
        <v>0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0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>
        <f>('Thurs (2)'!G102+Thurs!G102+'Tues '!G102+Wed!G102+Fri!G102+'Mon '!G102+'Wed (2)'!G102+Sun!G102+Sat!G102)</f>
        <v>0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>
        <f>('Thurs (2)'!G103+Thurs!G103+'Tues '!G103+Wed!G103+Fri!G103+'Mon '!G103+'Wed (2)'!G103+Sun!G103+Sat!G103)</f>
        <v>0</v>
      </c>
      <c r="H103" s="103">
        <f>('Thurs (2)'!H103+Thurs!H103+'Tues '!H103+Wed!H103+Fri!H103+'Mon '!H103+'Wed (2)'!H103+Sun!H103+Sat!H103)</f>
        <v>0</v>
      </c>
      <c r="I103" s="103">
        <f>('Thurs (2)'!I103+Thurs!I103+'Tues '!I103+Wed!I103+Fri!I103+'Mon '!I103+'Wed (2)'!I103+Sun!I103+Sat!I103)</f>
        <v>0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0</v>
      </c>
      <c r="N103" s="103">
        <f>('Thurs (2)'!N103+Thurs!N103+'Tues '!N103+Wed!N103+Fri!N103+'Mon '!N103+'Wed (2)'!N103+Sun!N103+Sat!N103)</f>
        <v>0</v>
      </c>
      <c r="O103" s="103">
        <f>('Thurs (2)'!O103+Thurs!O103+'Tues '!O103+Wed!O103+Fri!O103+'Mon '!O103+'Wed (2)'!O103+Sun!O103+Sat!O103)</f>
        <v>0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0</v>
      </c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>
        <f>('Thurs (2)'!G104+Thurs!G104+'Tues '!G104+Wed!G104+Fri!G104+'Mon '!G104+'Wed (2)'!G104+Sun!G104+Sat!G104)</f>
        <v>0</v>
      </c>
      <c r="H104" s="103">
        <f>('Thurs (2)'!H104+Thurs!H104+'Tues '!H104+Wed!H104+Fri!H104+'Mon '!H104+'Wed (2)'!H104+Sun!H104+Sat!H104)</f>
        <v>0</v>
      </c>
      <c r="I104" s="103">
        <f>('Thurs (2)'!I104+Thurs!I104+'Tues '!I104+Wed!I104+Fri!I104+'Mon '!I104+'Wed (2)'!I104+Sun!I104+Sat!I104)</f>
        <v>0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>
        <f>('Thurs (2)'!G105+Thurs!G105+'Tues '!G105+Wed!G105+Fri!G105+'Mon '!G105+'Wed (2)'!G105+Sun!G105+Sat!G105)</f>
        <v>0</v>
      </c>
      <c r="H105" s="103">
        <f>('Thurs (2)'!H105+Thurs!H105+'Tues '!H105+Wed!H105+Fri!H105+'Mon '!H105+'Wed (2)'!H105+Sun!H105+Sat!H105)</f>
        <v>0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0</v>
      </c>
      <c r="N105" s="103">
        <f>('Thurs (2)'!N105+Thurs!N105+'Tues '!N105+Wed!N105+Fri!N105+'Mon '!N105+'Wed (2)'!N105+Sun!N105+Sat!N105)</f>
        <v>0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>
        <f>('Thurs (2)'!G106+Thurs!G106+'Tues '!G106+Wed!G106+Fri!G106+'Mon '!G106+'Wed (2)'!G106+Sun!G106+Sat!G106)</f>
        <v>0</v>
      </c>
      <c r="H106" s="103">
        <f>('Thurs (2)'!H106+Thurs!H106+'Tues '!H106+Wed!H106+Fri!H106+'Mon '!H106+'Wed (2)'!H106+Sun!H106+Sat!H106)</f>
        <v>0</v>
      </c>
      <c r="I106" s="103">
        <f>('Thurs (2)'!I106+Thurs!I106+'Tues '!I106+Wed!I106+Fri!I106+'Mon '!I106+'Wed (2)'!I106+Sun!I106+Sat!I106)</f>
        <v>0</v>
      </c>
      <c r="J106" s="103">
        <f>('Thurs (2)'!J106+Thurs!J106+'Tues '!J106+Wed!J106+Fri!J106+'Mon '!J106+'Wed (2)'!J106+Sun!J106+Sat!J106)</f>
        <v>0</v>
      </c>
      <c r="K106" s="103">
        <f>('Thurs (2)'!K106+Thurs!K106+'Tues '!K106+Wed!K106+Fri!K106+'Mon '!K106+'Wed (2)'!K106+Sun!K106+Sat!K106)</f>
        <v>0</v>
      </c>
      <c r="L106" s="103">
        <f>('Thurs (2)'!L106+Thurs!L106+'Tues '!L106+Wed!L106+Fri!L106+'Mon '!L106+'Wed (2)'!L106+Sun!L106+Sat!L106)</f>
        <v>0</v>
      </c>
      <c r="M106" s="103">
        <f>('Thurs (2)'!M106+Thurs!M106+'Tues '!M106+Wed!M106+Fri!M106+'Mon '!M106+'Wed (2)'!M106+Sun!M106+Sat!M106)</f>
        <v>0</v>
      </c>
      <c r="N106" s="103">
        <f>('Thurs (2)'!N106+Thurs!N106+'Tues '!N106+Wed!N106+Fri!N106+'Mon '!N106+'Wed (2)'!N106+Sun!N106+Sat!N106)</f>
        <v>0</v>
      </c>
      <c r="O106" s="103">
        <f>('Thurs (2)'!O106+Thurs!O106+'Tues '!O106+Wed!O106+Fri!O106+'Mon '!O106+'Wed (2)'!O106+Sun!O106+Sat!O106)</f>
        <v>0</v>
      </c>
      <c r="P106" s="103">
        <f>('Thurs (2)'!P106+Thurs!P106+'Tues '!P106+Wed!P106+Fri!P106+'Mon '!P106+'Wed (2)'!P106+Sun!P106+Sat!P106)</f>
        <v>0</v>
      </c>
      <c r="Q106" s="103">
        <f>('Thurs (2)'!Q106+Thurs!Q106+'Tues '!Q106+Wed!Q106+Fri!Q106+'Mon '!Q106+'Wed (2)'!Q106+Sun!Q106+Sat!Q106)</f>
        <v>0</v>
      </c>
      <c r="R106" s="103">
        <f>('Thurs (2)'!R106+Thurs!R106+'Tues '!R106+Wed!R106+Fri!R106+'Mon '!R106+'Wed (2)'!R106+Sun!R106+Sat!R106)</f>
        <v>0</v>
      </c>
      <c r="S106" s="103">
        <f>('Thurs (2)'!S106+Thurs!S106+'Tues '!S106+Wed!S106+Fri!S106+'Mon '!S106+'Wed (2)'!S106+Sun!S106+Sat!S106)</f>
        <v>0</v>
      </c>
      <c r="T106" s="103">
        <f>('Thurs (2)'!T106+Thurs!T106+'Tues '!T106+Wed!T106+Fri!T106+'Mon '!T106+'Wed (2)'!T106+Sun!T106+Sat!T106)</f>
        <v>0</v>
      </c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>
        <f>('Thurs (2)'!G107+Thurs!G107+'Tues '!G107+Wed!G107+Fri!G107+'Mon '!G107+'Wed (2)'!G107+Sun!G107+Sat!G107)</f>
        <v>0</v>
      </c>
      <c r="H107" s="103">
        <f>('Thurs (2)'!H107+Thurs!H107+'Tues '!H107+Wed!H107+Fri!H107+'Mon '!H107+'Wed (2)'!H107+Sun!H107+Sat!H107)</f>
        <v>0</v>
      </c>
      <c r="I107" s="103">
        <f>('Thurs (2)'!I107+Thurs!I107+'Tues '!I107+Wed!I107+Fri!I107+'Mon '!I107+'Wed (2)'!I107+Sun!I107+Sat!I107)</f>
        <v>0</v>
      </c>
      <c r="J107" s="103">
        <f>('Thurs (2)'!J107+Thurs!J107+'Tues '!J107+Wed!J107+Fri!J107+'Mon '!J107+'Wed (2)'!J107+Sun!J107+Sat!J107)</f>
        <v>0</v>
      </c>
      <c r="K107" s="103">
        <f>('Thurs (2)'!K107+Thurs!K107+'Tues '!K107+Wed!K107+Fri!K107+'Mon '!K107+'Wed (2)'!K107+Sun!K107+Sat!K107)</f>
        <v>0</v>
      </c>
      <c r="L107" s="103">
        <f>('Thurs (2)'!L107+Thurs!L107+'Tues '!L107+Wed!L107+Fri!L107+'Mon '!L107+'Wed (2)'!L107+Sun!L107+Sat!L107)</f>
        <v>0</v>
      </c>
      <c r="M107" s="103">
        <f>('Thurs (2)'!M107+Thurs!M107+'Tues '!M107+Wed!M107+Fri!M107+'Mon '!M107+'Wed (2)'!M107+Sun!M107+Sat!M107)</f>
        <v>0</v>
      </c>
      <c r="N107" s="103">
        <f>('Thurs (2)'!N107+Thurs!N107+'Tues '!N107+Wed!N107+Fri!N107+'Mon '!N107+'Wed (2)'!N107+Sun!N107+Sat!N107)</f>
        <v>0</v>
      </c>
      <c r="O107" s="103">
        <f>('Thurs (2)'!O107+Thurs!O107+'Tues '!O107+Wed!O107+Fri!O107+'Mon '!O107+'Wed (2)'!O107+Sun!O107+Sat!O107)</f>
        <v>0</v>
      </c>
      <c r="P107" s="103">
        <f>('Thurs (2)'!P107+Thurs!P107+'Tues '!P107+Wed!P107+Fri!P107+'Mon '!P107+'Wed (2)'!P107+Sun!P107+Sat!P107)</f>
        <v>0</v>
      </c>
      <c r="Q107" s="103">
        <f>('Thurs (2)'!Q107+Thurs!Q107+'Tues '!Q107+Wed!Q107+Fri!Q107+'Mon '!Q107+'Wed (2)'!Q107+Sun!Q107+Sat!Q107)</f>
        <v>0</v>
      </c>
      <c r="R107" s="103">
        <f>('Thurs (2)'!R107+Thurs!R107+'Tues '!R107+Wed!R107+Fri!R107+'Mon '!R107+'Wed (2)'!R107+Sun!R107+Sat!R107)</f>
        <v>0</v>
      </c>
      <c r="S107" s="103">
        <f>('Thurs (2)'!S107+Thurs!S107+'Tues '!S107+Wed!S107+Fri!S107+'Mon '!S107+'Wed (2)'!S107+Sun!S107+Sat!S107)</f>
        <v>0</v>
      </c>
      <c r="T107" s="103">
        <f>('Thurs (2)'!T107+Thurs!T107+'Tues '!T107+Wed!T107+Fri!T107+'Mon '!T107+'Wed (2)'!T107+Sun!T107+Sat!T107)</f>
        <v>0</v>
      </c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>
        <f>('Thurs (2)'!G109+Thurs!G109+'Tues '!G109+Wed!G109+Fri!G109+'Mon '!G109+'Wed (2)'!G109+Sun!G109+Sat!G109)</f>
        <v>0</v>
      </c>
      <c r="H109" s="103">
        <f>('Thurs (2)'!H109+Thurs!H109+'Tues '!H109+Wed!H109+Fri!H109+'Mon '!H109+'Wed (2)'!H109+Sun!H109+Sat!H109)</f>
        <v>0</v>
      </c>
      <c r="I109" s="103">
        <f>('Thurs (2)'!I109+Thurs!I109+'Tues '!I109+Wed!I109+Fri!I109+'Mon '!I109+'Wed (2)'!I109+Sun!I109+Sat!I109)</f>
        <v>0</v>
      </c>
      <c r="J109" s="103">
        <f>('Thurs (2)'!J109+Thurs!J109+'Tues '!J109+Wed!J109+Fri!J109+'Mon '!J109+'Wed (2)'!J109+Sun!J109+Sat!J109)</f>
        <v>0</v>
      </c>
      <c r="K109" s="103">
        <f>('Thurs (2)'!K109+Thurs!K109+'Tues '!K109+Wed!K109+Fri!K109+'Mon '!K109+'Wed (2)'!K109+Sun!K109+Sat!K109)</f>
        <v>0</v>
      </c>
      <c r="L109" s="103">
        <f>('Thurs (2)'!L109+Thurs!L109+'Tues '!L109+Wed!L109+Fri!L109+'Mon '!L109+'Wed (2)'!L109+Sun!L109+Sat!L109)</f>
        <v>0</v>
      </c>
      <c r="M109" s="103">
        <f>('Thurs (2)'!M109+Thurs!M109+'Tues '!M109+Wed!M109+Fri!M109+'Mon '!M109+'Wed (2)'!M109+Sun!M109+Sat!M109)</f>
        <v>0</v>
      </c>
      <c r="N109" s="103">
        <f>('Thurs (2)'!N109+Thurs!N109+'Tues '!N109+Wed!N109+Fri!N109+'Mon '!N109+'Wed (2)'!N109+Sun!N109+Sat!N109)</f>
        <v>0</v>
      </c>
      <c r="O109" s="103">
        <f>('Thurs (2)'!O109+Thurs!O109+'Tues '!O109+Wed!O109+Fri!O109+'Mon '!O109+'Wed (2)'!O109+Sun!O109+Sat!O109)</f>
        <v>0</v>
      </c>
      <c r="P109" s="103">
        <f>('Thurs (2)'!P109+Thurs!P109+'Tues '!P109+Wed!P109+Fri!P109+'Mon '!P109+'Wed (2)'!P109+Sun!P109+Sat!P109)</f>
        <v>0</v>
      </c>
      <c r="Q109" s="103">
        <f>('Thurs (2)'!Q109+Thurs!Q109+'Tues '!Q109+Wed!Q109+Fri!Q109+'Mon '!Q109+'Wed (2)'!Q109+Sun!Q109+Sat!Q109)</f>
        <v>0</v>
      </c>
      <c r="R109" s="103">
        <f>('Thurs (2)'!R109+Thurs!R109+'Tues '!R109+Wed!R109+Fri!R109+'Mon '!R109+'Wed (2)'!R109+Sun!R109+Sat!R109)</f>
        <v>0</v>
      </c>
      <c r="S109" s="103">
        <f>('Thurs (2)'!S109+Thurs!S109+'Tues '!S109+Wed!S109+Fri!S109+'Mon '!S109+'Wed (2)'!S109+Sun!S109+Sat!S109)</f>
        <v>0</v>
      </c>
      <c r="T109" s="103">
        <f>('Thurs (2)'!T109+Thurs!T109+'Tues '!T109+Wed!T109+Fri!T109+'Mon '!T109+'Wed (2)'!T109+Sun!T109+Sat!T109)</f>
        <v>0</v>
      </c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>
        <f>('Thurs (2)'!G110+Thurs!G110+'Tues '!G110+Wed!G110+Fri!G110+'Mon '!G110+'Wed (2)'!G110+Sun!G110+Sat!G110)</f>
        <v>0</v>
      </c>
      <c r="H110" s="103">
        <f>('Thurs (2)'!H110+Thurs!H110+'Tues '!H110+Wed!H110+Fri!H110+'Mon '!H110+'Wed (2)'!H110+Sun!H110+Sat!H110)</f>
        <v>0</v>
      </c>
      <c r="I110" s="103">
        <f>('Thurs (2)'!I110+Thurs!I110+'Tues '!I110+Wed!I110+Fri!I110+'Mon '!I110+'Wed (2)'!I110+Sun!I110+Sat!I110)</f>
        <v>0</v>
      </c>
      <c r="J110" s="103">
        <f>('Thurs (2)'!J110+Thurs!J110+'Tues '!J110+Wed!J110+Fri!J110+'Mon '!J110+'Wed (2)'!J110+Sun!J110+Sat!J110)</f>
        <v>0</v>
      </c>
      <c r="K110" s="103">
        <f>('Thurs (2)'!K110+Thurs!K110+'Tues '!K110+Wed!K110+Fri!K110+'Mon '!K110+'Wed (2)'!K110+Sun!K110+Sat!K110)</f>
        <v>0</v>
      </c>
      <c r="L110" s="103">
        <f>('Thurs (2)'!L110+Thurs!L110+'Tues '!L110+Wed!L110+Fri!L110+'Mon '!L110+'Wed (2)'!L110+Sun!L110+Sat!L110)</f>
        <v>0</v>
      </c>
      <c r="M110" s="103">
        <f>('Thurs (2)'!M110+Thurs!M110+'Tues '!M110+Wed!M110+Fri!M110+'Mon '!M110+'Wed (2)'!M110+Sun!M110+Sat!M110)</f>
        <v>0</v>
      </c>
      <c r="N110" s="103">
        <f>('Thurs (2)'!N110+Thurs!N110+'Tues '!N110+Wed!N110+Fri!N110+'Mon '!N110+'Wed (2)'!N110+Sun!N110+Sat!N110)</f>
        <v>0</v>
      </c>
      <c r="O110" s="103">
        <f>('Thurs (2)'!O110+Thurs!O110+'Tues '!O110+Wed!O110+Fri!O110+'Mon '!O110+'Wed (2)'!O110+Sun!O110+Sat!O110)</f>
        <v>0</v>
      </c>
      <c r="P110" s="103">
        <f>('Thurs (2)'!P110+Thurs!P110+'Tues '!P110+Wed!P110+Fri!P110+'Mon '!P110+'Wed (2)'!P110+Sun!P110+Sat!P110)</f>
        <v>0</v>
      </c>
      <c r="Q110" s="103">
        <f>('Thurs (2)'!Q110+Thurs!Q110+'Tues '!Q110+Wed!Q110+Fri!Q110+'Mon '!Q110+'Wed (2)'!Q110+Sun!Q110+Sat!Q110)</f>
        <v>0</v>
      </c>
      <c r="R110" s="103">
        <f>('Thurs (2)'!R110+Thurs!R110+'Tues '!R110+Wed!R110+Fri!R110+'Mon '!R110+'Wed (2)'!R110+Sun!R110+Sat!R110)</f>
        <v>0</v>
      </c>
      <c r="S110" s="103">
        <f>('Thurs (2)'!S110+Thurs!S110+'Tues '!S110+Wed!S110+Fri!S110+'Mon '!S110+'Wed (2)'!S110+Sun!S110+Sat!S110)</f>
        <v>0</v>
      </c>
      <c r="T110" s="103">
        <f>('Thurs (2)'!T110+Thurs!T110+'Tues '!T110+Wed!T110+Fri!T110+'Mon '!T110+'Wed (2)'!T110+Sun!T110+Sat!T110)</f>
        <v>0</v>
      </c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22481</v>
      </c>
      <c r="D2" s="10"/>
      <c r="E2" s="11">
        <f t="shared" ref="E2:R2" si="1">SUM(E5,E20,E23,E26,E29,E32)</f>
        <v>8763</v>
      </c>
      <c r="F2" s="11">
        <f t="shared" si="1"/>
        <v>45</v>
      </c>
      <c r="G2" s="11">
        <f t="shared" si="1"/>
        <v>18</v>
      </c>
      <c r="H2" s="11">
        <f t="shared" si="1"/>
        <v>12</v>
      </c>
      <c r="I2" s="11">
        <f t="shared" si="1"/>
        <v>1</v>
      </c>
      <c r="J2" s="11">
        <f t="shared" si="1"/>
        <v>1</v>
      </c>
      <c r="K2" s="11">
        <f t="shared" si="1"/>
        <v>11</v>
      </c>
      <c r="L2" s="11">
        <f t="shared" si="1"/>
        <v>2</v>
      </c>
      <c r="M2" s="11">
        <f t="shared" si="1"/>
        <v>101</v>
      </c>
      <c r="N2" s="11">
        <f t="shared" si="1"/>
        <v>18</v>
      </c>
      <c r="O2" s="11">
        <f t="shared" si="1"/>
        <v>8</v>
      </c>
      <c r="P2" s="11">
        <f t="shared" si="1"/>
        <v>8</v>
      </c>
      <c r="Q2" s="11">
        <f t="shared" si="1"/>
        <v>3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1873.416667</v>
      </c>
      <c r="F4" s="24">
        <f>IFERROR((G2+R2)/F2,0)</f>
        <v>0.4222222222</v>
      </c>
      <c r="G4" s="24">
        <f>IFERROR(H2/G2,0)</f>
        <v>0.6666666667</v>
      </c>
      <c r="H4" s="23">
        <f>(C2/C4)</f>
        <v>325.8115942</v>
      </c>
      <c r="I4" s="25"/>
      <c r="J4" s="24">
        <f>IFERROR(J2/I2,0)</f>
        <v>1</v>
      </c>
      <c r="K4" s="25"/>
      <c r="L4" s="24">
        <f>IFERROR(L2/K2,0)</f>
        <v>0.1818181818</v>
      </c>
      <c r="M4" s="26">
        <f>IFERROR(M2/G2,0)</f>
        <v>5.611111111</v>
      </c>
      <c r="N4" s="25"/>
      <c r="O4" s="24">
        <f>IFERROR(O2/N2,0)</f>
        <v>0.4444444444</v>
      </c>
      <c r="P4" s="26"/>
      <c r="Q4" s="24">
        <f>IFERROR(Q2/P2,0)</f>
        <v>0.375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9942</v>
      </c>
      <c r="D5" s="31"/>
      <c r="E5" s="32">
        <f>SUMIFS(T:T,A:A,B5,D:D,"Y")</f>
        <v>8763</v>
      </c>
      <c r="F5" s="11">
        <f>SUMIF(A:A,B5,G:G)</f>
        <v>24</v>
      </c>
      <c r="G5" s="11">
        <f>SUMIF(A:A,B5,H:H)</f>
        <v>8</v>
      </c>
      <c r="H5" s="11">
        <f>SUMIF(A:A,B5,I:I)</f>
        <v>5</v>
      </c>
      <c r="I5" s="11">
        <f>SUMIF(A:A,B5,P:P)</f>
        <v>1</v>
      </c>
      <c r="J5" s="11">
        <f>SUMIF(A:A,B5,Q:Q)</f>
        <v>1</v>
      </c>
      <c r="K5" s="11">
        <f>SUMIF(A:A,B5,R:R)</f>
        <v>5</v>
      </c>
      <c r="L5" s="11">
        <f>SUMIF(A:A,B5,S:S)</f>
        <v>1</v>
      </c>
      <c r="M5" s="11">
        <f>SUMIF(A:A,B5,M:M)</f>
        <v>30</v>
      </c>
      <c r="N5" s="11">
        <f>SUMIF(A:A,B5,N:N)</f>
        <v>3</v>
      </c>
      <c r="O5" s="11">
        <f>SUMIF(A:A,B5,O:O)</f>
        <v>2</v>
      </c>
      <c r="P5" s="11">
        <f>SUMIF(A:A,B5,J:J)</f>
        <v>4</v>
      </c>
      <c r="Q5" s="11">
        <f>SUMIF(A:A,B5,K:K)</f>
        <v>2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1988.4</v>
      </c>
      <c r="F7" s="41">
        <f>IFERROR((G5+R5)/F5,0)</f>
        <v>0.3333333333</v>
      </c>
      <c r="G7" s="41">
        <f>IFERROR(H5/G5,0)</f>
        <v>0.625</v>
      </c>
      <c r="H7" s="40">
        <f>(C5/C7)</f>
        <v>382.3846154</v>
      </c>
      <c r="I7" s="42"/>
      <c r="J7" s="41">
        <f>IFERROR(J5/I5,0)</f>
        <v>1</v>
      </c>
      <c r="K7" s="42"/>
      <c r="L7" s="41">
        <f>IFERROR(L5/K5,0)</f>
        <v>0.2</v>
      </c>
      <c r="M7" s="43">
        <f>IFERROR(M5/SUM(R5+G5,0),"")</f>
        <v>3.75</v>
      </c>
      <c r="N7" s="42"/>
      <c r="O7" s="41">
        <f>IFERROR(O5/N5,0)</f>
        <v>0.6666666667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1749</v>
      </c>
      <c r="D8" s="48"/>
      <c r="E8" s="49">
        <f>SUMIFS(T:T,B:B,B8,D:D,"Y")</f>
        <v>1749</v>
      </c>
      <c r="F8" s="50">
        <f>SUMIF(B38:B1137,B8,G38:G1137)</f>
        <v>9</v>
      </c>
      <c r="G8" s="51">
        <f>SUMIF(B38:B1137,B8,H38:H1137)</f>
        <v>3</v>
      </c>
      <c r="H8" s="51">
        <f>SUMIF(B38:B1137,B8,I38:I1137)</f>
        <v>2</v>
      </c>
      <c r="I8" s="51">
        <f>SUMIF(B38:B1137,B8,P38:P1137)</f>
        <v>1</v>
      </c>
      <c r="J8" s="51">
        <f>SUMIF(B38:B1137,B8,Q38:Q1137)</f>
        <v>1</v>
      </c>
      <c r="K8" s="51">
        <f>SUMIF(B38:B1137,B8,R38:R1137)</f>
        <v>3</v>
      </c>
      <c r="L8" s="51">
        <f>SUMIF(B38:B1137,B8,S38:S1137)</f>
        <v>0</v>
      </c>
      <c r="M8" s="51">
        <f>SUMIF(B38:B1137,B8,M38:M1137)</f>
        <v>9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1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874.5</v>
      </c>
      <c r="F10" s="24">
        <f>IFERROR((G8+R8)/F8,0)</f>
        <v>0.3333333333</v>
      </c>
      <c r="G10" s="24">
        <f>IFERROR(H8/G8,0)</f>
        <v>0.6666666667</v>
      </c>
      <c r="H10" s="23">
        <f>(C8/C10)</f>
        <v>218.625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3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3847</v>
      </c>
      <c r="D11" s="48"/>
      <c r="E11" s="49">
        <f>SUMIFS(T:T,B:B,B11,D:D,"Y")</f>
        <v>3847</v>
      </c>
      <c r="F11" s="50">
        <f>SUMIF(B38:B1137,B11,G38:G1137)</f>
        <v>6</v>
      </c>
      <c r="G11" s="51">
        <f>SUMIF(B38:B1137,B11,H38:H1137)</f>
        <v>2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1</v>
      </c>
      <c r="N11" s="51">
        <f>SUMIF(B38:B1137,B11,N38:N1137)</f>
        <v>2</v>
      </c>
      <c r="O11" s="51">
        <f>SUMIF(B38:B1137,B11,O38:O1137)</f>
        <v>1</v>
      </c>
      <c r="P11" s="51">
        <f>SUMIF(B38:B1137,B11,J38:J1137)</f>
        <v>2</v>
      </c>
      <c r="Q11" s="51">
        <f>SUMIF(B38:B1137,B11,K38:K1137)</f>
        <v>1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3847</v>
      </c>
      <c r="F13" s="24">
        <f>IFERROR((G11+R11)/F11,0)</f>
        <v>0.3333333333</v>
      </c>
      <c r="G13" s="24">
        <f>IFERROR(H11/G11,0)</f>
        <v>0.5</v>
      </c>
      <c r="H13" s="23">
        <f>(C11/C13)</f>
        <v>549.5714286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0.5</v>
      </c>
      <c r="N13" s="25"/>
      <c r="O13" s="24">
        <f>IFERROR(O11/N11,0)</f>
        <v>0.5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4346</v>
      </c>
      <c r="D17" s="62"/>
      <c r="E17" s="49">
        <f>SUMIFS(T:T,B:B,B17,D:D,"Y")</f>
        <v>3167</v>
      </c>
      <c r="F17" s="50">
        <f>SUMIF(B37:B1137,B17,G37:G1137)</f>
        <v>9</v>
      </c>
      <c r="G17" s="51">
        <f>SUMIF(B37:B1137,B17,H37:H1137)</f>
        <v>3</v>
      </c>
      <c r="H17" s="51">
        <f>SUMIF(B37:B1137,B17,I37:I1137)</f>
        <v>2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2</v>
      </c>
      <c r="L17" s="51">
        <f>SUMIF(B37:B1137,B17,S37:S1137)</f>
        <v>1</v>
      </c>
      <c r="M17" s="51">
        <f>SUMIF(B37:B1137,B17,M37:M1137)</f>
        <v>20</v>
      </c>
      <c r="N17" s="51">
        <f>SUMIF(B37:B1137,B17,N37:N1137)</f>
        <v>1</v>
      </c>
      <c r="O17" s="51">
        <f>SUMIF(B37:B1137,B17,O37:O1137)</f>
        <v>1</v>
      </c>
      <c r="P17" s="51">
        <f>SUMIF(B37:B1137,B17,J37:J1137)</f>
        <v>1</v>
      </c>
      <c r="Q17" s="51">
        <f>SUMIF(B37:B1137,B17,K37:K1137)</f>
        <v>1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2173</v>
      </c>
      <c r="F19" s="24">
        <f>IFERROR((G17+R17)/F17,0)</f>
        <v>0.3333333333</v>
      </c>
      <c r="G19" s="24">
        <f>IFERROR(H17/G17,0)</f>
        <v>0.6666666667</v>
      </c>
      <c r="H19" s="23">
        <f>(C17/C19)</f>
        <v>724.3333333</v>
      </c>
      <c r="I19" s="25"/>
      <c r="J19" s="24">
        <f>IFERROR(J17/I17,0)</f>
        <v>0</v>
      </c>
      <c r="K19" s="25"/>
      <c r="L19" s="24">
        <f>IFERROR(L17/K17,0)</f>
        <v>0.5</v>
      </c>
      <c r="M19" s="26">
        <f>IFERROR(M17/SUM(G17+R17,0),"")</f>
        <v>6.666666667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3</v>
      </c>
      <c r="G20" s="11">
        <f>SUMIF(A:A,B20,H:H)</f>
        <v>2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6</v>
      </c>
      <c r="N20" s="11">
        <f>SUMIF(A:A,B20,N:N)</f>
        <v>2</v>
      </c>
      <c r="O20" s="11">
        <f>SUMIF(A:A,B20,O:O)</f>
        <v>0</v>
      </c>
      <c r="P20" s="11">
        <f>SUMIF(A:A,B20,J:J)</f>
        <v>3</v>
      </c>
      <c r="Q20" s="11">
        <f>SUMIF(A:A,B20,K:K)</f>
        <v>0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1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2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1893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6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1893</v>
      </c>
      <c r="F25" s="24">
        <f>IFERROR((G23+R23)/F23,0)</f>
        <v>1</v>
      </c>
      <c r="G25" s="24">
        <f>IFERROR(H23/G23,0)</f>
        <v>1</v>
      </c>
      <c r="H25" s="23">
        <f>(C23/C25)</f>
        <v>210.3333333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6</v>
      </c>
      <c r="N25" s="25"/>
      <c r="O25" s="24">
        <f>IFERROR(O23/N23,0)</f>
        <v>0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4</v>
      </c>
      <c r="N26" s="11">
        <f>SUMIF(A:A,B26,N:N)</f>
        <v>1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1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4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10646</v>
      </c>
      <c r="D29" s="68"/>
      <c r="E29" s="69">
        <f>SUMIFS(T:T,A:A,B29,D:D,"Y")</f>
        <v>0</v>
      </c>
      <c r="F29" s="70">
        <f>SUMIF(A:A,B29,G:G)</f>
        <v>16</v>
      </c>
      <c r="G29" s="71">
        <f>SUMIF(A:A,B29,H:H)</f>
        <v>6</v>
      </c>
      <c r="H29" s="71">
        <f>SUMIF(A:A,B29,I:I)</f>
        <v>6</v>
      </c>
      <c r="I29" s="71">
        <f>SUMIF(A:A,B29,P:P)</f>
        <v>0</v>
      </c>
      <c r="J29" s="71">
        <f>SUMIF(A:A,B29,Q:Q)</f>
        <v>0</v>
      </c>
      <c r="K29" s="71">
        <f>SUMIF(A:A,B29,R:R)</f>
        <v>4</v>
      </c>
      <c r="L29" s="71">
        <f>SUMIF(A:A,B29,S:S)</f>
        <v>0</v>
      </c>
      <c r="M29" s="71">
        <f>SUMIF(A:A,B29,M:M)</f>
        <v>55</v>
      </c>
      <c r="N29" s="71">
        <f>SUMIF(A:A,B29,N:N)</f>
        <v>12</v>
      </c>
      <c r="O29" s="71">
        <f>SUMIF(A:A,B29,O:O)</f>
        <v>6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1774.333333</v>
      </c>
      <c r="F31" s="82">
        <f>IFERROR((G29+R29)/F29,0)</f>
        <v>0.375</v>
      </c>
      <c r="G31" s="82">
        <f>IFERROR(H29/G29,0)</f>
        <v>1</v>
      </c>
      <c r="H31" s="81">
        <f>(C29/C31)</f>
        <v>591.4444444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9.166666667</v>
      </c>
      <c r="N31" s="83"/>
      <c r="O31" s="82">
        <f>IFERROR(O29/N29,0)</f>
        <v>0.5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79">
        <v>4.0</v>
      </c>
      <c r="H38" s="179">
        <v>1.0</v>
      </c>
      <c r="I38" s="179">
        <v>1.0</v>
      </c>
      <c r="J38" s="179">
        <v>0.0</v>
      </c>
      <c r="K38" s="179">
        <v>0.0</v>
      </c>
      <c r="L38" s="179">
        <v>0.0</v>
      </c>
      <c r="M38" s="179">
        <v>4.0</v>
      </c>
      <c r="N38" s="179">
        <v>0.0</v>
      </c>
      <c r="O38" s="179">
        <v>0.0</v>
      </c>
      <c r="P38" s="179">
        <v>1.0</v>
      </c>
      <c r="Q38" s="179">
        <v>1.0</v>
      </c>
      <c r="R38" s="179">
        <v>0.0</v>
      </c>
      <c r="S38" s="179">
        <v>0.0</v>
      </c>
      <c r="T38" s="179">
        <v>1749.0</v>
      </c>
      <c r="U38" s="104">
        <f t="shared" si="2"/>
        <v>1</v>
      </c>
      <c r="V38" s="104">
        <f t="shared" si="3"/>
        <v>0.25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9">
        <v>1.0</v>
      </c>
      <c r="H39" s="103"/>
      <c r="I39" s="179">
        <v>1.0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1.0</v>
      </c>
      <c r="S39" s="179">
        <v>0.0</v>
      </c>
      <c r="T39" s="179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9">
        <v>2.0</v>
      </c>
      <c r="H40" s="179">
        <v>1.0</v>
      </c>
      <c r="I40" s="179">
        <v>0.0</v>
      </c>
      <c r="J40" s="179">
        <v>1.0</v>
      </c>
      <c r="K40" s="179">
        <v>0.0</v>
      </c>
      <c r="L40" s="179">
        <v>0.0</v>
      </c>
      <c r="M40" s="179">
        <v>0.0</v>
      </c>
      <c r="N40" s="179">
        <v>0.0</v>
      </c>
      <c r="O40" s="179">
        <v>0.0</v>
      </c>
      <c r="P40" s="179">
        <v>0.0</v>
      </c>
      <c r="Q40" s="179">
        <v>0.0</v>
      </c>
      <c r="R40" s="179">
        <v>1.0</v>
      </c>
      <c r="S40" s="179">
        <v>0.0</v>
      </c>
      <c r="T40" s="179">
        <v>0.0</v>
      </c>
      <c r="U40" s="104">
        <f t="shared" si="2"/>
        <v>0</v>
      </c>
      <c r="V40" s="104">
        <f t="shared" si="3"/>
        <v>0.5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9">
        <v>2.0</v>
      </c>
      <c r="H43" s="179">
        <v>1.0</v>
      </c>
      <c r="I43" s="179">
        <v>0.0</v>
      </c>
      <c r="J43" s="179">
        <v>0.0</v>
      </c>
      <c r="K43" s="179">
        <v>0.0</v>
      </c>
      <c r="L43" s="179">
        <v>0.0</v>
      </c>
      <c r="M43" s="179">
        <v>5.0</v>
      </c>
      <c r="N43" s="179">
        <v>0.0</v>
      </c>
      <c r="O43" s="179">
        <v>0.0</v>
      </c>
      <c r="P43" s="179">
        <v>0.0</v>
      </c>
      <c r="Q43" s="179">
        <v>0.0</v>
      </c>
      <c r="R43" s="179">
        <v>1.0</v>
      </c>
      <c r="S43" s="179">
        <v>0.0</v>
      </c>
      <c r="T43" s="179">
        <v>0.0</v>
      </c>
      <c r="U43" s="104">
        <f t="shared" si="2"/>
        <v>0</v>
      </c>
      <c r="V43" s="104">
        <f t="shared" si="3"/>
        <v>0.5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3.0</v>
      </c>
      <c r="H46" s="179">
        <v>2.0</v>
      </c>
      <c r="I46" s="179">
        <v>1.0</v>
      </c>
      <c r="J46" s="179">
        <v>2.0</v>
      </c>
      <c r="K46" s="179">
        <v>1.0</v>
      </c>
      <c r="L46" s="179">
        <v>0.0</v>
      </c>
      <c r="M46" s="179">
        <v>1.0</v>
      </c>
      <c r="N46" s="179">
        <v>2.0</v>
      </c>
      <c r="O46" s="179">
        <v>1.0</v>
      </c>
      <c r="P46" s="179">
        <v>0.0</v>
      </c>
      <c r="Q46" s="179">
        <v>0.0</v>
      </c>
      <c r="R46" s="179">
        <v>0.0</v>
      </c>
      <c r="S46" s="179">
        <v>0.0</v>
      </c>
      <c r="T46" s="179">
        <v>3847.0</v>
      </c>
      <c r="U46" s="104">
        <f t="shared" si="2"/>
        <v>0.5</v>
      </c>
      <c r="V46" s="104">
        <f t="shared" si="3"/>
        <v>0.6666666667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3.0</v>
      </c>
      <c r="H49" s="179">
        <v>0.0</v>
      </c>
      <c r="I49" s="179">
        <v>0.0</v>
      </c>
      <c r="J49" s="179">
        <v>0.0</v>
      </c>
      <c r="K49" s="179">
        <v>0.0</v>
      </c>
      <c r="L49" s="179">
        <v>0.0</v>
      </c>
      <c r="M49" s="179">
        <v>0.0</v>
      </c>
      <c r="N49" s="179">
        <v>0.0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3.0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3.0</v>
      </c>
      <c r="H60" s="179">
        <v>1.0</v>
      </c>
      <c r="I60" s="179">
        <v>1.0</v>
      </c>
      <c r="J60" s="179">
        <v>0.0</v>
      </c>
      <c r="K60" s="179">
        <v>0.0</v>
      </c>
      <c r="L60" s="179">
        <v>0.0</v>
      </c>
      <c r="M60" s="179">
        <v>6.0</v>
      </c>
      <c r="N60" s="179">
        <v>1.0</v>
      </c>
      <c r="O60" s="179">
        <v>1.0</v>
      </c>
      <c r="P60" s="179">
        <v>0.0</v>
      </c>
      <c r="Q60" s="179">
        <v>0.0</v>
      </c>
      <c r="R60" s="179">
        <v>0.0</v>
      </c>
      <c r="S60" s="179">
        <v>0.0</v>
      </c>
      <c r="T60" s="179">
        <v>1179.0</v>
      </c>
      <c r="U60" s="104">
        <f t="shared" si="2"/>
        <v>1</v>
      </c>
      <c r="V60" s="104">
        <f t="shared" si="3"/>
        <v>0.3333333333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79">
        <v>3.0</v>
      </c>
      <c r="H61" s="179">
        <v>2.0</v>
      </c>
      <c r="I61" s="179">
        <v>1.0</v>
      </c>
      <c r="J61" s="179">
        <v>1.0</v>
      </c>
      <c r="K61" s="179">
        <v>1.0</v>
      </c>
      <c r="L61" s="179">
        <v>0.0</v>
      </c>
      <c r="M61" s="179">
        <v>14.0</v>
      </c>
      <c r="N61" s="179">
        <v>0.0</v>
      </c>
      <c r="O61" s="179">
        <v>0.0</v>
      </c>
      <c r="P61" s="179">
        <v>0.0</v>
      </c>
      <c r="Q61" s="179">
        <v>0.0</v>
      </c>
      <c r="R61" s="179">
        <v>2.0</v>
      </c>
      <c r="S61" s="179">
        <v>1.0</v>
      </c>
      <c r="T61" s="179">
        <v>3167.0</v>
      </c>
      <c r="U61" s="104">
        <f t="shared" si="2"/>
        <v>0.5</v>
      </c>
      <c r="V61" s="104">
        <f t="shared" si="3"/>
        <v>0.6666666667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2.0</v>
      </c>
      <c r="H65" s="179">
        <v>1.0</v>
      </c>
      <c r="I65" s="179">
        <v>0.0</v>
      </c>
      <c r="J65" s="179">
        <v>2.0</v>
      </c>
      <c r="K65" s="179">
        <v>0.0</v>
      </c>
      <c r="L65" s="179">
        <v>1.0</v>
      </c>
      <c r="M65" s="179">
        <v>4.0</v>
      </c>
      <c r="N65" s="179">
        <v>1.0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03"/>
      <c r="U65" s="142">
        <f t="shared" si="4"/>
        <v>0</v>
      </c>
      <c r="V65" s="142">
        <f t="shared" si="5"/>
        <v>1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1.0</v>
      </c>
      <c r="H66" s="179">
        <v>1.0</v>
      </c>
      <c r="I66" s="179">
        <v>0.0</v>
      </c>
      <c r="J66" s="179">
        <v>1.0</v>
      </c>
      <c r="K66" s="179">
        <v>0.0</v>
      </c>
      <c r="L66" s="179">
        <v>0.0</v>
      </c>
      <c r="M66" s="179">
        <v>2.0</v>
      </c>
      <c r="N66" s="179">
        <v>1.0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03"/>
      <c r="U66" s="142">
        <f t="shared" si="4"/>
        <v>0</v>
      </c>
      <c r="V66" s="142">
        <f t="shared" si="5"/>
        <v>1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79">
        <v>0.0</v>
      </c>
      <c r="H69" s="179">
        <v>0.0</v>
      </c>
      <c r="I69" s="179">
        <v>0.0</v>
      </c>
      <c r="J69" s="179">
        <v>0.0</v>
      </c>
      <c r="K69" s="179">
        <v>0.0</v>
      </c>
      <c r="L69" s="179">
        <v>0.0</v>
      </c>
      <c r="M69" s="179">
        <v>0.0</v>
      </c>
      <c r="N69" s="179">
        <v>0.0</v>
      </c>
      <c r="O69" s="179">
        <v>0.0</v>
      </c>
      <c r="P69" s="179">
        <v>0.0</v>
      </c>
      <c r="Q69" s="179">
        <v>0.0</v>
      </c>
      <c r="R69" s="179">
        <v>0.0</v>
      </c>
      <c r="S69" s="179">
        <v>0.0</v>
      </c>
      <c r="T69" s="179">
        <v>0.0</v>
      </c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79">
        <v>1.0</v>
      </c>
      <c r="H79" s="179">
        <v>1.0</v>
      </c>
      <c r="I79" s="179">
        <v>1.0</v>
      </c>
      <c r="J79" s="179">
        <v>1.0</v>
      </c>
      <c r="K79" s="179">
        <v>1.0</v>
      </c>
      <c r="L79" s="179">
        <v>0.0</v>
      </c>
      <c r="M79" s="179">
        <v>6.0</v>
      </c>
      <c r="N79" s="179">
        <v>0.0</v>
      </c>
      <c r="O79" s="179">
        <v>0.0</v>
      </c>
      <c r="P79" s="179">
        <v>0.0</v>
      </c>
      <c r="Q79" s="179">
        <v>0.0</v>
      </c>
      <c r="R79" s="179">
        <v>1.0</v>
      </c>
      <c r="S79" s="179">
        <v>1.0</v>
      </c>
      <c r="T79" s="179">
        <v>1893.0</v>
      </c>
      <c r="U79" s="104">
        <f t="shared" si="6"/>
        <v>1</v>
      </c>
      <c r="V79" s="104">
        <f t="shared" si="7"/>
        <v>1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1.0</v>
      </c>
      <c r="H83" s="179">
        <v>1.0</v>
      </c>
      <c r="I83" s="179">
        <v>0.0</v>
      </c>
      <c r="J83" s="179">
        <v>0.0</v>
      </c>
      <c r="K83" s="179">
        <v>0.0</v>
      </c>
      <c r="L83" s="179">
        <v>0.0</v>
      </c>
      <c r="M83" s="179">
        <v>4.0</v>
      </c>
      <c r="N83" s="179">
        <v>1.0</v>
      </c>
      <c r="O83" s="179">
        <v>0.0</v>
      </c>
      <c r="P83" s="179">
        <v>0.0</v>
      </c>
      <c r="Q83" s="179">
        <v>0.0</v>
      </c>
      <c r="R83" s="179">
        <v>1.0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1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79">
        <v>0.0</v>
      </c>
      <c r="H88" s="179">
        <v>0.0</v>
      </c>
      <c r="I88" s="179">
        <v>0.0</v>
      </c>
      <c r="J88" s="179">
        <v>0.0</v>
      </c>
      <c r="K88" s="179">
        <v>0.0</v>
      </c>
      <c r="L88" s="179">
        <v>0.0</v>
      </c>
      <c r="M88" s="179">
        <v>0.0</v>
      </c>
      <c r="N88" s="179">
        <v>0.0</v>
      </c>
      <c r="O88" s="179">
        <v>0.0</v>
      </c>
      <c r="P88" s="179">
        <v>0.0</v>
      </c>
      <c r="Q88" s="179">
        <v>0.0</v>
      </c>
      <c r="R88" s="179">
        <v>0.0</v>
      </c>
      <c r="S88" s="179">
        <v>0.0</v>
      </c>
      <c r="T88" s="179">
        <v>0.0</v>
      </c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79">
        <v>16.0</v>
      </c>
      <c r="H91" s="179">
        <v>6.0</v>
      </c>
      <c r="I91" s="179">
        <v>6.0</v>
      </c>
      <c r="J91" s="103"/>
      <c r="K91" s="103"/>
      <c r="L91" s="103"/>
      <c r="M91" s="179">
        <v>55.0</v>
      </c>
      <c r="N91" s="179">
        <v>12.0</v>
      </c>
      <c r="O91" s="179">
        <v>6.0</v>
      </c>
      <c r="P91" s="103"/>
      <c r="Q91" s="103"/>
      <c r="R91" s="179">
        <v>4.0</v>
      </c>
      <c r="S91" s="103"/>
      <c r="T91" s="179">
        <v>10646.0</v>
      </c>
      <c r="U91" s="104">
        <f t="shared" si="10"/>
        <v>1</v>
      </c>
      <c r="V91" s="104">
        <f t="shared" si="11"/>
        <v>0.375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18743.68</v>
      </c>
      <c r="D2" s="10"/>
      <c r="E2" s="11">
        <f t="shared" ref="E2:R2" si="1">SUM(E5,E20,E23,E26,E29,E32)</f>
        <v>13753.68</v>
      </c>
      <c r="F2" s="11">
        <f t="shared" si="1"/>
        <v>36</v>
      </c>
      <c r="G2" s="11">
        <f t="shared" si="1"/>
        <v>16</v>
      </c>
      <c r="H2" s="11">
        <f t="shared" si="1"/>
        <v>10</v>
      </c>
      <c r="I2" s="11">
        <f t="shared" si="1"/>
        <v>3</v>
      </c>
      <c r="J2" s="11">
        <f t="shared" si="1"/>
        <v>1</v>
      </c>
      <c r="K2" s="11">
        <f t="shared" si="1"/>
        <v>5</v>
      </c>
      <c r="L2" s="11">
        <f t="shared" si="1"/>
        <v>2</v>
      </c>
      <c r="M2" s="11">
        <f t="shared" si="1"/>
        <v>32</v>
      </c>
      <c r="N2" s="11">
        <f t="shared" si="1"/>
        <v>6</v>
      </c>
      <c r="O2" s="11">
        <f t="shared" si="1"/>
        <v>7</v>
      </c>
      <c r="P2" s="11">
        <f t="shared" si="1"/>
        <v>9</v>
      </c>
      <c r="Q2" s="11">
        <f t="shared" si="1"/>
        <v>6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1874.368</v>
      </c>
      <c r="F4" s="24">
        <f>IFERROR((G2+R2)/F2,0)</f>
        <v>0.4722222222</v>
      </c>
      <c r="G4" s="24">
        <f>IFERROR(H2/G2,0)</f>
        <v>0.625</v>
      </c>
      <c r="H4" s="23">
        <f>(C2/C4)</f>
        <v>271.6475362</v>
      </c>
      <c r="I4" s="25"/>
      <c r="J4" s="24">
        <f>IFERROR(J2/I2,0)</f>
        <v>0.3333333333</v>
      </c>
      <c r="K4" s="25"/>
      <c r="L4" s="24">
        <f>IFERROR(L2/K2,0)</f>
        <v>0.4</v>
      </c>
      <c r="M4" s="26">
        <f>IFERROR(M2/G2,0)</f>
        <v>2</v>
      </c>
      <c r="N4" s="25"/>
      <c r="O4" s="24">
        <f>IFERROR(O2/N2,0)</f>
        <v>1.166666667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6082</v>
      </c>
      <c r="D5" s="31"/>
      <c r="E5" s="32">
        <f>SUMIFS(T:T,A:A,B5,D:D,"Y")</f>
        <v>6082</v>
      </c>
      <c r="F5" s="11">
        <f>SUMIF(A:A,B5,G:G)</f>
        <v>26</v>
      </c>
      <c r="G5" s="11">
        <f>SUMIF(A:A,B5,H:H)</f>
        <v>10</v>
      </c>
      <c r="H5" s="11">
        <f>SUMIF(A:A,B5,I:I)</f>
        <v>4</v>
      </c>
      <c r="I5" s="11">
        <f>SUMIF(A:A,B5,P:P)</f>
        <v>3</v>
      </c>
      <c r="J5" s="11">
        <f>SUMIF(A:A,B5,Q:Q)</f>
        <v>1</v>
      </c>
      <c r="K5" s="11">
        <f>SUMIF(A:A,B5,R:R)</f>
        <v>5</v>
      </c>
      <c r="L5" s="11">
        <f>SUMIF(A:A,B5,S:S)</f>
        <v>2</v>
      </c>
      <c r="M5" s="11">
        <f>SUMIF(A:A,B5,M:M)</f>
        <v>18</v>
      </c>
      <c r="N5" s="11">
        <f>SUMIF(A:A,B5,N:N)</f>
        <v>1</v>
      </c>
      <c r="O5" s="11">
        <f>SUMIF(A:A,B5,O:O)</f>
        <v>1</v>
      </c>
      <c r="P5" s="11">
        <f>SUMIF(A:A,B5,J:J)</f>
        <v>3</v>
      </c>
      <c r="Q5" s="11">
        <f>SUMIF(A:A,B5,K:K)</f>
        <v>2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1520.5</v>
      </c>
      <c r="F7" s="41">
        <f>IFERROR((G5+R5)/F5,0)</f>
        <v>0.4230769231</v>
      </c>
      <c r="G7" s="41">
        <f>IFERROR(H5/G5,0)</f>
        <v>0.4</v>
      </c>
      <c r="H7" s="40">
        <f>(C5/C7)</f>
        <v>233.9230769</v>
      </c>
      <c r="I7" s="42"/>
      <c r="J7" s="41">
        <f>IFERROR(J5/I5,0)</f>
        <v>0.3333333333</v>
      </c>
      <c r="K7" s="42"/>
      <c r="L7" s="41">
        <f>IFERROR(L5/K5,0)</f>
        <v>0.4</v>
      </c>
      <c r="M7" s="43">
        <f>IFERROR(M5/SUM(R5+G5,0),"")</f>
        <v>1.636363636</v>
      </c>
      <c r="N7" s="42"/>
      <c r="O7" s="41">
        <f>IFERROR(O5/N5,0)</f>
        <v>1</v>
      </c>
      <c r="P7" s="43"/>
      <c r="Q7" s="41">
        <f>IFERROR(Q5/P5,0)</f>
        <v>0.6666666667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4852</v>
      </c>
      <c r="D8" s="48"/>
      <c r="E8" s="49">
        <f>SUMIFS(T:T,B:B,B8,D:D,"Y")</f>
        <v>4852</v>
      </c>
      <c r="F8" s="50">
        <f>SUMIF(B38:B1137,B8,G38:G1137)</f>
        <v>11</v>
      </c>
      <c r="G8" s="51">
        <f>SUMIF(B38:B1137,B8,H38:H1137)</f>
        <v>6</v>
      </c>
      <c r="H8" s="51">
        <f>SUMIF(B38:B1137,B8,I38:I1137)</f>
        <v>2</v>
      </c>
      <c r="I8" s="51">
        <f>SUMIF(B38:B1137,B8,P38:P1137)</f>
        <v>3</v>
      </c>
      <c r="J8" s="51">
        <f>SUMIF(B38:B1137,B8,Q38:Q1137)</f>
        <v>1</v>
      </c>
      <c r="K8" s="51">
        <f>SUMIF(B38:B1137,B8,R38:R1137)</f>
        <v>2</v>
      </c>
      <c r="L8" s="51">
        <f>SUMIF(B38:B1137,B8,S38:S1137)</f>
        <v>0</v>
      </c>
      <c r="M8" s="51">
        <f>SUMIF(B38:B1137,B8,M38:M1137)</f>
        <v>4</v>
      </c>
      <c r="N8" s="51">
        <f>SUMIF(B38:B1137,B8,N38:N1137)</f>
        <v>1</v>
      </c>
      <c r="O8" s="51">
        <f>SUMIF(B38:B1137,B8,O38:O1137)</f>
        <v>1</v>
      </c>
      <c r="P8" s="51">
        <f>SUMIF(B38:B1137,B8,J38:J1137)</f>
        <v>1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2426</v>
      </c>
      <c r="F10" s="24">
        <f>IFERROR((G8+R8)/F8,0)</f>
        <v>0.5454545455</v>
      </c>
      <c r="G10" s="24">
        <f>IFERROR(H8/G8,0)</f>
        <v>0.3333333333</v>
      </c>
      <c r="H10" s="23">
        <f>(C8/C10)</f>
        <v>606.5</v>
      </c>
      <c r="I10" s="25"/>
      <c r="J10" s="24">
        <f>IFERROR(J8/I8,0)</f>
        <v>0.3333333333</v>
      </c>
      <c r="K10" s="25"/>
      <c r="L10" s="24">
        <f>IFERROR(L8/K8,0)</f>
        <v>0</v>
      </c>
      <c r="M10" s="26">
        <f>IFERROR(M8/SUM(R8+G8,0),"")</f>
        <v>0.6666666667</v>
      </c>
      <c r="N10" s="25"/>
      <c r="O10" s="24">
        <f>IFERROR(O8/N8,0)</f>
        <v>1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7</v>
      </c>
      <c r="G11" s="51">
        <f>SUMIF(B38:B1137,B11,H38:H1137)</f>
        <v>3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2</v>
      </c>
      <c r="L11" s="51">
        <f>SUMIF(B38:B1137,B11,S38:S1137)</f>
        <v>1</v>
      </c>
      <c r="M11" s="51">
        <f>SUMIF(B38:B1137,B11,M38:M1137)</f>
        <v>7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1</v>
      </c>
      <c r="Q11" s="51">
        <f>SUMIF(B38:B1137,B11,K38:K1137)</f>
        <v>1</v>
      </c>
      <c r="R11" s="52">
        <f>SUMIF(B38:B1137,B11,L38:L1137)</f>
        <v>1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0.5714285714</v>
      </c>
      <c r="G13" s="24">
        <f>IFERROR(H11/G11,0)</f>
        <v>0.3333333333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0.5</v>
      </c>
      <c r="M13" s="26">
        <f>IFERROR(M11/SUM(R11+G11,0),"")</f>
        <v>1.75</v>
      </c>
      <c r="N13" s="25"/>
      <c r="O13" s="24">
        <f>IFERROR(O11/N11,0)</f>
        <v>0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1230</v>
      </c>
      <c r="D17" s="62"/>
      <c r="E17" s="49">
        <f>SUMIFS(T:T,B:B,B17,D:D,"Y")</f>
        <v>1230</v>
      </c>
      <c r="F17" s="50">
        <f>SUMIF(B37:B1137,B17,G37:G1137)</f>
        <v>8</v>
      </c>
      <c r="G17" s="51">
        <f>SUMIF(B37:B1137,B17,H37:H1137)</f>
        <v>1</v>
      </c>
      <c r="H17" s="51">
        <f>SUMIF(B37:B1137,B17,I37:I1137)</f>
        <v>1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1</v>
      </c>
      <c r="L17" s="51">
        <f>SUMIF(B37:B1137,B17,S37:S1137)</f>
        <v>1</v>
      </c>
      <c r="M17" s="51">
        <f>SUMIF(B37:B1137,B17,M37:M1137)</f>
        <v>7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1</v>
      </c>
      <c r="Q17" s="51">
        <f>SUMIF(B37:B1137,B17,K37:K1137)</f>
        <v>1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1230</v>
      </c>
      <c r="F19" s="24">
        <f>IFERROR((G17+R17)/F17,0)</f>
        <v>0.125</v>
      </c>
      <c r="G19" s="24">
        <f>IFERROR(H17/G17,0)</f>
        <v>1</v>
      </c>
      <c r="H19" s="23">
        <f>(C17/C19)</f>
        <v>205</v>
      </c>
      <c r="I19" s="25"/>
      <c r="J19" s="24">
        <f>IFERROR(J17/I17,0)</f>
        <v>0</v>
      </c>
      <c r="K19" s="25"/>
      <c r="L19" s="24">
        <f>IFERROR(L17/K17,0)</f>
        <v>1</v>
      </c>
      <c r="M19" s="26">
        <f>IFERROR(M17/SUM(G17+R17,0),"")</f>
        <v>7</v>
      </c>
      <c r="N19" s="25"/>
      <c r="O19" s="24">
        <f>IFERROR(O17/N17,0)</f>
        <v>0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2421</v>
      </c>
      <c r="D20" s="31"/>
      <c r="E20" s="64">
        <f>SUMIFS(T:T,A:A,B20,D:D,"Y")</f>
        <v>2421</v>
      </c>
      <c r="F20" s="9">
        <f>SUMIF(A:A,B20,G:G)</f>
        <v>6</v>
      </c>
      <c r="G20" s="11">
        <f>SUMIF(A:A,B20,H:H)</f>
        <v>2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3</v>
      </c>
      <c r="N20" s="11">
        <f>SUMIF(A:A,B20,N:N)</f>
        <v>1</v>
      </c>
      <c r="O20" s="11">
        <f>SUMIF(A:A,B20,O:O)</f>
        <v>1</v>
      </c>
      <c r="P20" s="11">
        <f>SUMIF(A:A,B20,J:J)</f>
        <v>3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2421</v>
      </c>
      <c r="F22" s="24">
        <f>IFERROR((G20+R20)/F20,0)</f>
        <v>0.3333333333</v>
      </c>
      <c r="G22" s="24">
        <f>IFERROR(H20/G20,0)</f>
        <v>0.5</v>
      </c>
      <c r="H22" s="23">
        <f>(C20/C22)</f>
        <v>403.5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1.5</v>
      </c>
      <c r="N22" s="25"/>
      <c r="O22" s="24">
        <f>IFERROR(O20/N20,0)</f>
        <v>1</v>
      </c>
      <c r="P22" s="26"/>
      <c r="Q22" s="24">
        <f>IFERROR(Q20/P20,0)</f>
        <v>0.3333333333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7968</v>
      </c>
      <c r="D23" s="31"/>
      <c r="E23" s="64">
        <f>SUMIFS(T:T,A:A,B23,D:D,"Y")</f>
        <v>2978</v>
      </c>
      <c r="F23" s="9">
        <f>SUMIF(A:A,B23,G:G)</f>
        <v>4</v>
      </c>
      <c r="G23" s="11">
        <f>SUMIF(A:A,B23,H:H)</f>
        <v>4</v>
      </c>
      <c r="H23" s="11">
        <f>SUMIF(A:A,B23,I:I)</f>
        <v>4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11</v>
      </c>
      <c r="N23" s="11">
        <f>SUMIF(A:A,B23,N:N)</f>
        <v>4</v>
      </c>
      <c r="O23" s="11">
        <f>SUMIF(A:A,B23,O:O)</f>
        <v>4</v>
      </c>
      <c r="P23" s="11">
        <f>SUMIF(A:A,B23,J:J)</f>
        <v>3</v>
      </c>
      <c r="Q23" s="11">
        <f>SUMIF(A:A,B23,K:K)</f>
        <v>3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1992</v>
      </c>
      <c r="F25" s="24">
        <f>IFERROR((G23+R23)/F23,0)</f>
        <v>1</v>
      </c>
      <c r="G25" s="24">
        <f>IFERROR(H23/G23,0)</f>
        <v>1</v>
      </c>
      <c r="H25" s="23">
        <f>(C23/C25)</f>
        <v>885.3333333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2.75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2272.68</v>
      </c>
      <c r="D26" s="31"/>
      <c r="E26" s="64">
        <f>SUMIFS(T:T,A:A,B26,D:D,"Y")</f>
        <v>2272.68</v>
      </c>
      <c r="F26" s="9">
        <f>SUMIF(A:A,B26,G:G)</f>
        <v>0</v>
      </c>
      <c r="G26" s="11">
        <f>SUMIF(A:A,B26,H:H)</f>
        <v>0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1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2272.68</v>
      </c>
      <c r="F28" s="24">
        <f>IFERROR((G26+R26)/F26,0)</f>
        <v>0</v>
      </c>
      <c r="G28" s="24">
        <f>IFERROR(H26/G26,0)</f>
        <v>0</v>
      </c>
      <c r="H28" s="23">
        <f>(C26/C28)</f>
        <v>284.085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79">
        <v>7.0</v>
      </c>
      <c r="H38" s="179">
        <v>4.0</v>
      </c>
      <c r="I38" s="179">
        <v>2.0</v>
      </c>
      <c r="J38" s="179">
        <v>1.0</v>
      </c>
      <c r="K38" s="179">
        <v>0.0</v>
      </c>
      <c r="L38" s="179">
        <v>0.0</v>
      </c>
      <c r="M38" s="179">
        <v>4.0</v>
      </c>
      <c r="N38" s="179">
        <v>1.0</v>
      </c>
      <c r="O38" s="179">
        <v>1.0</v>
      </c>
      <c r="P38" s="179">
        <v>3.0</v>
      </c>
      <c r="Q38" s="179">
        <v>1.0</v>
      </c>
      <c r="R38" s="179">
        <v>0.0</v>
      </c>
      <c r="S38" s="179">
        <v>0.0</v>
      </c>
      <c r="T38" s="179">
        <v>4852.0</v>
      </c>
      <c r="U38" s="104">
        <f t="shared" si="2"/>
        <v>0.5</v>
      </c>
      <c r="V38" s="104">
        <f t="shared" si="3"/>
        <v>0.5714285714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9">
        <v>3.0</v>
      </c>
      <c r="H39" s="179">
        <v>2.0</v>
      </c>
      <c r="I39" s="179">
        <v>0.0</v>
      </c>
      <c r="J39" s="179">
        <v>0.0</v>
      </c>
      <c r="K39" s="179">
        <v>0.0</v>
      </c>
      <c r="L39" s="179">
        <v>0.0</v>
      </c>
      <c r="M39" s="179">
        <v>0.0</v>
      </c>
      <c r="N39" s="179">
        <v>0.0</v>
      </c>
      <c r="O39" s="179">
        <v>0.0</v>
      </c>
      <c r="P39" s="179">
        <v>0.0</v>
      </c>
      <c r="Q39" s="179">
        <v>0.0</v>
      </c>
      <c r="R39" s="179">
        <v>2.0</v>
      </c>
      <c r="S39" s="179">
        <v>0.0</v>
      </c>
      <c r="T39" s="179">
        <v>0.0</v>
      </c>
      <c r="U39" s="104">
        <f t="shared" si="2"/>
        <v>0</v>
      </c>
      <c r="V39" s="104">
        <f t="shared" si="3"/>
        <v>0.6666666667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9">
        <v>1.0</v>
      </c>
      <c r="H43" s="179">
        <v>0.0</v>
      </c>
      <c r="I43" s="179">
        <v>0.0</v>
      </c>
      <c r="J43" s="179">
        <v>0.0</v>
      </c>
      <c r="K43" s="179">
        <v>0.0</v>
      </c>
      <c r="L43" s="179">
        <v>0.0</v>
      </c>
      <c r="M43" s="179">
        <v>0.0</v>
      </c>
      <c r="N43" s="179">
        <v>0.0</v>
      </c>
      <c r="O43" s="179">
        <v>0.0</v>
      </c>
      <c r="P43" s="179">
        <v>0.0</v>
      </c>
      <c r="Q43" s="179">
        <v>0.0</v>
      </c>
      <c r="R43" s="179">
        <v>0.0</v>
      </c>
      <c r="S43" s="179">
        <v>0.0</v>
      </c>
      <c r="T43" s="179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2.0</v>
      </c>
      <c r="H46" s="179">
        <v>2.0</v>
      </c>
      <c r="I46" s="179">
        <v>1.0</v>
      </c>
      <c r="J46" s="179">
        <v>1.0</v>
      </c>
      <c r="K46" s="179">
        <v>1.0</v>
      </c>
      <c r="L46" s="179">
        <v>0.0</v>
      </c>
      <c r="M46" s="179">
        <v>7.0</v>
      </c>
      <c r="N46" s="179">
        <v>0.0</v>
      </c>
      <c r="O46" s="179">
        <v>0.0</v>
      </c>
      <c r="P46" s="179">
        <v>0.0</v>
      </c>
      <c r="Q46" s="179">
        <v>0.0</v>
      </c>
      <c r="R46" s="179">
        <v>2.0</v>
      </c>
      <c r="S46" s="179">
        <v>1.0</v>
      </c>
      <c r="T46" s="179">
        <v>0.0</v>
      </c>
      <c r="U46" s="104">
        <f t="shared" si="2"/>
        <v>0.5</v>
      </c>
      <c r="V46" s="104">
        <f t="shared" si="3"/>
        <v>1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5.0</v>
      </c>
      <c r="H49" s="179">
        <v>1.0</v>
      </c>
      <c r="I49" s="179">
        <v>0.0</v>
      </c>
      <c r="J49" s="179">
        <v>0.0</v>
      </c>
      <c r="K49" s="179">
        <v>0.0</v>
      </c>
      <c r="L49" s="179">
        <v>1.0</v>
      </c>
      <c r="M49" s="179"/>
      <c r="N49" s="179">
        <v>0.0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0.4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2.0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2.0</v>
      </c>
      <c r="H60" s="179">
        <v>0.0</v>
      </c>
      <c r="I60" s="179">
        <v>0.0</v>
      </c>
      <c r="J60" s="179">
        <v>0.0</v>
      </c>
      <c r="K60" s="179">
        <v>0.0</v>
      </c>
      <c r="L60" s="179">
        <v>0.0</v>
      </c>
      <c r="M60" s="179">
        <v>0.0</v>
      </c>
      <c r="N60" s="179">
        <v>0.0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79">
        <v>4.0</v>
      </c>
      <c r="H61" s="179">
        <v>1.0</v>
      </c>
      <c r="I61" s="179">
        <v>1.0</v>
      </c>
      <c r="J61" s="179">
        <v>1.0</v>
      </c>
      <c r="K61" s="179">
        <v>1.0</v>
      </c>
      <c r="L61" s="179">
        <v>0.0</v>
      </c>
      <c r="M61" s="179">
        <v>7.0</v>
      </c>
      <c r="N61" s="179">
        <v>0.0</v>
      </c>
      <c r="O61" s="179">
        <v>0.0</v>
      </c>
      <c r="P61" s="179">
        <v>0.0</v>
      </c>
      <c r="Q61" s="179">
        <v>0.0</v>
      </c>
      <c r="R61" s="179">
        <v>1.0</v>
      </c>
      <c r="S61" s="179">
        <v>1.0</v>
      </c>
      <c r="T61" s="179">
        <v>1230.0</v>
      </c>
      <c r="U61" s="104">
        <f t="shared" si="2"/>
        <v>1</v>
      </c>
      <c r="V61" s="104">
        <f t="shared" si="3"/>
        <v>0.25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1.0</v>
      </c>
      <c r="H67" s="179">
        <v>1.0</v>
      </c>
      <c r="I67" s="179">
        <v>1.0</v>
      </c>
      <c r="J67" s="179">
        <v>1.0</v>
      </c>
      <c r="K67" s="179">
        <v>1.0</v>
      </c>
      <c r="L67" s="179">
        <v>0.0</v>
      </c>
      <c r="M67" s="179">
        <v>0.0</v>
      </c>
      <c r="N67" s="179">
        <v>1.0</v>
      </c>
      <c r="O67" s="179">
        <v>1.0</v>
      </c>
      <c r="P67" s="179">
        <v>0.0</v>
      </c>
      <c r="Q67" s="179">
        <v>0.0</v>
      </c>
      <c r="R67" s="179">
        <v>0.0</v>
      </c>
      <c r="S67" s="179">
        <v>0.0</v>
      </c>
      <c r="T67" s="179">
        <v>2421.0</v>
      </c>
      <c r="U67" s="142">
        <f t="shared" si="4"/>
        <v>1</v>
      </c>
      <c r="V67" s="142">
        <f t="shared" si="5"/>
        <v>1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79">
        <v>5.0</v>
      </c>
      <c r="H69" s="179">
        <v>1.0</v>
      </c>
      <c r="I69" s="179">
        <v>0.0</v>
      </c>
      <c r="J69" s="179">
        <v>2.0</v>
      </c>
      <c r="K69" s="179">
        <v>0.0</v>
      </c>
      <c r="L69" s="179">
        <v>0.0</v>
      </c>
      <c r="M69" s="179">
        <v>3.0</v>
      </c>
      <c r="N69" s="179">
        <v>0.0</v>
      </c>
      <c r="O69" s="179">
        <v>0.0</v>
      </c>
      <c r="P69" s="179">
        <v>0.0</v>
      </c>
      <c r="Q69" s="179">
        <v>0.0</v>
      </c>
      <c r="R69" s="179">
        <v>0.0</v>
      </c>
      <c r="S69" s="179">
        <v>0.0</v>
      </c>
      <c r="T69" s="179">
        <v>0.0</v>
      </c>
      <c r="U69" s="142">
        <f t="shared" si="4"/>
        <v>0</v>
      </c>
      <c r="V69" s="142">
        <f t="shared" si="5"/>
        <v>0.2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79">
        <v>2.0</v>
      </c>
      <c r="H71" s="179">
        <v>2.0</v>
      </c>
      <c r="I71" s="179">
        <v>2.0</v>
      </c>
      <c r="J71" s="179">
        <v>2.0</v>
      </c>
      <c r="K71" s="179">
        <v>2.0</v>
      </c>
      <c r="L71" s="103"/>
      <c r="M71" s="179">
        <v>5.0</v>
      </c>
      <c r="N71" s="179">
        <v>2.0</v>
      </c>
      <c r="O71" s="179">
        <v>2.0</v>
      </c>
      <c r="P71" s="179">
        <v>0.0</v>
      </c>
      <c r="Q71" s="179">
        <v>0.0</v>
      </c>
      <c r="R71" s="103"/>
      <c r="S71" s="103"/>
      <c r="T71" s="179">
        <v>2978.0</v>
      </c>
      <c r="U71" s="104">
        <f t="shared" ref="U71:U79" si="6">IFERROR(I71/H71,0)</f>
        <v>1</v>
      </c>
      <c r="V71" s="104">
        <f t="shared" ref="V71:V79" si="7">IFERROR(SUM(H71+L71)/G71,0)</f>
        <v>1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79">
        <v>2.0</v>
      </c>
      <c r="H79" s="179">
        <v>2.0</v>
      </c>
      <c r="I79" s="179">
        <v>2.0</v>
      </c>
      <c r="J79" s="179">
        <v>1.0</v>
      </c>
      <c r="K79" s="179">
        <v>1.0</v>
      </c>
      <c r="L79" s="103"/>
      <c r="M79" s="179">
        <v>6.0</v>
      </c>
      <c r="N79" s="179">
        <v>2.0</v>
      </c>
      <c r="O79" s="179">
        <v>2.0</v>
      </c>
      <c r="P79" s="179">
        <v>0.0</v>
      </c>
      <c r="Q79" s="179">
        <v>0.0</v>
      </c>
      <c r="R79" s="179">
        <v>0.0</v>
      </c>
      <c r="S79" s="179">
        <v>0.0</v>
      </c>
      <c r="T79" s="179">
        <v>4990.0</v>
      </c>
      <c r="U79" s="104">
        <f t="shared" si="6"/>
        <v>1</v>
      </c>
      <c r="V79" s="104">
        <f t="shared" si="7"/>
        <v>1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0.0</v>
      </c>
      <c r="H83" s="179">
        <v>0.0</v>
      </c>
      <c r="I83" s="179">
        <v>1.0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1.0</v>
      </c>
      <c r="P83" s="179">
        <v>0.0</v>
      </c>
      <c r="Q83" s="179">
        <v>0.0</v>
      </c>
      <c r="R83" s="179">
        <v>0.0</v>
      </c>
      <c r="S83" s="179">
        <v>0.0</v>
      </c>
      <c r="T83" s="179">
        <v>2272.68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2185</v>
      </c>
      <c r="D2" s="10"/>
      <c r="E2" s="11">
        <f t="shared" ref="E2:R2" si="1">SUM(E5,E20,E23,E26,E29,E32)</f>
        <v>2185</v>
      </c>
      <c r="F2" s="11">
        <f t="shared" si="1"/>
        <v>18</v>
      </c>
      <c r="G2" s="11">
        <f t="shared" si="1"/>
        <v>4</v>
      </c>
      <c r="H2" s="11">
        <f t="shared" si="1"/>
        <v>2</v>
      </c>
      <c r="I2" s="11">
        <f t="shared" si="1"/>
        <v>1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12</v>
      </c>
      <c r="N2" s="11">
        <f t="shared" si="1"/>
        <v>2</v>
      </c>
      <c r="O2" s="11">
        <f t="shared" si="1"/>
        <v>1</v>
      </c>
      <c r="P2" s="11">
        <f t="shared" si="1"/>
        <v>3</v>
      </c>
      <c r="Q2" s="11">
        <f t="shared" si="1"/>
        <v>1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1092.5</v>
      </c>
      <c r="F4" s="24">
        <f>IFERROR((G2+R2)/F2,0)</f>
        <v>0.3333333333</v>
      </c>
      <c r="G4" s="24">
        <f>IFERROR(H2/G2,0)</f>
        <v>0.5</v>
      </c>
      <c r="H4" s="23">
        <f>(C2/C4)</f>
        <v>31.66666667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3</v>
      </c>
      <c r="N4" s="25"/>
      <c r="O4" s="24">
        <f>IFERROR(O2/N2,0)</f>
        <v>0.5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1201</v>
      </c>
      <c r="D5" s="31"/>
      <c r="E5" s="32">
        <f>SUMIFS(T:T,A:A,B5,D:D,"Y")</f>
        <v>1201</v>
      </c>
      <c r="F5" s="11">
        <f>SUMIF(A:A,B5,G:G)</f>
        <v>16</v>
      </c>
      <c r="G5" s="11">
        <f>SUMIF(A:A,B5,H:H)</f>
        <v>2</v>
      </c>
      <c r="H5" s="11">
        <f>SUMIF(A:A,B5,I:I)</f>
        <v>1</v>
      </c>
      <c r="I5" s="11">
        <f>SUMIF(A:A,B5,P:P)</f>
        <v>1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7</v>
      </c>
      <c r="N5" s="11">
        <f>SUMIF(A:A,B5,N:N)</f>
        <v>0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1201</v>
      </c>
      <c r="F7" s="41">
        <f>IFERROR((G5+R5)/F5,0)</f>
        <v>0.25</v>
      </c>
      <c r="G7" s="41">
        <f>IFERROR(H5/G5,0)</f>
        <v>0.5</v>
      </c>
      <c r="H7" s="40">
        <f>(C5/C7)</f>
        <v>46.19230769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1.75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1201</v>
      </c>
      <c r="D8" s="48"/>
      <c r="E8" s="49">
        <f>SUMIFS(T:T,B:B,B8,D:D,"Y")</f>
        <v>1201</v>
      </c>
      <c r="F8" s="50">
        <f>SUMIF(B38:B1137,B8,G38:G1137)</f>
        <v>6</v>
      </c>
      <c r="G8" s="51">
        <f>SUMIF(B38:B1137,B8,H38:H1137)</f>
        <v>1</v>
      </c>
      <c r="H8" s="51">
        <f>SUMIF(B38:B1137,B8,I38:I1137)</f>
        <v>1</v>
      </c>
      <c r="I8" s="51">
        <f>SUMIF(B38:B1137,B8,P38:P1137)</f>
        <v>1</v>
      </c>
      <c r="J8" s="51">
        <f>SUMIF(B38:B1137,B8,Q38:Q1137)</f>
        <v>1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1201</v>
      </c>
      <c r="F10" s="24">
        <f>IFERROR((G8+R8)/F8,0)</f>
        <v>0.1666666667</v>
      </c>
      <c r="G10" s="24">
        <f>IFERROR(H8/G8,0)</f>
        <v>1</v>
      </c>
      <c r="H10" s="23">
        <f>(C8/C10)</f>
        <v>150.125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0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4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1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1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0.25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6</v>
      </c>
      <c r="G17" s="51">
        <f>SUMIF(B37:B1137,B17,H37:H1137)</f>
        <v>1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6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1</v>
      </c>
      <c r="Q17" s="51">
        <f>SUMIF(B37:B1137,B17,K37:K1137)</f>
        <v>0</v>
      </c>
      <c r="R17" s="52">
        <f>SUMIF(B37:B1137,B17,L37:L1137)</f>
        <v>1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0.3333333333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3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984</v>
      </c>
      <c r="D20" s="31"/>
      <c r="E20" s="64">
        <f>SUMIFS(T:T,A:A,B20,D:D,"Y")</f>
        <v>984</v>
      </c>
      <c r="F20" s="9">
        <f>SUMIF(A:A,B20,G:G)</f>
        <v>2</v>
      </c>
      <c r="G20" s="11">
        <f>SUMIF(A:A,B20,H:H)</f>
        <v>2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5</v>
      </c>
      <c r="N20" s="11">
        <f>SUMIF(A:A,B20,N:N)</f>
        <v>2</v>
      </c>
      <c r="O20" s="11">
        <f>SUMIF(A:A,B20,O:O)</f>
        <v>1</v>
      </c>
      <c r="P20" s="11">
        <f>SUMIF(A:A,B20,J:J)</f>
        <v>2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984</v>
      </c>
      <c r="F22" s="24">
        <f>IFERROR((G20+R20)/F20,0)</f>
        <v>1</v>
      </c>
      <c r="G22" s="24">
        <f>IFERROR(H20/G20,0)</f>
        <v>0.5</v>
      </c>
      <c r="H22" s="23">
        <f>(C20/C22)</f>
        <v>164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2.5</v>
      </c>
      <c r="N22" s="25"/>
      <c r="O22" s="24">
        <f>IFERROR(O20/N20,0)</f>
        <v>0.5</v>
      </c>
      <c r="P22" s="26"/>
      <c r="Q22" s="24">
        <f>IFERROR(Q20/P20,0)</f>
        <v>0.5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79">
        <v>6.0</v>
      </c>
      <c r="H38" s="179">
        <v>1.0</v>
      </c>
      <c r="I38" s="179">
        <v>1.0</v>
      </c>
      <c r="J38" s="179">
        <v>0.0</v>
      </c>
      <c r="K38" s="179">
        <v>0.0</v>
      </c>
      <c r="L38" s="179">
        <v>0.0</v>
      </c>
      <c r="M38" s="179">
        <v>0.0</v>
      </c>
      <c r="N38" s="179">
        <v>0.0</v>
      </c>
      <c r="O38" s="179">
        <v>0.0</v>
      </c>
      <c r="P38" s="179">
        <v>1.0</v>
      </c>
      <c r="Q38" s="179">
        <v>1.0</v>
      </c>
      <c r="R38" s="179">
        <v>0.0</v>
      </c>
      <c r="S38" s="179">
        <v>0.0</v>
      </c>
      <c r="T38" s="179">
        <v>1201.0</v>
      </c>
      <c r="U38" s="104">
        <f t="shared" si="2"/>
        <v>1</v>
      </c>
      <c r="V38" s="104">
        <f t="shared" si="3"/>
        <v>0.1666666667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4.0</v>
      </c>
      <c r="H46" s="179">
        <v>0.0</v>
      </c>
      <c r="I46" s="179">
        <v>0.0</v>
      </c>
      <c r="J46" s="179">
        <v>0.0</v>
      </c>
      <c r="K46" s="179">
        <v>0.0</v>
      </c>
      <c r="L46" s="179">
        <v>1.0</v>
      </c>
      <c r="M46" s="179">
        <v>1.0</v>
      </c>
      <c r="N46" s="179">
        <v>0.0</v>
      </c>
      <c r="O46" s="179">
        <v>0.0</v>
      </c>
      <c r="P46" s="179">
        <v>0.0</v>
      </c>
      <c r="Q46" s="179">
        <v>0.0</v>
      </c>
      <c r="R46" s="179">
        <v>0.0</v>
      </c>
      <c r="S46" s="179">
        <v>0.0</v>
      </c>
      <c r="T46" s="179">
        <v>0.0</v>
      </c>
      <c r="U46" s="104">
        <f t="shared" si="2"/>
        <v>0</v>
      </c>
      <c r="V46" s="104">
        <f t="shared" si="3"/>
        <v>0.25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0.0</v>
      </c>
      <c r="H49" s="179">
        <v>0.0</v>
      </c>
      <c r="I49" s="179">
        <v>0.0</v>
      </c>
      <c r="J49" s="179">
        <v>0.0</v>
      </c>
      <c r="K49" s="179">
        <v>0.0</v>
      </c>
      <c r="L49" s="179">
        <v>0.0</v>
      </c>
      <c r="M49" s="179">
        <v>0.0</v>
      </c>
      <c r="N49" s="179">
        <v>0.0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3.0</v>
      </c>
      <c r="H59" s="179">
        <v>1.0</v>
      </c>
      <c r="I59" s="179">
        <v>0.0</v>
      </c>
      <c r="J59" s="179">
        <v>1.0</v>
      </c>
      <c r="K59" s="179">
        <v>0.0</v>
      </c>
      <c r="L59" s="179">
        <v>1.0</v>
      </c>
      <c r="M59" s="179">
        <v>6.0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0.6666666667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2.0</v>
      </c>
      <c r="H60" s="179">
        <v>0.0</v>
      </c>
      <c r="I60" s="179">
        <v>0.0</v>
      </c>
      <c r="J60" s="179">
        <v>0.0</v>
      </c>
      <c r="K60" s="179">
        <v>0.0</v>
      </c>
      <c r="L60" s="179">
        <v>0.0</v>
      </c>
      <c r="M60" s="179">
        <v>0.0</v>
      </c>
      <c r="N60" s="179">
        <v>0.0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79">
        <v>1.0</v>
      </c>
      <c r="H61" s="179">
        <v>0.0</v>
      </c>
      <c r="I61" s="179">
        <v>0.0</v>
      </c>
      <c r="J61" s="179">
        <v>0.0</v>
      </c>
      <c r="K61" s="179">
        <v>0.0</v>
      </c>
      <c r="L61" s="179">
        <v>0.0</v>
      </c>
      <c r="M61" s="179">
        <v>0.0</v>
      </c>
      <c r="N61" s="179">
        <v>0.0</v>
      </c>
      <c r="O61" s="179">
        <v>0.0</v>
      </c>
      <c r="P61" s="179">
        <v>0.0</v>
      </c>
      <c r="Q61" s="179">
        <v>0.0</v>
      </c>
      <c r="R61" s="179">
        <v>0.0</v>
      </c>
      <c r="S61" s="179">
        <v>0.0</v>
      </c>
      <c r="T61" s="179">
        <v>0.0</v>
      </c>
      <c r="U61" s="104">
        <f t="shared" si="2"/>
        <v>0</v>
      </c>
      <c r="V61" s="104">
        <f t="shared" si="3"/>
        <v>0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1.0</v>
      </c>
      <c r="H65" s="179">
        <v>1.0</v>
      </c>
      <c r="I65" s="179">
        <v>1.0</v>
      </c>
      <c r="J65" s="179">
        <v>1.0</v>
      </c>
      <c r="K65" s="179">
        <v>1.0</v>
      </c>
      <c r="L65" s="179">
        <v>0.0</v>
      </c>
      <c r="M65" s="179">
        <v>2.0</v>
      </c>
      <c r="N65" s="179">
        <v>1.0</v>
      </c>
      <c r="O65" s="179">
        <v>1.0</v>
      </c>
      <c r="P65" s="179">
        <v>0.0</v>
      </c>
      <c r="Q65" s="179">
        <v>0.0</v>
      </c>
      <c r="R65" s="179">
        <v>0.0</v>
      </c>
      <c r="S65" s="179">
        <v>0.0</v>
      </c>
      <c r="T65" s="179">
        <v>984.0</v>
      </c>
      <c r="U65" s="142">
        <f t="shared" si="4"/>
        <v>1</v>
      </c>
      <c r="V65" s="142">
        <f t="shared" si="5"/>
        <v>1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79">
        <v>1.0</v>
      </c>
      <c r="H68" s="179">
        <v>1.0</v>
      </c>
      <c r="I68" s="179">
        <v>0.0</v>
      </c>
      <c r="J68" s="179">
        <v>1.0</v>
      </c>
      <c r="K68" s="179">
        <v>0.0</v>
      </c>
      <c r="L68" s="179">
        <v>0.0</v>
      </c>
      <c r="M68" s="179">
        <v>3.0</v>
      </c>
      <c r="N68" s="179">
        <v>1.0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1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8943</v>
      </c>
      <c r="D2" s="10"/>
      <c r="E2" s="11">
        <f t="shared" ref="E2:R2" si="1">SUM(E5,E20,E23,E26,E29,E32)</f>
        <v>8943</v>
      </c>
      <c r="F2" s="11">
        <f t="shared" si="1"/>
        <v>16</v>
      </c>
      <c r="G2" s="11">
        <f t="shared" si="1"/>
        <v>8</v>
      </c>
      <c r="H2" s="11">
        <f t="shared" si="1"/>
        <v>4</v>
      </c>
      <c r="I2" s="11">
        <f t="shared" si="1"/>
        <v>1</v>
      </c>
      <c r="J2" s="11">
        <f t="shared" si="1"/>
        <v>1</v>
      </c>
      <c r="K2" s="11">
        <f t="shared" si="1"/>
        <v>1</v>
      </c>
      <c r="L2" s="11">
        <f t="shared" si="1"/>
        <v>1</v>
      </c>
      <c r="M2" s="11">
        <f t="shared" si="1"/>
        <v>26</v>
      </c>
      <c r="N2" s="11">
        <f t="shared" si="1"/>
        <v>6</v>
      </c>
      <c r="O2" s="11">
        <f t="shared" si="1"/>
        <v>2</v>
      </c>
      <c r="P2" s="11">
        <f t="shared" si="1"/>
        <v>5</v>
      </c>
      <c r="Q2" s="11">
        <f t="shared" si="1"/>
        <v>1</v>
      </c>
      <c r="R2" s="11">
        <f t="shared" si="1"/>
        <v>4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2235.75</v>
      </c>
      <c r="F4" s="24">
        <f>IFERROR((G2+R2)/F2,0)</f>
        <v>0.75</v>
      </c>
      <c r="G4" s="24">
        <f>IFERROR(H2/G2,0)</f>
        <v>0.5</v>
      </c>
      <c r="H4" s="23">
        <f>(C2/C4)</f>
        <v>129.6086957</v>
      </c>
      <c r="I4" s="25"/>
      <c r="J4" s="24">
        <f>IFERROR(J2/I2,0)</f>
        <v>1</v>
      </c>
      <c r="K4" s="25"/>
      <c r="L4" s="24">
        <f>IFERROR(L2/K2,0)</f>
        <v>1</v>
      </c>
      <c r="M4" s="26">
        <f>IFERROR(M2/G2,0)</f>
        <v>3.25</v>
      </c>
      <c r="N4" s="25"/>
      <c r="O4" s="24">
        <f>IFERROR(O2/N2,0)</f>
        <v>0.3333333333</v>
      </c>
      <c r="P4" s="26"/>
      <c r="Q4" s="24">
        <f>IFERROR(Q2/P2,0)</f>
        <v>0.2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8943</v>
      </c>
      <c r="D5" s="31"/>
      <c r="E5" s="32">
        <f>SUMIFS(T:T,A:A,B5,D:D,"Y")</f>
        <v>8943</v>
      </c>
      <c r="F5" s="11">
        <f>SUMIF(A:A,B5,G:G)</f>
        <v>16</v>
      </c>
      <c r="G5" s="11">
        <f>SUMIF(A:A,B5,H:H)</f>
        <v>7</v>
      </c>
      <c r="H5" s="11">
        <f>SUMIF(A:A,B5,I:I)</f>
        <v>4</v>
      </c>
      <c r="I5" s="11">
        <f>SUMIF(A:A,B5,P:P)</f>
        <v>1</v>
      </c>
      <c r="J5" s="11">
        <f>SUMIF(A:A,B5,Q:Q)</f>
        <v>1</v>
      </c>
      <c r="K5" s="11">
        <f>SUMIF(A:A,B5,R:R)</f>
        <v>1</v>
      </c>
      <c r="L5" s="11">
        <f>SUMIF(A:A,B5,S:S)</f>
        <v>1</v>
      </c>
      <c r="M5" s="11">
        <f>SUMIF(A:A,B5,M:M)</f>
        <v>25</v>
      </c>
      <c r="N5" s="11">
        <f>SUMIF(A:A,B5,N:N)</f>
        <v>5</v>
      </c>
      <c r="O5" s="11">
        <f>SUMIF(A:A,B5,O:O)</f>
        <v>2</v>
      </c>
      <c r="P5" s="11">
        <f>SUMIF(A:A,B5,J:J)</f>
        <v>4</v>
      </c>
      <c r="Q5" s="11">
        <f>SUMIF(A:A,B5,K:K)</f>
        <v>1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2235.75</v>
      </c>
      <c r="F7" s="41">
        <f>IFERROR((G5+R5)/F5,0)</f>
        <v>0.6875</v>
      </c>
      <c r="G7" s="41">
        <f>IFERROR(H5/G5,0)</f>
        <v>0.5714285714</v>
      </c>
      <c r="H7" s="40">
        <f>(C5/C7)</f>
        <v>343.9615385</v>
      </c>
      <c r="I7" s="42"/>
      <c r="J7" s="41">
        <f>IFERROR(J5/I5,0)</f>
        <v>1</v>
      </c>
      <c r="K7" s="42"/>
      <c r="L7" s="41">
        <f>IFERROR(L5/K5,0)</f>
        <v>1</v>
      </c>
      <c r="M7" s="43">
        <f>IFERROR(M5/SUM(R5+G5,0),"")</f>
        <v>2.272727273</v>
      </c>
      <c r="N7" s="42"/>
      <c r="O7" s="41">
        <f>IFERROR(O5/N5,0)</f>
        <v>0.4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5093</v>
      </c>
      <c r="D8" s="48"/>
      <c r="E8" s="49">
        <f>SUMIFS(T:T,B:B,B8,D:D,"Y")</f>
        <v>5093</v>
      </c>
      <c r="F8" s="50">
        <f>SUMIF(B38:B1137,B8,G38:G1137)</f>
        <v>6</v>
      </c>
      <c r="G8" s="51">
        <f>SUMIF(B38:B1137,B8,H38:H1137)</f>
        <v>2</v>
      </c>
      <c r="H8" s="51">
        <f>SUMIF(B38:B1137,B8,I38:I1137)</f>
        <v>2</v>
      </c>
      <c r="I8" s="51">
        <f>SUMIF(B38:B1137,B8,P38:P1137)</f>
        <v>1</v>
      </c>
      <c r="J8" s="51">
        <f>SUMIF(B38:B1137,B8,Q38:Q1137)</f>
        <v>1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10</v>
      </c>
      <c r="N8" s="51">
        <f>SUMIF(B38:B1137,B8,N38:N1137)</f>
        <v>1</v>
      </c>
      <c r="O8" s="51">
        <f>SUMIF(B38:B1137,B8,O38:O1137)</f>
        <v>1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2546.5</v>
      </c>
      <c r="F10" s="24">
        <f>IFERROR((G8+R8)/F8,0)</f>
        <v>0.5</v>
      </c>
      <c r="G10" s="24">
        <f>IFERROR(H8/G8,0)</f>
        <v>1</v>
      </c>
      <c r="H10" s="23">
        <f>(C8/C10)</f>
        <v>636.625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3.333333333</v>
      </c>
      <c r="N10" s="25"/>
      <c r="O10" s="24">
        <f>IFERROR(O8/N8,0)</f>
        <v>1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2100</v>
      </c>
      <c r="D11" s="48"/>
      <c r="E11" s="49">
        <f>SUMIFS(T:T,B:B,B11,D:D,"Y")</f>
        <v>2100</v>
      </c>
      <c r="F11" s="50">
        <f>SUMIF(B38:B1137,B11,G38:G1137)</f>
        <v>4</v>
      </c>
      <c r="G11" s="51">
        <f>SUMIF(B38:B1137,B11,H38:H1137)</f>
        <v>4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1</v>
      </c>
      <c r="L11" s="51">
        <f>SUMIF(B38:B1137,B11,S38:S1137)</f>
        <v>1</v>
      </c>
      <c r="M11" s="51">
        <f>SUMIF(B38:B1137,B11,M38:M1137)</f>
        <v>11</v>
      </c>
      <c r="N11" s="51">
        <f>SUMIF(B38:B1137,B11,N38:N1137)</f>
        <v>3</v>
      </c>
      <c r="O11" s="51">
        <f>SUMIF(B38:B1137,B11,O38:O1137)</f>
        <v>0</v>
      </c>
      <c r="P11" s="51">
        <f>SUMIF(B38:B1137,B11,J38:J1137)</f>
        <v>3</v>
      </c>
      <c r="Q11" s="51">
        <f>SUMIF(B38:B1137,B11,K38:K1137)</f>
        <v>0</v>
      </c>
      <c r="R11" s="52">
        <f>SUMIF(B38:B1137,B11,L38:L1137)</f>
        <v>3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2100</v>
      </c>
      <c r="F13" s="24">
        <f>IFERROR((G11+R11)/F11,0)</f>
        <v>1.75</v>
      </c>
      <c r="G13" s="24">
        <f>IFERROR(H11/G11,0)</f>
        <v>0.25</v>
      </c>
      <c r="H13" s="23">
        <f>(C11/C13)</f>
        <v>300</v>
      </c>
      <c r="I13" s="25"/>
      <c r="J13" s="24">
        <f>IFERROR(J11/I11,0)</f>
        <v>0</v>
      </c>
      <c r="K13" s="25"/>
      <c r="L13" s="24">
        <f>IFERROR(L11/K11,0)</f>
        <v>1</v>
      </c>
      <c r="M13" s="26">
        <f>IFERROR(M11/SUM(R11+G11,0),"")</f>
        <v>1.571428571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1750</v>
      </c>
      <c r="D17" s="62"/>
      <c r="E17" s="49">
        <f>SUMIFS(T:T,B:B,B17,D:D,"Y")</f>
        <v>1750</v>
      </c>
      <c r="F17" s="50">
        <f>SUMIF(B37:B1137,B17,G37:G1137)</f>
        <v>6</v>
      </c>
      <c r="G17" s="51">
        <f>SUMIF(B37:B1137,B17,H37:H1137)</f>
        <v>1</v>
      </c>
      <c r="H17" s="51">
        <f>SUMIF(B37:B1137,B17,I37:I1137)</f>
        <v>1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4</v>
      </c>
      <c r="N17" s="51">
        <f>SUMIF(B37:B1137,B17,N37:N1137)</f>
        <v>1</v>
      </c>
      <c r="O17" s="51">
        <f>SUMIF(B37:B1137,B17,O37:O1137)</f>
        <v>1</v>
      </c>
      <c r="P17" s="51">
        <f>SUMIF(B37:B1137,B17,J37:J1137)</f>
        <v>1</v>
      </c>
      <c r="Q17" s="51">
        <f>SUMIF(B37:B1137,B17,K37:K1137)</f>
        <v>1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1750</v>
      </c>
      <c r="F19" s="24">
        <f>IFERROR((G17+R17)/F17,0)</f>
        <v>0.1666666667</v>
      </c>
      <c r="G19" s="24">
        <f>IFERROR(H17/G17,0)</f>
        <v>1</v>
      </c>
      <c r="H19" s="23">
        <f>(C17/C19)</f>
        <v>291.6666667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4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1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79">
        <v>3.0</v>
      </c>
      <c r="H38" s="179">
        <v>2.0</v>
      </c>
      <c r="I38" s="179">
        <v>2.0</v>
      </c>
      <c r="J38" s="179">
        <v>0.0</v>
      </c>
      <c r="K38" s="179">
        <v>0.0</v>
      </c>
      <c r="L38" s="179">
        <v>0.0</v>
      </c>
      <c r="M38" s="179">
        <v>0.0</v>
      </c>
      <c r="N38" s="179">
        <v>1.0</v>
      </c>
      <c r="O38" s="179">
        <v>1.0</v>
      </c>
      <c r="P38" s="179">
        <v>1.0</v>
      </c>
      <c r="Q38" s="179">
        <v>1.0</v>
      </c>
      <c r="R38" s="179">
        <v>0.0</v>
      </c>
      <c r="S38" s="179">
        <v>0.0</v>
      </c>
      <c r="T38" s="179">
        <v>5093.0</v>
      </c>
      <c r="U38" s="104">
        <f t="shared" si="2"/>
        <v>1</v>
      </c>
      <c r="V38" s="104">
        <f t="shared" si="3"/>
        <v>0.6666666667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9">
        <v>2.0</v>
      </c>
      <c r="H42" s="179">
        <v>0.0</v>
      </c>
      <c r="I42" s="179">
        <v>0.0</v>
      </c>
      <c r="J42" s="179">
        <v>0.0</v>
      </c>
      <c r="K42" s="179">
        <v>0.0</v>
      </c>
      <c r="L42" s="179">
        <v>1.0</v>
      </c>
      <c r="M42" s="179">
        <v>10.0</v>
      </c>
      <c r="N42" s="179">
        <v>0.0</v>
      </c>
      <c r="O42" s="179">
        <v>0.0</v>
      </c>
      <c r="P42" s="179">
        <v>0.0</v>
      </c>
      <c r="Q42" s="179">
        <v>0.0</v>
      </c>
      <c r="R42" s="179">
        <v>0.0</v>
      </c>
      <c r="S42" s="179">
        <v>0.0</v>
      </c>
      <c r="T42" s="179">
        <v>0.0</v>
      </c>
      <c r="U42" s="104">
        <f t="shared" si="2"/>
        <v>0</v>
      </c>
      <c r="V42" s="104">
        <f t="shared" si="3"/>
        <v>0.5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9">
        <v>1.0</v>
      </c>
      <c r="H43" s="179">
        <v>0.0</v>
      </c>
      <c r="I43" s="179">
        <v>0.0</v>
      </c>
      <c r="J43" s="179">
        <v>0.0</v>
      </c>
      <c r="K43" s="179">
        <v>0.0</v>
      </c>
      <c r="L43" s="179">
        <v>0.0</v>
      </c>
      <c r="M43" s="179">
        <v>0.0</v>
      </c>
      <c r="N43" s="179">
        <v>0.0</v>
      </c>
      <c r="O43" s="179">
        <v>0.0</v>
      </c>
      <c r="P43" s="179">
        <v>0.0</v>
      </c>
      <c r="Q43" s="179">
        <v>0.0</v>
      </c>
      <c r="R43" s="179">
        <v>0.0</v>
      </c>
      <c r="S43" s="179">
        <v>0.0</v>
      </c>
      <c r="T43" s="179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0.0</v>
      </c>
      <c r="H46" s="179">
        <v>0.0</v>
      </c>
      <c r="I46" s="179">
        <v>0.0</v>
      </c>
      <c r="J46" s="179">
        <v>0.0</v>
      </c>
      <c r="K46" s="179">
        <v>0.0</v>
      </c>
      <c r="L46" s="179">
        <v>0.0</v>
      </c>
      <c r="M46" s="179">
        <v>0.0</v>
      </c>
      <c r="N46" s="179">
        <v>0.0</v>
      </c>
      <c r="O46" s="179">
        <v>0.0</v>
      </c>
      <c r="P46" s="179">
        <v>0.0</v>
      </c>
      <c r="Q46" s="179">
        <v>0.0</v>
      </c>
      <c r="R46" s="179">
        <v>0.0</v>
      </c>
      <c r="S46" s="179">
        <v>0.0</v>
      </c>
      <c r="T46" s="179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4.0</v>
      </c>
      <c r="H49" s="179">
        <v>4.0</v>
      </c>
      <c r="I49" s="179">
        <v>1.0</v>
      </c>
      <c r="J49" s="179">
        <v>3.0</v>
      </c>
      <c r="K49" s="179">
        <v>0.0</v>
      </c>
      <c r="L49" s="179">
        <v>3.0</v>
      </c>
      <c r="M49" s="179">
        <v>11.0</v>
      </c>
      <c r="N49" s="179">
        <v>3.0</v>
      </c>
      <c r="O49" s="179">
        <v>0.0</v>
      </c>
      <c r="P49" s="179">
        <v>0.0</v>
      </c>
      <c r="Q49" s="179">
        <v>0.0</v>
      </c>
      <c r="R49" s="179">
        <v>1.0</v>
      </c>
      <c r="S49" s="179">
        <v>1.0</v>
      </c>
      <c r="T49" s="179">
        <v>2100.0</v>
      </c>
      <c r="U49" s="104">
        <f t="shared" si="2"/>
        <v>0.25</v>
      </c>
      <c r="V49" s="104">
        <f t="shared" si="3"/>
        <v>1.75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3.0</v>
      </c>
      <c r="H59" s="179">
        <v>1.0</v>
      </c>
      <c r="I59" s="179">
        <v>1.0</v>
      </c>
      <c r="J59" s="179">
        <v>1.0</v>
      </c>
      <c r="K59" s="179">
        <v>1.0</v>
      </c>
      <c r="L59" s="179">
        <v>0.0</v>
      </c>
      <c r="M59" s="179">
        <v>4.0</v>
      </c>
      <c r="N59" s="179">
        <v>1.0</v>
      </c>
      <c r="O59" s="179">
        <v>1.0</v>
      </c>
      <c r="P59" s="179">
        <v>0.0</v>
      </c>
      <c r="Q59" s="179">
        <v>0.0</v>
      </c>
      <c r="R59" s="179">
        <v>0.0</v>
      </c>
      <c r="S59" s="179">
        <v>0.0</v>
      </c>
      <c r="T59" s="179">
        <v>1750.0</v>
      </c>
      <c r="U59" s="104">
        <f t="shared" si="2"/>
        <v>1</v>
      </c>
      <c r="V59" s="104">
        <f t="shared" si="3"/>
        <v>0.3333333333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3.0</v>
      </c>
      <c r="H60" s="179">
        <v>0.0</v>
      </c>
      <c r="I60" s="179">
        <v>0.0</v>
      </c>
      <c r="J60" s="179">
        <v>0.0</v>
      </c>
      <c r="K60" s="179">
        <v>0.0</v>
      </c>
      <c r="L60" s="179">
        <v>0.0</v>
      </c>
      <c r="M60" s="179">
        <v>0.0</v>
      </c>
      <c r="N60" s="179">
        <v>0.0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79">
        <v>0.0</v>
      </c>
      <c r="H61" s="179">
        <v>0.0</v>
      </c>
      <c r="I61" s="179">
        <v>0.0</v>
      </c>
      <c r="J61" s="179">
        <v>0.0</v>
      </c>
      <c r="K61" s="179">
        <v>0.0</v>
      </c>
      <c r="L61" s="179">
        <v>0.0</v>
      </c>
      <c r="M61" s="179">
        <v>0.0</v>
      </c>
      <c r="N61" s="179">
        <v>0.0</v>
      </c>
      <c r="O61" s="179">
        <v>0.0</v>
      </c>
      <c r="P61" s="179">
        <v>0.0</v>
      </c>
      <c r="Q61" s="179">
        <v>0.0</v>
      </c>
      <c r="R61" s="179">
        <v>0.0</v>
      </c>
      <c r="S61" s="179">
        <v>0.0</v>
      </c>
      <c r="T61" s="179">
        <v>0.0</v>
      </c>
      <c r="U61" s="180">
        <v>0.0</v>
      </c>
      <c r="V61" s="104">
        <f t="shared" si="3"/>
        <v>0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>IFERROR(I62/H62,0)</f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0.0</v>
      </c>
      <c r="H67" s="179">
        <v>1.0</v>
      </c>
      <c r="I67" s="179">
        <v>0.0</v>
      </c>
      <c r="J67" s="179">
        <v>1.0</v>
      </c>
      <c r="K67" s="179">
        <v>0.0</v>
      </c>
      <c r="L67" s="179">
        <v>0.0</v>
      </c>
      <c r="M67" s="179">
        <v>1.0</v>
      </c>
      <c r="N67" s="179">
        <v>1.0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4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4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2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2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9">
        <v>2.0</v>
      </c>
      <c r="H43" s="179">
        <v>0.0</v>
      </c>
      <c r="I43" s="179">
        <v>0.0</v>
      </c>
      <c r="J43" s="179">
        <v>0.0</v>
      </c>
      <c r="K43" s="179">
        <v>0.0</v>
      </c>
      <c r="L43" s="179">
        <v>0.0</v>
      </c>
      <c r="M43" s="179">
        <v>0.0</v>
      </c>
      <c r="N43" s="179">
        <v>0.0</v>
      </c>
      <c r="O43" s="179">
        <v>0.0</v>
      </c>
      <c r="P43" s="179">
        <v>0.0</v>
      </c>
      <c r="Q43" s="179">
        <v>0.0</v>
      </c>
      <c r="R43" s="179">
        <v>0.0</v>
      </c>
      <c r="S43" s="179">
        <v>0.0</v>
      </c>
      <c r="T43" s="179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0.0</v>
      </c>
      <c r="H46" s="179">
        <v>0.0</v>
      </c>
      <c r="I46" s="179">
        <v>0.0</v>
      </c>
      <c r="J46" s="179">
        <v>0.0</v>
      </c>
      <c r="K46" s="179">
        <v>0.0</v>
      </c>
      <c r="L46" s="179">
        <v>0.0</v>
      </c>
      <c r="M46" s="179">
        <v>0.0</v>
      </c>
      <c r="N46" s="179">
        <v>0.0</v>
      </c>
      <c r="O46" s="179">
        <v>0.0</v>
      </c>
      <c r="P46" s="179">
        <v>0.0</v>
      </c>
      <c r="Q46" s="179">
        <v>0.0</v>
      </c>
      <c r="R46" s="179">
        <v>0.0</v>
      </c>
      <c r="S46" s="179">
        <v>0.0</v>
      </c>
      <c r="T46" s="179">
        <v>0.0</v>
      </c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0.0</v>
      </c>
      <c r="H49" s="179">
        <v>0.0</v>
      </c>
      <c r="I49" s="179">
        <v>0.0</v>
      </c>
      <c r="J49" s="179">
        <v>0.0</v>
      </c>
      <c r="K49" s="179">
        <v>0.0</v>
      </c>
      <c r="L49" s="179">
        <v>0.0</v>
      </c>
      <c r="M49" s="179">
        <v>0.0</v>
      </c>
      <c r="N49" s="179">
        <v>0.0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0.0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2.0</v>
      </c>
      <c r="H60" s="179">
        <v>0.0</v>
      </c>
      <c r="I60" s="179">
        <v>0.0</v>
      </c>
      <c r="J60" s="179">
        <v>0.0</v>
      </c>
      <c r="K60" s="179">
        <v>0.0</v>
      </c>
      <c r="L60" s="179">
        <v>0.0</v>
      </c>
      <c r="M60" s="179">
        <v>0.0</v>
      </c>
      <c r="N60" s="179">
        <v>0.0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79">
        <v>0.0</v>
      </c>
      <c r="H61" s="179">
        <v>0.0</v>
      </c>
      <c r="I61" s="179">
        <v>0.0</v>
      </c>
      <c r="J61" s="179">
        <v>0.0</v>
      </c>
      <c r="K61" s="179">
        <v>0.0</v>
      </c>
      <c r="L61" s="179">
        <v>0.0</v>
      </c>
      <c r="M61" s="179">
        <v>0.0</v>
      </c>
      <c r="N61" s="179">
        <v>0.0</v>
      </c>
      <c r="O61" s="179">
        <v>0.0</v>
      </c>
      <c r="P61" s="179">
        <v>0.0</v>
      </c>
      <c r="Q61" s="179">
        <v>0.0</v>
      </c>
      <c r="R61" s="179">
        <v>0.0</v>
      </c>
      <c r="S61" s="179">
        <v>0.0</v>
      </c>
      <c r="T61" s="179">
        <v>0.0</v>
      </c>
      <c r="U61" s="180">
        <v>0.0</v>
      </c>
      <c r="V61" s="104">
        <f t="shared" si="3"/>
        <v>0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>IFERROR(I62/H62,0)</f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16359.68</v>
      </c>
      <c r="D2" s="10"/>
      <c r="E2" s="11">
        <f t="shared" ref="E2:R2" si="1">SUM(E5,E20,E23,E26,E29,E32)</f>
        <v>10276.68</v>
      </c>
      <c r="F2" s="11">
        <f t="shared" si="1"/>
        <v>38</v>
      </c>
      <c r="G2" s="11">
        <f t="shared" si="1"/>
        <v>18</v>
      </c>
      <c r="H2" s="11">
        <f t="shared" si="1"/>
        <v>11</v>
      </c>
      <c r="I2" s="11">
        <f t="shared" si="1"/>
        <v>2</v>
      </c>
      <c r="J2" s="11">
        <f t="shared" si="1"/>
        <v>1</v>
      </c>
      <c r="K2" s="11">
        <f t="shared" si="1"/>
        <v>5</v>
      </c>
      <c r="L2" s="11">
        <f t="shared" si="1"/>
        <v>4</v>
      </c>
      <c r="M2" s="11">
        <f t="shared" si="1"/>
        <v>61</v>
      </c>
      <c r="N2" s="11">
        <f t="shared" si="1"/>
        <v>22</v>
      </c>
      <c r="O2" s="11">
        <f t="shared" si="1"/>
        <v>5</v>
      </c>
      <c r="P2" s="11">
        <f t="shared" si="1"/>
        <v>6</v>
      </c>
      <c r="Q2" s="11">
        <f t="shared" si="1"/>
        <v>4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1487.243636</v>
      </c>
      <c r="F4" s="24">
        <f>IFERROR((G2+R2)/F2,0)</f>
        <v>0.4736842105</v>
      </c>
      <c r="G4" s="24">
        <f>IFERROR(H2/G2,0)</f>
        <v>0.6111111111</v>
      </c>
      <c r="H4" s="23">
        <f>(C2/C4)</f>
        <v>237.0968116</v>
      </c>
      <c r="I4" s="25"/>
      <c r="J4" s="24">
        <f>IFERROR(J2/I2,0)</f>
        <v>0.5</v>
      </c>
      <c r="K4" s="25"/>
      <c r="L4" s="24">
        <f>IFERROR(L2/K2,0)</f>
        <v>0.8</v>
      </c>
      <c r="M4" s="26">
        <f>IFERROR(M2/G2,0)</f>
        <v>3.388888889</v>
      </c>
      <c r="N4" s="25"/>
      <c r="O4" s="24">
        <f>IFERROR(O2/N2,0)</f>
        <v>0.2272727273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11990.68</v>
      </c>
      <c r="D5" s="31"/>
      <c r="E5" s="32">
        <f>SUMIFS(T:T,A:A,B5,D:D,"Y")</f>
        <v>5907.68</v>
      </c>
      <c r="F5" s="11">
        <f>SUMIF(A:A,B5,G:G)</f>
        <v>36</v>
      </c>
      <c r="G5" s="11">
        <f>SUMIF(A:A,B5,H:H)</f>
        <v>15</v>
      </c>
      <c r="H5" s="11">
        <f>SUMIF(A:A,B5,I:I)</f>
        <v>9</v>
      </c>
      <c r="I5" s="11">
        <f>SUMIF(A:A,B5,P:P)</f>
        <v>2</v>
      </c>
      <c r="J5" s="11">
        <f>SUMIF(A:A,B5,Q:Q)</f>
        <v>1</v>
      </c>
      <c r="K5" s="11">
        <f>SUMIF(A:A,B5,R:R)</f>
        <v>3</v>
      </c>
      <c r="L5" s="11">
        <f>SUMIF(A:A,B5,S:S)</f>
        <v>2</v>
      </c>
      <c r="M5" s="11">
        <f>SUMIF(A:A,B5,M:M)</f>
        <v>35</v>
      </c>
      <c r="N5" s="11">
        <f>SUMIF(A:A,B5,N:N)</f>
        <v>21</v>
      </c>
      <c r="O5" s="11">
        <f>SUMIF(A:A,B5,O:O)</f>
        <v>5</v>
      </c>
      <c r="P5" s="11">
        <f>SUMIF(A:A,B5,J:J)</f>
        <v>3</v>
      </c>
      <c r="Q5" s="11">
        <f>SUMIF(A:A,B5,K:K)</f>
        <v>2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1332.297778</v>
      </c>
      <c r="F7" s="41">
        <f>IFERROR((G5+R5)/F5,0)</f>
        <v>0.4166666667</v>
      </c>
      <c r="G7" s="41">
        <f>IFERROR(H5/G5,0)</f>
        <v>0.6</v>
      </c>
      <c r="H7" s="40">
        <f>(C5/C7)</f>
        <v>461.18</v>
      </c>
      <c r="I7" s="42"/>
      <c r="J7" s="41">
        <f>IFERROR(J5/I5,0)</f>
        <v>0.5</v>
      </c>
      <c r="K7" s="42"/>
      <c r="L7" s="41">
        <f>IFERROR(L5/K5,0)</f>
        <v>0.6666666667</v>
      </c>
      <c r="M7" s="43">
        <f>IFERROR(M5/SUM(R5+G5,0),"")</f>
        <v>2.333333333</v>
      </c>
      <c r="N7" s="42"/>
      <c r="O7" s="41">
        <f>IFERROR(O5/N5,0)</f>
        <v>0.2380952381</v>
      </c>
      <c r="P7" s="43"/>
      <c r="Q7" s="41">
        <f>IFERROR(Q5/P5,0)</f>
        <v>0.6666666667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6547</v>
      </c>
      <c r="D8" s="48"/>
      <c r="E8" s="49">
        <f>SUMIFS(T:T,B:B,B8,D:D,"Y")</f>
        <v>2185</v>
      </c>
      <c r="F8" s="50">
        <f>SUMIF(B38:B1137,B8,G38:G1137)</f>
        <v>17</v>
      </c>
      <c r="G8" s="51">
        <f>SUMIF(B38:B1137,B8,H38:H1137)</f>
        <v>7</v>
      </c>
      <c r="H8" s="51">
        <f>SUMIF(B38:B1137,B8,I38:I1137)</f>
        <v>4</v>
      </c>
      <c r="I8" s="51">
        <f>SUMIF(B38:B1137,B8,P38:P1137)</f>
        <v>2</v>
      </c>
      <c r="J8" s="51">
        <f>SUMIF(B38:B1137,B8,Q38:Q1137)</f>
        <v>1</v>
      </c>
      <c r="K8" s="51">
        <f>SUMIF(B38:B1137,B8,R38:R1137)</f>
        <v>1</v>
      </c>
      <c r="L8" s="51">
        <f>SUMIF(B38:B1137,B8,S38:S1137)</f>
        <v>1</v>
      </c>
      <c r="M8" s="51">
        <f>SUMIF(B38:B1137,B8,M38:M1137)</f>
        <v>28</v>
      </c>
      <c r="N8" s="51">
        <f>SUMIF(B38:B1137,B8,N38:N1137)</f>
        <v>4</v>
      </c>
      <c r="O8" s="51">
        <f>SUMIF(B38:B1137,B8,O38:O1137)</f>
        <v>2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1636.75</v>
      </c>
      <c r="F10" s="24">
        <f>IFERROR((G8+R8)/F8,0)</f>
        <v>0.4117647059</v>
      </c>
      <c r="G10" s="24">
        <f>IFERROR(H8/G8,0)</f>
        <v>0.5714285714</v>
      </c>
      <c r="H10" s="23">
        <f>(C8/C10)</f>
        <v>818.375</v>
      </c>
      <c r="I10" s="25"/>
      <c r="J10" s="24">
        <f>IFERROR(J8/I8,0)</f>
        <v>0.5</v>
      </c>
      <c r="K10" s="25"/>
      <c r="L10" s="24">
        <f>IFERROR(L8/K8,0)</f>
        <v>1</v>
      </c>
      <c r="M10" s="26">
        <f>IFERROR(M8/SUM(R8+G8,0),"")</f>
        <v>4</v>
      </c>
      <c r="N10" s="25"/>
      <c r="O10" s="24">
        <f>IFERROR(O8/N8,0)</f>
        <v>0.5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3067</v>
      </c>
      <c r="D11" s="48"/>
      <c r="E11" s="49">
        <f>SUMIFS(T:T,B:B,B11,D:D,"Y")</f>
        <v>2299</v>
      </c>
      <c r="F11" s="50">
        <f>SUMIF(B38:B1137,B11,G38:G1137)</f>
        <v>12</v>
      </c>
      <c r="G11" s="51">
        <f>SUMIF(B38:B1137,B11,H38:H1137)</f>
        <v>6</v>
      </c>
      <c r="H11" s="51">
        <f>SUMIF(B38:B1137,B11,I38:I1137)</f>
        <v>3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2</v>
      </c>
      <c r="L11" s="51">
        <f>SUMIF(B38:B1137,B11,S38:S1137)</f>
        <v>1</v>
      </c>
      <c r="M11" s="51">
        <f>SUMIF(B38:B1137,B11,M38:M1137)</f>
        <v>5</v>
      </c>
      <c r="N11" s="51">
        <f>SUMIF(B38:B1137,B11,N38:N1137)</f>
        <v>4</v>
      </c>
      <c r="O11" s="51">
        <f>SUMIF(B38:B1137,B11,O38:O1137)</f>
        <v>2</v>
      </c>
      <c r="P11" s="51">
        <f>SUMIF(B38:B1137,B11,J38:J1137)</f>
        <v>2</v>
      </c>
      <c r="Q11" s="51">
        <f>SUMIF(B38:B1137,B11,K38:K1137)</f>
        <v>2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1022.333333</v>
      </c>
      <c r="F13" s="24">
        <f>IFERROR((G11+R11)/F11,0)</f>
        <v>0.5</v>
      </c>
      <c r="G13" s="24">
        <f>IFERROR(H11/G11,0)</f>
        <v>0.5</v>
      </c>
      <c r="H13" s="23">
        <f>(C11/C13)</f>
        <v>438.1428571</v>
      </c>
      <c r="I13" s="25"/>
      <c r="J13" s="24">
        <f>IFERROR(J11/I11,0)</f>
        <v>0</v>
      </c>
      <c r="K13" s="25"/>
      <c r="L13" s="24">
        <f>IFERROR(L11/K11,0)</f>
        <v>0.5</v>
      </c>
      <c r="M13" s="26">
        <f>IFERROR(M11/SUM(R11+G11,0),"")</f>
        <v>0.8333333333</v>
      </c>
      <c r="N13" s="25"/>
      <c r="O13" s="24">
        <f>IFERROR(O11/N11,0)</f>
        <v>0.5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2376.68</v>
      </c>
      <c r="D17" s="62"/>
      <c r="E17" s="49">
        <f>SUMIFS(T:T,B:B,B17,D:D,"Y")</f>
        <v>1423.68</v>
      </c>
      <c r="F17" s="50">
        <f>SUMIF(B37:B1137,B17,G37:G1137)</f>
        <v>7</v>
      </c>
      <c r="G17" s="51">
        <f>SUMIF(B37:B1137,B17,H37:H1137)</f>
        <v>2</v>
      </c>
      <c r="H17" s="51">
        <f>SUMIF(B37:B1137,B17,I37:I1137)</f>
        <v>2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2</v>
      </c>
      <c r="N17" s="51">
        <f>SUMIF(B37:B1137,B17,N37:N1137)</f>
        <v>13</v>
      </c>
      <c r="O17" s="51">
        <f>SUMIF(B37:B1137,B17,O37:O1137)</f>
        <v>1</v>
      </c>
      <c r="P17" s="51">
        <f>SUMIF(B37:B1137,B17,J37:J1137)</f>
        <v>1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1188.34</v>
      </c>
      <c r="F19" s="24">
        <f>IFERROR((G17+R17)/F17,0)</f>
        <v>0.2857142857</v>
      </c>
      <c r="G19" s="24">
        <f>IFERROR(H17/G17,0)</f>
        <v>1</v>
      </c>
      <c r="H19" s="23">
        <f>(C17/C19)</f>
        <v>396.1133333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1</v>
      </c>
      <c r="N19" s="25"/>
      <c r="O19" s="24">
        <f>IFERROR(O17/N17,0)</f>
        <v>0.07692307692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4369</v>
      </c>
      <c r="D20" s="31"/>
      <c r="E20" s="64">
        <f>SUMIFS(T:T,A:A,B20,D:D,"Y")</f>
        <v>4369</v>
      </c>
      <c r="F20" s="9">
        <f>SUMIF(A:A,B20,G:G)</f>
        <v>2</v>
      </c>
      <c r="G20" s="11">
        <f>SUMIF(A:A,B20,H:H)</f>
        <v>3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2</v>
      </c>
      <c r="M20" s="11">
        <f>SUMIF(A:A,B20,M:M)</f>
        <v>26</v>
      </c>
      <c r="N20" s="11">
        <f>SUMIF(A:A,B20,N:N)</f>
        <v>1</v>
      </c>
      <c r="O20" s="11">
        <f>SUMIF(A:A,B20,O:O)</f>
        <v>0</v>
      </c>
      <c r="P20" s="11">
        <f>SUMIF(A:A,B20,J:J)</f>
        <v>3</v>
      </c>
      <c r="Q20" s="11">
        <f>SUMIF(A:A,B20,K:K)</f>
        <v>2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2184.5</v>
      </c>
      <c r="F22" s="24">
        <f>IFERROR((G20+R20)/F20,0)</f>
        <v>1.5</v>
      </c>
      <c r="G22" s="24">
        <f>IFERROR(H20/G20,0)</f>
        <v>0.6666666667</v>
      </c>
      <c r="H22" s="23">
        <f>(C20/C22)</f>
        <v>728.1666667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8.666666667</v>
      </c>
      <c r="N22" s="25"/>
      <c r="O22" s="24">
        <f>IFERROR(O20/N20,0)</f>
        <v>0</v>
      </c>
      <c r="P22" s="26"/>
      <c r="Q22" s="24">
        <f>IFERROR(Q20/P20,0)</f>
        <v>0.6666666667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79">
        <v>13.0</v>
      </c>
      <c r="H38" s="179">
        <v>4.0</v>
      </c>
      <c r="I38" s="179">
        <v>2.0</v>
      </c>
      <c r="J38" s="179">
        <v>0.0</v>
      </c>
      <c r="K38" s="179">
        <v>0.0</v>
      </c>
      <c r="L38" s="179">
        <v>0.0</v>
      </c>
      <c r="M38" s="179">
        <v>8.0</v>
      </c>
      <c r="N38" s="179">
        <v>2.0</v>
      </c>
      <c r="O38" s="179">
        <v>1.0</v>
      </c>
      <c r="P38" s="179">
        <v>2.0</v>
      </c>
      <c r="Q38" s="179">
        <v>1.0</v>
      </c>
      <c r="R38" s="179">
        <v>0.0</v>
      </c>
      <c r="S38" s="179">
        <v>0.0</v>
      </c>
      <c r="T38" s="179">
        <v>2185.0</v>
      </c>
      <c r="U38" s="104">
        <f t="shared" si="2"/>
        <v>0.5</v>
      </c>
      <c r="V38" s="104">
        <f t="shared" si="3"/>
        <v>0.3076923077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9">
        <v>2.0</v>
      </c>
      <c r="H40" s="179">
        <v>2.0</v>
      </c>
      <c r="I40" s="179">
        <v>1.0</v>
      </c>
      <c r="J40" s="179">
        <v>0.0</v>
      </c>
      <c r="K40" s="179">
        <v>0.0</v>
      </c>
      <c r="L40" s="179">
        <v>0.0</v>
      </c>
      <c r="M40" s="179">
        <v>15.0</v>
      </c>
      <c r="N40" s="179">
        <v>2.0</v>
      </c>
      <c r="O40" s="179">
        <v>1.0</v>
      </c>
      <c r="P40" s="179">
        <v>0.0</v>
      </c>
      <c r="Q40" s="179">
        <v>0.0</v>
      </c>
      <c r="R40" s="179">
        <v>0.0</v>
      </c>
      <c r="S40" s="179">
        <v>0.0</v>
      </c>
      <c r="T40" s="179">
        <v>3090.0</v>
      </c>
      <c r="U40" s="104">
        <f t="shared" si="2"/>
        <v>0.5</v>
      </c>
      <c r="V40" s="104">
        <f t="shared" si="3"/>
        <v>1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9">
        <v>2.0</v>
      </c>
      <c r="H42" s="179">
        <v>1.0</v>
      </c>
      <c r="I42" s="179">
        <v>1.0</v>
      </c>
      <c r="J42" s="179">
        <v>0.0</v>
      </c>
      <c r="K42" s="179">
        <v>0.0</v>
      </c>
      <c r="L42" s="179">
        <v>0.0</v>
      </c>
      <c r="M42" s="179">
        <v>5.0</v>
      </c>
      <c r="N42" s="179">
        <v>0.0</v>
      </c>
      <c r="O42" s="179">
        <v>0.0</v>
      </c>
      <c r="P42" s="179">
        <v>0.0</v>
      </c>
      <c r="Q42" s="179">
        <v>0.0</v>
      </c>
      <c r="R42" s="179">
        <v>1.0</v>
      </c>
      <c r="S42" s="179">
        <v>1.0</v>
      </c>
      <c r="T42" s="179">
        <v>1272.0</v>
      </c>
      <c r="U42" s="104">
        <f t="shared" si="2"/>
        <v>1</v>
      </c>
      <c r="V42" s="104">
        <f t="shared" si="3"/>
        <v>0.5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11.0</v>
      </c>
      <c r="H46" s="179">
        <v>5.0</v>
      </c>
      <c r="I46" s="179">
        <v>2.0</v>
      </c>
      <c r="J46" s="179">
        <v>1.0</v>
      </c>
      <c r="K46" s="179">
        <v>1.0</v>
      </c>
      <c r="L46" s="179">
        <v>0.0</v>
      </c>
      <c r="M46" s="179">
        <v>4.0</v>
      </c>
      <c r="N46" s="179">
        <v>3.0</v>
      </c>
      <c r="O46" s="179">
        <v>1.0</v>
      </c>
      <c r="P46" s="179">
        <v>0.0</v>
      </c>
      <c r="Q46" s="179">
        <v>0.0</v>
      </c>
      <c r="R46" s="179">
        <v>2.0</v>
      </c>
      <c r="S46" s="179">
        <v>1.0</v>
      </c>
      <c r="T46" s="179">
        <v>2299.0</v>
      </c>
      <c r="U46" s="104">
        <f t="shared" si="2"/>
        <v>0.4</v>
      </c>
      <c r="V46" s="104">
        <f t="shared" si="3"/>
        <v>0.4545454545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1.0</v>
      </c>
      <c r="H47" s="179">
        <v>1.0</v>
      </c>
      <c r="I47" s="179">
        <v>1.0</v>
      </c>
      <c r="J47" s="179">
        <v>1.0</v>
      </c>
      <c r="K47" s="179">
        <v>1.0</v>
      </c>
      <c r="L47" s="179">
        <v>0.0</v>
      </c>
      <c r="M47" s="179">
        <v>1.0</v>
      </c>
      <c r="N47" s="179">
        <v>1.0</v>
      </c>
      <c r="O47" s="179">
        <v>1.0</v>
      </c>
      <c r="P47" s="179">
        <v>0.0</v>
      </c>
      <c r="Q47" s="179">
        <v>0.0</v>
      </c>
      <c r="R47" s="179">
        <v>0.0</v>
      </c>
      <c r="S47" s="179">
        <v>0.0</v>
      </c>
      <c r="T47" s="179">
        <v>768.0</v>
      </c>
      <c r="U47" s="104">
        <f t="shared" si="2"/>
        <v>1</v>
      </c>
      <c r="V47" s="104">
        <f t="shared" si="3"/>
        <v>1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3.0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3.0</v>
      </c>
      <c r="H60" s="179">
        <v>1.0</v>
      </c>
      <c r="I60" s="179">
        <v>1.0</v>
      </c>
      <c r="J60" s="179">
        <v>1.0</v>
      </c>
      <c r="K60" s="179">
        <v>0.0</v>
      </c>
      <c r="L60" s="179">
        <v>0.0</v>
      </c>
      <c r="M60" s="179">
        <v>0.0</v>
      </c>
      <c r="N60" s="179">
        <v>12.0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953.0</v>
      </c>
      <c r="U60" s="104">
        <f t="shared" si="2"/>
        <v>1</v>
      </c>
      <c r="V60" s="104">
        <f t="shared" si="3"/>
        <v>0.3333333333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79">
        <v>1.0</v>
      </c>
      <c r="H61" s="179">
        <v>1.0</v>
      </c>
      <c r="I61" s="179">
        <v>1.0</v>
      </c>
      <c r="J61" s="179">
        <v>0.0</v>
      </c>
      <c r="K61" s="179">
        <v>0.0</v>
      </c>
      <c r="L61" s="179">
        <v>0.0</v>
      </c>
      <c r="M61" s="179">
        <v>2.0</v>
      </c>
      <c r="N61" s="179">
        <v>1.0</v>
      </c>
      <c r="O61" s="179">
        <v>1.0</v>
      </c>
      <c r="P61" s="179">
        <v>0.0</v>
      </c>
      <c r="Q61" s="179">
        <v>0.0</v>
      </c>
      <c r="R61" s="179">
        <v>0.0</v>
      </c>
      <c r="S61" s="179">
        <v>0.0</v>
      </c>
      <c r="T61" s="179">
        <v>1423.68</v>
      </c>
      <c r="U61" s="104">
        <f t="shared" si="2"/>
        <v>1</v>
      </c>
      <c r="V61" s="104">
        <f t="shared" si="3"/>
        <v>1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2.0</v>
      </c>
      <c r="H67" s="179">
        <v>3.0</v>
      </c>
      <c r="I67" s="179">
        <v>2.0</v>
      </c>
      <c r="J67" s="179">
        <v>3.0</v>
      </c>
      <c r="K67" s="179">
        <v>2.0</v>
      </c>
      <c r="L67" s="179">
        <v>0.0</v>
      </c>
      <c r="M67" s="179">
        <v>26.0</v>
      </c>
      <c r="N67" s="179">
        <v>1.0</v>
      </c>
      <c r="O67" s="179">
        <v>0.0</v>
      </c>
      <c r="P67" s="179">
        <v>0.0</v>
      </c>
      <c r="Q67" s="179">
        <v>0.0</v>
      </c>
      <c r="R67" s="179">
        <v>2.0</v>
      </c>
      <c r="S67" s="179">
        <v>2.0</v>
      </c>
      <c r="T67" s="179">
        <v>4369.0</v>
      </c>
      <c r="U67" s="142">
        <f t="shared" si="4"/>
        <v>0.6666666667</v>
      </c>
      <c r="V67" s="142">
        <f t="shared" si="5"/>
        <v>1.5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5464</v>
      </c>
      <c r="D2" s="10"/>
      <c r="E2" s="11">
        <f t="shared" ref="E2:R2" si="1">SUM(E5,E20,E23,E26,E29,E32)</f>
        <v>2032</v>
      </c>
      <c r="F2" s="11">
        <f t="shared" si="1"/>
        <v>14</v>
      </c>
      <c r="G2" s="11">
        <f t="shared" si="1"/>
        <v>7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3</v>
      </c>
      <c r="L2" s="11">
        <f t="shared" si="1"/>
        <v>0</v>
      </c>
      <c r="M2" s="11">
        <f t="shared" si="1"/>
        <v>19</v>
      </c>
      <c r="N2" s="11">
        <f t="shared" si="1"/>
        <v>5</v>
      </c>
      <c r="O2" s="11">
        <f t="shared" si="1"/>
        <v>4</v>
      </c>
      <c r="P2" s="11">
        <f t="shared" si="1"/>
        <v>3</v>
      </c>
      <c r="Q2" s="11">
        <f t="shared" si="1"/>
        <v>2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1366</v>
      </c>
      <c r="F4" s="24">
        <f>IFERROR((G2+R2)/F2,0)</f>
        <v>0.5714285714</v>
      </c>
      <c r="G4" s="24">
        <f>IFERROR(H2/G2,0)</f>
        <v>0.5714285714</v>
      </c>
      <c r="H4" s="23">
        <f>(C2/C4)</f>
        <v>79.1884058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2.714285714</v>
      </c>
      <c r="N4" s="25"/>
      <c r="O4" s="24">
        <f>IFERROR(O2/N2,0)</f>
        <v>0.8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5464</v>
      </c>
      <c r="D5" s="31"/>
      <c r="E5" s="32">
        <f>SUMIFS(T:T,A:A,B5,D:D,"Y")</f>
        <v>2032</v>
      </c>
      <c r="F5" s="11">
        <f>SUMIF(A:A,B5,G:G)</f>
        <v>14</v>
      </c>
      <c r="G5" s="11">
        <f>SUMIF(A:A,B5,H:H)</f>
        <v>7</v>
      </c>
      <c r="H5" s="11">
        <f>SUMIF(A:A,B5,I:I)</f>
        <v>4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0</v>
      </c>
      <c r="M5" s="11">
        <f>SUMIF(A:A,B5,M:M)</f>
        <v>19</v>
      </c>
      <c r="N5" s="11">
        <f>SUMIF(A:A,B5,N:N)</f>
        <v>5</v>
      </c>
      <c r="O5" s="11">
        <f>SUMIF(A:A,B5,O:O)</f>
        <v>4</v>
      </c>
      <c r="P5" s="11">
        <f>SUMIF(A:A,B5,J:J)</f>
        <v>3</v>
      </c>
      <c r="Q5" s="11">
        <f>SUMIF(A:A,B5,K:K)</f>
        <v>2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1366</v>
      </c>
      <c r="F7" s="41">
        <f>IFERROR((G5+R5)/F5,0)</f>
        <v>0.5714285714</v>
      </c>
      <c r="G7" s="41">
        <f>IFERROR(H5/G5,0)</f>
        <v>0.5714285714</v>
      </c>
      <c r="H7" s="40">
        <f>(C5/C7)</f>
        <v>210.1538462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2.375</v>
      </c>
      <c r="N7" s="42"/>
      <c r="O7" s="41">
        <f>IFERROR(O5/N5,0)</f>
        <v>0.8</v>
      </c>
      <c r="P7" s="43"/>
      <c r="Q7" s="41">
        <f>IFERROR(Q5/P5,0)</f>
        <v>0.6666666667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3004</v>
      </c>
      <c r="D8" s="48"/>
      <c r="E8" s="49">
        <f>SUMIFS(T:T,B:B,B8,D:D,"Y")</f>
        <v>0</v>
      </c>
      <c r="F8" s="50">
        <f>SUMIF(B38:B1137,B8,G38:G1137)</f>
        <v>3</v>
      </c>
      <c r="G8" s="51">
        <f>SUMIF(B38:B1137,B8,H38:H1137)</f>
        <v>3</v>
      </c>
      <c r="H8" s="51">
        <f>SUMIF(B38:B1137,B8,I38:I1137)</f>
        <v>1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1</v>
      </c>
      <c r="L8" s="51">
        <f>SUMIF(B38:B1137,B8,S38:S1137)</f>
        <v>0</v>
      </c>
      <c r="M8" s="51">
        <f>SUMIF(B38:B1137,B8,M38:M1137)</f>
        <v>10</v>
      </c>
      <c r="N8" s="51">
        <f>SUMIF(B38:B1137,B8,N38:N1137)</f>
        <v>2</v>
      </c>
      <c r="O8" s="51">
        <f>SUMIF(B38:B1137,B8,O38:O1137)</f>
        <v>1</v>
      </c>
      <c r="P8" s="51">
        <f>SUMIF(B38:B1137,B8,J38:J1137)</f>
        <v>1</v>
      </c>
      <c r="Q8" s="51">
        <f>SUMIF(B38:B1137,B8,K38:K1137)</f>
        <v>1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3004</v>
      </c>
      <c r="F10" s="24">
        <f>IFERROR((G8+R8)/F8,0)</f>
        <v>1</v>
      </c>
      <c r="G10" s="24">
        <f>IFERROR(H8/G8,0)</f>
        <v>0.3333333333</v>
      </c>
      <c r="H10" s="23">
        <f>(C8/C10)</f>
        <v>375.5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3.333333333</v>
      </c>
      <c r="N10" s="25"/>
      <c r="O10" s="24">
        <f>IFERROR(O8/N8,0)</f>
        <v>0.5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1398</v>
      </c>
      <c r="D11" s="48"/>
      <c r="E11" s="49">
        <f>SUMIFS(T:T,B:B,B11,D:D,"Y")</f>
        <v>1398</v>
      </c>
      <c r="F11" s="50">
        <f>SUMIF(B38:B1137,B11,G38:G1137)</f>
        <v>3</v>
      </c>
      <c r="G11" s="51">
        <f>SUMIF(B38:B1137,B11,H38:H1137)</f>
        <v>2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2</v>
      </c>
      <c r="L11" s="51">
        <f>SUMIF(B38:B1137,B11,S38:S1137)</f>
        <v>0</v>
      </c>
      <c r="M11" s="51">
        <f>SUMIF(B38:B1137,B11,M38:M1137)</f>
        <v>3</v>
      </c>
      <c r="N11" s="51">
        <f>SUMIF(B38:B1137,B11,N38:N1137)</f>
        <v>1</v>
      </c>
      <c r="O11" s="51">
        <f>SUMIF(B38:B1137,B11,O38:O1137)</f>
        <v>1</v>
      </c>
      <c r="P11" s="51">
        <f>SUMIF(B38:B1137,B11,J38:J1137)</f>
        <v>1</v>
      </c>
      <c r="Q11" s="51">
        <f>SUMIF(B38:B1137,B11,K38:K1137)</f>
        <v>0</v>
      </c>
      <c r="R11" s="52">
        <f>SUMIF(B38:B1137,B11,L38:L1137)</f>
        <v>1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1398</v>
      </c>
      <c r="F13" s="24">
        <f>IFERROR((G11+R11)/F11,0)</f>
        <v>1</v>
      </c>
      <c r="G13" s="24">
        <f>IFERROR(H11/G11,0)</f>
        <v>0.5</v>
      </c>
      <c r="H13" s="23">
        <f>(C11/C13)</f>
        <v>199.7142857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1062</v>
      </c>
      <c r="D17" s="62"/>
      <c r="E17" s="49">
        <f>SUMIFS(T:T,B:B,B17,D:D,"Y")</f>
        <v>634</v>
      </c>
      <c r="F17" s="50">
        <f>SUMIF(B37:B1137,B17,G37:G1137)</f>
        <v>8</v>
      </c>
      <c r="G17" s="51">
        <f>SUMIF(B37:B1137,B17,H37:H1137)</f>
        <v>2</v>
      </c>
      <c r="H17" s="51">
        <f>SUMIF(B37:B1137,B17,I37:I1137)</f>
        <v>2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6</v>
      </c>
      <c r="N17" s="51">
        <f>SUMIF(B37:B1137,B17,N37:N1137)</f>
        <v>2</v>
      </c>
      <c r="O17" s="51">
        <f>SUMIF(B37:B1137,B17,O37:O1137)</f>
        <v>2</v>
      </c>
      <c r="P17" s="51">
        <f>SUMIF(B37:B1137,B17,J37:J1137)</f>
        <v>1</v>
      </c>
      <c r="Q17" s="51">
        <f>SUMIF(B37:B1137,B17,K37:K1137)</f>
        <v>1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531</v>
      </c>
      <c r="F19" s="24">
        <f>IFERROR((G17+R17)/F17,0)</f>
        <v>0.25</v>
      </c>
      <c r="G19" s="24">
        <f>IFERROR(H17/G17,0)</f>
        <v>1</v>
      </c>
      <c r="H19" s="23">
        <f>(C17/C19)</f>
        <v>177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3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47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9">
        <v>2.0</v>
      </c>
      <c r="H40" s="179">
        <v>2.0</v>
      </c>
      <c r="I40" s="179">
        <v>1.0</v>
      </c>
      <c r="J40" s="179">
        <v>1.0</v>
      </c>
      <c r="K40" s="179">
        <v>1.0</v>
      </c>
      <c r="L40" s="179">
        <v>0.0</v>
      </c>
      <c r="M40" s="179">
        <v>4.0</v>
      </c>
      <c r="N40" s="179">
        <v>1.0</v>
      </c>
      <c r="O40" s="179">
        <v>1.0</v>
      </c>
      <c r="P40" s="179">
        <v>0.0</v>
      </c>
      <c r="Q40" s="179">
        <v>0.0</v>
      </c>
      <c r="R40" s="179">
        <v>1.0</v>
      </c>
      <c r="S40" s="179">
        <v>0.0</v>
      </c>
      <c r="T40" s="179">
        <v>3004.0</v>
      </c>
      <c r="U40" s="104">
        <f t="shared" si="2"/>
        <v>0.5</v>
      </c>
      <c r="V40" s="104">
        <f t="shared" si="3"/>
        <v>1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9">
        <v>1.0</v>
      </c>
      <c r="H42" s="179">
        <v>1.0</v>
      </c>
      <c r="I42" s="179">
        <v>0.0</v>
      </c>
      <c r="J42" s="179">
        <v>0.0</v>
      </c>
      <c r="K42" s="179">
        <v>0.0</v>
      </c>
      <c r="L42" s="179">
        <v>0.0</v>
      </c>
      <c r="M42" s="179">
        <v>6.0</v>
      </c>
      <c r="N42" s="179">
        <v>1.0</v>
      </c>
      <c r="O42" s="179">
        <v>0.0</v>
      </c>
      <c r="P42" s="179">
        <v>0.0</v>
      </c>
      <c r="Q42" s="179">
        <v>0.0</v>
      </c>
      <c r="R42" s="179">
        <v>0.0</v>
      </c>
      <c r="S42" s="179">
        <v>0.0</v>
      </c>
      <c r="T42" s="179">
        <v>0.0</v>
      </c>
      <c r="U42" s="104">
        <f t="shared" si="2"/>
        <v>0</v>
      </c>
      <c r="V42" s="104">
        <f t="shared" si="3"/>
        <v>1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2.0</v>
      </c>
      <c r="H46" s="179">
        <v>1.0</v>
      </c>
      <c r="I46" s="179">
        <v>0.0</v>
      </c>
      <c r="J46" s="179">
        <v>1.0</v>
      </c>
      <c r="K46" s="179">
        <v>0.0</v>
      </c>
      <c r="L46" s="179">
        <v>1.0</v>
      </c>
      <c r="M46" s="179">
        <v>3.0</v>
      </c>
      <c r="N46" s="179">
        <v>0.0</v>
      </c>
      <c r="O46" s="179">
        <v>0.0</v>
      </c>
      <c r="P46" s="179">
        <v>0.0</v>
      </c>
      <c r="Q46" s="179">
        <v>0.0</v>
      </c>
      <c r="R46" s="179">
        <v>2.0</v>
      </c>
      <c r="S46" s="179">
        <v>0.0</v>
      </c>
      <c r="T46" s="179">
        <v>0.0</v>
      </c>
      <c r="U46" s="104">
        <f t="shared" si="2"/>
        <v>0</v>
      </c>
      <c r="V46" s="104">
        <f t="shared" si="3"/>
        <v>1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80">
        <v>0.0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1.0</v>
      </c>
      <c r="H49" s="179">
        <v>1.0</v>
      </c>
      <c r="I49" s="179">
        <v>1.0</v>
      </c>
      <c r="J49" s="179">
        <v>0.0</v>
      </c>
      <c r="K49" s="179">
        <v>0.0</v>
      </c>
      <c r="L49" s="179">
        <v>0.0</v>
      </c>
      <c r="M49" s="179">
        <v>0.0</v>
      </c>
      <c r="N49" s="179">
        <v>1.0</v>
      </c>
      <c r="O49" s="179">
        <v>1.0</v>
      </c>
      <c r="P49" s="179">
        <v>0.0</v>
      </c>
      <c r="Q49" s="179">
        <v>0.0</v>
      </c>
      <c r="R49" s="179">
        <v>0.0</v>
      </c>
      <c r="S49" s="179">
        <v>0.0</v>
      </c>
      <c r="T49" s="179">
        <v>1398.0</v>
      </c>
      <c r="U49" s="104">
        <f t="shared" ref="U49:U62" si="4">IFERROR(I49/H49,0)</f>
        <v>1</v>
      </c>
      <c r="V49" s="104">
        <f t="shared" si="3"/>
        <v>1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4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4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4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4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4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4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4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4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4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79">
        <v>4.0</v>
      </c>
      <c r="H59" s="179">
        <v>1.0</v>
      </c>
      <c r="I59" s="179">
        <v>1.0</v>
      </c>
      <c r="J59" s="179">
        <v>1.0</v>
      </c>
      <c r="K59" s="179">
        <v>1.0</v>
      </c>
      <c r="L59" s="179">
        <v>0.0</v>
      </c>
      <c r="M59" s="179">
        <v>4.0</v>
      </c>
      <c r="N59" s="179">
        <v>1.0</v>
      </c>
      <c r="O59" s="179">
        <v>1.0</v>
      </c>
      <c r="P59" s="179">
        <v>0.0</v>
      </c>
      <c r="Q59" s="179">
        <v>0.0</v>
      </c>
      <c r="R59" s="179">
        <v>0.0</v>
      </c>
      <c r="S59" s="179">
        <v>0.0</v>
      </c>
      <c r="T59" s="179">
        <v>634.0</v>
      </c>
      <c r="U59" s="104">
        <f t="shared" si="4"/>
        <v>1</v>
      </c>
      <c r="V59" s="104">
        <f t="shared" si="3"/>
        <v>0.25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79">
        <v>4.0</v>
      </c>
      <c r="H60" s="179">
        <v>1.0</v>
      </c>
      <c r="I60" s="179">
        <v>1.0</v>
      </c>
      <c r="J60" s="179">
        <v>0.0</v>
      </c>
      <c r="K60" s="179">
        <v>0.0</v>
      </c>
      <c r="L60" s="179">
        <v>0.0</v>
      </c>
      <c r="M60" s="179">
        <v>2.0</v>
      </c>
      <c r="N60" s="179">
        <v>1.0</v>
      </c>
      <c r="O60" s="179">
        <v>1.0</v>
      </c>
      <c r="P60" s="179">
        <v>0.0</v>
      </c>
      <c r="Q60" s="179">
        <v>0.0</v>
      </c>
      <c r="R60" s="179">
        <v>0.0</v>
      </c>
      <c r="S60" s="179">
        <v>0.0</v>
      </c>
      <c r="T60" s="179">
        <v>428.0</v>
      </c>
      <c r="U60" s="104">
        <f t="shared" si="4"/>
        <v>1</v>
      </c>
      <c r="V60" s="104">
        <f t="shared" si="3"/>
        <v>0.25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4"/>
        <v>0</v>
      </c>
      <c r="V61" s="104">
        <f t="shared" si="3"/>
        <v>0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4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5">IFERROR(I64/H64,0)</f>
        <v>0</v>
      </c>
      <c r="V64" s="104">
        <f t="shared" ref="V64:V69" si="6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5"/>
        <v>0</v>
      </c>
      <c r="V65" s="142">
        <f t="shared" si="6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5"/>
        <v>0</v>
      </c>
      <c r="V66" s="142">
        <f t="shared" si="6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5"/>
        <v>0</v>
      </c>
      <c r="V67" s="142">
        <f t="shared" si="6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5"/>
        <v>0</v>
      </c>
      <c r="V68" s="142">
        <f t="shared" si="6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5"/>
        <v>0</v>
      </c>
      <c r="V69" s="142">
        <f t="shared" si="6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7">IFERROR(I71/H71,0)</f>
        <v>0</v>
      </c>
      <c r="V71" s="104">
        <f t="shared" ref="V71:V79" si="8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7"/>
        <v>0</v>
      </c>
      <c r="V78" s="104">
        <f t="shared" si="8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7"/>
        <v>0</v>
      </c>
      <c r="V79" s="104">
        <f t="shared" si="8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9">IFERROR(I81/H81,0)</f>
        <v>0</v>
      </c>
      <c r="V81" s="104">
        <f t="shared" ref="V81:V88" si="10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9"/>
        <v>0</v>
      </c>
      <c r="V82" s="104">
        <f t="shared" si="10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9"/>
        <v>0</v>
      </c>
      <c r="V83" s="104">
        <f t="shared" si="10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9"/>
        <v>0</v>
      </c>
      <c r="V84" s="104">
        <f t="shared" si="10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9"/>
        <v>0</v>
      </c>
      <c r="V85" s="104">
        <f t="shared" si="10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9"/>
        <v>0</v>
      </c>
      <c r="V86" s="104">
        <f t="shared" si="10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9"/>
        <v>0</v>
      </c>
      <c r="V87" s="104">
        <f t="shared" si="10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9"/>
        <v>0</v>
      </c>
      <c r="V88" s="104">
        <f t="shared" si="10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1">IFERROR(I90/H90,0)</f>
        <v>0</v>
      </c>
      <c r="V90" s="104">
        <f t="shared" ref="V90:V107" si="12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1"/>
        <v>0</v>
      </c>
      <c r="V104" s="104">
        <f t="shared" si="12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1"/>
        <v>0</v>
      </c>
      <c r="V105" s="104">
        <f t="shared" si="12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1"/>
        <v>0</v>
      </c>
      <c r="V106" s="104">
        <f t="shared" si="12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1"/>
        <v>0</v>
      </c>
      <c r="V107" s="104">
        <f t="shared" si="12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3">IFERROR(I109/H109,0)</f>
        <v>0</v>
      </c>
      <c r="V109" s="142">
        <f t="shared" ref="V109:V110" si="14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3"/>
        <v>0</v>
      </c>
      <c r="V110" s="142">
        <f t="shared" si="14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4910</v>
      </c>
      <c r="D2" s="10"/>
      <c r="E2" s="11">
        <f t="shared" ref="E2:R2" si="1">SUM(E5,E20,E23,E26,E29,E32)</f>
        <v>0</v>
      </c>
      <c r="F2" s="11">
        <f t="shared" si="1"/>
        <v>6</v>
      </c>
      <c r="G2" s="11">
        <f t="shared" si="1"/>
        <v>6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15</v>
      </c>
      <c r="N2" s="11">
        <f t="shared" si="1"/>
        <v>6</v>
      </c>
      <c r="O2" s="11">
        <f t="shared" si="1"/>
        <v>4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1227.5</v>
      </c>
      <c r="F4" s="24">
        <f>IFERROR((G2+R2)/F2,0)</f>
        <v>1</v>
      </c>
      <c r="G4" s="24">
        <f>IFERROR(H2/G2,0)</f>
        <v>0.6666666667</v>
      </c>
      <c r="H4" s="23">
        <f>(C2/C4)</f>
        <v>71.15942029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2.5</v>
      </c>
      <c r="N4" s="25"/>
      <c r="O4" s="24">
        <f>IFERROR(O2/N2,0)</f>
        <v>0.6666666667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4910</v>
      </c>
      <c r="D29" s="68"/>
      <c r="E29" s="69">
        <f>SUMIFS(T:T,A:A,B29,D:D,"Y")</f>
        <v>0</v>
      </c>
      <c r="F29" s="70">
        <f>SUMIF(A:A,B29,G:G)</f>
        <v>6</v>
      </c>
      <c r="G29" s="71">
        <f>SUMIF(A:A,B29,H:H)</f>
        <v>6</v>
      </c>
      <c r="H29" s="71">
        <f>SUMIF(A:A,B29,I:I)</f>
        <v>4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15</v>
      </c>
      <c r="N29" s="71">
        <f>SUMIF(A:A,B29,N:N)</f>
        <v>6</v>
      </c>
      <c r="O29" s="71">
        <f>SUMIF(A:A,B29,O:O)</f>
        <v>4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1227.5</v>
      </c>
      <c r="F31" s="82">
        <f>IFERROR((G29+R29)/F29,0)</f>
        <v>1</v>
      </c>
      <c r="G31" s="82">
        <f>IFERROR(H29/G29,0)</f>
        <v>0.6666666667</v>
      </c>
      <c r="H31" s="81">
        <f>(C29/C31)</f>
        <v>272.7777778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2.5</v>
      </c>
      <c r="N31" s="83"/>
      <c r="O31" s="82">
        <f>IFERROR(O29/N29,0)</f>
        <v>0.6666666667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79">
        <v>6.0</v>
      </c>
      <c r="H91" s="179">
        <v>6.0</v>
      </c>
      <c r="I91" s="179">
        <v>4.0</v>
      </c>
      <c r="J91" s="103"/>
      <c r="K91" s="179"/>
      <c r="L91" s="103"/>
      <c r="M91" s="179">
        <v>15.0</v>
      </c>
      <c r="N91" s="179">
        <v>6.0</v>
      </c>
      <c r="O91" s="179">
        <v>4.0</v>
      </c>
      <c r="P91" s="103"/>
      <c r="Q91" s="103"/>
      <c r="R91" s="103"/>
      <c r="S91" s="103"/>
      <c r="T91" s="179">
        <v>4910.0</v>
      </c>
      <c r="U91" s="104">
        <f t="shared" si="10"/>
        <v>0.6666666667</v>
      </c>
      <c r="V91" s="104">
        <f t="shared" si="11"/>
        <v>1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7" t="s">
        <v>26</v>
      </c>
      <c r="B59" s="113" t="s">
        <v>30</v>
      </c>
      <c r="C59" s="113" t="s">
        <v>80</v>
      </c>
      <c r="D59" s="113" t="s">
        <v>52</v>
      </c>
      <c r="E59" s="113"/>
      <c r="F59" s="113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9" t="s">
        <v>26</v>
      </c>
      <c r="B60" s="117" t="s">
        <v>30</v>
      </c>
      <c r="C60" s="118" t="s">
        <v>80</v>
      </c>
      <c r="D60" s="112"/>
      <c r="E60" s="118"/>
      <c r="F60" s="118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31" t="s">
        <v>26</v>
      </c>
      <c r="B61" s="137" t="s">
        <v>30</v>
      </c>
      <c r="C61" s="137" t="s">
        <v>82</v>
      </c>
      <c r="D61" s="137" t="s">
        <v>52</v>
      </c>
      <c r="E61" s="137"/>
      <c r="F61" s="137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4" t="s">
        <v>26</v>
      </c>
      <c r="B62" s="136" t="s">
        <v>30</v>
      </c>
      <c r="C62" s="136" t="s">
        <v>82</v>
      </c>
      <c r="D62" s="137"/>
      <c r="E62" s="136" t="s">
        <v>83</v>
      </c>
      <c r="F62" s="136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85</v>
      </c>
      <c r="D65" s="141" t="s">
        <v>52</v>
      </c>
      <c r="E65" s="112" t="s">
        <v>86</v>
      </c>
      <c r="F65" s="112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85</v>
      </c>
      <c r="D66" s="144"/>
      <c r="E66" s="118"/>
      <c r="F66" s="118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88</v>
      </c>
      <c r="D67" s="145" t="s">
        <v>52</v>
      </c>
      <c r="E67" s="102" t="s">
        <v>55</v>
      </c>
      <c r="F67" s="102" t="s">
        <v>88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88</v>
      </c>
      <c r="D68" s="146"/>
      <c r="E68" s="111" t="s">
        <v>64</v>
      </c>
      <c r="F68" s="111" t="s">
        <v>89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88</v>
      </c>
      <c r="D69" s="146"/>
      <c r="E69" s="111" t="s">
        <v>90</v>
      </c>
      <c r="F69" s="111" t="s">
        <v>91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92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92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92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92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92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92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92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92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92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103</v>
      </c>
      <c r="D84" s="115"/>
      <c r="E84" s="112"/>
      <c r="F84" s="157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103</v>
      </c>
      <c r="D85" s="115"/>
      <c r="E85" s="112"/>
      <c r="F85" s="157" t="s">
        <v>105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103</v>
      </c>
      <c r="D86" s="115"/>
      <c r="E86" s="112"/>
      <c r="F86" s="157" t="s">
        <v>106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107</v>
      </c>
      <c r="D87" s="158" t="s">
        <v>52</v>
      </c>
      <c r="E87" s="132" t="s">
        <v>108</v>
      </c>
      <c r="F87" s="132" t="s">
        <v>107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107</v>
      </c>
      <c r="D88" s="159"/>
      <c r="E88" s="125" t="s">
        <v>64</v>
      </c>
      <c r="F88" s="125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113</v>
      </c>
      <c r="F94" s="162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121</v>
      </c>
      <c r="D101" s="167" t="s">
        <v>52</v>
      </c>
      <c r="E101" s="165" t="s">
        <v>108</v>
      </c>
      <c r="F101" s="165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121</v>
      </c>
      <c r="D102" s="169"/>
      <c r="E102" s="168" t="s">
        <v>122</v>
      </c>
      <c r="F102" s="168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121</v>
      </c>
      <c r="D103" s="169"/>
      <c r="E103" s="168" t="s">
        <v>124</v>
      </c>
      <c r="F103" s="168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121</v>
      </c>
      <c r="D104" s="169"/>
      <c r="E104" s="168"/>
      <c r="F104" s="168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121</v>
      </c>
      <c r="D105" s="169"/>
      <c r="E105" s="168"/>
      <c r="F105" s="168" t="s">
        <v>126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127</v>
      </c>
      <c r="D106" s="160" t="s">
        <v>52</v>
      </c>
      <c r="E106" s="160" t="s">
        <v>128</v>
      </c>
      <c r="F106" s="160" t="s">
        <v>127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127</v>
      </c>
      <c r="D107" s="164"/>
      <c r="E107" s="163"/>
      <c r="F107" s="163" t="s">
        <v>129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130</v>
      </c>
      <c r="D110" s="112" t="s">
        <v>52</v>
      </c>
      <c r="E110" s="112"/>
      <c r="F110" s="112" t="s">
        <v>130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1" t="s">
        <v>131</v>
      </c>
      <c r="B1" s="181" t="s">
        <v>132</v>
      </c>
      <c r="C1" s="181" t="s">
        <v>36</v>
      </c>
      <c r="D1" s="181" t="s">
        <v>133</v>
      </c>
      <c r="E1" s="181" t="s">
        <v>0</v>
      </c>
      <c r="F1" s="181" t="s">
        <v>134</v>
      </c>
      <c r="G1" s="181" t="s">
        <v>135</v>
      </c>
      <c r="H1" s="181" t="s">
        <v>136</v>
      </c>
      <c r="I1" s="181" t="s">
        <v>137</v>
      </c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>
      <c r="A2" s="183" t="s">
        <v>138</v>
      </c>
      <c r="B2" s="183" t="s">
        <v>139</v>
      </c>
      <c r="C2" s="183" t="s">
        <v>140</v>
      </c>
      <c r="D2" s="184">
        <v>46109.0</v>
      </c>
      <c r="E2" s="183">
        <v>1064.76</v>
      </c>
      <c r="F2" s="183" t="s">
        <v>141</v>
      </c>
      <c r="G2" s="183" t="s">
        <v>142</v>
      </c>
      <c r="H2" s="183" t="s">
        <v>143</v>
      </c>
      <c r="I2" s="183" t="s">
        <v>122</v>
      </c>
    </row>
    <row r="3">
      <c r="A3" s="183" t="s">
        <v>144</v>
      </c>
      <c r="B3" s="183" t="s">
        <v>145</v>
      </c>
      <c r="C3" s="183" t="s">
        <v>140</v>
      </c>
      <c r="D3" s="184">
        <v>46106.0</v>
      </c>
      <c r="E3" s="183">
        <v>1598.4</v>
      </c>
      <c r="F3" s="183" t="s">
        <v>141</v>
      </c>
      <c r="G3" s="183" t="s">
        <v>146</v>
      </c>
      <c r="H3" s="183" t="s">
        <v>147</v>
      </c>
      <c r="I3" s="183" t="s">
        <v>122</v>
      </c>
    </row>
    <row r="4">
      <c r="A4" s="183" t="s">
        <v>148</v>
      </c>
      <c r="B4" s="183" t="s">
        <v>149</v>
      </c>
      <c r="C4" s="183" t="s">
        <v>140</v>
      </c>
      <c r="D4" s="184">
        <v>46111.0</v>
      </c>
      <c r="E4" s="183">
        <v>670.44</v>
      </c>
      <c r="F4" s="183" t="s">
        <v>141</v>
      </c>
      <c r="G4" s="183" t="s">
        <v>142</v>
      </c>
      <c r="H4" s="183" t="s">
        <v>150</v>
      </c>
      <c r="I4" s="183" t="s">
        <v>122</v>
      </c>
    </row>
  </sheetData>
  <drawing r:id="rId1"/>
</worksheet>
</file>