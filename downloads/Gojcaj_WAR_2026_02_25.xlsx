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<sst xmlns="http://schemas.openxmlformats.org/spreadsheetml/2006/main" count="5163" uniqueCount="143">
  <si>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</si>
  <si>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</si>
  <si>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</si>
  <si>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</si>
  <si>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</si>
  <si>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</si>
  <si>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</si>
  <si>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</si>
  <si>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</si>
  <si>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</si>
  <si>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</si>
  <si>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</si>
  <si>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</si>
  <si>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</si>
  <si>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</si>
  <si>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GOJCAJ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</si>
  <si>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</si>
  <si>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</si>
  <si>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</si>
  <si>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</si>
  <si>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</si>
  <si>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</si>
  <si>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</si>
  <si>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</si>
  <si>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</si>
  <si>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</si>
  <si>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Joseph Gojcaj</t>
  </si>
  <si>
    <t>Jacob Brown</t>
  </si>
  <si>
    <t>Edward Leon</t>
  </si>
  <si>
    <t>Melissa Elam</t>
  </si>
  <si>
    <t>Timothy Noe</t>
  </si>
  <si>
    <t>Javier Sandoval</t>
  </si>
  <si>
    <t>Derron Alexander</t>
  </si>
  <si>
    <t>David Fulfer</t>
  </si>
  <si>
    <t>Ashlynn Orng</t>
  </si>
  <si>
    <t>Kenneth Preston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</si>
  <si>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</si>
  <si>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</si>
  <si>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</si>
  <si>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</si>
  <si>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</si>
  <si>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</si>
  <si>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</si>
  <si>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</si>
  <si>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</si>
  <si>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</si>
  <si>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</si>
  <si>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</si>
  <si>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</si>
  <si>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</si>
  <si>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</si>
  <si>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</si>
  <si>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</si>
  <si>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MI</t>
  </si>
  <si>
    <t>Kristen Fox</t>
  </si>
  <si>
    <t>NC</t>
  </si>
  <si>
    <t>Marci Dyer</t>
  </si>
  <si>
    <t>Joylynn Harris</t>
  </si>
  <si>
    <t>CA</t>
  </si>
  <si>
    <t>TX</t>
  </si>
  <si>
    <t>Shafay Sutton</t>
  </si>
  <si>
    <t>Eddie Leon</t>
  </si>
  <si>
    <t>IN</t>
  </si>
  <si>
    <t>Trysha Greenwood</t>
  </si>
  <si>
    <t>Rick Argote</t>
  </si>
  <si>
    <t>Julian Hyman</t>
  </si>
  <si>
    <t xml:space="preserve">Marcus Norton </t>
  </si>
  <si>
    <t>CO</t>
  </si>
  <si>
    <t>Marcus Norton</t>
  </si>
  <si>
    <t>Kaliyah Pyles</t>
  </si>
  <si>
    <t>M'Ellen Jackson</t>
  </si>
  <si>
    <t>Ethan Lasley</t>
  </si>
  <si>
    <t>MS</t>
  </si>
  <si>
    <t>Ronald Montoya</t>
  </si>
  <si>
    <t>Nathan Fast</t>
  </si>
  <si>
    <t>Danielle Loux</t>
  </si>
  <si>
    <t>MO</t>
  </si>
  <si>
    <t>Frances Gonzalez</t>
  </si>
  <si>
    <t>Chistopher Jacko</t>
  </si>
  <si>
    <t>Lacie Herring</t>
  </si>
  <si>
    <t>NJ</t>
  </si>
  <si>
    <t>Javier Gil</t>
  </si>
  <si>
    <t>TN</t>
  </si>
  <si>
    <t>Preston Opperman</t>
  </si>
  <si>
    <t>Bilal Abdullah</t>
  </si>
  <si>
    <t>NH</t>
  </si>
  <si>
    <t>Andre Alire</t>
  </si>
  <si>
    <t>Kelvin Claney</t>
  </si>
  <si>
    <t>Jacob Bandyk</t>
  </si>
  <si>
    <t>ID</t>
  </si>
  <si>
    <t>Alayna Halverson</t>
  </si>
  <si>
    <t>NY</t>
  </si>
  <si>
    <t>Dylan Alexander</t>
  </si>
  <si>
    <t>Kisha Darby</t>
  </si>
  <si>
    <t>Scott Harrison</t>
  </si>
  <si>
    <t>Michael Dolin</t>
  </si>
  <si>
    <t>Toel Jefferson</t>
  </si>
  <si>
    <t>Zev Bienenstock</t>
  </si>
  <si>
    <t>Julia Rodriguez</t>
  </si>
  <si>
    <t>Marie Cano</t>
  </si>
  <si>
    <t>Jordan McFarlane</t>
  </si>
  <si>
    <t>SC</t>
  </si>
  <si>
    <t>William Benline</t>
  </si>
  <si>
    <t>Ken Hermann</t>
  </si>
  <si>
    <t>Annie Ransom</t>
  </si>
  <si>
    <t>OR</t>
  </si>
  <si>
    <t>Caroline Sanazaro</t>
  </si>
  <si>
    <t>O'Neil Mbakwe</t>
  </si>
  <si>
    <t>Hillary Tucker</t>
  </si>
  <si>
    <t>Alexa Legg</t>
  </si>
  <si>
    <t>Nataly Vargas</t>
  </si>
  <si>
    <t>Berlin Iwai</t>
  </si>
  <si>
    <t>Kendall Stowers</t>
  </si>
  <si>
    <t>Crystal Mekdarasack</t>
  </si>
  <si>
    <t>Brad Word</t>
  </si>
  <si>
    <t>Ivander Ambriz</t>
  </si>
  <si>
    <t>Michael Boyd</t>
  </si>
  <si>
    <t>Wendy Huber</t>
  </si>
  <si>
    <t>FL</t>
  </si>
  <si>
    <t>Alissa Charles</t>
  </si>
  <si>
    <t>VA</t>
  </si>
  <si>
    <t>Tasheka Hill</t>
  </si>
  <si>
    <t>Bryanna Wagner</t>
  </si>
  <si>
    <t>WI</t>
  </si>
  <si>
    <t>Juan Ortega</t>
  </si>
  <si>
    <t>Benjamin Duffey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</si>
  <si>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</si>
  <si>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</si>
  <si>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</si>
  <si>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</si>
  <si>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</si>
  <si>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</si>
  <si>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</si>
  <si>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CHRISTINE CLEMENTICH</t>
  </si>
  <si>
    <t>MARCI DYER</t>
  </si>
  <si>
    <t>GOJCAJ</t>
  </si>
  <si>
    <t>N/A</t>
  </si>
  <si>
    <t>YES</t>
  </si>
  <si>
    <t>REWRITE TO AVOID DOUBLE DRAFT.</t>
  </si>
  <si>
    <t>JERREL JACKSON</t>
  </si>
  <si>
    <t>KRISTEN FOX</t>
  </si>
  <si>
    <t>-</t>
  </si>
  <si>
    <t>UNREACHABLE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</si>
</sst>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22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color rgb="FF000000"/>
      <name val="Calibri"/>
    </font>
    <font>
      <b/>
      <sz val="10.0"/>
      <color rgb="FF000000"/>
      <name val="Arial"/>
    </font>
    <font>
      <sz val="10.0"/>
      <color rgb="FF000000"/>
      <name val="Arial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b/>
      <color theme="1"/>
      <name val="Calibri"/>
    </font>
    <font>
      <b/>
      <sz val="11.0"/>
      <color rgb="FF000000"/>
      <name val="Calibri"/>
    </font>
    <font>
      <b/>
      <sz val="11.0"/>
      <color rgb="FF222222"/>
      <name val="Calibri"/>
    </font>
    <font>
      <color rgb="FF222222"/>
      <name val="Arial"/>
    </font>
    <font>
      <sz val="11.0"/>
      <color rgb="FF222222"/>
      <name val="Calibri"/>
    </font>
    <font>
      <b/>
      <color rgb="FF222222"/>
      <name val="Arial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22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2" fillId="2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vertical="center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3" fontId="3" numFmtId="0" xfId="0" applyAlignment="1" applyBorder="1" applyFill="1" applyFont="1">
      <alignment readingOrder="0" vertical="center"/>
    </xf>
    <xf borderId="5" fillId="3" fontId="3" numFmtId="1" xfId="0" applyAlignment="1" applyBorder="1" applyFont="1" applyNumberFormat="1">
      <alignment horizontal="right" shrinkToFit="0" vertical="center" wrapText="1"/>
    </xf>
    <xf borderId="5" fillId="3" fontId="2" numFmtId="0" xfId="0" applyAlignment="1" applyBorder="1" applyFont="1">
      <alignment vertical="center"/>
    </xf>
    <xf borderId="5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7" fillId="4" fontId="2" numFmtId="0" xfId="0" applyAlignment="1" applyBorder="1" applyFill="1" applyFont="1">
      <alignment shrinkToFit="0" vertical="center" wrapText="1"/>
    </xf>
    <xf borderId="7" fillId="4" fontId="2" numFmtId="0" xfId="0" applyAlignment="1" applyBorder="1" applyFont="1">
      <alignment vertical="center"/>
    </xf>
    <xf borderId="7" fillId="4" fontId="2" numFmtId="0" xfId="0" applyAlignment="1" applyBorder="1" applyFont="1">
      <alignment horizontal="right" shrinkToFit="0" vertical="center" wrapText="1"/>
    </xf>
    <xf borderId="7" fillId="4" fontId="2" numFmtId="0" xfId="0" applyAlignment="1" applyBorder="1" applyFont="1">
      <alignment readingOrder="0" shrinkToFit="0" vertical="center" wrapText="1"/>
    </xf>
    <xf borderId="7" fillId="4" fontId="2" numFmtId="0" xfId="0" applyAlignment="1" applyBorder="1" applyFont="1">
      <alignment shrinkToFit="0" vertical="center" wrapText="1"/>
    </xf>
    <xf borderId="8" fillId="4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2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2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1" fillId="4" fontId="2" numFmtId="9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4" fillId="3" fontId="3" numFmtId="0" xfId="0" applyAlignment="1" applyBorder="1" applyFont="1">
      <alignment readingOrder="0" shrinkToFit="0" vertical="center" wrapText="1"/>
    </xf>
    <xf borderId="5" fillId="3" fontId="2" numFmtId="0" xfId="0" applyAlignment="1" applyBorder="1" applyFont="1">
      <alignment vertical="center"/>
    </xf>
    <xf borderId="5" fillId="3" fontId="3" numFmtId="0" xfId="0" applyAlignment="1" applyBorder="1" applyFont="1">
      <alignment horizontal="right" vertical="center"/>
    </xf>
    <xf borderId="12" fillId="3" fontId="3" numFmtId="0" xfId="0" applyAlignment="1" applyBorder="1" applyFont="1">
      <alignment horizontal="right" shrinkToFit="0" vertical="center" wrapText="1"/>
    </xf>
    <xf borderId="0" fillId="5" fontId="1" numFmtId="1" xfId="0" applyAlignment="1" applyFont="1" applyNumberFormat="1">
      <alignment vertical="center"/>
    </xf>
    <xf borderId="0" fillId="5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4" fontId="4" numFmtId="0" xfId="0" applyAlignment="1" applyBorder="1" applyFont="1">
      <alignment horizontal="right" vertical="center"/>
    </xf>
    <xf borderId="7" fillId="4" fontId="2" numFmtId="0" xfId="0" applyAlignment="1" applyBorder="1" applyFont="1">
      <alignment vertical="center"/>
    </xf>
    <xf borderId="7" fillId="4" fontId="4" numFmtId="1" xfId="0" applyAlignment="1" applyBorder="1" applyFont="1" applyNumberFormat="1">
      <alignment horizontal="right" vertical="center"/>
    </xf>
    <xf borderId="7" fillId="4" fontId="4" numFmtId="9" xfId="0" applyAlignment="1" applyBorder="1" applyFont="1" applyNumberFormat="1">
      <alignment horizontal="right" vertical="center"/>
    </xf>
    <xf borderId="7" fillId="4" fontId="2" numFmtId="9" xfId="0" applyAlignment="1" applyBorder="1" applyFont="1" applyNumberFormat="1">
      <alignment vertical="center"/>
    </xf>
    <xf borderId="7" fillId="4" fontId="4" numFmtId="164" xfId="0" applyAlignment="1" applyBorder="1" applyFont="1" applyNumberFormat="1">
      <alignment horizontal="right" vertical="center"/>
    </xf>
    <xf borderId="8" fillId="4" fontId="2" numFmtId="9" xfId="0" applyAlignment="1" applyBorder="1" applyFont="1" applyNumberFormat="1">
      <alignment vertical="center"/>
    </xf>
    <xf borderId="4" fillId="0" fontId="4" numFmtId="0" xfId="0" applyAlignment="1" applyBorder="1" applyFont="1">
      <alignment readingOrder="0" vertical="center"/>
    </xf>
    <xf borderId="12" fillId="0" fontId="4" numFmtId="0" xfId="0" applyAlignment="1" applyBorder="1" applyFont="1">
      <alignment horizontal="right" shrinkToFit="0" vertical="center" wrapText="1"/>
    </xf>
    <xf borderId="15" fillId="5" fontId="2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7" fillId="0" fontId="4" numFmtId="0" xfId="0" applyAlignment="1" applyBorder="1" applyFon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8" fillId="4" fontId="2" numFmtId="0" xfId="0" applyAlignment="1" applyBorder="1" applyFont="1">
      <alignment shrinkToFit="0" vertical="center" wrapText="1"/>
    </xf>
    <xf borderId="15" fillId="4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1" fillId="4" fontId="4" numFmtId="0" xfId="0" applyAlignment="1" applyBorder="1" applyFont="1">
      <alignment horizontal="right" vertical="center"/>
    </xf>
    <xf borderId="16" fillId="4" fontId="2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4" fillId="0" fontId="6" numFmtId="0" xfId="0" applyAlignment="1" applyBorder="1" applyFont="1">
      <alignment readingOrder="0" vertical="center"/>
    </xf>
    <xf borderId="12" fillId="0" fontId="6" numFmtId="0" xfId="0" applyAlignment="1" applyBorder="1" applyFont="1">
      <alignment horizontal="right" shrinkToFit="0" vertical="center" wrapText="1"/>
    </xf>
    <xf borderId="17" fillId="0" fontId="7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5" fillId="4" fontId="2" numFmtId="0" xfId="0" applyAlignment="1" applyBorder="1" applyFont="1">
      <alignment vertical="center"/>
    </xf>
    <xf borderId="18" fillId="0" fontId="4" numFmtId="0" xfId="0" applyAlignment="1" applyBorder="1" applyFont="1">
      <alignment readingOrder="0" vertical="center"/>
    </xf>
    <xf borderId="5" fillId="3" fontId="3" numFmtId="1" xfId="0" applyAlignment="1" applyBorder="1" applyFont="1" applyNumberFormat="1">
      <alignment horizontal="right" vertical="center"/>
    </xf>
    <xf borderId="10" fillId="4" fontId="2" numFmtId="0" xfId="0" applyAlignment="1" applyBorder="1" applyFont="1">
      <alignment vertical="center"/>
    </xf>
    <xf borderId="4" fillId="3" fontId="8" numFmtId="0" xfId="0" applyAlignment="1" applyBorder="1" applyFont="1">
      <alignment readingOrder="0" shrinkToFit="0" vertical="center" wrapText="1"/>
    </xf>
    <xf borderId="5" fillId="3" fontId="8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5" fillId="3" fontId="8" numFmtId="0" xfId="0" applyAlignment="1" applyBorder="1" applyFont="1">
      <alignment horizontal="right" vertical="center"/>
    </xf>
    <xf borderId="5" fillId="3" fontId="8" numFmtId="0" xfId="0" applyAlignment="1" applyBorder="1" applyFont="1">
      <alignment horizontal="right" shrinkToFit="0" vertical="center" wrapText="1"/>
    </xf>
    <xf borderId="5" fillId="3" fontId="8" numFmtId="0" xfId="0" applyAlignment="1" applyBorder="1" applyFont="1">
      <alignment horizontal="right" shrinkToFit="0" vertical="center" wrapText="1"/>
    </xf>
    <xf borderId="12" fillId="3" fontId="8" numFmtId="0" xfId="0" applyAlignment="1" applyBorder="1" applyFont="1">
      <alignment horizontal="right" shrinkToFit="0" vertical="center" wrapText="1"/>
    </xf>
    <xf borderId="0" fillId="5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9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9" numFmtId="0" xfId="0" applyAlignment="1" applyBorder="1" applyFont="1">
      <alignment horizontal="right" shrinkToFit="0" vertical="center" wrapText="1"/>
    </xf>
    <xf borderId="7" fillId="4" fontId="9" numFmtId="0" xfId="0" applyAlignment="1" applyBorder="1" applyFont="1">
      <alignment shrinkToFit="0" vertical="center" wrapText="1"/>
    </xf>
    <xf borderId="8" fillId="4" fontId="1" numFmtId="0" xfId="0" applyAlignment="1" applyBorder="1" applyFont="1">
      <alignment vertical="center"/>
    </xf>
    <xf borderId="7" fillId="4" fontId="10" numFmtId="0" xfId="0" applyAlignment="1" applyBorder="1" applyFont="1">
      <alignment horizontal="right" vertical="center"/>
    </xf>
    <xf borderId="7" fillId="4" fontId="10" numFmtId="1" xfId="0" applyAlignment="1" applyBorder="1" applyFont="1" applyNumberFormat="1">
      <alignment horizontal="right" vertical="center"/>
    </xf>
    <xf borderId="7" fillId="4" fontId="10" numFmtId="9" xfId="0" applyAlignment="1" applyBorder="1" applyFont="1" applyNumberFormat="1">
      <alignment horizontal="right" vertical="center"/>
    </xf>
    <xf borderId="7" fillId="4" fontId="1" numFmtId="9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vertical="center"/>
    </xf>
    <xf borderId="8" fillId="4" fontId="1" numFmtId="9" xfId="0" applyAlignment="1" applyBorder="1" applyFont="1" applyNumberFormat="1">
      <alignment vertical="center"/>
    </xf>
    <xf borderId="19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7" fillId="2" fontId="8" numFmtId="0" xfId="0" applyAlignment="1" applyBorder="1" applyFont="1">
      <alignment horizontal="center" shrinkToFit="0" vertical="center" wrapText="1"/>
    </xf>
    <xf borderId="15" fillId="2" fontId="8" numFmtId="0" xfId="0" applyAlignment="1" applyBorder="1" applyFont="1">
      <alignment horizontal="center" shrinkToFit="0" vertical="center" wrapText="1"/>
    </xf>
    <xf borderId="15" fillId="2" fontId="8" numFmtId="0" xfId="0" applyAlignment="1" applyBorder="1" applyFont="1">
      <alignment horizontal="center" shrinkToFit="0" vertical="center" wrapText="1"/>
    </xf>
    <xf borderId="15" fillId="2" fontId="8" numFmtId="0" xfId="0" applyAlignment="1" applyBorder="1" applyFont="1">
      <alignment horizontal="center" readingOrder="0" shrinkToFit="0" vertical="center" wrapText="1"/>
    </xf>
    <xf borderId="15" fillId="2" fontId="8" numFmtId="0" xfId="0" applyAlignment="1" applyBorder="1" applyFont="1">
      <alignment horizontal="center" vertical="center"/>
    </xf>
    <xf borderId="0" fillId="2" fontId="8" numFmtId="0" xfId="0" applyAlignment="1" applyFont="1">
      <alignment horizontal="center" readingOrder="0" shrinkToFit="0" vertical="center" wrapText="1"/>
    </xf>
    <xf borderId="21" fillId="5" fontId="11" numFmtId="0" xfId="0" applyAlignment="1" applyBorder="1" applyFont="1">
      <alignment readingOrder="0" shrinkToFit="0" vertical="bottom" wrapText="1"/>
    </xf>
    <xf borderId="20" fillId="5" fontId="11" numFmtId="0" xfId="0" applyAlignment="1" applyBorder="1" applyFont="1">
      <alignment vertical="bottom"/>
    </xf>
    <xf borderId="20" fillId="5" fontId="11" numFmtId="0" xfId="0" applyAlignment="1" applyBorder="1" applyFont="1">
      <alignment shrinkToFit="0" vertical="bottom" wrapText="1"/>
    </xf>
    <xf borderId="20" fillId="5" fontId="12" numFmtId="0" xfId="0" applyAlignment="1" applyBorder="1" applyFont="1">
      <alignment readingOrder="0" shrinkToFit="0" vertical="bottom" wrapText="1"/>
    </xf>
    <xf borderId="7" fillId="5" fontId="9" numFmtId="3" xfId="0" applyAlignment="1" applyBorder="1" applyFont="1" applyNumberFormat="1">
      <alignment horizontal="right" vertical="center"/>
    </xf>
    <xf borderId="20" fillId="6" fontId="2" numFmtId="9" xfId="0" applyAlignment="1" applyBorder="1" applyFill="1" applyFont="1" applyNumberFormat="1">
      <alignment horizontal="right" vertical="center"/>
    </xf>
    <xf borderId="0" fillId="6" fontId="2" numFmtId="9" xfId="0" applyAlignment="1" applyFont="1" applyNumberFormat="1">
      <alignment horizontal="right" vertical="center"/>
    </xf>
    <xf borderId="21" fillId="3" fontId="13" numFmtId="0" xfId="0" applyAlignment="1" applyBorder="1" applyFont="1">
      <alignment shrinkToFit="0" vertical="bottom" wrapText="1"/>
    </xf>
    <xf borderId="20" fillId="3" fontId="13" numFmtId="0" xfId="0" applyAlignment="1" applyBorder="1" applyFont="1">
      <alignment readingOrder="0" shrinkToFit="0" vertical="bottom" wrapText="1"/>
    </xf>
    <xf borderId="20" fillId="3" fontId="12" numFmtId="0" xfId="0" applyAlignment="1" applyBorder="1" applyFont="1">
      <alignment vertical="bottom"/>
    </xf>
    <xf borderId="20" fillId="3" fontId="13" numFmtId="0" xfId="0" applyAlignment="1" applyBorder="1" applyFont="1">
      <alignment shrinkToFit="0" vertical="bottom" wrapText="1"/>
    </xf>
    <xf borderId="21" fillId="0" fontId="12" numFmtId="0" xfId="0" applyAlignment="1" applyBorder="1" applyFont="1">
      <alignment shrinkToFit="0" vertical="bottom" wrapText="1"/>
    </xf>
    <xf borderId="20" fillId="0" fontId="12" numFmtId="0" xfId="0" applyAlignment="1" applyBorder="1" applyFont="1">
      <alignment readingOrder="0" shrinkToFit="0" vertical="bottom" wrapText="1"/>
    </xf>
    <xf borderId="20" fillId="0" fontId="14" numFmtId="0" xfId="0" applyAlignment="1" applyBorder="1" applyFont="1">
      <alignment readingOrder="0" vertical="bottom"/>
    </xf>
    <xf borderId="21" fillId="0" fontId="11" numFmtId="0" xfId="0" applyAlignment="1" applyBorder="1" applyFont="1">
      <alignment shrinkToFit="0" vertical="bottom" wrapText="1"/>
    </xf>
    <xf borderId="20" fillId="0" fontId="11" numFmtId="0" xfId="0" applyAlignment="1" applyBorder="1" applyFont="1">
      <alignment readingOrder="0" shrinkToFit="0" vertical="bottom" wrapText="1"/>
    </xf>
    <xf borderId="20" fillId="0" fontId="1" numFmtId="0" xfId="0" applyAlignment="1" applyBorder="1" applyFont="1">
      <alignment vertical="bottom"/>
    </xf>
    <xf borderId="7" fillId="4" fontId="12" numFmtId="0" xfId="0" applyAlignment="1" applyBorder="1" applyFont="1">
      <alignment shrinkToFit="0" vertical="bottom" wrapText="1"/>
    </xf>
    <xf borderId="20" fillId="4" fontId="12" numFmtId="0" xfId="0" applyAlignment="1" applyBorder="1" applyFont="1">
      <alignment readingOrder="0" shrinkToFit="0" vertical="bottom" wrapText="1"/>
    </xf>
    <xf borderId="20" fillId="4" fontId="14" numFmtId="0" xfId="0" applyAlignment="1" applyBorder="1" applyFont="1">
      <alignment readingOrder="0" vertical="bottom"/>
    </xf>
    <xf borderId="7" fillId="4" fontId="11" numFmtId="0" xfId="0" applyAlignment="1" applyBorder="1" applyFont="1">
      <alignment shrinkToFit="0" vertical="bottom" wrapText="1"/>
    </xf>
    <xf borderId="20" fillId="4" fontId="11" numFmtId="0" xfId="0" applyAlignment="1" applyBorder="1" applyFont="1">
      <alignment readingOrder="0" shrinkToFit="0" vertical="bottom" wrapText="1"/>
    </xf>
    <xf borderId="20" fillId="4" fontId="1" numFmtId="0" xfId="0" applyAlignment="1" applyBorder="1" applyFont="1">
      <alignment vertical="bottom"/>
    </xf>
    <xf borderId="7" fillId="3" fontId="13" numFmtId="0" xfId="0" applyAlignment="1" applyBorder="1" applyFont="1">
      <alignment shrinkToFit="0" vertical="bottom" wrapText="1"/>
    </xf>
    <xf borderId="21" fillId="3" fontId="13" numFmtId="0" xfId="0" applyAlignment="1" applyBorder="1" applyFont="1">
      <alignment readingOrder="0" shrinkToFit="0" vertical="bottom" wrapText="1"/>
    </xf>
    <xf borderId="20" fillId="3" fontId="13" numFmtId="0" xfId="0" applyAlignment="1" applyBorder="1" applyFont="1">
      <alignment vertical="bottom"/>
    </xf>
    <xf borderId="7" fillId="5" fontId="11" numFmtId="0" xfId="0" applyAlignment="1" applyBorder="1" applyFont="1">
      <alignment shrinkToFit="0" vertical="bottom" wrapText="1"/>
    </xf>
    <xf borderId="20" fillId="5" fontId="11" numFmtId="0" xfId="0" applyAlignment="1" applyBorder="1" applyFont="1">
      <alignment readingOrder="0" shrinkToFit="0" vertical="bottom" wrapText="1"/>
    </xf>
    <xf borderId="15" fillId="4" fontId="12" numFmtId="0" xfId="0" applyAlignment="1" applyBorder="1" applyFont="1">
      <alignment readingOrder="0" shrinkToFit="0" vertical="bottom" wrapText="1"/>
    </xf>
    <xf borderId="20" fillId="4" fontId="12" numFmtId="0" xfId="0" applyAlignment="1" applyBorder="1" applyFont="1">
      <alignment readingOrder="0" shrinkToFit="0" vertical="center" wrapText="1"/>
    </xf>
    <xf borderId="20" fillId="4" fontId="12" numFmtId="0" xfId="0" applyAlignment="1" applyBorder="1" applyFont="1">
      <alignment readingOrder="0" vertical="center"/>
    </xf>
    <xf borderId="15" fillId="4" fontId="11" numFmtId="0" xfId="0" applyAlignment="1" applyBorder="1" applyFont="1">
      <alignment readingOrder="0" shrinkToFit="0" vertical="bottom" wrapText="1"/>
    </xf>
    <xf borderId="20" fillId="4" fontId="11" numFmtId="0" xfId="0" applyAlignment="1" applyBorder="1" applyFont="1">
      <alignment shrinkToFit="0" vertical="bottom" wrapText="1"/>
    </xf>
    <xf borderId="20" fillId="3" fontId="13" numFmtId="0" xfId="0" applyAlignment="1" applyBorder="1" applyFont="1">
      <alignment readingOrder="0" vertical="center"/>
    </xf>
    <xf borderId="20" fillId="3" fontId="13" numFmtId="0" xfId="0" applyAlignment="1" applyBorder="1" applyFont="1">
      <alignment shrinkToFit="0" vertical="center" wrapText="1"/>
    </xf>
    <xf borderId="20" fillId="0" fontId="11" numFmtId="0" xfId="0" applyAlignment="1" applyBorder="1" applyFont="1">
      <alignment vertical="bottom"/>
    </xf>
    <xf borderId="21" fillId="4" fontId="12" numFmtId="0" xfId="0" applyAlignment="1" applyBorder="1" applyFont="1">
      <alignment shrinkToFit="0" vertical="bottom" wrapText="1"/>
    </xf>
    <xf borderId="20" fillId="4" fontId="12" numFmtId="0" xfId="0" applyAlignment="1" applyBorder="1" applyFont="1">
      <alignment readingOrder="0" vertical="bottom"/>
    </xf>
    <xf borderId="21" fillId="4" fontId="11" numFmtId="0" xfId="0" applyAlignment="1" applyBorder="1" applyFont="1">
      <alignment shrinkToFit="0" vertical="bottom" wrapText="1"/>
    </xf>
    <xf borderId="20" fillId="4" fontId="11" numFmtId="0" xfId="0" applyAlignment="1" applyBorder="1" applyFont="1">
      <alignment vertical="bottom"/>
    </xf>
    <xf borderId="20" fillId="0" fontId="12" numFmtId="0" xfId="0" applyAlignment="1" applyBorder="1" applyFont="1">
      <alignment shrinkToFit="0" vertical="bottom" wrapText="1"/>
    </xf>
    <xf borderId="21" fillId="5" fontId="12" numFmtId="0" xfId="0" applyAlignment="1" applyBorder="1" applyFont="1">
      <alignment readingOrder="0" shrinkToFit="0" vertical="bottom" wrapText="1"/>
    </xf>
    <xf borderId="20" fillId="5" fontId="14" numFmtId="0" xfId="0" applyAlignment="1" applyBorder="1" applyFont="1">
      <alignment vertical="bottom"/>
    </xf>
    <xf borderId="20" fillId="5" fontId="12" numFmtId="0" xfId="0" applyAlignment="1" applyBorder="1" applyFont="1">
      <alignment shrinkToFit="0" vertical="bottom" wrapText="1"/>
    </xf>
    <xf borderId="7" fillId="4" fontId="12" numFmtId="0" xfId="0" applyAlignment="1" applyBorder="1" applyFont="1">
      <alignment shrinkToFit="0" vertical="bottom" wrapText="1"/>
    </xf>
    <xf borderId="15" fillId="4" fontId="14" numFmtId="0" xfId="0" applyAlignment="1" applyBorder="1" applyFont="1">
      <alignment vertical="bottom"/>
    </xf>
    <xf borderId="15" fillId="6" fontId="9" numFmtId="9" xfId="0" applyAlignment="1" applyBorder="1" applyFont="1" applyNumberFormat="1">
      <alignment horizontal="right" vertical="center"/>
    </xf>
    <xf borderId="0" fillId="6" fontId="9" numFmtId="9" xfId="0" applyAlignment="1" applyFont="1" applyNumberFormat="1">
      <alignment horizontal="right" vertical="center"/>
    </xf>
    <xf borderId="21" fillId="4" fontId="11" numFmtId="0" xfId="0" applyAlignment="1" applyBorder="1" applyFont="1">
      <alignment shrinkToFit="0" vertical="bottom" wrapText="1"/>
    </xf>
    <xf borderId="20" fillId="4" fontId="11" numFmtId="0" xfId="0" applyAlignment="1" applyBorder="1" applyFont="1">
      <alignment vertical="bottom"/>
    </xf>
    <xf borderId="7" fillId="0" fontId="12" numFmtId="0" xfId="0" applyAlignment="1" applyBorder="1" applyFont="1">
      <alignment shrinkToFit="0" vertical="bottom" wrapText="1"/>
    </xf>
    <xf borderId="15" fillId="0" fontId="14" numFmtId="0" xfId="0" applyAlignment="1" applyBorder="1" applyFont="1">
      <alignment vertical="bottom"/>
    </xf>
    <xf borderId="15" fillId="0" fontId="12" numFmtId="0" xfId="0" applyAlignment="1" applyBorder="1" applyFont="1">
      <alignment readingOrder="0" shrinkToFit="0" vertical="bottom" wrapText="1"/>
    </xf>
    <xf borderId="7" fillId="0" fontId="11" numFmtId="0" xfId="0" applyAlignment="1" applyBorder="1" applyFont="1">
      <alignment shrinkToFit="0" vertical="bottom" wrapText="1"/>
    </xf>
    <xf borderId="15" fillId="0" fontId="1" numFmtId="0" xfId="0" applyAlignment="1" applyBorder="1" applyFont="1">
      <alignment vertical="bottom"/>
    </xf>
    <xf borderId="15" fillId="0" fontId="11" numFmtId="0" xfId="0" applyAlignment="1" applyBorder="1" applyFont="1">
      <alignment readingOrder="0" shrinkToFit="0" vertical="bottom" wrapText="1"/>
    </xf>
    <xf borderId="21" fillId="0" fontId="15" numFmtId="0" xfId="0" applyAlignment="1" applyBorder="1" applyFont="1">
      <alignment readingOrder="0" shrinkToFit="0" vertical="bottom" wrapText="1"/>
    </xf>
    <xf borderId="20" fillId="0" fontId="15" numFmtId="0" xfId="0" applyAlignment="1" applyBorder="1" applyFont="1">
      <alignment readingOrder="0" shrinkToFit="0" vertical="bottom" wrapText="1"/>
    </xf>
    <xf borderId="20" fillId="0" fontId="15" numFmtId="0" xfId="0" applyAlignment="1" applyBorder="1" applyFont="1">
      <alignment shrinkToFit="0" vertical="bottom" wrapText="1"/>
    </xf>
    <xf borderId="20" fillId="0" fontId="15" numFmtId="0" xfId="0" applyAlignment="1" applyBorder="1" applyFont="1">
      <alignment readingOrder="0" vertical="bottom"/>
    </xf>
    <xf borderId="20" fillId="0" fontId="11" numFmtId="0" xfId="0" applyAlignment="1" applyBorder="1" applyFont="1">
      <alignment shrinkToFit="0" vertical="bottom" wrapText="1"/>
    </xf>
    <xf borderId="20" fillId="0" fontId="12" numFmtId="0" xfId="0" applyAlignment="1" applyBorder="1" applyFont="1">
      <alignment readingOrder="0" vertical="bottom"/>
    </xf>
    <xf borderId="20" fillId="0" fontId="12" numFmtId="0" xfId="0" applyAlignment="1" applyBorder="1" applyFont="1">
      <alignment shrinkToFit="0" vertical="center" wrapText="1"/>
    </xf>
    <xf borderId="20" fillId="0" fontId="12" numFmtId="0" xfId="0" applyAlignment="1" applyBorder="1" applyFont="1">
      <alignment shrinkToFit="0" vertical="center" wrapText="1"/>
    </xf>
    <xf borderId="20" fillId="0" fontId="11" numFmtId="0" xfId="0" applyAlignment="1" applyBorder="1" applyFont="1">
      <alignment shrinkToFit="0" vertical="center" wrapText="1"/>
    </xf>
    <xf borderId="20" fillId="5" fontId="1" numFmtId="0" xfId="0" applyAlignment="1" applyBorder="1" applyFont="1">
      <alignment vertical="bottom"/>
    </xf>
    <xf borderId="20" fillId="4" fontId="12" numFmtId="0" xfId="0" applyAlignment="1" applyBorder="1" applyFont="1">
      <alignment shrinkToFit="0" vertical="center" wrapText="1"/>
    </xf>
    <xf borderId="20" fillId="5" fontId="16" numFmtId="0" xfId="0" applyAlignment="1" applyBorder="1" applyFont="1">
      <alignment readingOrder="0" vertical="bottom"/>
    </xf>
    <xf borderId="20" fillId="5" fontId="17" numFmtId="0" xfId="0" applyAlignment="1" applyBorder="1" applyFont="1">
      <alignment vertical="bottom"/>
    </xf>
    <xf borderId="20" fillId="5" fontId="18" numFmtId="0" xfId="0" applyAlignment="1" applyBorder="1" applyFont="1">
      <alignment readingOrder="0" vertical="bottom"/>
    </xf>
    <xf borderId="20" fillId="0" fontId="18" numFmtId="0" xfId="0" applyAlignment="1" applyBorder="1" applyFont="1">
      <alignment readingOrder="0" vertical="bottom"/>
    </xf>
    <xf borderId="20" fillId="0" fontId="17" numFmtId="0" xfId="0" applyAlignment="1" applyBorder="1" applyFont="1">
      <alignment vertical="bottom"/>
    </xf>
    <xf borderId="20" fillId="4" fontId="16" numFmtId="0" xfId="0" applyAlignment="1" applyBorder="1" applyFont="1">
      <alignment readingOrder="0" vertical="bottom"/>
    </xf>
    <xf borderId="20" fillId="4" fontId="19" numFmtId="0" xfId="0" applyAlignment="1" applyBorder="1" applyFont="1">
      <alignment vertical="bottom"/>
    </xf>
    <xf borderId="20" fillId="4" fontId="19" numFmtId="0" xfId="0" applyAlignment="1" applyBorder="1" applyFont="1">
      <alignment readingOrder="0" vertical="bottom"/>
    </xf>
    <xf borderId="20" fillId="4" fontId="18" numFmtId="0" xfId="0" applyAlignment="1" applyBorder="1" applyFont="1">
      <alignment readingOrder="0" vertical="bottom"/>
    </xf>
    <xf borderId="20" fillId="4" fontId="17" numFmtId="0" xfId="0" applyAlignment="1" applyBorder="1" applyFont="1">
      <alignment vertical="bottom"/>
    </xf>
    <xf borderId="20" fillId="5" fontId="19" numFmtId="0" xfId="0" applyAlignment="1" applyBorder="1" applyFont="1">
      <alignment vertical="bottom"/>
    </xf>
    <xf borderId="0" fillId="0" fontId="11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vertical="center" wrapText="1"/>
    </xf>
    <xf borderId="0" fillId="0" fontId="9" numFmtId="3" xfId="0" applyAlignment="1" applyFont="1" applyNumberFormat="1">
      <alignment horizontal="right" vertical="center"/>
    </xf>
    <xf borderId="0" fillId="0" fontId="9" numFmtId="9" xfId="0" applyAlignment="1" applyFont="1" applyNumberFormat="1">
      <alignment horizontal="right" vertical="center"/>
    </xf>
    <xf borderId="0" fillId="7" fontId="11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1" numFmtId="0" xfId="0" applyAlignment="1" applyFont="1">
      <alignment readingOrder="0" shrinkToFit="0" vertical="center" wrapText="1"/>
    </xf>
    <xf borderId="0" fillId="5" fontId="9" numFmtId="3" xfId="0" applyAlignment="1" applyFont="1" applyNumberFormat="1">
      <alignment horizontal="right" vertical="center"/>
    </xf>
    <xf borderId="7" fillId="5" fontId="9" numFmtId="3" xfId="0" applyAlignment="1" applyBorder="1" applyFont="1" applyNumberFormat="1">
      <alignment horizontal="right" readingOrder="0" vertical="center"/>
    </xf>
    <xf borderId="15" fillId="6" fontId="9" numFmtId="9" xfId="0" applyAlignment="1" applyBorder="1" applyFont="1" applyNumberFormat="1">
      <alignment horizontal="right" readingOrder="0" vertical="center"/>
    </xf>
    <xf borderId="20" fillId="6" fontId="2" numFmtId="9" xfId="0" applyAlignment="1" applyBorder="1" applyFont="1" applyNumberFormat="1">
      <alignment horizontal="right" readingOrder="0" vertical="center"/>
    </xf>
    <xf borderId="0" fillId="2" fontId="20" numFmtId="0" xfId="0" applyAlignment="1" applyFont="1">
      <alignment horizontal="center" readingOrder="0" vertical="center"/>
    </xf>
    <xf borderId="0" fillId="2" fontId="21" numFmtId="0" xfId="0" applyAlignment="1" applyFont="1">
      <alignment vertical="center"/>
    </xf>
    <xf borderId="0" fillId="0" fontId="21" numFmtId="0" xfId="0" applyAlignment="1" applyFont="1">
      <alignment readingOrder="0" vertical="center"/>
    </xf>
    <xf borderId="0" fillId="0" fontId="21" numFmtId="165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73916.12</v>
      </c>
      <c r="D2" s="10"/>
      <c r="E2" s="11">
        <f t="shared" ref="E2:R2" si="1">SUM(E5,E20,E23,E26,E29,E32)</f>
        <v>52994.12</v>
      </c>
      <c r="F2" s="11">
        <f t="shared" si="1"/>
        <v>220</v>
      </c>
      <c r="G2" s="11">
        <f t="shared" si="1"/>
        <v>104</v>
      </c>
      <c r="H2" s="11">
        <f t="shared" si="1"/>
        <v>49</v>
      </c>
      <c r="I2" s="11">
        <f t="shared" si="1"/>
        <v>14</v>
      </c>
      <c r="J2" s="11">
        <f t="shared" si="1"/>
        <v>11</v>
      </c>
      <c r="K2" s="11">
        <f t="shared" si="1"/>
        <v>41</v>
      </c>
      <c r="L2" s="11">
        <f t="shared" si="1"/>
        <v>18</v>
      </c>
      <c r="M2" s="11">
        <f t="shared" si="1"/>
        <v>376</v>
      </c>
      <c r="N2" s="11">
        <f t="shared" si="1"/>
        <v>49</v>
      </c>
      <c r="O2" s="11">
        <f t="shared" si="1"/>
        <v>24</v>
      </c>
      <c r="P2" s="11">
        <f t="shared" si="1"/>
        <v>43</v>
      </c>
      <c r="Q2" s="11">
        <f t="shared" si="1"/>
        <v>21</v>
      </c>
      <c r="R2" s="11">
        <f t="shared" si="1"/>
        <v>19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64</v>
      </c>
      <c r="D4" s="22"/>
      <c r="E4" s="23">
        <f>IFERROR(C2/H2,0)</f>
        <v>1508.492245</v>
      </c>
      <c r="F4" s="24">
        <f>IFERROR((G2+R2)/F2,0)</f>
        <v>0.5590909091</v>
      </c>
      <c r="G4" s="24">
        <f>IFERROR(H2/G2,0)</f>
        <v>0.4711538462</v>
      </c>
      <c r="H4" s="23">
        <f>(C2/C4)</f>
        <v>1154.939375</v>
      </c>
      <c r="I4" s="25"/>
      <c r="J4" s="24">
        <f>IFERROR(J2/I2,0)</f>
        <v>0.7857142857</v>
      </c>
      <c r="K4" s="25"/>
      <c r="L4" s="24">
        <f>IFERROR(L2/K2,0)</f>
        <v>0.4390243902</v>
      </c>
      <c r="M4" s="26">
        <f>IFERROR(M2/G2,0)</f>
        <v>3.615384615</v>
      </c>
      <c r="N4" s="25"/>
      <c r="O4" s="24">
        <f>IFERROR(O2/N2,0)</f>
        <v>0.4897959184</v>
      </c>
      <c r="P4" s="26"/>
      <c r="Q4" s="24">
        <f>IFERROR(Q2/P2,0)</f>
        <v>0.488372093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38310</v>
      </c>
      <c r="D5" s="31"/>
      <c r="E5" s="32">
        <f>SUMIFS(T:T,A:A,B5,D:D,"Y")</f>
        <v>28389</v>
      </c>
      <c r="F5" s="11">
        <f>SUMIF(A:A,B5,G:G)</f>
        <v>147</v>
      </c>
      <c r="G5" s="11">
        <f>SUMIF(A:A,B5,H:H)</f>
        <v>68</v>
      </c>
      <c r="H5" s="11">
        <f>SUMIF(A:A,B5,I:I)</f>
        <v>27</v>
      </c>
      <c r="I5" s="11">
        <f>SUMIF(A:A,B5,P:P)</f>
        <v>14</v>
      </c>
      <c r="J5" s="11">
        <f>SUMIF(A:A,B5,Q:Q)</f>
        <v>11</v>
      </c>
      <c r="K5" s="11">
        <f>SUMIF(A:A,B5,R:R)</f>
        <v>28</v>
      </c>
      <c r="L5" s="11">
        <f>SUMIF(A:A,B5,S:S)</f>
        <v>8</v>
      </c>
      <c r="M5" s="11">
        <f>SUMIF(A:A,B5,M:M)</f>
        <v>237</v>
      </c>
      <c r="N5" s="11">
        <f>SUMIF(A:A,B5,N:N)</f>
        <v>29</v>
      </c>
      <c r="O5" s="11">
        <f>SUMIF(A:A,B5,O:O)</f>
        <v>9</v>
      </c>
      <c r="P5" s="11">
        <f>SUMIF(A:A,B5,J:J)</f>
        <v>33</v>
      </c>
      <c r="Q5" s="11">
        <f>SUMIF(A:A,B5,K:K)</f>
        <v>12</v>
      </c>
      <c r="R5" s="33">
        <f>SUMIF(A:A,B5,L:L)</f>
        <v>16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25</v>
      </c>
      <c r="D7" s="39"/>
      <c r="E7" s="40">
        <f>IFERROR(C5/H5,0)</f>
        <v>1418.888889</v>
      </c>
      <c r="F7" s="41">
        <f>IFERROR((G5+R5)/F5,0)</f>
        <v>0.5714285714</v>
      </c>
      <c r="G7" s="41">
        <f>IFERROR(H5/G5,0)</f>
        <v>0.3970588235</v>
      </c>
      <c r="H7" s="40">
        <f>(C5/C7)</f>
        <v>1532.4</v>
      </c>
      <c r="I7" s="42"/>
      <c r="J7" s="41">
        <f>IFERROR(J5/I5,0)</f>
        <v>0.7857142857</v>
      </c>
      <c r="K7" s="42"/>
      <c r="L7" s="41">
        <f>IFERROR(L5/K5,0)</f>
        <v>0.2857142857</v>
      </c>
      <c r="M7" s="43">
        <f>IFERROR(M5/SUM(R5+G5,0),"")</f>
        <v>2.821428571</v>
      </c>
      <c r="N7" s="42"/>
      <c r="O7" s="41">
        <f>IFERROR(O5/N5,0)</f>
        <v>0.3103448276</v>
      </c>
      <c r="P7" s="43"/>
      <c r="Q7" s="41">
        <f>IFERROR(Q5/P5,0)</f>
        <v>0.3636363636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6350</v>
      </c>
      <c r="D8" s="47"/>
      <c r="E8" s="48">
        <f>SUMIFS(T:T,B:B,B8,D:D,"Y")</f>
        <v>1256</v>
      </c>
      <c r="F8" s="49">
        <f>SUMIF(B37:B1092,B8,G37:G1092)</f>
        <v>10</v>
      </c>
      <c r="G8" s="50">
        <f>SUMIF(B37:B1092,B8,H37:H1092)</f>
        <v>13</v>
      </c>
      <c r="H8" s="50">
        <f>SUMIF(B37:B1092,B8,I37:I1092)</f>
        <v>4</v>
      </c>
      <c r="I8" s="50">
        <f>SUMIF(B37:B1092,B8,P37:P1092)</f>
        <v>0</v>
      </c>
      <c r="J8" s="50">
        <f>SUMIF(B37:B1092,B8,Q37:Q1092)</f>
        <v>0</v>
      </c>
      <c r="K8" s="50">
        <f>SUMIF(B37:B1092,B8,R37:R1092)</f>
        <v>4</v>
      </c>
      <c r="L8" s="50">
        <f>SUMIF(B37:B1092,B8,S37:S1092)</f>
        <v>1</v>
      </c>
      <c r="M8" s="50">
        <f>SUMIF(B37:B1092,B8,M37:M1092)</f>
        <v>68</v>
      </c>
      <c r="N8" s="50">
        <f>SUMIF(B37:B1092,B8,N37:N1092)</f>
        <v>9</v>
      </c>
      <c r="O8" s="50">
        <f>SUMIF(B37:B1092,B8,O37:O1092)</f>
        <v>3</v>
      </c>
      <c r="P8" s="50">
        <f>SUMIF(B37:B1092,B8,J37:J1092)</f>
        <v>12</v>
      </c>
      <c r="Q8" s="50">
        <f>SUMIF(B37:B1092,B8,K37:K1092)</f>
        <v>4</v>
      </c>
      <c r="R8" s="51">
        <f>SUMIF(B37:B1092,B8,L37:L1092)</f>
        <v>2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COUNTIFS(B37:B1092,B8)</f>
        <v>5</v>
      </c>
      <c r="D10" s="56"/>
      <c r="E10" s="23">
        <f>IFERROR(C8/H8,0)</f>
        <v>1587.5</v>
      </c>
      <c r="F10" s="24">
        <f>IFERROR((G8+R8)/F8,0)</f>
        <v>1.5</v>
      </c>
      <c r="G10" s="24">
        <f>IFERROR(H8/G8,0)</f>
        <v>0.3076923077</v>
      </c>
      <c r="H10" s="23">
        <f>(C8/C10)</f>
        <v>1270</v>
      </c>
      <c r="I10" s="25"/>
      <c r="J10" s="24">
        <f>IFERROR(J8/I8,0)</f>
        <v>0</v>
      </c>
      <c r="K10" s="25"/>
      <c r="L10" s="24">
        <f>IFERROR(L8/K8,0)</f>
        <v>0.25</v>
      </c>
      <c r="M10" s="26">
        <f>IFERROR(M8/SUM(G8+R8,0),"")</f>
        <v>4.533333333</v>
      </c>
      <c r="N10" s="25"/>
      <c r="O10" s="24">
        <f>IFERROR(O8/N8,0)</f>
        <v>0.3333333333</v>
      </c>
      <c r="P10" s="26"/>
      <c r="Q10" s="24">
        <f>IFERROR(Q8/P8,0)</f>
        <v>0.3333333333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14686</v>
      </c>
      <c r="D11" s="60"/>
      <c r="E11" s="48">
        <f>SUMIFS(T:T,B:B,B11,D:D,"Y")</f>
        <v>9859</v>
      </c>
      <c r="F11" s="49">
        <f>SUMIF(B39:B1092,B11,G39:G1092)</f>
        <v>96</v>
      </c>
      <c r="G11" s="50">
        <f>SUMIF(B39:B1092,B11,H39:H1092)</f>
        <v>37</v>
      </c>
      <c r="H11" s="50">
        <f>SUMIF(B39:B1092,B11,I39:I1092)</f>
        <v>10</v>
      </c>
      <c r="I11" s="50">
        <f>SUMIF(B39:B1092,B11,P39:P1092)</f>
        <v>9</v>
      </c>
      <c r="J11" s="50">
        <f>SUMIF(B39:B1092,B11,Q39:Q1092)</f>
        <v>6</v>
      </c>
      <c r="K11" s="50">
        <f>SUMIF(B39:B1092,B11,R39:R1092)</f>
        <v>14</v>
      </c>
      <c r="L11" s="50">
        <f>SUMIF(B39:B1092,B11,S39:S1092)</f>
        <v>3</v>
      </c>
      <c r="M11" s="50">
        <f>SUMIF(B39:B1092,B11,M39:M1092)</f>
        <v>94</v>
      </c>
      <c r="N11" s="50">
        <f>SUMIF(B39:B1092,B11,N39:N1092)</f>
        <v>12</v>
      </c>
      <c r="O11" s="50">
        <f>SUMIF(B39:B1092,B11,O39:O1092)</f>
        <v>1</v>
      </c>
      <c r="P11" s="50">
        <f>SUMIF(B39:B1092,B11,J39:J1092)</f>
        <v>10</v>
      </c>
      <c r="Q11" s="50">
        <f>SUMIF(B39:B1092,B11,K39:K1092)</f>
        <v>3</v>
      </c>
      <c r="R11" s="51">
        <f>SUMIF(B39:B1092,B11,L39:L1092)</f>
        <v>6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COUNTIFS(B39:B1092,B11)</f>
        <v>8</v>
      </c>
      <c r="D13" s="56"/>
      <c r="E13" s="23">
        <f>IFERROR(C11/H11,0)</f>
        <v>1468.6</v>
      </c>
      <c r="F13" s="24">
        <f>IFERROR((G11+R11)/F11,0)</f>
        <v>0.4479166667</v>
      </c>
      <c r="G13" s="24">
        <f>IFERROR(H11/G11,0)</f>
        <v>0.2702702703</v>
      </c>
      <c r="H13" s="23">
        <f>(C11/C13)</f>
        <v>1835.75</v>
      </c>
      <c r="I13" s="25"/>
      <c r="J13" s="24">
        <f>IFERROR(J11/I11,0)</f>
        <v>0.6666666667</v>
      </c>
      <c r="K13" s="25"/>
      <c r="L13" s="24">
        <f>IFERROR(L11/K11,0)</f>
        <v>0.2142857143</v>
      </c>
      <c r="M13" s="26">
        <f>IFERROR(M11/SUM(R11+G11,0),"")</f>
        <v>2.186046512</v>
      </c>
      <c r="N13" s="25"/>
      <c r="O13" s="24">
        <f>IFERROR(O11/N11,0)</f>
        <v>0.08333333333</v>
      </c>
      <c r="P13" s="26"/>
      <c r="Q13" s="24">
        <f>IFERROR(Q11/P11,0)</f>
        <v>0.3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1886</v>
      </c>
      <c r="D14" s="60"/>
      <c r="E14" s="48">
        <f>SUMIFS(T:T,B:B,B14,D:D,"Y")</f>
        <v>1886</v>
      </c>
      <c r="F14" s="49">
        <f>SUMIF(B39:B1092,B14,G39:G1092)</f>
        <v>11</v>
      </c>
      <c r="G14" s="50">
        <f>SUMIF(B39:B1092,B14,H39:H1092)</f>
        <v>6</v>
      </c>
      <c r="H14" s="50">
        <f>SUMIF(B39:B1092,B14,I39:I1092)</f>
        <v>2</v>
      </c>
      <c r="I14" s="50">
        <f>SUMIF(B39:B1092,B14,P39:P1092)</f>
        <v>0</v>
      </c>
      <c r="J14" s="50">
        <f>SUMIF(B39:B1092,B14,Q39:Q1092)</f>
        <v>0</v>
      </c>
      <c r="K14" s="50">
        <f>SUMIF(B39:B1092,B14,R39:R1092)</f>
        <v>7</v>
      </c>
      <c r="L14" s="50">
        <f>SUMIF(B39:B1092,B14,S39:S1092)</f>
        <v>2</v>
      </c>
      <c r="M14" s="50">
        <f>SUMIF(B39:B1092,B14,M39:M1092)</f>
        <v>27</v>
      </c>
      <c r="N14" s="50">
        <f>SUMIF(B39:B1092,B14,N39:N1092)</f>
        <v>4</v>
      </c>
      <c r="O14" s="50">
        <f>SUMIF(B39:B1092,B14,O39:O1092)</f>
        <v>1</v>
      </c>
      <c r="P14" s="50">
        <f>SUMIF(B39:B1092,B14,J39:J1092)</f>
        <v>7</v>
      </c>
      <c r="Q14" s="50">
        <f>SUMIF(B39:B1092,B14,K39:K1092)</f>
        <v>2</v>
      </c>
      <c r="R14" s="51">
        <f>SUMIF(B39:B1092,B14,L39:L1092)</f>
        <v>7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COUNTIFS(B39:B1092,B14)</f>
        <v>8</v>
      </c>
      <c r="D16" s="56"/>
      <c r="E16" s="23">
        <f>IFERROR(C14/H14,0)</f>
        <v>943</v>
      </c>
      <c r="F16" s="24">
        <f>IFERROR((G14+R14)/F14,0)</f>
        <v>1.181818182</v>
      </c>
      <c r="G16" s="24">
        <f>IFERROR(H14/G14,0)</f>
        <v>0.3333333333</v>
      </c>
      <c r="H16" s="23">
        <f>(C14/C16)</f>
        <v>235.75</v>
      </c>
      <c r="I16" s="25"/>
      <c r="J16" s="24">
        <f>IFERROR(J14/I14,0)</f>
        <v>0</v>
      </c>
      <c r="K16" s="25"/>
      <c r="L16" s="24">
        <f>IFERROR(L14/K14,0)</f>
        <v>0.2857142857</v>
      </c>
      <c r="M16" s="26">
        <f>IFERROR(M14/SUM(R14+G14,0),"")</f>
        <v>2.076923077</v>
      </c>
      <c r="N16" s="25"/>
      <c r="O16" s="24">
        <f>IFERROR(O14/N14,0)</f>
        <v>0.25</v>
      </c>
      <c r="P16" s="26"/>
      <c r="Q16" s="24">
        <f>IFERROR(Q14/P14,0)</f>
        <v>0.2857142857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15388</v>
      </c>
      <c r="D17" s="60"/>
      <c r="E17" s="48">
        <f>SUMIFS(T:T,B:B,B17,D:D,"Y")</f>
        <v>15388</v>
      </c>
      <c r="F17" s="49">
        <f>SUMIF(B45:B1092,B17,G45:G1092)</f>
        <v>30</v>
      </c>
      <c r="G17" s="50">
        <f>SUMIF(B45:B1092,B17,H45:H1092)</f>
        <v>12</v>
      </c>
      <c r="H17" s="50">
        <f>SUMIF(B45:B1092,B17,I45:I1092)</f>
        <v>11</v>
      </c>
      <c r="I17" s="50">
        <f>SUMIF(B45:B1092,B17,P45:P1092)</f>
        <v>5</v>
      </c>
      <c r="J17" s="50">
        <f>SUMIF(B45:B1092,B17,Q45:Q1092)</f>
        <v>5</v>
      </c>
      <c r="K17" s="50">
        <f>SUMIF(B45:B1092,B17,R45:R1092)</f>
        <v>3</v>
      </c>
      <c r="L17" s="50">
        <f>SUMIF(B45:B1092,B17,S45:S1092)</f>
        <v>2</v>
      </c>
      <c r="M17" s="50">
        <f>SUMIF(B45:B1092,B17,M45:M1092)</f>
        <v>48</v>
      </c>
      <c r="N17" s="50">
        <f>SUMIF(B45:B1092,B17,N45:N1092)</f>
        <v>4</v>
      </c>
      <c r="O17" s="50">
        <f>SUMIF(B45:B1092,B17,O45:O1092)</f>
        <v>4</v>
      </c>
      <c r="P17" s="50">
        <f>SUMIF(B45:B1092,B17,J45:J1092)</f>
        <v>4</v>
      </c>
      <c r="Q17" s="50">
        <f>SUMIF(B45:B1092,B17,K45:K1092)</f>
        <v>3</v>
      </c>
      <c r="R17" s="51">
        <f>SUMIF(B45:B1092,B17,L45:L1092)</f>
        <v>1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COUNTIFS(B45:B1092,B17)</f>
        <v>3</v>
      </c>
      <c r="D19" s="56"/>
      <c r="E19" s="23">
        <f>IFERROR(C17/H17,0)</f>
        <v>1398.909091</v>
      </c>
      <c r="F19" s="24">
        <f>IFERROR((G17+R17)/F17,0)</f>
        <v>0.4333333333</v>
      </c>
      <c r="G19" s="24">
        <f>IFERROR(H17/G17,0)</f>
        <v>0.9166666667</v>
      </c>
      <c r="H19" s="23">
        <f>(C17/C19)</f>
        <v>5129.333333</v>
      </c>
      <c r="I19" s="25"/>
      <c r="J19" s="24">
        <f>IFERROR(J17/I17,0)</f>
        <v>1</v>
      </c>
      <c r="K19" s="25"/>
      <c r="L19" s="24">
        <f>IFERROR(L17/K17,0)</f>
        <v>0.6666666667</v>
      </c>
      <c r="M19" s="26">
        <f>IFERROR(M17/SUM(R17+G17,0),"")</f>
        <v>3.692307692</v>
      </c>
      <c r="N19" s="25"/>
      <c r="O19" s="24">
        <f>IFERROR(O17/N17,0)</f>
        <v>1</v>
      </c>
      <c r="P19" s="26"/>
      <c r="Q19" s="24">
        <f>IFERROR(Q17/P17,0)</f>
        <v>0.75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1852</v>
      </c>
      <c r="D20" s="31"/>
      <c r="E20" s="64">
        <f>SUMIFS(T:T,A:A,B20,D:D,"Y")</f>
        <v>1852</v>
      </c>
      <c r="F20" s="9">
        <f>SUMIF(A:A,B20,G:G)</f>
        <v>20</v>
      </c>
      <c r="G20" s="11">
        <f>SUMIF(A:A,B20,H:H)</f>
        <v>2</v>
      </c>
      <c r="H20" s="11">
        <f>SUMIF(A:A,B20,I:I)</f>
        <v>1</v>
      </c>
      <c r="I20" s="11">
        <f>SUMIF(A:A,B20,P:P)</f>
        <v>0</v>
      </c>
      <c r="J20" s="11">
        <f>SUMIF(A:A,B20,Q:Q)</f>
        <v>0</v>
      </c>
      <c r="K20" s="11">
        <f>SUMIF(A:A,B20,R:R)</f>
        <v>1</v>
      </c>
      <c r="L20" s="11">
        <f>SUMIF(A:A,B20,S:S)</f>
        <v>1</v>
      </c>
      <c r="M20" s="11">
        <f>SUMIF(A:A,B20,M:M)</f>
        <v>13</v>
      </c>
      <c r="N20" s="11">
        <f>SUMIF(A:A,B20,N:N)</f>
        <v>1</v>
      </c>
      <c r="O20" s="11">
        <f>SUMIF(A:A,B20,O:O)</f>
        <v>0</v>
      </c>
      <c r="P20" s="11">
        <f>SUMIF(A:A,B20,J:J)</f>
        <v>1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1852</v>
      </c>
      <c r="F22" s="24">
        <f>IFERROR((G20+R20)/F20,0)</f>
        <v>0.1</v>
      </c>
      <c r="G22" s="24">
        <f>IFERROR(H20/G20,0)</f>
        <v>0.5</v>
      </c>
      <c r="H22" s="23">
        <f>(C20/C22)</f>
        <v>370.4</v>
      </c>
      <c r="I22" s="25"/>
      <c r="J22" s="24">
        <f>IFERROR(J20/I20,0)</f>
        <v>0</v>
      </c>
      <c r="K22" s="25"/>
      <c r="L22" s="24">
        <f>IFERROR(L20/K20,0)</f>
        <v>1</v>
      </c>
      <c r="M22" s="26">
        <f>IFERROR(M20/SUM(R20+G20,0),"")</f>
        <v>6.5</v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17389</v>
      </c>
      <c r="D23" s="31"/>
      <c r="E23" s="64">
        <f>SUMIFS(T:T,A:A,B23,D:D,"Y")</f>
        <v>13145</v>
      </c>
      <c r="F23" s="9">
        <f>SUMIF(A:A,B23,G:G)</f>
        <v>24</v>
      </c>
      <c r="G23" s="11">
        <f>SUMIF(A:A,B23,H:H)</f>
        <v>14</v>
      </c>
      <c r="H23" s="11">
        <f>SUMIF(A:A,B23,I:I)</f>
        <v>10</v>
      </c>
      <c r="I23" s="11">
        <f>SUMIF(A:A,B23,P:P)</f>
        <v>0</v>
      </c>
      <c r="J23" s="11">
        <f>SUMIF(A:A,B23,Q:Q)</f>
        <v>0</v>
      </c>
      <c r="K23" s="11">
        <f>SUMIF(A:A,B23,R:R)</f>
        <v>4</v>
      </c>
      <c r="L23" s="11">
        <f>SUMIF(A:A,B23,S:S)</f>
        <v>4</v>
      </c>
      <c r="M23" s="11">
        <f>SUMIF(A:A,B23,M:M)</f>
        <v>39</v>
      </c>
      <c r="N23" s="11">
        <f>SUMIF(A:A,B23,N:N)</f>
        <v>7</v>
      </c>
      <c r="O23" s="11">
        <f>SUMIF(A:A,B23,O:O)</f>
        <v>7</v>
      </c>
      <c r="P23" s="11">
        <f>SUMIF(A:A,B23,J:J)</f>
        <v>8</v>
      </c>
      <c r="Q23" s="11">
        <f>SUMIF(A:A,B23,K:K)</f>
        <v>8</v>
      </c>
      <c r="R23" s="33">
        <f>SUMIF(A:A,B23,L:L)</f>
        <v>2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1738.9</v>
      </c>
      <c r="F25" s="24">
        <f>IFERROR((G23+R23)/F23,0)</f>
        <v>0.6666666667</v>
      </c>
      <c r="G25" s="24">
        <f>IFERROR(H23/G23,0)</f>
        <v>0.7142857143</v>
      </c>
      <c r="H25" s="23">
        <f>(C23/C25)</f>
        <v>1738.9</v>
      </c>
      <c r="I25" s="25"/>
      <c r="J25" s="24">
        <f>IFERROR(J23/I23,0)</f>
        <v>0</v>
      </c>
      <c r="K25" s="25"/>
      <c r="L25" s="24">
        <f>IFERROR(L23/K23,0)</f>
        <v>1</v>
      </c>
      <c r="M25" s="26">
        <f>IFERROR(M23/SUM(R23+G23,0),"")</f>
        <v>2.4375</v>
      </c>
      <c r="N25" s="25"/>
      <c r="O25" s="24">
        <f>IFERROR(O23/N23,0)</f>
        <v>1</v>
      </c>
      <c r="P25" s="26"/>
      <c r="Q25" s="24">
        <f>IFERROR(Q23/P23,0)</f>
        <v>1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4714.04</v>
      </c>
      <c r="D26" s="31"/>
      <c r="E26" s="64">
        <f>SUMIFS(T:T,A:A,B26,D:D,"Y")</f>
        <v>4714.04</v>
      </c>
      <c r="F26" s="9">
        <f>SUMIF(A:A,B26,G:G)</f>
        <v>3</v>
      </c>
      <c r="G26" s="11">
        <f>SUMIF(A:A,B26,H:H)</f>
        <v>3</v>
      </c>
      <c r="H26" s="11">
        <f>SUMIF(A:A,B26,I:I)</f>
        <v>2</v>
      </c>
      <c r="I26" s="11">
        <f>SUMIF(A:A,B26,P:P)</f>
        <v>0</v>
      </c>
      <c r="J26" s="11">
        <f>SUMIF(A:A,B26,Q:Q)</f>
        <v>0</v>
      </c>
      <c r="K26" s="11">
        <f>SUMIF(A:A,B26,R:R)</f>
        <v>3</v>
      </c>
      <c r="L26" s="11">
        <f>SUMIF(A:A,B26,S:S)</f>
        <v>2</v>
      </c>
      <c r="M26" s="11">
        <f>SUMIF(A:A,B26,M:M)</f>
        <v>2</v>
      </c>
      <c r="N26" s="11">
        <f>SUMIF(A:A,B26,N:N)</f>
        <v>2</v>
      </c>
      <c r="O26" s="11">
        <f>SUMIF(A:A,B26,O:O)</f>
        <v>2</v>
      </c>
      <c r="P26" s="11">
        <f>SUMIF(A:A,B26,J:J)</f>
        <v>1</v>
      </c>
      <c r="Q26" s="11">
        <f>SUMIF(A:A,B26,K:K)</f>
        <v>1</v>
      </c>
      <c r="R26" s="33">
        <f>SUMIF(A:A,B26,L:L)</f>
        <v>1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2357.02</v>
      </c>
      <c r="F28" s="24">
        <f>IFERROR((G26+R26)/F26,0)</f>
        <v>1.333333333</v>
      </c>
      <c r="G28" s="24">
        <f>IFERROR(H26/G26,0)</f>
        <v>0.6666666667</v>
      </c>
      <c r="H28" s="23">
        <f>(C26/C28)</f>
        <v>942.808</v>
      </c>
      <c r="I28" s="25"/>
      <c r="J28" s="24">
        <f>IFERROR(J26/I26,0)</f>
        <v>0</v>
      </c>
      <c r="K28" s="25"/>
      <c r="L28" s="24">
        <f>IFERROR(L26/K26,0)</f>
        <v>0.6666666667</v>
      </c>
      <c r="M28" s="26">
        <f>IFERROR(M26/SUM(R26+G26,0),"")</f>
        <v>0.5</v>
      </c>
      <c r="N28" s="25"/>
      <c r="O28" s="24">
        <f>IFERROR(O26/N26,0)</f>
        <v>1</v>
      </c>
      <c r="P28" s="26"/>
      <c r="Q28" s="24">
        <f>IFERROR(Q26/P26,0)</f>
        <v>1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11651.08</v>
      </c>
      <c r="D29" s="68"/>
      <c r="E29" s="69">
        <f>SUMIFS(T:T,A:A,B29,D:D,"Y")</f>
        <v>4894.08</v>
      </c>
      <c r="F29" s="70">
        <f>SUMIF(A:A,B29,G:G)</f>
        <v>26</v>
      </c>
      <c r="G29" s="71">
        <f>SUMIF(A:A,B29,H:H)</f>
        <v>17</v>
      </c>
      <c r="H29" s="71">
        <f>SUMIF(A:A,B29,I:I)</f>
        <v>9</v>
      </c>
      <c r="I29" s="71">
        <f>SUMIF(A:A,B29,P:P)</f>
        <v>0</v>
      </c>
      <c r="J29" s="71">
        <f>SUMIF(A:A,B29,Q:Q)</f>
        <v>0</v>
      </c>
      <c r="K29" s="71">
        <f>SUMIF(A:A,B29,R:R)</f>
        <v>5</v>
      </c>
      <c r="L29" s="71">
        <f>SUMIF(A:A,B29,S:S)</f>
        <v>3</v>
      </c>
      <c r="M29" s="71">
        <f>SUMIF(A:A,B29,M:M)</f>
        <v>85</v>
      </c>
      <c r="N29" s="71">
        <f>SUMIF(A:A,B29,N:N)</f>
        <v>10</v>
      </c>
      <c r="O29" s="71">
        <f>SUMIF(A:A,B29,O:O)</f>
        <v>6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1294.564444</v>
      </c>
      <c r="F31" s="82">
        <f>IFERROR((G29+R29)/F29,0)</f>
        <v>0.6538461538</v>
      </c>
      <c r="G31" s="82">
        <f>IFERROR(H29/G29,0)</f>
        <v>0.5294117647</v>
      </c>
      <c r="H31" s="81">
        <f>(C29/C31)</f>
        <v>685.3576471</v>
      </c>
      <c r="I31" s="83"/>
      <c r="J31" s="82">
        <f>IFERROR(J29/I29,0)</f>
        <v>0</v>
      </c>
      <c r="K31" s="83"/>
      <c r="L31" s="82">
        <f>IFERROR(L29/K29,0)</f>
        <v>0.6</v>
      </c>
      <c r="M31" s="84">
        <f>IFERROR(M29/SUM(R29+G29,0),"")</f>
        <v>5</v>
      </c>
      <c r="N31" s="83"/>
      <c r="O31" s="82">
        <f>IFERROR(O29/N29,0)</f>
        <v>0.6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>
        <f>('Thurs (2)'!G37+Thurs!G37+'Tues '!G37+Wed!G37+Fri!G37+'Mon '!G37+'Wed (2)'!G37+Sun!G37+Sat!G37)</f>
        <v>0</v>
      </c>
      <c r="H37" s="103">
        <f>('Thurs (2)'!H37+Thurs!H37+'Tues '!H37+Wed!H37+Fri!H37+'Mon '!H37+'Wed (2)'!H37+Sun!H37+Sat!H37)</f>
        <v>0</v>
      </c>
      <c r="I37" s="103">
        <f>('Thurs (2)'!I37+Thurs!I37+'Tues '!I37+Wed!I37+Fri!I37+'Mon '!I37+'Wed (2)'!I37+Sun!I37+Sat!I37)</f>
        <v>0</v>
      </c>
      <c r="J37" s="103">
        <f>('Thurs (2)'!J37+Thurs!J37+'Tues '!J37+Wed!J37+Fri!J37+'Mon '!J37+'Wed (2)'!J37+Sun!J37+Sat!J37)</f>
        <v>0</v>
      </c>
      <c r="K37" s="103">
        <f>('Thurs (2)'!K37+Thurs!K37+'Tues '!K37+Wed!K37+Fri!K37+'Mon '!K37+'Wed (2)'!K37+Sun!K37+Sat!K37)</f>
        <v>0</v>
      </c>
      <c r="L37" s="103">
        <f>('Thurs (2)'!L37+Thurs!L37+'Tues '!L37+Wed!L37+Fri!L37+'Mon '!L37+'Wed (2)'!L37+Sun!L37+Sat!L37)</f>
        <v>0</v>
      </c>
      <c r="M37" s="103">
        <f>('Thurs (2)'!M37+Thurs!M37+'Tues '!M37+Wed!M37+Fri!M37+'Mon '!M37+'Wed (2)'!M37+Sun!M37+Sat!M37)</f>
        <v>0</v>
      </c>
      <c r="N37" s="103">
        <f>('Thurs (2)'!N37+Thurs!N37+'Tues '!N37+Wed!N37+Fri!N37+'Mon '!N37+'Wed (2)'!N37+Sun!N37+Sat!N37)</f>
        <v>0</v>
      </c>
      <c r="O37" s="103">
        <f>('Thurs (2)'!O37+Thurs!O37+'Tues '!O37+Wed!O37+Fri!O37+'Mon '!O37+'Wed (2)'!O37+Sun!O37+Sat!O37)</f>
        <v>0</v>
      </c>
      <c r="P37" s="103">
        <f>('Thurs (2)'!P37+Thurs!P37+'Tues '!P37+Wed!P37+Fri!P37+'Mon '!P37+'Wed (2)'!P37+Sun!P37+Sat!P37)</f>
        <v>0</v>
      </c>
      <c r="Q37" s="103">
        <f>('Thurs (2)'!Q37+Thurs!Q37+'Tues '!Q37+Wed!Q37+Fri!Q37+'Mon '!Q37+'Wed (2)'!Q37+Sun!Q37+Sat!Q37)</f>
        <v>0</v>
      </c>
      <c r="R37" s="103">
        <f>('Thurs (2)'!R37+Thurs!R37+'Tues '!R37+Wed!R37+Fri!R37+'Mon '!R37+'Wed (2)'!R37+Sun!R37+Sat!R37)</f>
        <v>0</v>
      </c>
      <c r="S37" s="103">
        <f>('Thurs (2)'!S37+Thurs!S37+'Tues '!S37+Wed!S37+Fri!S37+'Mon '!S37+'Wed (2)'!S37+Sun!S37+Sat!S37)</f>
        <v>0</v>
      </c>
      <c r="T37" s="103">
        <f>('Thurs (2)'!T37+Thurs!T37+'Tues '!T37+Wed!T37+Fri!T37+'Mon '!T37+'Wed (2)'!T37+Sun!T37+Sat!T37)</f>
        <v>0</v>
      </c>
      <c r="U37" s="104">
        <f t="shared" ref="U37:U61" si="2">IFERROR(I37/H37,0)</f>
        <v>0</v>
      </c>
      <c r="V37" s="104">
        <f t="shared" ref="V37:V61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>
        <f>('Thurs (2)'!G38+Thurs!G38+'Tues '!G38+Wed!G38+Fri!G38+'Mon '!G38+'Wed (2)'!G38+Sun!G38+Sat!G38)</f>
        <v>0</v>
      </c>
      <c r="H38" s="103">
        <f>('Thurs (2)'!H38+Thurs!H38+'Tues '!H38+Wed!H38+Fri!H38+'Mon '!H38+'Wed (2)'!H38+Sun!H38+Sat!H38)</f>
        <v>0</v>
      </c>
      <c r="I38" s="103">
        <f>('Thurs (2)'!I38+Thurs!I38+'Tues '!I38+Wed!I38+Fri!I38+'Mon '!I38+'Wed (2)'!I38+Sun!I38+Sat!I38)</f>
        <v>0</v>
      </c>
      <c r="J38" s="103">
        <f>('Thurs (2)'!J38+Thurs!J38+'Tues '!J38+Wed!J38+Fri!J38+'Mon '!J38+'Wed (2)'!J38+Sun!J38+Sat!J38)</f>
        <v>0</v>
      </c>
      <c r="K38" s="103">
        <f>('Thurs (2)'!K38+Thurs!K38+'Tues '!K38+Wed!K38+Fri!K38+'Mon '!K38+'Wed (2)'!K38+Sun!K38+Sat!K38)</f>
        <v>0</v>
      </c>
      <c r="L38" s="103">
        <f>('Thurs (2)'!L38+Thurs!L38+'Tues '!L38+Wed!L38+Fri!L38+'Mon '!L38+'Wed (2)'!L38+Sun!L38+Sat!L38)</f>
        <v>0</v>
      </c>
      <c r="M38" s="103">
        <f>('Thurs (2)'!M38+Thurs!M38+'Tues '!M38+Wed!M38+Fri!M38+'Mon '!M38+'Wed (2)'!M38+Sun!M38+Sat!M38)</f>
        <v>0</v>
      </c>
      <c r="N38" s="103">
        <f>('Thurs (2)'!N38+Thurs!N38+'Tues '!N38+Wed!N38+Fri!N38+'Mon '!N38+'Wed (2)'!N38+Sun!N38+Sat!N38)</f>
        <v>0</v>
      </c>
      <c r="O38" s="103">
        <f>('Thurs (2)'!O38+Thurs!O38+'Tues '!O38+Wed!O38+Fri!O38+'Mon '!O38+'Wed (2)'!O38+Sun!O38+Sat!O38)</f>
        <v>0</v>
      </c>
      <c r="P38" s="103">
        <f>('Thurs (2)'!P38+Thurs!P38+'Tues '!P38+Wed!P38+Fri!P38+'Mon '!P38+'Wed (2)'!P38+Sun!P38+Sat!P38)</f>
        <v>0</v>
      </c>
      <c r="Q38" s="103">
        <f>('Thurs (2)'!Q38+Thurs!Q38+'Tues '!Q38+Wed!Q38+Fri!Q38+'Mon '!Q38+'Wed (2)'!Q38+Sun!Q38+Sat!Q38)</f>
        <v>0</v>
      </c>
      <c r="R38" s="103">
        <f>('Thurs (2)'!R38+Thurs!R38+'Tues '!R38+Wed!R38+Fri!R38+'Mon '!R38+'Wed (2)'!R38+Sun!R38+Sat!R38)</f>
        <v>0</v>
      </c>
      <c r="S38" s="103">
        <f>('Thurs (2)'!S38+Thurs!S38+'Tues '!S38+Wed!S38+Fri!S38+'Mon '!S38+'Wed (2)'!S38+Sun!S38+Sat!S38)</f>
        <v>0</v>
      </c>
      <c r="T38" s="103">
        <f>('Thurs (2)'!T38+Thurs!T38+'Tues '!T38+Wed!T38+Fri!T38+'Mon '!T38+'Wed (2)'!T38+Sun!T38+Sat!T38)</f>
        <v>0</v>
      </c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03">
        <f>('Thurs (2)'!G39+Thurs!G39+'Tues '!G39+Wed!G39+Fri!G39+'Mon '!G39+'Wed (2)'!G39+Sun!G39+Sat!G39)</f>
        <v>4</v>
      </c>
      <c r="H39" s="103">
        <f>('Thurs (2)'!H39+Thurs!H39+'Tues '!H39+Wed!H39+Fri!H39+'Mon '!H39+'Wed (2)'!H39+Sun!H39+Sat!H39)</f>
        <v>4</v>
      </c>
      <c r="I39" s="103">
        <f>('Thurs (2)'!I39+Thurs!I39+'Tues '!I39+Wed!I39+Fri!I39+'Mon '!I39+'Wed (2)'!I39+Sun!I39+Sat!I39)</f>
        <v>1</v>
      </c>
      <c r="J39" s="103">
        <f>('Thurs (2)'!J39+Thurs!J39+'Tues '!J39+Wed!J39+Fri!J39+'Mon '!J39+'Wed (2)'!J39+Sun!J39+Sat!J39)</f>
        <v>4</v>
      </c>
      <c r="K39" s="103">
        <f>('Thurs (2)'!K39+Thurs!K39+'Tues '!K39+Wed!K39+Fri!K39+'Mon '!K39+'Wed (2)'!K39+Sun!K39+Sat!K39)</f>
        <v>1</v>
      </c>
      <c r="L39" s="103">
        <f>('Thurs (2)'!L39+Thurs!L39+'Tues '!L39+Wed!L39+Fri!L39+'Mon '!L39+'Wed (2)'!L39+Sun!L39+Sat!L39)</f>
        <v>1</v>
      </c>
      <c r="M39" s="103">
        <f>('Thurs (2)'!M39+Thurs!M39+'Tues '!M39+Wed!M39+Fri!M39+'Mon '!M39+'Wed (2)'!M39+Sun!M39+Sat!M39)</f>
        <v>16</v>
      </c>
      <c r="N39" s="103">
        <f>('Thurs (2)'!N39+Thurs!N39+'Tues '!N39+Wed!N39+Fri!N39+'Mon '!N39+'Wed (2)'!N39+Sun!N39+Sat!N39)</f>
        <v>4</v>
      </c>
      <c r="O39" s="103">
        <f>('Thurs (2)'!O39+Thurs!O39+'Tues '!O39+Wed!O39+Fri!O39+'Mon '!O39+'Wed (2)'!O39+Sun!O39+Sat!O39)</f>
        <v>1</v>
      </c>
      <c r="P39" s="103">
        <f>('Thurs (2)'!P39+Thurs!P39+'Tues '!P39+Wed!P39+Fri!P39+'Mon '!P39+'Wed (2)'!P39+Sun!P39+Sat!P39)</f>
        <v>0</v>
      </c>
      <c r="Q39" s="103">
        <f>('Thurs (2)'!Q39+Thurs!Q39+'Tues '!Q39+Wed!Q39+Fri!Q39+'Mon '!Q39+'Wed (2)'!Q39+Sun!Q39+Sat!Q39)</f>
        <v>0</v>
      </c>
      <c r="R39" s="103">
        <f>('Thurs (2)'!R39+Thurs!R39+'Tues '!R39+Wed!R39+Fri!R39+'Mon '!R39+'Wed (2)'!R39+Sun!R39+Sat!R39)</f>
        <v>0</v>
      </c>
      <c r="S39" s="103">
        <f>('Thurs (2)'!S39+Thurs!S39+'Tues '!S39+Wed!S39+Fri!S39+'Mon '!S39+'Wed (2)'!S39+Sun!S39+Sat!S39)</f>
        <v>0</v>
      </c>
      <c r="T39" s="103">
        <f>('Thurs (2)'!T39+Thurs!T39+'Tues '!T39+Wed!T39+Fri!T39+'Mon '!T39+'Wed (2)'!T39+Sun!T39+Sat!T39)</f>
        <v>0</v>
      </c>
      <c r="U39" s="104">
        <f t="shared" si="2"/>
        <v>0.25</v>
      </c>
      <c r="V39" s="104">
        <f t="shared" si="3"/>
        <v>1.25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03">
        <f>('Thurs (2)'!G40+Thurs!G40+'Tues '!G40+Wed!G40+Fri!G40+'Mon '!G40+'Wed (2)'!G40+Sun!G40+Sat!G40)</f>
        <v>3</v>
      </c>
      <c r="H40" s="103">
        <f>('Thurs (2)'!H40+Thurs!H40+'Tues '!H40+Wed!H40+Fri!H40+'Mon '!H40+'Wed (2)'!H40+Sun!H40+Sat!H40)</f>
        <v>3</v>
      </c>
      <c r="I40" s="103">
        <f>('Thurs (2)'!I40+Thurs!I40+'Tues '!I40+Wed!I40+Fri!I40+'Mon '!I40+'Wed (2)'!I40+Sun!I40+Sat!I40)</f>
        <v>1</v>
      </c>
      <c r="J40" s="103">
        <f>('Thurs (2)'!J40+Thurs!J40+'Tues '!J40+Wed!J40+Fri!J40+'Mon '!J40+'Wed (2)'!J40+Sun!J40+Sat!J40)</f>
        <v>2</v>
      </c>
      <c r="K40" s="103">
        <f>('Thurs (2)'!K40+Thurs!K40+'Tues '!K40+Wed!K40+Fri!K40+'Mon '!K40+'Wed (2)'!K40+Sun!K40+Sat!K40)</f>
        <v>1</v>
      </c>
      <c r="L40" s="103">
        <f>('Thurs (2)'!L40+Thurs!L40+'Tues '!L40+Wed!L40+Fri!L40+'Mon '!L40+'Wed (2)'!L40+Sun!L40+Sat!L40)</f>
        <v>0</v>
      </c>
      <c r="M40" s="103">
        <f>('Thurs (2)'!M40+Thurs!M40+'Tues '!M40+Wed!M40+Fri!M40+'Mon '!M40+'Wed (2)'!M40+Sun!M40+Sat!M40)</f>
        <v>12</v>
      </c>
      <c r="N40" s="103">
        <f>('Thurs (2)'!N40+Thurs!N40+'Tues '!N40+Wed!N40+Fri!N40+'Mon '!N40+'Wed (2)'!N40+Sun!N40+Sat!N40)</f>
        <v>1</v>
      </c>
      <c r="O40" s="103">
        <f>('Thurs (2)'!O40+Thurs!O40+'Tues '!O40+Wed!O40+Fri!O40+'Mon '!O40+'Wed (2)'!O40+Sun!O40+Sat!O40)</f>
        <v>1</v>
      </c>
      <c r="P40" s="103">
        <f>('Thurs (2)'!P40+Thurs!P40+'Tues '!P40+Wed!P40+Fri!P40+'Mon '!P40+'Wed (2)'!P40+Sun!P40+Sat!P40)</f>
        <v>0</v>
      </c>
      <c r="Q40" s="103">
        <f>('Thurs (2)'!Q40+Thurs!Q40+'Tues '!Q40+Wed!Q40+Fri!Q40+'Mon '!Q40+'Wed (2)'!Q40+Sun!Q40+Sat!Q40)</f>
        <v>0</v>
      </c>
      <c r="R40" s="103">
        <f>('Thurs (2)'!R40+Thurs!R40+'Tues '!R40+Wed!R40+Fri!R40+'Mon '!R40+'Wed (2)'!R40+Sun!R40+Sat!R40)</f>
        <v>2</v>
      </c>
      <c r="S40" s="103">
        <f>('Thurs (2)'!S40+Thurs!S40+'Tues '!S40+Wed!S40+Fri!S40+'Mon '!S40+'Wed (2)'!S40+Sun!S40+Sat!S40)</f>
        <v>0</v>
      </c>
      <c r="T40" s="103">
        <f>('Thurs (2)'!T40+Thurs!T40+'Tues '!T40+Wed!T40+Fri!T40+'Mon '!T40+'Wed (2)'!T40+Sun!T40+Sat!T40)</f>
        <v>2410</v>
      </c>
      <c r="U40" s="104">
        <f t="shared" si="2"/>
        <v>0.3333333333</v>
      </c>
      <c r="V40" s="104">
        <f t="shared" si="3"/>
        <v>1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03">
        <f>('Thurs (2)'!G41+Thurs!G41+'Tues '!G41+Wed!G41+Fri!G41+'Mon '!G41+'Wed (2)'!G41+Sun!G41+Sat!G41)</f>
        <v>0</v>
      </c>
      <c r="H41" s="103">
        <f>('Thurs (2)'!H41+Thurs!H41+'Tues '!H41+Wed!H41+Fri!H41+'Mon '!H41+'Wed (2)'!H41+Sun!H41+Sat!H41)</f>
        <v>3</v>
      </c>
      <c r="I41" s="103">
        <f>('Thurs (2)'!I41+Thurs!I41+'Tues '!I41+Wed!I41+Fri!I41+'Mon '!I41+'Wed (2)'!I41+Sun!I41+Sat!I41)</f>
        <v>1</v>
      </c>
      <c r="J41" s="103">
        <f>('Thurs (2)'!J41+Thurs!J41+'Tues '!J41+Wed!J41+Fri!J41+'Mon '!J41+'Wed (2)'!J41+Sun!J41+Sat!J41)</f>
        <v>3</v>
      </c>
      <c r="K41" s="103">
        <f>('Thurs (2)'!K41+Thurs!K41+'Tues '!K41+Wed!K41+Fri!K41+'Mon '!K41+'Wed (2)'!K41+Sun!K41+Sat!K41)</f>
        <v>1</v>
      </c>
      <c r="L41" s="103">
        <f>('Thurs (2)'!L41+Thurs!L41+'Tues '!L41+Wed!L41+Fri!L41+'Mon '!L41+'Wed (2)'!L41+Sun!L41+Sat!L41)</f>
        <v>1</v>
      </c>
      <c r="M41" s="103">
        <f>('Thurs (2)'!M41+Thurs!M41+'Tues '!M41+Wed!M41+Fri!M41+'Mon '!M41+'Wed (2)'!M41+Sun!M41+Sat!M41)</f>
        <v>25</v>
      </c>
      <c r="N41" s="103">
        <f>('Thurs (2)'!N41+Thurs!N41+'Tues '!N41+Wed!N41+Fri!N41+'Mon '!N41+'Wed (2)'!N41+Sun!N41+Sat!N41)</f>
        <v>2</v>
      </c>
      <c r="O41" s="103">
        <f>('Thurs (2)'!O41+Thurs!O41+'Tues '!O41+Wed!O41+Fri!O41+'Mon '!O41+'Wed (2)'!O41+Sun!O41+Sat!O41)</f>
        <v>1</v>
      </c>
      <c r="P41" s="103">
        <f>('Thurs (2)'!P41+Thurs!P41+'Tues '!P41+Wed!P41+Fri!P41+'Mon '!P41+'Wed (2)'!P41+Sun!P41+Sat!P41)</f>
        <v>0</v>
      </c>
      <c r="Q41" s="103">
        <f>('Thurs (2)'!Q41+Thurs!Q41+'Tues '!Q41+Wed!Q41+Fri!Q41+'Mon '!Q41+'Wed (2)'!Q41+Sun!Q41+Sat!Q41)</f>
        <v>0</v>
      </c>
      <c r="R41" s="103">
        <f>('Thurs (2)'!R41+Thurs!R41+'Tues '!R41+Wed!R41+Fri!R41+'Mon '!R41+'Wed (2)'!R41+Sun!R41+Sat!R41)</f>
        <v>1</v>
      </c>
      <c r="S41" s="103">
        <f>('Thurs (2)'!S41+Thurs!S41+'Tues '!S41+Wed!S41+Fri!S41+'Mon '!S41+'Wed (2)'!S41+Sun!S41+Sat!S41)</f>
        <v>0</v>
      </c>
      <c r="T41" s="103">
        <f>('Thurs (2)'!T41+Thurs!T41+'Tues '!T41+Wed!T41+Fri!T41+'Mon '!T41+'Wed (2)'!T41+Sun!T41+Sat!T41)</f>
        <v>1256</v>
      </c>
      <c r="U41" s="104">
        <f t="shared" si="2"/>
        <v>0.3333333333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03">
        <f>('Thurs (2)'!G42+Thurs!G42+'Tues '!G42+Wed!G42+Fri!G42+'Mon '!G42+'Wed (2)'!G42+Sun!G42+Sat!G42)</f>
        <v>3</v>
      </c>
      <c r="H42" s="103">
        <f>('Thurs (2)'!H42+Thurs!H42+'Tues '!H42+Wed!H42+Fri!H42+'Mon '!H42+'Wed (2)'!H42+Sun!H42+Sat!H42)</f>
        <v>3</v>
      </c>
      <c r="I42" s="103">
        <f>('Thurs (2)'!I42+Thurs!I42+'Tues '!I42+Wed!I42+Fri!I42+'Mon '!I42+'Wed (2)'!I42+Sun!I42+Sat!I42)</f>
        <v>1</v>
      </c>
      <c r="J42" s="103">
        <f>('Thurs (2)'!J42+Thurs!J42+'Tues '!J42+Wed!J42+Fri!J42+'Mon '!J42+'Wed (2)'!J42+Sun!J42+Sat!J42)</f>
        <v>3</v>
      </c>
      <c r="K42" s="103">
        <f>('Thurs (2)'!K42+Thurs!K42+'Tues '!K42+Wed!K42+Fri!K42+'Mon '!K42+'Wed (2)'!K42+Sun!K42+Sat!K42)</f>
        <v>1</v>
      </c>
      <c r="L42" s="103">
        <f>('Thurs (2)'!L42+Thurs!L42+'Tues '!L42+Wed!L42+Fri!L42+'Mon '!L42+'Wed (2)'!L42+Sun!L42+Sat!L42)</f>
        <v>0</v>
      </c>
      <c r="M42" s="103">
        <f>('Thurs (2)'!M42+Thurs!M42+'Tues '!M42+Wed!M42+Fri!M42+'Mon '!M42+'Wed (2)'!M42+Sun!M42+Sat!M42)</f>
        <v>15</v>
      </c>
      <c r="N42" s="103">
        <f>('Thurs (2)'!N42+Thurs!N42+'Tues '!N42+Wed!N42+Fri!N42+'Mon '!N42+'Wed (2)'!N42+Sun!N42+Sat!N42)</f>
        <v>2</v>
      </c>
      <c r="O42" s="103">
        <f>('Thurs (2)'!O42+Thurs!O42+'Tues '!O42+Wed!O42+Fri!O42+'Mon '!O42+'Wed (2)'!O42+Sun!O42+Sat!O42)</f>
        <v>0</v>
      </c>
      <c r="P42" s="103">
        <f>('Thurs (2)'!P42+Thurs!P42+'Tues '!P42+Wed!P42+Fri!P42+'Mon '!P42+'Wed (2)'!P42+Sun!P42+Sat!P42)</f>
        <v>0</v>
      </c>
      <c r="Q42" s="103">
        <f>('Thurs (2)'!Q42+Thurs!Q42+'Tues '!Q42+Wed!Q42+Fri!Q42+'Mon '!Q42+'Wed (2)'!Q42+Sun!Q42+Sat!Q42)</f>
        <v>0</v>
      </c>
      <c r="R42" s="103">
        <f>('Thurs (2)'!R42+Thurs!R42+'Tues '!R42+Wed!R42+Fri!R42+'Mon '!R42+'Wed (2)'!R42+Sun!R42+Sat!R42)</f>
        <v>1</v>
      </c>
      <c r="S42" s="103">
        <f>('Thurs (2)'!S42+Thurs!S42+'Tues '!S42+Wed!S42+Fri!S42+'Mon '!S42+'Wed (2)'!S42+Sun!S42+Sat!S42)</f>
        <v>1</v>
      </c>
      <c r="T42" s="103">
        <f>('Thurs (2)'!T42+Thurs!T42+'Tues '!T42+Wed!T42+Fri!T42+'Mon '!T42+'Wed (2)'!T42+Sun!T42+Sat!T42)</f>
        <v>2684</v>
      </c>
      <c r="U42" s="104">
        <f t="shared" si="2"/>
        <v>0.3333333333</v>
      </c>
      <c r="V42" s="104">
        <f t="shared" si="3"/>
        <v>1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03">
        <f>('Thurs (2)'!G43+Thurs!G43+'Tues '!G43+Wed!G43+Fri!G43+'Mon '!G43+'Wed (2)'!G43+Sun!G43+Sat!G43)</f>
        <v>34</v>
      </c>
      <c r="H43" s="103">
        <f>('Thurs (2)'!H43+Thurs!H43+'Tues '!H43+Wed!H43+Fri!H43+'Mon '!H43+'Wed (2)'!H43+Sun!H43+Sat!H43)</f>
        <v>9</v>
      </c>
      <c r="I43" s="103">
        <f>('Thurs (2)'!I43+Thurs!I43+'Tues '!I43+Wed!I43+Fri!I43+'Mon '!I43+'Wed (2)'!I43+Sun!I43+Sat!I43)</f>
        <v>6</v>
      </c>
      <c r="J43" s="103">
        <f>('Thurs (2)'!J43+Thurs!J43+'Tues '!J43+Wed!J43+Fri!J43+'Mon '!J43+'Wed (2)'!J43+Sun!J43+Sat!J43)</f>
        <v>0</v>
      </c>
      <c r="K43" s="103">
        <f>('Thurs (2)'!K43+Thurs!K43+'Tues '!K43+Wed!K43+Fri!K43+'Mon '!K43+'Wed (2)'!K43+Sun!K43+Sat!K43)</f>
        <v>0</v>
      </c>
      <c r="L43" s="103">
        <f>('Thurs (2)'!L43+Thurs!L43+'Tues '!L43+Wed!L43+Fri!L43+'Mon '!L43+'Wed (2)'!L43+Sun!L43+Sat!L43)</f>
        <v>0</v>
      </c>
      <c r="M43" s="103">
        <f>('Thurs (2)'!M43+Thurs!M43+'Tues '!M43+Wed!M43+Fri!M43+'Mon '!M43+'Wed (2)'!M43+Sun!M43+Sat!M43)</f>
        <v>0</v>
      </c>
      <c r="N43" s="103">
        <f>('Thurs (2)'!N43+Thurs!N43+'Tues '!N43+Wed!N43+Fri!N43+'Mon '!N43+'Wed (2)'!N43+Sun!N43+Sat!N43)</f>
        <v>0</v>
      </c>
      <c r="O43" s="103">
        <f>('Thurs (2)'!O43+Thurs!O43+'Tues '!O43+Wed!O43+Fri!O43+'Mon '!O43+'Wed (2)'!O43+Sun!O43+Sat!O43)</f>
        <v>0</v>
      </c>
      <c r="P43" s="103">
        <f>('Thurs (2)'!P43+Thurs!P43+'Tues '!P43+Wed!P43+Fri!P43+'Mon '!P43+'Wed (2)'!P43+Sun!P43+Sat!P43)</f>
        <v>9</v>
      </c>
      <c r="Q43" s="103">
        <f>('Thurs (2)'!Q43+Thurs!Q43+'Tues '!Q43+Wed!Q43+Fri!Q43+'Mon '!Q43+'Wed (2)'!Q43+Sun!Q43+Sat!Q43)</f>
        <v>6</v>
      </c>
      <c r="R43" s="103">
        <f>('Thurs (2)'!R43+Thurs!R43+'Tues '!R43+Wed!R43+Fri!R43+'Mon '!R43+'Wed (2)'!R43+Sun!R43+Sat!R43)</f>
        <v>0</v>
      </c>
      <c r="S43" s="103">
        <f>('Thurs (2)'!S43+Thurs!S43+'Tues '!S43+Wed!S43+Fri!S43+'Mon '!S43+'Wed (2)'!S43+Sun!S43+Sat!S43)</f>
        <v>0</v>
      </c>
      <c r="T43" s="103">
        <f>('Thurs (2)'!T43+Thurs!T43+'Tues '!T43+Wed!T43+Fri!T43+'Mon '!T43+'Wed (2)'!T43+Sun!T43+Sat!T43)</f>
        <v>9859</v>
      </c>
      <c r="U43" s="104">
        <f t="shared" si="2"/>
        <v>0.6666666667</v>
      </c>
      <c r="V43" s="104">
        <f t="shared" si="3"/>
        <v>0.2647058824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62</v>
      </c>
      <c r="F44" s="126" t="s">
        <v>63</v>
      </c>
      <c r="G44" s="103">
        <f>('Thurs (2)'!G44+Thurs!G44+'Tues '!G44+Wed!G44+Fri!G44+'Mon '!G44+'Wed (2)'!G44+Sun!G44+Sat!G44)</f>
        <v>0</v>
      </c>
      <c r="H44" s="103">
        <f>('Thurs (2)'!H44+Thurs!H44+'Tues '!H44+Wed!H44+Fri!H44+'Mon '!H44+'Wed (2)'!H44+Sun!H44+Sat!H44)</f>
        <v>0</v>
      </c>
      <c r="I44" s="103">
        <f>('Thurs (2)'!I44+Thurs!I44+'Tues '!I44+Wed!I44+Fri!I44+'Mon '!I44+'Wed (2)'!I44+Sun!I44+Sat!I44)</f>
        <v>0</v>
      </c>
      <c r="J44" s="103">
        <f>('Thurs (2)'!J44+Thurs!J44+'Tues '!J44+Wed!J44+Fri!J44+'Mon '!J44+'Wed (2)'!J44+Sun!J44+Sat!J44)</f>
        <v>0</v>
      </c>
      <c r="K44" s="103">
        <f>('Thurs (2)'!K44+Thurs!K44+'Tues '!K44+Wed!K44+Fri!K44+'Mon '!K44+'Wed (2)'!K44+Sun!K44+Sat!K44)</f>
        <v>0</v>
      </c>
      <c r="L44" s="103">
        <f>('Thurs (2)'!L44+Thurs!L44+'Tues '!L44+Wed!L44+Fri!L44+'Mon '!L44+'Wed (2)'!L44+Sun!L44+Sat!L44)</f>
        <v>0</v>
      </c>
      <c r="M44" s="103">
        <f>('Thurs (2)'!M44+Thurs!M44+'Tues '!M44+Wed!M44+Fri!M44+'Mon '!M44+'Wed (2)'!M44+Sun!M44+Sat!M44)</f>
        <v>0</v>
      </c>
      <c r="N44" s="103">
        <f>('Thurs (2)'!N44+Thurs!N44+'Tues '!N44+Wed!N44+Fri!N44+'Mon '!N44+'Wed (2)'!N44+Sun!N44+Sat!N44)</f>
        <v>0</v>
      </c>
      <c r="O44" s="103">
        <f>('Thurs (2)'!O44+Thurs!O44+'Tues '!O44+Wed!O44+Fri!O44+'Mon '!O44+'Wed (2)'!O44+Sun!O44+Sat!O44)</f>
        <v>0</v>
      </c>
      <c r="P44" s="103">
        <f>('Thurs (2)'!P44+Thurs!P44+'Tues '!P44+Wed!P44+Fri!P44+'Mon '!P44+'Wed (2)'!P44+Sun!P44+Sat!P44)</f>
        <v>0</v>
      </c>
      <c r="Q44" s="103">
        <f>('Thurs (2)'!Q44+Thurs!Q44+'Tues '!Q44+Wed!Q44+Fri!Q44+'Mon '!Q44+'Wed (2)'!Q44+Sun!Q44+Sat!Q44)</f>
        <v>0</v>
      </c>
      <c r="R44" s="103">
        <f>('Thurs (2)'!R44+Thurs!R44+'Tues '!R44+Wed!R44+Fri!R44+'Mon '!R44+'Wed (2)'!R44+Sun!R44+Sat!R44)</f>
        <v>0</v>
      </c>
      <c r="S44" s="103">
        <f>('Thurs (2)'!S44+Thurs!S44+'Tues '!S44+Wed!S44+Fri!S44+'Mon '!S44+'Wed (2)'!S44+Sun!S44+Sat!S44)</f>
        <v>0</v>
      </c>
      <c r="T44" s="103">
        <f>('Thurs (2)'!T44+Thurs!T44+'Tues '!T44+Wed!T44+Fri!T44+'Mon '!T44+'Wed (2)'!T44+Sun!T44+Sat!T44)</f>
        <v>0</v>
      </c>
      <c r="U44" s="104">
        <f t="shared" si="2"/>
        <v>0</v>
      </c>
      <c r="V44" s="104">
        <f t="shared" si="3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58</v>
      </c>
      <c r="F45" s="126" t="s">
        <v>64</v>
      </c>
      <c r="G45" s="103">
        <f>('Thurs (2)'!G45+Thurs!G45+'Tues '!G45+Wed!G45+Fri!G45+'Mon '!G45+'Wed (2)'!G45+Sun!G45+Sat!G45)</f>
        <v>7</v>
      </c>
      <c r="H45" s="103">
        <f>('Thurs (2)'!H45+Thurs!H45+'Tues '!H45+Wed!H45+Fri!H45+'Mon '!H45+'Wed (2)'!H45+Sun!H45+Sat!H45)</f>
        <v>5</v>
      </c>
      <c r="I45" s="103">
        <f>('Thurs (2)'!I45+Thurs!I45+'Tues '!I45+Wed!I45+Fri!I45+'Mon '!I45+'Wed (2)'!I45+Sun!I45+Sat!I45)</f>
        <v>1</v>
      </c>
      <c r="J45" s="103">
        <f>('Thurs (2)'!J45+Thurs!J45+'Tues '!J45+Wed!J45+Fri!J45+'Mon '!J45+'Wed (2)'!J45+Sun!J45+Sat!J45)</f>
        <v>1</v>
      </c>
      <c r="K45" s="103">
        <f>('Thurs (2)'!K45+Thurs!K45+'Tues '!K45+Wed!K45+Fri!K45+'Mon '!K45+'Wed (2)'!K45+Sun!K45+Sat!K45)</f>
        <v>0</v>
      </c>
      <c r="L45" s="103">
        <f>('Thurs (2)'!L45+Thurs!L45+'Tues '!L45+Wed!L45+Fri!L45+'Mon '!L45+'Wed (2)'!L45+Sun!L45+Sat!L45)</f>
        <v>3</v>
      </c>
      <c r="M45" s="103">
        <f>('Thurs (2)'!M45+Thurs!M45+'Tues '!M45+Wed!M45+Fri!M45+'Mon '!M45+'Wed (2)'!M45+Sun!M45+Sat!M45)</f>
        <v>26</v>
      </c>
      <c r="N45" s="103">
        <f>('Thurs (2)'!N45+Thurs!N45+'Tues '!N45+Wed!N45+Fri!N45+'Mon '!N45+'Wed (2)'!N45+Sun!N45+Sat!N45)</f>
        <v>0</v>
      </c>
      <c r="O45" s="103">
        <f>('Thurs (2)'!O45+Thurs!O45+'Tues '!O45+Wed!O45+Fri!O45+'Mon '!O45+'Wed (2)'!O45+Sun!O45+Sat!O45)</f>
        <v>0</v>
      </c>
      <c r="P45" s="103">
        <f>('Thurs (2)'!P45+Thurs!P45+'Tues '!P45+Wed!P45+Fri!P45+'Mon '!P45+'Wed (2)'!P45+Sun!P45+Sat!P45)</f>
        <v>0</v>
      </c>
      <c r="Q45" s="103">
        <f>('Thurs (2)'!Q45+Thurs!Q45+'Tues '!Q45+Wed!Q45+Fri!Q45+'Mon '!Q45+'Wed (2)'!Q45+Sun!Q45+Sat!Q45)</f>
        <v>0</v>
      </c>
      <c r="R45" s="103">
        <f>('Thurs (2)'!R45+Thurs!R45+'Tues '!R45+Wed!R45+Fri!R45+'Mon '!R45+'Wed (2)'!R45+Sun!R45+Sat!R45)</f>
        <v>4</v>
      </c>
      <c r="S45" s="103">
        <f>('Thurs (2)'!S45+Thurs!S45+'Tues '!S45+Wed!S45+Fri!S45+'Mon '!S45+'Wed (2)'!S45+Sun!S45+Sat!S45)</f>
        <v>1</v>
      </c>
      <c r="T45" s="103">
        <f>('Thurs (2)'!T45+Thurs!T45+'Tues '!T45+Wed!T45+Fri!T45+'Mon '!T45+'Wed (2)'!T45+Sun!T45+Sat!T45)</f>
        <v>596</v>
      </c>
      <c r="U45" s="104">
        <f t="shared" si="2"/>
        <v>0.2</v>
      </c>
      <c r="V45" s="104">
        <f t="shared" si="3"/>
        <v>1.142857143</v>
      </c>
      <c r="W45" s="105"/>
    </row>
    <row r="46" ht="12.75" customHeight="1">
      <c r="A46" s="125" t="s">
        <v>26</v>
      </c>
      <c r="B46" s="99" t="s">
        <v>28</v>
      </c>
      <c r="C46" s="126"/>
      <c r="D46" s="101"/>
      <c r="E46" s="126" t="s">
        <v>53</v>
      </c>
      <c r="F46" s="126" t="s">
        <v>65</v>
      </c>
      <c r="G46" s="103">
        <f>('Thurs (2)'!G46+Thurs!G46+'Tues '!G46+Wed!G46+Fri!G46+'Mon '!G46+'Wed (2)'!G46+Sun!G46+Sat!G46)</f>
        <v>13</v>
      </c>
      <c r="H46" s="103">
        <f>('Thurs (2)'!H46+Thurs!H46+'Tues '!H46+Wed!H46+Fri!H46+'Mon '!H46+'Wed (2)'!H46+Sun!H46+Sat!H46)</f>
        <v>10</v>
      </c>
      <c r="I46" s="103">
        <f>('Thurs (2)'!I46+Thurs!I46+'Tues '!I46+Wed!I46+Fri!I46+'Mon '!I46+'Wed (2)'!I46+Sun!I46+Sat!I46)</f>
        <v>2</v>
      </c>
      <c r="J46" s="103">
        <f>('Thurs (2)'!J46+Thurs!J46+'Tues '!J46+Wed!J46+Fri!J46+'Mon '!J46+'Wed (2)'!J46+Sun!J46+Sat!J46)</f>
        <v>5</v>
      </c>
      <c r="K46" s="103">
        <f>('Thurs (2)'!K46+Thurs!K46+'Tues '!K46+Wed!K46+Fri!K46+'Mon '!K46+'Wed (2)'!K46+Sun!K46+Sat!K46)</f>
        <v>3</v>
      </c>
      <c r="L46" s="103">
        <f>('Thurs (2)'!L46+Thurs!L46+'Tues '!L46+Wed!L46+Fri!L46+'Mon '!L46+'Wed (2)'!L46+Sun!L46+Sat!L46)</f>
        <v>0</v>
      </c>
      <c r="M46" s="103">
        <f>('Thurs (2)'!M46+Thurs!M46+'Tues '!M46+Wed!M46+Fri!M46+'Mon '!M46+'Wed (2)'!M46+Sun!M46+Sat!M46)</f>
        <v>28</v>
      </c>
      <c r="N46" s="103">
        <f>('Thurs (2)'!N46+Thurs!N46+'Tues '!N46+Wed!N46+Fri!N46+'Mon '!N46+'Wed (2)'!N46+Sun!N46+Sat!N46)</f>
        <v>3</v>
      </c>
      <c r="O46" s="103">
        <f>('Thurs (2)'!O46+Thurs!O46+'Tues '!O46+Wed!O46+Fri!O46+'Mon '!O46+'Wed (2)'!O46+Sun!O46+Sat!O46)</f>
        <v>0</v>
      </c>
      <c r="P46" s="103">
        <f>('Thurs (2)'!P46+Thurs!P46+'Tues '!P46+Wed!P46+Fri!P46+'Mon '!P46+'Wed (2)'!P46+Sun!P46+Sat!P46)</f>
        <v>0</v>
      </c>
      <c r="Q46" s="103">
        <f>('Thurs (2)'!Q46+Thurs!Q46+'Tues '!Q46+Wed!Q46+Fri!Q46+'Mon '!Q46+'Wed (2)'!Q46+Sun!Q46+Sat!Q46)</f>
        <v>0</v>
      </c>
      <c r="R46" s="103">
        <f>('Thurs (2)'!R46+Thurs!R46+'Tues '!R46+Wed!R46+Fri!R46+'Mon '!R46+'Wed (2)'!R46+Sun!R46+Sat!R46)</f>
        <v>7</v>
      </c>
      <c r="S46" s="103">
        <f>('Thurs (2)'!S46+Thurs!S46+'Tues '!S46+Wed!S46+Fri!S46+'Mon '!S46+'Wed (2)'!S46+Sun!S46+Sat!S46)</f>
        <v>2</v>
      </c>
      <c r="T46" s="103">
        <f>('Thurs (2)'!T46+Thurs!T46+'Tues '!T46+Wed!T46+Fri!T46+'Mon '!T46+'Wed (2)'!T46+Sun!T46+Sat!T46)</f>
        <v>3031</v>
      </c>
      <c r="U46" s="104">
        <f t="shared" si="2"/>
        <v>0.2</v>
      </c>
      <c r="V46" s="104">
        <f t="shared" si="3"/>
        <v>0.7692307692</v>
      </c>
      <c r="W46" s="105"/>
    </row>
    <row r="47" ht="12.75" customHeight="1">
      <c r="A47" s="117" t="s">
        <v>26</v>
      </c>
      <c r="B47" s="127" t="s">
        <v>28</v>
      </c>
      <c r="C47" s="128" t="s">
        <v>66</v>
      </c>
      <c r="D47" s="129" t="s">
        <v>52</v>
      </c>
      <c r="E47" s="117" t="s">
        <v>67</v>
      </c>
      <c r="F47" s="128" t="s">
        <v>68</v>
      </c>
      <c r="G47" s="103">
        <f>('Thurs (2)'!G47+Thurs!G47+'Tues '!G47+Wed!G47+Fri!G47+'Mon '!G47+'Wed (2)'!G47+Sun!G47+Sat!G47)</f>
        <v>9</v>
      </c>
      <c r="H47" s="103">
        <f>('Thurs (2)'!H47+Thurs!H47+'Tues '!H47+Wed!H47+Fri!H47+'Mon '!H47+'Wed (2)'!H47+Sun!H47+Sat!H47)</f>
        <v>7</v>
      </c>
      <c r="I47" s="103">
        <f>('Thurs (2)'!I47+Thurs!I47+'Tues '!I47+Wed!I47+Fri!I47+'Mon '!I47+'Wed (2)'!I47+Sun!I47+Sat!I47)</f>
        <v>0</v>
      </c>
      <c r="J47" s="103">
        <f>('Thurs (2)'!J47+Thurs!J47+'Tues '!J47+Wed!J47+Fri!J47+'Mon '!J47+'Wed (2)'!J47+Sun!J47+Sat!J47)</f>
        <v>2</v>
      </c>
      <c r="K47" s="103">
        <f>('Thurs (2)'!K47+Thurs!K47+'Tues '!K47+Wed!K47+Fri!K47+'Mon '!K47+'Wed (2)'!K47+Sun!K47+Sat!K47)</f>
        <v>0</v>
      </c>
      <c r="L47" s="103">
        <f>('Thurs (2)'!L47+Thurs!L47+'Tues '!L47+Wed!L47+Fri!L47+'Mon '!L47+'Wed (2)'!L47+Sun!L47+Sat!L47)</f>
        <v>3</v>
      </c>
      <c r="M47" s="103">
        <f>('Thurs (2)'!M47+Thurs!M47+'Tues '!M47+Wed!M47+Fri!M47+'Mon '!M47+'Wed (2)'!M47+Sun!M47+Sat!M47)</f>
        <v>15</v>
      </c>
      <c r="N47" s="103">
        <f>('Thurs (2)'!N47+Thurs!N47+'Tues '!N47+Wed!N47+Fri!N47+'Mon '!N47+'Wed (2)'!N47+Sun!N47+Sat!N47)</f>
        <v>5</v>
      </c>
      <c r="O47" s="103">
        <f>('Thurs (2)'!O47+Thurs!O47+'Tues '!O47+Wed!O47+Fri!O47+'Mon '!O47+'Wed (2)'!O47+Sun!O47+Sat!O47)</f>
        <v>0</v>
      </c>
      <c r="P47" s="103">
        <f>('Thurs (2)'!P47+Thurs!P47+'Tues '!P47+Wed!P47+Fri!P47+'Mon '!P47+'Wed (2)'!P47+Sun!P47+Sat!P47)</f>
        <v>0</v>
      </c>
      <c r="Q47" s="103">
        <f>('Thurs (2)'!Q47+Thurs!Q47+'Tues '!Q47+Wed!Q47+Fri!Q47+'Mon '!Q47+'Wed (2)'!Q47+Sun!Q47+Sat!Q47)</f>
        <v>0</v>
      </c>
      <c r="R47" s="103">
        <f>('Thurs (2)'!R47+Thurs!R47+'Tues '!R47+Wed!R47+Fri!R47+'Mon '!R47+'Wed (2)'!R47+Sun!R47+Sat!R47)</f>
        <v>1</v>
      </c>
      <c r="S47" s="103">
        <f>('Thurs (2)'!S47+Thurs!S47+'Tues '!S47+Wed!S47+Fri!S47+'Mon '!S47+'Wed (2)'!S47+Sun!S47+Sat!S47)</f>
        <v>0</v>
      </c>
      <c r="T47" s="103">
        <f>('Thurs (2)'!T47+Thurs!T47+'Tues '!T47+Wed!T47+Fri!T47+'Mon '!T47+'Wed (2)'!T47+Sun!T47+Sat!T47)</f>
        <v>0</v>
      </c>
      <c r="U47" s="104">
        <f t="shared" si="2"/>
        <v>0</v>
      </c>
      <c r="V47" s="104">
        <f t="shared" si="3"/>
        <v>1.111111111</v>
      </c>
      <c r="W47" s="105"/>
    </row>
    <row r="48" ht="12.75" customHeight="1">
      <c r="A48" s="119" t="s">
        <v>26</v>
      </c>
      <c r="B48" s="130" t="s">
        <v>28</v>
      </c>
      <c r="C48" s="120" t="s">
        <v>66</v>
      </c>
      <c r="D48" s="131"/>
      <c r="E48" s="120"/>
      <c r="F48" s="120" t="s">
        <v>69</v>
      </c>
      <c r="G48" s="103">
        <f>('Thurs (2)'!G48+Thurs!G48+'Tues '!G48+Wed!G48+Fri!G48+'Mon '!G48+'Wed (2)'!G48+Sun!G48+Sat!G48)</f>
        <v>15</v>
      </c>
      <c r="H48" s="103">
        <f>('Thurs (2)'!H48+Thurs!H48+'Tues '!H48+Wed!H48+Fri!H48+'Mon '!H48+'Wed (2)'!H48+Sun!H48+Sat!H48)</f>
        <v>1</v>
      </c>
      <c r="I48" s="103">
        <f>('Thurs (2)'!I48+Thurs!I48+'Tues '!I48+Wed!I48+Fri!I48+'Mon '!I48+'Wed (2)'!I48+Sun!I48+Sat!I48)</f>
        <v>1</v>
      </c>
      <c r="J48" s="103">
        <f>('Thurs (2)'!J48+Thurs!J48+'Tues '!J48+Wed!J48+Fri!J48+'Mon '!J48+'Wed (2)'!J48+Sun!J48+Sat!J48)</f>
        <v>0</v>
      </c>
      <c r="K48" s="103">
        <f>('Thurs (2)'!K48+Thurs!K48+'Tues '!K48+Wed!K48+Fri!K48+'Mon '!K48+'Wed (2)'!K48+Sun!K48+Sat!K48)</f>
        <v>0</v>
      </c>
      <c r="L48" s="103">
        <f>('Thurs (2)'!L48+Thurs!L48+'Tues '!L48+Wed!L48+Fri!L48+'Mon '!L48+'Wed (2)'!L48+Sun!L48+Sat!L48)</f>
        <v>0</v>
      </c>
      <c r="M48" s="103">
        <f>('Thurs (2)'!M48+Thurs!M48+'Tues '!M48+Wed!M48+Fri!M48+'Mon '!M48+'Wed (2)'!M48+Sun!M48+Sat!M48)</f>
        <v>4</v>
      </c>
      <c r="N48" s="103">
        <f>('Thurs (2)'!N48+Thurs!N48+'Tues '!N48+Wed!N48+Fri!N48+'Mon '!N48+'Wed (2)'!N48+Sun!N48+Sat!N48)</f>
        <v>1</v>
      </c>
      <c r="O48" s="103">
        <f>('Thurs (2)'!O48+Thurs!O48+'Tues '!O48+Wed!O48+Fri!O48+'Mon '!O48+'Wed (2)'!O48+Sun!O48+Sat!O48)</f>
        <v>1</v>
      </c>
      <c r="P48" s="103">
        <f>('Thurs (2)'!P48+Thurs!P48+'Tues '!P48+Wed!P48+Fri!P48+'Mon '!P48+'Wed (2)'!P48+Sun!P48+Sat!P48)</f>
        <v>0</v>
      </c>
      <c r="Q48" s="103">
        <f>('Thurs (2)'!Q48+Thurs!Q48+'Tues '!Q48+Wed!Q48+Fri!Q48+'Mon '!Q48+'Wed (2)'!Q48+Sun!Q48+Sat!Q48)</f>
        <v>0</v>
      </c>
      <c r="R48" s="103">
        <f>('Thurs (2)'!R48+Thurs!R48+'Tues '!R48+Wed!R48+Fri!R48+'Mon '!R48+'Wed (2)'!R48+Sun!R48+Sat!R48)</f>
        <v>0</v>
      </c>
      <c r="S48" s="103">
        <f>('Thurs (2)'!S48+Thurs!S48+'Tues '!S48+Wed!S48+Fri!S48+'Mon '!S48+'Wed (2)'!S48+Sun!S48+Sat!S48)</f>
        <v>0</v>
      </c>
      <c r="T48" s="103">
        <f>('Thurs (2)'!T48+Thurs!T48+'Tues '!T48+Wed!T48+Fri!T48+'Mon '!T48+'Wed (2)'!T48+Sun!T48+Sat!T48)</f>
        <v>1200</v>
      </c>
      <c r="U48" s="104">
        <f t="shared" si="2"/>
        <v>1</v>
      </c>
      <c r="V48" s="104">
        <f t="shared" si="3"/>
        <v>0.06666666667</v>
      </c>
      <c r="W48" s="105"/>
    </row>
    <row r="49" ht="12.75" customHeight="1">
      <c r="A49" s="119" t="s">
        <v>26</v>
      </c>
      <c r="B49" s="130" t="s">
        <v>28</v>
      </c>
      <c r="C49" s="120" t="s">
        <v>66</v>
      </c>
      <c r="D49" s="131"/>
      <c r="E49" s="120"/>
      <c r="F49" s="120" t="s">
        <v>70</v>
      </c>
      <c r="G49" s="103">
        <f>('Thurs (2)'!G49+Thurs!G49+'Tues '!G49+Wed!G49+Fri!G49+'Mon '!G49+'Wed (2)'!G49+Sun!G49+Sat!G49)</f>
        <v>0</v>
      </c>
      <c r="H49" s="103">
        <f>('Thurs (2)'!H49+Thurs!H49+'Tues '!H49+Wed!H49+Fri!H49+'Mon '!H49+'Wed (2)'!H49+Sun!H49+Sat!H49)</f>
        <v>0</v>
      </c>
      <c r="I49" s="103">
        <f>('Thurs (2)'!I49+Thurs!I49+'Tues '!I49+Wed!I49+Fri!I49+'Mon '!I49+'Wed (2)'!I49+Sun!I49+Sat!I49)</f>
        <v>0</v>
      </c>
      <c r="J49" s="103">
        <f>('Thurs (2)'!J49+Thurs!J49+'Tues '!J49+Wed!J49+Fri!J49+'Mon '!J49+'Wed (2)'!J49+Sun!J49+Sat!J49)</f>
        <v>0</v>
      </c>
      <c r="K49" s="103">
        <f>('Thurs (2)'!K49+Thurs!K49+'Tues '!K49+Wed!K49+Fri!K49+'Mon '!K49+'Wed (2)'!K49+Sun!K49+Sat!K49)</f>
        <v>0</v>
      </c>
      <c r="L49" s="103">
        <f>('Thurs (2)'!L49+Thurs!L49+'Tues '!L49+Wed!L49+Fri!L49+'Mon '!L49+'Wed (2)'!L49+Sun!L49+Sat!L49)</f>
        <v>0</v>
      </c>
      <c r="M49" s="103">
        <f>('Thurs (2)'!M49+Thurs!M49+'Tues '!M49+Wed!M49+Fri!M49+'Mon '!M49+'Wed (2)'!M49+Sun!M49+Sat!M49)</f>
        <v>0</v>
      </c>
      <c r="N49" s="103">
        <f>('Thurs (2)'!N49+Thurs!N49+'Tues '!N49+Wed!N49+Fri!N49+'Mon '!N49+'Wed (2)'!N49+Sun!N49+Sat!N49)</f>
        <v>0</v>
      </c>
      <c r="O49" s="103">
        <f>('Thurs (2)'!O49+Thurs!O49+'Tues '!O49+Wed!O49+Fri!O49+'Mon '!O49+'Wed (2)'!O49+Sun!O49+Sat!O49)</f>
        <v>0</v>
      </c>
      <c r="P49" s="103">
        <f>('Thurs (2)'!P49+Thurs!P49+'Tues '!P49+Wed!P49+Fri!P49+'Mon '!P49+'Wed (2)'!P49+Sun!P49+Sat!P49)</f>
        <v>0</v>
      </c>
      <c r="Q49" s="103">
        <f>('Thurs (2)'!Q49+Thurs!Q49+'Tues '!Q49+Wed!Q49+Fri!Q49+'Mon '!Q49+'Wed (2)'!Q49+Sun!Q49+Sat!Q49)</f>
        <v>0</v>
      </c>
      <c r="R49" s="103">
        <f>('Thurs (2)'!R49+Thurs!R49+'Tues '!R49+Wed!R49+Fri!R49+'Mon '!R49+'Wed (2)'!R49+Sun!R49+Sat!R49)</f>
        <v>0</v>
      </c>
      <c r="S49" s="103">
        <f>('Thurs (2)'!S49+Thurs!S49+'Tues '!S49+Wed!S49+Fri!S49+'Mon '!S49+'Wed (2)'!S49+Sun!S49+Sat!S49)</f>
        <v>0</v>
      </c>
      <c r="T49" s="103">
        <f>('Thurs (2)'!T49+Thurs!T49+'Tues '!T49+Wed!T49+Fri!T49+'Mon '!T49+'Wed (2)'!T49+Sun!T49+Sat!T49)</f>
        <v>0</v>
      </c>
      <c r="U49" s="104">
        <f t="shared" si="2"/>
        <v>0</v>
      </c>
      <c r="V49" s="104">
        <f t="shared" si="3"/>
        <v>0</v>
      </c>
      <c r="W49" s="105"/>
    </row>
    <row r="50" ht="12.75" customHeight="1">
      <c r="A50" s="119" t="s">
        <v>26</v>
      </c>
      <c r="B50" s="130" t="s">
        <v>28</v>
      </c>
      <c r="C50" s="120" t="s">
        <v>66</v>
      </c>
      <c r="D50" s="131"/>
      <c r="E50" s="120"/>
      <c r="F50" s="120" t="s">
        <v>71</v>
      </c>
      <c r="G50" s="103">
        <f>('Thurs (2)'!G50+Thurs!G50+'Tues '!G50+Wed!G50+Fri!G50+'Mon '!G50+'Wed (2)'!G50+Sun!G50+Sat!G50)</f>
        <v>18</v>
      </c>
      <c r="H50" s="103">
        <f>('Thurs (2)'!H50+Thurs!H50+'Tues '!H50+Wed!H50+Fri!H50+'Mon '!H50+'Wed (2)'!H50+Sun!H50+Sat!H50)</f>
        <v>5</v>
      </c>
      <c r="I50" s="103">
        <f>('Thurs (2)'!I50+Thurs!I50+'Tues '!I50+Wed!I50+Fri!I50+'Mon '!I50+'Wed (2)'!I50+Sun!I50+Sat!I50)</f>
        <v>0</v>
      </c>
      <c r="J50" s="103">
        <f>('Thurs (2)'!J50+Thurs!J50+'Tues '!J50+Wed!J50+Fri!J50+'Mon '!J50+'Wed (2)'!J50+Sun!J50+Sat!J50)</f>
        <v>2</v>
      </c>
      <c r="K50" s="103">
        <f>('Thurs (2)'!K50+Thurs!K50+'Tues '!K50+Wed!K50+Fri!K50+'Mon '!K50+'Wed (2)'!K50+Sun!K50+Sat!K50)</f>
        <v>0</v>
      </c>
      <c r="L50" s="103">
        <f>('Thurs (2)'!L50+Thurs!L50+'Tues '!L50+Wed!L50+Fri!L50+'Mon '!L50+'Wed (2)'!L50+Sun!L50+Sat!L50)</f>
        <v>0</v>
      </c>
      <c r="M50" s="103">
        <f>('Thurs (2)'!M50+Thurs!M50+'Tues '!M50+Wed!M50+Fri!M50+'Mon '!M50+'Wed (2)'!M50+Sun!M50+Sat!M50)</f>
        <v>21</v>
      </c>
      <c r="N50" s="103">
        <f>('Thurs (2)'!N50+Thurs!N50+'Tues '!N50+Wed!N50+Fri!N50+'Mon '!N50+'Wed (2)'!N50+Sun!N50+Sat!N50)</f>
        <v>3</v>
      </c>
      <c r="O50" s="103">
        <f>('Thurs (2)'!O50+Thurs!O50+'Tues '!O50+Wed!O50+Fri!O50+'Mon '!O50+'Wed (2)'!O50+Sun!O50+Sat!O50)</f>
        <v>0</v>
      </c>
      <c r="P50" s="103">
        <f>('Thurs (2)'!P50+Thurs!P50+'Tues '!P50+Wed!P50+Fri!P50+'Mon '!P50+'Wed (2)'!P50+Sun!P50+Sat!P50)</f>
        <v>0</v>
      </c>
      <c r="Q50" s="103">
        <f>('Thurs (2)'!Q50+Thurs!Q50+'Tues '!Q50+Wed!Q50+Fri!Q50+'Mon '!Q50+'Wed (2)'!Q50+Sun!Q50+Sat!Q50)</f>
        <v>0</v>
      </c>
      <c r="R50" s="103">
        <f>('Thurs (2)'!R50+Thurs!R50+'Tues '!R50+Wed!R50+Fri!R50+'Mon '!R50+'Wed (2)'!R50+Sun!R50+Sat!R50)</f>
        <v>2</v>
      </c>
      <c r="S50" s="103">
        <f>('Thurs (2)'!S50+Thurs!S50+'Tues '!S50+Wed!S50+Fri!S50+'Mon '!S50+'Wed (2)'!S50+Sun!S50+Sat!S50)</f>
        <v>0</v>
      </c>
      <c r="T50" s="103">
        <f>('Thurs (2)'!T50+Thurs!T50+'Tues '!T50+Wed!T50+Fri!T50+'Mon '!T50+'Wed (2)'!T50+Sun!T50+Sat!T50)</f>
        <v>0</v>
      </c>
      <c r="U50" s="104">
        <f t="shared" si="2"/>
        <v>0</v>
      </c>
      <c r="V50" s="104">
        <f t="shared" si="3"/>
        <v>0.2777777778</v>
      </c>
      <c r="W50" s="105"/>
    </row>
    <row r="51" ht="12.75" customHeight="1">
      <c r="A51" s="106" t="s">
        <v>26</v>
      </c>
      <c r="B51" s="109" t="s">
        <v>29</v>
      </c>
      <c r="C51" s="109"/>
      <c r="D51" s="132" t="s">
        <v>52</v>
      </c>
      <c r="E51" s="109" t="s">
        <v>72</v>
      </c>
      <c r="F51" s="133" t="s">
        <v>29</v>
      </c>
      <c r="G51" s="103">
        <f>('Thurs (2)'!G51+Thurs!G51+'Tues '!G51+Wed!G51+Fri!G51+'Mon '!G51+'Wed (2)'!G51+Sun!G51+Sat!G51)</f>
        <v>3</v>
      </c>
      <c r="H51" s="103">
        <f>('Thurs (2)'!H51+Thurs!H51+'Tues '!H51+Wed!H51+Fri!H51+'Mon '!H51+'Wed (2)'!H51+Sun!H51+Sat!H51)</f>
        <v>3</v>
      </c>
      <c r="I51" s="103">
        <f>('Thurs (2)'!I51+Thurs!I51+'Tues '!I51+Wed!I51+Fri!I51+'Mon '!I51+'Wed (2)'!I51+Sun!I51+Sat!I51)</f>
        <v>1</v>
      </c>
      <c r="J51" s="103">
        <f>('Thurs (2)'!J51+Thurs!J51+'Tues '!J51+Wed!J51+Fri!J51+'Mon '!J51+'Wed (2)'!J51+Sun!J51+Sat!J51)</f>
        <v>0</v>
      </c>
      <c r="K51" s="103">
        <f>('Thurs (2)'!K51+Thurs!K51+'Tues '!K51+Wed!K51+Fri!K51+'Mon '!K51+'Wed (2)'!K51+Sun!K51+Sat!K51)</f>
        <v>0</v>
      </c>
      <c r="L51" s="103">
        <f>('Thurs (2)'!L51+Thurs!L51+'Tues '!L51+Wed!L51+Fri!L51+'Mon '!L51+'Wed (2)'!L51+Sun!L51+Sat!L51)</f>
        <v>3</v>
      </c>
      <c r="M51" s="103">
        <f>('Thurs (2)'!M51+Thurs!M51+'Tues '!M51+Wed!M51+Fri!M51+'Mon '!M51+'Wed (2)'!M51+Sun!M51+Sat!M51)</f>
        <v>2</v>
      </c>
      <c r="N51" s="103">
        <f>('Thurs (2)'!N51+Thurs!N51+'Tues '!N51+Wed!N51+Fri!N51+'Mon '!N51+'Wed (2)'!N51+Sun!N51+Sat!N51)</f>
        <v>2</v>
      </c>
      <c r="O51" s="103">
        <f>('Thurs (2)'!O51+Thurs!O51+'Tues '!O51+Wed!O51+Fri!O51+'Mon '!O51+'Wed (2)'!O51+Sun!O51+Sat!O51)</f>
        <v>1</v>
      </c>
      <c r="P51" s="103">
        <f>('Thurs (2)'!P51+Thurs!P51+'Tues '!P51+Wed!P51+Fri!P51+'Mon '!P51+'Wed (2)'!P51+Sun!P51+Sat!P51)</f>
        <v>0</v>
      </c>
      <c r="Q51" s="103">
        <f>('Thurs (2)'!Q51+Thurs!Q51+'Tues '!Q51+Wed!Q51+Fri!Q51+'Mon '!Q51+'Wed (2)'!Q51+Sun!Q51+Sat!Q51)</f>
        <v>0</v>
      </c>
      <c r="R51" s="103">
        <f>('Thurs (2)'!R51+Thurs!R51+'Tues '!R51+Wed!R51+Fri!R51+'Mon '!R51+'Wed (2)'!R51+Sun!R51+Sat!R51)</f>
        <v>1</v>
      </c>
      <c r="S51" s="103">
        <f>('Thurs (2)'!S51+Thurs!S51+'Tues '!S51+Wed!S51+Fri!S51+'Mon '!S51+'Wed (2)'!S51+Sun!S51+Sat!S51)</f>
        <v>0</v>
      </c>
      <c r="T51" s="103">
        <f>('Thurs (2)'!T51+Thurs!T51+'Tues '!T51+Wed!T51+Fri!T51+'Mon '!T51+'Wed (2)'!T51+Sun!T51+Sat!T51)</f>
        <v>876</v>
      </c>
      <c r="U51" s="104">
        <f t="shared" si="2"/>
        <v>0.3333333333</v>
      </c>
      <c r="V51" s="104">
        <f t="shared" si="3"/>
        <v>2</v>
      </c>
      <c r="W51" s="105"/>
    </row>
    <row r="52" ht="13.5" customHeight="1">
      <c r="A52" s="113" t="s">
        <v>26</v>
      </c>
      <c r="B52" s="114" t="s">
        <v>29</v>
      </c>
      <c r="C52" s="114"/>
      <c r="D52" s="134"/>
      <c r="E52" s="114" t="s">
        <v>59</v>
      </c>
      <c r="F52" s="114" t="s">
        <v>73</v>
      </c>
      <c r="G52" s="103">
        <f>('Thurs (2)'!G52+Thurs!G52+'Tues '!G52+Wed!G52+Fri!G52+'Mon '!G52+'Wed (2)'!G52+Sun!G52+Sat!G52)</f>
        <v>0</v>
      </c>
      <c r="H52" s="103">
        <f>('Thurs (2)'!H52+Thurs!H52+'Tues '!H52+Wed!H52+Fri!H52+'Mon '!H52+'Wed (2)'!H52+Sun!H52+Sat!H52)</f>
        <v>0</v>
      </c>
      <c r="I52" s="103">
        <f>('Thurs (2)'!I52+Thurs!I52+'Tues '!I52+Wed!I52+Fri!I52+'Mon '!I52+'Wed (2)'!I52+Sun!I52+Sat!I52)</f>
        <v>0</v>
      </c>
      <c r="J52" s="103">
        <f>('Thurs (2)'!J52+Thurs!J52+'Tues '!J52+Wed!J52+Fri!J52+'Mon '!J52+'Wed (2)'!J52+Sun!J52+Sat!J52)</f>
        <v>0</v>
      </c>
      <c r="K52" s="103">
        <f>('Thurs (2)'!K52+Thurs!K52+'Tues '!K52+Wed!K52+Fri!K52+'Mon '!K52+'Wed (2)'!K52+Sun!K52+Sat!K52)</f>
        <v>0</v>
      </c>
      <c r="L52" s="103">
        <f>('Thurs (2)'!L52+Thurs!L52+'Tues '!L52+Wed!L52+Fri!L52+'Mon '!L52+'Wed (2)'!L52+Sun!L52+Sat!L52)</f>
        <v>0</v>
      </c>
      <c r="M52" s="103">
        <f>('Thurs (2)'!M52+Thurs!M52+'Tues '!M52+Wed!M52+Fri!M52+'Mon '!M52+'Wed (2)'!M52+Sun!M52+Sat!M52)</f>
        <v>0</v>
      </c>
      <c r="N52" s="103">
        <f>('Thurs (2)'!N52+Thurs!N52+'Tues '!N52+Wed!N52+Fri!N52+'Mon '!N52+'Wed (2)'!N52+Sun!N52+Sat!N52)</f>
        <v>0</v>
      </c>
      <c r="O52" s="103">
        <f>('Thurs (2)'!O52+Thurs!O52+'Tues '!O52+Wed!O52+Fri!O52+'Mon '!O52+'Wed (2)'!O52+Sun!O52+Sat!O52)</f>
        <v>0</v>
      </c>
      <c r="P52" s="103">
        <f>('Thurs (2)'!P52+Thurs!P52+'Tues '!P52+Wed!P52+Fri!P52+'Mon '!P52+'Wed (2)'!P52+Sun!P52+Sat!P52)</f>
        <v>0</v>
      </c>
      <c r="Q52" s="103">
        <f>('Thurs (2)'!Q52+Thurs!Q52+'Tues '!Q52+Wed!Q52+Fri!Q52+'Mon '!Q52+'Wed (2)'!Q52+Sun!Q52+Sat!Q52)</f>
        <v>0</v>
      </c>
      <c r="R52" s="103">
        <f>('Thurs (2)'!R52+Thurs!R52+'Tues '!R52+Wed!R52+Fri!R52+'Mon '!R52+'Wed (2)'!R52+Sun!R52+Sat!R52)</f>
        <v>0</v>
      </c>
      <c r="S52" s="103">
        <f>('Thurs (2)'!S52+Thurs!S52+'Tues '!S52+Wed!S52+Fri!S52+'Mon '!S52+'Wed (2)'!S52+Sun!S52+Sat!S52)</f>
        <v>0</v>
      </c>
      <c r="T52" s="103">
        <f>('Thurs (2)'!T52+Thurs!T52+'Tues '!T52+Wed!T52+Fri!T52+'Mon '!T52+'Wed (2)'!T52+Sun!T52+Sat!T52)</f>
        <v>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13" t="s">
        <v>26</v>
      </c>
      <c r="B53" s="114" t="s">
        <v>29</v>
      </c>
      <c r="C53" s="114"/>
      <c r="D53" s="134"/>
      <c r="E53" s="114" t="s">
        <v>72</v>
      </c>
      <c r="F53" s="114" t="s">
        <v>74</v>
      </c>
      <c r="G53" s="103">
        <f>('Thurs (2)'!G53+Thurs!G53+'Tues '!G53+Wed!G53+Fri!G53+'Mon '!G53+'Wed (2)'!G53+Sun!G53+Sat!G53)</f>
        <v>0</v>
      </c>
      <c r="H53" s="103">
        <f>('Thurs (2)'!H53+Thurs!H53+'Tues '!H53+Wed!H53+Fri!H53+'Mon '!H53+'Wed (2)'!H53+Sun!H53+Sat!H53)</f>
        <v>0</v>
      </c>
      <c r="I53" s="103">
        <f>('Thurs (2)'!I53+Thurs!I53+'Tues '!I53+Wed!I53+Fri!I53+'Mon '!I53+'Wed (2)'!I53+Sun!I53+Sat!I53)</f>
        <v>0</v>
      </c>
      <c r="J53" s="103">
        <f>('Thurs (2)'!J53+Thurs!J53+'Tues '!J53+Wed!J53+Fri!J53+'Mon '!J53+'Wed (2)'!J53+Sun!J53+Sat!J53)</f>
        <v>0</v>
      </c>
      <c r="K53" s="103">
        <f>('Thurs (2)'!K53+Thurs!K53+'Tues '!K53+Wed!K53+Fri!K53+'Mon '!K53+'Wed (2)'!K53+Sun!K53+Sat!K53)</f>
        <v>0</v>
      </c>
      <c r="L53" s="103">
        <f>('Thurs (2)'!L53+Thurs!L53+'Tues '!L53+Wed!L53+Fri!L53+'Mon '!L53+'Wed (2)'!L53+Sun!L53+Sat!L53)</f>
        <v>0</v>
      </c>
      <c r="M53" s="103">
        <f>('Thurs (2)'!M53+Thurs!M53+'Tues '!M53+Wed!M53+Fri!M53+'Mon '!M53+'Wed (2)'!M53+Sun!M53+Sat!M53)</f>
        <v>0</v>
      </c>
      <c r="N53" s="103">
        <f>('Thurs (2)'!N53+Thurs!N53+'Tues '!N53+Wed!N53+Fri!N53+'Mon '!N53+'Wed (2)'!N53+Sun!N53+Sat!N53)</f>
        <v>0</v>
      </c>
      <c r="O53" s="103">
        <f>('Thurs (2)'!O53+Thurs!O53+'Tues '!O53+Wed!O53+Fri!O53+'Mon '!O53+'Wed (2)'!O53+Sun!O53+Sat!O53)</f>
        <v>0</v>
      </c>
      <c r="P53" s="103">
        <f>('Thurs (2)'!P53+Thurs!P53+'Tues '!P53+Wed!P53+Fri!P53+'Mon '!P53+'Wed (2)'!P53+Sun!P53+Sat!P53)</f>
        <v>0</v>
      </c>
      <c r="Q53" s="103">
        <f>('Thurs (2)'!Q53+Thurs!Q53+'Tues '!Q53+Wed!Q53+Fri!Q53+'Mon '!Q53+'Wed (2)'!Q53+Sun!Q53+Sat!Q53)</f>
        <v>0</v>
      </c>
      <c r="R53" s="103">
        <f>('Thurs (2)'!R53+Thurs!R53+'Tues '!R53+Wed!R53+Fri!R53+'Mon '!R53+'Wed (2)'!R53+Sun!R53+Sat!R53)</f>
        <v>0</v>
      </c>
      <c r="S53" s="103">
        <f>('Thurs (2)'!S53+Thurs!S53+'Tues '!S53+Wed!S53+Fri!S53+'Mon '!S53+'Wed (2)'!S53+Sun!S53+Sat!S53)</f>
        <v>0</v>
      </c>
      <c r="T53" s="103">
        <f>('Thurs (2)'!T53+Thurs!T53+'Tues '!T53+Wed!T53+Fri!T53+'Mon '!T53+'Wed (2)'!T53+Sun!T53+Sat!T53)</f>
        <v>0</v>
      </c>
      <c r="U53" s="104">
        <f t="shared" si="2"/>
        <v>0</v>
      </c>
      <c r="V53" s="104">
        <f t="shared" si="3"/>
        <v>0</v>
      </c>
      <c r="W53" s="105"/>
    </row>
    <row r="54" ht="13.5" customHeight="1">
      <c r="A54" s="135" t="s">
        <v>26</v>
      </c>
      <c r="B54" s="127" t="s">
        <v>29</v>
      </c>
      <c r="C54" s="117" t="s">
        <v>75</v>
      </c>
      <c r="D54" s="136" t="s">
        <v>52</v>
      </c>
      <c r="E54" s="117" t="s">
        <v>76</v>
      </c>
      <c r="F54" s="117" t="s">
        <v>75</v>
      </c>
      <c r="G54" s="103">
        <f>('Thurs (2)'!G54+Thurs!G54+'Tues '!G54+Wed!G54+Fri!G54+'Mon '!G54+'Wed (2)'!G54+Sun!G54+Sat!G54)</f>
        <v>5</v>
      </c>
      <c r="H54" s="103">
        <f>('Thurs (2)'!H54+Thurs!H54+'Tues '!H54+Wed!H54+Fri!H54+'Mon '!H54+'Wed (2)'!H54+Sun!H54+Sat!H54)</f>
        <v>1</v>
      </c>
      <c r="I54" s="103">
        <f>('Thurs (2)'!I54+Thurs!I54+'Tues '!I54+Wed!I54+Fri!I54+'Mon '!I54+'Wed (2)'!I54+Sun!I54+Sat!I54)</f>
        <v>1</v>
      </c>
      <c r="J54" s="103">
        <f>('Thurs (2)'!J54+Thurs!J54+'Tues '!J54+Wed!J54+Fri!J54+'Mon '!J54+'Wed (2)'!J54+Sun!J54+Sat!J54)</f>
        <v>4</v>
      </c>
      <c r="K54" s="103">
        <f>('Thurs (2)'!K54+Thurs!K54+'Tues '!K54+Wed!K54+Fri!K54+'Mon '!K54+'Wed (2)'!K54+Sun!K54+Sat!K54)</f>
        <v>1</v>
      </c>
      <c r="L54" s="103">
        <f>('Thurs (2)'!L54+Thurs!L54+'Tues '!L54+Wed!L54+Fri!L54+'Mon '!L54+'Wed (2)'!L54+Sun!L54+Sat!L54)</f>
        <v>4</v>
      </c>
      <c r="M54" s="103">
        <f>('Thurs (2)'!M54+Thurs!M54+'Tues '!M54+Wed!M54+Fri!M54+'Mon '!M54+'Wed (2)'!M54+Sun!M54+Sat!M54)</f>
        <v>9</v>
      </c>
      <c r="N54" s="103">
        <f>('Thurs (2)'!N54+Thurs!N54+'Tues '!N54+Wed!N54+Fri!N54+'Mon '!N54+'Wed (2)'!N54+Sun!N54+Sat!N54)</f>
        <v>1</v>
      </c>
      <c r="O54" s="103">
        <f>('Thurs (2)'!O54+Thurs!O54+'Tues '!O54+Wed!O54+Fri!O54+'Mon '!O54+'Wed (2)'!O54+Sun!O54+Sat!O54)</f>
        <v>0</v>
      </c>
      <c r="P54" s="103">
        <f>('Thurs (2)'!P54+Thurs!P54+'Tues '!P54+Wed!P54+Fri!P54+'Mon '!P54+'Wed (2)'!P54+Sun!P54+Sat!P54)</f>
        <v>0</v>
      </c>
      <c r="Q54" s="103">
        <f>('Thurs (2)'!Q54+Thurs!Q54+'Tues '!Q54+Wed!Q54+Fri!Q54+'Mon '!Q54+'Wed (2)'!Q54+Sun!Q54+Sat!Q54)</f>
        <v>0</v>
      </c>
      <c r="R54" s="103">
        <f>('Thurs (2)'!R54+Thurs!R54+'Tues '!R54+Wed!R54+Fri!R54+'Mon '!R54+'Wed (2)'!R54+Sun!R54+Sat!R54)</f>
        <v>4</v>
      </c>
      <c r="S54" s="103">
        <f>('Thurs (2)'!S54+Thurs!S54+'Tues '!S54+Wed!S54+Fri!S54+'Mon '!S54+'Wed (2)'!S54+Sun!S54+Sat!S54)</f>
        <v>1</v>
      </c>
      <c r="T54" s="103">
        <f>('Thurs (2)'!T54+Thurs!T54+'Tues '!T54+Wed!T54+Fri!T54+'Mon '!T54+'Wed (2)'!T54+Sun!T54+Sat!T54)</f>
        <v>1010</v>
      </c>
      <c r="U54" s="104">
        <f t="shared" si="2"/>
        <v>1</v>
      </c>
      <c r="V54" s="104">
        <f t="shared" si="3"/>
        <v>1</v>
      </c>
      <c r="W54" s="105"/>
    </row>
    <row r="55" ht="13.5" customHeight="1">
      <c r="A55" s="137" t="s">
        <v>26</v>
      </c>
      <c r="B55" s="130" t="s">
        <v>29</v>
      </c>
      <c r="C55" s="120" t="s">
        <v>75</v>
      </c>
      <c r="D55" s="138"/>
      <c r="E55" s="120" t="s">
        <v>59</v>
      </c>
      <c r="F55" s="120" t="s">
        <v>77</v>
      </c>
      <c r="G55" s="103">
        <f>('Thurs (2)'!G55+Thurs!G55+'Tues '!G55+Wed!G55+Fri!G55+'Mon '!G55+'Wed (2)'!G55+Sun!G55+Sat!G55)</f>
        <v>3</v>
      </c>
      <c r="H55" s="103">
        <f>('Thurs (2)'!H55+Thurs!H55+'Tues '!H55+Wed!H55+Fri!H55+'Mon '!H55+'Wed (2)'!H55+Sun!H55+Sat!H55)</f>
        <v>2</v>
      </c>
      <c r="I55" s="103">
        <f>('Thurs (2)'!I55+Thurs!I55+'Tues '!I55+Wed!I55+Fri!I55+'Mon '!I55+'Wed (2)'!I55+Sun!I55+Sat!I55)</f>
        <v>0</v>
      </c>
      <c r="J55" s="103">
        <f>('Thurs (2)'!J55+Thurs!J55+'Tues '!J55+Wed!J55+Fri!J55+'Mon '!J55+'Wed (2)'!J55+Sun!J55+Sat!J55)</f>
        <v>3</v>
      </c>
      <c r="K55" s="103">
        <f>('Thurs (2)'!K55+Thurs!K55+'Tues '!K55+Wed!K55+Fri!K55+'Mon '!K55+'Wed (2)'!K55+Sun!K55+Sat!K55)</f>
        <v>1</v>
      </c>
      <c r="L55" s="103">
        <f>('Thurs (2)'!L55+Thurs!L55+'Tues '!L55+Wed!L55+Fri!L55+'Mon '!L55+'Wed (2)'!L55+Sun!L55+Sat!L55)</f>
        <v>0</v>
      </c>
      <c r="M55" s="103">
        <f>('Thurs (2)'!M55+Thurs!M55+'Tues '!M55+Wed!M55+Fri!M55+'Mon '!M55+'Wed (2)'!M55+Sun!M55+Sat!M55)</f>
        <v>16</v>
      </c>
      <c r="N55" s="103">
        <f>('Thurs (2)'!N55+Thurs!N55+'Tues '!N55+Wed!N55+Fri!N55+'Mon '!N55+'Wed (2)'!N55+Sun!N55+Sat!N55)</f>
        <v>1</v>
      </c>
      <c r="O55" s="103">
        <f>('Thurs (2)'!O55+Thurs!O55+'Tues '!O55+Wed!O55+Fri!O55+'Mon '!O55+'Wed (2)'!O55+Sun!O55+Sat!O55)</f>
        <v>0</v>
      </c>
      <c r="P55" s="103">
        <f>('Thurs (2)'!P55+Thurs!P55+'Tues '!P55+Wed!P55+Fri!P55+'Mon '!P55+'Wed (2)'!P55+Sun!P55+Sat!P55)</f>
        <v>0</v>
      </c>
      <c r="Q55" s="103">
        <f>('Thurs (2)'!Q55+Thurs!Q55+'Tues '!Q55+Wed!Q55+Fri!Q55+'Mon '!Q55+'Wed (2)'!Q55+Sun!Q55+Sat!Q55)</f>
        <v>0</v>
      </c>
      <c r="R55" s="103">
        <f>('Thurs (2)'!R55+Thurs!R55+'Tues '!R55+Wed!R55+Fri!R55+'Mon '!R55+'Wed (2)'!R55+Sun!R55+Sat!R55)</f>
        <v>2</v>
      </c>
      <c r="S55" s="103">
        <f>('Thurs (2)'!S55+Thurs!S55+'Tues '!S55+Wed!S55+Fri!S55+'Mon '!S55+'Wed (2)'!S55+Sun!S55+Sat!S55)</f>
        <v>1</v>
      </c>
      <c r="T55" s="103">
        <f>('Thurs (2)'!T55+Thurs!T55+'Tues '!T55+Wed!T55+Fri!T55+'Mon '!T55+'Wed (2)'!T55+Sun!T55+Sat!T55)</f>
        <v>0</v>
      </c>
      <c r="U55" s="104">
        <f t="shared" si="2"/>
        <v>0</v>
      </c>
      <c r="V55" s="104">
        <f t="shared" si="3"/>
        <v>0.6666666667</v>
      </c>
      <c r="W55" s="105"/>
    </row>
    <row r="56" ht="13.5" customHeight="1">
      <c r="A56" s="137" t="s">
        <v>26</v>
      </c>
      <c r="B56" s="130" t="s">
        <v>29</v>
      </c>
      <c r="C56" s="120" t="s">
        <v>75</v>
      </c>
      <c r="D56" s="138"/>
      <c r="E56" s="120" t="s">
        <v>59</v>
      </c>
      <c r="F56" s="120" t="s">
        <v>78</v>
      </c>
      <c r="G56" s="103">
        <f>('Thurs (2)'!G56+Thurs!G56+'Tues '!G56+Wed!G56+Fri!G56+'Mon '!G56+'Wed (2)'!G56+Sun!G56+Sat!G56)</f>
        <v>0</v>
      </c>
      <c r="H56" s="103">
        <f>('Thurs (2)'!H56+Thurs!H56+'Tues '!H56+Wed!H56+Fri!H56+'Mon '!H56+'Wed (2)'!H56+Sun!H56+Sat!H56)</f>
        <v>0</v>
      </c>
      <c r="I56" s="103">
        <f>('Thurs (2)'!I56+Thurs!I56+'Tues '!I56+Wed!I56+Fri!I56+'Mon '!I56+'Wed (2)'!I56+Sun!I56+Sat!I56)</f>
        <v>0</v>
      </c>
      <c r="J56" s="103">
        <f>('Thurs (2)'!J56+Thurs!J56+'Tues '!J56+Wed!J56+Fri!J56+'Mon '!J56+'Wed (2)'!J56+Sun!J56+Sat!J56)</f>
        <v>0</v>
      </c>
      <c r="K56" s="103">
        <f>('Thurs (2)'!K56+Thurs!K56+'Tues '!K56+Wed!K56+Fri!K56+'Mon '!K56+'Wed (2)'!K56+Sun!K56+Sat!K56)</f>
        <v>0</v>
      </c>
      <c r="L56" s="103">
        <f>('Thurs (2)'!L56+Thurs!L56+'Tues '!L56+Wed!L56+Fri!L56+'Mon '!L56+'Wed (2)'!L56+Sun!L56+Sat!L56)</f>
        <v>0</v>
      </c>
      <c r="M56" s="103">
        <f>('Thurs (2)'!M56+Thurs!M56+'Tues '!M56+Wed!M56+Fri!M56+'Mon '!M56+'Wed (2)'!M56+Sun!M56+Sat!M56)</f>
        <v>0</v>
      </c>
      <c r="N56" s="103">
        <f>('Thurs (2)'!N56+Thurs!N56+'Tues '!N56+Wed!N56+Fri!N56+'Mon '!N56+'Wed (2)'!N56+Sun!N56+Sat!N56)</f>
        <v>0</v>
      </c>
      <c r="O56" s="103">
        <f>('Thurs (2)'!O56+Thurs!O56+'Tues '!O56+Wed!O56+Fri!O56+'Mon '!O56+'Wed (2)'!O56+Sun!O56+Sat!O56)</f>
        <v>0</v>
      </c>
      <c r="P56" s="103">
        <f>('Thurs (2)'!P56+Thurs!P56+'Tues '!P56+Wed!P56+Fri!P56+'Mon '!P56+'Wed (2)'!P56+Sun!P56+Sat!P56)</f>
        <v>0</v>
      </c>
      <c r="Q56" s="103">
        <f>('Thurs (2)'!Q56+Thurs!Q56+'Tues '!Q56+Wed!Q56+Fri!Q56+'Mon '!Q56+'Wed (2)'!Q56+Sun!Q56+Sat!Q56)</f>
        <v>0</v>
      </c>
      <c r="R56" s="103">
        <f>('Thurs (2)'!R56+Thurs!R56+'Tues '!R56+Wed!R56+Fri!R56+'Mon '!R56+'Wed (2)'!R56+Sun!R56+Sat!R56)</f>
        <v>0</v>
      </c>
      <c r="S56" s="103">
        <f>('Thurs (2)'!S56+Thurs!S56+'Tues '!S56+Wed!S56+Fri!S56+'Mon '!S56+'Wed (2)'!S56+Sun!S56+Sat!S56)</f>
        <v>0</v>
      </c>
      <c r="T56" s="103">
        <f>('Thurs (2)'!T56+Thurs!T56+'Tues '!T56+Wed!T56+Fri!T56+'Mon '!T56+'Wed (2)'!T56+Sun!T56+Sat!T56)</f>
        <v>0</v>
      </c>
      <c r="U56" s="104">
        <f t="shared" si="2"/>
        <v>0</v>
      </c>
      <c r="V56" s="104">
        <f t="shared" si="3"/>
        <v>0</v>
      </c>
      <c r="W56" s="105"/>
    </row>
    <row r="57" ht="13.5" customHeight="1">
      <c r="A57" s="137" t="s">
        <v>26</v>
      </c>
      <c r="B57" s="130" t="s">
        <v>29</v>
      </c>
      <c r="C57" s="120" t="s">
        <v>75</v>
      </c>
      <c r="D57" s="138"/>
      <c r="E57" s="120" t="s">
        <v>59</v>
      </c>
      <c r="F57" s="120" t="s">
        <v>79</v>
      </c>
      <c r="G57" s="103">
        <f>('Thurs (2)'!G57+Thurs!G57+'Tues '!G57+Wed!G57+Fri!G57+'Mon '!G57+'Wed (2)'!G57+Sun!G57+Sat!G57)</f>
        <v>0</v>
      </c>
      <c r="H57" s="103">
        <f>('Thurs (2)'!H57+Thurs!H57+'Tues '!H57+Wed!H57+Fri!H57+'Mon '!H57+'Wed (2)'!H57+Sun!H57+Sat!H57)</f>
        <v>0</v>
      </c>
      <c r="I57" s="103">
        <f>('Thurs (2)'!I57+Thurs!I57+'Tues '!I57+Wed!I57+Fri!I57+'Mon '!I57+'Wed (2)'!I57+Sun!I57+Sat!I57)</f>
        <v>0</v>
      </c>
      <c r="J57" s="103">
        <f>('Thurs (2)'!J57+Thurs!J57+'Tues '!J57+Wed!J57+Fri!J57+'Mon '!J57+'Wed (2)'!J57+Sun!J57+Sat!J57)</f>
        <v>0</v>
      </c>
      <c r="K57" s="103">
        <f>('Thurs (2)'!K57+Thurs!K57+'Tues '!K57+Wed!K57+Fri!K57+'Mon '!K57+'Wed (2)'!K57+Sun!K57+Sat!K57)</f>
        <v>0</v>
      </c>
      <c r="L57" s="103">
        <f>('Thurs (2)'!L57+Thurs!L57+'Tues '!L57+Wed!L57+Fri!L57+'Mon '!L57+'Wed (2)'!L57+Sun!L57+Sat!L57)</f>
        <v>0</v>
      </c>
      <c r="M57" s="103">
        <f>('Thurs (2)'!M57+Thurs!M57+'Tues '!M57+Wed!M57+Fri!M57+'Mon '!M57+'Wed (2)'!M57+Sun!M57+Sat!M57)</f>
        <v>0</v>
      </c>
      <c r="N57" s="103">
        <f>('Thurs (2)'!N57+Thurs!N57+'Tues '!N57+Wed!N57+Fri!N57+'Mon '!N57+'Wed (2)'!N57+Sun!N57+Sat!N57)</f>
        <v>0</v>
      </c>
      <c r="O57" s="103">
        <f>('Thurs (2)'!O57+Thurs!O57+'Tues '!O57+Wed!O57+Fri!O57+'Mon '!O57+'Wed (2)'!O57+Sun!O57+Sat!O57)</f>
        <v>0</v>
      </c>
      <c r="P57" s="103">
        <f>('Thurs (2)'!P57+Thurs!P57+'Tues '!P57+Wed!P57+Fri!P57+'Mon '!P57+'Wed (2)'!P57+Sun!P57+Sat!P57)</f>
        <v>0</v>
      </c>
      <c r="Q57" s="103">
        <f>('Thurs (2)'!Q57+Thurs!Q57+'Tues '!Q57+Wed!Q57+Fri!Q57+'Mon '!Q57+'Wed (2)'!Q57+Sun!Q57+Sat!Q57)</f>
        <v>0</v>
      </c>
      <c r="R57" s="103">
        <f>('Thurs (2)'!R57+Thurs!R57+'Tues '!R57+Wed!R57+Fri!R57+'Mon '!R57+'Wed (2)'!R57+Sun!R57+Sat!R57)</f>
        <v>0</v>
      </c>
      <c r="S57" s="103">
        <f>('Thurs (2)'!S57+Thurs!S57+'Tues '!S57+Wed!S57+Fri!S57+'Mon '!S57+'Wed (2)'!S57+Sun!S57+Sat!S57)</f>
        <v>0</v>
      </c>
      <c r="T57" s="103">
        <f>('Thurs (2)'!T57+Thurs!T57+'Tues '!T57+Wed!T57+Fri!T57+'Mon '!T57+'Wed (2)'!T57+Sun!T57+Sat!T57)</f>
        <v>0</v>
      </c>
      <c r="U57" s="104">
        <f t="shared" si="2"/>
        <v>0</v>
      </c>
      <c r="V57" s="104">
        <f t="shared" si="3"/>
        <v>0</v>
      </c>
      <c r="W57" s="105"/>
    </row>
    <row r="58" ht="13.5" customHeight="1">
      <c r="A58" s="137" t="s">
        <v>26</v>
      </c>
      <c r="B58" s="130" t="s">
        <v>29</v>
      </c>
      <c r="C58" s="120" t="s">
        <v>75</v>
      </c>
      <c r="D58" s="138"/>
      <c r="E58" s="120" t="s">
        <v>80</v>
      </c>
      <c r="F58" s="120" t="s">
        <v>81</v>
      </c>
      <c r="G58" s="103">
        <f>('Thurs (2)'!G58+Thurs!G58+'Tues '!G58+Wed!G58+Fri!G58+'Mon '!G58+'Wed (2)'!G58+Sun!G58+Sat!G58)</f>
        <v>0</v>
      </c>
      <c r="H58" s="103">
        <f>('Thurs (2)'!H58+Thurs!H58+'Tues '!H58+Wed!H58+Fri!H58+'Mon '!H58+'Wed (2)'!H58+Sun!H58+Sat!H58)</f>
        <v>0</v>
      </c>
      <c r="I58" s="103">
        <f>('Thurs (2)'!I58+Thurs!I58+'Tues '!I58+Wed!I58+Fri!I58+'Mon '!I58+'Wed (2)'!I58+Sun!I58+Sat!I58)</f>
        <v>0</v>
      </c>
      <c r="J58" s="103">
        <f>('Thurs (2)'!J58+Thurs!J58+'Tues '!J58+Wed!J58+Fri!J58+'Mon '!J58+'Wed (2)'!J58+Sun!J58+Sat!J58)</f>
        <v>0</v>
      </c>
      <c r="K58" s="103">
        <f>('Thurs (2)'!K58+Thurs!K58+'Tues '!K58+Wed!K58+Fri!K58+'Mon '!K58+'Wed (2)'!K58+Sun!K58+Sat!K58)</f>
        <v>0</v>
      </c>
      <c r="L58" s="103">
        <f>('Thurs (2)'!L58+Thurs!L58+'Tues '!L58+Wed!L58+Fri!L58+'Mon '!L58+'Wed (2)'!L58+Sun!L58+Sat!L58)</f>
        <v>0</v>
      </c>
      <c r="M58" s="103">
        <f>('Thurs (2)'!M58+Thurs!M58+'Tues '!M58+Wed!M58+Fri!M58+'Mon '!M58+'Wed (2)'!M58+Sun!M58+Sat!M58)</f>
        <v>0</v>
      </c>
      <c r="N58" s="103">
        <f>('Thurs (2)'!N58+Thurs!N58+'Tues '!N58+Wed!N58+Fri!N58+'Mon '!N58+'Wed (2)'!N58+Sun!N58+Sat!N58)</f>
        <v>0</v>
      </c>
      <c r="O58" s="103">
        <f>('Thurs (2)'!O58+Thurs!O58+'Tues '!O58+Wed!O58+Fri!O58+'Mon '!O58+'Wed (2)'!O58+Sun!O58+Sat!O58)</f>
        <v>0</v>
      </c>
      <c r="P58" s="103">
        <f>('Thurs (2)'!P58+Thurs!P58+'Tues '!P58+Wed!P58+Fri!P58+'Mon '!P58+'Wed (2)'!P58+Sun!P58+Sat!P58)</f>
        <v>0</v>
      </c>
      <c r="Q58" s="103">
        <f>('Thurs (2)'!Q58+Thurs!Q58+'Tues '!Q58+Wed!Q58+Fri!Q58+'Mon '!Q58+'Wed (2)'!Q58+Sun!Q58+Sat!Q58)</f>
        <v>0</v>
      </c>
      <c r="R58" s="103">
        <f>('Thurs (2)'!R58+Thurs!R58+'Tues '!R58+Wed!R58+Fri!R58+'Mon '!R58+'Wed (2)'!R58+Sun!R58+Sat!R58)</f>
        <v>0</v>
      </c>
      <c r="S58" s="103">
        <f>('Thurs (2)'!S58+Thurs!S58+'Tues '!S58+Wed!S58+Fri!S58+'Mon '!S58+'Wed (2)'!S58+Sun!S58+Sat!S58)</f>
        <v>0</v>
      </c>
      <c r="T58" s="103">
        <f>('Thurs (2)'!T58+Thurs!T58+'Tues '!T58+Wed!T58+Fri!T58+'Mon '!T58+'Wed (2)'!T58+Sun!T58+Sat!T58)</f>
        <v>0</v>
      </c>
      <c r="U58" s="104">
        <f t="shared" si="2"/>
        <v>0</v>
      </c>
      <c r="V58" s="104">
        <f t="shared" si="3"/>
        <v>0</v>
      </c>
      <c r="W58" s="105"/>
    </row>
    <row r="59" ht="15.0" customHeight="1">
      <c r="A59" s="106" t="s">
        <v>26</v>
      </c>
      <c r="B59" s="107" t="s">
        <v>30</v>
      </c>
      <c r="C59" s="107"/>
      <c r="D59" s="109" t="s">
        <v>52</v>
      </c>
      <c r="E59" s="107" t="s">
        <v>82</v>
      </c>
      <c r="F59" s="107" t="s">
        <v>30</v>
      </c>
      <c r="G59" s="103">
        <f>('Thurs (2)'!G59+Thurs!G59+'Tues '!G59+Wed!G59+Fri!G59+'Mon '!G59+'Wed (2)'!G59+Sun!G59+Sat!G59)</f>
        <v>23</v>
      </c>
      <c r="H59" s="103">
        <f>('Thurs (2)'!H59+Thurs!H59+'Tues '!H59+Wed!H59+Fri!H59+'Mon '!H59+'Wed (2)'!H59+Sun!H59+Sat!H59)</f>
        <v>7</v>
      </c>
      <c r="I59" s="103">
        <f>('Thurs (2)'!I59+Thurs!I59+'Tues '!I59+Wed!I59+Fri!I59+'Mon '!I59+'Wed (2)'!I59+Sun!I59+Sat!I59)</f>
        <v>7</v>
      </c>
      <c r="J59" s="103">
        <f>('Thurs (2)'!J59+Thurs!J59+'Tues '!J59+Wed!J59+Fri!J59+'Mon '!J59+'Wed (2)'!J59+Sun!J59+Sat!J59)</f>
        <v>0</v>
      </c>
      <c r="K59" s="103">
        <f>('Thurs (2)'!K59+Thurs!K59+'Tues '!K59+Wed!K59+Fri!K59+'Mon '!K59+'Wed (2)'!K59+Sun!K59+Sat!K59)</f>
        <v>0</v>
      </c>
      <c r="L59" s="103">
        <f>('Thurs (2)'!L59+Thurs!L59+'Tues '!L59+Wed!L59+Fri!L59+'Mon '!L59+'Wed (2)'!L59+Sun!L59+Sat!L59)</f>
        <v>0</v>
      </c>
      <c r="M59" s="103">
        <f>('Thurs (2)'!M59+Thurs!M59+'Tues '!M59+Wed!M59+Fri!M59+'Mon '!M59+'Wed (2)'!M59+Sun!M59+Sat!M59)</f>
        <v>10</v>
      </c>
      <c r="N59" s="103">
        <f>('Thurs (2)'!N59+Thurs!N59+'Tues '!N59+Wed!N59+Fri!N59+'Mon '!N59+'Wed (2)'!N59+Sun!N59+Sat!N59)</f>
        <v>2</v>
      </c>
      <c r="O59" s="103">
        <f>('Thurs (2)'!O59+Thurs!O59+'Tues '!O59+Wed!O59+Fri!O59+'Mon '!O59+'Wed (2)'!O59+Sun!O59+Sat!O59)</f>
        <v>2</v>
      </c>
      <c r="P59" s="103">
        <f>('Thurs (2)'!P59+Thurs!P59+'Tues '!P59+Wed!P59+Fri!P59+'Mon '!P59+'Wed (2)'!P59+Sun!P59+Sat!P59)</f>
        <v>5</v>
      </c>
      <c r="Q59" s="103">
        <f>('Thurs (2)'!Q59+Thurs!Q59+'Tues '!Q59+Wed!Q59+Fri!Q59+'Mon '!Q59+'Wed (2)'!Q59+Sun!Q59+Sat!Q59)</f>
        <v>5</v>
      </c>
      <c r="R59" s="103">
        <f>('Thurs (2)'!R59+Thurs!R59+'Tues '!R59+Wed!R59+Fri!R59+'Mon '!R59+'Wed (2)'!R59+Sun!R59+Sat!R59)</f>
        <v>0</v>
      </c>
      <c r="S59" s="103">
        <f>('Thurs (2)'!S59+Thurs!S59+'Tues '!S59+Wed!S59+Fri!S59+'Mon '!S59+'Wed (2)'!S59+Sun!S59+Sat!S59)</f>
        <v>0</v>
      </c>
      <c r="T59" s="103">
        <f>('Thurs (2)'!T59+Thurs!T59+'Tues '!T59+Wed!T59+Fri!T59+'Mon '!T59+'Wed (2)'!T59+Sun!T59+Sat!T59)</f>
        <v>9398</v>
      </c>
      <c r="U59" s="104">
        <f t="shared" si="2"/>
        <v>1</v>
      </c>
      <c r="V59" s="104">
        <f t="shared" si="3"/>
        <v>0.3043478261</v>
      </c>
      <c r="W59" s="105"/>
    </row>
    <row r="60" ht="15.0" customHeight="1">
      <c r="A60" s="110" t="s">
        <v>26</v>
      </c>
      <c r="B60" s="111" t="s">
        <v>30</v>
      </c>
      <c r="C60" s="111" t="s">
        <v>83</v>
      </c>
      <c r="D60" s="111" t="s">
        <v>52</v>
      </c>
      <c r="E60" s="111" t="s">
        <v>82</v>
      </c>
      <c r="F60" s="111" t="s">
        <v>83</v>
      </c>
      <c r="G60" s="103">
        <f>('Thurs (2)'!G60+Thurs!G60+'Tues '!G60+Wed!G60+Fri!G60+'Mon '!G60+'Wed (2)'!G60+Sun!G60+Sat!G60)</f>
        <v>6</v>
      </c>
      <c r="H60" s="103">
        <f>('Thurs (2)'!H60+Thurs!H60+'Tues '!H60+Wed!H60+Fri!H60+'Mon '!H60+'Wed (2)'!H60+Sun!H60+Sat!H60)</f>
        <v>4</v>
      </c>
      <c r="I60" s="103">
        <f>('Thurs (2)'!I60+Thurs!I60+'Tues '!I60+Wed!I60+Fri!I60+'Mon '!I60+'Wed (2)'!I60+Sun!I60+Sat!I60)</f>
        <v>4</v>
      </c>
      <c r="J60" s="103">
        <f>('Thurs (2)'!J60+Thurs!J60+'Tues '!J60+Wed!J60+Fri!J60+'Mon '!J60+'Wed (2)'!J60+Sun!J60+Sat!J60)</f>
        <v>3</v>
      </c>
      <c r="K60" s="103">
        <f>('Thurs (2)'!K60+Thurs!K60+'Tues '!K60+Wed!K60+Fri!K60+'Mon '!K60+'Wed (2)'!K60+Sun!K60+Sat!K60)</f>
        <v>3</v>
      </c>
      <c r="L60" s="103">
        <f>('Thurs (2)'!L60+Thurs!L60+'Tues '!L60+Wed!L60+Fri!L60+'Mon '!L60+'Wed (2)'!L60+Sun!L60+Sat!L60)</f>
        <v>0</v>
      </c>
      <c r="M60" s="103">
        <f>('Thurs (2)'!M60+Thurs!M60+'Tues '!M60+Wed!M60+Fri!M60+'Mon '!M60+'Wed (2)'!M60+Sun!M60+Sat!M60)</f>
        <v>32</v>
      </c>
      <c r="N60" s="103">
        <f>('Thurs (2)'!N60+Thurs!N60+'Tues '!N60+Wed!N60+Fri!N60+'Mon '!N60+'Wed (2)'!N60+Sun!N60+Sat!N60)</f>
        <v>2</v>
      </c>
      <c r="O60" s="103">
        <f>('Thurs (2)'!O60+Thurs!O60+'Tues '!O60+Wed!O60+Fri!O60+'Mon '!O60+'Wed (2)'!O60+Sun!O60+Sat!O60)</f>
        <v>2</v>
      </c>
      <c r="P60" s="103">
        <f>('Thurs (2)'!P60+Thurs!P60+'Tues '!P60+Wed!P60+Fri!P60+'Mon '!P60+'Wed (2)'!P60+Sun!P60+Sat!P60)</f>
        <v>0</v>
      </c>
      <c r="Q60" s="103">
        <f>('Thurs (2)'!Q60+Thurs!Q60+'Tues '!Q60+Wed!Q60+Fri!Q60+'Mon '!Q60+'Wed (2)'!Q60+Sun!Q60+Sat!Q60)</f>
        <v>0</v>
      </c>
      <c r="R60" s="103">
        <f>('Thurs (2)'!R60+Thurs!R60+'Tues '!R60+Wed!R60+Fri!R60+'Mon '!R60+'Wed (2)'!R60+Sun!R60+Sat!R60)</f>
        <v>2</v>
      </c>
      <c r="S60" s="103">
        <f>('Thurs (2)'!S60+Thurs!S60+'Tues '!S60+Wed!S60+Fri!S60+'Mon '!S60+'Wed (2)'!S60+Sun!S60+Sat!S60)</f>
        <v>2</v>
      </c>
      <c r="T60" s="103">
        <f>('Thurs (2)'!T60+Thurs!T60+'Tues '!T60+Wed!T60+Fri!T60+'Mon '!T60+'Wed (2)'!T60+Sun!T60+Sat!T60)</f>
        <v>5990</v>
      </c>
      <c r="U60" s="104">
        <f t="shared" si="2"/>
        <v>1</v>
      </c>
      <c r="V60" s="104">
        <f t="shared" si="3"/>
        <v>0.6666666667</v>
      </c>
      <c r="W60" s="105"/>
    </row>
    <row r="61" ht="15.0" customHeight="1">
      <c r="A61" s="113" t="s">
        <v>26</v>
      </c>
      <c r="B61" s="114" t="s">
        <v>30</v>
      </c>
      <c r="C61" s="114" t="s">
        <v>83</v>
      </c>
      <c r="D61" s="139"/>
      <c r="E61" s="114" t="s">
        <v>82</v>
      </c>
      <c r="F61" s="114" t="s">
        <v>84</v>
      </c>
      <c r="G61" s="103">
        <f>('Thurs (2)'!G61+Thurs!G61+'Tues '!G61+Wed!G61+Fri!G61+'Mon '!G61+'Wed (2)'!G61+Sun!G61+Sat!G61)</f>
        <v>1</v>
      </c>
      <c r="H61" s="103">
        <f>('Thurs (2)'!H61+Thurs!H61+'Tues '!H61+Wed!H61+Fri!H61+'Mon '!H61+'Wed (2)'!H61+Sun!H61+Sat!H61)</f>
        <v>1</v>
      </c>
      <c r="I61" s="103">
        <f>('Thurs (2)'!I61+Thurs!I61+'Tues '!I61+Wed!I61+Fri!I61+'Mon '!I61+'Wed (2)'!I61+Sun!I61+Sat!I61)</f>
        <v>0</v>
      </c>
      <c r="J61" s="103">
        <f>('Thurs (2)'!J61+Thurs!J61+'Tues '!J61+Wed!J61+Fri!J61+'Mon '!J61+'Wed (2)'!J61+Sun!J61+Sat!J61)</f>
        <v>1</v>
      </c>
      <c r="K61" s="103">
        <f>('Thurs (2)'!K61+Thurs!K61+'Tues '!K61+Wed!K61+Fri!K61+'Mon '!K61+'Wed (2)'!K61+Sun!K61+Sat!K61)</f>
        <v>0</v>
      </c>
      <c r="L61" s="103">
        <f>('Thurs (2)'!L61+Thurs!L61+'Tues '!L61+Wed!L61+Fri!L61+'Mon '!L61+'Wed (2)'!L61+Sun!L61+Sat!L61)</f>
        <v>1</v>
      </c>
      <c r="M61" s="103">
        <f>('Thurs (2)'!M61+Thurs!M61+'Tues '!M61+Wed!M61+Fri!M61+'Mon '!M61+'Wed (2)'!M61+Sun!M61+Sat!M61)</f>
        <v>6</v>
      </c>
      <c r="N61" s="103">
        <f>('Thurs (2)'!N61+Thurs!N61+'Tues '!N61+Wed!N61+Fri!N61+'Mon '!N61+'Wed (2)'!N61+Sun!N61+Sat!N61)</f>
        <v>0</v>
      </c>
      <c r="O61" s="103">
        <f>('Thurs (2)'!O61+Thurs!O61+'Tues '!O61+Wed!O61+Fri!O61+'Mon '!O61+'Wed (2)'!O61+Sun!O61+Sat!O61)</f>
        <v>0</v>
      </c>
      <c r="P61" s="103">
        <f>('Thurs (2)'!P61+Thurs!P61+'Tues '!P61+Wed!P61+Fri!P61+'Mon '!P61+'Wed (2)'!P61+Sun!P61+Sat!P61)</f>
        <v>0</v>
      </c>
      <c r="Q61" s="103">
        <f>('Thurs (2)'!Q61+Thurs!Q61+'Tues '!Q61+Wed!Q61+Fri!Q61+'Mon '!Q61+'Wed (2)'!Q61+Sun!Q61+Sat!Q61)</f>
        <v>0</v>
      </c>
      <c r="R61" s="103">
        <f>('Thurs (2)'!R61+Thurs!R61+'Tues '!R61+Wed!R61+Fri!R61+'Mon '!R61+'Wed (2)'!R61+Sun!R61+Sat!R61)</f>
        <v>1</v>
      </c>
      <c r="S61" s="103">
        <f>('Thurs (2)'!S61+Thurs!S61+'Tues '!S61+Wed!S61+Fri!S61+'Mon '!S61+'Wed (2)'!S61+Sun!S61+Sat!S61)</f>
        <v>0</v>
      </c>
      <c r="T61" s="103">
        <f>('Thurs (2)'!T61+Thurs!T61+'Tues '!T61+Wed!T61+Fri!T61+'Mon '!T61+'Wed (2)'!T61+Sun!T61+Sat!T61)</f>
        <v>0</v>
      </c>
      <c r="U61" s="104">
        <f t="shared" si="2"/>
        <v>0</v>
      </c>
      <c r="V61" s="104">
        <f t="shared" si="3"/>
        <v>2</v>
      </c>
      <c r="W61" s="105"/>
    </row>
    <row r="62" ht="20.25" customHeight="1">
      <c r="A62" s="93" t="s">
        <v>36</v>
      </c>
      <c r="B62" s="94" t="s">
        <v>37</v>
      </c>
      <c r="C62" s="94" t="s">
        <v>38</v>
      </c>
      <c r="D62" s="95"/>
      <c r="E62" s="96" t="s">
        <v>39</v>
      </c>
      <c r="F62" s="94" t="s">
        <v>40</v>
      </c>
      <c r="G62" s="97" t="s">
        <v>41</v>
      </c>
      <c r="H62" s="97" t="s">
        <v>42</v>
      </c>
      <c r="I62" s="97" t="s">
        <v>43</v>
      </c>
      <c r="J62" s="97" t="s">
        <v>12</v>
      </c>
      <c r="K62" s="97" t="s">
        <v>44</v>
      </c>
      <c r="L62" s="97" t="s">
        <v>14</v>
      </c>
      <c r="M62" s="97" t="s">
        <v>9</v>
      </c>
      <c r="N62" s="97" t="s">
        <v>10</v>
      </c>
      <c r="O62" s="97" t="s">
        <v>45</v>
      </c>
      <c r="P62" s="97" t="s">
        <v>5</v>
      </c>
      <c r="Q62" s="97" t="s">
        <v>46</v>
      </c>
      <c r="R62" s="97" t="s">
        <v>47</v>
      </c>
      <c r="S62" s="97" t="s">
        <v>48</v>
      </c>
      <c r="T62" s="97" t="s">
        <v>0</v>
      </c>
      <c r="U62" s="96" t="s">
        <v>49</v>
      </c>
      <c r="V62" s="96" t="s">
        <v>50</v>
      </c>
      <c r="W62" s="98"/>
    </row>
    <row r="63" ht="12.75" customHeight="1">
      <c r="A63" s="140" t="s">
        <v>31</v>
      </c>
      <c r="B63" s="141"/>
      <c r="C63" s="141"/>
      <c r="D63" s="142" t="s">
        <v>52</v>
      </c>
      <c r="E63" s="102" t="s">
        <v>85</v>
      </c>
      <c r="F63" s="102" t="s">
        <v>31</v>
      </c>
      <c r="G63" s="103">
        <f>('Thurs (2)'!G63+Thurs!G63+'Tues '!G63+Wed!G63+Fri!G63+'Mon '!G63+'Wed (2)'!G63+Sun!G63+Sat!G63)</f>
        <v>0</v>
      </c>
      <c r="H63" s="103">
        <f>('Thurs (2)'!H63+Thurs!H63+'Tues '!H63+Wed!H63+Fri!H63+'Mon '!H63+'Wed (2)'!H63+Sun!H63+Sat!H63)</f>
        <v>0</v>
      </c>
      <c r="I63" s="103">
        <f>('Thurs (2)'!I63+Thurs!I63+'Tues '!I63+Wed!I63+Fri!I63+'Mon '!I63+'Wed (2)'!I63+Sun!I63+Sat!I63)</f>
        <v>0</v>
      </c>
      <c r="J63" s="103">
        <f>('Thurs (2)'!J63+Thurs!J63+'Tues '!J63+Wed!J63+Fri!J63+'Mon '!J63+'Wed (2)'!J63+Sun!J63+Sat!J63)</f>
        <v>0</v>
      </c>
      <c r="K63" s="103">
        <f>('Thurs (2)'!K63+Thurs!K63+'Tues '!K63+Wed!K63+Fri!K63+'Mon '!K63+'Wed (2)'!K63+Sun!K63+Sat!K63)</f>
        <v>0</v>
      </c>
      <c r="L63" s="103">
        <f>('Thurs (2)'!L63+Thurs!L63+'Tues '!L63+Wed!L63+Fri!L63+'Mon '!L63+'Wed (2)'!L63+Sun!L63+Sat!L63)</f>
        <v>0</v>
      </c>
      <c r="M63" s="103">
        <f>('Thurs (2)'!M63+Thurs!M63+'Tues '!M63+Wed!M63+Fri!M63+'Mon '!M63+'Wed (2)'!M63+Sun!M63+Sat!M63)</f>
        <v>0</v>
      </c>
      <c r="N63" s="103">
        <f>('Thurs (2)'!N63+Thurs!N63+'Tues '!N63+Wed!N63+Fri!N63+'Mon '!N63+'Wed (2)'!N63+Sun!N63+Sat!N63)</f>
        <v>0</v>
      </c>
      <c r="O63" s="103">
        <f>('Thurs (2)'!O63+Thurs!O63+'Tues '!O63+Wed!O63+Fri!O63+'Mon '!O63+'Wed (2)'!O63+Sun!O63+Sat!O63)</f>
        <v>0</v>
      </c>
      <c r="P63" s="103">
        <f>('Thurs (2)'!P63+Thurs!P63+'Tues '!P63+Wed!P63+Fri!P63+'Mon '!P63+'Wed (2)'!P63+Sun!P63+Sat!P63)</f>
        <v>0</v>
      </c>
      <c r="Q63" s="103">
        <f>('Thurs (2)'!Q63+Thurs!Q63+'Tues '!Q63+Wed!Q63+Fri!Q63+'Mon '!Q63+'Wed (2)'!Q63+Sun!Q63+Sat!Q63)</f>
        <v>0</v>
      </c>
      <c r="R63" s="103">
        <f>('Thurs (2)'!R63+Thurs!R63+'Tues '!R63+Wed!R63+Fri!R63+'Mon '!R63+'Wed (2)'!R63+Sun!R63+Sat!R63)</f>
        <v>0</v>
      </c>
      <c r="S63" s="103">
        <f>('Thurs (2)'!S63+Thurs!S63+'Tues '!S63+Wed!S63+Fri!S63+'Mon '!S63+'Wed (2)'!S63+Sun!S63+Sat!S63)</f>
        <v>0</v>
      </c>
      <c r="T63" s="103">
        <f>('Thurs (2)'!T63+Thurs!T63+'Tues '!T63+Wed!T63+Fri!T63+'Mon '!T63+'Wed (2)'!T63+Sun!T63+Sat!T63)</f>
        <v>0</v>
      </c>
      <c r="U63" s="104">
        <f t="shared" ref="U63:U67" si="4">IFERROR(I63/H63,0)</f>
        <v>0</v>
      </c>
      <c r="V63" s="104">
        <f t="shared" ref="V63:V67" si="5">IFERROR(SUM(H63+L63)/G63,0)</f>
        <v>0</v>
      </c>
      <c r="W63" s="105"/>
    </row>
    <row r="64" ht="12.75" customHeight="1">
      <c r="A64" s="143" t="s">
        <v>31</v>
      </c>
      <c r="B64" s="144"/>
      <c r="C64" s="127" t="s">
        <v>86</v>
      </c>
      <c r="D64" s="127" t="s">
        <v>52</v>
      </c>
      <c r="E64" s="127"/>
      <c r="F64" s="127" t="s">
        <v>86</v>
      </c>
      <c r="G64" s="103">
        <f>('Thurs (2)'!G64+Thurs!G64+'Tues '!G64+Wed!G64+Fri!G64+'Mon '!G64+'Wed (2)'!G64+Sun!G64+Sat!G64)</f>
        <v>10</v>
      </c>
      <c r="H64" s="103">
        <f>('Thurs (2)'!H64+Thurs!H64+'Tues '!H64+Wed!H64+Fri!H64+'Mon '!H64+'Wed (2)'!H64+Sun!H64+Sat!H64)</f>
        <v>2</v>
      </c>
      <c r="I64" s="103">
        <f>('Thurs (2)'!I64+Thurs!I64+'Tues '!I64+Wed!I64+Fri!I64+'Mon '!I64+'Wed (2)'!I64+Sun!I64+Sat!I64)</f>
        <v>1</v>
      </c>
      <c r="J64" s="103">
        <f>('Thurs (2)'!J64+Thurs!J64+'Tues '!J64+Wed!J64+Fri!J64+'Mon '!J64+'Wed (2)'!J64+Sun!J64+Sat!J64)</f>
        <v>1</v>
      </c>
      <c r="K64" s="103">
        <f>('Thurs (2)'!K64+Thurs!K64+'Tues '!K64+Wed!K64+Fri!K64+'Mon '!K64+'Wed (2)'!K64+Sun!K64+Sat!K64)</f>
        <v>0</v>
      </c>
      <c r="L64" s="103">
        <f>('Thurs (2)'!L64+Thurs!L64+'Tues '!L64+Wed!L64+Fri!L64+'Mon '!L64+'Wed (2)'!L64+Sun!L64+Sat!L64)</f>
        <v>0</v>
      </c>
      <c r="M64" s="103">
        <f>('Thurs (2)'!M64+Thurs!M64+'Tues '!M64+Wed!M64+Fri!M64+'Mon '!M64+'Wed (2)'!M64+Sun!M64+Sat!M64)</f>
        <v>13</v>
      </c>
      <c r="N64" s="103">
        <f>('Thurs (2)'!N64+Thurs!N64+'Tues '!N64+Wed!N64+Fri!N64+'Mon '!N64+'Wed (2)'!N64+Sun!N64+Sat!N64)</f>
        <v>1</v>
      </c>
      <c r="O64" s="103">
        <f>('Thurs (2)'!O64+Thurs!O64+'Tues '!O64+Wed!O64+Fri!O64+'Mon '!O64+'Wed (2)'!O64+Sun!O64+Sat!O64)</f>
        <v>0</v>
      </c>
      <c r="P64" s="103">
        <f>('Thurs (2)'!P64+Thurs!P64+'Tues '!P64+Wed!P64+Fri!P64+'Mon '!P64+'Wed (2)'!P64+Sun!P64+Sat!P64)</f>
        <v>0</v>
      </c>
      <c r="Q64" s="103">
        <f>('Thurs (2)'!Q64+Thurs!Q64+'Tues '!Q64+Wed!Q64+Fri!Q64+'Mon '!Q64+'Wed (2)'!Q64+Sun!Q64+Sat!Q64)</f>
        <v>0</v>
      </c>
      <c r="R64" s="103">
        <f>('Thurs (2)'!R64+Thurs!R64+'Tues '!R64+Wed!R64+Fri!R64+'Mon '!R64+'Wed (2)'!R64+Sun!R64+Sat!R64)</f>
        <v>1</v>
      </c>
      <c r="S64" s="103">
        <f>('Thurs (2)'!S64+Thurs!S64+'Tues '!S64+Wed!S64+Fri!S64+'Mon '!S64+'Wed (2)'!S64+Sun!S64+Sat!S64)</f>
        <v>1</v>
      </c>
      <c r="T64" s="103">
        <f>('Thurs (2)'!T64+Thurs!T64+'Tues '!T64+Wed!T64+Fri!T64+'Mon '!T64+'Wed (2)'!T64+Sun!T64+Sat!T64)</f>
        <v>1852</v>
      </c>
      <c r="U64" s="145">
        <f t="shared" si="4"/>
        <v>0.5</v>
      </c>
      <c r="V64" s="145">
        <f t="shared" si="5"/>
        <v>0.2</v>
      </c>
      <c r="W64" s="146"/>
    </row>
    <row r="65">
      <c r="A65" s="147" t="s">
        <v>31</v>
      </c>
      <c r="B65" s="148"/>
      <c r="C65" s="120" t="s">
        <v>86</v>
      </c>
      <c r="D65" s="117"/>
      <c r="E65" s="120"/>
      <c r="F65" s="120" t="s">
        <v>87</v>
      </c>
      <c r="G65" s="103">
        <f>('Thurs (2)'!G65+Thurs!G65+'Tues '!G65+Wed!G65+Fri!G65+'Mon '!G65+'Wed (2)'!G65+Sun!G65+Sat!G65)</f>
        <v>10</v>
      </c>
      <c r="H65" s="103">
        <f>('Thurs (2)'!H65+Thurs!H65+'Tues '!H65+Wed!H65+Fri!H65+'Mon '!H65+'Wed (2)'!H65+Sun!H65+Sat!H65)</f>
        <v>0</v>
      </c>
      <c r="I65" s="103">
        <f>('Thurs (2)'!I65+Thurs!I65+'Tues '!I65+Wed!I65+Fri!I65+'Mon '!I65+'Wed (2)'!I65+Sun!I65+Sat!I65)</f>
        <v>0</v>
      </c>
      <c r="J65" s="103">
        <f>('Thurs (2)'!J65+Thurs!J65+'Tues '!J65+Wed!J65+Fri!J65+'Mon '!J65+'Wed (2)'!J65+Sun!J65+Sat!J65)</f>
        <v>0</v>
      </c>
      <c r="K65" s="103">
        <f>('Thurs (2)'!K65+Thurs!K65+'Tues '!K65+Wed!K65+Fri!K65+'Mon '!K65+'Wed (2)'!K65+Sun!K65+Sat!K65)</f>
        <v>0</v>
      </c>
      <c r="L65" s="103">
        <f>('Thurs (2)'!L65+Thurs!L65+'Tues '!L65+Wed!L65+Fri!L65+'Mon '!L65+'Wed (2)'!L65+Sun!L65+Sat!L65)</f>
        <v>0</v>
      </c>
      <c r="M65" s="103">
        <f>('Thurs (2)'!M65+Thurs!M65+'Tues '!M65+Wed!M65+Fri!M65+'Mon '!M65+'Wed (2)'!M65+Sun!M65+Sat!M65)</f>
        <v>0</v>
      </c>
      <c r="N65" s="103">
        <f>('Thurs (2)'!N65+Thurs!N65+'Tues '!N65+Wed!N65+Fri!N65+'Mon '!N65+'Wed (2)'!N65+Sun!N65+Sat!N65)</f>
        <v>0</v>
      </c>
      <c r="O65" s="103">
        <f>('Thurs (2)'!O65+Thurs!O65+'Tues '!O65+Wed!O65+Fri!O65+'Mon '!O65+'Wed (2)'!O65+Sun!O65+Sat!O65)</f>
        <v>0</v>
      </c>
      <c r="P65" s="103">
        <f>('Thurs (2)'!P65+Thurs!P65+'Tues '!P65+Wed!P65+Fri!P65+'Mon '!P65+'Wed (2)'!P65+Sun!P65+Sat!P65)</f>
        <v>0</v>
      </c>
      <c r="Q65" s="103">
        <f>('Thurs (2)'!Q65+Thurs!Q65+'Tues '!Q65+Wed!Q65+Fri!Q65+'Mon '!Q65+'Wed (2)'!Q65+Sun!Q65+Sat!Q65)</f>
        <v>0</v>
      </c>
      <c r="R65" s="103">
        <f>('Thurs (2)'!R65+Thurs!R65+'Tues '!R65+Wed!R65+Fri!R65+'Mon '!R65+'Wed (2)'!R65+Sun!R65+Sat!R65)</f>
        <v>0</v>
      </c>
      <c r="S65" s="103">
        <f>('Thurs (2)'!S65+Thurs!S65+'Tues '!S65+Wed!S65+Fri!S65+'Mon '!S65+'Wed (2)'!S65+Sun!S65+Sat!S65)</f>
        <v>0</v>
      </c>
      <c r="T65" s="103">
        <f>('Thurs (2)'!T65+Thurs!T65+'Tues '!T65+Wed!T65+Fri!T65+'Mon '!T65+'Wed (2)'!T65+Sun!T65+Sat!T65)</f>
        <v>0</v>
      </c>
      <c r="U65" s="145">
        <f t="shared" si="4"/>
        <v>0</v>
      </c>
      <c r="V65" s="145">
        <f t="shared" si="5"/>
        <v>0</v>
      </c>
      <c r="W65" s="146"/>
    </row>
    <row r="66" ht="12.75" customHeight="1">
      <c r="A66" s="149" t="s">
        <v>31</v>
      </c>
      <c r="B66" s="150"/>
      <c r="C66" s="151" t="s">
        <v>88</v>
      </c>
      <c r="D66" s="151"/>
      <c r="E66" s="151"/>
      <c r="F66" s="151" t="s">
        <v>88</v>
      </c>
      <c r="G66" s="103">
        <f>('Thurs (2)'!G66+Thurs!G66+'Tues '!G66+Wed!G66+Fri!G66+'Mon '!G66+'Wed (2)'!G66+Sun!G66+Sat!G66)</f>
        <v>0</v>
      </c>
      <c r="H66" s="103">
        <f>('Thurs (2)'!H66+Thurs!H66+'Tues '!H66+Wed!H66+Fri!H66+'Mon '!H66+'Wed (2)'!H66+Sun!H66+Sat!H66)</f>
        <v>0</v>
      </c>
      <c r="I66" s="103">
        <f>('Thurs (2)'!I66+Thurs!I66+'Tues '!I66+Wed!I66+Fri!I66+'Mon '!I66+'Wed (2)'!I66+Sun!I66+Sat!I66)</f>
        <v>0</v>
      </c>
      <c r="J66" s="103">
        <f>('Thurs (2)'!J66+Thurs!J66+'Tues '!J66+Wed!J66+Fri!J66+'Mon '!J66+'Wed (2)'!J66+Sun!J66+Sat!J66)</f>
        <v>0</v>
      </c>
      <c r="K66" s="103">
        <f>('Thurs (2)'!K66+Thurs!K66+'Tues '!K66+Wed!K66+Fri!K66+'Mon '!K66+'Wed (2)'!K66+Sun!K66+Sat!K66)</f>
        <v>0</v>
      </c>
      <c r="L66" s="103">
        <f>('Thurs (2)'!L66+Thurs!L66+'Tues '!L66+Wed!L66+Fri!L66+'Mon '!L66+'Wed (2)'!L66+Sun!L66+Sat!L66)</f>
        <v>0</v>
      </c>
      <c r="M66" s="103">
        <f>('Thurs (2)'!M66+Thurs!M66+'Tues '!M66+Wed!M66+Fri!M66+'Mon '!M66+'Wed (2)'!M66+Sun!M66+Sat!M66)</f>
        <v>0</v>
      </c>
      <c r="N66" s="103">
        <f>('Thurs (2)'!N66+Thurs!N66+'Tues '!N66+Wed!N66+Fri!N66+'Mon '!N66+'Wed (2)'!N66+Sun!N66+Sat!N66)</f>
        <v>0</v>
      </c>
      <c r="O66" s="103">
        <f>('Thurs (2)'!O66+Thurs!O66+'Tues '!O66+Wed!O66+Fri!O66+'Mon '!O66+'Wed (2)'!O66+Sun!O66+Sat!O66)</f>
        <v>0</v>
      </c>
      <c r="P66" s="103">
        <f>('Thurs (2)'!P66+Thurs!P66+'Tues '!P66+Wed!P66+Fri!P66+'Mon '!P66+'Wed (2)'!P66+Sun!P66+Sat!P66)</f>
        <v>0</v>
      </c>
      <c r="Q66" s="103">
        <f>('Thurs (2)'!Q66+Thurs!Q66+'Tues '!Q66+Wed!Q66+Fri!Q66+'Mon '!Q66+'Wed (2)'!Q66+Sun!Q66+Sat!Q66)</f>
        <v>0</v>
      </c>
      <c r="R66" s="103">
        <f>('Thurs (2)'!R66+Thurs!R66+'Tues '!R66+Wed!R66+Fri!R66+'Mon '!R66+'Wed (2)'!R66+Sun!R66+Sat!R66)</f>
        <v>0</v>
      </c>
      <c r="S66" s="103">
        <f>('Thurs (2)'!S66+Thurs!S66+'Tues '!S66+Wed!S66+Fri!S66+'Mon '!S66+'Wed (2)'!S66+Sun!S66+Sat!S66)</f>
        <v>0</v>
      </c>
      <c r="T66" s="103">
        <f>('Thurs (2)'!T66+Thurs!T66+'Tues '!T66+Wed!T66+Fri!T66+'Mon '!T66+'Wed (2)'!T66+Sun!T66+Sat!T66)</f>
        <v>0</v>
      </c>
      <c r="U66" s="145">
        <f t="shared" si="4"/>
        <v>0</v>
      </c>
      <c r="V66" s="145">
        <f t="shared" si="5"/>
        <v>0</v>
      </c>
      <c r="W66" s="146"/>
    </row>
    <row r="67" ht="12.75" customHeight="1">
      <c r="A67" s="152" t="s">
        <v>31</v>
      </c>
      <c r="B67" s="153"/>
      <c r="C67" s="154" t="s">
        <v>88</v>
      </c>
      <c r="D67" s="151"/>
      <c r="E67" s="154" t="s">
        <v>89</v>
      </c>
      <c r="F67" s="154" t="s">
        <v>90</v>
      </c>
      <c r="G67" s="103">
        <f>('Thurs (2)'!G67+Thurs!G67+'Tues '!G67+Wed!G67+Fri!G67+'Mon '!G67+'Wed (2)'!G67+Sun!G67+Sat!G67)</f>
        <v>0</v>
      </c>
      <c r="H67" s="103">
        <f>('Thurs (2)'!H67+Thurs!H67+'Tues '!H67+Wed!H67+Fri!H67+'Mon '!H67+'Wed (2)'!H67+Sun!H67+Sat!H67)</f>
        <v>0</v>
      </c>
      <c r="I67" s="103">
        <f>('Thurs (2)'!I67+Thurs!I67+'Tues '!I67+Wed!I67+Fri!I67+'Mon '!I67+'Wed (2)'!I67+Sun!I67+Sat!I67)</f>
        <v>0</v>
      </c>
      <c r="J67" s="103">
        <f>('Thurs (2)'!J67+Thurs!J67+'Tues '!J67+Wed!J67+Fri!J67+'Mon '!J67+'Wed (2)'!J67+Sun!J67+Sat!J67)</f>
        <v>0</v>
      </c>
      <c r="K67" s="103">
        <f>('Thurs (2)'!K67+Thurs!K67+'Tues '!K67+Wed!K67+Fri!K67+'Mon '!K67+'Wed (2)'!K67+Sun!K67+Sat!K67)</f>
        <v>0</v>
      </c>
      <c r="L67" s="103">
        <f>('Thurs (2)'!L67+Thurs!L67+'Tues '!L67+Wed!L67+Fri!L67+'Mon '!L67+'Wed (2)'!L67+Sun!L67+Sat!L67)</f>
        <v>0</v>
      </c>
      <c r="M67" s="103">
        <f>('Thurs (2)'!M67+Thurs!M67+'Tues '!M67+Wed!M67+Fri!M67+'Mon '!M67+'Wed (2)'!M67+Sun!M67+Sat!M67)</f>
        <v>0</v>
      </c>
      <c r="N67" s="103">
        <f>('Thurs (2)'!N67+Thurs!N67+'Tues '!N67+Wed!N67+Fri!N67+'Mon '!N67+'Wed (2)'!N67+Sun!N67+Sat!N67)</f>
        <v>0</v>
      </c>
      <c r="O67" s="103">
        <f>('Thurs (2)'!O67+Thurs!O67+'Tues '!O67+Wed!O67+Fri!O67+'Mon '!O67+'Wed (2)'!O67+Sun!O67+Sat!O67)</f>
        <v>0</v>
      </c>
      <c r="P67" s="103">
        <f>('Thurs (2)'!P67+Thurs!P67+'Tues '!P67+Wed!P67+Fri!P67+'Mon '!P67+'Wed (2)'!P67+Sun!P67+Sat!P67)</f>
        <v>0</v>
      </c>
      <c r="Q67" s="103">
        <f>('Thurs (2)'!Q67+Thurs!Q67+'Tues '!Q67+Wed!Q67+Fri!Q67+'Mon '!Q67+'Wed (2)'!Q67+Sun!Q67+Sat!Q67)</f>
        <v>0</v>
      </c>
      <c r="R67" s="103">
        <f>('Thurs (2)'!R67+Thurs!R67+'Tues '!R67+Wed!R67+Fri!R67+'Mon '!R67+'Wed (2)'!R67+Sun!R67+Sat!R67)</f>
        <v>0</v>
      </c>
      <c r="S67" s="103">
        <f>('Thurs (2)'!S67+Thurs!S67+'Tues '!S67+Wed!S67+Fri!S67+'Mon '!S67+'Wed (2)'!S67+Sun!S67+Sat!S67)</f>
        <v>0</v>
      </c>
      <c r="T67" s="103">
        <f>('Thurs (2)'!T67+Thurs!T67+'Tues '!T67+Wed!T67+Fri!T67+'Mon '!T67+'Wed (2)'!T67+Sun!T67+Sat!T67)</f>
        <v>0</v>
      </c>
      <c r="U67" s="145">
        <f t="shared" si="4"/>
        <v>0</v>
      </c>
      <c r="V67" s="145">
        <f t="shared" si="5"/>
        <v>0</v>
      </c>
      <c r="W67" s="146"/>
    </row>
    <row r="68" ht="20.25" customHeight="1">
      <c r="A68" s="93" t="s">
        <v>36</v>
      </c>
      <c r="B68" s="94" t="s">
        <v>37</v>
      </c>
      <c r="C68" s="94" t="s">
        <v>38</v>
      </c>
      <c r="D68" s="95"/>
      <c r="E68" s="96" t="s">
        <v>39</v>
      </c>
      <c r="F68" s="94" t="s">
        <v>40</v>
      </c>
      <c r="G68" s="97" t="s">
        <v>41</v>
      </c>
      <c r="H68" s="97" t="s">
        <v>42</v>
      </c>
      <c r="I68" s="97" t="s">
        <v>43</v>
      </c>
      <c r="J68" s="97" t="s">
        <v>12</v>
      </c>
      <c r="K68" s="97" t="s">
        <v>44</v>
      </c>
      <c r="L68" s="97" t="s">
        <v>14</v>
      </c>
      <c r="M68" s="97" t="s">
        <v>9</v>
      </c>
      <c r="N68" s="97" t="s">
        <v>10</v>
      </c>
      <c r="O68" s="97" t="s">
        <v>45</v>
      </c>
      <c r="P68" s="97" t="s">
        <v>5</v>
      </c>
      <c r="Q68" s="97" t="s">
        <v>46</v>
      </c>
      <c r="R68" s="97" t="s">
        <v>47</v>
      </c>
      <c r="S68" s="97" t="s">
        <v>48</v>
      </c>
      <c r="T68" s="97" t="s">
        <v>0</v>
      </c>
      <c r="U68" s="96" t="s">
        <v>49</v>
      </c>
      <c r="V68" s="96" t="s">
        <v>50</v>
      </c>
      <c r="W68" s="98"/>
    </row>
    <row r="69" ht="13.5" customHeight="1">
      <c r="A69" s="155" t="s">
        <v>32</v>
      </c>
      <c r="B69" s="156"/>
      <c r="C69" s="157"/>
      <c r="D69" s="158" t="s">
        <v>52</v>
      </c>
      <c r="E69" s="156" t="s">
        <v>91</v>
      </c>
      <c r="F69" s="156" t="s">
        <v>32</v>
      </c>
      <c r="G69" s="103">
        <f>('Thurs (2)'!G69+Thurs!G69+'Tues '!G69+Wed!G69+Fri!G69+'Mon '!G69+'Wed (2)'!G69+Sun!G69+Sat!G69)</f>
        <v>8</v>
      </c>
      <c r="H69" s="103">
        <f>('Thurs (2)'!H69+Thurs!H69+'Tues '!H69+Wed!H69+Fri!H69+'Mon '!H69+'Wed (2)'!H69+Sun!H69+Sat!H69)</f>
        <v>7</v>
      </c>
      <c r="I69" s="103">
        <f>('Thurs (2)'!I69+Thurs!I69+'Tues '!I69+Wed!I69+Fri!I69+'Mon '!I69+'Wed (2)'!I69+Sun!I69+Sat!I69)</f>
        <v>6</v>
      </c>
      <c r="J69" s="103">
        <f>('Thurs (2)'!J69+Thurs!J69+'Tues '!J69+Wed!J69+Fri!J69+'Mon '!J69+'Wed (2)'!J69+Sun!J69+Sat!J69)</f>
        <v>7</v>
      </c>
      <c r="K69" s="103">
        <f>('Thurs (2)'!K69+Thurs!K69+'Tues '!K69+Wed!K69+Fri!K69+'Mon '!K69+'Wed (2)'!K69+Sun!K69+Sat!K69)</f>
        <v>6</v>
      </c>
      <c r="L69" s="103">
        <f>('Thurs (2)'!L69+Thurs!L69+'Tues '!L69+Wed!L69+Fri!L69+'Mon '!L69+'Wed (2)'!L69+Sun!L69+Sat!L69)</f>
        <v>0</v>
      </c>
      <c r="M69" s="103">
        <f>('Thurs (2)'!M69+Thurs!M69+'Tues '!M69+Wed!M69+Fri!M69+'Mon '!M69+'Wed (2)'!M69+Sun!M69+Sat!M69)</f>
        <v>25</v>
      </c>
      <c r="N69" s="103">
        <f>('Thurs (2)'!N69+Thurs!N69+'Tues '!N69+Wed!N69+Fri!N69+'Mon '!N69+'Wed (2)'!N69+Sun!N69+Sat!N69)</f>
        <v>7</v>
      </c>
      <c r="O69" s="103">
        <f>('Thurs (2)'!O69+Thurs!O69+'Tues '!O69+Wed!O69+Fri!O69+'Mon '!O69+'Wed (2)'!O69+Sun!O69+Sat!O69)</f>
        <v>7</v>
      </c>
      <c r="P69" s="103">
        <f>('Thurs (2)'!P69+Thurs!P69+'Tues '!P69+Wed!P69+Fri!P69+'Mon '!P69+'Wed (2)'!P69+Sun!P69+Sat!P69)</f>
        <v>0</v>
      </c>
      <c r="Q69" s="103">
        <f>('Thurs (2)'!Q69+Thurs!Q69+'Tues '!Q69+Wed!Q69+Fri!Q69+'Mon '!Q69+'Wed (2)'!Q69+Sun!Q69+Sat!Q69)</f>
        <v>0</v>
      </c>
      <c r="R69" s="103">
        <f>('Thurs (2)'!R69+Thurs!R69+'Tues '!R69+Wed!R69+Fri!R69+'Mon '!R69+'Wed (2)'!R69+Sun!R69+Sat!R69)</f>
        <v>0</v>
      </c>
      <c r="S69" s="103">
        <f>('Thurs (2)'!S69+Thurs!S69+'Tues '!S69+Wed!S69+Fri!S69+'Mon '!S69+'Wed (2)'!S69+Sun!S69+Sat!S69)</f>
        <v>0</v>
      </c>
      <c r="T69" s="103">
        <f>('Thurs (2)'!T69+Thurs!T69+'Tues '!T69+Wed!T69+Fri!T69+'Mon '!T69+'Wed (2)'!T69+Sun!T69+Sat!T69)</f>
        <v>13145</v>
      </c>
      <c r="U69" s="104">
        <f t="shared" ref="U69:U78" si="6">IFERROR(I69/H69,0)</f>
        <v>0.8571428571</v>
      </c>
      <c r="V69" s="104">
        <f t="shared" ref="V69:V78" si="7">IFERROR(SUM(H69+L69)/G69,0)</f>
        <v>0.875</v>
      </c>
      <c r="W69" s="105"/>
    </row>
    <row r="70" ht="13.5" customHeight="1">
      <c r="A70" s="114" t="s">
        <v>32</v>
      </c>
      <c r="B70" s="114"/>
      <c r="C70" s="159"/>
      <c r="D70" s="134"/>
      <c r="E70" s="114" t="s">
        <v>91</v>
      </c>
      <c r="F70" s="114" t="s">
        <v>92</v>
      </c>
      <c r="G70" s="103">
        <f>('Thurs (2)'!G70+Thurs!G70+'Tues '!G70+Wed!G70+Fri!G70+'Mon '!G70+'Wed (2)'!G70+Sun!G70+Sat!G70)</f>
        <v>0</v>
      </c>
      <c r="H70" s="103">
        <f>('Thurs (2)'!H70+Thurs!H70+'Tues '!H70+Wed!H70+Fri!H70+'Mon '!H70+'Wed (2)'!H70+Sun!H70+Sat!H70)</f>
        <v>0</v>
      </c>
      <c r="I70" s="103">
        <f>('Thurs (2)'!I70+Thurs!I70+'Tues '!I70+Wed!I70+Fri!I70+'Mon '!I70+'Wed (2)'!I70+Sun!I70+Sat!I70)</f>
        <v>0</v>
      </c>
      <c r="J70" s="103">
        <f>('Thurs (2)'!J70+Thurs!J70+'Tues '!J70+Wed!J70+Fri!J70+'Mon '!J70+'Wed (2)'!J70+Sun!J70+Sat!J70)</f>
        <v>0</v>
      </c>
      <c r="K70" s="103">
        <f>('Thurs (2)'!K70+Thurs!K70+'Tues '!K70+Wed!K70+Fri!K70+'Mon '!K70+'Wed (2)'!K70+Sun!K70+Sat!K70)</f>
        <v>0</v>
      </c>
      <c r="L70" s="103">
        <f>('Thurs (2)'!L70+Thurs!L70+'Tues '!L70+Wed!L70+Fri!L70+'Mon '!L70+'Wed (2)'!L70+Sun!L70+Sat!L70)</f>
        <v>0</v>
      </c>
      <c r="M70" s="103">
        <f>('Thurs (2)'!M70+Thurs!M70+'Tues '!M70+Wed!M70+Fri!M70+'Mon '!M70+'Wed (2)'!M70+Sun!M70+Sat!M70)</f>
        <v>0</v>
      </c>
      <c r="N70" s="103">
        <f>('Thurs (2)'!N70+Thurs!N70+'Tues '!N70+Wed!N70+Fri!N70+'Mon '!N70+'Wed (2)'!N70+Sun!N70+Sat!N70)</f>
        <v>0</v>
      </c>
      <c r="O70" s="103">
        <f>('Thurs (2)'!O70+Thurs!O70+'Tues '!O70+Wed!O70+Fri!O70+'Mon '!O70+'Wed (2)'!O70+Sun!O70+Sat!O70)</f>
        <v>0</v>
      </c>
      <c r="P70" s="103">
        <f>('Thurs (2)'!P70+Thurs!P70+'Tues '!P70+Wed!P70+Fri!P70+'Mon '!P70+'Wed (2)'!P70+Sun!P70+Sat!P70)</f>
        <v>0</v>
      </c>
      <c r="Q70" s="103">
        <f>('Thurs (2)'!Q70+Thurs!Q70+'Tues '!Q70+Wed!Q70+Fri!Q70+'Mon '!Q70+'Wed (2)'!Q70+Sun!Q70+Sat!Q70)</f>
        <v>0</v>
      </c>
      <c r="R70" s="103">
        <f>('Thurs (2)'!R70+Thurs!R70+'Tues '!R70+Wed!R70+Fri!R70+'Mon '!R70+'Wed (2)'!R70+Sun!R70+Sat!R70)</f>
        <v>0</v>
      </c>
      <c r="S70" s="103">
        <f>('Thurs (2)'!S70+Thurs!S70+'Tues '!S70+Wed!S70+Fri!S70+'Mon '!S70+'Wed (2)'!S70+Sun!S70+Sat!S70)</f>
        <v>0</v>
      </c>
      <c r="T70" s="103">
        <f>('Thurs (2)'!T70+Thurs!T70+'Tues '!T70+Wed!T70+Fri!T70+'Mon '!T70+'Wed (2)'!T70+Sun!T70+Sat!T70)</f>
        <v>0</v>
      </c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91</v>
      </c>
      <c r="F71" s="114" t="s">
        <v>93</v>
      </c>
      <c r="G71" s="103">
        <f>('Thurs (2)'!G71+Thurs!G71+'Tues '!G71+Wed!G71+Fri!G71+'Mon '!G71+'Wed (2)'!G71+Sun!G71+Sat!G71)</f>
        <v>0</v>
      </c>
      <c r="H71" s="103">
        <f>('Thurs (2)'!H71+Thurs!H71+'Tues '!H71+Wed!H71+Fri!H71+'Mon '!H71+'Wed (2)'!H71+Sun!H71+Sat!H71)</f>
        <v>0</v>
      </c>
      <c r="I71" s="103">
        <f>('Thurs (2)'!I71+Thurs!I71+'Tues '!I71+Wed!I71+Fri!I71+'Mon '!I71+'Wed (2)'!I71+Sun!I71+Sat!I71)</f>
        <v>0</v>
      </c>
      <c r="J71" s="103">
        <f>('Thurs (2)'!J71+Thurs!J71+'Tues '!J71+Wed!J71+Fri!J71+'Mon '!J71+'Wed (2)'!J71+Sun!J71+Sat!J71)</f>
        <v>0</v>
      </c>
      <c r="K71" s="103">
        <f>('Thurs (2)'!K71+Thurs!K71+'Tues '!K71+Wed!K71+Fri!K71+'Mon '!K71+'Wed (2)'!K71+Sun!K71+Sat!K71)</f>
        <v>0</v>
      </c>
      <c r="L71" s="103">
        <f>('Thurs (2)'!L71+Thurs!L71+'Tues '!L71+Wed!L71+Fri!L71+'Mon '!L71+'Wed (2)'!L71+Sun!L71+Sat!L71)</f>
        <v>0</v>
      </c>
      <c r="M71" s="103">
        <f>('Thurs (2)'!M71+Thurs!M71+'Tues '!M71+Wed!M71+Fri!M71+'Mon '!M71+'Wed (2)'!M71+Sun!M71+Sat!M71)</f>
        <v>0</v>
      </c>
      <c r="N71" s="103">
        <f>('Thurs (2)'!N71+Thurs!N71+'Tues '!N71+Wed!N71+Fri!N71+'Mon '!N71+'Wed (2)'!N71+Sun!N71+Sat!N71)</f>
        <v>0</v>
      </c>
      <c r="O71" s="103">
        <f>('Thurs (2)'!O71+Thurs!O71+'Tues '!O71+Wed!O71+Fri!O71+'Mon '!O71+'Wed (2)'!O71+Sun!O71+Sat!O71)</f>
        <v>0</v>
      </c>
      <c r="P71" s="103">
        <f>('Thurs (2)'!P71+Thurs!P71+'Tues '!P71+Wed!P71+Fri!P71+'Mon '!P71+'Wed (2)'!P71+Sun!P71+Sat!P71)</f>
        <v>0</v>
      </c>
      <c r="Q71" s="103">
        <f>('Thurs (2)'!Q71+Thurs!Q71+'Tues '!Q71+Wed!Q71+Fri!Q71+'Mon '!Q71+'Wed (2)'!Q71+Sun!Q71+Sat!Q71)</f>
        <v>0</v>
      </c>
      <c r="R71" s="103">
        <f>('Thurs (2)'!R71+Thurs!R71+'Tues '!R71+Wed!R71+Fri!R71+'Mon '!R71+'Wed (2)'!R71+Sun!R71+Sat!R71)</f>
        <v>0</v>
      </c>
      <c r="S71" s="103">
        <f>('Thurs (2)'!S71+Thurs!S71+'Tues '!S71+Wed!S71+Fri!S71+'Mon '!S71+'Wed (2)'!S71+Sun!S71+Sat!S71)</f>
        <v>0</v>
      </c>
      <c r="T71" s="103">
        <f>('Thurs (2)'!T71+Thurs!T71+'Tues '!T71+Wed!T71+Fri!T71+'Mon '!T71+'Wed (2)'!T71+Sun!T71+Sat!T71)</f>
        <v>0</v>
      </c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91</v>
      </c>
      <c r="F72" s="114" t="s">
        <v>94</v>
      </c>
      <c r="G72" s="103">
        <f>('Thurs (2)'!G72+Thurs!G72+'Tues '!G72+Wed!G72+Fri!G72+'Mon '!G72+'Wed (2)'!G72+Sun!G72+Sat!G72)</f>
        <v>0</v>
      </c>
      <c r="H72" s="103">
        <f>('Thurs (2)'!H72+Thurs!H72+'Tues '!H72+Wed!H72+Fri!H72+'Mon '!H72+'Wed (2)'!H72+Sun!H72+Sat!H72)</f>
        <v>0</v>
      </c>
      <c r="I72" s="103">
        <f>('Thurs (2)'!I72+Thurs!I72+'Tues '!I72+Wed!I72+Fri!I72+'Mon '!I72+'Wed (2)'!I72+Sun!I72+Sat!I72)</f>
        <v>0</v>
      </c>
      <c r="J72" s="103">
        <f>('Thurs (2)'!J72+Thurs!J72+'Tues '!J72+Wed!J72+Fri!J72+'Mon '!J72+'Wed (2)'!J72+Sun!J72+Sat!J72)</f>
        <v>0</v>
      </c>
      <c r="K72" s="103">
        <f>('Thurs (2)'!K72+Thurs!K72+'Tues '!K72+Wed!K72+Fri!K72+'Mon '!K72+'Wed (2)'!K72+Sun!K72+Sat!K72)</f>
        <v>0</v>
      </c>
      <c r="L72" s="103">
        <f>('Thurs (2)'!L72+Thurs!L72+'Tues '!L72+Wed!L72+Fri!L72+'Mon '!L72+'Wed (2)'!L72+Sun!L72+Sat!L72)</f>
        <v>0</v>
      </c>
      <c r="M72" s="103">
        <f>('Thurs (2)'!M72+Thurs!M72+'Tues '!M72+Wed!M72+Fri!M72+'Mon '!M72+'Wed (2)'!M72+Sun!M72+Sat!M72)</f>
        <v>0</v>
      </c>
      <c r="N72" s="103">
        <f>('Thurs (2)'!N72+Thurs!N72+'Tues '!N72+Wed!N72+Fri!N72+'Mon '!N72+'Wed (2)'!N72+Sun!N72+Sat!N72)</f>
        <v>0</v>
      </c>
      <c r="O72" s="103">
        <f>('Thurs (2)'!O72+Thurs!O72+'Tues '!O72+Wed!O72+Fri!O72+'Mon '!O72+'Wed (2)'!O72+Sun!O72+Sat!O72)</f>
        <v>0</v>
      </c>
      <c r="P72" s="103">
        <f>('Thurs (2)'!P72+Thurs!P72+'Tues '!P72+Wed!P72+Fri!P72+'Mon '!P72+'Wed (2)'!P72+Sun!P72+Sat!P72)</f>
        <v>0</v>
      </c>
      <c r="Q72" s="103">
        <f>('Thurs (2)'!Q72+Thurs!Q72+'Tues '!Q72+Wed!Q72+Fri!Q72+'Mon '!Q72+'Wed (2)'!Q72+Sun!Q72+Sat!Q72)</f>
        <v>0</v>
      </c>
      <c r="R72" s="103">
        <f>('Thurs (2)'!R72+Thurs!R72+'Tues '!R72+Wed!R72+Fri!R72+'Mon '!R72+'Wed (2)'!R72+Sun!R72+Sat!R72)</f>
        <v>0</v>
      </c>
      <c r="S72" s="103">
        <f>('Thurs (2)'!S72+Thurs!S72+'Tues '!S72+Wed!S72+Fri!S72+'Mon '!S72+'Wed (2)'!S72+Sun!S72+Sat!S72)</f>
        <v>0</v>
      </c>
      <c r="T72" s="103">
        <f>('Thurs (2)'!T72+Thurs!T72+'Tues '!T72+Wed!T72+Fri!T72+'Mon '!T72+'Wed (2)'!T72+Sun!T72+Sat!T72)</f>
        <v>0</v>
      </c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91</v>
      </c>
      <c r="F73" s="114" t="s">
        <v>95</v>
      </c>
      <c r="G73" s="103">
        <f>('Thurs (2)'!G73+Thurs!G73+'Tues '!G73+Wed!G73+Fri!G73+'Mon '!G73+'Wed (2)'!G73+Sun!G73+Sat!G73)</f>
        <v>0</v>
      </c>
      <c r="H73" s="103">
        <f>('Thurs (2)'!H73+Thurs!H73+'Tues '!H73+Wed!H73+Fri!H73+'Mon '!H73+'Wed (2)'!H73+Sun!H73+Sat!H73)</f>
        <v>0</v>
      </c>
      <c r="I73" s="103">
        <f>('Thurs (2)'!I73+Thurs!I73+'Tues '!I73+Wed!I73+Fri!I73+'Mon '!I73+'Wed (2)'!I73+Sun!I73+Sat!I73)</f>
        <v>0</v>
      </c>
      <c r="J73" s="103">
        <f>('Thurs (2)'!J73+Thurs!J73+'Tues '!J73+Wed!J73+Fri!J73+'Mon '!J73+'Wed (2)'!J73+Sun!J73+Sat!J73)</f>
        <v>0</v>
      </c>
      <c r="K73" s="103">
        <f>('Thurs (2)'!K73+Thurs!K73+'Tues '!K73+Wed!K73+Fri!K73+'Mon '!K73+'Wed (2)'!K73+Sun!K73+Sat!K73)</f>
        <v>0</v>
      </c>
      <c r="L73" s="103">
        <f>('Thurs (2)'!L73+Thurs!L73+'Tues '!L73+Wed!L73+Fri!L73+'Mon '!L73+'Wed (2)'!L73+Sun!L73+Sat!L73)</f>
        <v>0</v>
      </c>
      <c r="M73" s="103">
        <f>('Thurs (2)'!M73+Thurs!M73+'Tues '!M73+Wed!M73+Fri!M73+'Mon '!M73+'Wed (2)'!M73+Sun!M73+Sat!M73)</f>
        <v>0</v>
      </c>
      <c r="N73" s="103">
        <f>('Thurs (2)'!N73+Thurs!N73+'Tues '!N73+Wed!N73+Fri!N73+'Mon '!N73+'Wed (2)'!N73+Sun!N73+Sat!N73)</f>
        <v>0</v>
      </c>
      <c r="O73" s="103">
        <f>('Thurs (2)'!O73+Thurs!O73+'Tues '!O73+Wed!O73+Fri!O73+'Mon '!O73+'Wed (2)'!O73+Sun!O73+Sat!O73)</f>
        <v>0</v>
      </c>
      <c r="P73" s="103">
        <f>('Thurs (2)'!P73+Thurs!P73+'Tues '!P73+Wed!P73+Fri!P73+'Mon '!P73+'Wed (2)'!P73+Sun!P73+Sat!P73)</f>
        <v>0</v>
      </c>
      <c r="Q73" s="103">
        <f>('Thurs (2)'!Q73+Thurs!Q73+'Tues '!Q73+Wed!Q73+Fri!Q73+'Mon '!Q73+'Wed (2)'!Q73+Sun!Q73+Sat!Q73)</f>
        <v>0</v>
      </c>
      <c r="R73" s="103">
        <f>('Thurs (2)'!R73+Thurs!R73+'Tues '!R73+Wed!R73+Fri!R73+'Mon '!R73+'Wed (2)'!R73+Sun!R73+Sat!R73)</f>
        <v>0</v>
      </c>
      <c r="S73" s="103">
        <f>('Thurs (2)'!S73+Thurs!S73+'Tues '!S73+Wed!S73+Fri!S73+'Mon '!S73+'Wed (2)'!S73+Sun!S73+Sat!S73)</f>
        <v>0</v>
      </c>
      <c r="T73" s="103">
        <f>('Thurs (2)'!T73+Thurs!T73+'Tues '!T73+Wed!T73+Fri!T73+'Mon '!T73+'Wed (2)'!T73+Sun!T73+Sat!T73)</f>
        <v>0</v>
      </c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91</v>
      </c>
      <c r="F74" s="114" t="s">
        <v>96</v>
      </c>
      <c r="G74" s="103">
        <f>('Thurs (2)'!G74+Thurs!G74+'Tues '!G74+Wed!G74+Fri!G74+'Mon '!G74+'Wed (2)'!G74+Sun!G74+Sat!G74)</f>
        <v>1</v>
      </c>
      <c r="H74" s="103">
        <f>('Thurs (2)'!H74+Thurs!H74+'Tues '!H74+Wed!H74+Fri!H74+'Mon '!H74+'Wed (2)'!H74+Sun!H74+Sat!H74)</f>
        <v>0</v>
      </c>
      <c r="I74" s="103">
        <f>('Thurs (2)'!I74+Thurs!I74+'Tues '!I74+Wed!I74+Fri!I74+'Mon '!I74+'Wed (2)'!I74+Sun!I74+Sat!I74)</f>
        <v>1</v>
      </c>
      <c r="J74" s="103">
        <f>('Thurs (2)'!J74+Thurs!J74+'Tues '!J74+Wed!J74+Fri!J74+'Mon '!J74+'Wed (2)'!J74+Sun!J74+Sat!J74)</f>
        <v>0</v>
      </c>
      <c r="K74" s="103">
        <f>('Thurs (2)'!K74+Thurs!K74+'Tues '!K74+Wed!K74+Fri!K74+'Mon '!K74+'Wed (2)'!K74+Sun!K74+Sat!K74)</f>
        <v>1</v>
      </c>
      <c r="L74" s="103">
        <f>('Thurs (2)'!L74+Thurs!L74+'Tues '!L74+Wed!L74+Fri!L74+'Mon '!L74+'Wed (2)'!L74+Sun!L74+Sat!L74)</f>
        <v>1</v>
      </c>
      <c r="M74" s="103">
        <f>('Thurs (2)'!M74+Thurs!M74+'Tues '!M74+Wed!M74+Fri!M74+'Mon '!M74+'Wed (2)'!M74+Sun!M74+Sat!M74)</f>
        <v>4</v>
      </c>
      <c r="N74" s="103">
        <f>('Thurs (2)'!N74+Thurs!N74+'Tues '!N74+Wed!N74+Fri!N74+'Mon '!N74+'Wed (2)'!N74+Sun!N74+Sat!N74)</f>
        <v>0</v>
      </c>
      <c r="O74" s="103">
        <f>('Thurs (2)'!O74+Thurs!O74+'Tues '!O74+Wed!O74+Fri!O74+'Mon '!O74+'Wed (2)'!O74+Sun!O74+Sat!O74)</f>
        <v>0</v>
      </c>
      <c r="P74" s="103">
        <f>('Thurs (2)'!P74+Thurs!P74+'Tues '!P74+Wed!P74+Fri!P74+'Mon '!P74+'Wed (2)'!P74+Sun!P74+Sat!P74)</f>
        <v>0</v>
      </c>
      <c r="Q74" s="103">
        <f>('Thurs (2)'!Q74+Thurs!Q74+'Tues '!Q74+Wed!Q74+Fri!Q74+'Mon '!Q74+'Wed (2)'!Q74+Sun!Q74+Sat!Q74)</f>
        <v>0</v>
      </c>
      <c r="R74" s="103">
        <f>('Thurs (2)'!R74+Thurs!R74+'Tues '!R74+Wed!R74+Fri!R74+'Mon '!R74+'Wed (2)'!R74+Sun!R74+Sat!R74)</f>
        <v>0</v>
      </c>
      <c r="S74" s="103">
        <f>('Thurs (2)'!S74+Thurs!S74+'Tues '!S74+Wed!S74+Fri!S74+'Mon '!S74+'Wed (2)'!S74+Sun!S74+Sat!S74)</f>
        <v>0</v>
      </c>
      <c r="T74" s="103">
        <f>('Thurs (2)'!T74+Thurs!T74+'Tues '!T74+Wed!T74+Fri!T74+'Mon '!T74+'Wed (2)'!T74+Sun!T74+Sat!T74)</f>
        <v>0</v>
      </c>
      <c r="U74" s="104">
        <f t="shared" si="6"/>
        <v>0</v>
      </c>
      <c r="V74" s="104">
        <f t="shared" si="7"/>
        <v>1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91</v>
      </c>
      <c r="F75" s="114" t="s">
        <v>97</v>
      </c>
      <c r="G75" s="103">
        <f>('Thurs (2)'!G75+Thurs!G75+'Tues '!G75+Wed!G75+Fri!G75+'Mon '!G75+'Wed (2)'!G75+Sun!G75+Sat!G75)</f>
        <v>0</v>
      </c>
      <c r="H75" s="103">
        <f>('Thurs (2)'!H75+Thurs!H75+'Tues '!H75+Wed!H75+Fri!H75+'Mon '!H75+'Wed (2)'!H75+Sun!H75+Sat!H75)</f>
        <v>0</v>
      </c>
      <c r="I75" s="103">
        <f>('Thurs (2)'!I75+Thurs!I75+'Tues '!I75+Wed!I75+Fri!I75+'Mon '!I75+'Wed (2)'!I75+Sun!I75+Sat!I75)</f>
        <v>0</v>
      </c>
      <c r="J75" s="103">
        <f>('Thurs (2)'!J75+Thurs!J75+'Tues '!J75+Wed!J75+Fri!J75+'Mon '!J75+'Wed (2)'!J75+Sun!J75+Sat!J75)</f>
        <v>0</v>
      </c>
      <c r="K75" s="103">
        <f>('Thurs (2)'!K75+Thurs!K75+'Tues '!K75+Wed!K75+Fri!K75+'Mon '!K75+'Wed (2)'!K75+Sun!K75+Sat!K75)</f>
        <v>0</v>
      </c>
      <c r="L75" s="103">
        <f>('Thurs (2)'!L75+Thurs!L75+'Tues '!L75+Wed!L75+Fri!L75+'Mon '!L75+'Wed (2)'!L75+Sun!L75+Sat!L75)</f>
        <v>0</v>
      </c>
      <c r="M75" s="103">
        <f>('Thurs (2)'!M75+Thurs!M75+'Tues '!M75+Wed!M75+Fri!M75+'Mon '!M75+'Wed (2)'!M75+Sun!M75+Sat!M75)</f>
        <v>0</v>
      </c>
      <c r="N75" s="103">
        <f>('Thurs (2)'!N75+Thurs!N75+'Tues '!N75+Wed!N75+Fri!N75+'Mon '!N75+'Wed (2)'!N75+Sun!N75+Sat!N75)</f>
        <v>0</v>
      </c>
      <c r="O75" s="103">
        <f>('Thurs (2)'!O75+Thurs!O75+'Tues '!O75+Wed!O75+Fri!O75+'Mon '!O75+'Wed (2)'!O75+Sun!O75+Sat!O75)</f>
        <v>0</v>
      </c>
      <c r="P75" s="103">
        <f>('Thurs (2)'!P75+Thurs!P75+'Tues '!P75+Wed!P75+Fri!P75+'Mon '!P75+'Wed (2)'!P75+Sun!P75+Sat!P75)</f>
        <v>0</v>
      </c>
      <c r="Q75" s="103">
        <f>('Thurs (2)'!Q75+Thurs!Q75+'Tues '!Q75+Wed!Q75+Fri!Q75+'Mon '!Q75+'Wed (2)'!Q75+Sun!Q75+Sat!Q75)</f>
        <v>0</v>
      </c>
      <c r="R75" s="103">
        <f>('Thurs (2)'!R75+Thurs!R75+'Tues '!R75+Wed!R75+Fri!R75+'Mon '!R75+'Wed (2)'!R75+Sun!R75+Sat!R75)</f>
        <v>0</v>
      </c>
      <c r="S75" s="103">
        <f>('Thurs (2)'!S75+Thurs!S75+'Tues '!S75+Wed!S75+Fri!S75+'Mon '!S75+'Wed (2)'!S75+Sun!S75+Sat!S75)</f>
        <v>0</v>
      </c>
      <c r="T75" s="103">
        <f>('Thurs (2)'!T75+Thurs!T75+'Tues '!T75+Wed!T75+Fri!T75+'Mon '!T75+'Wed (2)'!T75+Sun!T75+Sat!T75)</f>
        <v>0</v>
      </c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91</v>
      </c>
      <c r="F76" s="114" t="s">
        <v>98</v>
      </c>
      <c r="G76" s="103">
        <f>('Thurs (2)'!G76+Thurs!G76+'Tues '!G76+Wed!G76+Fri!G76+'Mon '!G76+'Wed (2)'!G76+Sun!G76+Sat!G76)</f>
        <v>0</v>
      </c>
      <c r="H76" s="103">
        <f>('Thurs (2)'!H76+Thurs!H76+'Tues '!H76+Wed!H76+Fri!H76+'Mon '!H76+'Wed (2)'!H76+Sun!H76+Sat!H76)</f>
        <v>0</v>
      </c>
      <c r="I76" s="103">
        <f>('Thurs (2)'!I76+Thurs!I76+'Tues '!I76+Wed!I76+Fri!I76+'Mon '!I76+'Wed (2)'!I76+Sun!I76+Sat!I76)</f>
        <v>0</v>
      </c>
      <c r="J76" s="103">
        <f>('Thurs (2)'!J76+Thurs!J76+'Tues '!J76+Wed!J76+Fri!J76+'Mon '!J76+'Wed (2)'!J76+Sun!J76+Sat!J76)</f>
        <v>0</v>
      </c>
      <c r="K76" s="103">
        <f>('Thurs (2)'!K76+Thurs!K76+'Tues '!K76+Wed!K76+Fri!K76+'Mon '!K76+'Wed (2)'!K76+Sun!K76+Sat!K76)</f>
        <v>0</v>
      </c>
      <c r="L76" s="103">
        <f>('Thurs (2)'!L76+Thurs!L76+'Tues '!L76+Wed!L76+Fri!L76+'Mon '!L76+'Wed (2)'!L76+Sun!L76+Sat!L76)</f>
        <v>0</v>
      </c>
      <c r="M76" s="103">
        <f>('Thurs (2)'!M76+Thurs!M76+'Tues '!M76+Wed!M76+Fri!M76+'Mon '!M76+'Wed (2)'!M76+Sun!M76+Sat!M76)</f>
        <v>0</v>
      </c>
      <c r="N76" s="103">
        <f>('Thurs (2)'!N76+Thurs!N76+'Tues '!N76+Wed!N76+Fri!N76+'Mon '!N76+'Wed (2)'!N76+Sun!N76+Sat!N76)</f>
        <v>0</v>
      </c>
      <c r="O76" s="103">
        <f>('Thurs (2)'!O76+Thurs!O76+'Tues '!O76+Wed!O76+Fri!O76+'Mon '!O76+'Wed (2)'!O76+Sun!O76+Sat!O76)</f>
        <v>0</v>
      </c>
      <c r="P76" s="103">
        <f>('Thurs (2)'!P76+Thurs!P76+'Tues '!P76+Wed!P76+Fri!P76+'Mon '!P76+'Wed (2)'!P76+Sun!P76+Sat!P76)</f>
        <v>0</v>
      </c>
      <c r="Q76" s="103">
        <f>('Thurs (2)'!Q76+Thurs!Q76+'Tues '!Q76+Wed!Q76+Fri!Q76+'Mon '!Q76+'Wed (2)'!Q76+Sun!Q76+Sat!Q76)</f>
        <v>0</v>
      </c>
      <c r="R76" s="103">
        <f>('Thurs (2)'!R76+Thurs!R76+'Tues '!R76+Wed!R76+Fri!R76+'Mon '!R76+'Wed (2)'!R76+Sun!R76+Sat!R76)</f>
        <v>0</v>
      </c>
      <c r="S76" s="103">
        <f>('Thurs (2)'!S76+Thurs!S76+'Tues '!S76+Wed!S76+Fri!S76+'Mon '!S76+'Wed (2)'!S76+Sun!S76+Sat!S76)</f>
        <v>0</v>
      </c>
      <c r="T76" s="103">
        <f>('Thurs (2)'!T76+Thurs!T76+'Tues '!T76+Wed!T76+Fri!T76+'Mon '!T76+'Wed (2)'!T76+Sun!T76+Sat!T76)</f>
        <v>0</v>
      </c>
      <c r="U76" s="104">
        <f t="shared" si="6"/>
        <v>0</v>
      </c>
      <c r="V76" s="104">
        <f t="shared" si="7"/>
        <v>0</v>
      </c>
      <c r="W76" s="105"/>
    </row>
    <row r="77" ht="13.5" customHeight="1">
      <c r="A77" s="114" t="s">
        <v>32</v>
      </c>
      <c r="B77" s="114"/>
      <c r="C77" s="114"/>
      <c r="D77" s="160"/>
      <c r="E77" s="114" t="s">
        <v>91</v>
      </c>
      <c r="F77" s="114" t="s">
        <v>99</v>
      </c>
      <c r="G77" s="103">
        <f>('Thurs (2)'!G77+Thurs!G77+'Tues '!G77+Wed!G77+Fri!G77+'Mon '!G77+'Wed (2)'!G77+Sun!G77+Sat!G77)</f>
        <v>0</v>
      </c>
      <c r="H77" s="103">
        <f>('Thurs (2)'!H77+Thurs!H77+'Tues '!H77+Wed!H77+Fri!H77+'Mon '!H77+'Wed (2)'!H77+Sun!H77+Sat!H77)</f>
        <v>0</v>
      </c>
      <c r="I77" s="103">
        <f>('Thurs (2)'!I77+Thurs!I77+'Tues '!I77+Wed!I77+Fri!I77+'Mon '!I77+'Wed (2)'!I77+Sun!I77+Sat!I77)</f>
        <v>0</v>
      </c>
      <c r="J77" s="103">
        <f>('Thurs (2)'!J77+Thurs!J77+'Tues '!J77+Wed!J77+Fri!J77+'Mon '!J77+'Wed (2)'!J77+Sun!J77+Sat!J77)</f>
        <v>0</v>
      </c>
      <c r="K77" s="103">
        <f>('Thurs (2)'!K77+Thurs!K77+'Tues '!K77+Wed!K77+Fri!K77+'Mon '!K77+'Wed (2)'!K77+Sun!K77+Sat!K77)</f>
        <v>0</v>
      </c>
      <c r="L77" s="103">
        <f>('Thurs (2)'!L77+Thurs!L77+'Tues '!L77+Wed!L77+Fri!L77+'Mon '!L77+'Wed (2)'!L77+Sun!L77+Sat!L77)</f>
        <v>0</v>
      </c>
      <c r="M77" s="103">
        <f>('Thurs (2)'!M77+Thurs!M77+'Tues '!M77+Wed!M77+Fri!M77+'Mon '!M77+'Wed (2)'!M77+Sun!M77+Sat!M77)</f>
        <v>0</v>
      </c>
      <c r="N77" s="103">
        <f>('Thurs (2)'!N77+Thurs!N77+'Tues '!N77+Wed!N77+Fri!N77+'Mon '!N77+'Wed (2)'!N77+Sun!N77+Sat!N77)</f>
        <v>0</v>
      </c>
      <c r="O77" s="103">
        <f>('Thurs (2)'!O77+Thurs!O77+'Tues '!O77+Wed!O77+Fri!O77+'Mon '!O77+'Wed (2)'!O77+Sun!O77+Sat!O77)</f>
        <v>0</v>
      </c>
      <c r="P77" s="103">
        <f>('Thurs (2)'!P77+Thurs!P77+'Tues '!P77+Wed!P77+Fri!P77+'Mon '!P77+'Wed (2)'!P77+Sun!P77+Sat!P77)</f>
        <v>0</v>
      </c>
      <c r="Q77" s="103">
        <f>('Thurs (2)'!Q77+Thurs!Q77+'Tues '!Q77+Wed!Q77+Fri!Q77+'Mon '!Q77+'Wed (2)'!Q77+Sun!Q77+Sat!Q77)</f>
        <v>0</v>
      </c>
      <c r="R77" s="103">
        <f>('Thurs (2)'!R77+Thurs!R77+'Tues '!R77+Wed!R77+Fri!R77+'Mon '!R77+'Wed (2)'!R77+Sun!R77+Sat!R77)</f>
        <v>0</v>
      </c>
      <c r="S77" s="103">
        <f>('Thurs (2)'!S77+Thurs!S77+'Tues '!S77+Wed!S77+Fri!S77+'Mon '!S77+'Wed (2)'!S77+Sun!S77+Sat!S77)</f>
        <v>0</v>
      </c>
      <c r="T77" s="103">
        <f>('Thurs (2)'!T77+Thurs!T77+'Tues '!T77+Wed!T77+Fri!T77+'Mon '!T77+'Wed (2)'!T77+Sun!T77+Sat!T77)</f>
        <v>0</v>
      </c>
      <c r="U77" s="104">
        <f t="shared" si="6"/>
        <v>0</v>
      </c>
      <c r="V77" s="104">
        <f t="shared" si="7"/>
        <v>0</v>
      </c>
      <c r="W77" s="105"/>
    </row>
    <row r="78" ht="13.5" customHeight="1">
      <c r="A78" s="114" t="s">
        <v>32</v>
      </c>
      <c r="B78" s="114"/>
      <c r="C78" s="114"/>
      <c r="D78" s="160"/>
      <c r="E78" s="114" t="s">
        <v>91</v>
      </c>
      <c r="F78" s="114" t="s">
        <v>100</v>
      </c>
      <c r="G78" s="103">
        <f>('Thurs (2)'!G78+Thurs!G78+'Tues '!G78+Wed!G78+Fri!G78+'Mon '!G78+'Wed (2)'!G78+Sun!G78+Sat!G78)</f>
        <v>15</v>
      </c>
      <c r="H78" s="103">
        <f>('Thurs (2)'!H78+Thurs!H78+'Tues '!H78+Wed!H78+Fri!H78+'Mon '!H78+'Wed (2)'!H78+Sun!H78+Sat!H78)</f>
        <v>7</v>
      </c>
      <c r="I78" s="103">
        <f>('Thurs (2)'!I78+Thurs!I78+'Tues '!I78+Wed!I78+Fri!I78+'Mon '!I78+'Wed (2)'!I78+Sun!I78+Sat!I78)</f>
        <v>3</v>
      </c>
      <c r="J78" s="103">
        <f>('Thurs (2)'!J78+Thurs!J78+'Tues '!J78+Wed!J78+Fri!J78+'Mon '!J78+'Wed (2)'!J78+Sun!J78+Sat!J78)</f>
        <v>1</v>
      </c>
      <c r="K78" s="103">
        <f>('Thurs (2)'!K78+Thurs!K78+'Tues '!K78+Wed!K78+Fri!K78+'Mon '!K78+'Wed (2)'!K78+Sun!K78+Sat!K78)</f>
        <v>1</v>
      </c>
      <c r="L78" s="103">
        <f>('Thurs (2)'!L78+Thurs!L78+'Tues '!L78+Wed!L78+Fri!L78+'Mon '!L78+'Wed (2)'!L78+Sun!L78+Sat!L78)</f>
        <v>1</v>
      </c>
      <c r="M78" s="103">
        <f>('Thurs (2)'!M78+Thurs!M78+'Tues '!M78+Wed!M78+Fri!M78+'Mon '!M78+'Wed (2)'!M78+Sun!M78+Sat!M78)</f>
        <v>10</v>
      </c>
      <c r="N78" s="103">
        <f>('Thurs (2)'!N78+Thurs!N78+'Tues '!N78+Wed!N78+Fri!N78+'Mon '!N78+'Wed (2)'!N78+Sun!N78+Sat!N78)</f>
        <v>0</v>
      </c>
      <c r="O78" s="103">
        <f>('Thurs (2)'!O78+Thurs!O78+'Tues '!O78+Wed!O78+Fri!O78+'Mon '!O78+'Wed (2)'!O78+Sun!O78+Sat!O78)</f>
        <v>0</v>
      </c>
      <c r="P78" s="103">
        <f>('Thurs (2)'!P78+Thurs!P78+'Tues '!P78+Wed!P78+Fri!P78+'Mon '!P78+'Wed (2)'!P78+Sun!P78+Sat!P78)</f>
        <v>0</v>
      </c>
      <c r="Q78" s="103">
        <f>('Thurs (2)'!Q78+Thurs!Q78+'Tues '!Q78+Wed!Q78+Fri!Q78+'Mon '!Q78+'Wed (2)'!Q78+Sun!Q78+Sat!Q78)</f>
        <v>0</v>
      </c>
      <c r="R78" s="103">
        <f>('Thurs (2)'!R78+Thurs!R78+'Tues '!R78+Wed!R78+Fri!R78+'Mon '!R78+'Wed (2)'!R78+Sun!R78+Sat!R78)</f>
        <v>4</v>
      </c>
      <c r="S78" s="103">
        <f>('Thurs (2)'!S78+Thurs!S78+'Tues '!S78+Wed!S78+Fri!S78+'Mon '!S78+'Wed (2)'!S78+Sun!S78+Sat!S78)</f>
        <v>4</v>
      </c>
      <c r="T78" s="103">
        <f>('Thurs (2)'!T78+Thurs!T78+'Tues '!T78+Wed!T78+Fri!T78+'Mon '!T78+'Wed (2)'!T78+Sun!T78+Sat!T78)</f>
        <v>4244</v>
      </c>
      <c r="U78" s="104">
        <f t="shared" si="6"/>
        <v>0.4285714286</v>
      </c>
      <c r="V78" s="104">
        <f t="shared" si="7"/>
        <v>0.5333333333</v>
      </c>
      <c r="W78" s="105"/>
    </row>
    <row r="79" ht="20.25" customHeight="1">
      <c r="A79" s="93" t="s">
        <v>36</v>
      </c>
      <c r="B79" s="94" t="s">
        <v>37</v>
      </c>
      <c r="C79" s="94" t="s">
        <v>38</v>
      </c>
      <c r="D79" s="95"/>
      <c r="E79" s="96" t="s">
        <v>39</v>
      </c>
      <c r="F79" s="94" t="s">
        <v>40</v>
      </c>
      <c r="G79" s="97" t="s">
        <v>41</v>
      </c>
      <c r="H79" s="97" t="s">
        <v>42</v>
      </c>
      <c r="I79" s="97" t="s">
        <v>43</v>
      </c>
      <c r="J79" s="97" t="s">
        <v>12</v>
      </c>
      <c r="K79" s="97" t="s">
        <v>44</v>
      </c>
      <c r="L79" s="97" t="s">
        <v>14</v>
      </c>
      <c r="M79" s="97" t="s">
        <v>9</v>
      </c>
      <c r="N79" s="97" t="s">
        <v>10</v>
      </c>
      <c r="O79" s="97" t="s">
        <v>45</v>
      </c>
      <c r="P79" s="97" t="s">
        <v>5</v>
      </c>
      <c r="Q79" s="97" t="s">
        <v>46</v>
      </c>
      <c r="R79" s="97" t="s">
        <v>47</v>
      </c>
      <c r="S79" s="97" t="s">
        <v>48</v>
      </c>
      <c r="T79" s="97" t="s">
        <v>0</v>
      </c>
      <c r="U79" s="96" t="s">
        <v>49</v>
      </c>
      <c r="V79" s="96" t="s">
        <v>50</v>
      </c>
      <c r="W79" s="98"/>
    </row>
    <row r="80" ht="12.75" customHeight="1">
      <c r="A80" s="161" t="s">
        <v>33</v>
      </c>
      <c r="B80" s="161"/>
      <c r="C80" s="161"/>
      <c r="D80" s="162" t="s">
        <v>52</v>
      </c>
      <c r="E80" s="161" t="s">
        <v>101</v>
      </c>
      <c r="F80" s="161" t="s">
        <v>33</v>
      </c>
      <c r="G80" s="103">
        <f>('Thurs (2)'!G80+Thurs!G80+'Tues '!G80+Wed!G80+Fri!G80+'Mon '!G80+'Wed (2)'!G80+Sun!G80+Sat!G80)</f>
        <v>0</v>
      </c>
      <c r="H80" s="103">
        <f>('Thurs (2)'!H80+Thurs!H80+'Tues '!H80+Wed!H80+Fri!H80+'Mon '!H80+'Wed (2)'!H80+Sun!H80+Sat!H80)</f>
        <v>0</v>
      </c>
      <c r="I80" s="103">
        <f>('Thurs (2)'!I80+Thurs!I80+'Tues '!I80+Wed!I80+Fri!I80+'Mon '!I80+'Wed (2)'!I80+Sun!I80+Sat!I80)</f>
        <v>0</v>
      </c>
      <c r="J80" s="103">
        <f>('Thurs (2)'!J80+Thurs!J80+'Tues '!J80+Wed!J80+Fri!J80+'Mon '!J80+'Wed (2)'!J80+Sun!J80+Sat!J80)</f>
        <v>0</v>
      </c>
      <c r="K80" s="103">
        <f>('Thurs (2)'!K80+Thurs!K80+'Tues '!K80+Wed!K80+Fri!K80+'Mon '!K80+'Wed (2)'!K80+Sun!K80+Sat!K80)</f>
        <v>0</v>
      </c>
      <c r="L80" s="103">
        <f>('Thurs (2)'!L80+Thurs!L80+'Tues '!L80+Wed!L80+Fri!L80+'Mon '!L80+'Wed (2)'!L80+Sun!L80+Sat!L80)</f>
        <v>0</v>
      </c>
      <c r="M80" s="103">
        <f>('Thurs (2)'!M80+Thurs!M80+'Tues '!M80+Wed!M80+Fri!M80+'Mon '!M80+'Wed (2)'!M80+Sun!M80+Sat!M80)</f>
        <v>0</v>
      </c>
      <c r="N80" s="103">
        <f>('Thurs (2)'!N80+Thurs!N80+'Tues '!N80+Wed!N80+Fri!N80+'Mon '!N80+'Wed (2)'!N80+Sun!N80+Sat!N80)</f>
        <v>0</v>
      </c>
      <c r="O80" s="103">
        <f>('Thurs (2)'!O80+Thurs!O80+'Tues '!O80+Wed!O80+Fri!O80+'Mon '!O80+'Wed (2)'!O80+Sun!O80+Sat!O80)</f>
        <v>0</v>
      </c>
      <c r="P80" s="103">
        <f>('Thurs (2)'!P80+Thurs!P80+'Tues '!P80+Wed!P80+Fri!P80+'Mon '!P80+'Wed (2)'!P80+Sun!P80+Sat!P80)</f>
        <v>0</v>
      </c>
      <c r="Q80" s="103">
        <f>('Thurs (2)'!Q80+Thurs!Q80+'Tues '!Q80+Wed!Q80+Fri!Q80+'Mon '!Q80+'Wed (2)'!Q80+Sun!Q80+Sat!Q80)</f>
        <v>0</v>
      </c>
      <c r="R80" s="103">
        <f>('Thurs (2)'!R80+Thurs!R80+'Tues '!R80+Wed!R80+Fri!R80+'Mon '!R80+'Wed (2)'!R80+Sun!R80+Sat!R80)</f>
        <v>0</v>
      </c>
      <c r="S80" s="103">
        <f>('Thurs (2)'!S80+Thurs!S80+'Tues '!S80+Wed!S80+Fri!S80+'Mon '!S80+'Wed (2)'!S80+Sun!S80+Sat!S80)</f>
        <v>0</v>
      </c>
      <c r="T80" s="103">
        <f>('Thurs (2)'!T80+Thurs!T80+'Tues '!T80+Wed!T80+Fri!T80+'Mon '!T80+'Wed (2)'!T80+Sun!T80+Sat!T80)</f>
        <v>0</v>
      </c>
      <c r="U80" s="104">
        <f t="shared" ref="U80:U84" si="8">IFERROR(I80/H80,0)</f>
        <v>0</v>
      </c>
      <c r="V80" s="104">
        <f t="shared" ref="V80:V84" si="9">IFERROR(SUM(H80+L80)/G80,0)</f>
        <v>0</v>
      </c>
      <c r="W80" s="105"/>
    </row>
    <row r="81" ht="12.75" customHeight="1">
      <c r="A81" s="163" t="s">
        <v>33</v>
      </c>
      <c r="B81" s="164"/>
      <c r="C81" s="164"/>
      <c r="D81" s="101"/>
      <c r="E81" s="126" t="s">
        <v>76</v>
      </c>
      <c r="F81" s="126" t="s">
        <v>102</v>
      </c>
      <c r="G81" s="103">
        <f>('Thurs (2)'!G81+Thurs!G81+'Tues '!G81+Wed!G81+Fri!G81+'Mon '!G81+'Wed (2)'!G81+Sun!G81+Sat!G81)</f>
        <v>0</v>
      </c>
      <c r="H81" s="103">
        <f>('Thurs (2)'!H81+Thurs!H81+'Tues '!H81+Wed!H81+Fri!H81+'Mon '!H81+'Wed (2)'!H81+Sun!H81+Sat!H81)</f>
        <v>0</v>
      </c>
      <c r="I81" s="103">
        <f>('Thurs (2)'!I81+Thurs!I81+'Tues '!I81+Wed!I81+Fri!I81+'Mon '!I81+'Wed (2)'!I81+Sun!I81+Sat!I81)</f>
        <v>0</v>
      </c>
      <c r="J81" s="103">
        <f>('Thurs (2)'!J81+Thurs!J81+'Tues '!J81+Wed!J81+Fri!J81+'Mon '!J81+'Wed (2)'!J81+Sun!J81+Sat!J81)</f>
        <v>0</v>
      </c>
      <c r="K81" s="103">
        <f>('Thurs (2)'!K81+Thurs!K81+'Tues '!K81+Wed!K81+Fri!K81+'Mon '!K81+'Wed (2)'!K81+Sun!K81+Sat!K81)</f>
        <v>0</v>
      </c>
      <c r="L81" s="103">
        <f>('Thurs (2)'!L81+Thurs!L81+'Tues '!L81+Wed!L81+Fri!L81+'Mon '!L81+'Wed (2)'!L81+Sun!L81+Sat!L81)</f>
        <v>0</v>
      </c>
      <c r="M81" s="103">
        <f>('Thurs (2)'!M81+Thurs!M81+'Tues '!M81+Wed!M81+Fri!M81+'Mon '!M81+'Wed (2)'!M81+Sun!M81+Sat!M81)</f>
        <v>0</v>
      </c>
      <c r="N81" s="103">
        <f>('Thurs (2)'!N81+Thurs!N81+'Tues '!N81+Wed!N81+Fri!N81+'Mon '!N81+'Wed (2)'!N81+Sun!N81+Sat!N81)</f>
        <v>0</v>
      </c>
      <c r="O81" s="103">
        <f>('Thurs (2)'!O81+Thurs!O81+'Tues '!O81+Wed!O81+Fri!O81+'Mon '!O81+'Wed (2)'!O81+Sun!O81+Sat!O81)</f>
        <v>0</v>
      </c>
      <c r="P81" s="103">
        <f>('Thurs (2)'!P81+Thurs!P81+'Tues '!P81+Wed!P81+Fri!P81+'Mon '!P81+'Wed (2)'!P81+Sun!P81+Sat!P81)</f>
        <v>0</v>
      </c>
      <c r="Q81" s="103">
        <f>('Thurs (2)'!Q81+Thurs!Q81+'Tues '!Q81+Wed!Q81+Fri!Q81+'Mon '!Q81+'Wed (2)'!Q81+Sun!Q81+Sat!Q81)</f>
        <v>0</v>
      </c>
      <c r="R81" s="103">
        <f>('Thurs (2)'!R81+Thurs!R81+'Tues '!R81+Wed!R81+Fri!R81+'Mon '!R81+'Wed (2)'!R81+Sun!R81+Sat!R81)</f>
        <v>0</v>
      </c>
      <c r="S81" s="103">
        <f>('Thurs (2)'!S81+Thurs!S81+'Tues '!S81+Wed!S81+Fri!S81+'Mon '!S81+'Wed (2)'!S81+Sun!S81+Sat!S81)</f>
        <v>0</v>
      </c>
      <c r="T81" s="103">
        <f>('Thurs (2)'!T81+Thurs!T81+'Tues '!T81+Wed!T81+Fri!T81+'Mon '!T81+'Wed (2)'!T81+Sun!T81+Sat!T81)</f>
        <v>0</v>
      </c>
      <c r="U81" s="104">
        <f t="shared" si="8"/>
        <v>0</v>
      </c>
      <c r="V81" s="104">
        <f t="shared" si="9"/>
        <v>0</v>
      </c>
      <c r="W81" s="105"/>
    </row>
    <row r="82" ht="12.75" customHeight="1">
      <c r="A82" s="165" t="s">
        <v>33</v>
      </c>
      <c r="B82" s="165"/>
      <c r="C82" s="128" t="s">
        <v>103</v>
      </c>
      <c r="D82" s="129" t="s">
        <v>52</v>
      </c>
      <c r="E82" s="117" t="s">
        <v>59</v>
      </c>
      <c r="F82" s="128" t="s">
        <v>103</v>
      </c>
      <c r="G82" s="103">
        <f>('Thurs (2)'!G82+Thurs!G82+'Tues '!G82+Wed!G82+Fri!G82+'Mon '!G82+'Wed (2)'!G82+Sun!G82+Sat!G82)</f>
        <v>2</v>
      </c>
      <c r="H82" s="103">
        <f>('Thurs (2)'!H82+Thurs!H82+'Tues '!H82+Wed!H82+Fri!H82+'Mon '!H82+'Wed (2)'!H82+Sun!H82+Sat!H82)</f>
        <v>2</v>
      </c>
      <c r="I82" s="103">
        <f>('Thurs (2)'!I82+Thurs!I82+'Tues '!I82+Wed!I82+Fri!I82+'Mon '!I82+'Wed (2)'!I82+Sun!I82+Sat!I82)</f>
        <v>2</v>
      </c>
      <c r="J82" s="103">
        <f>('Thurs (2)'!J82+Thurs!J82+'Tues '!J82+Wed!J82+Fri!J82+'Mon '!J82+'Wed (2)'!J82+Sun!J82+Sat!J82)</f>
        <v>1</v>
      </c>
      <c r="K82" s="103">
        <f>('Thurs (2)'!K82+Thurs!K82+'Tues '!K82+Wed!K82+Fri!K82+'Mon '!K82+'Wed (2)'!K82+Sun!K82+Sat!K82)</f>
        <v>1</v>
      </c>
      <c r="L82" s="103">
        <f>('Thurs (2)'!L82+Thurs!L82+'Tues '!L82+Wed!L82+Fri!L82+'Mon '!L82+'Wed (2)'!L82+Sun!L82+Sat!L82)</f>
        <v>0</v>
      </c>
      <c r="M82" s="103">
        <f>('Thurs (2)'!M82+Thurs!M82+'Tues '!M82+Wed!M82+Fri!M82+'Mon '!M82+'Wed (2)'!M82+Sun!M82+Sat!M82)</f>
        <v>2</v>
      </c>
      <c r="N82" s="103">
        <f>('Thurs (2)'!N82+Thurs!N82+'Tues '!N82+Wed!N82+Fri!N82+'Mon '!N82+'Wed (2)'!N82+Sun!N82+Sat!N82)</f>
        <v>2</v>
      </c>
      <c r="O82" s="103">
        <f>('Thurs (2)'!O82+Thurs!O82+'Tues '!O82+Wed!O82+Fri!O82+'Mon '!O82+'Wed (2)'!O82+Sun!O82+Sat!O82)</f>
        <v>2</v>
      </c>
      <c r="P82" s="103">
        <f>('Thurs (2)'!P82+Thurs!P82+'Tues '!P82+Wed!P82+Fri!P82+'Mon '!P82+'Wed (2)'!P82+Sun!P82+Sat!P82)</f>
        <v>0</v>
      </c>
      <c r="Q82" s="103">
        <f>('Thurs (2)'!Q82+Thurs!Q82+'Tues '!Q82+Wed!Q82+Fri!Q82+'Mon '!Q82+'Wed (2)'!Q82+Sun!Q82+Sat!Q82)</f>
        <v>0</v>
      </c>
      <c r="R82" s="103">
        <f>('Thurs (2)'!R82+Thurs!R82+'Tues '!R82+Wed!R82+Fri!R82+'Mon '!R82+'Wed (2)'!R82+Sun!R82+Sat!R82)</f>
        <v>2</v>
      </c>
      <c r="S82" s="103">
        <f>('Thurs (2)'!S82+Thurs!S82+'Tues '!S82+Wed!S82+Fri!S82+'Mon '!S82+'Wed (2)'!S82+Sun!S82+Sat!S82)</f>
        <v>2</v>
      </c>
      <c r="T82" s="103">
        <f>('Thurs (2)'!T82+Thurs!T82+'Tues '!T82+Wed!T82+Fri!T82+'Mon '!T82+'Wed (2)'!T82+Sun!T82+Sat!T82)</f>
        <v>4714.04</v>
      </c>
      <c r="U82" s="104">
        <f t="shared" si="8"/>
        <v>1</v>
      </c>
      <c r="V82" s="104">
        <f t="shared" si="9"/>
        <v>1</v>
      </c>
      <c r="W82" s="105"/>
    </row>
    <row r="83" ht="12.75" customHeight="1">
      <c r="A83" s="161" t="s">
        <v>33</v>
      </c>
      <c r="B83" s="161"/>
      <c r="C83" s="111" t="s">
        <v>104</v>
      </c>
      <c r="D83" s="112" t="s">
        <v>52</v>
      </c>
      <c r="E83" s="111" t="s">
        <v>105</v>
      </c>
      <c r="F83" s="111" t="s">
        <v>104</v>
      </c>
      <c r="G83" s="103">
        <f>('Thurs (2)'!G83+Thurs!G83+'Tues '!G83+Wed!G83+Fri!G83+'Mon '!G83+'Wed (2)'!G83+Sun!G83+Sat!G83)</f>
        <v>0</v>
      </c>
      <c r="H83" s="103">
        <f>('Thurs (2)'!H83+Thurs!H83+'Tues '!H83+Wed!H83+Fri!H83+'Mon '!H83+'Wed (2)'!H83+Sun!H83+Sat!H83)</f>
        <v>0</v>
      </c>
      <c r="I83" s="103">
        <f>('Thurs (2)'!I83+Thurs!I83+'Tues '!I83+Wed!I83+Fri!I83+'Mon '!I83+'Wed (2)'!I83+Sun!I83+Sat!I83)</f>
        <v>0</v>
      </c>
      <c r="J83" s="103">
        <f>('Thurs (2)'!J83+Thurs!J83+'Tues '!J83+Wed!J83+Fri!J83+'Mon '!J83+'Wed (2)'!J83+Sun!J83+Sat!J83)</f>
        <v>0</v>
      </c>
      <c r="K83" s="103">
        <f>('Thurs (2)'!K83+Thurs!K83+'Tues '!K83+Wed!K83+Fri!K83+'Mon '!K83+'Wed (2)'!K83+Sun!K83+Sat!K83)</f>
        <v>0</v>
      </c>
      <c r="L83" s="103">
        <f>('Thurs (2)'!L83+Thurs!L83+'Tues '!L83+Wed!L83+Fri!L83+'Mon '!L83+'Wed (2)'!L83+Sun!L83+Sat!L83)</f>
        <v>0</v>
      </c>
      <c r="M83" s="103">
        <f>('Thurs (2)'!M83+Thurs!M83+'Tues '!M83+Wed!M83+Fri!M83+'Mon '!M83+'Wed (2)'!M83+Sun!M83+Sat!M83)</f>
        <v>0</v>
      </c>
      <c r="N83" s="103">
        <f>('Thurs (2)'!N83+Thurs!N83+'Tues '!N83+Wed!N83+Fri!N83+'Mon '!N83+'Wed (2)'!N83+Sun!N83+Sat!N83)</f>
        <v>0</v>
      </c>
      <c r="O83" s="103">
        <f>('Thurs (2)'!O83+Thurs!O83+'Tues '!O83+Wed!O83+Fri!O83+'Mon '!O83+'Wed (2)'!O83+Sun!O83+Sat!O83)</f>
        <v>0</v>
      </c>
      <c r="P83" s="103">
        <f>('Thurs (2)'!P83+Thurs!P83+'Tues '!P83+Wed!P83+Fri!P83+'Mon '!P83+'Wed (2)'!P83+Sun!P83+Sat!P83)</f>
        <v>0</v>
      </c>
      <c r="Q83" s="103">
        <f>('Thurs (2)'!Q83+Thurs!Q83+'Tues '!Q83+Wed!Q83+Fri!Q83+'Mon '!Q83+'Wed (2)'!Q83+Sun!Q83+Sat!Q83)</f>
        <v>0</v>
      </c>
      <c r="R83" s="103">
        <f>('Thurs (2)'!R83+Thurs!R83+'Tues '!R83+Wed!R83+Fri!R83+'Mon '!R83+'Wed (2)'!R83+Sun!R83+Sat!R83)</f>
        <v>0</v>
      </c>
      <c r="S83" s="103">
        <f>('Thurs (2)'!S83+Thurs!S83+'Tues '!S83+Wed!S83+Fri!S83+'Mon '!S83+'Wed (2)'!S83+Sun!S83+Sat!S83)</f>
        <v>0</v>
      </c>
      <c r="T83" s="103">
        <f>('Thurs (2)'!T83+Thurs!T83+'Tues '!T83+Wed!T83+Fri!T83+'Mon '!T83+'Wed (2)'!T83+Sun!T83+Sat!T83)</f>
        <v>0</v>
      </c>
      <c r="U83" s="104">
        <f t="shared" si="8"/>
        <v>0</v>
      </c>
      <c r="V83" s="104">
        <f t="shared" si="9"/>
        <v>0</v>
      </c>
      <c r="W83" s="105"/>
    </row>
    <row r="84" ht="12.75" customHeight="1">
      <c r="A84" s="163" t="s">
        <v>33</v>
      </c>
      <c r="B84" s="163"/>
      <c r="C84" s="114" t="s">
        <v>104</v>
      </c>
      <c r="D84" s="115"/>
      <c r="E84" s="114" t="s">
        <v>59</v>
      </c>
      <c r="F84" s="114" t="s">
        <v>106</v>
      </c>
      <c r="G84" s="103">
        <f>('Thurs (2)'!G84+Thurs!G84+'Tues '!G84+Wed!G84+Fri!G84+'Mon '!G84+'Wed (2)'!G84+Sun!G84+Sat!G84)</f>
        <v>1</v>
      </c>
      <c r="H84" s="103">
        <f>('Thurs (2)'!H84+Thurs!H84+'Tues '!H84+Wed!H84+Fri!H84+'Mon '!H84+'Wed (2)'!H84+Sun!H84+Sat!H84)</f>
        <v>1</v>
      </c>
      <c r="I84" s="103">
        <f>('Thurs (2)'!I84+Thurs!I84+'Tues '!I84+Wed!I84+Fri!I84+'Mon '!I84+'Wed (2)'!I84+Sun!I84+Sat!I84)</f>
        <v>0</v>
      </c>
      <c r="J84" s="103">
        <f>('Thurs (2)'!J84+Thurs!J84+'Tues '!J84+Wed!J84+Fri!J84+'Mon '!J84+'Wed (2)'!J84+Sun!J84+Sat!J84)</f>
        <v>0</v>
      </c>
      <c r="K84" s="103">
        <f>('Thurs (2)'!K84+Thurs!K84+'Tues '!K84+Wed!K84+Fri!K84+'Mon '!K84+'Wed (2)'!K84+Sun!K84+Sat!K84)</f>
        <v>0</v>
      </c>
      <c r="L84" s="103">
        <f>('Thurs (2)'!L84+Thurs!L84+'Tues '!L84+Wed!L84+Fri!L84+'Mon '!L84+'Wed (2)'!L84+Sun!L84+Sat!L84)</f>
        <v>1</v>
      </c>
      <c r="M84" s="103">
        <f>('Thurs (2)'!M84+Thurs!M84+'Tues '!M84+Wed!M84+Fri!M84+'Mon '!M84+'Wed (2)'!M84+Sun!M84+Sat!M84)</f>
        <v>0</v>
      </c>
      <c r="N84" s="103">
        <f>('Thurs (2)'!N84+Thurs!N84+'Tues '!N84+Wed!N84+Fri!N84+'Mon '!N84+'Wed (2)'!N84+Sun!N84+Sat!N84)</f>
        <v>0</v>
      </c>
      <c r="O84" s="103">
        <f>('Thurs (2)'!O84+Thurs!O84+'Tues '!O84+Wed!O84+Fri!O84+'Mon '!O84+'Wed (2)'!O84+Sun!O84+Sat!O84)</f>
        <v>0</v>
      </c>
      <c r="P84" s="103">
        <f>('Thurs (2)'!P84+Thurs!P84+'Tues '!P84+Wed!P84+Fri!P84+'Mon '!P84+'Wed (2)'!P84+Sun!P84+Sat!P84)</f>
        <v>0</v>
      </c>
      <c r="Q84" s="103">
        <f>('Thurs (2)'!Q84+Thurs!Q84+'Tues '!Q84+Wed!Q84+Fri!Q84+'Mon '!Q84+'Wed (2)'!Q84+Sun!Q84+Sat!Q84)</f>
        <v>0</v>
      </c>
      <c r="R84" s="103">
        <f>('Thurs (2)'!R84+Thurs!R84+'Tues '!R84+Wed!R84+Fri!R84+'Mon '!R84+'Wed (2)'!R84+Sun!R84+Sat!R84)</f>
        <v>1</v>
      </c>
      <c r="S84" s="103">
        <f>('Thurs (2)'!S84+Thurs!S84+'Tues '!S84+Wed!S84+Fri!S84+'Mon '!S84+'Wed (2)'!S84+Sun!S84+Sat!S84)</f>
        <v>0</v>
      </c>
      <c r="T84" s="103">
        <f>('Thurs (2)'!T84+Thurs!T84+'Tues '!T84+Wed!T84+Fri!T84+'Mon '!T84+'Wed (2)'!T84+Sun!T84+Sat!T84)</f>
        <v>0</v>
      </c>
      <c r="U84" s="104">
        <f t="shared" si="8"/>
        <v>0</v>
      </c>
      <c r="V84" s="104">
        <f t="shared" si="9"/>
        <v>2</v>
      </c>
      <c r="W84" s="105"/>
    </row>
    <row r="85" ht="20.25" customHeight="1">
      <c r="A85" s="93" t="s">
        <v>36</v>
      </c>
      <c r="B85" s="94" t="s">
        <v>37</v>
      </c>
      <c r="C85" s="94" t="s">
        <v>38</v>
      </c>
      <c r="D85" s="95"/>
      <c r="E85" s="96" t="s">
        <v>39</v>
      </c>
      <c r="F85" s="94" t="s">
        <v>40</v>
      </c>
      <c r="G85" s="97" t="s">
        <v>41</v>
      </c>
      <c r="H85" s="97" t="s">
        <v>42</v>
      </c>
      <c r="I85" s="97" t="s">
        <v>43</v>
      </c>
      <c r="J85" s="97" t="s">
        <v>12</v>
      </c>
      <c r="K85" s="97" t="s">
        <v>44</v>
      </c>
      <c r="L85" s="97" t="s">
        <v>14</v>
      </c>
      <c r="M85" s="97" t="s">
        <v>9</v>
      </c>
      <c r="N85" s="97" t="s">
        <v>10</v>
      </c>
      <c r="O85" s="97" t="s">
        <v>45</v>
      </c>
      <c r="P85" s="97" t="s">
        <v>5</v>
      </c>
      <c r="Q85" s="97" t="s">
        <v>46</v>
      </c>
      <c r="R85" s="97" t="s">
        <v>47</v>
      </c>
      <c r="S85" s="97" t="s">
        <v>48</v>
      </c>
      <c r="T85" s="97" t="s">
        <v>0</v>
      </c>
      <c r="U85" s="96" t="s">
        <v>49</v>
      </c>
      <c r="V85" s="96" t="s">
        <v>50</v>
      </c>
      <c r="W85" s="98"/>
    </row>
    <row r="86" ht="13.5" customHeight="1">
      <c r="A86" s="166" t="s">
        <v>34</v>
      </c>
      <c r="B86" s="167"/>
      <c r="C86" s="167"/>
      <c r="D86" s="166" t="s">
        <v>52</v>
      </c>
      <c r="E86" s="166" t="s">
        <v>58</v>
      </c>
      <c r="F86" s="166" t="s">
        <v>34</v>
      </c>
      <c r="G86" s="103">
        <f>('Thurs (2)'!G86+Thurs!G86+'Tues '!G86+Wed!G86+Fri!G86+'Mon '!G86+'Wed (2)'!G86+Sun!G86+Sat!G86)</f>
        <v>0</v>
      </c>
      <c r="H86" s="103">
        <f>('Thurs (2)'!H86+Thurs!H86+'Tues '!H86+Wed!H86+Fri!H86+'Mon '!H86+'Wed (2)'!H86+Sun!H86+Sat!H86)</f>
        <v>0</v>
      </c>
      <c r="I86" s="103">
        <f>('Thurs (2)'!I86+Thurs!I86+'Tues '!I86+Wed!I86+Fri!I86+'Mon '!I86+'Wed (2)'!I86+Sun!I86+Sat!I86)</f>
        <v>0</v>
      </c>
      <c r="J86" s="103">
        <f>('Thurs (2)'!J86+Thurs!J86+'Tues '!J86+Wed!J86+Fri!J86+'Mon '!J86+'Wed (2)'!J86+Sun!J86+Sat!J86)</f>
        <v>0</v>
      </c>
      <c r="K86" s="103">
        <f>('Thurs (2)'!K86+Thurs!K86+'Tues '!K86+Wed!K86+Fri!K86+'Mon '!K86+'Wed (2)'!K86+Sun!K86+Sat!K86)</f>
        <v>0</v>
      </c>
      <c r="L86" s="103">
        <f>('Thurs (2)'!L86+Thurs!L86+'Tues '!L86+Wed!L86+Fri!L86+'Mon '!L86+'Wed (2)'!L86+Sun!L86+Sat!L86)</f>
        <v>0</v>
      </c>
      <c r="M86" s="103">
        <f>('Thurs (2)'!M86+Thurs!M86+'Tues '!M86+Wed!M86+Fri!M86+'Mon '!M86+'Wed (2)'!M86+Sun!M86+Sat!M86)</f>
        <v>0</v>
      </c>
      <c r="N86" s="103">
        <f>('Thurs (2)'!N86+Thurs!N86+'Tues '!N86+Wed!N86+Fri!N86+'Mon '!N86+'Wed (2)'!N86+Sun!N86+Sat!N86)</f>
        <v>0</v>
      </c>
      <c r="O86" s="103">
        <f>('Thurs (2)'!O86+Thurs!O86+'Tues '!O86+Wed!O86+Fri!O86+'Mon '!O86+'Wed (2)'!O86+Sun!O86+Sat!O86)</f>
        <v>0</v>
      </c>
      <c r="P86" s="103">
        <f>('Thurs (2)'!P86+Thurs!P86+'Tues '!P86+Wed!P86+Fri!P86+'Mon '!P86+'Wed (2)'!P86+Sun!P86+Sat!P86)</f>
        <v>0</v>
      </c>
      <c r="Q86" s="103">
        <f>('Thurs (2)'!Q86+Thurs!Q86+'Tues '!Q86+Wed!Q86+Fri!Q86+'Mon '!Q86+'Wed (2)'!Q86+Sun!Q86+Sat!Q86)</f>
        <v>0</v>
      </c>
      <c r="R86" s="103">
        <f>('Thurs (2)'!R86+Thurs!R86+'Tues '!R86+Wed!R86+Fri!R86+'Mon '!R86+'Wed (2)'!R86+Sun!R86+Sat!R86)</f>
        <v>0</v>
      </c>
      <c r="S86" s="103">
        <f>('Thurs (2)'!S86+Thurs!S86+'Tues '!S86+Wed!S86+Fri!S86+'Mon '!S86+'Wed (2)'!S86+Sun!S86+Sat!S86)</f>
        <v>0</v>
      </c>
      <c r="T86" s="103">
        <f>('Thurs (2)'!T86+Thurs!T86+'Tues '!T86+Wed!T86+Fri!T86+'Mon '!T86+'Wed (2)'!T86+Sun!T86+Sat!T86)</f>
        <v>0</v>
      </c>
      <c r="U86" s="104">
        <f t="shared" ref="U86:U102" si="10">IFERROR(I86/H86,0)</f>
        <v>0</v>
      </c>
      <c r="V86" s="104">
        <f t="shared" ref="V86:V102" si="11">IFERROR(SUM(H86+L86)/G86,0)</f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59</v>
      </c>
      <c r="F87" s="168" t="s">
        <v>107</v>
      </c>
      <c r="G87" s="103">
        <f>('Thurs (2)'!G87+Thurs!G87+'Tues '!G87+Wed!G87+Fri!G87+'Mon '!G87+'Wed (2)'!G87+Sun!G87+Sat!G87)</f>
        <v>11</v>
      </c>
      <c r="H87" s="103">
        <f>('Thurs (2)'!H87+Thurs!H87+'Tues '!H87+Wed!H87+Fri!H87+'Mon '!H87+'Wed (2)'!H87+Sun!H87+Sat!H87)</f>
        <v>11</v>
      </c>
      <c r="I87" s="103">
        <f>('Thurs (2)'!I87+Thurs!I87+'Tues '!I87+Wed!I87+Fri!I87+'Mon '!I87+'Wed (2)'!I87+Sun!I87+Sat!I87)</f>
        <v>6</v>
      </c>
      <c r="J87" s="103">
        <f>('Thurs (2)'!J87+Thurs!J87+'Tues '!J87+Wed!J87+Fri!J87+'Mon '!J87+'Wed (2)'!J87+Sun!J87+Sat!J87)</f>
        <v>0</v>
      </c>
      <c r="K87" s="103">
        <f>('Thurs (2)'!K87+Thurs!K87+'Tues '!K87+Wed!K87+Fri!K87+'Mon '!K87+'Wed (2)'!K87+Sun!K87+Sat!K87)</f>
        <v>0</v>
      </c>
      <c r="L87" s="103">
        <f>('Thurs (2)'!L87+Thurs!L87+'Tues '!L87+Wed!L87+Fri!L87+'Mon '!L87+'Wed (2)'!L87+Sun!L87+Sat!L87)</f>
        <v>0</v>
      </c>
      <c r="M87" s="103">
        <f>('Thurs (2)'!M87+Thurs!M87+'Tues '!M87+Wed!M87+Fri!M87+'Mon '!M87+'Wed (2)'!M87+Sun!M87+Sat!M87)</f>
        <v>59</v>
      </c>
      <c r="N87" s="103">
        <f>('Thurs (2)'!N87+Thurs!N87+'Tues '!N87+Wed!N87+Fri!N87+'Mon '!N87+'Wed (2)'!N87+Sun!N87+Sat!N87)</f>
        <v>10</v>
      </c>
      <c r="O87" s="103">
        <f>('Thurs (2)'!O87+Thurs!O87+'Tues '!O87+Wed!O87+Fri!O87+'Mon '!O87+'Wed (2)'!O87+Sun!O87+Sat!O87)</f>
        <v>6</v>
      </c>
      <c r="P87" s="103">
        <f>('Thurs (2)'!P87+Thurs!P87+'Tues '!P87+Wed!P87+Fri!P87+'Mon '!P87+'Wed (2)'!P87+Sun!P87+Sat!P87)</f>
        <v>0</v>
      </c>
      <c r="Q87" s="103">
        <f>('Thurs (2)'!Q87+Thurs!Q87+'Tues '!Q87+Wed!Q87+Fri!Q87+'Mon '!Q87+'Wed (2)'!Q87+Sun!Q87+Sat!Q87)</f>
        <v>0</v>
      </c>
      <c r="R87" s="103">
        <f>('Thurs (2)'!R87+Thurs!R87+'Tues '!R87+Wed!R87+Fri!R87+'Mon '!R87+'Wed (2)'!R87+Sun!R87+Sat!R87)</f>
        <v>1</v>
      </c>
      <c r="S87" s="103">
        <f>('Thurs (2)'!S87+Thurs!S87+'Tues '!S87+Wed!S87+Fri!S87+'Mon '!S87+'Wed (2)'!S87+Sun!S87+Sat!S87)</f>
        <v>0</v>
      </c>
      <c r="T87" s="103">
        <f>('Thurs (2)'!T87+Thurs!T87+'Tues '!T87+Wed!T87+Fri!T87+'Mon '!T87+'Wed (2)'!T87+Sun!T87+Sat!T87)</f>
        <v>6757</v>
      </c>
      <c r="U87" s="104">
        <f t="shared" si="10"/>
        <v>0.5454545455</v>
      </c>
      <c r="V87" s="104">
        <f t="shared" si="11"/>
        <v>1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58</v>
      </c>
      <c r="F88" s="168" t="s">
        <v>108</v>
      </c>
      <c r="G88" s="103">
        <f>('Thurs (2)'!G88+Thurs!G88+'Tues '!G88+Wed!G88+Fri!G88+'Mon '!G88+'Wed (2)'!G88+Sun!G88+Sat!G88)</f>
        <v>0</v>
      </c>
      <c r="H88" s="103">
        <f>('Thurs (2)'!H88+Thurs!H88+'Tues '!H88+Wed!H88+Fri!H88+'Mon '!H88+'Wed (2)'!H88+Sun!H88+Sat!H88)</f>
        <v>0</v>
      </c>
      <c r="I88" s="103">
        <f>('Thurs (2)'!I88+Thurs!I88+'Tues '!I88+Wed!I88+Fri!I88+'Mon '!I88+'Wed (2)'!I88+Sun!I88+Sat!I88)</f>
        <v>0</v>
      </c>
      <c r="J88" s="103">
        <f>('Thurs (2)'!J88+Thurs!J88+'Tues '!J88+Wed!J88+Fri!J88+'Mon '!J88+'Wed (2)'!J88+Sun!J88+Sat!J88)</f>
        <v>0</v>
      </c>
      <c r="K88" s="103">
        <f>('Thurs (2)'!K88+Thurs!K88+'Tues '!K88+Wed!K88+Fri!K88+'Mon '!K88+'Wed (2)'!K88+Sun!K88+Sat!K88)</f>
        <v>0</v>
      </c>
      <c r="L88" s="103">
        <f>('Thurs (2)'!L88+Thurs!L88+'Tues '!L88+Wed!L88+Fri!L88+'Mon '!L88+'Wed (2)'!L88+Sun!L88+Sat!L88)</f>
        <v>0</v>
      </c>
      <c r="M88" s="103">
        <f>('Thurs (2)'!M88+Thurs!M88+'Tues '!M88+Wed!M88+Fri!M88+'Mon '!M88+'Wed (2)'!M88+Sun!M88+Sat!M88)</f>
        <v>0</v>
      </c>
      <c r="N88" s="103">
        <f>('Thurs (2)'!N88+Thurs!N88+'Tues '!N88+Wed!N88+Fri!N88+'Mon '!N88+'Wed (2)'!N88+Sun!N88+Sat!N88)</f>
        <v>0</v>
      </c>
      <c r="O88" s="103">
        <f>('Thurs (2)'!O88+Thurs!O88+'Tues '!O88+Wed!O88+Fri!O88+'Mon '!O88+'Wed (2)'!O88+Sun!O88+Sat!O88)</f>
        <v>0</v>
      </c>
      <c r="P88" s="103">
        <f>('Thurs (2)'!P88+Thurs!P88+'Tues '!P88+Wed!P88+Fri!P88+'Mon '!P88+'Wed (2)'!P88+Sun!P88+Sat!P88)</f>
        <v>0</v>
      </c>
      <c r="Q88" s="103">
        <f>('Thurs (2)'!Q88+Thurs!Q88+'Tues '!Q88+Wed!Q88+Fri!Q88+'Mon '!Q88+'Wed (2)'!Q88+Sun!Q88+Sat!Q88)</f>
        <v>0</v>
      </c>
      <c r="R88" s="103">
        <f>('Thurs (2)'!R88+Thurs!R88+'Tues '!R88+Wed!R88+Fri!R88+'Mon '!R88+'Wed (2)'!R88+Sun!R88+Sat!R88)</f>
        <v>0</v>
      </c>
      <c r="S88" s="103">
        <f>('Thurs (2)'!S88+Thurs!S88+'Tues '!S88+Wed!S88+Fri!S88+'Mon '!S88+'Wed (2)'!S88+Sun!S88+Sat!S88)</f>
        <v>0</v>
      </c>
      <c r="T88" s="103">
        <f>('Thurs (2)'!T88+Thurs!T88+'Tues '!T88+Wed!T88+Fri!T88+'Mon '!T88+'Wed (2)'!T88+Sun!T88+Sat!T88)</f>
        <v>0</v>
      </c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76</v>
      </c>
      <c r="F89" s="168" t="s">
        <v>109</v>
      </c>
      <c r="G89" s="103">
        <f>('Thurs (2)'!G89+Thurs!G89+'Tues '!G89+Wed!G89+Fri!G89+'Mon '!G89+'Wed (2)'!G89+Sun!G89+Sat!G89)</f>
        <v>0</v>
      </c>
      <c r="H89" s="103">
        <f>('Thurs (2)'!H89+Thurs!H89+'Tues '!H89+Wed!H89+Fri!H89+'Mon '!H89+'Wed (2)'!H89+Sun!H89+Sat!H89)</f>
        <v>0</v>
      </c>
      <c r="I89" s="103">
        <f>('Thurs (2)'!I89+Thurs!I89+'Tues '!I89+Wed!I89+Fri!I89+'Mon '!I89+'Wed (2)'!I89+Sun!I89+Sat!I89)</f>
        <v>0</v>
      </c>
      <c r="J89" s="103">
        <f>('Thurs (2)'!J89+Thurs!J89+'Tues '!J89+Wed!J89+Fri!J89+'Mon '!J89+'Wed (2)'!J89+Sun!J89+Sat!J89)</f>
        <v>0</v>
      </c>
      <c r="K89" s="103">
        <f>('Thurs (2)'!K89+Thurs!K89+'Tues '!K89+Wed!K89+Fri!K89+'Mon '!K89+'Wed (2)'!K89+Sun!K89+Sat!K89)</f>
        <v>0</v>
      </c>
      <c r="L89" s="103">
        <f>('Thurs (2)'!L89+Thurs!L89+'Tues '!L89+Wed!L89+Fri!L89+'Mon '!L89+'Wed (2)'!L89+Sun!L89+Sat!L89)</f>
        <v>0</v>
      </c>
      <c r="M89" s="103">
        <f>('Thurs (2)'!M89+Thurs!M89+'Tues '!M89+Wed!M89+Fri!M89+'Mon '!M89+'Wed (2)'!M89+Sun!M89+Sat!M89)</f>
        <v>0</v>
      </c>
      <c r="N89" s="103">
        <f>('Thurs (2)'!N89+Thurs!N89+'Tues '!N89+Wed!N89+Fri!N89+'Mon '!N89+'Wed (2)'!N89+Sun!N89+Sat!N89)</f>
        <v>0</v>
      </c>
      <c r="O89" s="103">
        <f>('Thurs (2)'!O89+Thurs!O89+'Tues '!O89+Wed!O89+Fri!O89+'Mon '!O89+'Wed (2)'!O89+Sun!O89+Sat!O89)</f>
        <v>0</v>
      </c>
      <c r="P89" s="103">
        <f>('Thurs (2)'!P89+Thurs!P89+'Tues '!P89+Wed!P89+Fri!P89+'Mon '!P89+'Wed (2)'!P89+Sun!P89+Sat!P89)</f>
        <v>0</v>
      </c>
      <c r="Q89" s="103">
        <f>('Thurs (2)'!Q89+Thurs!Q89+'Tues '!Q89+Wed!Q89+Fri!Q89+'Mon '!Q89+'Wed (2)'!Q89+Sun!Q89+Sat!Q89)</f>
        <v>0</v>
      </c>
      <c r="R89" s="103">
        <f>('Thurs (2)'!R89+Thurs!R89+'Tues '!R89+Wed!R89+Fri!R89+'Mon '!R89+'Wed (2)'!R89+Sun!R89+Sat!R89)</f>
        <v>0</v>
      </c>
      <c r="S89" s="103">
        <f>('Thurs (2)'!S89+Thurs!S89+'Tues '!S89+Wed!S89+Fri!S89+'Mon '!S89+'Wed (2)'!S89+Sun!S89+Sat!S89)</f>
        <v>0</v>
      </c>
      <c r="T89" s="103">
        <f>('Thurs (2)'!T89+Thurs!T89+'Tues '!T89+Wed!T89+Fri!T89+'Mon '!T89+'Wed (2)'!T89+Sun!T89+Sat!T89)</f>
        <v>0</v>
      </c>
      <c r="U89" s="104">
        <f t="shared" si="10"/>
        <v>0</v>
      </c>
      <c r="V89" s="104">
        <f t="shared" si="11"/>
        <v>0</v>
      </c>
      <c r="W89" s="105"/>
    </row>
    <row r="90" ht="13.5" customHeight="1">
      <c r="A90" s="168" t="s">
        <v>34</v>
      </c>
      <c r="B90" s="167"/>
      <c r="C90" s="167"/>
      <c r="D90" s="167"/>
      <c r="E90" s="168" t="s">
        <v>62</v>
      </c>
      <c r="F90" s="168" t="s">
        <v>110</v>
      </c>
      <c r="G90" s="103">
        <f>('Thurs (2)'!G90+Thurs!G90+'Tues '!G90+Wed!G90+Fri!G90+'Mon '!G90+'Wed (2)'!G90+Sun!G90+Sat!G90)</f>
        <v>0</v>
      </c>
      <c r="H90" s="103">
        <f>('Thurs (2)'!H90+Thurs!H90+'Tues '!H90+Wed!H90+Fri!H90+'Mon '!H90+'Wed (2)'!H90+Sun!H90+Sat!H90)</f>
        <v>0</v>
      </c>
      <c r="I90" s="103">
        <f>('Thurs (2)'!I90+Thurs!I90+'Tues '!I90+Wed!I90+Fri!I90+'Mon '!I90+'Wed (2)'!I90+Sun!I90+Sat!I90)</f>
        <v>0</v>
      </c>
      <c r="J90" s="103">
        <f>('Thurs (2)'!J90+Thurs!J90+'Tues '!J90+Wed!J90+Fri!J90+'Mon '!J90+'Wed (2)'!J90+Sun!J90+Sat!J90)</f>
        <v>0</v>
      </c>
      <c r="K90" s="103">
        <f>('Thurs (2)'!K90+Thurs!K90+'Tues '!K90+Wed!K90+Fri!K90+'Mon '!K90+'Wed (2)'!K90+Sun!K90+Sat!K90)</f>
        <v>0</v>
      </c>
      <c r="L90" s="103">
        <f>('Thurs (2)'!L90+Thurs!L90+'Tues '!L90+Wed!L90+Fri!L90+'Mon '!L90+'Wed (2)'!L90+Sun!L90+Sat!L90)</f>
        <v>0</v>
      </c>
      <c r="M90" s="103">
        <f>('Thurs (2)'!M90+Thurs!M90+'Tues '!M90+Wed!M90+Fri!M90+'Mon '!M90+'Wed (2)'!M90+Sun!M90+Sat!M90)</f>
        <v>0</v>
      </c>
      <c r="N90" s="103">
        <f>('Thurs (2)'!N90+Thurs!N90+'Tues '!N90+Wed!N90+Fri!N90+'Mon '!N90+'Wed (2)'!N90+Sun!N90+Sat!N90)</f>
        <v>0</v>
      </c>
      <c r="O90" s="103">
        <f>('Thurs (2)'!O90+Thurs!O90+'Tues '!O90+Wed!O90+Fri!O90+'Mon '!O90+'Wed (2)'!O90+Sun!O90+Sat!O90)</f>
        <v>0</v>
      </c>
      <c r="P90" s="103">
        <f>('Thurs (2)'!P90+Thurs!P90+'Tues '!P90+Wed!P90+Fri!P90+'Mon '!P90+'Wed (2)'!P90+Sun!P90+Sat!P90)</f>
        <v>0</v>
      </c>
      <c r="Q90" s="103">
        <f>('Thurs (2)'!Q90+Thurs!Q90+'Tues '!Q90+Wed!Q90+Fri!Q90+'Mon '!Q90+'Wed (2)'!Q90+Sun!Q90+Sat!Q90)</f>
        <v>0</v>
      </c>
      <c r="R90" s="103">
        <f>('Thurs (2)'!R90+Thurs!R90+'Tues '!R90+Wed!R90+Fri!R90+'Mon '!R90+'Wed (2)'!R90+Sun!R90+Sat!R90)</f>
        <v>0</v>
      </c>
      <c r="S90" s="103">
        <f>('Thurs (2)'!S90+Thurs!S90+'Tues '!S90+Wed!S90+Fri!S90+'Mon '!S90+'Wed (2)'!S90+Sun!S90+Sat!S90)</f>
        <v>0</v>
      </c>
      <c r="T90" s="103">
        <f>('Thurs (2)'!T90+Thurs!T90+'Tues '!T90+Wed!T90+Fri!T90+'Mon '!T90+'Wed (2)'!T90+Sun!T90+Sat!T90)</f>
        <v>0</v>
      </c>
      <c r="U90" s="104">
        <f t="shared" si="10"/>
        <v>0</v>
      </c>
      <c r="V90" s="104">
        <f t="shared" si="11"/>
        <v>0</v>
      </c>
      <c r="W90" s="105"/>
    </row>
    <row r="91" ht="13.5" customHeight="1">
      <c r="A91" s="168" t="s">
        <v>34</v>
      </c>
      <c r="B91" s="167"/>
      <c r="C91" s="167"/>
      <c r="D91" s="167"/>
      <c r="E91" s="168" t="s">
        <v>58</v>
      </c>
      <c r="F91" s="168" t="s">
        <v>111</v>
      </c>
      <c r="G91" s="103">
        <f>('Thurs (2)'!G91+Thurs!G91+'Tues '!G91+Wed!G91+Fri!G91+'Mon '!G91+'Wed (2)'!G91+Sun!G91+Sat!G91)</f>
        <v>0</v>
      </c>
      <c r="H91" s="103">
        <f>('Thurs (2)'!H91+Thurs!H91+'Tues '!H91+Wed!H91+Fri!H91+'Mon '!H91+'Wed (2)'!H91+Sun!H91+Sat!H91)</f>
        <v>0</v>
      </c>
      <c r="I91" s="103">
        <f>('Thurs (2)'!I91+Thurs!I91+'Tues '!I91+Wed!I91+Fri!I91+'Mon '!I91+'Wed (2)'!I91+Sun!I91+Sat!I91)</f>
        <v>0</v>
      </c>
      <c r="J91" s="103">
        <f>('Thurs (2)'!J91+Thurs!J91+'Tues '!J91+Wed!J91+Fri!J91+'Mon '!J91+'Wed (2)'!J91+Sun!J91+Sat!J91)</f>
        <v>0</v>
      </c>
      <c r="K91" s="103">
        <f>('Thurs (2)'!K91+Thurs!K91+'Tues '!K91+Wed!K91+Fri!K91+'Mon '!K91+'Wed (2)'!K91+Sun!K91+Sat!K91)</f>
        <v>0</v>
      </c>
      <c r="L91" s="103">
        <f>('Thurs (2)'!L91+Thurs!L91+'Tues '!L91+Wed!L91+Fri!L91+'Mon '!L91+'Wed (2)'!L91+Sun!L91+Sat!L91)</f>
        <v>0</v>
      </c>
      <c r="M91" s="103">
        <f>('Thurs (2)'!M91+Thurs!M91+'Tues '!M91+Wed!M91+Fri!M91+'Mon '!M91+'Wed (2)'!M91+Sun!M91+Sat!M91)</f>
        <v>0</v>
      </c>
      <c r="N91" s="103">
        <f>('Thurs (2)'!N91+Thurs!N91+'Tues '!N91+Wed!N91+Fri!N91+'Mon '!N91+'Wed (2)'!N91+Sun!N91+Sat!N91)</f>
        <v>0</v>
      </c>
      <c r="O91" s="103">
        <f>('Thurs (2)'!O91+Thurs!O91+'Tues '!O91+Wed!O91+Fri!O91+'Mon '!O91+'Wed (2)'!O91+Sun!O91+Sat!O91)</f>
        <v>0</v>
      </c>
      <c r="P91" s="103">
        <f>('Thurs (2)'!P91+Thurs!P91+'Tues '!P91+Wed!P91+Fri!P91+'Mon '!P91+'Wed (2)'!P91+Sun!P91+Sat!P91)</f>
        <v>0</v>
      </c>
      <c r="Q91" s="103">
        <f>('Thurs (2)'!Q91+Thurs!Q91+'Tues '!Q91+Wed!Q91+Fri!Q91+'Mon '!Q91+'Wed (2)'!Q91+Sun!Q91+Sat!Q91)</f>
        <v>0</v>
      </c>
      <c r="R91" s="103">
        <f>('Thurs (2)'!R91+Thurs!R91+'Tues '!R91+Wed!R91+Fri!R91+'Mon '!R91+'Wed (2)'!R91+Sun!R91+Sat!R91)</f>
        <v>0</v>
      </c>
      <c r="S91" s="103">
        <f>('Thurs (2)'!S91+Thurs!S91+'Tues '!S91+Wed!S91+Fri!S91+'Mon '!S91+'Wed (2)'!S91+Sun!S91+Sat!S91)</f>
        <v>0</v>
      </c>
      <c r="T91" s="103">
        <f>('Thurs (2)'!T91+Thurs!T91+'Tues '!T91+Wed!T91+Fri!T91+'Mon '!T91+'Wed (2)'!T91+Sun!T91+Sat!T91)</f>
        <v>0</v>
      </c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112</v>
      </c>
      <c r="G92" s="103">
        <f>('Thurs (2)'!G92+Thurs!G92+'Tues '!G92+Wed!G92+Fri!G92+'Mon '!G92+'Wed (2)'!G92+Sun!G92+Sat!G92)</f>
        <v>0</v>
      </c>
      <c r="H92" s="103">
        <f>('Thurs (2)'!H92+Thurs!H92+'Tues '!H92+Wed!H92+Fri!H92+'Mon '!H92+'Wed (2)'!H92+Sun!H92+Sat!H92)</f>
        <v>0</v>
      </c>
      <c r="I92" s="103">
        <f>('Thurs (2)'!I92+Thurs!I92+'Tues '!I92+Wed!I92+Fri!I92+'Mon '!I92+'Wed (2)'!I92+Sun!I92+Sat!I92)</f>
        <v>0</v>
      </c>
      <c r="J92" s="103">
        <f>('Thurs (2)'!J92+Thurs!J92+'Tues '!J92+Wed!J92+Fri!J92+'Mon '!J92+'Wed (2)'!J92+Sun!J92+Sat!J92)</f>
        <v>0</v>
      </c>
      <c r="K92" s="103">
        <f>('Thurs (2)'!K92+Thurs!K92+'Tues '!K92+Wed!K92+Fri!K92+'Mon '!K92+'Wed (2)'!K92+Sun!K92+Sat!K92)</f>
        <v>0</v>
      </c>
      <c r="L92" s="103">
        <f>('Thurs (2)'!L92+Thurs!L92+'Tues '!L92+Wed!L92+Fri!L92+'Mon '!L92+'Wed (2)'!L92+Sun!L92+Sat!L92)</f>
        <v>0</v>
      </c>
      <c r="M92" s="103">
        <f>('Thurs (2)'!M92+Thurs!M92+'Tues '!M92+Wed!M92+Fri!M92+'Mon '!M92+'Wed (2)'!M92+Sun!M92+Sat!M92)</f>
        <v>0</v>
      </c>
      <c r="N92" s="103">
        <f>('Thurs (2)'!N92+Thurs!N92+'Tues '!N92+Wed!N92+Fri!N92+'Mon '!N92+'Wed (2)'!N92+Sun!N92+Sat!N92)</f>
        <v>0</v>
      </c>
      <c r="O92" s="103">
        <f>('Thurs (2)'!O92+Thurs!O92+'Tues '!O92+Wed!O92+Fri!O92+'Mon '!O92+'Wed (2)'!O92+Sun!O92+Sat!O92)</f>
        <v>0</v>
      </c>
      <c r="P92" s="103">
        <f>('Thurs (2)'!P92+Thurs!P92+'Tues '!P92+Wed!P92+Fri!P92+'Mon '!P92+'Wed (2)'!P92+Sun!P92+Sat!P92)</f>
        <v>0</v>
      </c>
      <c r="Q92" s="103">
        <f>('Thurs (2)'!Q92+Thurs!Q92+'Tues '!Q92+Wed!Q92+Fri!Q92+'Mon '!Q92+'Wed (2)'!Q92+Sun!Q92+Sat!Q92)</f>
        <v>0</v>
      </c>
      <c r="R92" s="103">
        <f>('Thurs (2)'!R92+Thurs!R92+'Tues '!R92+Wed!R92+Fri!R92+'Mon '!R92+'Wed (2)'!R92+Sun!R92+Sat!R92)</f>
        <v>0</v>
      </c>
      <c r="S92" s="103">
        <f>('Thurs (2)'!S92+Thurs!S92+'Tues '!S92+Wed!S92+Fri!S92+'Mon '!S92+'Wed (2)'!S92+Sun!S92+Sat!S92)</f>
        <v>0</v>
      </c>
      <c r="T92" s="103">
        <f>('Thurs (2)'!T92+Thurs!T92+'Tues '!T92+Wed!T92+Fri!T92+'Mon '!T92+'Wed (2)'!T92+Sun!T92+Sat!T92)</f>
        <v>0</v>
      </c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113</v>
      </c>
      <c r="G93" s="103">
        <f>('Thurs (2)'!G93+Thurs!G93+'Tues '!G93+Wed!G93+Fri!G93+'Mon '!G93+'Wed (2)'!G93+Sun!G93+Sat!G93)</f>
        <v>0</v>
      </c>
      <c r="H93" s="103">
        <f>('Thurs (2)'!H93+Thurs!H93+'Tues '!H93+Wed!H93+Fri!H93+'Mon '!H93+'Wed (2)'!H93+Sun!H93+Sat!H93)</f>
        <v>0</v>
      </c>
      <c r="I93" s="103">
        <f>('Thurs (2)'!I93+Thurs!I93+'Tues '!I93+Wed!I93+Fri!I93+'Mon '!I93+'Wed (2)'!I93+Sun!I93+Sat!I93)</f>
        <v>0</v>
      </c>
      <c r="J93" s="103">
        <f>('Thurs (2)'!J93+Thurs!J93+'Tues '!J93+Wed!J93+Fri!J93+'Mon '!J93+'Wed (2)'!J93+Sun!J93+Sat!J93)</f>
        <v>0</v>
      </c>
      <c r="K93" s="103">
        <f>('Thurs (2)'!K93+Thurs!K93+'Tues '!K93+Wed!K93+Fri!K93+'Mon '!K93+'Wed (2)'!K93+Sun!K93+Sat!K93)</f>
        <v>0</v>
      </c>
      <c r="L93" s="103">
        <f>('Thurs (2)'!L93+Thurs!L93+'Tues '!L93+Wed!L93+Fri!L93+'Mon '!L93+'Wed (2)'!L93+Sun!L93+Sat!L93)</f>
        <v>0</v>
      </c>
      <c r="M93" s="103">
        <f>('Thurs (2)'!M93+Thurs!M93+'Tues '!M93+Wed!M93+Fri!M93+'Mon '!M93+'Wed (2)'!M93+Sun!M93+Sat!M93)</f>
        <v>0</v>
      </c>
      <c r="N93" s="103">
        <f>('Thurs (2)'!N93+Thurs!N93+'Tues '!N93+Wed!N93+Fri!N93+'Mon '!N93+'Wed (2)'!N93+Sun!N93+Sat!N93)</f>
        <v>0</v>
      </c>
      <c r="O93" s="103">
        <f>('Thurs (2)'!O93+Thurs!O93+'Tues '!O93+Wed!O93+Fri!O93+'Mon '!O93+'Wed (2)'!O93+Sun!O93+Sat!O93)</f>
        <v>0</v>
      </c>
      <c r="P93" s="103">
        <f>('Thurs (2)'!P93+Thurs!P93+'Tues '!P93+Wed!P93+Fri!P93+'Mon '!P93+'Wed (2)'!P93+Sun!P93+Sat!P93)</f>
        <v>0</v>
      </c>
      <c r="Q93" s="103">
        <f>('Thurs (2)'!Q93+Thurs!Q93+'Tues '!Q93+Wed!Q93+Fri!Q93+'Mon '!Q93+'Wed (2)'!Q93+Sun!Q93+Sat!Q93)</f>
        <v>0</v>
      </c>
      <c r="R93" s="103">
        <f>('Thurs (2)'!R93+Thurs!R93+'Tues '!R93+Wed!R93+Fri!R93+'Mon '!R93+'Wed (2)'!R93+Sun!R93+Sat!R93)</f>
        <v>0</v>
      </c>
      <c r="S93" s="103">
        <f>('Thurs (2)'!S93+Thurs!S93+'Tues '!S93+Wed!S93+Fri!S93+'Mon '!S93+'Wed (2)'!S93+Sun!S93+Sat!S93)</f>
        <v>0</v>
      </c>
      <c r="T93" s="103">
        <f>('Thurs (2)'!T93+Thurs!T93+'Tues '!T93+Wed!T93+Fri!T93+'Mon '!T93+'Wed (2)'!T93+Sun!T93+Sat!T93)</f>
        <v>0</v>
      </c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114</v>
      </c>
      <c r="G94" s="103">
        <f>('Thurs (2)'!G94+Thurs!G94+'Tues '!G94+Wed!G94+Fri!G94+'Mon '!G94+'Wed (2)'!G94+Sun!G94+Sat!G94)</f>
        <v>0</v>
      </c>
      <c r="H94" s="103">
        <f>('Thurs (2)'!H94+Thurs!H94+'Tues '!H94+Wed!H94+Fri!H94+'Mon '!H94+'Wed (2)'!H94+Sun!H94+Sat!H94)</f>
        <v>0</v>
      </c>
      <c r="I94" s="103">
        <f>('Thurs (2)'!I94+Thurs!I94+'Tues '!I94+Wed!I94+Fri!I94+'Mon '!I94+'Wed (2)'!I94+Sun!I94+Sat!I94)</f>
        <v>0</v>
      </c>
      <c r="J94" s="103">
        <f>('Thurs (2)'!J94+Thurs!J94+'Tues '!J94+Wed!J94+Fri!J94+'Mon '!J94+'Wed (2)'!J94+Sun!J94+Sat!J94)</f>
        <v>0</v>
      </c>
      <c r="K94" s="103">
        <f>('Thurs (2)'!K94+Thurs!K94+'Tues '!K94+Wed!K94+Fri!K94+'Mon '!K94+'Wed (2)'!K94+Sun!K94+Sat!K94)</f>
        <v>0</v>
      </c>
      <c r="L94" s="103">
        <f>('Thurs (2)'!L94+Thurs!L94+'Tues '!L94+Wed!L94+Fri!L94+'Mon '!L94+'Wed (2)'!L94+Sun!L94+Sat!L94)</f>
        <v>0</v>
      </c>
      <c r="M94" s="103">
        <f>('Thurs (2)'!M94+Thurs!M94+'Tues '!M94+Wed!M94+Fri!M94+'Mon '!M94+'Wed (2)'!M94+Sun!M94+Sat!M94)</f>
        <v>0</v>
      </c>
      <c r="N94" s="103">
        <f>('Thurs (2)'!N94+Thurs!N94+'Tues '!N94+Wed!N94+Fri!N94+'Mon '!N94+'Wed (2)'!N94+Sun!N94+Sat!N94)</f>
        <v>0</v>
      </c>
      <c r="O94" s="103">
        <f>('Thurs (2)'!O94+Thurs!O94+'Tues '!O94+Wed!O94+Fri!O94+'Mon '!O94+'Wed (2)'!O94+Sun!O94+Sat!O94)</f>
        <v>0</v>
      </c>
      <c r="P94" s="103">
        <f>('Thurs (2)'!P94+Thurs!P94+'Tues '!P94+Wed!P94+Fri!P94+'Mon '!P94+'Wed (2)'!P94+Sun!P94+Sat!P94)</f>
        <v>0</v>
      </c>
      <c r="Q94" s="103">
        <f>('Thurs (2)'!Q94+Thurs!Q94+'Tues '!Q94+Wed!Q94+Fri!Q94+'Mon '!Q94+'Wed (2)'!Q94+Sun!Q94+Sat!Q94)</f>
        <v>0</v>
      </c>
      <c r="R94" s="103">
        <f>('Thurs (2)'!R94+Thurs!R94+'Tues '!R94+Wed!R94+Fri!R94+'Mon '!R94+'Wed (2)'!R94+Sun!R94+Sat!R94)</f>
        <v>0</v>
      </c>
      <c r="S94" s="103">
        <f>('Thurs (2)'!S94+Thurs!S94+'Tues '!S94+Wed!S94+Fri!S94+'Mon '!S94+'Wed (2)'!S94+Sun!S94+Sat!S94)</f>
        <v>0</v>
      </c>
      <c r="T94" s="103">
        <f>('Thurs (2)'!T94+Thurs!T94+'Tues '!T94+Wed!T94+Fri!T94+'Mon '!T94+'Wed (2)'!T94+Sun!T94+Sat!T94)</f>
        <v>0</v>
      </c>
      <c r="U94" s="104">
        <f t="shared" si="10"/>
        <v>0</v>
      </c>
      <c r="V94" s="104">
        <f t="shared" si="11"/>
        <v>0</v>
      </c>
      <c r="W94" s="105"/>
    </row>
    <row r="95" ht="13.5" customHeight="1">
      <c r="A95" s="169" t="s">
        <v>34</v>
      </c>
      <c r="B95" s="170"/>
      <c r="C95" s="169"/>
      <c r="D95" s="170"/>
      <c r="E95" s="169"/>
      <c r="F95" s="169" t="s">
        <v>115</v>
      </c>
      <c r="G95" s="103">
        <f>('Thurs (2)'!G95+Thurs!G95+'Tues '!G95+Wed!G95+Fri!G95+'Mon '!G95+'Wed (2)'!G95+Sun!G95+Sat!G95)</f>
        <v>0</v>
      </c>
      <c r="H95" s="103">
        <f>('Thurs (2)'!H95+Thurs!H95+'Tues '!H95+Wed!H95+Fri!H95+'Mon '!H95+'Wed (2)'!H95+Sun!H95+Sat!H95)</f>
        <v>0</v>
      </c>
      <c r="I95" s="103">
        <f>('Thurs (2)'!I95+Thurs!I95+'Tues '!I95+Wed!I95+Fri!I95+'Mon '!I95+'Wed (2)'!I95+Sun!I95+Sat!I95)</f>
        <v>0</v>
      </c>
      <c r="J95" s="103">
        <f>('Thurs (2)'!J95+Thurs!J95+'Tues '!J95+Wed!J95+Fri!J95+'Mon '!J95+'Wed (2)'!J95+Sun!J95+Sat!J95)</f>
        <v>0</v>
      </c>
      <c r="K95" s="103">
        <f>('Thurs (2)'!K95+Thurs!K95+'Tues '!K95+Wed!K95+Fri!K95+'Mon '!K95+'Wed (2)'!K95+Sun!K95+Sat!K95)</f>
        <v>0</v>
      </c>
      <c r="L95" s="103">
        <f>('Thurs (2)'!L95+Thurs!L95+'Tues '!L95+Wed!L95+Fri!L95+'Mon '!L95+'Wed (2)'!L95+Sun!L95+Sat!L95)</f>
        <v>0</v>
      </c>
      <c r="M95" s="103">
        <f>('Thurs (2)'!M95+Thurs!M95+'Tues '!M95+Wed!M95+Fri!M95+'Mon '!M95+'Wed (2)'!M95+Sun!M95+Sat!M95)</f>
        <v>0</v>
      </c>
      <c r="N95" s="103">
        <f>('Thurs (2)'!N95+Thurs!N95+'Tues '!N95+Wed!N95+Fri!N95+'Mon '!N95+'Wed (2)'!N95+Sun!N95+Sat!N95)</f>
        <v>0</v>
      </c>
      <c r="O95" s="103">
        <f>('Thurs (2)'!O95+Thurs!O95+'Tues '!O95+Wed!O95+Fri!O95+'Mon '!O95+'Wed (2)'!O95+Sun!O95+Sat!O95)</f>
        <v>0</v>
      </c>
      <c r="P95" s="103">
        <f>('Thurs (2)'!P95+Thurs!P95+'Tues '!P95+Wed!P95+Fri!P95+'Mon '!P95+'Wed (2)'!P95+Sun!P95+Sat!P95)</f>
        <v>0</v>
      </c>
      <c r="Q95" s="103">
        <f>('Thurs (2)'!Q95+Thurs!Q95+'Tues '!Q95+Wed!Q95+Fri!Q95+'Mon '!Q95+'Wed (2)'!Q95+Sun!Q95+Sat!Q95)</f>
        <v>0</v>
      </c>
      <c r="R95" s="103">
        <f>('Thurs (2)'!R95+Thurs!R95+'Tues '!R95+Wed!R95+Fri!R95+'Mon '!R95+'Wed (2)'!R95+Sun!R95+Sat!R95)</f>
        <v>0</v>
      </c>
      <c r="S95" s="103">
        <f>('Thurs (2)'!S95+Thurs!S95+'Tues '!S95+Wed!S95+Fri!S95+'Mon '!S95+'Wed (2)'!S95+Sun!S95+Sat!S95)</f>
        <v>0</v>
      </c>
      <c r="T95" s="103">
        <f>('Thurs (2)'!T95+Thurs!T95+'Tues '!T95+Wed!T95+Fri!T95+'Mon '!T95+'Wed (2)'!T95+Sun!T95+Sat!T95)</f>
        <v>0</v>
      </c>
      <c r="U95" s="104">
        <f t="shared" si="10"/>
        <v>0</v>
      </c>
      <c r="V95" s="104">
        <f t="shared" si="11"/>
        <v>0</v>
      </c>
      <c r="W95" s="105"/>
    </row>
    <row r="96" ht="13.5" customHeight="1">
      <c r="A96" s="169" t="s">
        <v>34</v>
      </c>
      <c r="B96" s="170"/>
      <c r="C96" s="169"/>
      <c r="D96" s="170"/>
      <c r="E96" s="169"/>
      <c r="F96" s="169" t="s">
        <v>116</v>
      </c>
      <c r="G96" s="103">
        <f>('Thurs (2)'!G96+Thurs!G96+'Tues '!G96+Wed!G96+Fri!G96+'Mon '!G96+'Wed (2)'!G96+Sun!G96+Sat!G96)</f>
        <v>0</v>
      </c>
      <c r="H96" s="103">
        <f>('Thurs (2)'!H96+Thurs!H96+'Tues '!H96+Wed!H96+Fri!H96+'Mon '!H96+'Wed (2)'!H96+Sun!H96+Sat!H96)</f>
        <v>0</v>
      </c>
      <c r="I96" s="103">
        <f>('Thurs (2)'!I96+Thurs!I96+'Tues '!I96+Wed!I96+Fri!I96+'Mon '!I96+'Wed (2)'!I96+Sun!I96+Sat!I96)</f>
        <v>0</v>
      </c>
      <c r="J96" s="103">
        <f>('Thurs (2)'!J96+Thurs!J96+'Tues '!J96+Wed!J96+Fri!J96+'Mon '!J96+'Wed (2)'!J96+Sun!J96+Sat!J96)</f>
        <v>0</v>
      </c>
      <c r="K96" s="103">
        <f>('Thurs (2)'!K96+Thurs!K96+'Tues '!K96+Wed!K96+Fri!K96+'Mon '!K96+'Wed (2)'!K96+Sun!K96+Sat!K96)</f>
        <v>0</v>
      </c>
      <c r="L96" s="103">
        <f>('Thurs (2)'!L96+Thurs!L96+'Tues '!L96+Wed!L96+Fri!L96+'Mon '!L96+'Wed (2)'!L96+Sun!L96+Sat!L96)</f>
        <v>0</v>
      </c>
      <c r="M96" s="103">
        <f>('Thurs (2)'!M96+Thurs!M96+'Tues '!M96+Wed!M96+Fri!M96+'Mon '!M96+'Wed (2)'!M96+Sun!M96+Sat!M96)</f>
        <v>0</v>
      </c>
      <c r="N96" s="103">
        <f>('Thurs (2)'!N96+Thurs!N96+'Tues '!N96+Wed!N96+Fri!N96+'Mon '!N96+'Wed (2)'!N96+Sun!N96+Sat!N96)</f>
        <v>0</v>
      </c>
      <c r="O96" s="103">
        <f>('Thurs (2)'!O96+Thurs!O96+'Tues '!O96+Wed!O96+Fri!O96+'Mon '!O96+'Wed (2)'!O96+Sun!O96+Sat!O96)</f>
        <v>0</v>
      </c>
      <c r="P96" s="103">
        <f>('Thurs (2)'!P96+Thurs!P96+'Tues '!P96+Wed!P96+Fri!P96+'Mon '!P96+'Wed (2)'!P96+Sun!P96+Sat!P96)</f>
        <v>0</v>
      </c>
      <c r="Q96" s="103">
        <f>('Thurs (2)'!Q96+Thurs!Q96+'Tues '!Q96+Wed!Q96+Fri!Q96+'Mon '!Q96+'Wed (2)'!Q96+Sun!Q96+Sat!Q96)</f>
        <v>0</v>
      </c>
      <c r="R96" s="103">
        <f>('Thurs (2)'!R96+Thurs!R96+'Tues '!R96+Wed!R96+Fri!R96+'Mon '!R96+'Wed (2)'!R96+Sun!R96+Sat!R96)</f>
        <v>0</v>
      </c>
      <c r="S96" s="103">
        <f>('Thurs (2)'!S96+Thurs!S96+'Tues '!S96+Wed!S96+Fri!S96+'Mon '!S96+'Wed (2)'!S96+Sun!S96+Sat!S96)</f>
        <v>0</v>
      </c>
      <c r="T96" s="103">
        <f>('Thurs (2)'!T96+Thurs!T96+'Tues '!T96+Wed!T96+Fri!T96+'Mon '!T96+'Wed (2)'!T96+Sun!T96+Sat!T96)</f>
        <v>0</v>
      </c>
      <c r="U96" s="104">
        <f t="shared" si="10"/>
        <v>0</v>
      </c>
      <c r="V96" s="104">
        <f t="shared" si="11"/>
        <v>0</v>
      </c>
      <c r="W96" s="105"/>
    </row>
    <row r="97" ht="13.5" customHeight="1">
      <c r="A97" s="171" t="s">
        <v>34</v>
      </c>
      <c r="B97" s="172"/>
      <c r="C97" s="171" t="s">
        <v>117</v>
      </c>
      <c r="D97" s="173" t="s">
        <v>52</v>
      </c>
      <c r="E97" s="171" t="s">
        <v>105</v>
      </c>
      <c r="F97" s="171" t="s">
        <v>117</v>
      </c>
      <c r="G97" s="103">
        <f>('Thurs (2)'!G97+Thurs!G97+'Tues '!G97+Wed!G97+Fri!G97+'Mon '!G97+'Wed (2)'!G97+Sun!G97+Sat!G97)</f>
        <v>11</v>
      </c>
      <c r="H97" s="103">
        <f>('Thurs (2)'!H97+Thurs!H97+'Tues '!H97+Wed!H97+Fri!H97+'Mon '!H97+'Wed (2)'!H97+Sun!H97+Sat!H97)</f>
        <v>3</v>
      </c>
      <c r="I97" s="103">
        <f>('Thurs (2)'!I97+Thurs!I97+'Tues '!I97+Wed!I97+Fri!I97+'Mon '!I97+'Wed (2)'!I97+Sun!I97+Sat!I97)</f>
        <v>2</v>
      </c>
      <c r="J97" s="103">
        <f>('Thurs (2)'!J97+Thurs!J97+'Tues '!J97+Wed!J97+Fri!J97+'Mon '!J97+'Wed (2)'!J97+Sun!J97+Sat!J97)</f>
        <v>0</v>
      </c>
      <c r="K97" s="103">
        <f>('Thurs (2)'!K97+Thurs!K97+'Tues '!K97+Wed!K97+Fri!K97+'Mon '!K97+'Wed (2)'!K97+Sun!K97+Sat!K97)</f>
        <v>0</v>
      </c>
      <c r="L97" s="103">
        <f>('Thurs (2)'!L97+Thurs!L97+'Tues '!L97+Wed!L97+Fri!L97+'Mon '!L97+'Wed (2)'!L97+Sun!L97+Sat!L97)</f>
        <v>0</v>
      </c>
      <c r="M97" s="103">
        <f>('Thurs (2)'!M97+Thurs!M97+'Tues '!M97+Wed!M97+Fri!M97+'Mon '!M97+'Wed (2)'!M97+Sun!M97+Sat!M97)</f>
        <v>12</v>
      </c>
      <c r="N97" s="103">
        <f>('Thurs (2)'!N97+Thurs!N97+'Tues '!N97+Wed!N97+Fri!N97+'Mon '!N97+'Wed (2)'!N97+Sun!N97+Sat!N97)</f>
        <v>0</v>
      </c>
      <c r="O97" s="103">
        <f>('Thurs (2)'!O97+Thurs!O97+'Tues '!O97+Wed!O97+Fri!O97+'Mon '!O97+'Wed (2)'!O97+Sun!O97+Sat!O97)</f>
        <v>0</v>
      </c>
      <c r="P97" s="103">
        <f>('Thurs (2)'!P97+Thurs!P97+'Tues '!P97+Wed!P97+Fri!P97+'Mon '!P97+'Wed (2)'!P97+Sun!P97+Sat!P97)</f>
        <v>0</v>
      </c>
      <c r="Q97" s="103">
        <f>('Thurs (2)'!Q97+Thurs!Q97+'Tues '!Q97+Wed!Q97+Fri!Q97+'Mon '!Q97+'Wed (2)'!Q97+Sun!Q97+Sat!Q97)</f>
        <v>0</v>
      </c>
      <c r="R97" s="103">
        <f>('Thurs (2)'!R97+Thurs!R97+'Tues '!R97+Wed!R97+Fri!R97+'Mon '!R97+'Wed (2)'!R97+Sun!R97+Sat!R97)</f>
        <v>3</v>
      </c>
      <c r="S97" s="103">
        <f>('Thurs (2)'!S97+Thurs!S97+'Tues '!S97+Wed!S97+Fri!S97+'Mon '!S97+'Wed (2)'!S97+Sun!S97+Sat!S97)</f>
        <v>2</v>
      </c>
      <c r="T97" s="103">
        <f>('Thurs (2)'!T97+Thurs!T97+'Tues '!T97+Wed!T97+Fri!T97+'Mon '!T97+'Wed (2)'!T97+Sun!T97+Sat!T97)</f>
        <v>4231.44</v>
      </c>
      <c r="U97" s="104">
        <f t="shared" si="10"/>
        <v>0.6666666667</v>
      </c>
      <c r="V97" s="104">
        <f t="shared" si="11"/>
        <v>0.2727272727</v>
      </c>
      <c r="W97" s="105"/>
    </row>
    <row r="98" ht="13.5" customHeight="1">
      <c r="A98" s="174" t="s">
        <v>34</v>
      </c>
      <c r="B98" s="175"/>
      <c r="C98" s="174" t="s">
        <v>117</v>
      </c>
      <c r="D98" s="175"/>
      <c r="E98" s="174" t="s">
        <v>118</v>
      </c>
      <c r="F98" s="174" t="s">
        <v>119</v>
      </c>
      <c r="G98" s="103">
        <f>('Thurs (2)'!G98+Thurs!G98+'Tues '!G98+Wed!G98+Fri!G98+'Mon '!G98+'Wed (2)'!G98+Sun!G98+Sat!G98)</f>
        <v>3</v>
      </c>
      <c r="H98" s="103">
        <f>('Thurs (2)'!H98+Thurs!H98+'Tues '!H98+Wed!H98+Fri!H98+'Mon '!H98+'Wed (2)'!H98+Sun!H98+Sat!H98)</f>
        <v>2</v>
      </c>
      <c r="I98" s="103">
        <f>('Thurs (2)'!I98+Thurs!I98+'Tues '!I98+Wed!I98+Fri!I98+'Mon '!I98+'Wed (2)'!I98+Sun!I98+Sat!I98)</f>
        <v>0</v>
      </c>
      <c r="J98" s="103">
        <f>('Thurs (2)'!J98+Thurs!J98+'Tues '!J98+Wed!J98+Fri!J98+'Mon '!J98+'Wed (2)'!J98+Sun!J98+Sat!J98)</f>
        <v>0</v>
      </c>
      <c r="K98" s="103">
        <f>('Thurs (2)'!K98+Thurs!K98+'Tues '!K98+Wed!K98+Fri!K98+'Mon '!K98+'Wed (2)'!K98+Sun!K98+Sat!K98)</f>
        <v>0</v>
      </c>
      <c r="L98" s="103">
        <f>('Thurs (2)'!L98+Thurs!L98+'Tues '!L98+Wed!L98+Fri!L98+'Mon '!L98+'Wed (2)'!L98+Sun!L98+Sat!L98)</f>
        <v>0</v>
      </c>
      <c r="M98" s="103">
        <f>('Thurs (2)'!M98+Thurs!M98+'Tues '!M98+Wed!M98+Fri!M98+'Mon '!M98+'Wed (2)'!M98+Sun!M98+Sat!M98)</f>
        <v>7</v>
      </c>
      <c r="N98" s="103">
        <f>('Thurs (2)'!N98+Thurs!N98+'Tues '!N98+Wed!N98+Fri!N98+'Mon '!N98+'Wed (2)'!N98+Sun!N98+Sat!N98)</f>
        <v>0</v>
      </c>
      <c r="O98" s="103">
        <f>('Thurs (2)'!O98+Thurs!O98+'Tues '!O98+Wed!O98+Fri!O98+'Mon '!O98+'Wed (2)'!O98+Sun!O98+Sat!O98)</f>
        <v>0</v>
      </c>
      <c r="P98" s="103">
        <f>('Thurs (2)'!P98+Thurs!P98+'Tues '!P98+Wed!P98+Fri!P98+'Mon '!P98+'Wed (2)'!P98+Sun!P98+Sat!P98)</f>
        <v>0</v>
      </c>
      <c r="Q98" s="103">
        <f>('Thurs (2)'!Q98+Thurs!Q98+'Tues '!Q98+Wed!Q98+Fri!Q98+'Mon '!Q98+'Wed (2)'!Q98+Sun!Q98+Sat!Q98)</f>
        <v>0</v>
      </c>
      <c r="R98" s="103">
        <f>('Thurs (2)'!R98+Thurs!R98+'Tues '!R98+Wed!R98+Fri!R98+'Mon '!R98+'Wed (2)'!R98+Sun!R98+Sat!R98)</f>
        <v>0</v>
      </c>
      <c r="S98" s="103">
        <f>('Thurs (2)'!S98+Thurs!S98+'Tues '!S98+Wed!S98+Fri!S98+'Mon '!S98+'Wed (2)'!S98+Sun!S98+Sat!S98)</f>
        <v>0</v>
      </c>
      <c r="T98" s="103">
        <f>('Thurs (2)'!T98+Thurs!T98+'Tues '!T98+Wed!T98+Fri!T98+'Mon '!T98+'Wed (2)'!T98+Sun!T98+Sat!T98)</f>
        <v>0</v>
      </c>
      <c r="U98" s="104">
        <f t="shared" si="10"/>
        <v>0</v>
      </c>
      <c r="V98" s="104">
        <f t="shared" si="11"/>
        <v>0.6666666667</v>
      </c>
      <c r="W98" s="105"/>
    </row>
    <row r="99" ht="13.5" customHeight="1">
      <c r="A99" s="174" t="s">
        <v>34</v>
      </c>
      <c r="B99" s="175"/>
      <c r="C99" s="174" t="s">
        <v>117</v>
      </c>
      <c r="D99" s="175"/>
      <c r="E99" s="174" t="s">
        <v>120</v>
      </c>
      <c r="F99" s="174" t="s">
        <v>121</v>
      </c>
      <c r="G99" s="103">
        <f>('Thurs (2)'!G99+Thurs!G99+'Tues '!G99+Wed!G99+Fri!G99+'Mon '!G99+'Wed (2)'!G99+Sun!G99+Sat!G99)</f>
        <v>0</v>
      </c>
      <c r="H99" s="103">
        <f>('Thurs (2)'!H99+Thurs!H99+'Tues '!H99+Wed!H99+Fri!H99+'Mon '!H99+'Wed (2)'!H99+Sun!H99+Sat!H99)</f>
        <v>0</v>
      </c>
      <c r="I99" s="103">
        <f>('Thurs (2)'!I99+Thurs!I99+'Tues '!I99+Wed!I99+Fri!I99+'Mon '!I99+'Wed (2)'!I99+Sun!I99+Sat!I99)</f>
        <v>0</v>
      </c>
      <c r="J99" s="103">
        <f>('Thurs (2)'!J99+Thurs!J99+'Tues '!J99+Wed!J99+Fri!J99+'Mon '!J99+'Wed (2)'!J99+Sun!J99+Sat!J99)</f>
        <v>0</v>
      </c>
      <c r="K99" s="103">
        <f>('Thurs (2)'!K99+Thurs!K99+'Tues '!K99+Wed!K99+Fri!K99+'Mon '!K99+'Wed (2)'!K99+Sun!K99+Sat!K99)</f>
        <v>0</v>
      </c>
      <c r="L99" s="103">
        <f>('Thurs (2)'!L99+Thurs!L99+'Tues '!L99+Wed!L99+Fri!L99+'Mon '!L99+'Wed (2)'!L99+Sun!L99+Sat!L99)</f>
        <v>0</v>
      </c>
      <c r="M99" s="103">
        <f>('Thurs (2)'!M99+Thurs!M99+'Tues '!M99+Wed!M99+Fri!M99+'Mon '!M99+'Wed (2)'!M99+Sun!M99+Sat!M99)</f>
        <v>0</v>
      </c>
      <c r="N99" s="103">
        <f>('Thurs (2)'!N99+Thurs!N99+'Tues '!N99+Wed!N99+Fri!N99+'Mon '!N99+'Wed (2)'!N99+Sun!N99+Sat!N99)</f>
        <v>0</v>
      </c>
      <c r="O99" s="103">
        <f>('Thurs (2)'!O99+Thurs!O99+'Tues '!O99+Wed!O99+Fri!O99+'Mon '!O99+'Wed (2)'!O99+Sun!O99+Sat!O99)</f>
        <v>0</v>
      </c>
      <c r="P99" s="103">
        <f>('Thurs (2)'!P99+Thurs!P99+'Tues '!P99+Wed!P99+Fri!P99+'Mon '!P99+'Wed (2)'!P99+Sun!P99+Sat!P99)</f>
        <v>0</v>
      </c>
      <c r="Q99" s="103">
        <f>('Thurs (2)'!Q99+Thurs!Q99+'Tues '!Q99+Wed!Q99+Fri!Q99+'Mon '!Q99+'Wed (2)'!Q99+Sun!Q99+Sat!Q99)</f>
        <v>0</v>
      </c>
      <c r="R99" s="103">
        <f>('Thurs (2)'!R99+Thurs!R99+'Tues '!R99+Wed!R99+Fri!R99+'Mon '!R99+'Wed (2)'!R99+Sun!R99+Sat!R99)</f>
        <v>0</v>
      </c>
      <c r="S99" s="103">
        <f>('Thurs (2)'!S99+Thurs!S99+'Tues '!S99+Wed!S99+Fri!S99+'Mon '!S99+'Wed (2)'!S99+Sun!S99+Sat!S99)</f>
        <v>0</v>
      </c>
      <c r="T99" s="103">
        <f>('Thurs (2)'!T99+Thurs!T99+'Tues '!T99+Wed!T99+Fri!T99+'Mon '!T99+'Wed (2)'!T99+Sun!T99+Sat!T99)</f>
        <v>0</v>
      </c>
      <c r="U99" s="104">
        <f t="shared" si="10"/>
        <v>0</v>
      </c>
      <c r="V99" s="104">
        <f t="shared" si="11"/>
        <v>0</v>
      </c>
      <c r="W99" s="105"/>
    </row>
    <row r="100" ht="13.5" customHeight="1">
      <c r="A100" s="174" t="s">
        <v>34</v>
      </c>
      <c r="B100" s="175"/>
      <c r="C100" s="174" t="s">
        <v>117</v>
      </c>
      <c r="D100" s="175"/>
      <c r="E100" s="174"/>
      <c r="F100" s="174" t="s">
        <v>119</v>
      </c>
      <c r="G100" s="103">
        <f>('Thurs (2)'!G100+Thurs!G100+'Tues '!G100+Wed!G100+Fri!G100+'Mon '!G100+'Wed (2)'!G100+Sun!G100+Sat!G100)</f>
        <v>0</v>
      </c>
      <c r="H100" s="103">
        <f>('Thurs (2)'!H100+Thurs!H100+'Tues '!H100+Wed!H100+Fri!H100+'Mon '!H100+'Wed (2)'!H100+Sun!H100+Sat!H100)</f>
        <v>0</v>
      </c>
      <c r="I100" s="103">
        <f>('Thurs (2)'!I100+Thurs!I100+'Tues '!I100+Wed!I100+Fri!I100+'Mon '!I100+'Wed (2)'!I100+Sun!I100+Sat!I100)</f>
        <v>0</v>
      </c>
      <c r="J100" s="103">
        <f>('Thurs (2)'!J100+Thurs!J100+'Tues '!J100+Wed!J100+Fri!J100+'Mon '!J100+'Wed (2)'!J100+Sun!J100+Sat!J100)</f>
        <v>0</v>
      </c>
      <c r="K100" s="103">
        <f>('Thurs (2)'!K100+Thurs!K100+'Tues '!K100+Wed!K100+Fri!K100+'Mon '!K100+'Wed (2)'!K100+Sun!K100+Sat!K100)</f>
        <v>0</v>
      </c>
      <c r="L100" s="103">
        <f>('Thurs (2)'!L100+Thurs!L100+'Tues '!L100+Wed!L100+Fri!L100+'Mon '!L100+'Wed (2)'!L100+Sun!L100+Sat!L100)</f>
        <v>0</v>
      </c>
      <c r="M100" s="103">
        <f>('Thurs (2)'!M100+Thurs!M100+'Tues '!M100+Wed!M100+Fri!M100+'Mon '!M100+'Wed (2)'!M100+Sun!M100+Sat!M100)</f>
        <v>0</v>
      </c>
      <c r="N100" s="103">
        <f>('Thurs (2)'!N100+Thurs!N100+'Tues '!N100+Wed!N100+Fri!N100+'Mon '!N100+'Wed (2)'!N100+Sun!N100+Sat!N100)</f>
        <v>0</v>
      </c>
      <c r="O100" s="103">
        <f>('Thurs (2)'!O100+Thurs!O100+'Tues '!O100+Wed!O100+Fri!O100+'Mon '!O100+'Wed (2)'!O100+Sun!O100+Sat!O100)</f>
        <v>0</v>
      </c>
      <c r="P100" s="103">
        <f>('Thurs (2)'!P100+Thurs!P100+'Tues '!P100+Wed!P100+Fri!P100+'Mon '!P100+'Wed (2)'!P100+Sun!P100+Sat!P100)</f>
        <v>0</v>
      </c>
      <c r="Q100" s="103">
        <f>('Thurs (2)'!Q100+Thurs!Q100+'Tues '!Q100+Wed!Q100+Fri!Q100+'Mon '!Q100+'Wed (2)'!Q100+Sun!Q100+Sat!Q100)</f>
        <v>0</v>
      </c>
      <c r="R100" s="103">
        <f>('Thurs (2)'!R100+Thurs!R100+'Tues '!R100+Wed!R100+Fri!R100+'Mon '!R100+'Wed (2)'!R100+Sun!R100+Sat!R100)</f>
        <v>0</v>
      </c>
      <c r="S100" s="103">
        <f>('Thurs (2)'!S100+Thurs!S100+'Tues '!S100+Wed!S100+Fri!S100+'Mon '!S100+'Wed (2)'!S100+Sun!S100+Sat!S100)</f>
        <v>0</v>
      </c>
      <c r="T100" s="103">
        <f>('Thurs (2)'!T100+Thurs!T100+'Tues '!T100+Wed!T100+Fri!T100+'Mon '!T100+'Wed (2)'!T100+Sun!T100+Sat!T100)</f>
        <v>0</v>
      </c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6" t="s">
        <v>34</v>
      </c>
      <c r="B101" s="176"/>
      <c r="C101" s="166" t="s">
        <v>122</v>
      </c>
      <c r="D101" s="166" t="s">
        <v>52</v>
      </c>
      <c r="E101" s="166" t="s">
        <v>123</v>
      </c>
      <c r="F101" s="166" t="s">
        <v>122</v>
      </c>
      <c r="G101" s="103">
        <f>('Thurs (2)'!G101+Thurs!G101+'Tues '!G101+Wed!G101+Fri!G101+'Mon '!G101+'Wed (2)'!G101+Sun!G101+Sat!G101)</f>
        <v>1</v>
      </c>
      <c r="H101" s="103">
        <f>('Thurs (2)'!H101+Thurs!H101+'Tues '!H101+Wed!H101+Fri!H101+'Mon '!H101+'Wed (2)'!H101+Sun!H101+Sat!H101)</f>
        <v>1</v>
      </c>
      <c r="I101" s="103">
        <f>('Thurs (2)'!I101+Thurs!I101+'Tues '!I101+Wed!I101+Fri!I101+'Mon '!I101+'Wed (2)'!I101+Sun!I101+Sat!I101)</f>
        <v>1</v>
      </c>
      <c r="J101" s="103">
        <f>('Thurs (2)'!J101+Thurs!J101+'Tues '!J101+Wed!J101+Fri!J101+'Mon '!J101+'Wed (2)'!J101+Sun!J101+Sat!J101)</f>
        <v>0</v>
      </c>
      <c r="K101" s="103">
        <f>('Thurs (2)'!K101+Thurs!K101+'Tues '!K101+Wed!K101+Fri!K101+'Mon '!K101+'Wed (2)'!K101+Sun!K101+Sat!K101)</f>
        <v>0</v>
      </c>
      <c r="L101" s="103">
        <f>('Thurs (2)'!L101+Thurs!L101+'Tues '!L101+Wed!L101+Fri!L101+'Mon '!L101+'Wed (2)'!L101+Sun!L101+Sat!L101)</f>
        <v>0</v>
      </c>
      <c r="M101" s="103">
        <f>('Thurs (2)'!M101+Thurs!M101+'Tues '!M101+Wed!M101+Fri!M101+'Mon '!M101+'Wed (2)'!M101+Sun!M101+Sat!M101)</f>
        <v>7</v>
      </c>
      <c r="N101" s="103">
        <f>('Thurs (2)'!N101+Thurs!N101+'Tues '!N101+Wed!N101+Fri!N101+'Mon '!N101+'Wed (2)'!N101+Sun!N101+Sat!N101)</f>
        <v>0</v>
      </c>
      <c r="O101" s="103">
        <f>('Thurs (2)'!O101+Thurs!O101+'Tues '!O101+Wed!O101+Fri!O101+'Mon '!O101+'Wed (2)'!O101+Sun!O101+Sat!O101)</f>
        <v>0</v>
      </c>
      <c r="P101" s="103">
        <f>('Thurs (2)'!P101+Thurs!P101+'Tues '!P101+Wed!P101+Fri!P101+'Mon '!P101+'Wed (2)'!P101+Sun!P101+Sat!P101)</f>
        <v>0</v>
      </c>
      <c r="Q101" s="103">
        <f>('Thurs (2)'!Q101+Thurs!Q101+'Tues '!Q101+Wed!Q101+Fri!Q101+'Mon '!Q101+'Wed (2)'!Q101+Sun!Q101+Sat!Q101)</f>
        <v>0</v>
      </c>
      <c r="R101" s="103">
        <f>('Thurs (2)'!R101+Thurs!R101+'Tues '!R101+Wed!R101+Fri!R101+'Mon '!R101+'Wed (2)'!R101+Sun!R101+Sat!R101)</f>
        <v>1</v>
      </c>
      <c r="S101" s="103">
        <f>('Thurs (2)'!S101+Thurs!S101+'Tues '!S101+Wed!S101+Fri!S101+'Mon '!S101+'Wed (2)'!S101+Sun!S101+Sat!S101)</f>
        <v>1</v>
      </c>
      <c r="T101" s="103">
        <f>('Thurs (2)'!T101+Thurs!T101+'Tues '!T101+Wed!T101+Fri!T101+'Mon '!T101+'Wed (2)'!T101+Sun!T101+Sat!T101)</f>
        <v>662.64</v>
      </c>
      <c r="U101" s="104">
        <f t="shared" si="10"/>
        <v>1</v>
      </c>
      <c r="V101" s="104">
        <f t="shared" si="11"/>
        <v>1</v>
      </c>
      <c r="W101" s="105"/>
    </row>
    <row r="102" ht="13.5" customHeight="1">
      <c r="A102" s="169" t="s">
        <v>34</v>
      </c>
      <c r="B102" s="170"/>
      <c r="C102" s="169" t="s">
        <v>122</v>
      </c>
      <c r="D102" s="170"/>
      <c r="E102" s="169"/>
      <c r="F102" s="169" t="s">
        <v>124</v>
      </c>
      <c r="G102" s="103">
        <f>('Thurs (2)'!G102+Thurs!G102+'Tues '!G102+Wed!G102+Fri!G102+'Mon '!G102+'Wed (2)'!G102+Sun!G102+Sat!G102)</f>
        <v>0</v>
      </c>
      <c r="H102" s="103">
        <f>('Thurs (2)'!H102+Thurs!H102+'Tues '!H102+Wed!H102+Fri!H102+'Mon '!H102+'Wed (2)'!H102+Sun!H102+Sat!H102)</f>
        <v>0</v>
      </c>
      <c r="I102" s="103">
        <f>('Thurs (2)'!I102+Thurs!I102+'Tues '!I102+Wed!I102+Fri!I102+'Mon '!I102+'Wed (2)'!I102+Sun!I102+Sat!I102)</f>
        <v>0</v>
      </c>
      <c r="J102" s="103">
        <f>('Thurs (2)'!J102+Thurs!J102+'Tues '!J102+Wed!J102+Fri!J102+'Mon '!J102+'Wed (2)'!J102+Sun!J102+Sat!J102)</f>
        <v>0</v>
      </c>
      <c r="K102" s="103">
        <f>('Thurs (2)'!K102+Thurs!K102+'Tues '!K102+Wed!K102+Fri!K102+'Mon '!K102+'Wed (2)'!K102+Sun!K102+Sat!K102)</f>
        <v>0</v>
      </c>
      <c r="L102" s="103">
        <f>('Thurs (2)'!L102+Thurs!L102+'Tues '!L102+Wed!L102+Fri!L102+'Mon '!L102+'Wed (2)'!L102+Sun!L102+Sat!L102)</f>
        <v>0</v>
      </c>
      <c r="M102" s="103">
        <f>('Thurs (2)'!M102+Thurs!M102+'Tues '!M102+Wed!M102+Fri!M102+'Mon '!M102+'Wed (2)'!M102+Sun!M102+Sat!M102)</f>
        <v>0</v>
      </c>
      <c r="N102" s="103">
        <f>('Thurs (2)'!N102+Thurs!N102+'Tues '!N102+Wed!N102+Fri!N102+'Mon '!N102+'Wed (2)'!N102+Sun!N102+Sat!N102)</f>
        <v>0</v>
      </c>
      <c r="O102" s="103">
        <f>('Thurs (2)'!O102+Thurs!O102+'Tues '!O102+Wed!O102+Fri!O102+'Mon '!O102+'Wed (2)'!O102+Sun!O102+Sat!O102)</f>
        <v>0</v>
      </c>
      <c r="P102" s="103">
        <f>('Thurs (2)'!P102+Thurs!P102+'Tues '!P102+Wed!P102+Fri!P102+'Mon '!P102+'Wed (2)'!P102+Sun!P102+Sat!P102)</f>
        <v>0</v>
      </c>
      <c r="Q102" s="103">
        <f>('Thurs (2)'!Q102+Thurs!Q102+'Tues '!Q102+Wed!Q102+Fri!Q102+'Mon '!Q102+'Wed (2)'!Q102+Sun!Q102+Sat!Q102)</f>
        <v>0</v>
      </c>
      <c r="R102" s="103">
        <f>('Thurs (2)'!R102+Thurs!R102+'Tues '!R102+Wed!R102+Fri!R102+'Mon '!R102+'Wed (2)'!R102+Sun!R102+Sat!R102)</f>
        <v>0</v>
      </c>
      <c r="S102" s="103">
        <f>('Thurs (2)'!S102+Thurs!S102+'Tues '!S102+Wed!S102+Fri!S102+'Mon '!S102+'Wed (2)'!S102+Sun!S102+Sat!S102)</f>
        <v>0</v>
      </c>
      <c r="T102" s="103">
        <f>('Thurs (2)'!T102+Thurs!T102+'Tues '!T102+Wed!T102+Fri!T102+'Mon '!T102+'Wed (2)'!T102+Sun!T102+Sat!T102)</f>
        <v>0</v>
      </c>
      <c r="U102" s="104">
        <f t="shared" si="10"/>
        <v>0</v>
      </c>
      <c r="V102" s="104">
        <f t="shared" si="11"/>
        <v>0</v>
      </c>
      <c r="W102" s="105"/>
    </row>
    <row r="103" ht="20.25" customHeight="1">
      <c r="A103" s="93" t="s">
        <v>36</v>
      </c>
      <c r="B103" s="94" t="s">
        <v>37</v>
      </c>
      <c r="C103" s="94" t="s">
        <v>38</v>
      </c>
      <c r="D103" s="95"/>
      <c r="E103" s="96" t="s">
        <v>39</v>
      </c>
      <c r="F103" s="94" t="s">
        <v>40</v>
      </c>
      <c r="G103" s="97" t="s">
        <v>41</v>
      </c>
      <c r="H103" s="97" t="s">
        <v>42</v>
      </c>
      <c r="I103" s="97" t="s">
        <v>43</v>
      </c>
      <c r="J103" s="97" t="s">
        <v>12</v>
      </c>
      <c r="K103" s="97" t="s">
        <v>44</v>
      </c>
      <c r="L103" s="97" t="s">
        <v>14</v>
      </c>
      <c r="M103" s="97" t="s">
        <v>9</v>
      </c>
      <c r="N103" s="97" t="s">
        <v>10</v>
      </c>
      <c r="O103" s="97" t="s">
        <v>45</v>
      </c>
      <c r="P103" s="97" t="s">
        <v>5</v>
      </c>
      <c r="Q103" s="97" t="s">
        <v>46</v>
      </c>
      <c r="R103" s="97" t="s">
        <v>47</v>
      </c>
      <c r="S103" s="97" t="s">
        <v>48</v>
      </c>
      <c r="T103" s="97" t="s">
        <v>0</v>
      </c>
      <c r="U103" s="96" t="s">
        <v>49</v>
      </c>
      <c r="V103" s="96" t="s">
        <v>50</v>
      </c>
      <c r="W103" s="98"/>
    </row>
    <row r="104">
      <c r="A104" s="111" t="s">
        <v>35</v>
      </c>
      <c r="B104" s="160"/>
      <c r="C104" s="111"/>
      <c r="D104" s="111" t="s">
        <v>52</v>
      </c>
      <c r="E104" s="111" t="s">
        <v>59</v>
      </c>
      <c r="F104" s="111" t="s">
        <v>35</v>
      </c>
      <c r="G104" s="103">
        <f>('Thurs (2)'!G104+Thurs!G104+'Tues '!G104+Wed!G104+Fri!G104+'Mon '!G104+'Wed (2)'!G104+Sun!G104+Sat!G104)</f>
        <v>0</v>
      </c>
      <c r="H104" s="103">
        <f>('Thurs (2)'!H104+Thurs!H104+'Tues '!H104+Wed!H104+Fri!H104+'Mon '!H104+'Wed (2)'!H104+Sun!H104+Sat!H104)</f>
        <v>0</v>
      </c>
      <c r="I104" s="103">
        <f>('Thurs (2)'!I104+Thurs!I104+'Tues '!I104+Wed!I104+Fri!I104+'Mon '!I104+'Wed (2)'!I104+Sun!I104+Sat!I104)</f>
        <v>0</v>
      </c>
      <c r="J104" s="103">
        <f>('Thurs (2)'!J104+Thurs!J104+'Tues '!J104+Wed!J104+Fri!J104+'Mon '!J104+'Wed (2)'!J104+Sun!J104+Sat!J104)</f>
        <v>0</v>
      </c>
      <c r="K104" s="103">
        <f>('Thurs (2)'!K104+Thurs!K104+'Tues '!K104+Wed!K104+Fri!K104+'Mon '!K104+'Wed (2)'!K104+Sun!K104+Sat!K104)</f>
        <v>0</v>
      </c>
      <c r="L104" s="103">
        <f>('Thurs (2)'!L104+Thurs!L104+'Tues '!L104+Wed!L104+Fri!L104+'Mon '!L104+'Wed (2)'!L104+Sun!L104+Sat!L104)</f>
        <v>0</v>
      </c>
      <c r="M104" s="103">
        <f>('Thurs (2)'!M104+Thurs!M104+'Tues '!M104+Wed!M104+Fri!M104+'Mon '!M104+'Wed (2)'!M104+Sun!M104+Sat!M104)</f>
        <v>0</v>
      </c>
      <c r="N104" s="103">
        <f>('Thurs (2)'!N104+Thurs!N104+'Tues '!N104+Wed!N104+Fri!N104+'Mon '!N104+'Wed (2)'!N104+Sun!N104+Sat!N104)</f>
        <v>0</v>
      </c>
      <c r="O104" s="103">
        <f>('Thurs (2)'!O104+Thurs!O104+'Tues '!O104+Wed!O104+Fri!O104+'Mon '!O104+'Wed (2)'!O104+Sun!O104+Sat!O104)</f>
        <v>0</v>
      </c>
      <c r="P104" s="103">
        <f>('Thurs (2)'!P104+Thurs!P104+'Tues '!P104+Wed!P104+Fri!P104+'Mon '!P104+'Wed (2)'!P104+Sun!P104+Sat!P104)</f>
        <v>0</v>
      </c>
      <c r="Q104" s="103">
        <f>('Thurs (2)'!Q104+Thurs!Q104+'Tues '!Q104+Wed!Q104+Fri!Q104+'Mon '!Q104+'Wed (2)'!Q104+Sun!Q104+Sat!Q104)</f>
        <v>0</v>
      </c>
      <c r="R104" s="103">
        <f>('Thurs (2)'!R104+Thurs!R104+'Tues '!R104+Wed!R104+Fri!R104+'Mon '!R104+'Wed (2)'!R104+Sun!R104+Sat!R104)</f>
        <v>0</v>
      </c>
      <c r="S104" s="103">
        <f>('Thurs (2)'!S104+Thurs!S104+'Tues '!S104+Wed!S104+Fri!S104+'Mon '!S104+'Wed (2)'!S104+Sun!S104+Sat!S104)</f>
        <v>0</v>
      </c>
      <c r="T104" s="103">
        <f>('Thurs (2)'!T104+Thurs!T104+'Tues '!T104+Wed!T104+Fri!T104+'Mon '!T104+'Wed (2)'!T104+Sun!T104+Sat!T104)</f>
        <v>0</v>
      </c>
      <c r="U104" s="145">
        <f t="shared" ref="U104:U105" si="12">IFERROR(I104/H104,0)</f>
        <v>0</v>
      </c>
      <c r="V104" s="145">
        <f t="shared" ref="V104:V105" si="13">IFERROR(SUM(H104+L104)/G104,0)</f>
        <v>0</v>
      </c>
      <c r="W104" s="146"/>
    </row>
    <row r="105">
      <c r="A105" s="117" t="s">
        <v>35</v>
      </c>
      <c r="B105" s="136"/>
      <c r="C105" s="117" t="s">
        <v>125</v>
      </c>
      <c r="D105" s="117" t="s">
        <v>52</v>
      </c>
      <c r="E105" s="117"/>
      <c r="F105" s="117" t="s">
        <v>125</v>
      </c>
      <c r="G105" s="103">
        <f>('Thurs (2)'!G105+Thurs!G105+'Tues '!G105+Wed!G105+Fri!G105+'Mon '!G105+'Wed (2)'!G105+Sun!G105+Sat!G105)</f>
        <v>0</v>
      </c>
      <c r="H105" s="103">
        <f>('Thurs (2)'!H105+Thurs!H105+'Tues '!H105+Wed!H105+Fri!H105+'Mon '!H105+'Wed (2)'!H105+Sun!H105+Sat!H105)</f>
        <v>0</v>
      </c>
      <c r="I105" s="103">
        <f>('Thurs (2)'!I105+Thurs!I105+'Tues '!I105+Wed!I105+Fri!I105+'Mon '!I105+'Wed (2)'!I105+Sun!I105+Sat!I105)</f>
        <v>0</v>
      </c>
      <c r="J105" s="103">
        <f>('Thurs (2)'!J105+Thurs!J105+'Tues '!J105+Wed!J105+Fri!J105+'Mon '!J105+'Wed (2)'!J105+Sun!J105+Sat!J105)</f>
        <v>0</v>
      </c>
      <c r="K105" s="103">
        <f>('Thurs (2)'!K105+Thurs!K105+'Tues '!K105+Wed!K105+Fri!K105+'Mon '!K105+'Wed (2)'!K105+Sun!K105+Sat!K105)</f>
        <v>0</v>
      </c>
      <c r="L105" s="103">
        <f>('Thurs (2)'!L105+Thurs!L105+'Tues '!L105+Wed!L105+Fri!L105+'Mon '!L105+'Wed (2)'!L105+Sun!L105+Sat!L105)</f>
        <v>0</v>
      </c>
      <c r="M105" s="103">
        <f>('Thurs (2)'!M105+Thurs!M105+'Tues '!M105+Wed!M105+Fri!M105+'Mon '!M105+'Wed (2)'!M105+Sun!M105+Sat!M105)</f>
        <v>0</v>
      </c>
      <c r="N105" s="103">
        <f>('Thurs (2)'!N105+Thurs!N105+'Tues '!N105+Wed!N105+Fri!N105+'Mon '!N105+'Wed (2)'!N105+Sun!N105+Sat!N105)</f>
        <v>0</v>
      </c>
      <c r="O105" s="103">
        <f>('Thurs (2)'!O105+Thurs!O105+'Tues '!O105+Wed!O105+Fri!O105+'Mon '!O105+'Wed (2)'!O105+Sun!O105+Sat!O105)</f>
        <v>0</v>
      </c>
      <c r="P105" s="103">
        <f>('Thurs (2)'!P105+Thurs!P105+'Tues '!P105+Wed!P105+Fri!P105+'Mon '!P105+'Wed (2)'!P105+Sun!P105+Sat!P105)</f>
        <v>0</v>
      </c>
      <c r="Q105" s="103">
        <f>('Thurs (2)'!Q105+Thurs!Q105+'Tues '!Q105+Wed!Q105+Fri!Q105+'Mon '!Q105+'Wed (2)'!Q105+Sun!Q105+Sat!Q105)</f>
        <v>0</v>
      </c>
      <c r="R105" s="103">
        <f>('Thurs (2)'!R105+Thurs!R105+'Tues '!R105+Wed!R105+Fri!R105+'Mon '!R105+'Wed (2)'!R105+Sun!R105+Sat!R105)</f>
        <v>0</v>
      </c>
      <c r="S105" s="103">
        <f>('Thurs (2)'!S105+Thurs!S105+'Tues '!S105+Wed!S105+Fri!S105+'Mon '!S105+'Wed (2)'!S105+Sun!S105+Sat!S105)</f>
        <v>0</v>
      </c>
      <c r="T105" s="103">
        <f>('Thurs (2)'!T105+Thurs!T105+'Tues '!T105+Wed!T105+Fri!T105+'Mon '!T105+'Wed (2)'!T105+Sun!T105+Sat!T105)</f>
        <v>0</v>
      </c>
      <c r="U105" s="145">
        <f t="shared" si="12"/>
        <v>0</v>
      </c>
      <c r="V105" s="145">
        <f t="shared" si="13"/>
        <v>0</v>
      </c>
      <c r="W105" s="146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77"/>
      <c r="B618" s="177"/>
      <c r="C618" s="177"/>
      <c r="D618" s="1"/>
      <c r="E618" s="177"/>
      <c r="F618" s="178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80"/>
      <c r="V618" s="180"/>
      <c r="W618" s="180"/>
    </row>
    <row r="619" ht="12.75" customHeight="1">
      <c r="A619" s="177"/>
      <c r="B619" s="177"/>
      <c r="C619" s="177"/>
      <c r="D619" s="1"/>
      <c r="E619" s="177"/>
      <c r="F619" s="178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80"/>
      <c r="V619" s="180"/>
      <c r="W619" s="180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27169.08</v>
      </c>
      <c r="D2" s="10"/>
      <c r="E2" s="11">
        <f t="shared" ref="E2:R2" si="1">SUM(E5,E20,E23,E26,E29,E32)</f>
        <v>12770.08</v>
      </c>
      <c r="F2" s="11">
        <f t="shared" si="1"/>
        <v>66</v>
      </c>
      <c r="G2" s="11">
        <f t="shared" si="1"/>
        <v>39</v>
      </c>
      <c r="H2" s="11">
        <f t="shared" si="1"/>
        <v>20</v>
      </c>
      <c r="I2" s="11">
        <f t="shared" si="1"/>
        <v>3</v>
      </c>
      <c r="J2" s="11">
        <f t="shared" si="1"/>
        <v>2</v>
      </c>
      <c r="K2" s="11">
        <f t="shared" si="1"/>
        <v>13</v>
      </c>
      <c r="L2" s="11">
        <f t="shared" si="1"/>
        <v>7</v>
      </c>
      <c r="M2" s="11">
        <f t="shared" si="1"/>
        <v>168</v>
      </c>
      <c r="N2" s="11">
        <f t="shared" si="1"/>
        <v>20</v>
      </c>
      <c r="O2" s="11">
        <f t="shared" si="1"/>
        <v>10</v>
      </c>
      <c r="P2" s="11">
        <f t="shared" si="1"/>
        <v>12</v>
      </c>
      <c r="Q2" s="11">
        <f t="shared" si="1"/>
        <v>7</v>
      </c>
      <c r="R2" s="11">
        <f t="shared" si="1"/>
        <v>6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64</v>
      </c>
      <c r="D4" s="22"/>
      <c r="E4" s="23">
        <f>IFERROR(C2/H2,0)</f>
        <v>1358.454</v>
      </c>
      <c r="F4" s="24">
        <f>IFERROR((G2+R2)/F2,0)</f>
        <v>0.6818181818</v>
      </c>
      <c r="G4" s="24">
        <f>IFERROR(H2/G2,0)</f>
        <v>0.5128205128</v>
      </c>
      <c r="H4" s="23">
        <f>(C2/C4)</f>
        <v>424.516875</v>
      </c>
      <c r="I4" s="25"/>
      <c r="J4" s="24">
        <f>IFERROR(J2/I2,0)</f>
        <v>0.6666666667</v>
      </c>
      <c r="K4" s="25"/>
      <c r="L4" s="24">
        <f>IFERROR(L2/K2,0)</f>
        <v>0.5384615385</v>
      </c>
      <c r="M4" s="26">
        <f>IFERROR(M2/G2,0)</f>
        <v>4.307692308</v>
      </c>
      <c r="N4" s="25"/>
      <c r="O4" s="24">
        <f>IFERROR(O2/N2,0)</f>
        <v>0.5</v>
      </c>
      <c r="P4" s="26"/>
      <c r="Q4" s="24">
        <f>IFERROR(Q2/P2,0)</f>
        <v>0.5833333333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9892</v>
      </c>
      <c r="D5" s="31"/>
      <c r="E5" s="32">
        <f>SUMIFS(T:T,A:A,B5,D:D,"Y")</f>
        <v>4405</v>
      </c>
      <c r="F5" s="11">
        <f>SUMIF(A:A,B5,G:G)</f>
        <v>26</v>
      </c>
      <c r="G5" s="11">
        <f>SUMIF(A:A,B5,H:H)</f>
        <v>16</v>
      </c>
      <c r="H5" s="11">
        <f>SUMIF(A:A,B5,I:I)</f>
        <v>7</v>
      </c>
      <c r="I5" s="11">
        <f>SUMIF(A:A,B5,P:P)</f>
        <v>3</v>
      </c>
      <c r="J5" s="11">
        <f>SUMIF(A:A,B5,Q:Q)</f>
        <v>2</v>
      </c>
      <c r="K5" s="11">
        <f>SUMIF(A:A,B5,R:R)</f>
        <v>5</v>
      </c>
      <c r="L5" s="11">
        <f>SUMIF(A:A,B5,S:S)</f>
        <v>2</v>
      </c>
      <c r="M5" s="11">
        <f>SUMIF(A:A,B5,M:M)</f>
        <v>68</v>
      </c>
      <c r="N5" s="11">
        <f>SUMIF(A:A,B5,N:N)</f>
        <v>9</v>
      </c>
      <c r="O5" s="11">
        <f>SUMIF(A:A,B5,O:O)</f>
        <v>3</v>
      </c>
      <c r="P5" s="11">
        <f>SUMIF(A:A,B5,J:J)</f>
        <v>10</v>
      </c>
      <c r="Q5" s="11">
        <f>SUMIF(A:A,B5,K:K)</f>
        <v>4</v>
      </c>
      <c r="R5" s="33">
        <f>SUMIF(A:A,B5,L:L)</f>
        <v>3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25</v>
      </c>
      <c r="D7" s="39"/>
      <c r="E7" s="40">
        <f>IFERROR(C5/H5,0)</f>
        <v>1413.142857</v>
      </c>
      <c r="F7" s="41">
        <f>IFERROR((G5+R5)/F5,0)</f>
        <v>0.7307692308</v>
      </c>
      <c r="G7" s="41">
        <f>IFERROR(H5/G5,0)</f>
        <v>0.4375</v>
      </c>
      <c r="H7" s="40">
        <f>(C5/C7)</f>
        <v>395.68</v>
      </c>
      <c r="I7" s="42"/>
      <c r="J7" s="41">
        <f>IFERROR(J5/I5,0)</f>
        <v>0.6666666667</v>
      </c>
      <c r="K7" s="42"/>
      <c r="L7" s="41">
        <f>IFERROR(L5/K5,0)</f>
        <v>0.4</v>
      </c>
      <c r="M7" s="43">
        <f>IFERROR(M5/SUM(R5+G5,0),"")</f>
        <v>3.578947368</v>
      </c>
      <c r="N7" s="42"/>
      <c r="O7" s="41">
        <f>IFERROR(O5/N5,0)</f>
        <v>0.3333333333</v>
      </c>
      <c r="P7" s="43"/>
      <c r="Q7" s="41">
        <f>IFERROR(Q5/P5,0)</f>
        <v>0.4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3940</v>
      </c>
      <c r="D8" s="47"/>
      <c r="E8" s="48">
        <f>SUMIFS(T:T,B:B,B8,D:D,"Y")</f>
        <v>1256</v>
      </c>
      <c r="F8" s="49">
        <f>SUMIF(B37:B1137,B8,G37:G1137)</f>
        <v>4</v>
      </c>
      <c r="G8" s="50">
        <f>SUMIF(B37:B1137,B8,H37:H1137)</f>
        <v>5</v>
      </c>
      <c r="H8" s="50">
        <f>SUMIF(B37:B1137,B8,I37:I1137)</f>
        <v>3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1</v>
      </c>
      <c r="L8" s="50">
        <f>SUMIF(B37:B1137,B8,S37:S1137)</f>
        <v>1</v>
      </c>
      <c r="M8" s="50">
        <f>SUMIF(B37:B1137,B8,M37:M1137)</f>
        <v>34</v>
      </c>
      <c r="N8" s="50">
        <f>SUMIF(B37:B1137,B8,N37:N1137)</f>
        <v>4</v>
      </c>
      <c r="O8" s="50">
        <f>SUMIF(B37:B1137,B8,O37:O1137)</f>
        <v>2</v>
      </c>
      <c r="P8" s="50">
        <f>SUMIF(B37:B1137,B8,J37:J1137)</f>
        <v>5</v>
      </c>
      <c r="Q8" s="50">
        <f>SUMIF(B37:B1137,B8,K37:K1137)</f>
        <v>3</v>
      </c>
      <c r="R8" s="51">
        <f>SUMIF(B37:B1137,B8,L37:L1137)</f>
        <v>0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1313.333333</v>
      </c>
      <c r="F10" s="24">
        <f>IFERROR((G8+R8)/F8,0)</f>
        <v>1.25</v>
      </c>
      <c r="G10" s="24">
        <f>IFERROR(H8/G8,0)</f>
        <v>0.6</v>
      </c>
      <c r="H10" s="23">
        <f>(C8/C10)</f>
        <v>788</v>
      </c>
      <c r="I10" s="25"/>
      <c r="J10" s="24">
        <f>IFERROR(J8/I8,0)</f>
        <v>0</v>
      </c>
      <c r="K10" s="25"/>
      <c r="L10" s="24">
        <f>IFERROR(L8/K8,0)</f>
        <v>1</v>
      </c>
      <c r="M10" s="26">
        <f>IFERROR(M8/SUM(G8+R8,0),"")</f>
        <v>6.8</v>
      </c>
      <c r="N10" s="25"/>
      <c r="O10" s="24">
        <f>IFERROR(O8/N8,0)</f>
        <v>0.5</v>
      </c>
      <c r="P10" s="26"/>
      <c r="Q10" s="24">
        <f>IFERROR(Q8/P8,0)</f>
        <v>0.6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4872</v>
      </c>
      <c r="D11" s="60"/>
      <c r="E11" s="48">
        <f>SUMIFS(T:T,B:B,B11,D:D,"Y")</f>
        <v>2069</v>
      </c>
      <c r="F11" s="49">
        <f>SUMIF(B39:B1137,B11,G39:G1137)</f>
        <v>17</v>
      </c>
      <c r="G11" s="50">
        <f>SUMIF(B39:B1137,B11,H39:H1137)</f>
        <v>8</v>
      </c>
      <c r="H11" s="50">
        <f>SUMIF(B39:B1137,B11,I39:I1137)</f>
        <v>3</v>
      </c>
      <c r="I11" s="50">
        <f>SUMIF(B39:B1137,B11,P39:P1137)</f>
        <v>2</v>
      </c>
      <c r="J11" s="50">
        <f>SUMIF(B39:B1137,B11,Q39:Q1137)</f>
        <v>1</v>
      </c>
      <c r="K11" s="50">
        <f>SUMIF(B39:B1137,B11,R39:R1137)</f>
        <v>1</v>
      </c>
      <c r="L11" s="50">
        <f>SUMIF(B39:B1137,B11,S39:S1137)</f>
        <v>1</v>
      </c>
      <c r="M11" s="50">
        <f>SUMIF(B39:B1137,B11,M39:M1137)</f>
        <v>25</v>
      </c>
      <c r="N11" s="50">
        <f>SUMIF(B39:B1137,B11,N39:N1137)</f>
        <v>5</v>
      </c>
      <c r="O11" s="50">
        <f>SUMIF(B39:B1137,B11,O39:O1137)</f>
        <v>1</v>
      </c>
      <c r="P11" s="50">
        <f>SUMIF(B39:B1137,B11,J39:J1137)</f>
        <v>3</v>
      </c>
      <c r="Q11" s="50">
        <f>SUMIF(B39:B1137,B11,K39:K1137)</f>
        <v>1</v>
      </c>
      <c r="R11" s="51">
        <f>SUMIF(B39:B1137,B11,L39:L1137)</f>
        <v>1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8</v>
      </c>
      <c r="D13" s="56"/>
      <c r="E13" s="23">
        <f>IFERROR(C11/H11,0)</f>
        <v>1624</v>
      </c>
      <c r="F13" s="24">
        <f>IFERROR((G11+R11)/F11,0)</f>
        <v>0.5294117647</v>
      </c>
      <c r="G13" s="24">
        <f>IFERROR(H11/G11,0)</f>
        <v>0.375</v>
      </c>
      <c r="H13" s="23">
        <f>(C11/C13)</f>
        <v>609</v>
      </c>
      <c r="I13" s="25"/>
      <c r="J13" s="24">
        <f>IFERROR(J11/I11,0)</f>
        <v>0.5</v>
      </c>
      <c r="K13" s="25"/>
      <c r="L13" s="24">
        <f>IFERROR(L11/K11,0)</f>
        <v>1</v>
      </c>
      <c r="M13" s="26">
        <f>IFERROR(M11/SUM(R11+G11,0),"")</f>
        <v>2.777777778</v>
      </c>
      <c r="N13" s="25"/>
      <c r="O13" s="24">
        <f>IFERROR(O11/N11,0)</f>
        <v>0.2</v>
      </c>
      <c r="P13" s="26"/>
      <c r="Q13" s="24">
        <f>IFERROR(Q11/P11,0)</f>
        <v>0.3333333333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0</v>
      </c>
      <c r="D14" s="60"/>
      <c r="E14" s="48">
        <f>SUMIFS(T:T,B:B,B14,D:D,"Y")</f>
        <v>0</v>
      </c>
      <c r="F14" s="49">
        <f>SUMIF(B39:B1137,B14,G39:G1137)</f>
        <v>3</v>
      </c>
      <c r="G14" s="50">
        <f>SUMIF(B39:B1137,B14,H39:H1137)</f>
        <v>2</v>
      </c>
      <c r="H14" s="50">
        <f>SUMIF(B39:B1137,B14,I39:I1137)</f>
        <v>0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3</v>
      </c>
      <c r="L14" s="50">
        <f>SUMIF(B39:B1137,B14,S39:S1137)</f>
        <v>0</v>
      </c>
      <c r="M14" s="50">
        <f>SUMIF(B39:B1137,B14,M39:M1137)</f>
        <v>9</v>
      </c>
      <c r="N14" s="50">
        <f>SUMIF(B39:B1137,B14,N39:N1137)</f>
        <v>0</v>
      </c>
      <c r="O14" s="50">
        <f>SUMIF(B39:B1137,B14,O39:O1137)</f>
        <v>0</v>
      </c>
      <c r="P14" s="50">
        <f>SUMIF(B39:B1137,B14,J39:J1137)</f>
        <v>2</v>
      </c>
      <c r="Q14" s="50">
        <f>SUMIF(B39:B1137,B14,K39:K1137)</f>
        <v>0</v>
      </c>
      <c r="R14" s="51">
        <f>SUMIF(B39:B1137,B14,L39:L1137)</f>
        <v>2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8</v>
      </c>
      <c r="D16" s="56"/>
      <c r="E16" s="23">
        <f>IFERROR(C14/H14,0)</f>
        <v>0</v>
      </c>
      <c r="F16" s="24">
        <f>IFERROR((G14+R14)/F14,0)</f>
        <v>1.333333333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IFERROR(M14/SUM(R14+G14,0),"")</f>
        <v>2.25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1080</v>
      </c>
      <c r="D17" s="60"/>
      <c r="E17" s="48">
        <f>SUMIFS(T:T,B:B,B17,D:D,"Y")</f>
        <v>1080</v>
      </c>
      <c r="F17" s="49">
        <f>SUMIF(B45:B1137,B17,G45:G1137)</f>
        <v>2</v>
      </c>
      <c r="G17" s="50">
        <f>SUMIF(B45:B1137,B17,H45:H1137)</f>
        <v>1</v>
      </c>
      <c r="H17" s="50">
        <f>SUMIF(B45:B1137,B17,I45:I1137)</f>
        <v>1</v>
      </c>
      <c r="I17" s="50">
        <f>SUMIF(B45:B1137,B17,P45:P1137)</f>
        <v>1</v>
      </c>
      <c r="J17" s="50">
        <f>SUMIF(B45:B1137,B17,Q45:Q1137)</f>
        <v>1</v>
      </c>
      <c r="K17" s="50">
        <f>SUMIF(B45:B1137,B17,R45:R1137)</f>
        <v>0</v>
      </c>
      <c r="L17" s="50">
        <f>SUMIF(B45:B1137,B17,S45:S1137)</f>
        <v>0</v>
      </c>
      <c r="M17" s="50">
        <f>SUMIF(B45:B1137,B17,M45:M1137)</f>
        <v>0</v>
      </c>
      <c r="N17" s="50">
        <f>SUMIF(B45:B1137,B17,N45:N1137)</f>
        <v>0</v>
      </c>
      <c r="O17" s="50">
        <f>SUMIF(B45:B1137,B17,O45:O1137)</f>
        <v>0</v>
      </c>
      <c r="P17" s="50">
        <f>SUMIF(B45:B1137,B17,J45:J1137)</f>
        <v>0</v>
      </c>
      <c r="Q17" s="50">
        <f>SUMIF(B45:B1137,B17,K45:K1137)</f>
        <v>0</v>
      </c>
      <c r="R17" s="51">
        <f>SUMIF(B45:B1137,B17,L45:L1137)</f>
        <v>0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COUNTIFS(B45:B1137,B17)</f>
        <v>3</v>
      </c>
      <c r="D19" s="56"/>
      <c r="E19" s="23">
        <f>IFERROR(C17/H17,0)</f>
        <v>1080</v>
      </c>
      <c r="F19" s="24">
        <f>IFERROR((G17+R17)/F17,0)</f>
        <v>0.5</v>
      </c>
      <c r="G19" s="24">
        <f>IFERROR(H17/G17,0)</f>
        <v>1</v>
      </c>
      <c r="H19" s="23">
        <f>(C17/C19)</f>
        <v>360</v>
      </c>
      <c r="I19" s="25"/>
      <c r="J19" s="24">
        <f>IFERROR(J17/I17,0)</f>
        <v>1</v>
      </c>
      <c r="K19" s="25"/>
      <c r="L19" s="24">
        <f>IFERROR(L17/K17,0)</f>
        <v>0</v>
      </c>
      <c r="M19" s="26">
        <f>IFERROR(M17/SUM(R17+G17,0),"")</f>
        <v>0</v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6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5626</v>
      </c>
      <c r="D23" s="31"/>
      <c r="E23" s="64">
        <f>SUMIFS(T:T,A:A,B23,D:D,"Y")</f>
        <v>3471</v>
      </c>
      <c r="F23" s="9">
        <f>SUMIF(A:A,B23,G:G)</f>
        <v>7</v>
      </c>
      <c r="G23" s="11">
        <f>SUMIF(A:A,B23,H:H)</f>
        <v>5</v>
      </c>
      <c r="H23" s="11">
        <f>SUMIF(A:A,B23,I:I)</f>
        <v>4</v>
      </c>
      <c r="I23" s="11">
        <f>SUMIF(A:A,B23,P:P)</f>
        <v>0</v>
      </c>
      <c r="J23" s="11">
        <f>SUMIF(A:A,B23,Q:Q)</f>
        <v>0</v>
      </c>
      <c r="K23" s="11">
        <f>SUMIF(A:A,B23,R:R)</f>
        <v>2</v>
      </c>
      <c r="L23" s="11">
        <f>SUMIF(A:A,B23,S:S)</f>
        <v>2</v>
      </c>
      <c r="M23" s="11">
        <f>SUMIF(A:A,B23,M:M)</f>
        <v>15</v>
      </c>
      <c r="N23" s="11">
        <f>SUMIF(A:A,B23,N:N)</f>
        <v>1</v>
      </c>
      <c r="O23" s="11">
        <f>SUMIF(A:A,B23,O:O)</f>
        <v>1</v>
      </c>
      <c r="P23" s="11">
        <f>SUMIF(A:A,B23,J:J)</f>
        <v>2</v>
      </c>
      <c r="Q23" s="11">
        <f>SUMIF(A:A,B23,K:K)</f>
        <v>3</v>
      </c>
      <c r="R23" s="33">
        <f>SUMIF(A:A,B23,L:L)</f>
        <v>2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1406.5</v>
      </c>
      <c r="F25" s="24">
        <f>IFERROR((G23+R23)/F23,0)</f>
        <v>1</v>
      </c>
      <c r="G25" s="24">
        <f>IFERROR(H23/G23,0)</f>
        <v>0.8</v>
      </c>
      <c r="H25" s="23">
        <f>(C23/C25)</f>
        <v>562.6</v>
      </c>
      <c r="I25" s="25"/>
      <c r="J25" s="24">
        <f>IFERROR(J23/I23,0)</f>
        <v>0</v>
      </c>
      <c r="K25" s="25"/>
      <c r="L25" s="24">
        <f>IFERROR(L23/K23,0)</f>
        <v>1</v>
      </c>
      <c r="M25" s="26">
        <f>IFERROR(M23/SUM(R23+G23,0),"")</f>
        <v>2.142857143</v>
      </c>
      <c r="N25" s="25"/>
      <c r="O25" s="24">
        <f>IFERROR(O23/N23,0)</f>
        <v>1</v>
      </c>
      <c r="P25" s="26"/>
      <c r="Q25" s="24">
        <f>IFERROR(Q23/P23,0)</f>
        <v>1.5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0</v>
      </c>
      <c r="D26" s="31"/>
      <c r="E26" s="64">
        <f>SUMIFS(T:T,A:A,B26,D:D,"Y")</f>
        <v>0</v>
      </c>
      <c r="F26" s="9">
        <f>SUMIF(A:A,B26,G:G)</f>
        <v>1</v>
      </c>
      <c r="G26" s="11">
        <f>SUMIF(A:A,B26,H:H)</f>
        <v>1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1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1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0</v>
      </c>
      <c r="F28" s="24">
        <f>IFERROR((G26+R26)/F26,0)</f>
        <v>2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>
        <f>IFERROR(M26/SUM(R26+G26,0),"")</f>
        <v>0</v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11651.08</v>
      </c>
      <c r="D29" s="68"/>
      <c r="E29" s="69">
        <f>SUMIFS(T:T,A:A,B29,D:D,"Y")</f>
        <v>4894.08</v>
      </c>
      <c r="F29" s="70">
        <f>SUMIF(A:A,B29,G:G)</f>
        <v>26</v>
      </c>
      <c r="G29" s="71">
        <f>SUMIF(A:A,B29,H:H)</f>
        <v>17</v>
      </c>
      <c r="H29" s="71">
        <f>SUMIF(A:A,B29,I:I)</f>
        <v>9</v>
      </c>
      <c r="I29" s="71">
        <f>SUMIF(A:A,B29,P:P)</f>
        <v>0</v>
      </c>
      <c r="J29" s="71">
        <f>SUMIF(A:A,B29,Q:Q)</f>
        <v>0</v>
      </c>
      <c r="K29" s="71">
        <f>SUMIF(A:A,B29,R:R)</f>
        <v>5</v>
      </c>
      <c r="L29" s="71">
        <f>SUMIF(A:A,B29,S:S)</f>
        <v>3</v>
      </c>
      <c r="M29" s="71">
        <f>SUMIF(A:A,B29,M:M)</f>
        <v>85</v>
      </c>
      <c r="N29" s="71">
        <f>SUMIF(A:A,B29,N:N)</f>
        <v>10</v>
      </c>
      <c r="O29" s="71">
        <f>SUMIF(A:A,B29,O:O)</f>
        <v>6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1294.564444</v>
      </c>
      <c r="F31" s="82">
        <f>IFERROR((G29+R29)/F29,0)</f>
        <v>0.6538461538</v>
      </c>
      <c r="G31" s="82">
        <f>IFERROR(H29/G29,0)</f>
        <v>0.5294117647</v>
      </c>
      <c r="H31" s="81">
        <f>(C29/C31)</f>
        <v>685.3576471</v>
      </c>
      <c r="I31" s="83"/>
      <c r="J31" s="82">
        <f>IFERROR(J29/I29,0)</f>
        <v>0</v>
      </c>
      <c r="K31" s="83"/>
      <c r="L31" s="82">
        <f>IFERROR(L29/K29,0)</f>
        <v>0.6</v>
      </c>
      <c r="M31" s="84">
        <f>IFERROR(M29/SUM(R29+G29,0),"")</f>
        <v>5</v>
      </c>
      <c r="N31" s="83"/>
      <c r="O31" s="82">
        <f>IFERROR(O29/N29,0)</f>
        <v>0.6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1" si="2">IFERROR(I37/H37,0)</f>
        <v>0</v>
      </c>
      <c r="V37" s="104">
        <f t="shared" ref="V37:V61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85">
        <v>3.0</v>
      </c>
      <c r="H39" s="185">
        <v>3.0</v>
      </c>
      <c r="I39" s="185">
        <v>1.0</v>
      </c>
      <c r="J39" s="185">
        <v>3.0</v>
      </c>
      <c r="K39" s="185">
        <v>1.0</v>
      </c>
      <c r="L39" s="185">
        <v>0.0</v>
      </c>
      <c r="M39" s="185">
        <v>16.0</v>
      </c>
      <c r="N39" s="185">
        <v>3.0</v>
      </c>
      <c r="O39" s="185">
        <v>1.0</v>
      </c>
      <c r="P39" s="185">
        <v>0.0</v>
      </c>
      <c r="Q39" s="185">
        <v>0.0</v>
      </c>
      <c r="R39" s="185">
        <v>0.0</v>
      </c>
      <c r="S39" s="185">
        <v>0.0</v>
      </c>
      <c r="T39" s="185">
        <v>0.0</v>
      </c>
      <c r="U39" s="104">
        <f t="shared" si="2"/>
        <v>0.3333333333</v>
      </c>
      <c r="V39" s="104">
        <f t="shared" si="3"/>
        <v>1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85">
        <v>0.0</v>
      </c>
      <c r="H40" s="185">
        <v>0.0</v>
      </c>
      <c r="I40" s="185">
        <v>0.0</v>
      </c>
      <c r="J40" s="185">
        <v>0.0</v>
      </c>
      <c r="K40" s="185">
        <v>0.0</v>
      </c>
      <c r="L40" s="185">
        <v>0.0</v>
      </c>
      <c r="M40" s="185">
        <v>0.0</v>
      </c>
      <c r="N40" s="185">
        <v>0.0</v>
      </c>
      <c r="O40" s="185">
        <v>0.0</v>
      </c>
      <c r="P40" s="185">
        <v>0.0</v>
      </c>
      <c r="Q40" s="185">
        <v>0.0</v>
      </c>
      <c r="R40" s="185">
        <v>0.0</v>
      </c>
      <c r="S40" s="185">
        <v>0.0</v>
      </c>
      <c r="T40" s="185">
        <v>0.0</v>
      </c>
      <c r="U40" s="104">
        <f t="shared" si="2"/>
        <v>0</v>
      </c>
      <c r="V40" s="104">
        <f t="shared" si="3"/>
        <v>0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85">
        <v>0.0</v>
      </c>
      <c r="H41" s="185">
        <v>1.0</v>
      </c>
      <c r="I41" s="185">
        <v>1.0</v>
      </c>
      <c r="J41" s="185">
        <v>1.0</v>
      </c>
      <c r="K41" s="185">
        <v>1.0</v>
      </c>
      <c r="L41" s="185">
        <v>0.0</v>
      </c>
      <c r="M41" s="185">
        <v>6.0</v>
      </c>
      <c r="N41" s="185">
        <v>1.0</v>
      </c>
      <c r="O41" s="185">
        <v>1.0</v>
      </c>
      <c r="P41" s="185">
        <v>0.0</v>
      </c>
      <c r="Q41" s="185">
        <v>0.0</v>
      </c>
      <c r="R41" s="185">
        <v>0.0</v>
      </c>
      <c r="S41" s="185">
        <v>0.0</v>
      </c>
      <c r="T41" s="185">
        <v>1256.0</v>
      </c>
      <c r="U41" s="104">
        <f t="shared" si="2"/>
        <v>1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85">
        <v>1.0</v>
      </c>
      <c r="H42" s="185">
        <v>1.0</v>
      </c>
      <c r="I42" s="185">
        <v>1.0</v>
      </c>
      <c r="J42" s="185">
        <v>1.0</v>
      </c>
      <c r="K42" s="185">
        <v>1.0</v>
      </c>
      <c r="L42" s="185">
        <v>0.0</v>
      </c>
      <c r="M42" s="185">
        <v>12.0</v>
      </c>
      <c r="N42" s="185">
        <v>0.0</v>
      </c>
      <c r="O42" s="185">
        <v>0.0</v>
      </c>
      <c r="P42" s="185">
        <v>0.0</v>
      </c>
      <c r="Q42" s="185">
        <v>0.0</v>
      </c>
      <c r="R42" s="185">
        <v>1.0</v>
      </c>
      <c r="S42" s="185">
        <v>1.0</v>
      </c>
      <c r="T42" s="185">
        <v>2684.0</v>
      </c>
      <c r="U42" s="104">
        <f t="shared" si="2"/>
        <v>1</v>
      </c>
      <c r="V42" s="104">
        <f t="shared" si="3"/>
        <v>1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85">
        <v>8.0</v>
      </c>
      <c r="H43" s="185">
        <v>2.0</v>
      </c>
      <c r="I43" s="185">
        <v>1.0</v>
      </c>
      <c r="J43" s="185">
        <v>0.0</v>
      </c>
      <c r="K43" s="185">
        <v>0.0</v>
      </c>
      <c r="L43" s="185">
        <v>0.0</v>
      </c>
      <c r="M43" s="185">
        <v>0.0</v>
      </c>
      <c r="N43" s="185">
        <v>0.0</v>
      </c>
      <c r="O43" s="185">
        <v>0.0</v>
      </c>
      <c r="P43" s="185">
        <v>2.0</v>
      </c>
      <c r="Q43" s="185">
        <v>1.0</v>
      </c>
      <c r="R43" s="185">
        <v>0.0</v>
      </c>
      <c r="S43" s="185">
        <v>0.0</v>
      </c>
      <c r="T43" s="185">
        <v>2069.0</v>
      </c>
      <c r="U43" s="104">
        <f t="shared" si="2"/>
        <v>0.5</v>
      </c>
      <c r="V43" s="104">
        <f t="shared" si="3"/>
        <v>0.25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62</v>
      </c>
      <c r="F44" s="126" t="s">
        <v>63</v>
      </c>
      <c r="G44" s="185">
        <v>0.0</v>
      </c>
      <c r="H44" s="185">
        <v>0.0</v>
      </c>
      <c r="I44" s="185">
        <v>0.0</v>
      </c>
      <c r="J44" s="185">
        <v>0.0</v>
      </c>
      <c r="K44" s="185">
        <v>0.0</v>
      </c>
      <c r="L44" s="185">
        <v>0.0</v>
      </c>
      <c r="M44" s="185">
        <v>0.0</v>
      </c>
      <c r="N44" s="185">
        <v>0.0</v>
      </c>
      <c r="O44" s="185">
        <v>0.0</v>
      </c>
      <c r="P44" s="185">
        <v>0.0</v>
      </c>
      <c r="Q44" s="185">
        <v>0.0</v>
      </c>
      <c r="R44" s="185">
        <v>0.0</v>
      </c>
      <c r="S44" s="185">
        <v>0.0</v>
      </c>
      <c r="T44" s="185">
        <v>0.0</v>
      </c>
      <c r="U44" s="104">
        <f t="shared" si="2"/>
        <v>0</v>
      </c>
      <c r="V44" s="104">
        <f t="shared" si="3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58</v>
      </c>
      <c r="F45" s="126" t="s">
        <v>64</v>
      </c>
      <c r="G45" s="185">
        <v>0.0</v>
      </c>
      <c r="H45" s="185">
        <v>0.0</v>
      </c>
      <c r="I45" s="185">
        <v>0.0</v>
      </c>
      <c r="J45" s="185">
        <v>0.0</v>
      </c>
      <c r="K45" s="185">
        <v>0.0</v>
      </c>
      <c r="L45" s="185">
        <v>0.0</v>
      </c>
      <c r="M45" s="185">
        <v>0.0</v>
      </c>
      <c r="N45" s="185">
        <v>0.0</v>
      </c>
      <c r="O45" s="185">
        <v>0.0</v>
      </c>
      <c r="P45" s="185">
        <v>0.0</v>
      </c>
      <c r="Q45" s="185">
        <v>0.0</v>
      </c>
      <c r="R45" s="185">
        <v>0.0</v>
      </c>
      <c r="S45" s="185">
        <v>0.0</v>
      </c>
      <c r="T45" s="185">
        <v>0.0</v>
      </c>
      <c r="U45" s="104">
        <f t="shared" si="2"/>
        <v>0</v>
      </c>
      <c r="V45" s="104">
        <f t="shared" si="3"/>
        <v>0</v>
      </c>
      <c r="W45" s="105"/>
    </row>
    <row r="46" ht="12.75" customHeight="1">
      <c r="A46" s="125" t="s">
        <v>26</v>
      </c>
      <c r="B46" s="99" t="s">
        <v>28</v>
      </c>
      <c r="C46" s="126"/>
      <c r="D46" s="101"/>
      <c r="E46" s="126" t="s">
        <v>53</v>
      </c>
      <c r="F46" s="126" t="s">
        <v>65</v>
      </c>
      <c r="G46" s="185">
        <v>2.0</v>
      </c>
      <c r="H46" s="185">
        <v>2.0</v>
      </c>
      <c r="I46" s="185">
        <v>1.0</v>
      </c>
      <c r="J46" s="185">
        <v>2.0</v>
      </c>
      <c r="K46" s="185">
        <v>1.0</v>
      </c>
      <c r="L46" s="185">
        <v>0.0</v>
      </c>
      <c r="M46" s="185">
        <v>9.0</v>
      </c>
      <c r="N46" s="185">
        <v>1.0</v>
      </c>
      <c r="O46" s="185">
        <v>0.0</v>
      </c>
      <c r="P46" s="185">
        <v>0.0</v>
      </c>
      <c r="Q46" s="185">
        <v>0.0</v>
      </c>
      <c r="R46" s="185">
        <v>1.0</v>
      </c>
      <c r="S46" s="185">
        <v>1.0</v>
      </c>
      <c r="T46" s="185">
        <v>1603.0</v>
      </c>
      <c r="U46" s="104">
        <f t="shared" si="2"/>
        <v>0.5</v>
      </c>
      <c r="V46" s="104">
        <f t="shared" si="3"/>
        <v>1</v>
      </c>
      <c r="W46" s="105"/>
    </row>
    <row r="47" ht="12.75" customHeight="1">
      <c r="A47" s="117" t="s">
        <v>26</v>
      </c>
      <c r="B47" s="127" t="s">
        <v>28</v>
      </c>
      <c r="C47" s="128" t="s">
        <v>66</v>
      </c>
      <c r="D47" s="129" t="s">
        <v>52</v>
      </c>
      <c r="E47" s="117" t="s">
        <v>67</v>
      </c>
      <c r="F47" s="128" t="s">
        <v>68</v>
      </c>
      <c r="G47" s="185">
        <v>1.0</v>
      </c>
      <c r="H47" s="185">
        <v>2.0</v>
      </c>
      <c r="I47" s="185">
        <v>0.0</v>
      </c>
      <c r="J47" s="185">
        <v>1.0</v>
      </c>
      <c r="K47" s="185">
        <v>0.0</v>
      </c>
      <c r="L47" s="185">
        <v>1.0</v>
      </c>
      <c r="M47" s="185">
        <v>4.0</v>
      </c>
      <c r="N47" s="185">
        <v>2.0</v>
      </c>
      <c r="O47" s="185">
        <v>0.0</v>
      </c>
      <c r="P47" s="185">
        <v>0.0</v>
      </c>
      <c r="Q47" s="185">
        <v>0.0</v>
      </c>
      <c r="R47" s="185">
        <v>0.0</v>
      </c>
      <c r="S47" s="185">
        <v>0.0</v>
      </c>
      <c r="T47" s="185">
        <v>0.0</v>
      </c>
      <c r="U47" s="104">
        <f t="shared" si="2"/>
        <v>0</v>
      </c>
      <c r="V47" s="104">
        <f t="shared" si="3"/>
        <v>3</v>
      </c>
      <c r="W47" s="105"/>
    </row>
    <row r="48" ht="12.75" customHeight="1">
      <c r="A48" s="119" t="s">
        <v>26</v>
      </c>
      <c r="B48" s="130" t="s">
        <v>28</v>
      </c>
      <c r="C48" s="120" t="s">
        <v>66</v>
      </c>
      <c r="D48" s="131"/>
      <c r="E48" s="120"/>
      <c r="F48" s="120" t="s">
        <v>69</v>
      </c>
      <c r="G48" s="185">
        <v>3.0</v>
      </c>
      <c r="H48" s="185">
        <v>1.0</v>
      </c>
      <c r="I48" s="185">
        <v>1.0</v>
      </c>
      <c r="J48" s="185">
        <v>0.0</v>
      </c>
      <c r="K48" s="185">
        <v>0.0</v>
      </c>
      <c r="L48" s="185">
        <v>0.0</v>
      </c>
      <c r="M48" s="185">
        <v>4.0</v>
      </c>
      <c r="N48" s="185">
        <v>1.0</v>
      </c>
      <c r="O48" s="185">
        <v>1.0</v>
      </c>
      <c r="P48" s="185">
        <v>0.0</v>
      </c>
      <c r="Q48" s="185">
        <v>0.0</v>
      </c>
      <c r="R48" s="185">
        <v>0.0</v>
      </c>
      <c r="S48" s="185">
        <v>0.0</v>
      </c>
      <c r="T48" s="185">
        <v>1200.0</v>
      </c>
      <c r="U48" s="104">
        <f t="shared" si="2"/>
        <v>1</v>
      </c>
      <c r="V48" s="104">
        <f t="shared" si="3"/>
        <v>0.3333333333</v>
      </c>
      <c r="W48" s="105"/>
    </row>
    <row r="49" ht="12.75" customHeight="1">
      <c r="A49" s="119" t="s">
        <v>26</v>
      </c>
      <c r="B49" s="130" t="s">
        <v>28</v>
      </c>
      <c r="C49" s="120" t="s">
        <v>66</v>
      </c>
      <c r="D49" s="131"/>
      <c r="E49" s="120"/>
      <c r="F49" s="120" t="s">
        <v>70</v>
      </c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4">
        <f t="shared" si="2"/>
        <v>0</v>
      </c>
      <c r="V49" s="104">
        <f t="shared" si="3"/>
        <v>0</v>
      </c>
      <c r="W49" s="105"/>
    </row>
    <row r="50" ht="12.75" customHeight="1">
      <c r="A50" s="119" t="s">
        <v>26</v>
      </c>
      <c r="B50" s="130" t="s">
        <v>28</v>
      </c>
      <c r="C50" s="120" t="s">
        <v>66</v>
      </c>
      <c r="D50" s="131"/>
      <c r="E50" s="120"/>
      <c r="F50" s="120" t="s">
        <v>71</v>
      </c>
      <c r="G50" s="185">
        <v>3.0</v>
      </c>
      <c r="H50" s="185">
        <v>1.0</v>
      </c>
      <c r="I50" s="185">
        <v>0.0</v>
      </c>
      <c r="J50" s="185">
        <v>0.0</v>
      </c>
      <c r="K50" s="185">
        <v>0.0</v>
      </c>
      <c r="L50" s="185">
        <v>0.0</v>
      </c>
      <c r="M50" s="185">
        <v>8.0</v>
      </c>
      <c r="N50" s="185">
        <v>1.0</v>
      </c>
      <c r="O50" s="185">
        <v>0.0</v>
      </c>
      <c r="P50" s="185">
        <v>0.0</v>
      </c>
      <c r="Q50" s="185">
        <v>0.0</v>
      </c>
      <c r="R50" s="185">
        <v>0.0</v>
      </c>
      <c r="S50" s="185">
        <v>0.0</v>
      </c>
      <c r="T50" s="185">
        <v>0.0</v>
      </c>
      <c r="U50" s="104">
        <f t="shared" si="2"/>
        <v>0</v>
      </c>
      <c r="V50" s="104">
        <f t="shared" si="3"/>
        <v>0.3333333333</v>
      </c>
      <c r="W50" s="105"/>
    </row>
    <row r="51" ht="12.75" customHeight="1">
      <c r="A51" s="106" t="s">
        <v>26</v>
      </c>
      <c r="B51" s="109" t="s">
        <v>29</v>
      </c>
      <c r="C51" s="109"/>
      <c r="D51" s="132" t="s">
        <v>52</v>
      </c>
      <c r="E51" s="109" t="s">
        <v>72</v>
      </c>
      <c r="F51" s="133" t="s">
        <v>29</v>
      </c>
      <c r="G51" s="185">
        <v>1.0</v>
      </c>
      <c r="H51" s="185">
        <v>1.0</v>
      </c>
      <c r="I51" s="185">
        <v>0.0</v>
      </c>
      <c r="J51" s="185">
        <v>0.0</v>
      </c>
      <c r="K51" s="185">
        <v>0.0</v>
      </c>
      <c r="L51" s="185">
        <v>1.0</v>
      </c>
      <c r="M51" s="185">
        <v>0.0</v>
      </c>
      <c r="N51" s="185">
        <v>0.0</v>
      </c>
      <c r="O51" s="185">
        <v>0.0</v>
      </c>
      <c r="P51" s="185">
        <v>0.0</v>
      </c>
      <c r="Q51" s="185">
        <v>0.0</v>
      </c>
      <c r="R51" s="185">
        <v>1.0</v>
      </c>
      <c r="S51" s="185">
        <v>0.0</v>
      </c>
      <c r="T51" s="185">
        <v>0.0</v>
      </c>
      <c r="U51" s="104">
        <f t="shared" si="2"/>
        <v>0</v>
      </c>
      <c r="V51" s="104">
        <f t="shared" si="3"/>
        <v>2</v>
      </c>
      <c r="W51" s="105"/>
    </row>
    <row r="52" ht="13.5" customHeight="1">
      <c r="A52" s="113" t="s">
        <v>26</v>
      </c>
      <c r="B52" s="114" t="s">
        <v>29</v>
      </c>
      <c r="C52" s="114"/>
      <c r="D52" s="134"/>
      <c r="E52" s="114" t="s">
        <v>59</v>
      </c>
      <c r="F52" s="114" t="s">
        <v>73</v>
      </c>
      <c r="G52" s="185">
        <v>0.0</v>
      </c>
      <c r="H52" s="185">
        <v>0.0</v>
      </c>
      <c r="I52" s="185">
        <v>0.0</v>
      </c>
      <c r="J52" s="185">
        <v>0.0</v>
      </c>
      <c r="K52" s="185">
        <v>0.0</v>
      </c>
      <c r="L52" s="185">
        <v>0.0</v>
      </c>
      <c r="M52" s="185">
        <v>0.0</v>
      </c>
      <c r="N52" s="185">
        <v>0.0</v>
      </c>
      <c r="O52" s="185">
        <v>0.0</v>
      </c>
      <c r="P52" s="185">
        <v>0.0</v>
      </c>
      <c r="Q52" s="185">
        <v>0.0</v>
      </c>
      <c r="R52" s="185">
        <v>0.0</v>
      </c>
      <c r="S52" s="185">
        <v>0.0</v>
      </c>
      <c r="T52" s="185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13" t="s">
        <v>26</v>
      </c>
      <c r="B53" s="114" t="s">
        <v>29</v>
      </c>
      <c r="C53" s="114"/>
      <c r="D53" s="134"/>
      <c r="E53" s="114" t="s">
        <v>72</v>
      </c>
      <c r="F53" s="114" t="s">
        <v>74</v>
      </c>
      <c r="G53" s="185">
        <v>0.0</v>
      </c>
      <c r="H53" s="185">
        <v>0.0</v>
      </c>
      <c r="I53" s="185">
        <v>0.0</v>
      </c>
      <c r="J53" s="185">
        <v>0.0</v>
      </c>
      <c r="K53" s="185">
        <v>0.0</v>
      </c>
      <c r="L53" s="185">
        <v>0.0</v>
      </c>
      <c r="M53" s="185">
        <v>0.0</v>
      </c>
      <c r="N53" s="185">
        <v>0.0</v>
      </c>
      <c r="O53" s="185">
        <v>0.0</v>
      </c>
      <c r="P53" s="185">
        <v>0.0</v>
      </c>
      <c r="Q53" s="185">
        <v>0.0</v>
      </c>
      <c r="R53" s="185">
        <v>0.0</v>
      </c>
      <c r="S53" s="185">
        <v>0.0</v>
      </c>
      <c r="T53" s="185">
        <v>0.0</v>
      </c>
      <c r="U53" s="104">
        <f t="shared" si="2"/>
        <v>0</v>
      </c>
      <c r="V53" s="104">
        <f t="shared" si="3"/>
        <v>0</v>
      </c>
      <c r="W53" s="105"/>
    </row>
    <row r="54" ht="13.5" customHeight="1">
      <c r="A54" s="135" t="s">
        <v>26</v>
      </c>
      <c r="B54" s="127" t="s">
        <v>29</v>
      </c>
      <c r="C54" s="117" t="s">
        <v>75</v>
      </c>
      <c r="D54" s="136" t="s">
        <v>52</v>
      </c>
      <c r="E54" s="117" t="s">
        <v>76</v>
      </c>
      <c r="F54" s="117" t="s">
        <v>75</v>
      </c>
      <c r="G54" s="185">
        <v>1.0</v>
      </c>
      <c r="H54" s="185">
        <v>0.0</v>
      </c>
      <c r="I54" s="185">
        <v>0.0</v>
      </c>
      <c r="J54" s="185">
        <v>1.0</v>
      </c>
      <c r="K54" s="185">
        <v>0.0</v>
      </c>
      <c r="L54" s="185">
        <v>1.0</v>
      </c>
      <c r="M54" s="185">
        <v>2.0</v>
      </c>
      <c r="N54" s="185">
        <v>0.0</v>
      </c>
      <c r="O54" s="185">
        <v>0.0</v>
      </c>
      <c r="P54" s="185">
        <v>0.0</v>
      </c>
      <c r="Q54" s="185">
        <v>0.0</v>
      </c>
      <c r="R54" s="185">
        <v>1.0</v>
      </c>
      <c r="S54" s="185">
        <v>0.0</v>
      </c>
      <c r="T54" s="185">
        <v>0.0</v>
      </c>
      <c r="U54" s="104">
        <f t="shared" si="2"/>
        <v>0</v>
      </c>
      <c r="V54" s="104">
        <f t="shared" si="3"/>
        <v>1</v>
      </c>
      <c r="W54" s="105"/>
    </row>
    <row r="55" ht="13.5" customHeight="1">
      <c r="A55" s="137" t="s">
        <v>26</v>
      </c>
      <c r="B55" s="130" t="s">
        <v>29</v>
      </c>
      <c r="C55" s="120" t="s">
        <v>75</v>
      </c>
      <c r="D55" s="138"/>
      <c r="E55" s="120" t="s">
        <v>59</v>
      </c>
      <c r="F55" s="120" t="s">
        <v>77</v>
      </c>
      <c r="G55" s="185">
        <v>1.0</v>
      </c>
      <c r="H55" s="185">
        <v>1.0</v>
      </c>
      <c r="I55" s="185">
        <v>0.0</v>
      </c>
      <c r="J55" s="185">
        <v>1.0</v>
      </c>
      <c r="K55" s="185">
        <v>0.0</v>
      </c>
      <c r="L55" s="185">
        <v>0.0</v>
      </c>
      <c r="M55" s="185">
        <v>7.0</v>
      </c>
      <c r="N55" s="185">
        <v>0.0</v>
      </c>
      <c r="O55" s="185">
        <v>0.0</v>
      </c>
      <c r="P55" s="185">
        <v>0.0</v>
      </c>
      <c r="Q55" s="185">
        <v>0.0</v>
      </c>
      <c r="R55" s="185">
        <v>1.0</v>
      </c>
      <c r="S55" s="185">
        <v>0.0</v>
      </c>
      <c r="T55" s="185">
        <v>0.0</v>
      </c>
      <c r="U55" s="104">
        <f t="shared" si="2"/>
        <v>0</v>
      </c>
      <c r="V55" s="104">
        <f t="shared" si="3"/>
        <v>1</v>
      </c>
      <c r="W55" s="105"/>
    </row>
    <row r="56" ht="13.5" customHeight="1">
      <c r="A56" s="137" t="s">
        <v>26</v>
      </c>
      <c r="B56" s="130" t="s">
        <v>29</v>
      </c>
      <c r="C56" s="120" t="s">
        <v>75</v>
      </c>
      <c r="D56" s="138"/>
      <c r="E56" s="120" t="s">
        <v>59</v>
      </c>
      <c r="F56" s="120" t="s">
        <v>78</v>
      </c>
      <c r="G56" s="185">
        <v>0.0</v>
      </c>
      <c r="H56" s="185">
        <v>0.0</v>
      </c>
      <c r="I56" s="185">
        <v>0.0</v>
      </c>
      <c r="J56" s="185">
        <v>0.0</v>
      </c>
      <c r="K56" s="185">
        <v>0.0</v>
      </c>
      <c r="L56" s="185">
        <v>0.0</v>
      </c>
      <c r="M56" s="185">
        <v>0.0</v>
      </c>
      <c r="N56" s="185">
        <v>0.0</v>
      </c>
      <c r="O56" s="185">
        <v>0.0</v>
      </c>
      <c r="P56" s="185">
        <v>0.0</v>
      </c>
      <c r="Q56" s="185">
        <v>0.0</v>
      </c>
      <c r="R56" s="185">
        <v>0.0</v>
      </c>
      <c r="S56" s="185">
        <v>0.0</v>
      </c>
      <c r="T56" s="185">
        <v>0.0</v>
      </c>
      <c r="U56" s="104">
        <f t="shared" si="2"/>
        <v>0</v>
      </c>
      <c r="V56" s="104">
        <f t="shared" si="3"/>
        <v>0</v>
      </c>
      <c r="W56" s="105"/>
    </row>
    <row r="57" ht="13.5" customHeight="1">
      <c r="A57" s="137" t="s">
        <v>26</v>
      </c>
      <c r="B57" s="130" t="s">
        <v>29</v>
      </c>
      <c r="C57" s="120" t="s">
        <v>75</v>
      </c>
      <c r="D57" s="138"/>
      <c r="E57" s="120" t="s">
        <v>59</v>
      </c>
      <c r="F57" s="120" t="s">
        <v>79</v>
      </c>
      <c r="G57" s="185">
        <v>0.0</v>
      </c>
      <c r="H57" s="185">
        <v>0.0</v>
      </c>
      <c r="I57" s="185">
        <v>0.0</v>
      </c>
      <c r="J57" s="185">
        <v>0.0</v>
      </c>
      <c r="K57" s="185">
        <v>0.0</v>
      </c>
      <c r="L57" s="185">
        <v>0.0</v>
      </c>
      <c r="M57" s="185">
        <v>0.0</v>
      </c>
      <c r="N57" s="185">
        <v>0.0</v>
      </c>
      <c r="O57" s="185">
        <v>0.0</v>
      </c>
      <c r="P57" s="185">
        <v>0.0</v>
      </c>
      <c r="Q57" s="185">
        <v>0.0</v>
      </c>
      <c r="R57" s="185">
        <v>0.0</v>
      </c>
      <c r="S57" s="185">
        <v>0.0</v>
      </c>
      <c r="T57" s="185">
        <v>0.0</v>
      </c>
      <c r="U57" s="104">
        <f t="shared" si="2"/>
        <v>0</v>
      </c>
      <c r="V57" s="104">
        <f t="shared" si="3"/>
        <v>0</v>
      </c>
      <c r="W57" s="105"/>
    </row>
    <row r="58" ht="13.5" customHeight="1">
      <c r="A58" s="137" t="s">
        <v>26</v>
      </c>
      <c r="B58" s="130" t="s">
        <v>29</v>
      </c>
      <c r="C58" s="120" t="s">
        <v>75</v>
      </c>
      <c r="D58" s="138"/>
      <c r="E58" s="120" t="s">
        <v>80</v>
      </c>
      <c r="F58" s="120" t="s">
        <v>81</v>
      </c>
      <c r="G58" s="185">
        <v>0.0</v>
      </c>
      <c r="H58" s="185">
        <v>0.0</v>
      </c>
      <c r="I58" s="185">
        <v>0.0</v>
      </c>
      <c r="J58" s="185">
        <v>0.0</v>
      </c>
      <c r="K58" s="185">
        <v>0.0</v>
      </c>
      <c r="L58" s="185">
        <v>0.0</v>
      </c>
      <c r="M58" s="185">
        <v>0.0</v>
      </c>
      <c r="N58" s="185">
        <v>0.0</v>
      </c>
      <c r="O58" s="185">
        <v>0.0</v>
      </c>
      <c r="P58" s="185">
        <v>0.0</v>
      </c>
      <c r="Q58" s="185">
        <v>0.0</v>
      </c>
      <c r="R58" s="185">
        <v>0.0</v>
      </c>
      <c r="S58" s="185">
        <v>0.0</v>
      </c>
      <c r="T58" s="185">
        <v>0.0</v>
      </c>
      <c r="U58" s="104">
        <f t="shared" si="2"/>
        <v>0</v>
      </c>
      <c r="V58" s="104">
        <f t="shared" si="3"/>
        <v>0</v>
      </c>
      <c r="W58" s="105"/>
    </row>
    <row r="59" ht="15.0" customHeight="1">
      <c r="A59" s="106" t="s">
        <v>26</v>
      </c>
      <c r="B59" s="107" t="s">
        <v>30</v>
      </c>
      <c r="C59" s="107"/>
      <c r="D59" s="109" t="s">
        <v>52</v>
      </c>
      <c r="E59" s="107" t="s">
        <v>82</v>
      </c>
      <c r="F59" s="107" t="s">
        <v>30</v>
      </c>
      <c r="G59" s="185">
        <v>2.0</v>
      </c>
      <c r="H59" s="185">
        <v>1.0</v>
      </c>
      <c r="I59" s="185">
        <v>1.0</v>
      </c>
      <c r="J59" s="185">
        <v>0.0</v>
      </c>
      <c r="K59" s="185">
        <v>0.0</v>
      </c>
      <c r="L59" s="185">
        <v>0.0</v>
      </c>
      <c r="M59" s="185">
        <v>0.0</v>
      </c>
      <c r="N59" s="185">
        <v>0.0</v>
      </c>
      <c r="O59" s="185">
        <v>0.0</v>
      </c>
      <c r="P59" s="185">
        <v>1.0</v>
      </c>
      <c r="Q59" s="185">
        <v>1.0</v>
      </c>
      <c r="R59" s="185">
        <v>0.0</v>
      </c>
      <c r="S59" s="185">
        <v>0.0</v>
      </c>
      <c r="T59" s="185">
        <v>1080.0</v>
      </c>
      <c r="U59" s="104">
        <f t="shared" si="2"/>
        <v>1</v>
      </c>
      <c r="V59" s="104">
        <f t="shared" si="3"/>
        <v>0.5</v>
      </c>
      <c r="W59" s="105"/>
    </row>
    <row r="60" ht="15.0" customHeight="1">
      <c r="A60" s="110" t="s">
        <v>26</v>
      </c>
      <c r="B60" s="111" t="s">
        <v>30</v>
      </c>
      <c r="C60" s="111" t="s">
        <v>83</v>
      </c>
      <c r="D60" s="111" t="s">
        <v>52</v>
      </c>
      <c r="E60" s="111" t="s">
        <v>82</v>
      </c>
      <c r="F60" s="111" t="s">
        <v>83</v>
      </c>
      <c r="G60" s="185">
        <v>0.0</v>
      </c>
      <c r="H60" s="185">
        <v>0.0</v>
      </c>
      <c r="I60" s="185">
        <v>0.0</v>
      </c>
      <c r="J60" s="185">
        <v>0.0</v>
      </c>
      <c r="K60" s="185">
        <v>0.0</v>
      </c>
      <c r="L60" s="185">
        <v>0.0</v>
      </c>
      <c r="M60" s="185">
        <v>0.0</v>
      </c>
      <c r="N60" s="185">
        <v>0.0</v>
      </c>
      <c r="O60" s="185">
        <v>0.0</v>
      </c>
      <c r="P60" s="185">
        <v>0.0</v>
      </c>
      <c r="Q60" s="185">
        <v>0.0</v>
      </c>
      <c r="R60" s="185">
        <v>0.0</v>
      </c>
      <c r="S60" s="185">
        <v>0.0</v>
      </c>
      <c r="T60" s="185">
        <v>0.0</v>
      </c>
      <c r="U60" s="104">
        <f t="shared" si="2"/>
        <v>0</v>
      </c>
      <c r="V60" s="104">
        <f t="shared" si="3"/>
        <v>0</v>
      </c>
      <c r="W60" s="105"/>
    </row>
    <row r="61" ht="15.0" customHeight="1">
      <c r="A61" s="113" t="s">
        <v>26</v>
      </c>
      <c r="B61" s="114" t="s">
        <v>30</v>
      </c>
      <c r="C61" s="114" t="s">
        <v>83</v>
      </c>
      <c r="D61" s="139"/>
      <c r="E61" s="114" t="s">
        <v>82</v>
      </c>
      <c r="F61" s="114" t="s">
        <v>84</v>
      </c>
      <c r="G61" s="185">
        <v>0.0</v>
      </c>
      <c r="H61" s="185">
        <v>0.0</v>
      </c>
      <c r="I61" s="185">
        <v>0.0</v>
      </c>
      <c r="J61" s="185">
        <v>0.0</v>
      </c>
      <c r="K61" s="185">
        <v>0.0</v>
      </c>
      <c r="L61" s="185">
        <v>0.0</v>
      </c>
      <c r="M61" s="185">
        <v>0.0</v>
      </c>
      <c r="N61" s="185">
        <v>0.0</v>
      </c>
      <c r="O61" s="185">
        <v>0.0</v>
      </c>
      <c r="P61" s="185">
        <v>0.0</v>
      </c>
      <c r="Q61" s="185">
        <v>0.0</v>
      </c>
      <c r="R61" s="185">
        <v>0.0</v>
      </c>
      <c r="S61" s="185">
        <v>0.0</v>
      </c>
      <c r="T61" s="185">
        <v>0.0</v>
      </c>
      <c r="U61" s="104">
        <f t="shared" si="2"/>
        <v>0</v>
      </c>
      <c r="V61" s="104">
        <f t="shared" si="3"/>
        <v>0</v>
      </c>
      <c r="W61" s="105"/>
    </row>
    <row r="62" ht="20.25" customHeight="1">
      <c r="A62" s="93" t="s">
        <v>36</v>
      </c>
      <c r="B62" s="94" t="s">
        <v>37</v>
      </c>
      <c r="C62" s="94" t="s">
        <v>38</v>
      </c>
      <c r="D62" s="95"/>
      <c r="E62" s="96" t="s">
        <v>39</v>
      </c>
      <c r="F62" s="94" t="s">
        <v>40</v>
      </c>
      <c r="G62" s="97" t="s">
        <v>41</v>
      </c>
      <c r="H62" s="97" t="s">
        <v>42</v>
      </c>
      <c r="I62" s="97" t="s">
        <v>43</v>
      </c>
      <c r="J62" s="97" t="s">
        <v>12</v>
      </c>
      <c r="K62" s="97" t="s">
        <v>44</v>
      </c>
      <c r="L62" s="97" t="s">
        <v>14</v>
      </c>
      <c r="M62" s="97" t="s">
        <v>9</v>
      </c>
      <c r="N62" s="97" t="s">
        <v>10</v>
      </c>
      <c r="O62" s="97" t="s">
        <v>45</v>
      </c>
      <c r="P62" s="97" t="s">
        <v>5</v>
      </c>
      <c r="Q62" s="97" t="s">
        <v>46</v>
      </c>
      <c r="R62" s="97" t="s">
        <v>47</v>
      </c>
      <c r="S62" s="97" t="s">
        <v>48</v>
      </c>
      <c r="T62" s="97" t="s">
        <v>0</v>
      </c>
      <c r="U62" s="96" t="s">
        <v>49</v>
      </c>
      <c r="V62" s="96" t="s">
        <v>50</v>
      </c>
      <c r="W62" s="98"/>
    </row>
    <row r="63" ht="12.75" customHeight="1">
      <c r="A63" s="140" t="s">
        <v>31</v>
      </c>
      <c r="B63" s="141"/>
      <c r="C63" s="141"/>
      <c r="D63" s="142" t="s">
        <v>52</v>
      </c>
      <c r="E63" s="102" t="s">
        <v>85</v>
      </c>
      <c r="F63" s="102" t="s">
        <v>31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>IFERROR(I63/H63,0)</f>
        <v>0</v>
      </c>
      <c r="V63" s="104">
        <f t="shared" ref="V63:V67" si="4">IFERROR(SUM(H63+L63)/G63,0)</f>
        <v>0</v>
      </c>
      <c r="W63" s="105"/>
    </row>
    <row r="64" ht="12.75" customHeight="1">
      <c r="A64" s="143" t="s">
        <v>31</v>
      </c>
      <c r="B64" s="144"/>
      <c r="C64" s="127" t="s">
        <v>86</v>
      </c>
      <c r="D64" s="127" t="s">
        <v>52</v>
      </c>
      <c r="E64" s="127"/>
      <c r="F64" s="127" t="s">
        <v>86</v>
      </c>
      <c r="G64" s="185">
        <v>3.0</v>
      </c>
      <c r="H64" s="185">
        <v>0.0</v>
      </c>
      <c r="I64" s="185">
        <v>0.0</v>
      </c>
      <c r="J64" s="185">
        <v>0.0</v>
      </c>
      <c r="K64" s="185">
        <v>0.0</v>
      </c>
      <c r="L64" s="185">
        <v>0.0</v>
      </c>
      <c r="M64" s="185">
        <v>0.0</v>
      </c>
      <c r="N64" s="185">
        <v>0.0</v>
      </c>
      <c r="O64" s="185">
        <v>0.0</v>
      </c>
      <c r="P64" s="185">
        <v>0.0</v>
      </c>
      <c r="Q64" s="185">
        <v>0.0</v>
      </c>
      <c r="R64" s="185">
        <v>0.0</v>
      </c>
      <c r="S64" s="185">
        <v>0.0</v>
      </c>
      <c r="T64" s="185">
        <v>0.0</v>
      </c>
      <c r="U64" s="186">
        <v>0.0</v>
      </c>
      <c r="V64" s="145">
        <f t="shared" si="4"/>
        <v>0</v>
      </c>
      <c r="W64" s="146"/>
    </row>
    <row r="65" ht="12.75" customHeight="1">
      <c r="A65" s="147" t="s">
        <v>31</v>
      </c>
      <c r="B65" s="148"/>
      <c r="C65" s="120" t="s">
        <v>86</v>
      </c>
      <c r="D65" s="117"/>
      <c r="E65" s="120"/>
      <c r="F65" s="120" t="s">
        <v>87</v>
      </c>
      <c r="G65" s="185">
        <v>3.0</v>
      </c>
      <c r="H65" s="185">
        <v>0.0</v>
      </c>
      <c r="I65" s="185">
        <v>0.0</v>
      </c>
      <c r="J65" s="185">
        <v>0.0</v>
      </c>
      <c r="K65" s="185">
        <v>0.0</v>
      </c>
      <c r="L65" s="185">
        <v>0.0</v>
      </c>
      <c r="M65" s="185">
        <v>0.0</v>
      </c>
      <c r="N65" s="185">
        <v>0.0</v>
      </c>
      <c r="O65" s="185">
        <v>0.0</v>
      </c>
      <c r="P65" s="185">
        <v>0.0</v>
      </c>
      <c r="Q65" s="103"/>
      <c r="R65" s="185">
        <v>0.0</v>
      </c>
      <c r="S65" s="185">
        <v>0.0</v>
      </c>
      <c r="T65" s="185">
        <v>0.0</v>
      </c>
      <c r="U65" s="186">
        <v>0.0</v>
      </c>
      <c r="V65" s="145">
        <f t="shared" si="4"/>
        <v>0</v>
      </c>
      <c r="W65" s="146"/>
    </row>
    <row r="66" ht="12.75" customHeight="1">
      <c r="A66" s="149" t="s">
        <v>31</v>
      </c>
      <c r="B66" s="150"/>
      <c r="C66" s="151" t="s">
        <v>88</v>
      </c>
      <c r="D66" s="151"/>
      <c r="E66" s="151"/>
      <c r="F66" s="151" t="s">
        <v>88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5">
        <f t="shared" ref="U66:U67" si="5">IFERROR(I66/H66,0)</f>
        <v>0</v>
      </c>
      <c r="V66" s="145">
        <f t="shared" si="4"/>
        <v>0</v>
      </c>
      <c r="W66" s="146"/>
    </row>
    <row r="67" ht="12.75" customHeight="1">
      <c r="A67" s="152" t="s">
        <v>31</v>
      </c>
      <c r="B67" s="153"/>
      <c r="C67" s="154" t="s">
        <v>88</v>
      </c>
      <c r="D67" s="151"/>
      <c r="E67" s="154" t="s">
        <v>89</v>
      </c>
      <c r="F67" s="154" t="s">
        <v>90</v>
      </c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45">
        <f t="shared" si="5"/>
        <v>0</v>
      </c>
      <c r="V67" s="145">
        <f t="shared" si="4"/>
        <v>0</v>
      </c>
      <c r="W67" s="146"/>
    </row>
    <row r="68" ht="20.25" customHeight="1">
      <c r="A68" s="93" t="s">
        <v>36</v>
      </c>
      <c r="B68" s="94" t="s">
        <v>37</v>
      </c>
      <c r="C68" s="94" t="s">
        <v>38</v>
      </c>
      <c r="D68" s="95"/>
      <c r="E68" s="96" t="s">
        <v>39</v>
      </c>
      <c r="F68" s="94" t="s">
        <v>40</v>
      </c>
      <c r="G68" s="97" t="s">
        <v>41</v>
      </c>
      <c r="H68" s="97" t="s">
        <v>42</v>
      </c>
      <c r="I68" s="97" t="s">
        <v>43</v>
      </c>
      <c r="J68" s="97" t="s">
        <v>12</v>
      </c>
      <c r="K68" s="97" t="s">
        <v>44</v>
      </c>
      <c r="L68" s="97" t="s">
        <v>14</v>
      </c>
      <c r="M68" s="97" t="s">
        <v>9</v>
      </c>
      <c r="N68" s="97" t="s">
        <v>10</v>
      </c>
      <c r="O68" s="97" t="s">
        <v>45</v>
      </c>
      <c r="P68" s="97" t="s">
        <v>5</v>
      </c>
      <c r="Q68" s="97" t="s">
        <v>46</v>
      </c>
      <c r="R68" s="97" t="s">
        <v>47</v>
      </c>
      <c r="S68" s="97" t="s">
        <v>48</v>
      </c>
      <c r="T68" s="97" t="s">
        <v>0</v>
      </c>
      <c r="U68" s="96" t="s">
        <v>49</v>
      </c>
      <c r="V68" s="96" t="s">
        <v>50</v>
      </c>
      <c r="W68" s="98"/>
    </row>
    <row r="69" ht="13.5" customHeight="1">
      <c r="A69" s="155" t="s">
        <v>32</v>
      </c>
      <c r="B69" s="156"/>
      <c r="C69" s="157"/>
      <c r="D69" s="158" t="s">
        <v>52</v>
      </c>
      <c r="E69" s="156" t="s">
        <v>91</v>
      </c>
      <c r="F69" s="156" t="s">
        <v>32</v>
      </c>
      <c r="G69" s="185">
        <v>1.0</v>
      </c>
      <c r="H69" s="185">
        <v>1.0</v>
      </c>
      <c r="I69" s="185">
        <v>1.0</v>
      </c>
      <c r="J69" s="185">
        <v>1.0</v>
      </c>
      <c r="K69" s="185">
        <v>1.0</v>
      </c>
      <c r="L69" s="185">
        <v>0.0</v>
      </c>
      <c r="M69" s="185">
        <v>3.0</v>
      </c>
      <c r="N69" s="185">
        <v>1.0</v>
      </c>
      <c r="O69" s="185">
        <v>1.0</v>
      </c>
      <c r="P69" s="103"/>
      <c r="Q69" s="185">
        <v>0.0</v>
      </c>
      <c r="R69" s="185">
        <v>0.0</v>
      </c>
      <c r="S69" s="185">
        <v>0.0</v>
      </c>
      <c r="T69" s="185">
        <v>3471.0</v>
      </c>
      <c r="U69" s="104">
        <f t="shared" ref="U69:U78" si="6">IFERROR(I69/H69,0)</f>
        <v>1</v>
      </c>
      <c r="V69" s="104">
        <f t="shared" ref="V69:V78" si="7">IFERROR(SUM(H69+L69)/G69,0)</f>
        <v>1</v>
      </c>
      <c r="W69" s="105"/>
    </row>
    <row r="70" ht="13.5" customHeight="1">
      <c r="A70" s="114" t="s">
        <v>32</v>
      </c>
      <c r="B70" s="114"/>
      <c r="C70" s="159"/>
      <c r="D70" s="134"/>
      <c r="E70" s="114" t="s">
        <v>91</v>
      </c>
      <c r="F70" s="114" t="s">
        <v>92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91</v>
      </c>
      <c r="F71" s="114" t="s">
        <v>93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91</v>
      </c>
      <c r="F72" s="114" t="s">
        <v>94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91</v>
      </c>
      <c r="F73" s="114" t="s">
        <v>95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91</v>
      </c>
      <c r="F74" s="114" t="s">
        <v>96</v>
      </c>
      <c r="G74" s="185">
        <v>1.0</v>
      </c>
      <c r="H74" s="103"/>
      <c r="I74" s="185">
        <v>1.0</v>
      </c>
      <c r="J74" s="185">
        <v>0.0</v>
      </c>
      <c r="K74" s="185">
        <v>1.0</v>
      </c>
      <c r="L74" s="185">
        <v>1.0</v>
      </c>
      <c r="M74" s="185">
        <v>4.0</v>
      </c>
      <c r="N74" s="185">
        <v>0.0</v>
      </c>
      <c r="O74" s="185">
        <v>0.0</v>
      </c>
      <c r="P74" s="185">
        <v>0.0</v>
      </c>
      <c r="Q74" s="185">
        <v>0.0</v>
      </c>
      <c r="R74" s="185">
        <v>0.0</v>
      </c>
      <c r="S74" s="185">
        <v>0.0</v>
      </c>
      <c r="T74" s="185">
        <v>0.0</v>
      </c>
      <c r="U74" s="104">
        <f t="shared" si="6"/>
        <v>0</v>
      </c>
      <c r="V74" s="104">
        <f t="shared" si="7"/>
        <v>1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91</v>
      </c>
      <c r="F75" s="114" t="s">
        <v>97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91</v>
      </c>
      <c r="F76" s="114" t="s">
        <v>98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14" t="s">
        <v>32</v>
      </c>
      <c r="B77" s="114"/>
      <c r="C77" s="114"/>
      <c r="D77" s="160"/>
      <c r="E77" s="114" t="s">
        <v>91</v>
      </c>
      <c r="F77" s="114" t="s">
        <v>99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14" t="s">
        <v>32</v>
      </c>
      <c r="B78" s="114"/>
      <c r="C78" s="114"/>
      <c r="D78" s="160"/>
      <c r="E78" s="114" t="s">
        <v>91</v>
      </c>
      <c r="F78" s="114" t="s">
        <v>100</v>
      </c>
      <c r="G78" s="185">
        <v>5.0</v>
      </c>
      <c r="H78" s="185">
        <v>4.0</v>
      </c>
      <c r="I78" s="185">
        <v>2.0</v>
      </c>
      <c r="J78" s="185">
        <v>1.0</v>
      </c>
      <c r="K78" s="185">
        <v>1.0</v>
      </c>
      <c r="L78" s="185">
        <v>1.0</v>
      </c>
      <c r="M78" s="185">
        <v>8.0</v>
      </c>
      <c r="N78" s="185">
        <v>0.0</v>
      </c>
      <c r="O78" s="185">
        <v>0.0</v>
      </c>
      <c r="P78" s="185">
        <v>0.0</v>
      </c>
      <c r="Q78" s="185">
        <v>0.0</v>
      </c>
      <c r="R78" s="185">
        <v>2.0</v>
      </c>
      <c r="S78" s="185">
        <v>2.0</v>
      </c>
      <c r="T78" s="185">
        <v>2155.0</v>
      </c>
      <c r="U78" s="104">
        <f t="shared" si="6"/>
        <v>0.5</v>
      </c>
      <c r="V78" s="104">
        <f t="shared" si="7"/>
        <v>1</v>
      </c>
      <c r="W78" s="105"/>
    </row>
    <row r="79" ht="20.25" customHeight="1">
      <c r="A79" s="93" t="s">
        <v>36</v>
      </c>
      <c r="B79" s="94" t="s">
        <v>37</v>
      </c>
      <c r="C79" s="94" t="s">
        <v>38</v>
      </c>
      <c r="D79" s="95"/>
      <c r="E79" s="96" t="s">
        <v>39</v>
      </c>
      <c r="F79" s="94" t="s">
        <v>40</v>
      </c>
      <c r="G79" s="97" t="s">
        <v>41</v>
      </c>
      <c r="H79" s="97" t="s">
        <v>42</v>
      </c>
      <c r="I79" s="97" t="s">
        <v>43</v>
      </c>
      <c r="J79" s="97" t="s">
        <v>12</v>
      </c>
      <c r="K79" s="97" t="s">
        <v>44</v>
      </c>
      <c r="L79" s="97" t="s">
        <v>14</v>
      </c>
      <c r="M79" s="97" t="s">
        <v>9</v>
      </c>
      <c r="N79" s="97" t="s">
        <v>10</v>
      </c>
      <c r="O79" s="97" t="s">
        <v>45</v>
      </c>
      <c r="P79" s="97" t="s">
        <v>5</v>
      </c>
      <c r="Q79" s="97" t="s">
        <v>46</v>
      </c>
      <c r="R79" s="97" t="s">
        <v>47</v>
      </c>
      <c r="S79" s="97" t="s">
        <v>48</v>
      </c>
      <c r="T79" s="97" t="s">
        <v>0</v>
      </c>
      <c r="U79" s="96" t="s">
        <v>49</v>
      </c>
      <c r="V79" s="96" t="s">
        <v>50</v>
      </c>
      <c r="W79" s="98"/>
    </row>
    <row r="80" ht="12.75" customHeight="1">
      <c r="A80" s="161" t="s">
        <v>33</v>
      </c>
      <c r="B80" s="161"/>
      <c r="C80" s="161"/>
      <c r="D80" s="162" t="s">
        <v>52</v>
      </c>
      <c r="E80" s="161" t="s">
        <v>101</v>
      </c>
      <c r="F80" s="161" t="s">
        <v>33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ref="U80:U84" si="8">IFERROR(I80/H80,0)</f>
        <v>0</v>
      </c>
      <c r="V80" s="104">
        <f t="shared" ref="V80:V84" si="9">IFERROR(SUM(H80+L80)/G80,0)</f>
        <v>0</v>
      </c>
      <c r="W80" s="105"/>
    </row>
    <row r="81" ht="12.75" customHeight="1">
      <c r="A81" s="163" t="s">
        <v>33</v>
      </c>
      <c r="B81" s="164"/>
      <c r="C81" s="164"/>
      <c r="D81" s="101"/>
      <c r="E81" s="126" t="s">
        <v>76</v>
      </c>
      <c r="F81" s="126" t="s">
        <v>102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8"/>
        <v>0</v>
      </c>
      <c r="V81" s="104">
        <f t="shared" si="9"/>
        <v>0</v>
      </c>
      <c r="W81" s="105"/>
    </row>
    <row r="82" ht="12.75" customHeight="1">
      <c r="A82" s="165" t="s">
        <v>33</v>
      </c>
      <c r="B82" s="165"/>
      <c r="C82" s="128" t="s">
        <v>103</v>
      </c>
      <c r="D82" s="129" t="s">
        <v>52</v>
      </c>
      <c r="E82" s="117" t="s">
        <v>59</v>
      </c>
      <c r="F82" s="128" t="s">
        <v>103</v>
      </c>
      <c r="G82" s="185">
        <v>0.0</v>
      </c>
      <c r="H82" s="185">
        <v>0.0</v>
      </c>
      <c r="I82" s="185">
        <v>0.0</v>
      </c>
      <c r="J82" s="185">
        <v>0.0</v>
      </c>
      <c r="K82" s="185">
        <v>0.0</v>
      </c>
      <c r="L82" s="185">
        <v>0.0</v>
      </c>
      <c r="M82" s="185">
        <v>0.0</v>
      </c>
      <c r="N82" s="185">
        <v>0.0</v>
      </c>
      <c r="O82" s="185">
        <v>0.0</v>
      </c>
      <c r="P82" s="185">
        <v>0.0</v>
      </c>
      <c r="Q82" s="185">
        <v>0.0</v>
      </c>
      <c r="R82" s="185">
        <v>0.0</v>
      </c>
      <c r="S82" s="185">
        <v>0.0</v>
      </c>
      <c r="T82" s="185">
        <v>0.0</v>
      </c>
      <c r="U82" s="104">
        <f t="shared" si="8"/>
        <v>0</v>
      </c>
      <c r="V82" s="104">
        <f t="shared" si="9"/>
        <v>0</v>
      </c>
      <c r="W82" s="105"/>
    </row>
    <row r="83" ht="12.75" customHeight="1">
      <c r="A83" s="161" t="s">
        <v>33</v>
      </c>
      <c r="B83" s="161"/>
      <c r="C83" s="111" t="s">
        <v>104</v>
      </c>
      <c r="D83" s="112" t="s">
        <v>52</v>
      </c>
      <c r="E83" s="111" t="s">
        <v>105</v>
      </c>
      <c r="F83" s="111" t="s">
        <v>104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8"/>
        <v>0</v>
      </c>
      <c r="V83" s="104">
        <f t="shared" si="9"/>
        <v>0</v>
      </c>
      <c r="W83" s="105"/>
    </row>
    <row r="84" ht="12.75" customHeight="1">
      <c r="A84" s="163" t="s">
        <v>33</v>
      </c>
      <c r="B84" s="163"/>
      <c r="C84" s="114" t="s">
        <v>104</v>
      </c>
      <c r="D84" s="115"/>
      <c r="E84" s="114" t="s">
        <v>59</v>
      </c>
      <c r="F84" s="114" t="s">
        <v>106</v>
      </c>
      <c r="G84" s="185">
        <v>1.0</v>
      </c>
      <c r="H84" s="185">
        <v>1.0</v>
      </c>
      <c r="I84" s="185">
        <v>0.0</v>
      </c>
      <c r="J84" s="185">
        <v>0.0</v>
      </c>
      <c r="K84" s="185">
        <v>0.0</v>
      </c>
      <c r="L84" s="185">
        <v>1.0</v>
      </c>
      <c r="M84" s="185">
        <v>0.0</v>
      </c>
      <c r="N84" s="185">
        <v>0.0</v>
      </c>
      <c r="O84" s="185">
        <v>0.0</v>
      </c>
      <c r="P84" s="185">
        <v>0.0</v>
      </c>
      <c r="Q84" s="185">
        <v>0.0</v>
      </c>
      <c r="R84" s="185">
        <v>1.0</v>
      </c>
      <c r="S84" s="185">
        <v>0.0</v>
      </c>
      <c r="T84" s="185">
        <v>0.0</v>
      </c>
      <c r="U84" s="104">
        <f t="shared" si="8"/>
        <v>0</v>
      </c>
      <c r="V84" s="104">
        <f t="shared" si="9"/>
        <v>2</v>
      </c>
      <c r="W84" s="105"/>
    </row>
    <row r="85" ht="20.25" customHeight="1">
      <c r="A85" s="93" t="s">
        <v>36</v>
      </c>
      <c r="B85" s="94" t="s">
        <v>37</v>
      </c>
      <c r="C85" s="94" t="s">
        <v>38</v>
      </c>
      <c r="D85" s="95"/>
      <c r="E85" s="96" t="s">
        <v>39</v>
      </c>
      <c r="F85" s="94" t="s">
        <v>40</v>
      </c>
      <c r="G85" s="97" t="s">
        <v>41</v>
      </c>
      <c r="H85" s="97" t="s">
        <v>42</v>
      </c>
      <c r="I85" s="97" t="s">
        <v>43</v>
      </c>
      <c r="J85" s="97" t="s">
        <v>12</v>
      </c>
      <c r="K85" s="97" t="s">
        <v>44</v>
      </c>
      <c r="L85" s="97" t="s">
        <v>14</v>
      </c>
      <c r="M85" s="97" t="s">
        <v>9</v>
      </c>
      <c r="N85" s="97" t="s">
        <v>10</v>
      </c>
      <c r="O85" s="97" t="s">
        <v>45</v>
      </c>
      <c r="P85" s="97" t="s">
        <v>5</v>
      </c>
      <c r="Q85" s="97" t="s">
        <v>46</v>
      </c>
      <c r="R85" s="97" t="s">
        <v>47</v>
      </c>
      <c r="S85" s="97" t="s">
        <v>48</v>
      </c>
      <c r="T85" s="97" t="s">
        <v>0</v>
      </c>
      <c r="U85" s="96" t="s">
        <v>49</v>
      </c>
      <c r="V85" s="96" t="s">
        <v>50</v>
      </c>
      <c r="W85" s="98"/>
    </row>
    <row r="86" ht="13.5" customHeight="1">
      <c r="A86" s="166" t="s">
        <v>34</v>
      </c>
      <c r="B86" s="167"/>
      <c r="C86" s="167"/>
      <c r="D86" s="166" t="s">
        <v>52</v>
      </c>
      <c r="E86" s="166" t="s">
        <v>58</v>
      </c>
      <c r="F86" s="166" t="s">
        <v>34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ref="U86:U102" si="10">IFERROR(I86/H86,0)</f>
        <v>0</v>
      </c>
      <c r="V86" s="104">
        <f t="shared" ref="V86:V102" si="11">IFERROR(SUM(H86+L86)/G86,0)</f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59</v>
      </c>
      <c r="F87" s="168" t="s">
        <v>107</v>
      </c>
      <c r="G87" s="185">
        <v>11.0</v>
      </c>
      <c r="H87" s="185">
        <v>11.0</v>
      </c>
      <c r="I87" s="185">
        <v>6.0</v>
      </c>
      <c r="J87" s="103"/>
      <c r="K87" s="103"/>
      <c r="L87" s="103"/>
      <c r="M87" s="185">
        <v>59.0</v>
      </c>
      <c r="N87" s="185">
        <v>10.0</v>
      </c>
      <c r="O87" s="185">
        <v>6.0</v>
      </c>
      <c r="P87" s="103"/>
      <c r="Q87" s="103"/>
      <c r="R87" s="185">
        <v>1.0</v>
      </c>
      <c r="S87" s="103"/>
      <c r="T87" s="185">
        <v>6757.0</v>
      </c>
      <c r="U87" s="104">
        <f t="shared" si="10"/>
        <v>0.5454545455</v>
      </c>
      <c r="V87" s="104">
        <f t="shared" si="11"/>
        <v>1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58</v>
      </c>
      <c r="F88" s="168" t="s">
        <v>108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76</v>
      </c>
      <c r="F89" s="168" t="s">
        <v>109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68" t="s">
        <v>34</v>
      </c>
      <c r="B90" s="167"/>
      <c r="C90" s="167"/>
      <c r="D90" s="167"/>
      <c r="E90" s="168" t="s">
        <v>62</v>
      </c>
      <c r="F90" s="168" t="s">
        <v>110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68" t="s">
        <v>34</v>
      </c>
      <c r="B91" s="167"/>
      <c r="C91" s="167"/>
      <c r="D91" s="167"/>
      <c r="E91" s="168" t="s">
        <v>58</v>
      </c>
      <c r="F91" s="168" t="s">
        <v>111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112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113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9" t="s">
        <v>34</v>
      </c>
      <c r="B95" s="170"/>
      <c r="C95" s="169"/>
      <c r="D95" s="170"/>
      <c r="E95" s="169"/>
      <c r="F95" s="169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9" t="s">
        <v>34</v>
      </c>
      <c r="B96" s="170"/>
      <c r="C96" s="169"/>
      <c r="D96" s="170"/>
      <c r="E96" s="169"/>
      <c r="F96" s="169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71" t="s">
        <v>34</v>
      </c>
      <c r="B97" s="172"/>
      <c r="C97" s="171" t="s">
        <v>117</v>
      </c>
      <c r="D97" s="173" t="s">
        <v>52</v>
      </c>
      <c r="E97" s="171" t="s">
        <v>105</v>
      </c>
      <c r="F97" s="171" t="s">
        <v>117</v>
      </c>
      <c r="G97" s="185">
        <v>11.0</v>
      </c>
      <c r="H97" s="185">
        <v>3.0</v>
      </c>
      <c r="I97" s="185">
        <v>2.0</v>
      </c>
      <c r="J97" s="103"/>
      <c r="K97" s="103"/>
      <c r="L97" s="103"/>
      <c r="M97" s="185">
        <v>12.0</v>
      </c>
      <c r="N97" s="103"/>
      <c r="O97" s="103"/>
      <c r="P97" s="103"/>
      <c r="Q97" s="103"/>
      <c r="R97" s="185">
        <v>3.0</v>
      </c>
      <c r="S97" s="185">
        <v>2.0</v>
      </c>
      <c r="T97" s="185">
        <v>4231.44</v>
      </c>
      <c r="U97" s="104">
        <f t="shared" si="10"/>
        <v>0.6666666667</v>
      </c>
      <c r="V97" s="104">
        <f t="shared" si="11"/>
        <v>0.2727272727</v>
      </c>
      <c r="W97" s="105"/>
    </row>
    <row r="98" ht="13.5" customHeight="1">
      <c r="A98" s="174" t="s">
        <v>34</v>
      </c>
      <c r="B98" s="175"/>
      <c r="C98" s="174" t="s">
        <v>117</v>
      </c>
      <c r="D98" s="175"/>
      <c r="E98" s="174" t="s">
        <v>118</v>
      </c>
      <c r="F98" s="174" t="s">
        <v>119</v>
      </c>
      <c r="G98" s="185">
        <v>3.0</v>
      </c>
      <c r="H98" s="185">
        <v>2.0</v>
      </c>
      <c r="I98" s="103"/>
      <c r="J98" s="103"/>
      <c r="K98" s="103"/>
      <c r="L98" s="103"/>
      <c r="M98" s="185">
        <v>7.0</v>
      </c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0.6666666667</v>
      </c>
      <c r="W98" s="105"/>
    </row>
    <row r="99" ht="13.5" customHeight="1">
      <c r="A99" s="174" t="s">
        <v>34</v>
      </c>
      <c r="B99" s="175"/>
      <c r="C99" s="174" t="s">
        <v>117</v>
      </c>
      <c r="D99" s="175"/>
      <c r="E99" s="174" t="s">
        <v>120</v>
      </c>
      <c r="F99" s="174" t="s">
        <v>121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74" t="s">
        <v>34</v>
      </c>
      <c r="B100" s="175"/>
      <c r="C100" s="174" t="s">
        <v>117</v>
      </c>
      <c r="D100" s="175"/>
      <c r="E100" s="174"/>
      <c r="F100" s="174" t="s">
        <v>119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6" t="s">
        <v>34</v>
      </c>
      <c r="B101" s="176"/>
      <c r="C101" s="166" t="s">
        <v>122</v>
      </c>
      <c r="D101" s="166" t="s">
        <v>52</v>
      </c>
      <c r="E101" s="166" t="s">
        <v>123</v>
      </c>
      <c r="F101" s="166" t="s">
        <v>122</v>
      </c>
      <c r="G101" s="185">
        <v>1.0</v>
      </c>
      <c r="H101" s="185">
        <v>1.0</v>
      </c>
      <c r="I101" s="185">
        <v>1.0</v>
      </c>
      <c r="J101" s="103"/>
      <c r="K101" s="103"/>
      <c r="L101" s="103"/>
      <c r="M101" s="185">
        <v>7.0</v>
      </c>
      <c r="N101" s="103"/>
      <c r="O101" s="103"/>
      <c r="P101" s="103"/>
      <c r="Q101" s="103"/>
      <c r="R101" s="185">
        <v>1.0</v>
      </c>
      <c r="S101" s="185">
        <v>1.0</v>
      </c>
      <c r="T101" s="185">
        <v>662.64</v>
      </c>
      <c r="U101" s="104">
        <f t="shared" si="10"/>
        <v>1</v>
      </c>
      <c r="V101" s="104">
        <f t="shared" si="11"/>
        <v>1</v>
      </c>
      <c r="W101" s="105"/>
    </row>
    <row r="102" ht="13.5" customHeight="1">
      <c r="A102" s="169" t="s">
        <v>34</v>
      </c>
      <c r="B102" s="170"/>
      <c r="C102" s="169" t="s">
        <v>122</v>
      </c>
      <c r="D102" s="170"/>
      <c r="E102" s="169"/>
      <c r="F102" s="169" t="s">
        <v>124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20.25" customHeight="1">
      <c r="A103" s="93" t="s">
        <v>36</v>
      </c>
      <c r="B103" s="94" t="s">
        <v>37</v>
      </c>
      <c r="C103" s="94" t="s">
        <v>38</v>
      </c>
      <c r="D103" s="95"/>
      <c r="E103" s="96" t="s">
        <v>39</v>
      </c>
      <c r="F103" s="94" t="s">
        <v>40</v>
      </c>
      <c r="G103" s="97" t="s">
        <v>41</v>
      </c>
      <c r="H103" s="97" t="s">
        <v>42</v>
      </c>
      <c r="I103" s="97" t="s">
        <v>43</v>
      </c>
      <c r="J103" s="97" t="s">
        <v>12</v>
      </c>
      <c r="K103" s="97" t="s">
        <v>44</v>
      </c>
      <c r="L103" s="97" t="s">
        <v>14</v>
      </c>
      <c r="M103" s="97" t="s">
        <v>9</v>
      </c>
      <c r="N103" s="97" t="s">
        <v>10</v>
      </c>
      <c r="O103" s="97" t="s">
        <v>45</v>
      </c>
      <c r="P103" s="97" t="s">
        <v>5</v>
      </c>
      <c r="Q103" s="97" t="s">
        <v>46</v>
      </c>
      <c r="R103" s="97" t="s">
        <v>47</v>
      </c>
      <c r="S103" s="97" t="s">
        <v>48</v>
      </c>
      <c r="T103" s="97" t="s">
        <v>0</v>
      </c>
      <c r="U103" s="96" t="s">
        <v>49</v>
      </c>
      <c r="V103" s="96" t="s">
        <v>50</v>
      </c>
      <c r="W103" s="98"/>
    </row>
    <row r="104">
      <c r="A104" s="111" t="s">
        <v>35</v>
      </c>
      <c r="B104" s="160"/>
      <c r="C104" s="111"/>
      <c r="D104" s="111" t="s">
        <v>52</v>
      </c>
      <c r="E104" s="111" t="s">
        <v>59</v>
      </c>
      <c r="F104" s="111" t="s">
        <v>35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45">
        <f t="shared" ref="U104:U105" si="12">IFERROR(I104/H104,0)</f>
        <v>0</v>
      </c>
      <c r="V104" s="145">
        <f t="shared" ref="V104:V105" si="13">IFERROR(SUM(H104+L104)/G104,0)</f>
        <v>0</v>
      </c>
      <c r="W104" s="146"/>
    </row>
    <row r="105">
      <c r="A105" s="117" t="s">
        <v>35</v>
      </c>
      <c r="B105" s="136"/>
      <c r="C105" s="117" t="s">
        <v>125</v>
      </c>
      <c r="D105" s="117" t="s">
        <v>52</v>
      </c>
      <c r="E105" s="117"/>
      <c r="F105" s="117" t="s">
        <v>125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45">
        <f t="shared" si="12"/>
        <v>0</v>
      </c>
      <c r="V105" s="145">
        <f t="shared" si="13"/>
        <v>0</v>
      </c>
      <c r="W105" s="146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77"/>
      <c r="B618" s="177"/>
      <c r="C618" s="177"/>
      <c r="D618" s="1"/>
      <c r="E618" s="177"/>
      <c r="F618" s="178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80"/>
      <c r="V618" s="180"/>
      <c r="W618" s="180"/>
    </row>
    <row r="619" ht="12.75" customHeight="1">
      <c r="A619" s="177"/>
      <c r="B619" s="177"/>
      <c r="C619" s="177"/>
      <c r="D619" s="1"/>
      <c r="E619" s="177"/>
      <c r="F619" s="178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80"/>
      <c r="V619" s="180"/>
      <c r="W619" s="180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3111</v>
      </c>
      <c r="D2" s="10"/>
      <c r="E2" s="11">
        <f t="shared" ref="E2:R2" si="1">SUM(E5,E20,E23,E26,E29,E32)</f>
        <v>3111</v>
      </c>
      <c r="F2" s="11">
        <f t="shared" si="1"/>
        <v>18</v>
      </c>
      <c r="G2" s="11">
        <f t="shared" si="1"/>
        <v>5</v>
      </c>
      <c r="H2" s="11">
        <f t="shared" si="1"/>
        <v>1</v>
      </c>
      <c r="I2" s="11">
        <f t="shared" si="1"/>
        <v>0</v>
      </c>
      <c r="J2" s="11">
        <f t="shared" si="1"/>
        <v>0</v>
      </c>
      <c r="K2" s="11">
        <f t="shared" si="1"/>
        <v>4</v>
      </c>
      <c r="L2" s="11">
        <f t="shared" si="1"/>
        <v>1</v>
      </c>
      <c r="M2" s="11">
        <f t="shared" si="1"/>
        <v>15</v>
      </c>
      <c r="N2" s="11">
        <f t="shared" si="1"/>
        <v>2</v>
      </c>
      <c r="O2" s="11">
        <f t="shared" si="1"/>
        <v>1</v>
      </c>
      <c r="P2" s="11">
        <f t="shared" si="1"/>
        <v>4</v>
      </c>
      <c r="Q2" s="11">
        <f t="shared" si="1"/>
        <v>3</v>
      </c>
      <c r="R2" s="11">
        <f t="shared" si="1"/>
        <v>1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64</v>
      </c>
      <c r="D4" s="22"/>
      <c r="E4" s="23">
        <f>IFERROR(C2/H2,0)</f>
        <v>3111</v>
      </c>
      <c r="F4" s="24">
        <f>IFERROR((G2+R2)/F2,0)</f>
        <v>0.3333333333</v>
      </c>
      <c r="G4" s="24">
        <f>IFERROR(H2/G2,0)</f>
        <v>0.2</v>
      </c>
      <c r="H4" s="23">
        <f>(C2/C4)</f>
        <v>48.609375</v>
      </c>
      <c r="I4" s="25"/>
      <c r="J4" s="24">
        <f>IFERROR(J2/I2,0)</f>
        <v>0</v>
      </c>
      <c r="K4" s="25"/>
      <c r="L4" s="24">
        <f>IFERROR(L2/K2,0)</f>
        <v>0.25</v>
      </c>
      <c r="M4" s="26">
        <f>IFERROR(M2/G2,0)</f>
        <v>3</v>
      </c>
      <c r="N4" s="25"/>
      <c r="O4" s="24">
        <f>IFERROR(O2/N2,0)</f>
        <v>0.5</v>
      </c>
      <c r="P4" s="26"/>
      <c r="Q4" s="24">
        <f>IFERROR(Q2/P2,0)</f>
        <v>0.75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9</v>
      </c>
      <c r="G5" s="11">
        <f>SUMIF(A:A,B5,H:H)</f>
        <v>3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4</v>
      </c>
      <c r="L5" s="11">
        <f>SUMIF(A:A,B5,S:S)</f>
        <v>1</v>
      </c>
      <c r="M5" s="11">
        <f>SUMIF(A:A,B5,M:M)</f>
        <v>13</v>
      </c>
      <c r="N5" s="11">
        <f>SUMIF(A:A,B5,N:N)</f>
        <v>1</v>
      </c>
      <c r="O5" s="11">
        <f>SUMIF(A:A,B5,O:O)</f>
        <v>0</v>
      </c>
      <c r="P5" s="11">
        <f>SUMIF(A:A,B5,J:J)</f>
        <v>3</v>
      </c>
      <c r="Q5" s="11">
        <f>SUMIF(A:A,B5,K:K)</f>
        <v>2</v>
      </c>
      <c r="R5" s="33">
        <f>SUMIF(A:A,B5,L:L)</f>
        <v>1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25</v>
      </c>
      <c r="D7" s="39"/>
      <c r="E7" s="40">
        <f>IFERROR(C5/H5,0)</f>
        <v>0</v>
      </c>
      <c r="F7" s="41">
        <f>IFERROR((G5+R5)/F5,0)</f>
        <v>0.4444444444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0.25</v>
      </c>
      <c r="M7" s="43">
        <f>IFERROR(M5/SUM(R5+G5,0),"")</f>
        <v>3.25</v>
      </c>
      <c r="N7" s="42"/>
      <c r="O7" s="41">
        <f>IFERROR(O5/N5,0)</f>
        <v>0</v>
      </c>
      <c r="P7" s="43"/>
      <c r="Q7" s="41">
        <f>IFERROR(Q5/P5,0)</f>
        <v>0.6666666667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SUMIF(B37:B1137,B8,G37:G1137)</f>
        <v>0</v>
      </c>
      <c r="G8" s="50">
        <f>SUMIF(B37:B1137,B8,H37:H1137)</f>
        <v>0</v>
      </c>
      <c r="H8" s="50">
        <f>SUMIF(B37:B1137,B8,I37:I1137)</f>
        <v>0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0</v>
      </c>
      <c r="L8" s="50">
        <f>SUMIF(B37:B1137,B8,S37:S1137)</f>
        <v>0</v>
      </c>
      <c r="M8" s="50">
        <f>SUMIF(B37:B1137,B8,M37:M1137)</f>
        <v>0</v>
      </c>
      <c r="N8" s="50">
        <f>SUMIF(B37:B1137,B8,N37:N1137)</f>
        <v>0</v>
      </c>
      <c r="O8" s="50">
        <f>SUMIF(B37:B1137,B8,O37:O1137)</f>
        <v>0</v>
      </c>
      <c r="P8" s="50">
        <f>SUMIF(B37:B1137,B8,J37:J1137)</f>
        <v>0</v>
      </c>
      <c r="Q8" s="50">
        <f>SUMIF(B37:B1137,B8,K37:K1137)</f>
        <v>0</v>
      </c>
      <c r="R8" s="51">
        <f>SUMIF(B37:B1137,B8,L37:L1137)</f>
        <v>0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IFERROR(M8/SUM(G8+R8,0),"")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0</v>
      </c>
      <c r="D11" s="60"/>
      <c r="E11" s="48">
        <f>SUMIFS(T:T,B:B,B11,D:D,"Y")</f>
        <v>0</v>
      </c>
      <c r="F11" s="49">
        <f>SUMIF(B39:B1137,B11,G39:G1137)</f>
        <v>7</v>
      </c>
      <c r="G11" s="50">
        <f>SUMIF(B39:B1137,B11,H39:H1137)</f>
        <v>3</v>
      </c>
      <c r="H11" s="50">
        <f>SUMIF(B39:B1137,B11,I39:I1137)</f>
        <v>0</v>
      </c>
      <c r="I11" s="50">
        <f>SUMIF(B39:B1137,B11,P39:P1137)</f>
        <v>0</v>
      </c>
      <c r="J11" s="50">
        <f>SUMIF(B39:B1137,B11,Q39:Q1137)</f>
        <v>0</v>
      </c>
      <c r="K11" s="50">
        <f>SUMIF(B39:B1137,B11,R39:R1137)</f>
        <v>2</v>
      </c>
      <c r="L11" s="50">
        <f>SUMIF(B39:B1137,B11,S39:S1137)</f>
        <v>0</v>
      </c>
      <c r="M11" s="50">
        <f>SUMIF(B39:B1137,B11,M39:M1137)</f>
        <v>7</v>
      </c>
      <c r="N11" s="50">
        <f>SUMIF(B39:B1137,B11,N39:N1137)</f>
        <v>1</v>
      </c>
      <c r="O11" s="50">
        <f>SUMIF(B39:B1137,B11,O39:O1137)</f>
        <v>0</v>
      </c>
      <c r="P11" s="50">
        <f>SUMIF(B39:B1137,B11,J39:J1137)</f>
        <v>1</v>
      </c>
      <c r="Q11" s="50">
        <f>SUMIF(B39:B1137,B11,K39:K1137)</f>
        <v>1</v>
      </c>
      <c r="R11" s="51">
        <f>SUMIF(B39:B1137,B11,L39:L1137)</f>
        <v>0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8</v>
      </c>
      <c r="D13" s="56"/>
      <c r="E13" s="23">
        <f>IFERROR(C11/H11,0)</f>
        <v>0</v>
      </c>
      <c r="F13" s="24">
        <f>IFERROR((G11+R11)/F11,0)</f>
        <v>0.4285714286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2.333333333</v>
      </c>
      <c r="N13" s="25"/>
      <c r="O13" s="24">
        <f>IFERROR(O11/N11,0)</f>
        <v>0</v>
      </c>
      <c r="P13" s="26"/>
      <c r="Q13" s="24">
        <f>IFERROR(Q11/P11,0)</f>
        <v>1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0</v>
      </c>
      <c r="D14" s="60"/>
      <c r="E14" s="48">
        <f>SUMIFS(T:T,B:B,B14,D:D,"Y")</f>
        <v>0</v>
      </c>
      <c r="F14" s="49">
        <f>SUMIF(B39:B1137,B14,G39:G1137)</f>
        <v>2</v>
      </c>
      <c r="G14" s="50">
        <f>SUMIF(B39:B1137,B14,H39:H1137)</f>
        <v>0</v>
      </c>
      <c r="H14" s="50">
        <f>SUMIF(B39:B1137,B14,I39:I1137)</f>
        <v>0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2</v>
      </c>
      <c r="L14" s="50">
        <f>SUMIF(B39:B1137,B14,S39:S1137)</f>
        <v>1</v>
      </c>
      <c r="M14" s="50">
        <f>SUMIF(B39:B1137,B14,M39:M1137)</f>
        <v>6</v>
      </c>
      <c r="N14" s="50">
        <f>SUMIF(B39:B1137,B14,N39:N1137)</f>
        <v>0</v>
      </c>
      <c r="O14" s="50">
        <f>SUMIF(B39:B1137,B14,O39:O1137)</f>
        <v>0</v>
      </c>
      <c r="P14" s="50">
        <f>SUMIF(B39:B1137,B14,J39:J1137)</f>
        <v>2</v>
      </c>
      <c r="Q14" s="50">
        <f>SUMIF(B39:B1137,B14,K39:K1137)</f>
        <v>1</v>
      </c>
      <c r="R14" s="51">
        <f>SUMIF(B39:B1137,B14,L39:L1137)</f>
        <v>1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8</v>
      </c>
      <c r="D16" s="56"/>
      <c r="E16" s="23">
        <f>IFERROR(C14/H14,0)</f>
        <v>0</v>
      </c>
      <c r="F16" s="24">
        <f>IFERROR((G14+R14)/F14,0)</f>
        <v>0.5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0.5</v>
      </c>
      <c r="M16" s="26">
        <f>IFERROR(M14/SUM(R14+G14,0),"")</f>
        <v>6</v>
      </c>
      <c r="N16" s="25"/>
      <c r="O16" s="24">
        <f>IFERROR(O14/N14,0)</f>
        <v>0</v>
      </c>
      <c r="P16" s="26"/>
      <c r="Q16" s="24">
        <f>IFERROR(Q14/P14,0)</f>
        <v>0.5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0</v>
      </c>
      <c r="D17" s="60"/>
      <c r="E17" s="48">
        <f>SUMIFS(T:T,B:B,B17,D:D,"Y")</f>
        <v>0</v>
      </c>
      <c r="F17" s="49">
        <f>SUMIF(B45:B1137,B17,G45:G1137)</f>
        <v>0</v>
      </c>
      <c r="G17" s="50">
        <f>SUMIF(B45:B1137,B17,H45:H1137)</f>
        <v>0</v>
      </c>
      <c r="H17" s="50">
        <f>SUMIF(B45:B1137,B17,I45:I1137)</f>
        <v>0</v>
      </c>
      <c r="I17" s="50">
        <f>SUMIF(B45:B1137,B17,P45:P1137)</f>
        <v>0</v>
      </c>
      <c r="J17" s="50">
        <f>SUMIF(B45:B1137,B17,Q45:Q1137)</f>
        <v>0</v>
      </c>
      <c r="K17" s="50">
        <f>SUMIF(B45:B1137,B17,R45:R1137)</f>
        <v>0</v>
      </c>
      <c r="L17" s="50">
        <f>SUMIF(B45:B1137,B17,S45:S1137)</f>
        <v>0</v>
      </c>
      <c r="M17" s="50">
        <f>SUMIF(B45:B1137,B17,M45:M1137)</f>
        <v>0</v>
      </c>
      <c r="N17" s="50">
        <f>SUMIF(B45:B1137,B17,N45:N1137)</f>
        <v>0</v>
      </c>
      <c r="O17" s="50">
        <f>SUMIF(B45:B1137,B17,O45:O1137)</f>
        <v>0</v>
      </c>
      <c r="P17" s="50">
        <f>SUMIF(B45:B1137,B17,J45:J1137)</f>
        <v>0</v>
      </c>
      <c r="Q17" s="50">
        <f>SUMIF(B45:B1137,B17,K45:K1137)</f>
        <v>0</v>
      </c>
      <c r="R17" s="51">
        <f>SUMIF(B45:B1137,B17,L45:L1137)</f>
        <v>0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COUNTIFS(B45:B1137,B17)</f>
        <v>3</v>
      </c>
      <c r="D19" s="56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5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2605</v>
      </c>
      <c r="D23" s="31"/>
      <c r="E23" s="64">
        <f>SUMIFS(T:T,A:A,B23,D:D,"Y")</f>
        <v>2605</v>
      </c>
      <c r="F23" s="9">
        <f>SUMIF(A:A,B23,G:G)</f>
        <v>4</v>
      </c>
      <c r="G23" s="11">
        <f>SUMIF(A:A,B23,H:H)</f>
        <v>2</v>
      </c>
      <c r="H23" s="11">
        <f>SUMIF(A:A,B23,I:I)</f>
        <v>1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2</v>
      </c>
      <c r="N23" s="11">
        <f>SUMIF(A:A,B23,N:N)</f>
        <v>1</v>
      </c>
      <c r="O23" s="11">
        <f>SUMIF(A:A,B23,O:O)</f>
        <v>1</v>
      </c>
      <c r="P23" s="11">
        <f>SUMIF(A:A,B23,J:J)</f>
        <v>1</v>
      </c>
      <c r="Q23" s="11">
        <f>SUMIF(A:A,B23,K:K)</f>
        <v>1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2605</v>
      </c>
      <c r="F25" s="24">
        <f>IFERROR((G23+R23)/F23,0)</f>
        <v>0.5</v>
      </c>
      <c r="G25" s="24">
        <f>IFERROR(H23/G23,0)</f>
        <v>0.5</v>
      </c>
      <c r="H25" s="23">
        <f>(C23/C25)</f>
        <v>260.5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1</v>
      </c>
      <c r="N25" s="25"/>
      <c r="O25" s="24">
        <f>IFERROR(O23/N23,0)</f>
        <v>1</v>
      </c>
      <c r="P25" s="26"/>
      <c r="Q25" s="24">
        <f>IFERROR(Q23/P23,0)</f>
        <v>1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506</v>
      </c>
      <c r="D26" s="31"/>
      <c r="E26" s="64">
        <f>SUMIFS(T:T,A:A,B26,D:D,"Y")</f>
        <v>506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101.2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1" si="2">IFERROR(I37/H37,0)</f>
        <v>0</v>
      </c>
      <c r="V37" s="104">
        <f t="shared" ref="V37:V61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85">
        <v>0.0</v>
      </c>
      <c r="H39" s="185">
        <v>0.0</v>
      </c>
      <c r="I39" s="185">
        <v>0.0</v>
      </c>
      <c r="J39" s="185">
        <v>0.0</v>
      </c>
      <c r="K39" s="185">
        <v>0.0</v>
      </c>
      <c r="L39" s="185">
        <v>0.0</v>
      </c>
      <c r="M39" s="185">
        <v>0.0</v>
      </c>
      <c r="N39" s="185">
        <v>0.0</v>
      </c>
      <c r="O39" s="185">
        <v>0.0</v>
      </c>
      <c r="P39" s="185">
        <v>0.0</v>
      </c>
      <c r="Q39" s="185">
        <v>0.0</v>
      </c>
      <c r="R39" s="185">
        <v>0.0</v>
      </c>
      <c r="S39" s="185">
        <v>0.0</v>
      </c>
      <c r="T39" s="185">
        <v>0.0</v>
      </c>
      <c r="U39" s="104">
        <f t="shared" si="2"/>
        <v>0</v>
      </c>
      <c r="V39" s="104">
        <f t="shared" si="3"/>
        <v>0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85">
        <v>0.0</v>
      </c>
      <c r="H40" s="185">
        <v>0.0</v>
      </c>
      <c r="I40" s="185">
        <v>0.0</v>
      </c>
      <c r="J40" s="185">
        <v>0.0</v>
      </c>
      <c r="K40" s="185">
        <v>0.0</v>
      </c>
      <c r="L40" s="185">
        <v>0.0</v>
      </c>
      <c r="M40" s="185">
        <v>0.0</v>
      </c>
      <c r="N40" s="185">
        <v>0.0</v>
      </c>
      <c r="O40" s="185">
        <v>0.0</v>
      </c>
      <c r="P40" s="185">
        <v>0.0</v>
      </c>
      <c r="Q40" s="185">
        <v>0.0</v>
      </c>
      <c r="R40" s="185">
        <v>0.0</v>
      </c>
      <c r="S40" s="185">
        <v>0.0</v>
      </c>
      <c r="T40" s="185">
        <v>0.0</v>
      </c>
      <c r="U40" s="104">
        <f t="shared" si="2"/>
        <v>0</v>
      </c>
      <c r="V40" s="104">
        <f t="shared" si="3"/>
        <v>0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85">
        <v>0.0</v>
      </c>
      <c r="H41" s="185">
        <v>0.0</v>
      </c>
      <c r="I41" s="185">
        <v>0.0</v>
      </c>
      <c r="J41" s="185">
        <v>0.0</v>
      </c>
      <c r="K41" s="185">
        <v>0.0</v>
      </c>
      <c r="L41" s="185">
        <v>0.0</v>
      </c>
      <c r="M41" s="185">
        <v>0.0</v>
      </c>
      <c r="N41" s="185">
        <v>0.0</v>
      </c>
      <c r="O41" s="185">
        <v>0.0</v>
      </c>
      <c r="P41" s="185">
        <v>0.0</v>
      </c>
      <c r="Q41" s="185">
        <v>0.0</v>
      </c>
      <c r="R41" s="185">
        <v>0.0</v>
      </c>
      <c r="S41" s="185">
        <v>0.0</v>
      </c>
      <c r="T41" s="185">
        <v>0.0</v>
      </c>
      <c r="U41" s="104">
        <f t="shared" si="2"/>
        <v>0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85">
        <v>0.0</v>
      </c>
      <c r="H42" s="185">
        <v>0.0</v>
      </c>
      <c r="I42" s="185">
        <v>0.0</v>
      </c>
      <c r="J42" s="185">
        <v>0.0</v>
      </c>
      <c r="K42" s="185">
        <v>0.0</v>
      </c>
      <c r="L42" s="185">
        <v>0.0</v>
      </c>
      <c r="M42" s="185">
        <v>0.0</v>
      </c>
      <c r="N42" s="185">
        <v>0.0</v>
      </c>
      <c r="O42" s="185">
        <v>0.0</v>
      </c>
      <c r="P42" s="185">
        <v>0.0</v>
      </c>
      <c r="Q42" s="185">
        <v>0.0</v>
      </c>
      <c r="R42" s="185">
        <v>0.0</v>
      </c>
      <c r="S42" s="185">
        <v>0.0</v>
      </c>
      <c r="T42" s="185">
        <v>0.0</v>
      </c>
      <c r="U42" s="104">
        <f t="shared" si="2"/>
        <v>0</v>
      </c>
      <c r="V42" s="104">
        <f t="shared" si="3"/>
        <v>0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62</v>
      </c>
      <c r="F44" s="126" t="s">
        <v>63</v>
      </c>
      <c r="G44" s="185">
        <v>0.0</v>
      </c>
      <c r="H44" s="185">
        <v>0.0</v>
      </c>
      <c r="I44" s="185">
        <v>0.0</v>
      </c>
      <c r="J44" s="185">
        <v>0.0</v>
      </c>
      <c r="K44" s="185">
        <v>0.0</v>
      </c>
      <c r="L44" s="185">
        <v>0.0</v>
      </c>
      <c r="M44" s="185">
        <v>0.0</v>
      </c>
      <c r="N44" s="185">
        <v>0.0</v>
      </c>
      <c r="O44" s="185">
        <v>0.0</v>
      </c>
      <c r="P44" s="185">
        <v>0.0</v>
      </c>
      <c r="Q44" s="185">
        <v>0.0</v>
      </c>
      <c r="R44" s="185">
        <v>0.0</v>
      </c>
      <c r="S44" s="185">
        <v>0.0</v>
      </c>
      <c r="T44" s="185">
        <v>0.0</v>
      </c>
      <c r="U44" s="104">
        <f t="shared" si="2"/>
        <v>0</v>
      </c>
      <c r="V44" s="104">
        <f t="shared" si="3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58</v>
      </c>
      <c r="F45" s="126" t="s">
        <v>64</v>
      </c>
      <c r="G45" s="185">
        <v>0.0</v>
      </c>
      <c r="H45" s="185">
        <v>0.0</v>
      </c>
      <c r="I45" s="185">
        <v>0.0</v>
      </c>
      <c r="J45" s="185">
        <v>0.0</v>
      </c>
      <c r="K45" s="185">
        <v>0.0</v>
      </c>
      <c r="L45" s="185">
        <v>0.0</v>
      </c>
      <c r="M45" s="185">
        <v>0.0</v>
      </c>
      <c r="N45" s="185">
        <v>0.0</v>
      </c>
      <c r="O45" s="185">
        <v>0.0</v>
      </c>
      <c r="P45" s="185">
        <v>0.0</v>
      </c>
      <c r="Q45" s="185">
        <v>0.0</v>
      </c>
      <c r="R45" s="185">
        <v>0.0</v>
      </c>
      <c r="S45" s="185">
        <v>0.0</v>
      </c>
      <c r="T45" s="185">
        <v>0.0</v>
      </c>
      <c r="U45" s="104">
        <f t="shared" si="2"/>
        <v>0</v>
      </c>
      <c r="V45" s="104">
        <f t="shared" si="3"/>
        <v>0</v>
      </c>
      <c r="W45" s="105"/>
    </row>
    <row r="46" ht="12.75" customHeight="1">
      <c r="A46" s="125" t="s">
        <v>26</v>
      </c>
      <c r="B46" s="99" t="s">
        <v>28</v>
      </c>
      <c r="C46" s="126"/>
      <c r="D46" s="101"/>
      <c r="E46" s="126" t="s">
        <v>53</v>
      </c>
      <c r="F46" s="126" t="s">
        <v>65</v>
      </c>
      <c r="G46" s="185">
        <v>3.0</v>
      </c>
      <c r="H46" s="185">
        <v>2.0</v>
      </c>
      <c r="I46" s="185">
        <v>0.0</v>
      </c>
      <c r="J46" s="185">
        <v>1.0</v>
      </c>
      <c r="K46" s="185">
        <v>1.0</v>
      </c>
      <c r="L46" s="185">
        <v>0.0</v>
      </c>
      <c r="M46" s="185">
        <v>5.0</v>
      </c>
      <c r="N46" s="185">
        <v>1.0</v>
      </c>
      <c r="O46" s="185">
        <v>0.0</v>
      </c>
      <c r="P46" s="185">
        <v>0.0</v>
      </c>
      <c r="Q46" s="185">
        <v>0.0</v>
      </c>
      <c r="R46" s="185">
        <v>1.0</v>
      </c>
      <c r="S46" s="185">
        <v>0.0</v>
      </c>
      <c r="T46" s="185">
        <v>0.0</v>
      </c>
      <c r="U46" s="104">
        <f t="shared" si="2"/>
        <v>0</v>
      </c>
      <c r="V46" s="104">
        <f t="shared" si="3"/>
        <v>0.6666666667</v>
      </c>
      <c r="W46" s="105"/>
    </row>
    <row r="47" ht="12.75" customHeight="1">
      <c r="A47" s="117" t="s">
        <v>26</v>
      </c>
      <c r="B47" s="127" t="s">
        <v>28</v>
      </c>
      <c r="C47" s="128" t="s">
        <v>66</v>
      </c>
      <c r="D47" s="129" t="s">
        <v>52</v>
      </c>
      <c r="E47" s="117" t="s">
        <v>67</v>
      </c>
      <c r="F47" s="128" t="s">
        <v>68</v>
      </c>
      <c r="G47" s="185">
        <v>1.0</v>
      </c>
      <c r="H47" s="185">
        <v>1.0</v>
      </c>
      <c r="I47" s="185">
        <v>0.0</v>
      </c>
      <c r="J47" s="185">
        <v>0.0</v>
      </c>
      <c r="K47" s="185">
        <v>0.0</v>
      </c>
      <c r="L47" s="185">
        <v>0.0</v>
      </c>
      <c r="M47" s="185">
        <v>2.0</v>
      </c>
      <c r="N47" s="185">
        <v>0.0</v>
      </c>
      <c r="O47" s="185">
        <v>0.0</v>
      </c>
      <c r="P47" s="185">
        <v>0.0</v>
      </c>
      <c r="Q47" s="185">
        <v>0.0</v>
      </c>
      <c r="R47" s="185">
        <v>1.0</v>
      </c>
      <c r="S47" s="185">
        <v>0.0</v>
      </c>
      <c r="T47" s="185">
        <v>0.0</v>
      </c>
      <c r="U47" s="104">
        <f t="shared" si="2"/>
        <v>0</v>
      </c>
      <c r="V47" s="104">
        <f t="shared" si="3"/>
        <v>1</v>
      </c>
      <c r="W47" s="105"/>
    </row>
    <row r="48" ht="12.75" customHeight="1">
      <c r="A48" s="119" t="s">
        <v>26</v>
      </c>
      <c r="B48" s="130" t="s">
        <v>28</v>
      </c>
      <c r="C48" s="120" t="s">
        <v>66</v>
      </c>
      <c r="D48" s="131"/>
      <c r="E48" s="120"/>
      <c r="F48" s="120" t="s">
        <v>69</v>
      </c>
      <c r="G48" s="185">
        <v>2.0</v>
      </c>
      <c r="H48" s="185">
        <v>0.0</v>
      </c>
      <c r="I48" s="185">
        <v>0.0</v>
      </c>
      <c r="J48" s="185">
        <v>0.0</v>
      </c>
      <c r="K48" s="185">
        <v>0.0</v>
      </c>
      <c r="L48" s="185">
        <v>0.0</v>
      </c>
      <c r="M48" s="185">
        <v>0.0</v>
      </c>
      <c r="N48" s="185">
        <v>0.0</v>
      </c>
      <c r="O48" s="185">
        <v>0.0</v>
      </c>
      <c r="P48" s="185">
        <v>0.0</v>
      </c>
      <c r="Q48" s="185">
        <v>0.0</v>
      </c>
      <c r="R48" s="185">
        <v>0.0</v>
      </c>
      <c r="S48" s="185">
        <v>0.0</v>
      </c>
      <c r="T48" s="185">
        <v>0.0</v>
      </c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66</v>
      </c>
      <c r="D49" s="131"/>
      <c r="E49" s="120"/>
      <c r="F49" s="120" t="s">
        <v>70</v>
      </c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4">
        <f t="shared" si="2"/>
        <v>0</v>
      </c>
      <c r="V49" s="104">
        <f t="shared" si="3"/>
        <v>0</v>
      </c>
      <c r="W49" s="105"/>
    </row>
    <row r="50" ht="12.75" customHeight="1">
      <c r="A50" s="119" t="s">
        <v>26</v>
      </c>
      <c r="B50" s="130" t="s">
        <v>28</v>
      </c>
      <c r="C50" s="120" t="s">
        <v>66</v>
      </c>
      <c r="D50" s="131"/>
      <c r="E50" s="120"/>
      <c r="F50" s="120" t="s">
        <v>71</v>
      </c>
      <c r="G50" s="185">
        <v>1.0</v>
      </c>
      <c r="H50" s="185">
        <v>0.0</v>
      </c>
      <c r="I50" s="185">
        <v>0.0</v>
      </c>
      <c r="J50" s="185">
        <v>0.0</v>
      </c>
      <c r="K50" s="185">
        <v>0.0</v>
      </c>
      <c r="L50" s="185">
        <v>0.0</v>
      </c>
      <c r="M50" s="185">
        <v>0.0</v>
      </c>
      <c r="N50" s="185">
        <v>0.0</v>
      </c>
      <c r="O50" s="185">
        <v>0.0</v>
      </c>
      <c r="P50" s="185">
        <v>0.0</v>
      </c>
      <c r="Q50" s="185">
        <v>0.0</v>
      </c>
      <c r="R50" s="185">
        <v>0.0</v>
      </c>
      <c r="S50" s="185">
        <v>0.0</v>
      </c>
      <c r="T50" s="185">
        <v>0.0</v>
      </c>
      <c r="U50" s="104">
        <f t="shared" si="2"/>
        <v>0</v>
      </c>
      <c r="V50" s="104">
        <f t="shared" si="3"/>
        <v>0</v>
      </c>
      <c r="W50" s="105"/>
    </row>
    <row r="51" ht="12.75" customHeight="1">
      <c r="A51" s="106" t="s">
        <v>26</v>
      </c>
      <c r="B51" s="109" t="s">
        <v>29</v>
      </c>
      <c r="C51" s="109"/>
      <c r="D51" s="132" t="s">
        <v>52</v>
      </c>
      <c r="E51" s="109" t="s">
        <v>72</v>
      </c>
      <c r="F51" s="133" t="s">
        <v>29</v>
      </c>
      <c r="G51" s="185">
        <v>0.0</v>
      </c>
      <c r="H51" s="103"/>
      <c r="I51" s="103"/>
      <c r="J51" s="185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4">
        <f t="shared" si="2"/>
        <v>0</v>
      </c>
      <c r="V51" s="104">
        <f t="shared" si="3"/>
        <v>0</v>
      </c>
      <c r="W51" s="105"/>
    </row>
    <row r="52" ht="13.5" customHeight="1">
      <c r="A52" s="113" t="s">
        <v>26</v>
      </c>
      <c r="B52" s="114" t="s">
        <v>29</v>
      </c>
      <c r="C52" s="114"/>
      <c r="D52" s="134"/>
      <c r="E52" s="114" t="s">
        <v>59</v>
      </c>
      <c r="F52" s="114" t="s">
        <v>73</v>
      </c>
      <c r="G52" s="185">
        <v>0.0</v>
      </c>
      <c r="H52" s="185">
        <v>0.0</v>
      </c>
      <c r="I52" s="185">
        <v>0.0</v>
      </c>
      <c r="J52" s="185">
        <v>0.0</v>
      </c>
      <c r="K52" s="185">
        <v>0.0</v>
      </c>
      <c r="L52" s="185">
        <v>0.0</v>
      </c>
      <c r="M52" s="185">
        <v>0.0</v>
      </c>
      <c r="N52" s="185">
        <v>0.0</v>
      </c>
      <c r="O52" s="185">
        <v>0.0</v>
      </c>
      <c r="P52" s="185">
        <v>0.0</v>
      </c>
      <c r="Q52" s="185">
        <v>0.0</v>
      </c>
      <c r="R52" s="185">
        <v>0.0</v>
      </c>
      <c r="S52" s="185">
        <v>0.0</v>
      </c>
      <c r="T52" s="185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13" t="s">
        <v>26</v>
      </c>
      <c r="B53" s="114" t="s">
        <v>29</v>
      </c>
      <c r="C53" s="114"/>
      <c r="D53" s="134"/>
      <c r="E53" s="114" t="s">
        <v>72</v>
      </c>
      <c r="F53" s="114" t="s">
        <v>74</v>
      </c>
      <c r="G53" s="185">
        <v>0.0</v>
      </c>
      <c r="H53" s="185">
        <v>0.0</v>
      </c>
      <c r="I53" s="185">
        <v>0.0</v>
      </c>
      <c r="J53" s="185">
        <v>0.0</v>
      </c>
      <c r="K53" s="185">
        <v>0.0</v>
      </c>
      <c r="L53" s="185">
        <v>0.0</v>
      </c>
      <c r="M53" s="185">
        <v>0.0</v>
      </c>
      <c r="N53" s="185">
        <v>0.0</v>
      </c>
      <c r="O53" s="185">
        <v>0.0</v>
      </c>
      <c r="P53" s="185">
        <v>0.0</v>
      </c>
      <c r="Q53" s="185">
        <v>0.0</v>
      </c>
      <c r="R53" s="185">
        <v>0.0</v>
      </c>
      <c r="S53" s="185">
        <v>0.0</v>
      </c>
      <c r="T53" s="185">
        <v>0.0</v>
      </c>
      <c r="U53" s="104">
        <f t="shared" si="2"/>
        <v>0</v>
      </c>
      <c r="V53" s="104">
        <f t="shared" si="3"/>
        <v>0</v>
      </c>
      <c r="W53" s="105"/>
    </row>
    <row r="54" ht="13.5" customHeight="1">
      <c r="A54" s="135" t="s">
        <v>26</v>
      </c>
      <c r="B54" s="127" t="s">
        <v>29</v>
      </c>
      <c r="C54" s="117" t="s">
        <v>75</v>
      </c>
      <c r="D54" s="136" t="s">
        <v>52</v>
      </c>
      <c r="E54" s="117" t="s">
        <v>76</v>
      </c>
      <c r="F54" s="117" t="s">
        <v>75</v>
      </c>
      <c r="G54" s="185">
        <v>1.0</v>
      </c>
      <c r="H54" s="185">
        <v>0.0</v>
      </c>
      <c r="I54" s="185">
        <v>0.0</v>
      </c>
      <c r="J54" s="185">
        <v>1.0</v>
      </c>
      <c r="K54" s="185">
        <v>0.0</v>
      </c>
      <c r="L54" s="185">
        <v>1.0</v>
      </c>
      <c r="M54" s="185">
        <v>0.0</v>
      </c>
      <c r="N54" s="185">
        <v>0.0</v>
      </c>
      <c r="O54" s="185">
        <v>0.0</v>
      </c>
      <c r="P54" s="185">
        <v>0.0</v>
      </c>
      <c r="Q54" s="185">
        <v>0.0</v>
      </c>
      <c r="R54" s="185">
        <v>1.0</v>
      </c>
      <c r="S54" s="185">
        <v>0.0</v>
      </c>
      <c r="T54" s="185">
        <v>0.0</v>
      </c>
      <c r="U54" s="104">
        <f t="shared" si="2"/>
        <v>0</v>
      </c>
      <c r="V54" s="104">
        <f t="shared" si="3"/>
        <v>1</v>
      </c>
      <c r="W54" s="105"/>
    </row>
    <row r="55" ht="13.5" customHeight="1">
      <c r="A55" s="137" t="s">
        <v>26</v>
      </c>
      <c r="B55" s="130" t="s">
        <v>29</v>
      </c>
      <c r="C55" s="120" t="s">
        <v>75</v>
      </c>
      <c r="D55" s="138"/>
      <c r="E55" s="120" t="s">
        <v>59</v>
      </c>
      <c r="F55" s="120" t="s">
        <v>77</v>
      </c>
      <c r="G55" s="185">
        <v>1.0</v>
      </c>
      <c r="H55" s="185">
        <v>0.0</v>
      </c>
      <c r="I55" s="185">
        <v>0.0</v>
      </c>
      <c r="J55" s="185">
        <v>1.0</v>
      </c>
      <c r="K55" s="185">
        <v>1.0</v>
      </c>
      <c r="L55" s="185">
        <v>0.0</v>
      </c>
      <c r="M55" s="185">
        <v>6.0</v>
      </c>
      <c r="N55" s="185">
        <v>0.0</v>
      </c>
      <c r="O55" s="185">
        <v>0.0</v>
      </c>
      <c r="P55" s="185">
        <v>0.0</v>
      </c>
      <c r="Q55" s="185">
        <v>0.0</v>
      </c>
      <c r="R55" s="185">
        <v>1.0</v>
      </c>
      <c r="S55" s="185">
        <v>1.0</v>
      </c>
      <c r="T55" s="185">
        <v>0.0</v>
      </c>
      <c r="U55" s="104">
        <f t="shared" si="2"/>
        <v>0</v>
      </c>
      <c r="V55" s="104">
        <f t="shared" si="3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75</v>
      </c>
      <c r="D56" s="138"/>
      <c r="E56" s="120" t="s">
        <v>59</v>
      </c>
      <c r="F56" s="120" t="s">
        <v>78</v>
      </c>
      <c r="G56" s="185">
        <v>0.0</v>
      </c>
      <c r="H56" s="185">
        <v>0.0</v>
      </c>
      <c r="I56" s="185">
        <v>0.0</v>
      </c>
      <c r="J56" s="185">
        <v>0.0</v>
      </c>
      <c r="K56" s="185">
        <v>0.0</v>
      </c>
      <c r="L56" s="185">
        <v>0.0</v>
      </c>
      <c r="M56" s="185">
        <v>0.0</v>
      </c>
      <c r="N56" s="185">
        <v>0.0</v>
      </c>
      <c r="O56" s="185">
        <v>0.0</v>
      </c>
      <c r="P56" s="185">
        <v>0.0</v>
      </c>
      <c r="Q56" s="185">
        <v>0.0</v>
      </c>
      <c r="R56" s="185">
        <v>0.0</v>
      </c>
      <c r="S56" s="185">
        <v>0.0</v>
      </c>
      <c r="T56" s="185">
        <v>0.0</v>
      </c>
      <c r="U56" s="104">
        <f t="shared" si="2"/>
        <v>0</v>
      </c>
      <c r="V56" s="104">
        <f t="shared" si="3"/>
        <v>0</v>
      </c>
      <c r="W56" s="105"/>
    </row>
    <row r="57" ht="13.5" customHeight="1">
      <c r="A57" s="137" t="s">
        <v>26</v>
      </c>
      <c r="B57" s="130" t="s">
        <v>29</v>
      </c>
      <c r="C57" s="120" t="s">
        <v>75</v>
      </c>
      <c r="D57" s="138"/>
      <c r="E57" s="120" t="s">
        <v>59</v>
      </c>
      <c r="F57" s="120" t="s">
        <v>79</v>
      </c>
      <c r="G57" s="185">
        <v>0.0</v>
      </c>
      <c r="H57" s="185">
        <v>0.0</v>
      </c>
      <c r="I57" s="185">
        <v>0.0</v>
      </c>
      <c r="J57" s="185">
        <v>0.0</v>
      </c>
      <c r="K57" s="185">
        <v>0.0</v>
      </c>
      <c r="L57" s="185">
        <v>0.0</v>
      </c>
      <c r="M57" s="185">
        <v>0.0</v>
      </c>
      <c r="N57" s="185">
        <v>0.0</v>
      </c>
      <c r="O57" s="185">
        <v>0.0</v>
      </c>
      <c r="P57" s="185">
        <v>0.0</v>
      </c>
      <c r="Q57" s="185">
        <v>0.0</v>
      </c>
      <c r="R57" s="185">
        <v>0.0</v>
      </c>
      <c r="S57" s="185">
        <v>0.0</v>
      </c>
      <c r="T57" s="185">
        <v>0.0</v>
      </c>
      <c r="U57" s="104">
        <f t="shared" si="2"/>
        <v>0</v>
      </c>
      <c r="V57" s="104">
        <f t="shared" si="3"/>
        <v>0</v>
      </c>
      <c r="W57" s="105"/>
    </row>
    <row r="58" ht="13.5" customHeight="1">
      <c r="A58" s="137" t="s">
        <v>26</v>
      </c>
      <c r="B58" s="130" t="s">
        <v>29</v>
      </c>
      <c r="C58" s="120" t="s">
        <v>75</v>
      </c>
      <c r="D58" s="138"/>
      <c r="E58" s="120" t="s">
        <v>80</v>
      </c>
      <c r="F58" s="120" t="s">
        <v>81</v>
      </c>
      <c r="G58" s="185">
        <v>0.0</v>
      </c>
      <c r="H58" s="185">
        <v>0.0</v>
      </c>
      <c r="I58" s="185">
        <v>0.0</v>
      </c>
      <c r="J58" s="185">
        <v>0.0</v>
      </c>
      <c r="K58" s="185">
        <v>0.0</v>
      </c>
      <c r="L58" s="185">
        <v>0.0</v>
      </c>
      <c r="M58" s="185">
        <v>0.0</v>
      </c>
      <c r="N58" s="185">
        <v>0.0</v>
      </c>
      <c r="O58" s="185">
        <v>0.0</v>
      </c>
      <c r="P58" s="185">
        <v>0.0</v>
      </c>
      <c r="Q58" s="185">
        <v>0.0</v>
      </c>
      <c r="R58" s="185">
        <v>0.0</v>
      </c>
      <c r="S58" s="185">
        <v>0.0</v>
      </c>
      <c r="T58" s="185">
        <v>0.0</v>
      </c>
      <c r="U58" s="104">
        <f t="shared" si="2"/>
        <v>0</v>
      </c>
      <c r="V58" s="104">
        <f t="shared" si="3"/>
        <v>0</v>
      </c>
      <c r="W58" s="105"/>
    </row>
    <row r="59" ht="15.0" customHeight="1">
      <c r="A59" s="106" t="s">
        <v>26</v>
      </c>
      <c r="B59" s="107" t="s">
        <v>30</v>
      </c>
      <c r="C59" s="107"/>
      <c r="D59" s="109" t="s">
        <v>52</v>
      </c>
      <c r="E59" s="107" t="s">
        <v>82</v>
      </c>
      <c r="F59" s="107" t="s">
        <v>30</v>
      </c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04">
        <f t="shared" si="2"/>
        <v>0</v>
      </c>
      <c r="V59" s="104">
        <f t="shared" si="3"/>
        <v>0</v>
      </c>
      <c r="W59" s="105"/>
    </row>
    <row r="60" ht="15.0" customHeight="1">
      <c r="A60" s="110" t="s">
        <v>26</v>
      </c>
      <c r="B60" s="111" t="s">
        <v>30</v>
      </c>
      <c r="C60" s="111" t="s">
        <v>83</v>
      </c>
      <c r="D60" s="111" t="s">
        <v>52</v>
      </c>
      <c r="E60" s="111" t="s">
        <v>82</v>
      </c>
      <c r="F60" s="111" t="s">
        <v>83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13" t="s">
        <v>26</v>
      </c>
      <c r="B61" s="114" t="s">
        <v>30</v>
      </c>
      <c r="C61" s="114" t="s">
        <v>83</v>
      </c>
      <c r="D61" s="139"/>
      <c r="E61" s="114" t="s">
        <v>82</v>
      </c>
      <c r="F61" s="114" t="s">
        <v>84</v>
      </c>
      <c r="G61" s="185">
        <v>0.0</v>
      </c>
      <c r="H61" s="185">
        <v>0.0</v>
      </c>
      <c r="I61" s="185">
        <v>0.0</v>
      </c>
      <c r="J61" s="185">
        <v>0.0</v>
      </c>
      <c r="K61" s="185">
        <v>0.0</v>
      </c>
      <c r="L61" s="185">
        <v>0.0</v>
      </c>
      <c r="M61" s="185">
        <v>0.0</v>
      </c>
      <c r="N61" s="185">
        <v>0.0</v>
      </c>
      <c r="O61" s="185">
        <v>0.0</v>
      </c>
      <c r="P61" s="185">
        <v>0.0</v>
      </c>
      <c r="Q61" s="185">
        <v>0.0</v>
      </c>
      <c r="R61" s="185">
        <v>0.0</v>
      </c>
      <c r="S61" s="185">
        <v>0.0</v>
      </c>
      <c r="T61" s="185">
        <v>0.0</v>
      </c>
      <c r="U61" s="104">
        <f t="shared" si="2"/>
        <v>0</v>
      </c>
      <c r="V61" s="104">
        <f t="shared" si="3"/>
        <v>0</v>
      </c>
      <c r="W61" s="105"/>
    </row>
    <row r="62" ht="20.25" customHeight="1">
      <c r="A62" s="93" t="s">
        <v>36</v>
      </c>
      <c r="B62" s="94" t="s">
        <v>37</v>
      </c>
      <c r="C62" s="94" t="s">
        <v>38</v>
      </c>
      <c r="D62" s="95"/>
      <c r="E62" s="96" t="s">
        <v>39</v>
      </c>
      <c r="F62" s="94" t="s">
        <v>40</v>
      </c>
      <c r="G62" s="97" t="s">
        <v>41</v>
      </c>
      <c r="H62" s="97" t="s">
        <v>42</v>
      </c>
      <c r="I62" s="97" t="s">
        <v>43</v>
      </c>
      <c r="J62" s="97" t="s">
        <v>12</v>
      </c>
      <c r="K62" s="97" t="s">
        <v>44</v>
      </c>
      <c r="L62" s="97" t="s">
        <v>14</v>
      </c>
      <c r="M62" s="97" t="s">
        <v>9</v>
      </c>
      <c r="N62" s="97" t="s">
        <v>10</v>
      </c>
      <c r="O62" s="97" t="s">
        <v>45</v>
      </c>
      <c r="P62" s="97" t="s">
        <v>5</v>
      </c>
      <c r="Q62" s="97" t="s">
        <v>46</v>
      </c>
      <c r="R62" s="97" t="s">
        <v>47</v>
      </c>
      <c r="S62" s="97" t="s">
        <v>48</v>
      </c>
      <c r="T62" s="97" t="s">
        <v>0</v>
      </c>
      <c r="U62" s="96" t="s">
        <v>49</v>
      </c>
      <c r="V62" s="96" t="s">
        <v>50</v>
      </c>
      <c r="W62" s="98"/>
    </row>
    <row r="63" ht="12.75" customHeight="1">
      <c r="A63" s="140" t="s">
        <v>31</v>
      </c>
      <c r="B63" s="141"/>
      <c r="C63" s="141"/>
      <c r="D63" s="142" t="s">
        <v>52</v>
      </c>
      <c r="E63" s="102" t="s">
        <v>85</v>
      </c>
      <c r="F63" s="102" t="s">
        <v>31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ref="U63:U67" si="4">IFERROR(I63/H63,0)</f>
        <v>0</v>
      </c>
      <c r="V63" s="104">
        <f t="shared" ref="V63:V67" si="5">IFERROR(SUM(H63+L63)/G63,0)</f>
        <v>0</v>
      </c>
      <c r="W63" s="105"/>
    </row>
    <row r="64" ht="12.75" customHeight="1">
      <c r="A64" s="143" t="s">
        <v>31</v>
      </c>
      <c r="B64" s="144"/>
      <c r="C64" s="127" t="s">
        <v>86</v>
      </c>
      <c r="D64" s="127" t="s">
        <v>52</v>
      </c>
      <c r="E64" s="127"/>
      <c r="F64" s="127" t="s">
        <v>86</v>
      </c>
      <c r="G64" s="185">
        <v>3.0</v>
      </c>
      <c r="H64" s="185">
        <v>0.0</v>
      </c>
      <c r="I64" s="185">
        <v>0.0</v>
      </c>
      <c r="J64" s="185">
        <v>0.0</v>
      </c>
      <c r="K64" s="185">
        <v>0.0</v>
      </c>
      <c r="L64" s="185">
        <v>0.0</v>
      </c>
      <c r="M64" s="185">
        <v>0.0</v>
      </c>
      <c r="N64" s="185">
        <v>0.0</v>
      </c>
      <c r="O64" s="185">
        <v>0.0</v>
      </c>
      <c r="P64" s="185">
        <v>0.0</v>
      </c>
      <c r="Q64" s="185">
        <v>0.0</v>
      </c>
      <c r="R64" s="185">
        <v>0.0</v>
      </c>
      <c r="S64" s="185">
        <v>0.0</v>
      </c>
      <c r="T64" s="185">
        <v>0.0</v>
      </c>
      <c r="U64" s="145">
        <f t="shared" si="4"/>
        <v>0</v>
      </c>
      <c r="V64" s="145">
        <f t="shared" si="5"/>
        <v>0</v>
      </c>
      <c r="W64" s="146"/>
    </row>
    <row r="65" ht="12.75" customHeight="1">
      <c r="A65" s="147" t="s">
        <v>31</v>
      </c>
      <c r="B65" s="148"/>
      <c r="C65" s="120" t="s">
        <v>86</v>
      </c>
      <c r="D65" s="117"/>
      <c r="E65" s="120"/>
      <c r="F65" s="120" t="s">
        <v>87</v>
      </c>
      <c r="G65" s="185">
        <v>2.0</v>
      </c>
      <c r="H65" s="185">
        <v>0.0</v>
      </c>
      <c r="I65" s="185">
        <v>0.0</v>
      </c>
      <c r="J65" s="185">
        <v>0.0</v>
      </c>
      <c r="K65" s="185">
        <v>0.0</v>
      </c>
      <c r="L65" s="185">
        <v>0.0</v>
      </c>
      <c r="M65" s="185">
        <v>0.0</v>
      </c>
      <c r="N65" s="185">
        <v>0.0</v>
      </c>
      <c r="O65" s="185">
        <v>0.0</v>
      </c>
      <c r="P65" s="185">
        <v>0.0</v>
      </c>
      <c r="Q65" s="185">
        <v>0.0</v>
      </c>
      <c r="R65" s="185">
        <v>0.0</v>
      </c>
      <c r="S65" s="185">
        <v>0.0</v>
      </c>
      <c r="T65" s="185">
        <v>0.0</v>
      </c>
      <c r="U65" s="145">
        <f t="shared" si="4"/>
        <v>0</v>
      </c>
      <c r="V65" s="145">
        <f t="shared" si="5"/>
        <v>0</v>
      </c>
      <c r="W65" s="146"/>
    </row>
    <row r="66" ht="12.75" customHeight="1">
      <c r="A66" s="149" t="s">
        <v>31</v>
      </c>
      <c r="B66" s="150"/>
      <c r="C66" s="151" t="s">
        <v>88</v>
      </c>
      <c r="D66" s="151"/>
      <c r="E66" s="151"/>
      <c r="F66" s="151" t="s">
        <v>88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5">
        <f t="shared" si="4"/>
        <v>0</v>
      </c>
      <c r="V66" s="145">
        <f t="shared" si="5"/>
        <v>0</v>
      </c>
      <c r="W66" s="146"/>
    </row>
    <row r="67" ht="12.75" customHeight="1">
      <c r="A67" s="152" t="s">
        <v>31</v>
      </c>
      <c r="B67" s="153"/>
      <c r="C67" s="154" t="s">
        <v>88</v>
      </c>
      <c r="D67" s="151"/>
      <c r="E67" s="154" t="s">
        <v>89</v>
      </c>
      <c r="F67" s="154" t="s">
        <v>90</v>
      </c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45">
        <f t="shared" si="4"/>
        <v>0</v>
      </c>
      <c r="V67" s="145">
        <f t="shared" si="5"/>
        <v>0</v>
      </c>
      <c r="W67" s="146"/>
    </row>
    <row r="68" ht="20.25" customHeight="1">
      <c r="A68" s="93" t="s">
        <v>36</v>
      </c>
      <c r="B68" s="94" t="s">
        <v>37</v>
      </c>
      <c r="C68" s="94" t="s">
        <v>38</v>
      </c>
      <c r="D68" s="95"/>
      <c r="E68" s="96" t="s">
        <v>39</v>
      </c>
      <c r="F68" s="94" t="s">
        <v>40</v>
      </c>
      <c r="G68" s="97" t="s">
        <v>41</v>
      </c>
      <c r="H68" s="97" t="s">
        <v>42</v>
      </c>
      <c r="I68" s="97" t="s">
        <v>43</v>
      </c>
      <c r="J68" s="97" t="s">
        <v>12</v>
      </c>
      <c r="K68" s="97" t="s">
        <v>44</v>
      </c>
      <c r="L68" s="97" t="s">
        <v>14</v>
      </c>
      <c r="M68" s="97" t="s">
        <v>9</v>
      </c>
      <c r="N68" s="97" t="s">
        <v>10</v>
      </c>
      <c r="O68" s="97" t="s">
        <v>45</v>
      </c>
      <c r="P68" s="97" t="s">
        <v>5</v>
      </c>
      <c r="Q68" s="97" t="s">
        <v>46</v>
      </c>
      <c r="R68" s="97" t="s">
        <v>47</v>
      </c>
      <c r="S68" s="97" t="s">
        <v>48</v>
      </c>
      <c r="T68" s="97" t="s">
        <v>0</v>
      </c>
      <c r="U68" s="96" t="s">
        <v>49</v>
      </c>
      <c r="V68" s="96" t="s">
        <v>50</v>
      </c>
      <c r="W68" s="98"/>
    </row>
    <row r="69" ht="13.5" customHeight="1">
      <c r="A69" s="155" t="s">
        <v>32</v>
      </c>
      <c r="B69" s="156"/>
      <c r="C69" s="157"/>
      <c r="D69" s="158" t="s">
        <v>52</v>
      </c>
      <c r="E69" s="156" t="s">
        <v>91</v>
      </c>
      <c r="F69" s="156" t="s">
        <v>32</v>
      </c>
      <c r="G69" s="185">
        <v>1.0</v>
      </c>
      <c r="H69" s="185">
        <v>1.0</v>
      </c>
      <c r="I69" s="185">
        <v>1.0</v>
      </c>
      <c r="J69" s="185">
        <v>1.0</v>
      </c>
      <c r="K69" s="185">
        <v>1.0</v>
      </c>
      <c r="L69" s="185">
        <v>0.0</v>
      </c>
      <c r="M69" s="185">
        <v>2.0</v>
      </c>
      <c r="N69" s="185">
        <v>1.0</v>
      </c>
      <c r="O69" s="185">
        <v>1.0</v>
      </c>
      <c r="P69" s="185">
        <v>0.0</v>
      </c>
      <c r="Q69" s="185">
        <v>0.0</v>
      </c>
      <c r="R69" s="185">
        <v>0.0</v>
      </c>
      <c r="S69" s="185">
        <v>0.0</v>
      </c>
      <c r="T69" s="185">
        <v>2605.0</v>
      </c>
      <c r="U69" s="104">
        <f t="shared" ref="U69:U78" si="6">IFERROR(I69/H69,0)</f>
        <v>1</v>
      </c>
      <c r="V69" s="104">
        <f t="shared" ref="V69:V78" si="7">IFERROR(SUM(H69+L69)/G69,0)</f>
        <v>1</v>
      </c>
      <c r="W69" s="105"/>
    </row>
    <row r="70" ht="13.5" customHeight="1">
      <c r="A70" s="114" t="s">
        <v>32</v>
      </c>
      <c r="B70" s="114"/>
      <c r="C70" s="159"/>
      <c r="D70" s="134"/>
      <c r="E70" s="114" t="s">
        <v>91</v>
      </c>
      <c r="F70" s="114" t="s">
        <v>92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91</v>
      </c>
      <c r="F71" s="114" t="s">
        <v>93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91</v>
      </c>
      <c r="F72" s="114" t="s">
        <v>94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91</v>
      </c>
      <c r="F73" s="114" t="s">
        <v>95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91</v>
      </c>
      <c r="F74" s="114" t="s">
        <v>96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91</v>
      </c>
      <c r="F75" s="114" t="s">
        <v>97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91</v>
      </c>
      <c r="F76" s="114" t="s">
        <v>98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14" t="s">
        <v>32</v>
      </c>
      <c r="B77" s="114"/>
      <c r="C77" s="114"/>
      <c r="D77" s="160"/>
      <c r="E77" s="114" t="s">
        <v>91</v>
      </c>
      <c r="F77" s="114" t="s">
        <v>99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14" t="s">
        <v>32</v>
      </c>
      <c r="B78" s="114"/>
      <c r="C78" s="114"/>
      <c r="D78" s="160"/>
      <c r="E78" s="114" t="s">
        <v>91</v>
      </c>
      <c r="F78" s="114" t="s">
        <v>100</v>
      </c>
      <c r="G78" s="185">
        <v>3.0</v>
      </c>
      <c r="H78" s="185">
        <v>1.0</v>
      </c>
      <c r="I78" s="185">
        <v>0.0</v>
      </c>
      <c r="J78" s="185">
        <v>0.0</v>
      </c>
      <c r="K78" s="185">
        <v>0.0</v>
      </c>
      <c r="L78" s="185">
        <v>0.0</v>
      </c>
      <c r="M78" s="185">
        <v>0.0</v>
      </c>
      <c r="N78" s="185">
        <v>0.0</v>
      </c>
      <c r="O78" s="185">
        <v>0.0</v>
      </c>
      <c r="P78" s="185">
        <v>0.0</v>
      </c>
      <c r="Q78" s="185">
        <v>0.0</v>
      </c>
      <c r="R78" s="185">
        <v>0.0</v>
      </c>
      <c r="S78" s="185">
        <v>0.0</v>
      </c>
      <c r="T78" s="185">
        <v>0.0</v>
      </c>
      <c r="U78" s="104">
        <f t="shared" si="6"/>
        <v>0</v>
      </c>
      <c r="V78" s="104">
        <f t="shared" si="7"/>
        <v>0.3333333333</v>
      </c>
      <c r="W78" s="105"/>
    </row>
    <row r="79" ht="20.25" customHeight="1">
      <c r="A79" s="93" t="s">
        <v>36</v>
      </c>
      <c r="B79" s="94" t="s">
        <v>37</v>
      </c>
      <c r="C79" s="94" t="s">
        <v>38</v>
      </c>
      <c r="D79" s="95"/>
      <c r="E79" s="96" t="s">
        <v>39</v>
      </c>
      <c r="F79" s="94" t="s">
        <v>40</v>
      </c>
      <c r="G79" s="97" t="s">
        <v>41</v>
      </c>
      <c r="H79" s="97" t="s">
        <v>42</v>
      </c>
      <c r="I79" s="97" t="s">
        <v>43</v>
      </c>
      <c r="J79" s="97" t="s">
        <v>12</v>
      </c>
      <c r="K79" s="97" t="s">
        <v>44</v>
      </c>
      <c r="L79" s="97" t="s">
        <v>14</v>
      </c>
      <c r="M79" s="97" t="s">
        <v>9</v>
      </c>
      <c r="N79" s="97" t="s">
        <v>10</v>
      </c>
      <c r="O79" s="97" t="s">
        <v>45</v>
      </c>
      <c r="P79" s="97" t="s">
        <v>5</v>
      </c>
      <c r="Q79" s="97" t="s">
        <v>46</v>
      </c>
      <c r="R79" s="97" t="s">
        <v>47</v>
      </c>
      <c r="S79" s="97" t="s">
        <v>48</v>
      </c>
      <c r="T79" s="97" t="s">
        <v>0</v>
      </c>
      <c r="U79" s="96" t="s">
        <v>49</v>
      </c>
      <c r="V79" s="96" t="s">
        <v>50</v>
      </c>
      <c r="W79" s="98"/>
    </row>
    <row r="80" ht="12.75" customHeight="1">
      <c r="A80" s="161" t="s">
        <v>33</v>
      </c>
      <c r="B80" s="161"/>
      <c r="C80" s="161"/>
      <c r="D80" s="162" t="s">
        <v>52</v>
      </c>
      <c r="E80" s="161" t="s">
        <v>101</v>
      </c>
      <c r="F80" s="161" t="s">
        <v>33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ref="U80:U84" si="8">IFERROR(I80/H80,0)</f>
        <v>0</v>
      </c>
      <c r="V80" s="104">
        <f t="shared" ref="V80:V84" si="9">IFERROR(SUM(H80+L80)/G80,0)</f>
        <v>0</v>
      </c>
      <c r="W80" s="105"/>
    </row>
    <row r="81" ht="12.75" customHeight="1">
      <c r="A81" s="163" t="s">
        <v>33</v>
      </c>
      <c r="B81" s="164"/>
      <c r="C81" s="164"/>
      <c r="D81" s="101"/>
      <c r="E81" s="126" t="s">
        <v>76</v>
      </c>
      <c r="F81" s="126" t="s">
        <v>102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8"/>
        <v>0</v>
      </c>
      <c r="V81" s="104">
        <f t="shared" si="9"/>
        <v>0</v>
      </c>
      <c r="W81" s="105"/>
    </row>
    <row r="82" ht="12.75" customHeight="1">
      <c r="A82" s="165" t="s">
        <v>33</v>
      </c>
      <c r="B82" s="165"/>
      <c r="C82" s="128" t="s">
        <v>103</v>
      </c>
      <c r="D82" s="129" t="s">
        <v>52</v>
      </c>
      <c r="E82" s="117" t="s">
        <v>59</v>
      </c>
      <c r="F82" s="128" t="s">
        <v>103</v>
      </c>
      <c r="G82" s="185">
        <v>0.0</v>
      </c>
      <c r="H82" s="185">
        <v>0.0</v>
      </c>
      <c r="I82" s="185">
        <v>0.0</v>
      </c>
      <c r="J82" s="185">
        <v>0.0</v>
      </c>
      <c r="K82" s="185">
        <v>0.0</v>
      </c>
      <c r="L82" s="185">
        <v>0.0</v>
      </c>
      <c r="M82" s="185">
        <v>0.0</v>
      </c>
      <c r="N82" s="185">
        <v>0.0</v>
      </c>
      <c r="O82" s="185">
        <v>0.0</v>
      </c>
      <c r="P82" s="185">
        <v>0.0</v>
      </c>
      <c r="Q82" s="185">
        <v>0.0</v>
      </c>
      <c r="R82" s="185">
        <v>0.0</v>
      </c>
      <c r="S82" s="185">
        <v>0.0</v>
      </c>
      <c r="T82" s="185">
        <v>506.0</v>
      </c>
      <c r="U82" s="104">
        <f t="shared" si="8"/>
        <v>0</v>
      </c>
      <c r="V82" s="104">
        <f t="shared" si="9"/>
        <v>0</v>
      </c>
      <c r="W82" s="105"/>
    </row>
    <row r="83" ht="12.75" customHeight="1">
      <c r="A83" s="161" t="s">
        <v>33</v>
      </c>
      <c r="B83" s="161"/>
      <c r="C83" s="111" t="s">
        <v>104</v>
      </c>
      <c r="D83" s="112" t="s">
        <v>52</v>
      </c>
      <c r="E83" s="111" t="s">
        <v>105</v>
      </c>
      <c r="F83" s="111" t="s">
        <v>104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8"/>
        <v>0</v>
      </c>
      <c r="V83" s="104">
        <f t="shared" si="9"/>
        <v>0</v>
      </c>
      <c r="W83" s="105"/>
    </row>
    <row r="84" ht="12.75" customHeight="1">
      <c r="A84" s="163" t="s">
        <v>33</v>
      </c>
      <c r="B84" s="163"/>
      <c r="C84" s="114" t="s">
        <v>104</v>
      </c>
      <c r="D84" s="115"/>
      <c r="E84" s="114" t="s">
        <v>59</v>
      </c>
      <c r="F84" s="114" t="s">
        <v>106</v>
      </c>
      <c r="G84" s="185">
        <v>0.0</v>
      </c>
      <c r="H84" s="185">
        <v>0.0</v>
      </c>
      <c r="I84" s="185">
        <v>0.0</v>
      </c>
      <c r="J84" s="185">
        <v>0.0</v>
      </c>
      <c r="K84" s="185">
        <v>0.0</v>
      </c>
      <c r="L84" s="185">
        <v>0.0</v>
      </c>
      <c r="M84" s="185">
        <v>0.0</v>
      </c>
      <c r="N84" s="185">
        <v>0.0</v>
      </c>
      <c r="O84" s="185">
        <v>0.0</v>
      </c>
      <c r="P84" s="185">
        <v>0.0</v>
      </c>
      <c r="Q84" s="185">
        <v>0.0</v>
      </c>
      <c r="R84" s="185">
        <v>0.0</v>
      </c>
      <c r="S84" s="185">
        <v>0.0</v>
      </c>
      <c r="T84" s="185">
        <v>0.0</v>
      </c>
      <c r="U84" s="104">
        <f t="shared" si="8"/>
        <v>0</v>
      </c>
      <c r="V84" s="104">
        <f t="shared" si="9"/>
        <v>0</v>
      </c>
      <c r="W84" s="105"/>
    </row>
    <row r="85" ht="20.25" customHeight="1">
      <c r="A85" s="93" t="s">
        <v>36</v>
      </c>
      <c r="B85" s="94" t="s">
        <v>37</v>
      </c>
      <c r="C85" s="94" t="s">
        <v>38</v>
      </c>
      <c r="D85" s="95"/>
      <c r="E85" s="96" t="s">
        <v>39</v>
      </c>
      <c r="F85" s="94" t="s">
        <v>40</v>
      </c>
      <c r="G85" s="97" t="s">
        <v>41</v>
      </c>
      <c r="H85" s="97" t="s">
        <v>42</v>
      </c>
      <c r="I85" s="97" t="s">
        <v>43</v>
      </c>
      <c r="J85" s="97" t="s">
        <v>12</v>
      </c>
      <c r="K85" s="97" t="s">
        <v>44</v>
      </c>
      <c r="L85" s="97" t="s">
        <v>14</v>
      </c>
      <c r="M85" s="97" t="s">
        <v>9</v>
      </c>
      <c r="N85" s="97" t="s">
        <v>10</v>
      </c>
      <c r="O85" s="97" t="s">
        <v>45</v>
      </c>
      <c r="P85" s="97" t="s">
        <v>5</v>
      </c>
      <c r="Q85" s="97" t="s">
        <v>46</v>
      </c>
      <c r="R85" s="97" t="s">
        <v>47</v>
      </c>
      <c r="S85" s="97" t="s">
        <v>48</v>
      </c>
      <c r="T85" s="97" t="s">
        <v>0</v>
      </c>
      <c r="U85" s="96" t="s">
        <v>49</v>
      </c>
      <c r="V85" s="96" t="s">
        <v>50</v>
      </c>
      <c r="W85" s="98"/>
    </row>
    <row r="86" ht="13.5" customHeight="1">
      <c r="A86" s="166" t="s">
        <v>34</v>
      </c>
      <c r="B86" s="167"/>
      <c r="C86" s="167"/>
      <c r="D86" s="166" t="s">
        <v>52</v>
      </c>
      <c r="E86" s="166" t="s">
        <v>58</v>
      </c>
      <c r="F86" s="166" t="s">
        <v>34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ref="U86:U102" si="10">IFERROR(I86/H86,0)</f>
        <v>0</v>
      </c>
      <c r="V86" s="104">
        <f t="shared" ref="V86:V102" si="11">IFERROR(SUM(H86+L86)/G86,0)</f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59</v>
      </c>
      <c r="F87" s="168" t="s">
        <v>107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0"/>
        <v>0</v>
      </c>
      <c r="V87" s="104">
        <f t="shared" si="11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58</v>
      </c>
      <c r="F88" s="168" t="s">
        <v>108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76</v>
      </c>
      <c r="F89" s="168" t="s">
        <v>109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68" t="s">
        <v>34</v>
      </c>
      <c r="B90" s="167"/>
      <c r="C90" s="167"/>
      <c r="D90" s="167"/>
      <c r="E90" s="168" t="s">
        <v>62</v>
      </c>
      <c r="F90" s="168" t="s">
        <v>110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68" t="s">
        <v>34</v>
      </c>
      <c r="B91" s="167"/>
      <c r="C91" s="167"/>
      <c r="D91" s="167"/>
      <c r="E91" s="168" t="s">
        <v>58</v>
      </c>
      <c r="F91" s="168" t="s">
        <v>111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112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113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9" t="s">
        <v>34</v>
      </c>
      <c r="B95" s="170"/>
      <c r="C95" s="169"/>
      <c r="D95" s="170"/>
      <c r="E95" s="169"/>
      <c r="F95" s="169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9" t="s">
        <v>34</v>
      </c>
      <c r="B96" s="170"/>
      <c r="C96" s="169"/>
      <c r="D96" s="170"/>
      <c r="E96" s="169"/>
      <c r="F96" s="169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71" t="s">
        <v>34</v>
      </c>
      <c r="B97" s="172"/>
      <c r="C97" s="171" t="s">
        <v>117</v>
      </c>
      <c r="D97" s="173" t="s">
        <v>52</v>
      </c>
      <c r="E97" s="171" t="s">
        <v>105</v>
      </c>
      <c r="F97" s="171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74" t="s">
        <v>34</v>
      </c>
      <c r="B98" s="175"/>
      <c r="C98" s="174" t="s">
        <v>117</v>
      </c>
      <c r="D98" s="175"/>
      <c r="E98" s="174" t="s">
        <v>118</v>
      </c>
      <c r="F98" s="174" t="s">
        <v>119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74" t="s">
        <v>34</v>
      </c>
      <c r="B99" s="175"/>
      <c r="C99" s="174" t="s">
        <v>117</v>
      </c>
      <c r="D99" s="175"/>
      <c r="E99" s="174" t="s">
        <v>120</v>
      </c>
      <c r="F99" s="174" t="s">
        <v>121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74" t="s">
        <v>34</v>
      </c>
      <c r="B100" s="175"/>
      <c r="C100" s="174" t="s">
        <v>117</v>
      </c>
      <c r="D100" s="175"/>
      <c r="E100" s="174"/>
      <c r="F100" s="174" t="s">
        <v>119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6" t="s">
        <v>34</v>
      </c>
      <c r="B101" s="176"/>
      <c r="C101" s="166" t="s">
        <v>122</v>
      </c>
      <c r="D101" s="166" t="s">
        <v>52</v>
      </c>
      <c r="E101" s="166" t="s">
        <v>123</v>
      </c>
      <c r="F101" s="166" t="s">
        <v>122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9" t="s">
        <v>34</v>
      </c>
      <c r="B102" s="170"/>
      <c r="C102" s="169" t="s">
        <v>122</v>
      </c>
      <c r="D102" s="170"/>
      <c r="E102" s="169"/>
      <c r="F102" s="169" t="s">
        <v>124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20.25" customHeight="1">
      <c r="A103" s="93" t="s">
        <v>36</v>
      </c>
      <c r="B103" s="94" t="s">
        <v>37</v>
      </c>
      <c r="C103" s="94" t="s">
        <v>38</v>
      </c>
      <c r="D103" s="95"/>
      <c r="E103" s="96" t="s">
        <v>39</v>
      </c>
      <c r="F103" s="94" t="s">
        <v>40</v>
      </c>
      <c r="G103" s="97" t="s">
        <v>41</v>
      </c>
      <c r="H103" s="97" t="s">
        <v>42</v>
      </c>
      <c r="I103" s="97" t="s">
        <v>43</v>
      </c>
      <c r="J103" s="97" t="s">
        <v>12</v>
      </c>
      <c r="K103" s="97" t="s">
        <v>44</v>
      </c>
      <c r="L103" s="97" t="s">
        <v>14</v>
      </c>
      <c r="M103" s="97" t="s">
        <v>9</v>
      </c>
      <c r="N103" s="97" t="s">
        <v>10</v>
      </c>
      <c r="O103" s="97" t="s">
        <v>45</v>
      </c>
      <c r="P103" s="97" t="s">
        <v>5</v>
      </c>
      <c r="Q103" s="97" t="s">
        <v>46</v>
      </c>
      <c r="R103" s="97" t="s">
        <v>47</v>
      </c>
      <c r="S103" s="97" t="s">
        <v>48</v>
      </c>
      <c r="T103" s="97" t="s">
        <v>0</v>
      </c>
      <c r="U103" s="96" t="s">
        <v>49</v>
      </c>
      <c r="V103" s="96" t="s">
        <v>50</v>
      </c>
      <c r="W103" s="98"/>
    </row>
    <row r="104" ht="20.25" customHeight="1">
      <c r="A104" s="111" t="s">
        <v>35</v>
      </c>
      <c r="B104" s="160"/>
      <c r="C104" s="111"/>
      <c r="D104" s="111" t="s">
        <v>52</v>
      </c>
      <c r="E104" s="111" t="s">
        <v>59</v>
      </c>
      <c r="F104" s="111" t="s">
        <v>35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45">
        <f t="shared" ref="U104:U105" si="12">IFERROR(I104/H104,0)</f>
        <v>0</v>
      </c>
      <c r="V104" s="145">
        <f t="shared" ref="V104:V105" si="13">IFERROR(SUM(H104+L104)/G104,0)</f>
        <v>0</v>
      </c>
      <c r="W104" s="146"/>
    </row>
    <row r="105">
      <c r="A105" s="117" t="s">
        <v>35</v>
      </c>
      <c r="B105" s="136"/>
      <c r="C105" s="117" t="s">
        <v>125</v>
      </c>
      <c r="D105" s="117" t="s">
        <v>52</v>
      </c>
      <c r="E105" s="117"/>
      <c r="F105" s="117" t="s">
        <v>125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45">
        <f t="shared" si="12"/>
        <v>0</v>
      </c>
      <c r="V105" s="145">
        <f t="shared" si="13"/>
        <v>0</v>
      </c>
      <c r="W105" s="146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77"/>
      <c r="B618" s="177"/>
      <c r="C618" s="177"/>
      <c r="D618" s="1"/>
      <c r="E618" s="177"/>
      <c r="F618" s="178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80"/>
      <c r="V618" s="180"/>
      <c r="W618" s="180"/>
    </row>
    <row r="619" ht="12.75" customHeight="1">
      <c r="A619" s="177"/>
      <c r="B619" s="177"/>
      <c r="C619" s="177"/>
      <c r="D619" s="1"/>
      <c r="E619" s="177"/>
      <c r="F619" s="178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80"/>
      <c r="V619" s="180"/>
      <c r="W619" s="180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8743</v>
      </c>
      <c r="D2" s="10"/>
      <c r="E2" s="11">
        <f t="shared" ref="E2:R2" si="1">SUM(E5,E20,E23,E26,E29,E32)</f>
        <v>8743</v>
      </c>
      <c r="F2" s="11">
        <f t="shared" si="1"/>
        <v>37</v>
      </c>
      <c r="G2" s="11">
        <f t="shared" si="1"/>
        <v>15</v>
      </c>
      <c r="H2" s="11">
        <f t="shared" si="1"/>
        <v>5</v>
      </c>
      <c r="I2" s="11">
        <f t="shared" si="1"/>
        <v>1</v>
      </c>
      <c r="J2" s="11">
        <f t="shared" si="1"/>
        <v>1</v>
      </c>
      <c r="K2" s="11">
        <f t="shared" si="1"/>
        <v>7</v>
      </c>
      <c r="L2" s="11">
        <f t="shared" si="1"/>
        <v>2</v>
      </c>
      <c r="M2" s="11">
        <f t="shared" si="1"/>
        <v>66</v>
      </c>
      <c r="N2" s="11">
        <f t="shared" si="1"/>
        <v>7</v>
      </c>
      <c r="O2" s="11">
        <f t="shared" si="1"/>
        <v>2</v>
      </c>
      <c r="P2" s="11">
        <f t="shared" si="1"/>
        <v>8</v>
      </c>
      <c r="Q2" s="11">
        <f t="shared" si="1"/>
        <v>3</v>
      </c>
      <c r="R2" s="11">
        <f t="shared" si="1"/>
        <v>4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64</v>
      </c>
      <c r="D4" s="22"/>
      <c r="E4" s="23">
        <f>IFERROR(C2/H2,0)</f>
        <v>1748.6</v>
      </c>
      <c r="F4" s="24">
        <f>IFERROR((G2+R2)/F2,0)</f>
        <v>0.5135135135</v>
      </c>
      <c r="G4" s="24">
        <f>IFERROR(H2/G2,0)</f>
        <v>0.3333333333</v>
      </c>
      <c r="H4" s="23">
        <f>(C2/C4)</f>
        <v>136.609375</v>
      </c>
      <c r="I4" s="25"/>
      <c r="J4" s="24">
        <f>IFERROR(J2/I2,0)</f>
        <v>1</v>
      </c>
      <c r="K4" s="25"/>
      <c r="L4" s="24">
        <f>IFERROR(L2/K2,0)</f>
        <v>0.2857142857</v>
      </c>
      <c r="M4" s="26">
        <f>IFERROR(M2/G2,0)</f>
        <v>4.4</v>
      </c>
      <c r="N4" s="25"/>
      <c r="O4" s="24">
        <f>IFERROR(O2/N2,0)</f>
        <v>0.2857142857</v>
      </c>
      <c r="P4" s="26"/>
      <c r="Q4" s="24">
        <f>IFERROR(Q2/P2,0)</f>
        <v>0.375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6307</v>
      </c>
      <c r="D5" s="31"/>
      <c r="E5" s="32">
        <f>SUMIFS(T:T,A:A,B5,D:D,"Y")</f>
        <v>6307</v>
      </c>
      <c r="F5" s="11">
        <f>SUMIF(A:A,B5,G:G)</f>
        <v>30</v>
      </c>
      <c r="G5" s="11">
        <f>SUMIF(A:A,B5,H:H)</f>
        <v>13</v>
      </c>
      <c r="H5" s="11">
        <f>SUMIF(A:A,B5,I:I)</f>
        <v>4</v>
      </c>
      <c r="I5" s="11">
        <f>SUMIF(A:A,B5,P:P)</f>
        <v>1</v>
      </c>
      <c r="J5" s="11">
        <f>SUMIF(A:A,B5,Q:Q)</f>
        <v>1</v>
      </c>
      <c r="K5" s="11">
        <f>SUMIF(A:A,B5,R:R)</f>
        <v>7</v>
      </c>
      <c r="L5" s="11">
        <f>SUMIF(A:A,B5,S:S)</f>
        <v>2</v>
      </c>
      <c r="M5" s="11">
        <f>SUMIF(A:A,B5,M:M)</f>
        <v>56</v>
      </c>
      <c r="N5" s="11">
        <f>SUMIF(A:A,B5,N:N)</f>
        <v>5</v>
      </c>
      <c r="O5" s="11">
        <f>SUMIF(A:A,B5,O:O)</f>
        <v>1</v>
      </c>
      <c r="P5" s="11">
        <f>SUMIF(A:A,B5,J:J)</f>
        <v>6</v>
      </c>
      <c r="Q5" s="11">
        <f>SUMIF(A:A,B5,K:K)</f>
        <v>2</v>
      </c>
      <c r="R5" s="33">
        <f>SUMIF(A:A,B5,L:L)</f>
        <v>4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25</v>
      </c>
      <c r="D7" s="39"/>
      <c r="E7" s="40">
        <f>IFERROR(C5/H5,0)</f>
        <v>1576.75</v>
      </c>
      <c r="F7" s="41">
        <f>IFERROR((G5+R5)/F5,0)</f>
        <v>0.5666666667</v>
      </c>
      <c r="G7" s="41">
        <f>IFERROR(H5/G5,0)</f>
        <v>0.3076923077</v>
      </c>
      <c r="H7" s="40">
        <f>(C5/C7)</f>
        <v>252.28</v>
      </c>
      <c r="I7" s="42"/>
      <c r="J7" s="41">
        <f>IFERROR(J5/I5,0)</f>
        <v>1</v>
      </c>
      <c r="K7" s="42"/>
      <c r="L7" s="41">
        <f>IFERROR(L5/K5,0)</f>
        <v>0.2857142857</v>
      </c>
      <c r="M7" s="43">
        <f>IFERROR(M5/SUM(R5+G5,0),"")</f>
        <v>3.294117647</v>
      </c>
      <c r="N7" s="42"/>
      <c r="O7" s="41">
        <f>IFERROR(O5/N5,0)</f>
        <v>0.2</v>
      </c>
      <c r="P7" s="43"/>
      <c r="Q7" s="41">
        <f>IFERROR(Q5/P5,0)</f>
        <v>0.3333333333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SUMIF(B37:B1137,B8,G37:G1137)</f>
        <v>2</v>
      </c>
      <c r="G8" s="50">
        <f>SUMIF(B37:B1137,B8,H37:H1137)</f>
        <v>2</v>
      </c>
      <c r="H8" s="50">
        <f>SUMIF(B37:B1137,B8,I37:I1137)</f>
        <v>0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0</v>
      </c>
      <c r="L8" s="50">
        <f>SUMIF(B37:B1137,B8,S37:S1137)</f>
        <v>0</v>
      </c>
      <c r="M8" s="50">
        <f>SUMIF(B37:B1137,B8,M37:M1137)</f>
        <v>3</v>
      </c>
      <c r="N8" s="50">
        <f>SUMIF(B37:B1137,B8,N37:N1137)</f>
        <v>2</v>
      </c>
      <c r="O8" s="50">
        <f>SUMIF(B37:B1137,B8,O37:O1137)</f>
        <v>0</v>
      </c>
      <c r="P8" s="50">
        <f>SUMIF(B37:B1137,B8,J37:J1137)</f>
        <v>2</v>
      </c>
      <c r="Q8" s="50">
        <f>SUMIF(B37:B1137,B8,K37:K1137)</f>
        <v>0</v>
      </c>
      <c r="R8" s="51">
        <f>SUMIF(B37:B1137,B8,L37:L1137)</f>
        <v>0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0</v>
      </c>
      <c r="F10" s="24">
        <f>IFERROR((G8+R8)/F8,0)</f>
        <v>1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IFERROR(M8/SUM(G8+R8,0),"")</f>
        <v>1.5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0</v>
      </c>
      <c r="D11" s="60"/>
      <c r="E11" s="48">
        <f>SUMIFS(T:T,B:B,B11,D:D,"Y")</f>
        <v>0</v>
      </c>
      <c r="F11" s="49">
        <f>SUMIF(B39:B1137,B11,G39:G1137)</f>
        <v>17</v>
      </c>
      <c r="G11" s="50">
        <f>SUMIF(B39:B1137,B11,H39:H1137)</f>
        <v>5</v>
      </c>
      <c r="H11" s="50">
        <f>SUMIF(B39:B1137,B11,I39:I1137)</f>
        <v>0</v>
      </c>
      <c r="I11" s="50">
        <f>SUMIF(B39:B1137,B11,P39:P1137)</f>
        <v>0</v>
      </c>
      <c r="J11" s="50">
        <f>SUMIF(B39:B1137,B11,Q39:Q1137)</f>
        <v>0</v>
      </c>
      <c r="K11" s="50">
        <f>SUMIF(B39:B1137,B11,R39:R1137)</f>
        <v>3</v>
      </c>
      <c r="L11" s="50">
        <f>SUMIF(B39:B1137,B11,S39:S1137)</f>
        <v>0</v>
      </c>
      <c r="M11" s="50">
        <f>SUMIF(B39:B1137,B11,M39:M1137)</f>
        <v>26</v>
      </c>
      <c r="N11" s="50">
        <f>SUMIF(B39:B1137,B11,N39:N1137)</f>
        <v>2</v>
      </c>
      <c r="O11" s="50">
        <f>SUMIF(B39:B1137,B11,O39:O1137)</f>
        <v>0</v>
      </c>
      <c r="P11" s="50">
        <f>SUMIF(B39:B1137,B11,J39:J1137)</f>
        <v>1</v>
      </c>
      <c r="Q11" s="50">
        <f>SUMIF(B39:B1137,B11,K39:K1137)</f>
        <v>0</v>
      </c>
      <c r="R11" s="51">
        <f>SUMIF(B39:B1137,B11,L39:L1137)</f>
        <v>2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8</v>
      </c>
      <c r="D13" s="56"/>
      <c r="E13" s="23">
        <f>IFERROR(C11/H11,0)</f>
        <v>0</v>
      </c>
      <c r="F13" s="24">
        <f>IFERROR((G11+R11)/F11,0)</f>
        <v>0.4117647059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3.714285714</v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0</v>
      </c>
      <c r="D14" s="60"/>
      <c r="E14" s="48">
        <f>SUMIFS(T:T,B:B,B14,D:D,"Y")</f>
        <v>0</v>
      </c>
      <c r="F14" s="49">
        <f>SUMIF(B39:B1137,B14,G39:G1137)</f>
        <v>1</v>
      </c>
      <c r="G14" s="50">
        <f>SUMIF(B39:B1137,B14,H39:H1137)</f>
        <v>1</v>
      </c>
      <c r="H14" s="50">
        <f>SUMIF(B39:B1137,B14,I39:I1137)</f>
        <v>0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1</v>
      </c>
      <c r="L14" s="50">
        <f>SUMIF(B39:B1137,B14,S39:S1137)</f>
        <v>0</v>
      </c>
      <c r="M14" s="50">
        <f>SUMIF(B39:B1137,B14,M39:M1137)</f>
        <v>0</v>
      </c>
      <c r="N14" s="50">
        <f>SUMIF(B39:B1137,B14,N39:N1137)</f>
        <v>0</v>
      </c>
      <c r="O14" s="50">
        <f>SUMIF(B39:B1137,B14,O39:O1137)</f>
        <v>0</v>
      </c>
      <c r="P14" s="50">
        <f>SUMIF(B39:B1137,B14,J39:J1137)</f>
        <v>0</v>
      </c>
      <c r="Q14" s="50">
        <f>SUMIF(B39:B1137,B14,K39:K1137)</f>
        <v>0</v>
      </c>
      <c r="R14" s="51">
        <f>SUMIF(B39:B1137,B14,L39:L1137)</f>
        <v>1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8</v>
      </c>
      <c r="D16" s="56"/>
      <c r="E16" s="23">
        <f>IFERROR(C14/H14,0)</f>
        <v>0</v>
      </c>
      <c r="F16" s="24">
        <f>IFERROR((G14+R14)/F14,0)</f>
        <v>2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IFERROR(M14/SUM(R14+G14,0),"")</f>
        <v>0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6307</v>
      </c>
      <c r="D17" s="60"/>
      <c r="E17" s="48">
        <f>SUMIFS(T:T,B:B,B17,D:D,"Y")</f>
        <v>6307</v>
      </c>
      <c r="F17" s="49">
        <f>SUMIF(B45:B1137,B17,G45:G1137)</f>
        <v>10</v>
      </c>
      <c r="G17" s="50">
        <f>SUMIF(B45:B1137,B17,H45:H1137)</f>
        <v>5</v>
      </c>
      <c r="H17" s="50">
        <f>SUMIF(B45:B1137,B17,I45:I1137)</f>
        <v>4</v>
      </c>
      <c r="I17" s="50">
        <f>SUMIF(B45:B1137,B17,P45:P1137)</f>
        <v>1</v>
      </c>
      <c r="J17" s="50">
        <f>SUMIF(B45:B1137,B17,Q45:Q1137)</f>
        <v>1</v>
      </c>
      <c r="K17" s="50">
        <f>SUMIF(B45:B1137,B17,R45:R1137)</f>
        <v>3</v>
      </c>
      <c r="L17" s="50">
        <f>SUMIF(B45:B1137,B17,S45:S1137)</f>
        <v>2</v>
      </c>
      <c r="M17" s="50">
        <f>SUMIF(B45:B1137,B17,M45:M1137)</f>
        <v>27</v>
      </c>
      <c r="N17" s="50">
        <f>SUMIF(B45:B1137,B17,N45:N1137)</f>
        <v>1</v>
      </c>
      <c r="O17" s="50">
        <f>SUMIF(B45:B1137,B17,O45:O1137)</f>
        <v>1</v>
      </c>
      <c r="P17" s="50">
        <f>SUMIF(B45:B1137,B17,J45:J1137)</f>
        <v>3</v>
      </c>
      <c r="Q17" s="50">
        <f>SUMIF(B45:B1137,B17,K45:K1137)</f>
        <v>2</v>
      </c>
      <c r="R17" s="51">
        <f>SUMIF(B45:B1137,B17,L45:L1137)</f>
        <v>1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COUNTIFS(B45:B1137,B17)</f>
        <v>3</v>
      </c>
      <c r="D19" s="56"/>
      <c r="E19" s="23">
        <f>IFERROR(C17/H17,0)</f>
        <v>1576.75</v>
      </c>
      <c r="F19" s="24">
        <f>IFERROR((G17+R17)/F17,0)</f>
        <v>0.6</v>
      </c>
      <c r="G19" s="24">
        <f>IFERROR(H17/G17,0)</f>
        <v>0.8</v>
      </c>
      <c r="H19" s="23">
        <f>(C17/C19)</f>
        <v>2102.333333</v>
      </c>
      <c r="I19" s="25"/>
      <c r="J19" s="24">
        <f>IFERROR(J17/I17,0)</f>
        <v>1</v>
      </c>
      <c r="K19" s="25"/>
      <c r="L19" s="24">
        <f>IFERROR(L17/K17,0)</f>
        <v>0.6666666667</v>
      </c>
      <c r="M19" s="26">
        <f>IFERROR(M17/SUM(R17+G17,0),"")</f>
        <v>4.5</v>
      </c>
      <c r="N19" s="25"/>
      <c r="O19" s="24">
        <f>IFERROR(O17/N17,0)</f>
        <v>1</v>
      </c>
      <c r="P19" s="26"/>
      <c r="Q19" s="24">
        <f>IFERROR(Q17/P17,0)</f>
        <v>0.6666666667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5</v>
      </c>
      <c r="G20" s="11">
        <f>SUMIF(A:A,B20,H:H)</f>
        <v>1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6</v>
      </c>
      <c r="N20" s="11">
        <f>SUMIF(A:A,B20,N:N)</f>
        <v>1</v>
      </c>
      <c r="O20" s="11">
        <f>SUMIF(A:A,B20,O:O)</f>
        <v>0</v>
      </c>
      <c r="P20" s="11">
        <f>SUMIF(A:A,B20,J:J)</f>
        <v>1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0.2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>
        <f>IFERROR(M20/SUM(R20+G20,0),"")</f>
        <v>6</v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2436</v>
      </c>
      <c r="D23" s="31"/>
      <c r="E23" s="64">
        <f>SUMIFS(T:T,A:A,B23,D:D,"Y")</f>
        <v>2436</v>
      </c>
      <c r="F23" s="9">
        <f>SUMIF(A:A,B23,G:G)</f>
        <v>2</v>
      </c>
      <c r="G23" s="11">
        <f>SUMIF(A:A,B23,H:H)</f>
        <v>1</v>
      </c>
      <c r="H23" s="11">
        <f>SUMIF(A:A,B23,I:I)</f>
        <v>1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4</v>
      </c>
      <c r="N23" s="11">
        <f>SUMIF(A:A,B23,N:N)</f>
        <v>1</v>
      </c>
      <c r="O23" s="11">
        <f>SUMIF(A:A,B23,O:O)</f>
        <v>1</v>
      </c>
      <c r="P23" s="11">
        <f>SUMIF(A:A,B23,J:J)</f>
        <v>1</v>
      </c>
      <c r="Q23" s="11">
        <f>SUMIF(A:A,B23,K:K)</f>
        <v>1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2436</v>
      </c>
      <c r="F25" s="24">
        <f>IFERROR((G23+R23)/F23,0)</f>
        <v>0.5</v>
      </c>
      <c r="G25" s="24">
        <f>IFERROR(H23/G23,0)</f>
        <v>1</v>
      </c>
      <c r="H25" s="23">
        <f>(C23/C25)</f>
        <v>243.6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4</v>
      </c>
      <c r="N25" s="25"/>
      <c r="O25" s="24">
        <f>IFERROR(O23/N23,0)</f>
        <v>1</v>
      </c>
      <c r="P25" s="26"/>
      <c r="Q25" s="24">
        <f>IFERROR(Q23/P23,0)</f>
        <v>1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47" si="2">IFERROR(I37/H37,0)</f>
        <v>0</v>
      </c>
      <c r="V37" s="104">
        <f t="shared" ref="V37:V61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85">
        <v>0.0</v>
      </c>
      <c r="H39" s="185">
        <v>0.0</v>
      </c>
      <c r="I39" s="185">
        <v>0.0</v>
      </c>
      <c r="J39" s="185">
        <v>0.0</v>
      </c>
      <c r="K39" s="185">
        <v>0.0</v>
      </c>
      <c r="L39" s="185">
        <v>0.0</v>
      </c>
      <c r="M39" s="185">
        <v>0.0</v>
      </c>
      <c r="N39" s="185">
        <v>0.0</v>
      </c>
      <c r="O39" s="185">
        <v>0.0</v>
      </c>
      <c r="P39" s="185">
        <v>0.0</v>
      </c>
      <c r="Q39" s="185">
        <v>0.0</v>
      </c>
      <c r="R39" s="185">
        <v>0.0</v>
      </c>
      <c r="S39" s="185">
        <v>0.0</v>
      </c>
      <c r="T39" s="185">
        <v>0.0</v>
      </c>
      <c r="U39" s="104">
        <f t="shared" si="2"/>
        <v>0</v>
      </c>
      <c r="V39" s="104">
        <f t="shared" si="3"/>
        <v>0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85">
        <v>0.0</v>
      </c>
      <c r="H40" s="185">
        <v>0.0</v>
      </c>
      <c r="I40" s="185">
        <v>0.0</v>
      </c>
      <c r="J40" s="185">
        <v>0.0</v>
      </c>
      <c r="K40" s="185">
        <v>0.0</v>
      </c>
      <c r="L40" s="185">
        <v>0.0</v>
      </c>
      <c r="M40" s="185">
        <v>0.0</v>
      </c>
      <c r="N40" s="185">
        <v>0.0</v>
      </c>
      <c r="O40" s="185">
        <v>0.0</v>
      </c>
      <c r="P40" s="185">
        <v>0.0</v>
      </c>
      <c r="Q40" s="185">
        <v>0.0</v>
      </c>
      <c r="R40" s="185">
        <v>0.0</v>
      </c>
      <c r="S40" s="185">
        <v>0.0</v>
      </c>
      <c r="T40" s="185">
        <v>0.0</v>
      </c>
      <c r="U40" s="104">
        <f t="shared" si="2"/>
        <v>0</v>
      </c>
      <c r="V40" s="104">
        <f t="shared" si="3"/>
        <v>0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85">
        <v>0.0</v>
      </c>
      <c r="H41" s="185">
        <v>0.0</v>
      </c>
      <c r="I41" s="185">
        <v>0.0</v>
      </c>
      <c r="J41" s="185">
        <v>0.0</v>
      </c>
      <c r="K41" s="185">
        <v>0.0</v>
      </c>
      <c r="L41" s="185">
        <v>0.0</v>
      </c>
      <c r="M41" s="185">
        <v>0.0</v>
      </c>
      <c r="N41" s="185">
        <v>0.0</v>
      </c>
      <c r="O41" s="185">
        <v>0.0</v>
      </c>
      <c r="P41" s="185">
        <v>0.0</v>
      </c>
      <c r="Q41" s="185">
        <v>0.0</v>
      </c>
      <c r="R41" s="185">
        <v>0.0</v>
      </c>
      <c r="S41" s="185">
        <v>0.0</v>
      </c>
      <c r="T41" s="185">
        <v>0.0</v>
      </c>
      <c r="U41" s="104">
        <f t="shared" si="2"/>
        <v>0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85">
        <v>2.0</v>
      </c>
      <c r="H42" s="185">
        <v>2.0</v>
      </c>
      <c r="I42" s="185">
        <v>0.0</v>
      </c>
      <c r="J42" s="185">
        <v>2.0</v>
      </c>
      <c r="K42" s="185">
        <v>0.0</v>
      </c>
      <c r="L42" s="185">
        <v>0.0</v>
      </c>
      <c r="M42" s="185">
        <v>3.0</v>
      </c>
      <c r="N42" s="185">
        <v>2.0</v>
      </c>
      <c r="O42" s="185">
        <v>0.0</v>
      </c>
      <c r="P42" s="185">
        <v>0.0</v>
      </c>
      <c r="Q42" s="185">
        <v>0.0</v>
      </c>
      <c r="R42" s="185">
        <v>0.0</v>
      </c>
      <c r="S42" s="185">
        <v>0.0</v>
      </c>
      <c r="T42" s="185">
        <v>0.0</v>
      </c>
      <c r="U42" s="104">
        <f t="shared" si="2"/>
        <v>0</v>
      </c>
      <c r="V42" s="104">
        <f t="shared" si="3"/>
        <v>1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62</v>
      </c>
      <c r="F44" s="126" t="s">
        <v>63</v>
      </c>
      <c r="G44" s="185">
        <v>0.0</v>
      </c>
      <c r="H44" s="185">
        <v>0.0</v>
      </c>
      <c r="I44" s="185">
        <v>0.0</v>
      </c>
      <c r="J44" s="185">
        <v>0.0</v>
      </c>
      <c r="K44" s="185">
        <v>0.0</v>
      </c>
      <c r="L44" s="185">
        <v>0.0</v>
      </c>
      <c r="M44" s="185">
        <v>0.0</v>
      </c>
      <c r="N44" s="185">
        <v>0.0</v>
      </c>
      <c r="O44" s="185">
        <v>0.0</v>
      </c>
      <c r="P44" s="185">
        <v>0.0</v>
      </c>
      <c r="Q44" s="185">
        <v>0.0</v>
      </c>
      <c r="R44" s="185">
        <v>0.0</v>
      </c>
      <c r="S44" s="185">
        <v>0.0</v>
      </c>
      <c r="T44" s="185">
        <v>0.0</v>
      </c>
      <c r="U44" s="104">
        <f t="shared" si="2"/>
        <v>0</v>
      </c>
      <c r="V44" s="104">
        <f t="shared" si="3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58</v>
      </c>
      <c r="F45" s="126" t="s">
        <v>64</v>
      </c>
      <c r="G45" s="185">
        <v>0.0</v>
      </c>
      <c r="H45" s="185">
        <v>1.0</v>
      </c>
      <c r="I45" s="185">
        <v>0.0</v>
      </c>
      <c r="J45" s="185">
        <v>0.0</v>
      </c>
      <c r="K45" s="185">
        <v>0.0</v>
      </c>
      <c r="L45" s="185">
        <v>1.0</v>
      </c>
      <c r="M45" s="185">
        <v>14.0</v>
      </c>
      <c r="N45" s="185">
        <v>0.0</v>
      </c>
      <c r="O45" s="185">
        <v>0.0</v>
      </c>
      <c r="P45" s="185">
        <v>0.0</v>
      </c>
      <c r="Q45" s="185">
        <v>0.0</v>
      </c>
      <c r="R45" s="185">
        <v>1.0</v>
      </c>
      <c r="S45" s="185">
        <v>0.0</v>
      </c>
      <c r="T45" s="185">
        <v>0.0</v>
      </c>
      <c r="U45" s="104">
        <f t="shared" si="2"/>
        <v>0</v>
      </c>
      <c r="V45" s="104">
        <f t="shared" si="3"/>
        <v>0</v>
      </c>
      <c r="W45" s="105"/>
    </row>
    <row r="46" ht="12.75" customHeight="1">
      <c r="A46" s="125" t="s">
        <v>26</v>
      </c>
      <c r="B46" s="99" t="s">
        <v>28</v>
      </c>
      <c r="C46" s="126"/>
      <c r="D46" s="101"/>
      <c r="E46" s="126" t="s">
        <v>53</v>
      </c>
      <c r="F46" s="126" t="s">
        <v>65</v>
      </c>
      <c r="G46" s="185">
        <v>4.0</v>
      </c>
      <c r="H46" s="185">
        <v>2.0</v>
      </c>
      <c r="I46" s="185">
        <v>0.0</v>
      </c>
      <c r="J46" s="185">
        <v>1.0</v>
      </c>
      <c r="K46" s="185">
        <v>0.0</v>
      </c>
      <c r="L46" s="185">
        <v>0.0</v>
      </c>
      <c r="M46" s="185">
        <v>3.0</v>
      </c>
      <c r="N46" s="185">
        <v>1.0</v>
      </c>
      <c r="O46" s="185">
        <v>0.0</v>
      </c>
      <c r="P46" s="185">
        <v>0.0</v>
      </c>
      <c r="Q46" s="185">
        <v>0.0</v>
      </c>
      <c r="R46" s="185">
        <v>1.0</v>
      </c>
      <c r="S46" s="185">
        <v>0.0</v>
      </c>
      <c r="T46" s="185">
        <v>0.0</v>
      </c>
      <c r="U46" s="104">
        <f t="shared" si="2"/>
        <v>0</v>
      </c>
      <c r="V46" s="104">
        <f t="shared" si="3"/>
        <v>0.5</v>
      </c>
      <c r="W46" s="105"/>
    </row>
    <row r="47" ht="12.75" customHeight="1">
      <c r="A47" s="117" t="s">
        <v>26</v>
      </c>
      <c r="B47" s="127" t="s">
        <v>28</v>
      </c>
      <c r="C47" s="128" t="s">
        <v>66</v>
      </c>
      <c r="D47" s="129" t="s">
        <v>52</v>
      </c>
      <c r="E47" s="117" t="s">
        <v>67</v>
      </c>
      <c r="F47" s="128" t="s">
        <v>68</v>
      </c>
      <c r="G47" s="185">
        <v>3.0</v>
      </c>
      <c r="H47" s="185">
        <v>1.0</v>
      </c>
      <c r="I47" s="185">
        <v>0.0</v>
      </c>
      <c r="J47" s="185">
        <v>0.0</v>
      </c>
      <c r="K47" s="185">
        <v>0.0</v>
      </c>
      <c r="L47" s="185">
        <v>1.0</v>
      </c>
      <c r="M47" s="185">
        <v>4.0</v>
      </c>
      <c r="N47" s="185">
        <v>1.0</v>
      </c>
      <c r="O47" s="185">
        <v>0.0</v>
      </c>
      <c r="P47" s="185">
        <v>0.0</v>
      </c>
      <c r="Q47" s="185">
        <v>0.0</v>
      </c>
      <c r="R47" s="185">
        <v>0.0</v>
      </c>
      <c r="S47" s="185">
        <v>0.0</v>
      </c>
      <c r="T47" s="185">
        <v>0.0</v>
      </c>
      <c r="U47" s="104">
        <f t="shared" si="2"/>
        <v>0</v>
      </c>
      <c r="V47" s="104">
        <f t="shared" si="3"/>
        <v>0.6666666667</v>
      </c>
      <c r="W47" s="105"/>
    </row>
    <row r="48" ht="12.75" customHeight="1">
      <c r="A48" s="119" t="s">
        <v>26</v>
      </c>
      <c r="B48" s="130" t="s">
        <v>28</v>
      </c>
      <c r="C48" s="120" t="s">
        <v>66</v>
      </c>
      <c r="D48" s="131"/>
      <c r="E48" s="120"/>
      <c r="F48" s="120" t="s">
        <v>69</v>
      </c>
      <c r="G48" s="185">
        <v>3.0</v>
      </c>
      <c r="H48" s="185">
        <v>0.0</v>
      </c>
      <c r="I48" s="185">
        <v>0.0</v>
      </c>
      <c r="J48" s="185">
        <v>0.0</v>
      </c>
      <c r="K48" s="185">
        <v>0.0</v>
      </c>
      <c r="L48" s="185">
        <v>0.0</v>
      </c>
      <c r="M48" s="185">
        <v>0.0</v>
      </c>
      <c r="N48" s="185">
        <v>0.0</v>
      </c>
      <c r="O48" s="185">
        <v>0.0</v>
      </c>
      <c r="P48" s="185">
        <v>0.0</v>
      </c>
      <c r="Q48" s="185">
        <v>0.0</v>
      </c>
      <c r="R48" s="185">
        <v>0.0</v>
      </c>
      <c r="S48" s="185">
        <v>0.0</v>
      </c>
      <c r="T48" s="185">
        <v>0.0</v>
      </c>
      <c r="U48" s="187">
        <v>0.0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66</v>
      </c>
      <c r="D49" s="131"/>
      <c r="E49" s="120"/>
      <c r="F49" s="120" t="s">
        <v>70</v>
      </c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4">
        <f t="shared" ref="U49:U61" si="4">IFERROR(I49/H49,0)</f>
        <v>0</v>
      </c>
      <c r="V49" s="104">
        <f t="shared" si="3"/>
        <v>0</v>
      </c>
      <c r="W49" s="105"/>
    </row>
    <row r="50" ht="12.75" customHeight="1">
      <c r="A50" s="119" t="s">
        <v>26</v>
      </c>
      <c r="B50" s="130" t="s">
        <v>28</v>
      </c>
      <c r="C50" s="120" t="s">
        <v>66</v>
      </c>
      <c r="D50" s="131"/>
      <c r="E50" s="120"/>
      <c r="F50" s="120" t="s">
        <v>71</v>
      </c>
      <c r="G50" s="185">
        <v>7.0</v>
      </c>
      <c r="H50" s="185">
        <v>1.0</v>
      </c>
      <c r="I50" s="185">
        <v>0.0</v>
      </c>
      <c r="J50" s="185">
        <v>0.0</v>
      </c>
      <c r="K50" s="185">
        <v>0.0</v>
      </c>
      <c r="L50" s="185">
        <v>0.0</v>
      </c>
      <c r="M50" s="185">
        <v>5.0</v>
      </c>
      <c r="N50" s="185">
        <v>0.0</v>
      </c>
      <c r="O50" s="185">
        <v>0.0</v>
      </c>
      <c r="P50" s="185">
        <v>0.0</v>
      </c>
      <c r="Q50" s="185">
        <v>0.0</v>
      </c>
      <c r="R50" s="185">
        <v>1.0</v>
      </c>
      <c r="S50" s="185">
        <v>0.0</v>
      </c>
      <c r="T50" s="185">
        <v>0.0</v>
      </c>
      <c r="U50" s="104">
        <f t="shared" si="4"/>
        <v>0</v>
      </c>
      <c r="V50" s="104">
        <f t="shared" si="3"/>
        <v>0.1428571429</v>
      </c>
      <c r="W50" s="105"/>
    </row>
    <row r="51" ht="12.75" customHeight="1">
      <c r="A51" s="106" t="s">
        <v>26</v>
      </c>
      <c r="B51" s="109" t="s">
        <v>29</v>
      </c>
      <c r="C51" s="109"/>
      <c r="D51" s="132" t="s">
        <v>52</v>
      </c>
      <c r="E51" s="109" t="s">
        <v>72</v>
      </c>
      <c r="F51" s="133" t="s">
        <v>29</v>
      </c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4">
        <f t="shared" si="4"/>
        <v>0</v>
      </c>
      <c r="V51" s="104">
        <f t="shared" si="3"/>
        <v>0</v>
      </c>
      <c r="W51" s="105"/>
    </row>
    <row r="52" ht="13.5" customHeight="1">
      <c r="A52" s="113" t="s">
        <v>26</v>
      </c>
      <c r="B52" s="114" t="s">
        <v>29</v>
      </c>
      <c r="C52" s="114"/>
      <c r="D52" s="134"/>
      <c r="E52" s="114" t="s">
        <v>59</v>
      </c>
      <c r="F52" s="114" t="s">
        <v>73</v>
      </c>
      <c r="G52" s="185">
        <v>0.0</v>
      </c>
      <c r="H52" s="185">
        <v>0.0</v>
      </c>
      <c r="I52" s="185">
        <v>0.0</v>
      </c>
      <c r="J52" s="185">
        <v>0.0</v>
      </c>
      <c r="K52" s="185">
        <v>0.0</v>
      </c>
      <c r="L52" s="185">
        <v>0.0</v>
      </c>
      <c r="M52" s="185">
        <v>0.0</v>
      </c>
      <c r="N52" s="185">
        <v>0.0</v>
      </c>
      <c r="O52" s="185">
        <v>0.0</v>
      </c>
      <c r="P52" s="185">
        <v>0.0</v>
      </c>
      <c r="Q52" s="185">
        <v>0.0</v>
      </c>
      <c r="R52" s="185">
        <v>0.0</v>
      </c>
      <c r="S52" s="185">
        <v>0.0</v>
      </c>
      <c r="T52" s="185">
        <v>0.0</v>
      </c>
      <c r="U52" s="104">
        <f t="shared" si="4"/>
        <v>0</v>
      </c>
      <c r="V52" s="104">
        <f t="shared" si="3"/>
        <v>0</v>
      </c>
      <c r="W52" s="105"/>
    </row>
    <row r="53" ht="13.5" customHeight="1">
      <c r="A53" s="113" t="s">
        <v>26</v>
      </c>
      <c r="B53" s="114" t="s">
        <v>29</v>
      </c>
      <c r="C53" s="114"/>
      <c r="D53" s="134"/>
      <c r="E53" s="114" t="s">
        <v>72</v>
      </c>
      <c r="F53" s="114" t="s">
        <v>74</v>
      </c>
      <c r="G53" s="103">
        <v>0.0</v>
      </c>
      <c r="H53" s="103">
        <v>0.0</v>
      </c>
      <c r="I53" s="103">
        <v>0.0</v>
      </c>
      <c r="J53" s="103">
        <v>0.0</v>
      </c>
      <c r="K53" s="103">
        <v>0.0</v>
      </c>
      <c r="L53" s="103">
        <v>0.0</v>
      </c>
      <c r="M53" s="103">
        <v>0.0</v>
      </c>
      <c r="N53" s="103">
        <v>0.0</v>
      </c>
      <c r="O53" s="103">
        <v>0.0</v>
      </c>
      <c r="P53" s="103">
        <v>0.0</v>
      </c>
      <c r="Q53" s="103">
        <v>0.0</v>
      </c>
      <c r="R53" s="103">
        <v>0.0</v>
      </c>
      <c r="S53" s="103">
        <v>0.0</v>
      </c>
      <c r="T53" s="103">
        <v>0.0</v>
      </c>
      <c r="U53" s="104">
        <f t="shared" si="4"/>
        <v>0</v>
      </c>
      <c r="V53" s="104">
        <f t="shared" si="3"/>
        <v>0</v>
      </c>
      <c r="W53" s="105"/>
    </row>
    <row r="54" ht="13.5" customHeight="1">
      <c r="A54" s="135" t="s">
        <v>26</v>
      </c>
      <c r="B54" s="127" t="s">
        <v>29</v>
      </c>
      <c r="C54" s="117" t="s">
        <v>75</v>
      </c>
      <c r="D54" s="136" t="s">
        <v>52</v>
      </c>
      <c r="E54" s="117" t="s">
        <v>76</v>
      </c>
      <c r="F54" s="117" t="s">
        <v>75</v>
      </c>
      <c r="G54" s="185">
        <v>1.0</v>
      </c>
      <c r="H54" s="185">
        <v>1.0</v>
      </c>
      <c r="I54" s="185">
        <v>0.0</v>
      </c>
      <c r="J54" s="185">
        <v>0.0</v>
      </c>
      <c r="K54" s="185">
        <v>0.0</v>
      </c>
      <c r="L54" s="185">
        <v>1.0</v>
      </c>
      <c r="M54" s="185">
        <v>0.0</v>
      </c>
      <c r="N54" s="185">
        <v>0.0</v>
      </c>
      <c r="O54" s="185">
        <v>0.0</v>
      </c>
      <c r="P54" s="185">
        <v>0.0</v>
      </c>
      <c r="Q54" s="185">
        <v>0.0</v>
      </c>
      <c r="R54" s="185">
        <v>1.0</v>
      </c>
      <c r="S54" s="185">
        <v>0.0</v>
      </c>
      <c r="T54" s="185">
        <v>0.0</v>
      </c>
      <c r="U54" s="104">
        <f t="shared" si="4"/>
        <v>0</v>
      </c>
      <c r="V54" s="104">
        <f t="shared" si="3"/>
        <v>2</v>
      </c>
      <c r="W54" s="105"/>
    </row>
    <row r="55" ht="13.5" customHeight="1">
      <c r="A55" s="137" t="s">
        <v>26</v>
      </c>
      <c r="B55" s="130" t="s">
        <v>29</v>
      </c>
      <c r="C55" s="120" t="s">
        <v>75</v>
      </c>
      <c r="D55" s="138"/>
      <c r="E55" s="120" t="s">
        <v>59</v>
      </c>
      <c r="F55" s="120" t="s">
        <v>77</v>
      </c>
      <c r="G55" s="103">
        <v>0.0</v>
      </c>
      <c r="H55" s="103">
        <v>0.0</v>
      </c>
      <c r="I55" s="103">
        <v>0.0</v>
      </c>
      <c r="J55" s="103">
        <v>0.0</v>
      </c>
      <c r="K55" s="103">
        <v>0.0</v>
      </c>
      <c r="L55" s="103">
        <v>0.0</v>
      </c>
      <c r="M55" s="103">
        <v>0.0</v>
      </c>
      <c r="N55" s="103">
        <v>0.0</v>
      </c>
      <c r="O55" s="103">
        <v>0.0</v>
      </c>
      <c r="P55" s="103">
        <v>0.0</v>
      </c>
      <c r="Q55" s="103">
        <v>0.0</v>
      </c>
      <c r="R55" s="103">
        <v>0.0</v>
      </c>
      <c r="S55" s="103">
        <v>0.0</v>
      </c>
      <c r="T55" s="103">
        <v>0.0</v>
      </c>
      <c r="U55" s="104">
        <f t="shared" si="4"/>
        <v>0</v>
      </c>
      <c r="V55" s="104">
        <f t="shared" si="3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75</v>
      </c>
      <c r="D56" s="138"/>
      <c r="E56" s="120" t="s">
        <v>59</v>
      </c>
      <c r="F56" s="120" t="s">
        <v>78</v>
      </c>
      <c r="G56" s="103">
        <v>0.0</v>
      </c>
      <c r="H56" s="103">
        <v>0.0</v>
      </c>
      <c r="I56" s="103">
        <v>0.0</v>
      </c>
      <c r="J56" s="103">
        <v>0.0</v>
      </c>
      <c r="K56" s="103">
        <v>0.0</v>
      </c>
      <c r="L56" s="103">
        <v>0.0</v>
      </c>
      <c r="M56" s="103">
        <v>0.0</v>
      </c>
      <c r="N56" s="103">
        <v>0.0</v>
      </c>
      <c r="O56" s="103">
        <v>0.0</v>
      </c>
      <c r="P56" s="103">
        <v>0.0</v>
      </c>
      <c r="Q56" s="103">
        <v>0.0</v>
      </c>
      <c r="R56" s="103">
        <v>0.0</v>
      </c>
      <c r="S56" s="103">
        <v>0.0</v>
      </c>
      <c r="T56" s="103">
        <v>0.0</v>
      </c>
      <c r="U56" s="104">
        <f t="shared" si="4"/>
        <v>0</v>
      </c>
      <c r="V56" s="104">
        <f t="shared" si="3"/>
        <v>0</v>
      </c>
      <c r="W56" s="105"/>
    </row>
    <row r="57" ht="13.5" customHeight="1">
      <c r="A57" s="137" t="s">
        <v>26</v>
      </c>
      <c r="B57" s="130" t="s">
        <v>29</v>
      </c>
      <c r="C57" s="120" t="s">
        <v>75</v>
      </c>
      <c r="D57" s="138"/>
      <c r="E57" s="120" t="s">
        <v>59</v>
      </c>
      <c r="F57" s="120" t="s">
        <v>79</v>
      </c>
      <c r="G57" s="103">
        <v>0.0</v>
      </c>
      <c r="H57" s="103">
        <v>0.0</v>
      </c>
      <c r="I57" s="103">
        <v>0.0</v>
      </c>
      <c r="J57" s="103">
        <v>0.0</v>
      </c>
      <c r="K57" s="103">
        <v>0.0</v>
      </c>
      <c r="L57" s="103">
        <v>0.0</v>
      </c>
      <c r="M57" s="103">
        <v>0.0</v>
      </c>
      <c r="N57" s="103">
        <v>0.0</v>
      </c>
      <c r="O57" s="103">
        <v>0.0</v>
      </c>
      <c r="P57" s="103">
        <v>0.0</v>
      </c>
      <c r="Q57" s="103">
        <v>0.0</v>
      </c>
      <c r="R57" s="103">
        <v>0.0</v>
      </c>
      <c r="S57" s="103">
        <v>0.0</v>
      </c>
      <c r="T57" s="103">
        <v>0.0</v>
      </c>
      <c r="U57" s="104">
        <f t="shared" si="4"/>
        <v>0</v>
      </c>
      <c r="V57" s="104">
        <f t="shared" si="3"/>
        <v>0</v>
      </c>
      <c r="W57" s="105"/>
    </row>
    <row r="58" ht="13.5" customHeight="1">
      <c r="A58" s="137" t="s">
        <v>26</v>
      </c>
      <c r="B58" s="130" t="s">
        <v>29</v>
      </c>
      <c r="C58" s="120" t="s">
        <v>75</v>
      </c>
      <c r="D58" s="138"/>
      <c r="E58" s="120" t="s">
        <v>80</v>
      </c>
      <c r="F58" s="120" t="s">
        <v>81</v>
      </c>
      <c r="G58" s="103">
        <v>0.0</v>
      </c>
      <c r="H58" s="103">
        <v>0.0</v>
      </c>
      <c r="I58" s="103">
        <v>0.0</v>
      </c>
      <c r="J58" s="103">
        <v>0.0</v>
      </c>
      <c r="K58" s="103">
        <v>0.0</v>
      </c>
      <c r="L58" s="103">
        <v>0.0</v>
      </c>
      <c r="M58" s="103">
        <v>0.0</v>
      </c>
      <c r="N58" s="103">
        <v>0.0</v>
      </c>
      <c r="O58" s="103">
        <v>0.0</v>
      </c>
      <c r="P58" s="103">
        <v>0.0</v>
      </c>
      <c r="Q58" s="103">
        <v>0.0</v>
      </c>
      <c r="R58" s="103">
        <v>0.0</v>
      </c>
      <c r="S58" s="103">
        <v>0.0</v>
      </c>
      <c r="T58" s="103">
        <v>0.0</v>
      </c>
      <c r="U58" s="104">
        <f t="shared" si="4"/>
        <v>0</v>
      </c>
      <c r="V58" s="104">
        <f t="shared" si="3"/>
        <v>0</v>
      </c>
      <c r="W58" s="105"/>
    </row>
    <row r="59" ht="15.0" customHeight="1">
      <c r="A59" s="106" t="s">
        <v>26</v>
      </c>
      <c r="B59" s="107" t="s">
        <v>30</v>
      </c>
      <c r="C59" s="107"/>
      <c r="D59" s="109" t="s">
        <v>52</v>
      </c>
      <c r="E59" s="107" t="s">
        <v>82</v>
      </c>
      <c r="F59" s="107" t="s">
        <v>30</v>
      </c>
      <c r="G59" s="185">
        <v>5.0</v>
      </c>
      <c r="H59" s="185">
        <v>1.0</v>
      </c>
      <c r="I59" s="185">
        <v>1.0</v>
      </c>
      <c r="J59" s="185">
        <v>0.0</v>
      </c>
      <c r="K59" s="185">
        <v>0.0</v>
      </c>
      <c r="L59" s="185">
        <v>0.0</v>
      </c>
      <c r="M59" s="185">
        <v>1.0</v>
      </c>
      <c r="N59" s="185">
        <v>0.0</v>
      </c>
      <c r="O59" s="185">
        <v>0.0</v>
      </c>
      <c r="P59" s="185">
        <v>1.0</v>
      </c>
      <c r="Q59" s="185">
        <v>1.0</v>
      </c>
      <c r="R59" s="185">
        <v>0.0</v>
      </c>
      <c r="S59" s="185">
        <v>0.0</v>
      </c>
      <c r="T59" s="185">
        <v>1645.0</v>
      </c>
      <c r="U59" s="104">
        <f t="shared" si="4"/>
        <v>1</v>
      </c>
      <c r="V59" s="104">
        <f t="shared" si="3"/>
        <v>0.2</v>
      </c>
      <c r="W59" s="105"/>
    </row>
    <row r="60" ht="15.0" customHeight="1">
      <c r="A60" s="110" t="s">
        <v>26</v>
      </c>
      <c r="B60" s="111" t="s">
        <v>30</v>
      </c>
      <c r="C60" s="111" t="s">
        <v>83</v>
      </c>
      <c r="D60" s="111" t="s">
        <v>52</v>
      </c>
      <c r="E60" s="111" t="s">
        <v>82</v>
      </c>
      <c r="F60" s="111" t="s">
        <v>83</v>
      </c>
      <c r="G60" s="185">
        <v>4.0</v>
      </c>
      <c r="H60" s="185">
        <v>3.0</v>
      </c>
      <c r="I60" s="185">
        <v>3.0</v>
      </c>
      <c r="J60" s="185">
        <v>2.0</v>
      </c>
      <c r="K60" s="185">
        <v>2.0</v>
      </c>
      <c r="L60" s="185">
        <v>0.0</v>
      </c>
      <c r="M60" s="185">
        <v>20.0</v>
      </c>
      <c r="N60" s="185">
        <v>1.0</v>
      </c>
      <c r="O60" s="185">
        <v>1.0</v>
      </c>
      <c r="P60" s="185">
        <v>0.0</v>
      </c>
      <c r="Q60" s="185">
        <v>0.0</v>
      </c>
      <c r="R60" s="185">
        <v>2.0</v>
      </c>
      <c r="S60" s="185">
        <v>2.0</v>
      </c>
      <c r="T60" s="185">
        <v>4662.0</v>
      </c>
      <c r="U60" s="104">
        <f t="shared" si="4"/>
        <v>1</v>
      </c>
      <c r="V60" s="104">
        <f t="shared" si="3"/>
        <v>0.75</v>
      </c>
      <c r="W60" s="105"/>
    </row>
    <row r="61" ht="15.0" customHeight="1">
      <c r="A61" s="113" t="s">
        <v>26</v>
      </c>
      <c r="B61" s="114" t="s">
        <v>30</v>
      </c>
      <c r="C61" s="114" t="s">
        <v>83</v>
      </c>
      <c r="D61" s="139"/>
      <c r="E61" s="114" t="s">
        <v>82</v>
      </c>
      <c r="F61" s="114" t="s">
        <v>84</v>
      </c>
      <c r="G61" s="185">
        <v>1.0</v>
      </c>
      <c r="H61" s="185">
        <v>1.0</v>
      </c>
      <c r="I61" s="185">
        <v>0.0</v>
      </c>
      <c r="J61" s="185">
        <v>1.0</v>
      </c>
      <c r="K61" s="185">
        <v>0.0</v>
      </c>
      <c r="L61" s="185">
        <v>1.0</v>
      </c>
      <c r="M61" s="185">
        <v>6.0</v>
      </c>
      <c r="N61" s="185">
        <v>0.0</v>
      </c>
      <c r="O61" s="185">
        <v>0.0</v>
      </c>
      <c r="P61" s="185">
        <v>0.0</v>
      </c>
      <c r="Q61" s="185">
        <v>0.0</v>
      </c>
      <c r="R61" s="185">
        <v>1.0</v>
      </c>
      <c r="S61" s="185">
        <v>0.0</v>
      </c>
      <c r="T61" s="185">
        <v>0.0</v>
      </c>
      <c r="U61" s="104">
        <f t="shared" si="4"/>
        <v>0</v>
      </c>
      <c r="V61" s="104">
        <f t="shared" si="3"/>
        <v>2</v>
      </c>
      <c r="W61" s="105"/>
    </row>
    <row r="62" ht="20.25" customHeight="1">
      <c r="A62" s="93" t="s">
        <v>36</v>
      </c>
      <c r="B62" s="94" t="s">
        <v>37</v>
      </c>
      <c r="C62" s="94" t="s">
        <v>38</v>
      </c>
      <c r="D62" s="95"/>
      <c r="E62" s="96" t="s">
        <v>39</v>
      </c>
      <c r="F62" s="94" t="s">
        <v>40</v>
      </c>
      <c r="G62" s="97" t="s">
        <v>41</v>
      </c>
      <c r="H62" s="97" t="s">
        <v>42</v>
      </c>
      <c r="I62" s="97" t="s">
        <v>43</v>
      </c>
      <c r="J62" s="97" t="s">
        <v>12</v>
      </c>
      <c r="K62" s="97" t="s">
        <v>44</v>
      </c>
      <c r="L62" s="97" t="s">
        <v>14</v>
      </c>
      <c r="M62" s="97" t="s">
        <v>9</v>
      </c>
      <c r="N62" s="97" t="s">
        <v>10</v>
      </c>
      <c r="O62" s="97" t="s">
        <v>45</v>
      </c>
      <c r="P62" s="97" t="s">
        <v>5</v>
      </c>
      <c r="Q62" s="97" t="s">
        <v>46</v>
      </c>
      <c r="R62" s="97" t="s">
        <v>47</v>
      </c>
      <c r="S62" s="97" t="s">
        <v>48</v>
      </c>
      <c r="T62" s="97" t="s">
        <v>0</v>
      </c>
      <c r="U62" s="96" t="s">
        <v>49</v>
      </c>
      <c r="V62" s="96" t="s">
        <v>50</v>
      </c>
      <c r="W62" s="98"/>
    </row>
    <row r="63" ht="12.75" customHeight="1">
      <c r="A63" s="140" t="s">
        <v>31</v>
      </c>
      <c r="B63" s="141"/>
      <c r="C63" s="141"/>
      <c r="D63" s="142" t="s">
        <v>52</v>
      </c>
      <c r="E63" s="102" t="s">
        <v>85</v>
      </c>
      <c r="F63" s="102" t="s">
        <v>31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ref="U63:U67" si="5">IFERROR(I63/H63,0)</f>
        <v>0</v>
      </c>
      <c r="V63" s="104">
        <f t="shared" ref="V63:V67" si="6">IFERROR(SUM(H63+L63)/G63,0)</f>
        <v>0</v>
      </c>
      <c r="W63" s="105"/>
    </row>
    <row r="64" ht="12.75" customHeight="1">
      <c r="A64" s="143" t="s">
        <v>31</v>
      </c>
      <c r="B64" s="144"/>
      <c r="C64" s="127" t="s">
        <v>86</v>
      </c>
      <c r="D64" s="127" t="s">
        <v>52</v>
      </c>
      <c r="E64" s="127"/>
      <c r="F64" s="127" t="s">
        <v>86</v>
      </c>
      <c r="G64" s="185">
        <v>2.0</v>
      </c>
      <c r="H64" s="185">
        <v>1.0</v>
      </c>
      <c r="I64" s="185">
        <v>0.0</v>
      </c>
      <c r="J64" s="185">
        <v>1.0</v>
      </c>
      <c r="K64" s="185">
        <v>0.0</v>
      </c>
      <c r="L64" s="185">
        <v>0.0</v>
      </c>
      <c r="M64" s="185">
        <v>6.0</v>
      </c>
      <c r="N64" s="185">
        <v>1.0</v>
      </c>
      <c r="O64" s="185">
        <v>0.0</v>
      </c>
      <c r="P64" s="185">
        <v>0.0</v>
      </c>
      <c r="Q64" s="185">
        <v>0.0</v>
      </c>
      <c r="R64" s="185">
        <v>0.0</v>
      </c>
      <c r="S64" s="185">
        <v>0.0</v>
      </c>
      <c r="T64" s="185">
        <v>0.0</v>
      </c>
      <c r="U64" s="145">
        <f t="shared" si="5"/>
        <v>0</v>
      </c>
      <c r="V64" s="145">
        <f t="shared" si="6"/>
        <v>0.5</v>
      </c>
      <c r="W64" s="146"/>
    </row>
    <row r="65" ht="12.75" customHeight="1">
      <c r="A65" s="147" t="s">
        <v>31</v>
      </c>
      <c r="B65" s="148"/>
      <c r="C65" s="120" t="s">
        <v>86</v>
      </c>
      <c r="D65" s="117"/>
      <c r="E65" s="120"/>
      <c r="F65" s="120" t="s">
        <v>87</v>
      </c>
      <c r="G65" s="185">
        <v>3.0</v>
      </c>
      <c r="H65" s="185">
        <v>0.0</v>
      </c>
      <c r="I65" s="185">
        <v>0.0</v>
      </c>
      <c r="J65" s="185">
        <v>0.0</v>
      </c>
      <c r="K65" s="185">
        <v>0.0</v>
      </c>
      <c r="L65" s="185">
        <v>0.0</v>
      </c>
      <c r="M65" s="185">
        <v>0.0</v>
      </c>
      <c r="N65" s="185">
        <v>0.0</v>
      </c>
      <c r="O65" s="185">
        <v>0.0</v>
      </c>
      <c r="P65" s="185">
        <v>0.0</v>
      </c>
      <c r="Q65" s="185">
        <v>0.0</v>
      </c>
      <c r="R65" s="185">
        <v>0.0</v>
      </c>
      <c r="S65" s="185">
        <v>0.0</v>
      </c>
      <c r="T65" s="185">
        <v>0.0</v>
      </c>
      <c r="U65" s="145">
        <f t="shared" si="5"/>
        <v>0</v>
      </c>
      <c r="V65" s="145">
        <f t="shared" si="6"/>
        <v>0</v>
      </c>
      <c r="W65" s="146"/>
    </row>
    <row r="66" ht="12.75" customHeight="1">
      <c r="A66" s="149" t="s">
        <v>31</v>
      </c>
      <c r="B66" s="150"/>
      <c r="C66" s="151" t="s">
        <v>88</v>
      </c>
      <c r="D66" s="151"/>
      <c r="E66" s="151"/>
      <c r="F66" s="151" t="s">
        <v>88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5">
        <f t="shared" si="5"/>
        <v>0</v>
      </c>
      <c r="V66" s="145">
        <f t="shared" si="6"/>
        <v>0</v>
      </c>
      <c r="W66" s="146"/>
    </row>
    <row r="67" ht="12.75" customHeight="1">
      <c r="A67" s="152" t="s">
        <v>31</v>
      </c>
      <c r="B67" s="153"/>
      <c r="C67" s="154" t="s">
        <v>88</v>
      </c>
      <c r="D67" s="151"/>
      <c r="E67" s="154" t="s">
        <v>89</v>
      </c>
      <c r="F67" s="154" t="s">
        <v>90</v>
      </c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45">
        <f t="shared" si="5"/>
        <v>0</v>
      </c>
      <c r="V67" s="145">
        <f t="shared" si="6"/>
        <v>0</v>
      </c>
      <c r="W67" s="146"/>
    </row>
    <row r="68" ht="20.25" customHeight="1">
      <c r="A68" s="93" t="s">
        <v>36</v>
      </c>
      <c r="B68" s="94" t="s">
        <v>37</v>
      </c>
      <c r="C68" s="94" t="s">
        <v>38</v>
      </c>
      <c r="D68" s="95"/>
      <c r="E68" s="96" t="s">
        <v>39</v>
      </c>
      <c r="F68" s="94" t="s">
        <v>40</v>
      </c>
      <c r="G68" s="97" t="s">
        <v>41</v>
      </c>
      <c r="H68" s="97" t="s">
        <v>42</v>
      </c>
      <c r="I68" s="97" t="s">
        <v>43</v>
      </c>
      <c r="J68" s="97" t="s">
        <v>12</v>
      </c>
      <c r="K68" s="97" t="s">
        <v>44</v>
      </c>
      <c r="L68" s="97" t="s">
        <v>14</v>
      </c>
      <c r="M68" s="97" t="s">
        <v>9</v>
      </c>
      <c r="N68" s="97" t="s">
        <v>10</v>
      </c>
      <c r="O68" s="97" t="s">
        <v>45</v>
      </c>
      <c r="P68" s="97" t="s">
        <v>5</v>
      </c>
      <c r="Q68" s="97" t="s">
        <v>46</v>
      </c>
      <c r="R68" s="97" t="s">
        <v>47</v>
      </c>
      <c r="S68" s="97" t="s">
        <v>48</v>
      </c>
      <c r="T68" s="97" t="s">
        <v>0</v>
      </c>
      <c r="U68" s="96" t="s">
        <v>49</v>
      </c>
      <c r="V68" s="96" t="s">
        <v>50</v>
      </c>
      <c r="W68" s="98"/>
    </row>
    <row r="69" ht="13.5" customHeight="1">
      <c r="A69" s="155" t="s">
        <v>32</v>
      </c>
      <c r="B69" s="156"/>
      <c r="C69" s="157"/>
      <c r="D69" s="158" t="s">
        <v>52</v>
      </c>
      <c r="E69" s="156" t="s">
        <v>91</v>
      </c>
      <c r="F69" s="156" t="s">
        <v>32</v>
      </c>
      <c r="G69" s="185">
        <v>1.0</v>
      </c>
      <c r="H69" s="185">
        <v>1.0</v>
      </c>
      <c r="I69" s="185">
        <v>1.0</v>
      </c>
      <c r="J69" s="185">
        <v>1.0</v>
      </c>
      <c r="K69" s="185">
        <v>1.0</v>
      </c>
      <c r="L69" s="185">
        <v>0.0</v>
      </c>
      <c r="M69" s="185">
        <v>4.0</v>
      </c>
      <c r="N69" s="185">
        <v>1.0</v>
      </c>
      <c r="O69" s="185">
        <v>1.0</v>
      </c>
      <c r="P69" s="185">
        <v>0.0</v>
      </c>
      <c r="Q69" s="185">
        <v>0.0</v>
      </c>
      <c r="R69" s="185">
        <v>0.0</v>
      </c>
      <c r="S69" s="185">
        <v>0.0</v>
      </c>
      <c r="T69" s="185">
        <v>2436.0</v>
      </c>
      <c r="U69" s="104">
        <f t="shared" ref="U69:U78" si="7">IFERROR(I69/H69,0)</f>
        <v>1</v>
      </c>
      <c r="V69" s="104">
        <f t="shared" ref="V69:V78" si="8">IFERROR(SUM(H69+L69)/G69,0)</f>
        <v>1</v>
      </c>
      <c r="W69" s="105"/>
    </row>
    <row r="70" ht="13.5" customHeight="1">
      <c r="A70" s="114" t="s">
        <v>32</v>
      </c>
      <c r="B70" s="114"/>
      <c r="C70" s="159"/>
      <c r="D70" s="134"/>
      <c r="E70" s="114" t="s">
        <v>91</v>
      </c>
      <c r="F70" s="114" t="s">
        <v>92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7"/>
        <v>0</v>
      </c>
      <c r="V70" s="104">
        <f t="shared" si="8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91</v>
      </c>
      <c r="F71" s="114" t="s">
        <v>93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7"/>
        <v>0</v>
      </c>
      <c r="V71" s="104">
        <f t="shared" si="8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91</v>
      </c>
      <c r="F72" s="114" t="s">
        <v>94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7"/>
        <v>0</v>
      </c>
      <c r="V72" s="104">
        <f t="shared" si="8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91</v>
      </c>
      <c r="F73" s="114" t="s">
        <v>95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7"/>
        <v>0</v>
      </c>
      <c r="V73" s="104">
        <f t="shared" si="8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91</v>
      </c>
      <c r="F74" s="114" t="s">
        <v>96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7"/>
        <v>0</v>
      </c>
      <c r="V74" s="104">
        <f t="shared" si="8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91</v>
      </c>
      <c r="F75" s="114" t="s">
        <v>97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7"/>
        <v>0</v>
      </c>
      <c r="V75" s="104">
        <f t="shared" si="8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91</v>
      </c>
      <c r="F76" s="114" t="s">
        <v>98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7"/>
        <v>0</v>
      </c>
      <c r="V76" s="104">
        <f t="shared" si="8"/>
        <v>0</v>
      </c>
      <c r="W76" s="105"/>
    </row>
    <row r="77" ht="13.5" customHeight="1">
      <c r="A77" s="114" t="s">
        <v>32</v>
      </c>
      <c r="B77" s="114"/>
      <c r="C77" s="114"/>
      <c r="D77" s="160"/>
      <c r="E77" s="114" t="s">
        <v>91</v>
      </c>
      <c r="F77" s="114" t="s">
        <v>99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7"/>
        <v>0</v>
      </c>
      <c r="V77" s="104">
        <f t="shared" si="8"/>
        <v>0</v>
      </c>
      <c r="W77" s="105"/>
    </row>
    <row r="78" ht="13.5" customHeight="1">
      <c r="A78" s="114" t="s">
        <v>32</v>
      </c>
      <c r="B78" s="114"/>
      <c r="C78" s="114"/>
      <c r="D78" s="160"/>
      <c r="E78" s="114" t="s">
        <v>91</v>
      </c>
      <c r="F78" s="114" t="s">
        <v>100</v>
      </c>
      <c r="G78" s="185">
        <v>1.0</v>
      </c>
      <c r="H78" s="185">
        <v>0.0</v>
      </c>
      <c r="I78" s="185">
        <v>0.0</v>
      </c>
      <c r="J78" s="185">
        <v>0.0</v>
      </c>
      <c r="K78" s="185">
        <v>0.0</v>
      </c>
      <c r="L78" s="185">
        <v>0.0</v>
      </c>
      <c r="M78" s="185">
        <v>0.0</v>
      </c>
      <c r="N78" s="185">
        <v>0.0</v>
      </c>
      <c r="O78" s="185">
        <v>0.0</v>
      </c>
      <c r="P78" s="185">
        <v>0.0</v>
      </c>
      <c r="Q78" s="185">
        <v>0.0</v>
      </c>
      <c r="R78" s="185">
        <v>0.0</v>
      </c>
      <c r="S78" s="185">
        <v>0.0</v>
      </c>
      <c r="T78" s="185">
        <v>0.0</v>
      </c>
      <c r="U78" s="104">
        <f t="shared" si="7"/>
        <v>0</v>
      </c>
      <c r="V78" s="104">
        <f t="shared" si="8"/>
        <v>0</v>
      </c>
      <c r="W78" s="105"/>
    </row>
    <row r="79" ht="20.25" customHeight="1">
      <c r="A79" s="93" t="s">
        <v>36</v>
      </c>
      <c r="B79" s="94" t="s">
        <v>37</v>
      </c>
      <c r="C79" s="94" t="s">
        <v>38</v>
      </c>
      <c r="D79" s="95"/>
      <c r="E79" s="96" t="s">
        <v>39</v>
      </c>
      <c r="F79" s="94" t="s">
        <v>40</v>
      </c>
      <c r="G79" s="97" t="s">
        <v>41</v>
      </c>
      <c r="H79" s="97" t="s">
        <v>42</v>
      </c>
      <c r="I79" s="97" t="s">
        <v>43</v>
      </c>
      <c r="J79" s="97" t="s">
        <v>12</v>
      </c>
      <c r="K79" s="97" t="s">
        <v>44</v>
      </c>
      <c r="L79" s="97" t="s">
        <v>14</v>
      </c>
      <c r="M79" s="97" t="s">
        <v>9</v>
      </c>
      <c r="N79" s="97" t="s">
        <v>10</v>
      </c>
      <c r="O79" s="97" t="s">
        <v>45</v>
      </c>
      <c r="P79" s="97" t="s">
        <v>5</v>
      </c>
      <c r="Q79" s="97" t="s">
        <v>46</v>
      </c>
      <c r="R79" s="97" t="s">
        <v>47</v>
      </c>
      <c r="S79" s="97" t="s">
        <v>48</v>
      </c>
      <c r="T79" s="97" t="s">
        <v>0</v>
      </c>
      <c r="U79" s="96" t="s">
        <v>49</v>
      </c>
      <c r="V79" s="96" t="s">
        <v>50</v>
      </c>
      <c r="W79" s="98"/>
    </row>
    <row r="80" ht="12.75" customHeight="1">
      <c r="A80" s="161" t="s">
        <v>33</v>
      </c>
      <c r="B80" s="161"/>
      <c r="C80" s="161"/>
      <c r="D80" s="162" t="s">
        <v>52</v>
      </c>
      <c r="E80" s="161" t="s">
        <v>101</v>
      </c>
      <c r="F80" s="161" t="s">
        <v>33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ref="U80:U84" si="9">IFERROR(I80/H80,0)</f>
        <v>0</v>
      </c>
      <c r="V80" s="104">
        <f t="shared" ref="V80:V84" si="10">IFERROR(SUM(H80+L80)/G80,0)</f>
        <v>0</v>
      </c>
      <c r="W80" s="105"/>
    </row>
    <row r="81" ht="12.75" customHeight="1">
      <c r="A81" s="163" t="s">
        <v>33</v>
      </c>
      <c r="B81" s="164"/>
      <c r="C81" s="164"/>
      <c r="D81" s="101"/>
      <c r="E81" s="126" t="s">
        <v>76</v>
      </c>
      <c r="F81" s="126" t="s">
        <v>102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9"/>
        <v>0</v>
      </c>
      <c r="V81" s="104">
        <f t="shared" si="10"/>
        <v>0</v>
      </c>
      <c r="W81" s="105"/>
    </row>
    <row r="82" ht="12.75" customHeight="1">
      <c r="A82" s="165" t="s">
        <v>33</v>
      </c>
      <c r="B82" s="165"/>
      <c r="C82" s="128" t="s">
        <v>103</v>
      </c>
      <c r="D82" s="129" t="s">
        <v>52</v>
      </c>
      <c r="E82" s="117" t="s">
        <v>59</v>
      </c>
      <c r="F82" s="128" t="s">
        <v>103</v>
      </c>
      <c r="G82" s="185">
        <v>0.0</v>
      </c>
      <c r="H82" s="185">
        <v>0.0</v>
      </c>
      <c r="I82" s="185">
        <v>0.0</v>
      </c>
      <c r="J82" s="185">
        <v>0.0</v>
      </c>
      <c r="K82" s="185">
        <v>0.0</v>
      </c>
      <c r="L82" s="185">
        <v>0.0</v>
      </c>
      <c r="M82" s="185">
        <v>0.0</v>
      </c>
      <c r="N82" s="185">
        <v>0.0</v>
      </c>
      <c r="O82" s="185">
        <v>0.0</v>
      </c>
      <c r="P82" s="185">
        <v>0.0</v>
      </c>
      <c r="Q82" s="185">
        <v>0.0</v>
      </c>
      <c r="R82" s="185">
        <v>0.0</v>
      </c>
      <c r="S82" s="185">
        <v>0.0</v>
      </c>
      <c r="T82" s="185">
        <v>0.0</v>
      </c>
      <c r="U82" s="104">
        <f t="shared" si="9"/>
        <v>0</v>
      </c>
      <c r="V82" s="104">
        <f t="shared" si="10"/>
        <v>0</v>
      </c>
      <c r="W82" s="105"/>
    </row>
    <row r="83" ht="12.75" customHeight="1">
      <c r="A83" s="161" t="s">
        <v>33</v>
      </c>
      <c r="B83" s="161"/>
      <c r="C83" s="111" t="s">
        <v>104</v>
      </c>
      <c r="D83" s="112" t="s">
        <v>52</v>
      </c>
      <c r="E83" s="111" t="s">
        <v>105</v>
      </c>
      <c r="F83" s="111" t="s">
        <v>104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9"/>
        <v>0</v>
      </c>
      <c r="V83" s="104">
        <f t="shared" si="10"/>
        <v>0</v>
      </c>
      <c r="W83" s="105"/>
    </row>
    <row r="84" ht="12.75" customHeight="1">
      <c r="A84" s="163" t="s">
        <v>33</v>
      </c>
      <c r="B84" s="163"/>
      <c r="C84" s="114" t="s">
        <v>104</v>
      </c>
      <c r="D84" s="115"/>
      <c r="E84" s="114" t="s">
        <v>59</v>
      </c>
      <c r="F84" s="114" t="s">
        <v>106</v>
      </c>
      <c r="G84" s="185">
        <v>0.0</v>
      </c>
      <c r="H84" s="185">
        <v>0.0</v>
      </c>
      <c r="I84" s="185">
        <v>0.0</v>
      </c>
      <c r="J84" s="185">
        <v>0.0</v>
      </c>
      <c r="K84" s="185">
        <v>0.0</v>
      </c>
      <c r="L84" s="185">
        <v>0.0</v>
      </c>
      <c r="M84" s="185">
        <v>0.0</v>
      </c>
      <c r="N84" s="185">
        <v>0.0</v>
      </c>
      <c r="O84" s="185">
        <v>0.0</v>
      </c>
      <c r="P84" s="185">
        <v>0.0</v>
      </c>
      <c r="Q84" s="185">
        <v>0.0</v>
      </c>
      <c r="R84" s="185">
        <v>0.0</v>
      </c>
      <c r="S84" s="185">
        <v>0.0</v>
      </c>
      <c r="T84" s="185">
        <v>0.0</v>
      </c>
      <c r="U84" s="104">
        <f t="shared" si="9"/>
        <v>0</v>
      </c>
      <c r="V84" s="104">
        <f t="shared" si="10"/>
        <v>0</v>
      </c>
      <c r="W84" s="105"/>
    </row>
    <row r="85" ht="20.25" customHeight="1">
      <c r="A85" s="93" t="s">
        <v>36</v>
      </c>
      <c r="B85" s="94" t="s">
        <v>37</v>
      </c>
      <c r="C85" s="94" t="s">
        <v>38</v>
      </c>
      <c r="D85" s="95"/>
      <c r="E85" s="96" t="s">
        <v>39</v>
      </c>
      <c r="F85" s="94" t="s">
        <v>40</v>
      </c>
      <c r="G85" s="97" t="s">
        <v>41</v>
      </c>
      <c r="H85" s="97" t="s">
        <v>42</v>
      </c>
      <c r="I85" s="97" t="s">
        <v>43</v>
      </c>
      <c r="J85" s="97" t="s">
        <v>12</v>
      </c>
      <c r="K85" s="97" t="s">
        <v>44</v>
      </c>
      <c r="L85" s="97" t="s">
        <v>14</v>
      </c>
      <c r="M85" s="97" t="s">
        <v>9</v>
      </c>
      <c r="N85" s="97" t="s">
        <v>10</v>
      </c>
      <c r="O85" s="97" t="s">
        <v>45</v>
      </c>
      <c r="P85" s="97" t="s">
        <v>5</v>
      </c>
      <c r="Q85" s="97" t="s">
        <v>46</v>
      </c>
      <c r="R85" s="97" t="s">
        <v>47</v>
      </c>
      <c r="S85" s="97" t="s">
        <v>48</v>
      </c>
      <c r="T85" s="97" t="s">
        <v>0</v>
      </c>
      <c r="U85" s="96" t="s">
        <v>49</v>
      </c>
      <c r="V85" s="96" t="s">
        <v>50</v>
      </c>
      <c r="W85" s="98"/>
    </row>
    <row r="86" ht="13.5" customHeight="1">
      <c r="A86" s="166" t="s">
        <v>34</v>
      </c>
      <c r="B86" s="167"/>
      <c r="C86" s="167"/>
      <c r="D86" s="166" t="s">
        <v>52</v>
      </c>
      <c r="E86" s="166" t="s">
        <v>58</v>
      </c>
      <c r="F86" s="166" t="s">
        <v>34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ref="U86:U102" si="11">IFERROR(I86/H86,0)</f>
        <v>0</v>
      </c>
      <c r="V86" s="104">
        <f t="shared" ref="V86:V102" si="12">IFERROR(SUM(H86+L86)/G86,0)</f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59</v>
      </c>
      <c r="F87" s="168" t="s">
        <v>107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1"/>
        <v>0</v>
      </c>
      <c r="V87" s="104">
        <f t="shared" si="12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58</v>
      </c>
      <c r="F88" s="168" t="s">
        <v>108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1"/>
        <v>0</v>
      </c>
      <c r="V88" s="104">
        <f t="shared" si="12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76</v>
      </c>
      <c r="F89" s="168" t="s">
        <v>109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1"/>
        <v>0</v>
      </c>
      <c r="V89" s="104">
        <f t="shared" si="12"/>
        <v>0</v>
      </c>
      <c r="W89" s="105"/>
    </row>
    <row r="90" ht="13.5" customHeight="1">
      <c r="A90" s="168" t="s">
        <v>34</v>
      </c>
      <c r="B90" s="167"/>
      <c r="C90" s="167"/>
      <c r="D90" s="167"/>
      <c r="E90" s="168" t="s">
        <v>62</v>
      </c>
      <c r="F90" s="168" t="s">
        <v>110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1"/>
        <v>0</v>
      </c>
      <c r="V90" s="104">
        <f t="shared" si="12"/>
        <v>0</v>
      </c>
      <c r="W90" s="105"/>
    </row>
    <row r="91" ht="13.5" customHeight="1">
      <c r="A91" s="168" t="s">
        <v>34</v>
      </c>
      <c r="B91" s="167"/>
      <c r="C91" s="167"/>
      <c r="D91" s="167"/>
      <c r="E91" s="168" t="s">
        <v>58</v>
      </c>
      <c r="F91" s="168" t="s">
        <v>111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1"/>
        <v>0</v>
      </c>
      <c r="V91" s="104">
        <f t="shared" si="12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112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1"/>
        <v>0</v>
      </c>
      <c r="V92" s="104">
        <f t="shared" si="12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113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1"/>
        <v>0</v>
      </c>
      <c r="V93" s="104">
        <f t="shared" si="12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1"/>
        <v>0</v>
      </c>
      <c r="V94" s="104">
        <f t="shared" si="12"/>
        <v>0</v>
      </c>
      <c r="W94" s="105"/>
    </row>
    <row r="95" ht="13.5" customHeight="1">
      <c r="A95" s="169" t="s">
        <v>34</v>
      </c>
      <c r="B95" s="170"/>
      <c r="C95" s="169"/>
      <c r="D95" s="170"/>
      <c r="E95" s="169"/>
      <c r="F95" s="169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1"/>
        <v>0</v>
      </c>
      <c r="V95" s="104">
        <f t="shared" si="12"/>
        <v>0</v>
      </c>
      <c r="W95" s="105"/>
    </row>
    <row r="96" ht="13.5" customHeight="1">
      <c r="A96" s="169" t="s">
        <v>34</v>
      </c>
      <c r="B96" s="170"/>
      <c r="C96" s="169"/>
      <c r="D96" s="170"/>
      <c r="E96" s="169"/>
      <c r="F96" s="169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1"/>
        <v>0</v>
      </c>
      <c r="V96" s="104">
        <f t="shared" si="12"/>
        <v>0</v>
      </c>
      <c r="W96" s="105"/>
    </row>
    <row r="97" ht="13.5" customHeight="1">
      <c r="A97" s="171" t="s">
        <v>34</v>
      </c>
      <c r="B97" s="172"/>
      <c r="C97" s="171" t="s">
        <v>117</v>
      </c>
      <c r="D97" s="173" t="s">
        <v>52</v>
      </c>
      <c r="E97" s="171" t="s">
        <v>105</v>
      </c>
      <c r="F97" s="171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1"/>
        <v>0</v>
      </c>
      <c r="V97" s="104">
        <f t="shared" si="12"/>
        <v>0</v>
      </c>
      <c r="W97" s="105"/>
    </row>
    <row r="98" ht="13.5" customHeight="1">
      <c r="A98" s="174" t="s">
        <v>34</v>
      </c>
      <c r="B98" s="175"/>
      <c r="C98" s="174" t="s">
        <v>117</v>
      </c>
      <c r="D98" s="175"/>
      <c r="E98" s="174" t="s">
        <v>118</v>
      </c>
      <c r="F98" s="174" t="s">
        <v>119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1"/>
        <v>0</v>
      </c>
      <c r="V98" s="104">
        <f t="shared" si="12"/>
        <v>0</v>
      </c>
      <c r="W98" s="105"/>
    </row>
    <row r="99" ht="13.5" customHeight="1">
      <c r="A99" s="174" t="s">
        <v>34</v>
      </c>
      <c r="B99" s="175"/>
      <c r="C99" s="174" t="s">
        <v>117</v>
      </c>
      <c r="D99" s="175"/>
      <c r="E99" s="174" t="s">
        <v>120</v>
      </c>
      <c r="F99" s="174" t="s">
        <v>121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1"/>
        <v>0</v>
      </c>
      <c r="V99" s="104">
        <f t="shared" si="12"/>
        <v>0</v>
      </c>
      <c r="W99" s="105"/>
    </row>
    <row r="100" ht="13.5" customHeight="1">
      <c r="A100" s="174" t="s">
        <v>34</v>
      </c>
      <c r="B100" s="175"/>
      <c r="C100" s="174" t="s">
        <v>117</v>
      </c>
      <c r="D100" s="175"/>
      <c r="E100" s="174"/>
      <c r="F100" s="174" t="s">
        <v>119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1"/>
        <v>0</v>
      </c>
      <c r="V100" s="104">
        <f t="shared" si="12"/>
        <v>0</v>
      </c>
      <c r="W100" s="105"/>
    </row>
    <row r="101" ht="13.5" customHeight="1">
      <c r="A101" s="166" t="s">
        <v>34</v>
      </c>
      <c r="B101" s="176"/>
      <c r="C101" s="166" t="s">
        <v>122</v>
      </c>
      <c r="D101" s="166" t="s">
        <v>52</v>
      </c>
      <c r="E101" s="166" t="s">
        <v>123</v>
      </c>
      <c r="F101" s="166" t="s">
        <v>122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1"/>
        <v>0</v>
      </c>
      <c r="V101" s="104">
        <f t="shared" si="12"/>
        <v>0</v>
      </c>
      <c r="W101" s="105"/>
    </row>
    <row r="102" ht="13.5" customHeight="1">
      <c r="A102" s="169" t="s">
        <v>34</v>
      </c>
      <c r="B102" s="170"/>
      <c r="C102" s="169" t="s">
        <v>122</v>
      </c>
      <c r="D102" s="170"/>
      <c r="E102" s="169"/>
      <c r="F102" s="169" t="s">
        <v>124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1"/>
        <v>0</v>
      </c>
      <c r="V102" s="104">
        <f t="shared" si="12"/>
        <v>0</v>
      </c>
      <c r="W102" s="105"/>
    </row>
    <row r="103" ht="20.25" customHeight="1">
      <c r="A103" s="93" t="s">
        <v>36</v>
      </c>
      <c r="B103" s="94" t="s">
        <v>37</v>
      </c>
      <c r="C103" s="94" t="s">
        <v>38</v>
      </c>
      <c r="D103" s="95"/>
      <c r="E103" s="96" t="s">
        <v>39</v>
      </c>
      <c r="F103" s="94" t="s">
        <v>40</v>
      </c>
      <c r="G103" s="97" t="s">
        <v>41</v>
      </c>
      <c r="H103" s="97" t="s">
        <v>42</v>
      </c>
      <c r="I103" s="97" t="s">
        <v>43</v>
      </c>
      <c r="J103" s="97" t="s">
        <v>12</v>
      </c>
      <c r="K103" s="97" t="s">
        <v>44</v>
      </c>
      <c r="L103" s="97" t="s">
        <v>14</v>
      </c>
      <c r="M103" s="97" t="s">
        <v>9</v>
      </c>
      <c r="N103" s="97" t="s">
        <v>10</v>
      </c>
      <c r="O103" s="97" t="s">
        <v>45</v>
      </c>
      <c r="P103" s="97" t="s">
        <v>5</v>
      </c>
      <c r="Q103" s="97" t="s">
        <v>46</v>
      </c>
      <c r="R103" s="97" t="s">
        <v>47</v>
      </c>
      <c r="S103" s="97" t="s">
        <v>48</v>
      </c>
      <c r="T103" s="97" t="s">
        <v>0</v>
      </c>
      <c r="U103" s="96" t="s">
        <v>49</v>
      </c>
      <c r="V103" s="96" t="s">
        <v>50</v>
      </c>
      <c r="W103" s="98"/>
    </row>
    <row r="104" ht="20.25" customHeight="1">
      <c r="A104" s="111" t="s">
        <v>35</v>
      </c>
      <c r="B104" s="160"/>
      <c r="C104" s="111"/>
      <c r="D104" s="111" t="s">
        <v>52</v>
      </c>
      <c r="E104" s="111" t="s">
        <v>59</v>
      </c>
      <c r="F104" s="111" t="s">
        <v>35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45">
        <f t="shared" ref="U104:U105" si="13">IFERROR(I104/H104,0)</f>
        <v>0</v>
      </c>
      <c r="V104" s="145">
        <f t="shared" ref="V104:V105" si="14">IFERROR(SUM(H104+L104)/G104,0)</f>
        <v>0</v>
      </c>
      <c r="W104" s="146"/>
    </row>
    <row r="105" ht="20.25" customHeight="1">
      <c r="A105" s="117" t="s">
        <v>35</v>
      </c>
      <c r="B105" s="136"/>
      <c r="C105" s="117" t="s">
        <v>125</v>
      </c>
      <c r="D105" s="117" t="s">
        <v>52</v>
      </c>
      <c r="E105" s="117"/>
      <c r="F105" s="117" t="s">
        <v>125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45">
        <f t="shared" si="13"/>
        <v>0</v>
      </c>
      <c r="V105" s="145">
        <f t="shared" si="14"/>
        <v>0</v>
      </c>
      <c r="W105" s="146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77"/>
      <c r="B618" s="177"/>
      <c r="C618" s="177"/>
      <c r="D618" s="1"/>
      <c r="E618" s="177"/>
      <c r="F618" s="178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80"/>
      <c r="V618" s="180"/>
      <c r="W618" s="180"/>
    </row>
    <row r="619" ht="12.75" customHeight="1">
      <c r="A619" s="177"/>
      <c r="B619" s="177"/>
      <c r="C619" s="177"/>
      <c r="D619" s="1"/>
      <c r="E619" s="177"/>
      <c r="F619" s="178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80"/>
      <c r="V619" s="180"/>
      <c r="W619" s="180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6575</v>
      </c>
      <c r="D2" s="10"/>
      <c r="E2" s="11">
        <f t="shared" ref="E2:R2" si="1">SUM(E5,E20,E23,E26,E29,E32)</f>
        <v>4165</v>
      </c>
      <c r="F2" s="11">
        <f t="shared" si="1"/>
        <v>22</v>
      </c>
      <c r="G2" s="11">
        <f t="shared" si="1"/>
        <v>10</v>
      </c>
      <c r="H2" s="11">
        <f t="shared" si="1"/>
        <v>5</v>
      </c>
      <c r="I2" s="11">
        <f t="shared" si="1"/>
        <v>2</v>
      </c>
      <c r="J2" s="11">
        <f t="shared" si="1"/>
        <v>2</v>
      </c>
      <c r="K2" s="11">
        <f t="shared" si="1"/>
        <v>3</v>
      </c>
      <c r="L2" s="11">
        <f t="shared" si="1"/>
        <v>2</v>
      </c>
      <c r="M2" s="11">
        <f t="shared" si="1"/>
        <v>32</v>
      </c>
      <c r="N2" s="11">
        <f t="shared" si="1"/>
        <v>3</v>
      </c>
      <c r="O2" s="11">
        <f t="shared" si="1"/>
        <v>1</v>
      </c>
      <c r="P2" s="11">
        <f t="shared" si="1"/>
        <v>3</v>
      </c>
      <c r="Q2" s="11">
        <f t="shared" si="1"/>
        <v>1</v>
      </c>
      <c r="R2" s="11">
        <f t="shared" si="1"/>
        <v>1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64</v>
      </c>
      <c r="D4" s="22"/>
      <c r="E4" s="23">
        <f>IFERROR(C2/H2,0)</f>
        <v>1315</v>
      </c>
      <c r="F4" s="24">
        <f>IFERROR((G2+R2)/F2,0)</f>
        <v>0.5</v>
      </c>
      <c r="G4" s="24">
        <f>IFERROR(H2/G2,0)</f>
        <v>0.5</v>
      </c>
      <c r="H4" s="23">
        <f>(C2/C4)</f>
        <v>102.734375</v>
      </c>
      <c r="I4" s="25"/>
      <c r="J4" s="24">
        <f>IFERROR(J2/I2,0)</f>
        <v>1</v>
      </c>
      <c r="K4" s="25"/>
      <c r="L4" s="24">
        <f>IFERROR(L2/K2,0)</f>
        <v>0.6666666667</v>
      </c>
      <c r="M4" s="26">
        <f>IFERROR(M2/G2,0)</f>
        <v>3.2</v>
      </c>
      <c r="N4" s="25"/>
      <c r="O4" s="24">
        <f>IFERROR(O2/N2,0)</f>
        <v>0.3333333333</v>
      </c>
      <c r="P4" s="26"/>
      <c r="Q4" s="24">
        <f>IFERROR(Q2/P2,0)</f>
        <v>0.3333333333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4723</v>
      </c>
      <c r="D5" s="31"/>
      <c r="E5" s="32">
        <f>SUMIFS(T:T,A:A,B5,D:D,"Y")</f>
        <v>2313</v>
      </c>
      <c r="F5" s="11">
        <f>SUMIF(A:A,B5,G:G)</f>
        <v>17</v>
      </c>
      <c r="G5" s="11">
        <f>SUMIF(A:A,B5,H:H)</f>
        <v>9</v>
      </c>
      <c r="H5" s="11">
        <f>SUMIF(A:A,B5,I:I)</f>
        <v>4</v>
      </c>
      <c r="I5" s="11">
        <f>SUMIF(A:A,B5,P:P)</f>
        <v>2</v>
      </c>
      <c r="J5" s="11">
        <f>SUMIF(A:A,B5,Q:Q)</f>
        <v>2</v>
      </c>
      <c r="K5" s="11">
        <f>SUMIF(A:A,B5,R:R)</f>
        <v>2</v>
      </c>
      <c r="L5" s="11">
        <f>SUMIF(A:A,B5,S:S)</f>
        <v>1</v>
      </c>
      <c r="M5" s="11">
        <f>SUMIF(A:A,B5,M:M)</f>
        <v>25</v>
      </c>
      <c r="N5" s="11">
        <f>SUMIF(A:A,B5,N:N)</f>
        <v>3</v>
      </c>
      <c r="O5" s="11">
        <f>SUMIF(A:A,B5,O:O)</f>
        <v>1</v>
      </c>
      <c r="P5" s="11">
        <f>SUMIF(A:A,B5,J:J)</f>
        <v>3</v>
      </c>
      <c r="Q5" s="11">
        <f>SUMIF(A:A,B5,K:K)</f>
        <v>1</v>
      </c>
      <c r="R5" s="33">
        <f>SUMIF(A:A,B5,L:L)</f>
        <v>1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25</v>
      </c>
      <c r="D7" s="39"/>
      <c r="E7" s="40">
        <f>IFERROR(C5/H5,0)</f>
        <v>1180.75</v>
      </c>
      <c r="F7" s="41">
        <f>IFERROR((G5+R5)/F5,0)</f>
        <v>0.5882352941</v>
      </c>
      <c r="G7" s="41">
        <f>IFERROR(H5/G5,0)</f>
        <v>0.4444444444</v>
      </c>
      <c r="H7" s="40">
        <f>(C5/C7)</f>
        <v>188.92</v>
      </c>
      <c r="I7" s="42"/>
      <c r="J7" s="41">
        <f>IFERROR(J5/I5,0)</f>
        <v>1</v>
      </c>
      <c r="K7" s="42"/>
      <c r="L7" s="41">
        <f>IFERROR(L5/K5,0)</f>
        <v>0.5</v>
      </c>
      <c r="M7" s="43">
        <f>IFERROR(M5/SUM(R5+G5,0),"")</f>
        <v>2.5</v>
      </c>
      <c r="N7" s="42"/>
      <c r="O7" s="41">
        <f>IFERROR(O5/N5,0)</f>
        <v>0.3333333333</v>
      </c>
      <c r="P7" s="43"/>
      <c r="Q7" s="41">
        <f>IFERROR(Q5/P5,0)</f>
        <v>0.3333333333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2410</v>
      </c>
      <c r="D8" s="47"/>
      <c r="E8" s="48">
        <f>SUMIFS(T:T,B:B,B8,D:D,"Y")</f>
        <v>0</v>
      </c>
      <c r="F8" s="49">
        <f>SUMIF(B37:B1137,B8,G37:G1137)</f>
        <v>1</v>
      </c>
      <c r="G8" s="50">
        <f>SUMIF(B37:B1137,B8,H37:H1137)</f>
        <v>2</v>
      </c>
      <c r="H8" s="50">
        <f>SUMIF(B37:B1137,B8,I37:I1137)</f>
        <v>1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0</v>
      </c>
      <c r="L8" s="50">
        <f>SUMIF(B37:B1137,B8,S37:S1137)</f>
        <v>0</v>
      </c>
      <c r="M8" s="50">
        <f>SUMIF(B37:B1137,B8,M37:M1137)</f>
        <v>8</v>
      </c>
      <c r="N8" s="50">
        <f>SUMIF(B37:B1137,B8,N37:N1137)</f>
        <v>2</v>
      </c>
      <c r="O8" s="50">
        <f>SUMIF(B37:B1137,B8,O37:O1137)</f>
        <v>1</v>
      </c>
      <c r="P8" s="50">
        <f>SUMIF(B37:B1137,B8,J37:J1137)</f>
        <v>2</v>
      </c>
      <c r="Q8" s="50">
        <f>SUMIF(B37:B1137,B8,K37:K1137)</f>
        <v>1</v>
      </c>
      <c r="R8" s="51">
        <f>SUMIF(B37:B1137,B8,L37:L1137)</f>
        <v>0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2410</v>
      </c>
      <c r="F10" s="24">
        <f>IFERROR((G8+R8)/F8,0)</f>
        <v>2</v>
      </c>
      <c r="G10" s="24">
        <f>IFERROR(H8/G8,0)</f>
        <v>0.5</v>
      </c>
      <c r="H10" s="23">
        <f>(C8/C10)</f>
        <v>482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IFERROR(M8/SUM(G8+R8,0),"")</f>
        <v>4</v>
      </c>
      <c r="N10" s="25"/>
      <c r="O10" s="24">
        <f>IFERROR(O8/N8,0)</f>
        <v>0.5</v>
      </c>
      <c r="P10" s="26"/>
      <c r="Q10" s="24">
        <f>IFERROR(Q8/P8,0)</f>
        <v>0.5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1140</v>
      </c>
      <c r="D11" s="60"/>
      <c r="E11" s="48">
        <f>SUMIFS(T:T,B:B,B11,D:D,"Y")</f>
        <v>1140</v>
      </c>
      <c r="F11" s="49">
        <f>SUMIF(B39:B1137,B11,G39:G1137)</f>
        <v>11</v>
      </c>
      <c r="G11" s="50">
        <f>SUMIF(B39:B1137,B11,H39:H1137)</f>
        <v>6</v>
      </c>
      <c r="H11" s="50">
        <f>SUMIF(B39:B1137,B11,I39:I1137)</f>
        <v>2</v>
      </c>
      <c r="I11" s="50">
        <f>SUMIF(B39:B1137,B11,P39:P1137)</f>
        <v>1</v>
      </c>
      <c r="J11" s="50">
        <f>SUMIF(B39:B1137,B11,Q39:Q1137)</f>
        <v>1</v>
      </c>
      <c r="K11" s="50">
        <f>SUMIF(B39:B1137,B11,R39:R1137)</f>
        <v>2</v>
      </c>
      <c r="L11" s="50">
        <f>SUMIF(B39:B1137,B11,S39:S1137)</f>
        <v>1</v>
      </c>
      <c r="M11" s="50">
        <f>SUMIF(B39:B1137,B11,M39:M1137)</f>
        <v>10</v>
      </c>
      <c r="N11" s="50">
        <f>SUMIF(B39:B1137,B11,N39:N1137)</f>
        <v>1</v>
      </c>
      <c r="O11" s="50">
        <f>SUMIF(B39:B1137,B11,O39:O1137)</f>
        <v>0</v>
      </c>
      <c r="P11" s="50">
        <f>SUMIF(B39:B1137,B11,J39:J1137)</f>
        <v>1</v>
      </c>
      <c r="Q11" s="50">
        <f>SUMIF(B39:B1137,B11,K39:K1137)</f>
        <v>0</v>
      </c>
      <c r="R11" s="51">
        <f>SUMIF(B39:B1137,B11,L39:L1137)</f>
        <v>1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8</v>
      </c>
      <c r="D13" s="56"/>
      <c r="E13" s="23">
        <f>IFERROR(C11/H11,0)</f>
        <v>570</v>
      </c>
      <c r="F13" s="24">
        <f>IFERROR((G11+R11)/F11,0)</f>
        <v>0.6363636364</v>
      </c>
      <c r="G13" s="24">
        <f>IFERROR(H11/G11,0)</f>
        <v>0.3333333333</v>
      </c>
      <c r="H13" s="23">
        <f>(C11/C13)</f>
        <v>142.5</v>
      </c>
      <c r="I13" s="25"/>
      <c r="J13" s="24">
        <f>IFERROR(J11/I11,0)</f>
        <v>1</v>
      </c>
      <c r="K13" s="25"/>
      <c r="L13" s="24">
        <f>IFERROR(L11/K11,0)</f>
        <v>0.5</v>
      </c>
      <c r="M13" s="26">
        <f>IFERROR(M11/SUM(R11+G11,0),"")</f>
        <v>1.428571429</v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0</v>
      </c>
      <c r="D14" s="60"/>
      <c r="E14" s="48">
        <f>SUMIFS(T:T,B:B,B14,D:D,"Y")</f>
        <v>0</v>
      </c>
      <c r="F14" s="49">
        <f>SUMIF(B39:B1137,B14,G39:G1137)</f>
        <v>0</v>
      </c>
      <c r="G14" s="50">
        <f>SUMIF(B39:B1137,B14,H39:H1137)</f>
        <v>0</v>
      </c>
      <c r="H14" s="50">
        <f>SUMIF(B39:B1137,B14,I39:I1137)</f>
        <v>0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0</v>
      </c>
      <c r="L14" s="50">
        <f>SUMIF(B39:B1137,B14,S39:S1137)</f>
        <v>0</v>
      </c>
      <c r="M14" s="50">
        <f>SUMIF(B39:B1137,B14,M39:M1137)</f>
        <v>0</v>
      </c>
      <c r="N14" s="50">
        <f>SUMIF(B39:B1137,B14,N39:N1137)</f>
        <v>0</v>
      </c>
      <c r="O14" s="50">
        <f>SUMIF(B39:B1137,B14,O39:O1137)</f>
        <v>0</v>
      </c>
      <c r="P14" s="50">
        <f>SUMIF(B39:B1137,B14,J39:J1137)</f>
        <v>0</v>
      </c>
      <c r="Q14" s="50">
        <f>SUMIF(B39:B1137,B14,K39:K1137)</f>
        <v>0</v>
      </c>
      <c r="R14" s="51">
        <f>SUMIF(B39:B1137,B14,L39:L1137)</f>
        <v>0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8</v>
      </c>
      <c r="D16" s="56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1173</v>
      </c>
      <c r="D17" s="60"/>
      <c r="E17" s="48">
        <f>SUMIFS(T:T,B:B,B17,D:D,"Y")</f>
        <v>1173</v>
      </c>
      <c r="F17" s="49">
        <f>SUMIF(B45:B1137,B17,G45:G1137)</f>
        <v>5</v>
      </c>
      <c r="G17" s="50">
        <f>SUMIF(B45:B1137,B17,H45:H1137)</f>
        <v>1</v>
      </c>
      <c r="H17" s="50">
        <f>SUMIF(B45:B1137,B17,I45:I1137)</f>
        <v>1</v>
      </c>
      <c r="I17" s="50">
        <f>SUMIF(B45:B1137,B17,P45:P1137)</f>
        <v>1</v>
      </c>
      <c r="J17" s="50">
        <f>SUMIF(B45:B1137,B17,Q45:Q1137)</f>
        <v>1</v>
      </c>
      <c r="K17" s="50">
        <f>SUMIF(B45:B1137,B17,R45:R1137)</f>
        <v>0</v>
      </c>
      <c r="L17" s="50">
        <f>SUMIF(B45:B1137,B17,S45:S1137)</f>
        <v>0</v>
      </c>
      <c r="M17" s="50">
        <f>SUMIF(B45:B1137,B17,M45:M1137)</f>
        <v>7</v>
      </c>
      <c r="N17" s="50">
        <f>SUMIF(B45:B1137,B17,N45:N1137)</f>
        <v>0</v>
      </c>
      <c r="O17" s="50">
        <f>SUMIF(B45:B1137,B17,O45:O1137)</f>
        <v>0</v>
      </c>
      <c r="P17" s="50">
        <f>SUMIF(B45:B1137,B17,J45:J1137)</f>
        <v>0</v>
      </c>
      <c r="Q17" s="50">
        <f>SUMIF(B45:B1137,B17,K45:K1137)</f>
        <v>0</v>
      </c>
      <c r="R17" s="51">
        <f>SUMIF(B45:B1137,B17,L45:L1137)</f>
        <v>0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COUNTIFS(B45:B1137,B17)</f>
        <v>3</v>
      </c>
      <c r="D19" s="56"/>
      <c r="E19" s="23">
        <f>IFERROR(C17/H17,0)</f>
        <v>1173</v>
      </c>
      <c r="F19" s="24">
        <f>IFERROR((G17+R17)/F17,0)</f>
        <v>0.2</v>
      </c>
      <c r="G19" s="24">
        <f>IFERROR(H17/G17,0)</f>
        <v>1</v>
      </c>
      <c r="H19" s="23">
        <f>(C17/C19)</f>
        <v>391</v>
      </c>
      <c r="I19" s="25"/>
      <c r="J19" s="24">
        <f>IFERROR(J17/I17,0)</f>
        <v>1</v>
      </c>
      <c r="K19" s="25"/>
      <c r="L19" s="24">
        <f>IFERROR(L17/K17,0)</f>
        <v>0</v>
      </c>
      <c r="M19" s="26">
        <f>IFERROR(M17/SUM(R17+G17,0),"")</f>
        <v>7</v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1852</v>
      </c>
      <c r="D20" s="31"/>
      <c r="E20" s="64">
        <f>SUMIFS(T:T,A:A,B20,D:D,"Y")</f>
        <v>1852</v>
      </c>
      <c r="F20" s="9">
        <f>SUMIF(A:A,B20,G:G)</f>
        <v>4</v>
      </c>
      <c r="G20" s="11">
        <f>SUMIF(A:A,B20,H:H)</f>
        <v>1</v>
      </c>
      <c r="H20" s="11">
        <f>SUMIF(A:A,B20,I:I)</f>
        <v>1</v>
      </c>
      <c r="I20" s="11">
        <f>SUMIF(A:A,B20,P:P)</f>
        <v>0</v>
      </c>
      <c r="J20" s="11">
        <f>SUMIF(A:A,B20,Q:Q)</f>
        <v>0</v>
      </c>
      <c r="K20" s="11">
        <f>SUMIF(A:A,B20,R:R)</f>
        <v>1</v>
      </c>
      <c r="L20" s="11">
        <f>SUMIF(A:A,B20,S:S)</f>
        <v>1</v>
      </c>
      <c r="M20" s="11">
        <f>SUMIF(A:A,B20,M:M)</f>
        <v>7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1852</v>
      </c>
      <c r="F22" s="24">
        <f>IFERROR((G20+R20)/F20,0)</f>
        <v>0.25</v>
      </c>
      <c r="G22" s="24">
        <f>IFERROR(H20/G20,0)</f>
        <v>1</v>
      </c>
      <c r="H22" s="23">
        <f>(C20/C22)</f>
        <v>370.4</v>
      </c>
      <c r="I22" s="25"/>
      <c r="J22" s="24">
        <f>IFERROR(J20/I20,0)</f>
        <v>0</v>
      </c>
      <c r="K22" s="25"/>
      <c r="L22" s="24">
        <f>IFERROR(L20/K20,0)</f>
        <v>1</v>
      </c>
      <c r="M22" s="26">
        <f>IFERROR(M20/SUM(R20+G20,0),"")</f>
        <v>7</v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1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1" si="2">IFERROR(I37/H37,0)</f>
        <v>0</v>
      </c>
      <c r="V37" s="104">
        <f t="shared" ref="V37:V61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85">
        <v>0.0</v>
      </c>
      <c r="H39" s="185">
        <v>0.0</v>
      </c>
      <c r="I39" s="185">
        <v>0.0</v>
      </c>
      <c r="J39" s="185">
        <v>0.0</v>
      </c>
      <c r="K39" s="185">
        <v>0.0</v>
      </c>
      <c r="L39" s="185">
        <v>0.0</v>
      </c>
      <c r="M39" s="185">
        <v>0.0</v>
      </c>
      <c r="N39" s="185">
        <v>0.0</v>
      </c>
      <c r="O39" s="185">
        <v>0.0</v>
      </c>
      <c r="P39" s="185">
        <v>0.0</v>
      </c>
      <c r="Q39" s="185">
        <v>0.0</v>
      </c>
      <c r="R39" s="185">
        <v>0.0</v>
      </c>
      <c r="S39" s="185">
        <v>0.0</v>
      </c>
      <c r="T39" s="185">
        <v>0.0</v>
      </c>
      <c r="U39" s="104">
        <f t="shared" si="2"/>
        <v>0</v>
      </c>
      <c r="V39" s="104">
        <f t="shared" si="3"/>
        <v>0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85">
        <v>1.0</v>
      </c>
      <c r="H40" s="185">
        <v>1.0</v>
      </c>
      <c r="I40" s="185">
        <v>1.0</v>
      </c>
      <c r="J40" s="185">
        <v>1.0</v>
      </c>
      <c r="K40" s="185">
        <v>1.0</v>
      </c>
      <c r="L40" s="185">
        <v>0.0</v>
      </c>
      <c r="M40" s="185">
        <v>2.0</v>
      </c>
      <c r="N40" s="185">
        <v>1.0</v>
      </c>
      <c r="O40" s="185">
        <v>1.0</v>
      </c>
      <c r="P40" s="185">
        <v>0.0</v>
      </c>
      <c r="Q40" s="185">
        <v>0.0</v>
      </c>
      <c r="R40" s="185">
        <v>0.0</v>
      </c>
      <c r="S40" s="185">
        <v>0.0</v>
      </c>
      <c r="T40" s="185">
        <v>2410.0</v>
      </c>
      <c r="U40" s="104">
        <f t="shared" si="2"/>
        <v>1</v>
      </c>
      <c r="V40" s="104">
        <f t="shared" si="3"/>
        <v>1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85">
        <v>0.0</v>
      </c>
      <c r="H41" s="185">
        <v>1.0</v>
      </c>
      <c r="I41" s="185">
        <v>0.0</v>
      </c>
      <c r="J41" s="185">
        <v>1.0</v>
      </c>
      <c r="K41" s="185">
        <v>0.0</v>
      </c>
      <c r="L41" s="185">
        <v>0.0</v>
      </c>
      <c r="M41" s="185">
        <v>6.0</v>
      </c>
      <c r="N41" s="185">
        <v>1.0</v>
      </c>
      <c r="O41" s="185">
        <v>0.0</v>
      </c>
      <c r="P41" s="185">
        <v>0.0</v>
      </c>
      <c r="Q41" s="185">
        <v>0.0</v>
      </c>
      <c r="R41" s="185">
        <v>0.0</v>
      </c>
      <c r="S41" s="185">
        <v>0.0</v>
      </c>
      <c r="T41" s="185">
        <v>0.0</v>
      </c>
      <c r="U41" s="104">
        <f t="shared" si="2"/>
        <v>0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85">
        <v>0.0</v>
      </c>
      <c r="H42" s="185">
        <v>0.0</v>
      </c>
      <c r="I42" s="185">
        <v>0.0</v>
      </c>
      <c r="J42" s="185">
        <v>0.0</v>
      </c>
      <c r="K42" s="185">
        <v>0.0</v>
      </c>
      <c r="L42" s="185">
        <v>0.0</v>
      </c>
      <c r="M42" s="185">
        <v>0.0</v>
      </c>
      <c r="N42" s="185">
        <v>0.0</v>
      </c>
      <c r="O42" s="185">
        <v>0.0</v>
      </c>
      <c r="P42" s="185">
        <v>0.0</v>
      </c>
      <c r="Q42" s="185">
        <v>0.0</v>
      </c>
      <c r="R42" s="185">
        <v>0.0</v>
      </c>
      <c r="S42" s="185">
        <v>0.0</v>
      </c>
      <c r="T42" s="185">
        <v>0.0</v>
      </c>
      <c r="U42" s="104">
        <f t="shared" si="2"/>
        <v>0</v>
      </c>
      <c r="V42" s="104">
        <f t="shared" si="3"/>
        <v>0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85">
        <v>7.0</v>
      </c>
      <c r="H43" s="185">
        <v>1.0</v>
      </c>
      <c r="I43" s="185">
        <v>1.0</v>
      </c>
      <c r="J43" s="185">
        <v>0.0</v>
      </c>
      <c r="K43" s="185">
        <v>0.0</v>
      </c>
      <c r="L43" s="185">
        <v>0.0</v>
      </c>
      <c r="M43" s="185">
        <v>0.0</v>
      </c>
      <c r="N43" s="185">
        <v>0.0</v>
      </c>
      <c r="O43" s="185">
        <v>0.0</v>
      </c>
      <c r="P43" s="185">
        <v>1.0</v>
      </c>
      <c r="Q43" s="185">
        <v>1.0</v>
      </c>
      <c r="R43" s="185">
        <v>0.0</v>
      </c>
      <c r="S43" s="185">
        <v>0.0</v>
      </c>
      <c r="T43" s="185">
        <v>1140.0</v>
      </c>
      <c r="U43" s="104">
        <f t="shared" si="2"/>
        <v>1</v>
      </c>
      <c r="V43" s="104">
        <f t="shared" si="3"/>
        <v>0.1428571429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62</v>
      </c>
      <c r="F44" s="126" t="s">
        <v>63</v>
      </c>
      <c r="G44" s="185">
        <v>0.0</v>
      </c>
      <c r="H44" s="185">
        <v>0.0</v>
      </c>
      <c r="I44" s="185">
        <v>0.0</v>
      </c>
      <c r="J44" s="185">
        <v>0.0</v>
      </c>
      <c r="K44" s="185">
        <v>0.0</v>
      </c>
      <c r="L44" s="185">
        <v>0.0</v>
      </c>
      <c r="M44" s="185">
        <v>0.0</v>
      </c>
      <c r="N44" s="185">
        <v>0.0</v>
      </c>
      <c r="O44" s="185">
        <v>0.0</v>
      </c>
      <c r="P44" s="185">
        <v>0.0</v>
      </c>
      <c r="Q44" s="185">
        <v>0.0</v>
      </c>
      <c r="R44" s="185">
        <v>0.0</v>
      </c>
      <c r="S44" s="185">
        <v>0.0</v>
      </c>
      <c r="T44" s="185">
        <v>0.0</v>
      </c>
      <c r="U44" s="104">
        <f t="shared" si="2"/>
        <v>0</v>
      </c>
      <c r="V44" s="104">
        <f t="shared" si="3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58</v>
      </c>
      <c r="F45" s="126" t="s">
        <v>64</v>
      </c>
      <c r="G45" s="185">
        <v>2.0</v>
      </c>
      <c r="H45" s="185">
        <v>2.0</v>
      </c>
      <c r="I45" s="185">
        <v>1.0</v>
      </c>
      <c r="J45" s="185">
        <v>0.0</v>
      </c>
      <c r="K45" s="185">
        <v>0.0</v>
      </c>
      <c r="L45" s="185">
        <v>0.0</v>
      </c>
      <c r="M45" s="185">
        <v>7.0</v>
      </c>
      <c r="N45" s="185">
        <v>0.0</v>
      </c>
      <c r="O45" s="185">
        <v>0.0</v>
      </c>
      <c r="P45" s="185">
        <v>0.0</v>
      </c>
      <c r="Q45" s="185">
        <v>0.0</v>
      </c>
      <c r="R45" s="185">
        <v>1.0</v>
      </c>
      <c r="S45" s="185">
        <v>1.0</v>
      </c>
      <c r="T45" s="185">
        <v>0.0</v>
      </c>
      <c r="U45" s="104">
        <f t="shared" si="2"/>
        <v>0.5</v>
      </c>
      <c r="V45" s="104">
        <f t="shared" si="3"/>
        <v>1</v>
      </c>
      <c r="W45" s="105"/>
    </row>
    <row r="46" ht="12.75" customHeight="1">
      <c r="A46" s="125" t="s">
        <v>26</v>
      </c>
      <c r="B46" s="99" t="s">
        <v>28</v>
      </c>
      <c r="C46" s="126"/>
      <c r="D46" s="101"/>
      <c r="E46" s="126" t="s">
        <v>53</v>
      </c>
      <c r="F46" s="126" t="s">
        <v>65</v>
      </c>
      <c r="G46" s="185">
        <v>1.0</v>
      </c>
      <c r="H46" s="185">
        <v>1.0</v>
      </c>
      <c r="I46" s="185">
        <v>0.0</v>
      </c>
      <c r="J46" s="185">
        <v>0.0</v>
      </c>
      <c r="K46" s="185">
        <v>0.0</v>
      </c>
      <c r="L46" s="185">
        <v>0.0</v>
      </c>
      <c r="M46" s="185">
        <v>0.0</v>
      </c>
      <c r="N46" s="185">
        <v>0.0</v>
      </c>
      <c r="O46" s="185">
        <v>0.0</v>
      </c>
      <c r="P46" s="185">
        <v>0.0</v>
      </c>
      <c r="Q46" s="185">
        <v>0.0</v>
      </c>
      <c r="R46" s="185">
        <v>1.0</v>
      </c>
      <c r="S46" s="185">
        <v>0.0</v>
      </c>
      <c r="T46" s="185">
        <v>0.0</v>
      </c>
      <c r="U46" s="104">
        <f t="shared" si="2"/>
        <v>0</v>
      </c>
      <c r="V46" s="104">
        <f t="shared" si="3"/>
        <v>1</v>
      </c>
      <c r="W46" s="105"/>
    </row>
    <row r="47" ht="12.75" customHeight="1">
      <c r="A47" s="117" t="s">
        <v>26</v>
      </c>
      <c r="B47" s="127" t="s">
        <v>28</v>
      </c>
      <c r="C47" s="128" t="s">
        <v>66</v>
      </c>
      <c r="D47" s="129" t="s">
        <v>52</v>
      </c>
      <c r="E47" s="117" t="s">
        <v>67</v>
      </c>
      <c r="F47" s="128" t="s">
        <v>68</v>
      </c>
      <c r="G47" s="185">
        <v>1.0</v>
      </c>
      <c r="H47" s="185">
        <v>2.0</v>
      </c>
      <c r="I47" s="185">
        <v>0.0</v>
      </c>
      <c r="J47" s="185">
        <v>1.0</v>
      </c>
      <c r="K47" s="185">
        <v>0.0</v>
      </c>
      <c r="L47" s="185">
        <v>1.0</v>
      </c>
      <c r="M47" s="185">
        <v>3.0</v>
      </c>
      <c r="N47" s="185">
        <v>1.0</v>
      </c>
      <c r="O47" s="185">
        <v>0.0</v>
      </c>
      <c r="P47" s="185">
        <v>0.0</v>
      </c>
      <c r="Q47" s="185">
        <v>0.0</v>
      </c>
      <c r="R47" s="185">
        <v>0.0</v>
      </c>
      <c r="S47" s="185">
        <v>0.0</v>
      </c>
      <c r="T47" s="185">
        <v>0.0</v>
      </c>
      <c r="U47" s="104">
        <f t="shared" si="2"/>
        <v>0</v>
      </c>
      <c r="V47" s="104">
        <f t="shared" si="3"/>
        <v>3</v>
      </c>
      <c r="W47" s="105"/>
    </row>
    <row r="48" ht="12.75" customHeight="1">
      <c r="A48" s="119" t="s">
        <v>26</v>
      </c>
      <c r="B48" s="130" t="s">
        <v>28</v>
      </c>
      <c r="C48" s="120" t="s">
        <v>66</v>
      </c>
      <c r="D48" s="131"/>
      <c r="E48" s="120"/>
      <c r="F48" s="120" t="s">
        <v>69</v>
      </c>
      <c r="G48" s="185">
        <v>0.0</v>
      </c>
      <c r="H48" s="185">
        <v>0.0</v>
      </c>
      <c r="I48" s="185">
        <v>0.0</v>
      </c>
      <c r="J48" s="185">
        <v>0.0</v>
      </c>
      <c r="K48" s="185">
        <v>0.0</v>
      </c>
      <c r="L48" s="185">
        <v>0.0</v>
      </c>
      <c r="M48" s="185">
        <v>0.0</v>
      </c>
      <c r="N48" s="185">
        <v>0.0</v>
      </c>
      <c r="O48" s="185">
        <v>0.0</v>
      </c>
      <c r="P48" s="185">
        <v>0.0</v>
      </c>
      <c r="Q48" s="185">
        <v>0.0</v>
      </c>
      <c r="R48" s="185">
        <v>0.0</v>
      </c>
      <c r="S48" s="185">
        <v>0.0</v>
      </c>
      <c r="T48" s="185">
        <v>0.0</v>
      </c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66</v>
      </c>
      <c r="D49" s="131"/>
      <c r="E49" s="120"/>
      <c r="F49" s="120" t="s">
        <v>70</v>
      </c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4">
        <f t="shared" si="2"/>
        <v>0</v>
      </c>
      <c r="V49" s="104">
        <f t="shared" si="3"/>
        <v>0</v>
      </c>
      <c r="W49" s="105"/>
    </row>
    <row r="50" ht="12.75" customHeight="1">
      <c r="A50" s="119" t="s">
        <v>26</v>
      </c>
      <c r="B50" s="130" t="s">
        <v>28</v>
      </c>
      <c r="C50" s="120" t="s">
        <v>66</v>
      </c>
      <c r="D50" s="131"/>
      <c r="E50" s="120"/>
      <c r="F50" s="120" t="s">
        <v>71</v>
      </c>
      <c r="G50" s="185">
        <v>0.0</v>
      </c>
      <c r="H50" s="185">
        <v>0.0</v>
      </c>
      <c r="I50" s="185">
        <v>0.0</v>
      </c>
      <c r="J50" s="185">
        <v>0.0</v>
      </c>
      <c r="K50" s="185">
        <v>0.0</v>
      </c>
      <c r="L50" s="185">
        <v>0.0</v>
      </c>
      <c r="M50" s="185">
        <v>0.0</v>
      </c>
      <c r="N50" s="185">
        <v>0.0</v>
      </c>
      <c r="O50" s="185">
        <v>0.0</v>
      </c>
      <c r="P50" s="185">
        <v>0.0</v>
      </c>
      <c r="Q50" s="185">
        <v>0.0</v>
      </c>
      <c r="R50" s="185">
        <v>0.0</v>
      </c>
      <c r="S50" s="185">
        <v>0.0</v>
      </c>
      <c r="T50" s="185">
        <v>0.0</v>
      </c>
      <c r="U50" s="104">
        <f t="shared" si="2"/>
        <v>0</v>
      </c>
      <c r="V50" s="104">
        <f t="shared" si="3"/>
        <v>0</v>
      </c>
      <c r="W50" s="105"/>
    </row>
    <row r="51" ht="12.75" customHeight="1">
      <c r="A51" s="106" t="s">
        <v>26</v>
      </c>
      <c r="B51" s="109" t="s">
        <v>29</v>
      </c>
      <c r="C51" s="109"/>
      <c r="D51" s="132" t="s">
        <v>52</v>
      </c>
      <c r="E51" s="109" t="s">
        <v>72</v>
      </c>
      <c r="F51" s="133" t="s">
        <v>29</v>
      </c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4">
        <f t="shared" si="2"/>
        <v>0</v>
      </c>
      <c r="V51" s="104">
        <f t="shared" si="3"/>
        <v>0</v>
      </c>
      <c r="W51" s="105"/>
    </row>
    <row r="52" ht="13.5" customHeight="1">
      <c r="A52" s="113" t="s">
        <v>26</v>
      </c>
      <c r="B52" s="114" t="s">
        <v>29</v>
      </c>
      <c r="C52" s="114"/>
      <c r="D52" s="134"/>
      <c r="E52" s="114" t="s">
        <v>59</v>
      </c>
      <c r="F52" s="114" t="s">
        <v>73</v>
      </c>
      <c r="G52" s="103">
        <v>0.0</v>
      </c>
      <c r="H52" s="103">
        <v>0.0</v>
      </c>
      <c r="I52" s="103">
        <v>0.0</v>
      </c>
      <c r="J52" s="103">
        <v>0.0</v>
      </c>
      <c r="K52" s="103">
        <v>0.0</v>
      </c>
      <c r="L52" s="103">
        <v>0.0</v>
      </c>
      <c r="M52" s="103">
        <v>0.0</v>
      </c>
      <c r="N52" s="103">
        <v>0.0</v>
      </c>
      <c r="O52" s="103">
        <v>0.0</v>
      </c>
      <c r="P52" s="103">
        <v>0.0</v>
      </c>
      <c r="Q52" s="103">
        <v>0.0</v>
      </c>
      <c r="R52" s="103">
        <v>0.0</v>
      </c>
      <c r="S52" s="103">
        <v>0.0</v>
      </c>
      <c r="T52" s="103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13" t="s">
        <v>26</v>
      </c>
      <c r="B53" s="114" t="s">
        <v>29</v>
      </c>
      <c r="C53" s="114"/>
      <c r="D53" s="134"/>
      <c r="E53" s="114" t="s">
        <v>72</v>
      </c>
      <c r="F53" s="114" t="s">
        <v>74</v>
      </c>
      <c r="G53" s="103">
        <v>0.0</v>
      </c>
      <c r="H53" s="103">
        <v>0.0</v>
      </c>
      <c r="I53" s="103">
        <v>0.0</v>
      </c>
      <c r="J53" s="103">
        <v>0.0</v>
      </c>
      <c r="K53" s="103">
        <v>0.0</v>
      </c>
      <c r="L53" s="103">
        <v>0.0</v>
      </c>
      <c r="M53" s="103">
        <v>0.0</v>
      </c>
      <c r="N53" s="103">
        <v>0.0</v>
      </c>
      <c r="O53" s="103">
        <v>0.0</v>
      </c>
      <c r="P53" s="103">
        <v>0.0</v>
      </c>
      <c r="Q53" s="103">
        <v>0.0</v>
      </c>
      <c r="R53" s="103">
        <v>0.0</v>
      </c>
      <c r="S53" s="103">
        <v>0.0</v>
      </c>
      <c r="T53" s="103">
        <v>0.0</v>
      </c>
      <c r="U53" s="104">
        <f t="shared" si="2"/>
        <v>0</v>
      </c>
      <c r="V53" s="104">
        <f t="shared" si="3"/>
        <v>0</v>
      </c>
      <c r="W53" s="105"/>
    </row>
    <row r="54" ht="13.5" customHeight="1">
      <c r="A54" s="135" t="s">
        <v>26</v>
      </c>
      <c r="B54" s="127" t="s">
        <v>29</v>
      </c>
      <c r="C54" s="117" t="s">
        <v>75</v>
      </c>
      <c r="D54" s="136" t="s">
        <v>52</v>
      </c>
      <c r="E54" s="117" t="s">
        <v>76</v>
      </c>
      <c r="F54" s="117" t="s">
        <v>75</v>
      </c>
      <c r="G54" s="103">
        <v>0.0</v>
      </c>
      <c r="H54" s="103">
        <v>0.0</v>
      </c>
      <c r="I54" s="103">
        <v>0.0</v>
      </c>
      <c r="J54" s="103">
        <v>0.0</v>
      </c>
      <c r="K54" s="103">
        <v>0.0</v>
      </c>
      <c r="L54" s="103">
        <v>0.0</v>
      </c>
      <c r="M54" s="103">
        <v>0.0</v>
      </c>
      <c r="N54" s="103">
        <v>0.0</v>
      </c>
      <c r="O54" s="103">
        <v>0.0</v>
      </c>
      <c r="P54" s="103">
        <v>0.0</v>
      </c>
      <c r="Q54" s="103">
        <v>0.0</v>
      </c>
      <c r="R54" s="103">
        <v>0.0</v>
      </c>
      <c r="S54" s="103">
        <v>0.0</v>
      </c>
      <c r="T54" s="103">
        <v>0.0</v>
      </c>
      <c r="U54" s="104">
        <f t="shared" si="2"/>
        <v>0</v>
      </c>
      <c r="V54" s="104">
        <f t="shared" si="3"/>
        <v>0</v>
      </c>
      <c r="W54" s="105"/>
    </row>
    <row r="55" ht="13.5" customHeight="1">
      <c r="A55" s="137" t="s">
        <v>26</v>
      </c>
      <c r="B55" s="130" t="s">
        <v>29</v>
      </c>
      <c r="C55" s="120" t="s">
        <v>75</v>
      </c>
      <c r="D55" s="138"/>
      <c r="E55" s="120" t="s">
        <v>59</v>
      </c>
      <c r="F55" s="120" t="s">
        <v>77</v>
      </c>
      <c r="G55" s="103">
        <v>0.0</v>
      </c>
      <c r="H55" s="103">
        <v>0.0</v>
      </c>
      <c r="I55" s="103">
        <v>0.0</v>
      </c>
      <c r="J55" s="103">
        <v>0.0</v>
      </c>
      <c r="K55" s="103">
        <v>0.0</v>
      </c>
      <c r="L55" s="103">
        <v>0.0</v>
      </c>
      <c r="M55" s="103">
        <v>0.0</v>
      </c>
      <c r="N55" s="103">
        <v>0.0</v>
      </c>
      <c r="O55" s="103">
        <v>0.0</v>
      </c>
      <c r="P55" s="103">
        <v>0.0</v>
      </c>
      <c r="Q55" s="103">
        <v>0.0</v>
      </c>
      <c r="R55" s="103">
        <v>0.0</v>
      </c>
      <c r="S55" s="103">
        <v>0.0</v>
      </c>
      <c r="T55" s="103">
        <v>0.0</v>
      </c>
      <c r="U55" s="104">
        <f t="shared" si="2"/>
        <v>0</v>
      </c>
      <c r="V55" s="104">
        <f t="shared" si="3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75</v>
      </c>
      <c r="D56" s="138"/>
      <c r="E56" s="120" t="s">
        <v>59</v>
      </c>
      <c r="F56" s="120" t="s">
        <v>78</v>
      </c>
      <c r="G56" s="103">
        <v>0.0</v>
      </c>
      <c r="H56" s="103">
        <v>0.0</v>
      </c>
      <c r="I56" s="103">
        <v>0.0</v>
      </c>
      <c r="J56" s="103">
        <v>0.0</v>
      </c>
      <c r="K56" s="103">
        <v>0.0</v>
      </c>
      <c r="L56" s="103">
        <v>0.0</v>
      </c>
      <c r="M56" s="103">
        <v>0.0</v>
      </c>
      <c r="N56" s="103">
        <v>0.0</v>
      </c>
      <c r="O56" s="103">
        <v>0.0</v>
      </c>
      <c r="P56" s="103">
        <v>0.0</v>
      </c>
      <c r="Q56" s="103">
        <v>0.0</v>
      </c>
      <c r="R56" s="103">
        <v>0.0</v>
      </c>
      <c r="S56" s="103">
        <v>0.0</v>
      </c>
      <c r="T56" s="103">
        <v>0.0</v>
      </c>
      <c r="U56" s="104">
        <f t="shared" si="2"/>
        <v>0</v>
      </c>
      <c r="V56" s="104">
        <f t="shared" si="3"/>
        <v>0</v>
      </c>
      <c r="W56" s="105"/>
    </row>
    <row r="57" ht="13.5" customHeight="1">
      <c r="A57" s="137" t="s">
        <v>26</v>
      </c>
      <c r="B57" s="130" t="s">
        <v>29</v>
      </c>
      <c r="C57" s="120" t="s">
        <v>75</v>
      </c>
      <c r="D57" s="138"/>
      <c r="E57" s="120" t="s">
        <v>59</v>
      </c>
      <c r="F57" s="120" t="s">
        <v>79</v>
      </c>
      <c r="G57" s="103">
        <v>0.0</v>
      </c>
      <c r="H57" s="103">
        <v>0.0</v>
      </c>
      <c r="I57" s="103">
        <v>0.0</v>
      </c>
      <c r="J57" s="103">
        <v>0.0</v>
      </c>
      <c r="K57" s="103">
        <v>0.0</v>
      </c>
      <c r="L57" s="103">
        <v>0.0</v>
      </c>
      <c r="M57" s="103">
        <v>0.0</v>
      </c>
      <c r="N57" s="103">
        <v>0.0</v>
      </c>
      <c r="O57" s="103">
        <v>0.0</v>
      </c>
      <c r="P57" s="103">
        <v>0.0</v>
      </c>
      <c r="Q57" s="103">
        <v>0.0</v>
      </c>
      <c r="R57" s="103">
        <v>0.0</v>
      </c>
      <c r="S57" s="103">
        <v>0.0</v>
      </c>
      <c r="T57" s="103">
        <v>0.0</v>
      </c>
      <c r="U57" s="104">
        <f t="shared" si="2"/>
        <v>0</v>
      </c>
      <c r="V57" s="104">
        <f t="shared" si="3"/>
        <v>0</v>
      </c>
      <c r="W57" s="105"/>
    </row>
    <row r="58" ht="13.5" customHeight="1">
      <c r="A58" s="137" t="s">
        <v>26</v>
      </c>
      <c r="B58" s="130" t="s">
        <v>29</v>
      </c>
      <c r="C58" s="120" t="s">
        <v>75</v>
      </c>
      <c r="D58" s="138"/>
      <c r="E58" s="120" t="s">
        <v>80</v>
      </c>
      <c r="F58" s="120" t="s">
        <v>81</v>
      </c>
      <c r="G58" s="103">
        <v>0.0</v>
      </c>
      <c r="H58" s="103">
        <v>0.0</v>
      </c>
      <c r="I58" s="103">
        <v>0.0</v>
      </c>
      <c r="J58" s="103">
        <v>0.0</v>
      </c>
      <c r="K58" s="103">
        <v>0.0</v>
      </c>
      <c r="L58" s="103">
        <v>0.0</v>
      </c>
      <c r="M58" s="103">
        <v>0.0</v>
      </c>
      <c r="N58" s="103">
        <v>0.0</v>
      </c>
      <c r="O58" s="103">
        <v>0.0</v>
      </c>
      <c r="P58" s="103">
        <v>0.0</v>
      </c>
      <c r="Q58" s="103">
        <v>0.0</v>
      </c>
      <c r="R58" s="103">
        <v>0.0</v>
      </c>
      <c r="S58" s="103">
        <v>0.0</v>
      </c>
      <c r="T58" s="103">
        <v>0.0</v>
      </c>
      <c r="U58" s="104">
        <f t="shared" si="2"/>
        <v>0</v>
      </c>
      <c r="V58" s="104">
        <f t="shared" si="3"/>
        <v>0</v>
      </c>
      <c r="W58" s="105"/>
    </row>
    <row r="59" ht="15.0" customHeight="1">
      <c r="A59" s="106" t="s">
        <v>26</v>
      </c>
      <c r="B59" s="107" t="s">
        <v>30</v>
      </c>
      <c r="C59" s="107"/>
      <c r="D59" s="109" t="s">
        <v>52</v>
      </c>
      <c r="E59" s="107" t="s">
        <v>82</v>
      </c>
      <c r="F59" s="107" t="s">
        <v>30</v>
      </c>
      <c r="G59" s="185">
        <v>5.0</v>
      </c>
      <c r="H59" s="185">
        <v>1.0</v>
      </c>
      <c r="I59" s="185">
        <v>1.0</v>
      </c>
      <c r="J59" s="185">
        <v>0.0</v>
      </c>
      <c r="K59" s="185">
        <v>0.0</v>
      </c>
      <c r="L59" s="185">
        <v>0.0</v>
      </c>
      <c r="M59" s="185">
        <v>7.0</v>
      </c>
      <c r="N59" s="185">
        <v>0.0</v>
      </c>
      <c r="O59" s="185">
        <v>0.0</v>
      </c>
      <c r="P59" s="185">
        <v>1.0</v>
      </c>
      <c r="Q59" s="185">
        <v>1.0</v>
      </c>
      <c r="R59" s="185">
        <v>0.0</v>
      </c>
      <c r="S59" s="185">
        <v>0.0</v>
      </c>
      <c r="T59" s="185">
        <v>1173.0</v>
      </c>
      <c r="U59" s="104">
        <f t="shared" si="2"/>
        <v>1</v>
      </c>
      <c r="V59" s="104">
        <f t="shared" si="3"/>
        <v>0.2</v>
      </c>
      <c r="W59" s="105"/>
    </row>
    <row r="60" ht="15.0" customHeight="1">
      <c r="A60" s="110" t="s">
        <v>26</v>
      </c>
      <c r="B60" s="111" t="s">
        <v>30</v>
      </c>
      <c r="C60" s="111" t="s">
        <v>83</v>
      </c>
      <c r="D60" s="111" t="s">
        <v>52</v>
      </c>
      <c r="E60" s="111" t="s">
        <v>82</v>
      </c>
      <c r="F60" s="111" t="s">
        <v>83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13" t="s">
        <v>26</v>
      </c>
      <c r="B61" s="114" t="s">
        <v>30</v>
      </c>
      <c r="C61" s="114" t="s">
        <v>83</v>
      </c>
      <c r="D61" s="139"/>
      <c r="E61" s="114" t="s">
        <v>82</v>
      </c>
      <c r="F61" s="114" t="s">
        <v>84</v>
      </c>
      <c r="G61" s="185">
        <v>0.0</v>
      </c>
      <c r="H61" s="185">
        <v>0.0</v>
      </c>
      <c r="I61" s="185">
        <v>0.0</v>
      </c>
      <c r="J61" s="185">
        <v>0.0</v>
      </c>
      <c r="K61" s="185">
        <v>0.0</v>
      </c>
      <c r="L61" s="185">
        <v>0.0</v>
      </c>
      <c r="M61" s="185">
        <v>0.0</v>
      </c>
      <c r="N61" s="185">
        <v>0.0</v>
      </c>
      <c r="O61" s="185">
        <v>0.0</v>
      </c>
      <c r="P61" s="185">
        <v>0.0</v>
      </c>
      <c r="Q61" s="185">
        <v>0.0</v>
      </c>
      <c r="R61" s="185">
        <v>0.0</v>
      </c>
      <c r="S61" s="185">
        <v>0.0</v>
      </c>
      <c r="T61" s="185">
        <v>0.0</v>
      </c>
      <c r="U61" s="104">
        <f t="shared" si="2"/>
        <v>0</v>
      </c>
      <c r="V61" s="104">
        <f t="shared" si="3"/>
        <v>0</v>
      </c>
      <c r="W61" s="105"/>
    </row>
    <row r="62" ht="20.25" customHeight="1">
      <c r="A62" s="93" t="s">
        <v>36</v>
      </c>
      <c r="B62" s="94" t="s">
        <v>37</v>
      </c>
      <c r="C62" s="94" t="s">
        <v>38</v>
      </c>
      <c r="D62" s="95"/>
      <c r="E62" s="96" t="s">
        <v>39</v>
      </c>
      <c r="F62" s="94" t="s">
        <v>40</v>
      </c>
      <c r="G62" s="97" t="s">
        <v>41</v>
      </c>
      <c r="H62" s="97" t="s">
        <v>42</v>
      </c>
      <c r="I62" s="97" t="s">
        <v>43</v>
      </c>
      <c r="J62" s="97" t="s">
        <v>12</v>
      </c>
      <c r="K62" s="97" t="s">
        <v>44</v>
      </c>
      <c r="L62" s="97" t="s">
        <v>14</v>
      </c>
      <c r="M62" s="97" t="s">
        <v>9</v>
      </c>
      <c r="N62" s="97" t="s">
        <v>10</v>
      </c>
      <c r="O62" s="97" t="s">
        <v>45</v>
      </c>
      <c r="P62" s="97" t="s">
        <v>5</v>
      </c>
      <c r="Q62" s="97" t="s">
        <v>46</v>
      </c>
      <c r="R62" s="97" t="s">
        <v>47</v>
      </c>
      <c r="S62" s="97" t="s">
        <v>48</v>
      </c>
      <c r="T62" s="97" t="s">
        <v>0</v>
      </c>
      <c r="U62" s="96" t="s">
        <v>49</v>
      </c>
      <c r="V62" s="96" t="s">
        <v>50</v>
      </c>
      <c r="W62" s="98"/>
    </row>
    <row r="63" ht="12.75" customHeight="1">
      <c r="A63" s="140" t="s">
        <v>31</v>
      </c>
      <c r="B63" s="141"/>
      <c r="C63" s="141"/>
      <c r="D63" s="142" t="s">
        <v>52</v>
      </c>
      <c r="E63" s="102" t="s">
        <v>85</v>
      </c>
      <c r="F63" s="102" t="s">
        <v>31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ref="U63:U67" si="4">IFERROR(I63/H63,0)</f>
        <v>0</v>
      </c>
      <c r="V63" s="104">
        <f t="shared" ref="V63:V67" si="5">IFERROR(SUM(H63+L63)/G63,0)</f>
        <v>0</v>
      </c>
      <c r="W63" s="105"/>
    </row>
    <row r="64" ht="12.75" customHeight="1">
      <c r="A64" s="143" t="s">
        <v>31</v>
      </c>
      <c r="B64" s="144"/>
      <c r="C64" s="127" t="s">
        <v>86</v>
      </c>
      <c r="D64" s="127" t="s">
        <v>52</v>
      </c>
      <c r="E64" s="127"/>
      <c r="F64" s="127" t="s">
        <v>86</v>
      </c>
      <c r="G64" s="185">
        <v>2.0</v>
      </c>
      <c r="H64" s="185">
        <v>1.0</v>
      </c>
      <c r="I64" s="185">
        <v>1.0</v>
      </c>
      <c r="J64" s="185">
        <v>0.0</v>
      </c>
      <c r="K64" s="185">
        <v>0.0</v>
      </c>
      <c r="L64" s="185">
        <v>0.0</v>
      </c>
      <c r="M64" s="185">
        <v>7.0</v>
      </c>
      <c r="N64" s="185">
        <v>0.0</v>
      </c>
      <c r="O64" s="185">
        <v>0.0</v>
      </c>
      <c r="P64" s="185">
        <v>0.0</v>
      </c>
      <c r="Q64" s="185">
        <v>0.0</v>
      </c>
      <c r="R64" s="185">
        <v>1.0</v>
      </c>
      <c r="S64" s="185">
        <v>1.0</v>
      </c>
      <c r="T64" s="185">
        <v>1852.0</v>
      </c>
      <c r="U64" s="145">
        <f t="shared" si="4"/>
        <v>1</v>
      </c>
      <c r="V64" s="145">
        <f t="shared" si="5"/>
        <v>0.5</v>
      </c>
      <c r="W64" s="146"/>
    </row>
    <row r="65" ht="12.75" customHeight="1">
      <c r="A65" s="147" t="s">
        <v>31</v>
      </c>
      <c r="B65" s="148"/>
      <c r="C65" s="120" t="s">
        <v>86</v>
      </c>
      <c r="D65" s="117"/>
      <c r="E65" s="120"/>
      <c r="F65" s="120" t="s">
        <v>87</v>
      </c>
      <c r="G65" s="185">
        <v>2.0</v>
      </c>
      <c r="H65" s="185">
        <v>0.0</v>
      </c>
      <c r="I65" s="185">
        <v>0.0</v>
      </c>
      <c r="J65" s="185">
        <v>0.0</v>
      </c>
      <c r="K65" s="185">
        <v>0.0</v>
      </c>
      <c r="L65" s="185">
        <v>0.0</v>
      </c>
      <c r="M65" s="185">
        <v>0.0</v>
      </c>
      <c r="N65" s="185">
        <v>0.0</v>
      </c>
      <c r="O65" s="185">
        <v>0.0</v>
      </c>
      <c r="P65" s="185">
        <v>0.0</v>
      </c>
      <c r="Q65" s="185">
        <v>0.0</v>
      </c>
      <c r="R65" s="185">
        <v>0.0</v>
      </c>
      <c r="S65" s="103"/>
      <c r="T65" s="185">
        <v>0.0</v>
      </c>
      <c r="U65" s="145">
        <f t="shared" si="4"/>
        <v>0</v>
      </c>
      <c r="V65" s="145">
        <f t="shared" si="5"/>
        <v>0</v>
      </c>
      <c r="W65" s="146"/>
    </row>
    <row r="66" ht="12.75" customHeight="1">
      <c r="A66" s="149" t="s">
        <v>31</v>
      </c>
      <c r="B66" s="150"/>
      <c r="C66" s="151" t="s">
        <v>88</v>
      </c>
      <c r="D66" s="151"/>
      <c r="E66" s="151"/>
      <c r="F66" s="151" t="s">
        <v>88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5">
        <f t="shared" si="4"/>
        <v>0</v>
      </c>
      <c r="V66" s="145">
        <f t="shared" si="5"/>
        <v>0</v>
      </c>
      <c r="W66" s="146"/>
    </row>
    <row r="67" ht="12.75" customHeight="1">
      <c r="A67" s="152" t="s">
        <v>31</v>
      </c>
      <c r="B67" s="153"/>
      <c r="C67" s="154" t="s">
        <v>88</v>
      </c>
      <c r="D67" s="151"/>
      <c r="E67" s="154" t="s">
        <v>89</v>
      </c>
      <c r="F67" s="154" t="s">
        <v>90</v>
      </c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45">
        <f t="shared" si="4"/>
        <v>0</v>
      </c>
      <c r="V67" s="145">
        <f t="shared" si="5"/>
        <v>0</v>
      </c>
      <c r="W67" s="146"/>
    </row>
    <row r="68" ht="20.25" customHeight="1">
      <c r="A68" s="93" t="s">
        <v>36</v>
      </c>
      <c r="B68" s="94" t="s">
        <v>37</v>
      </c>
      <c r="C68" s="94" t="s">
        <v>38</v>
      </c>
      <c r="D68" s="95"/>
      <c r="E68" s="96" t="s">
        <v>39</v>
      </c>
      <c r="F68" s="94" t="s">
        <v>40</v>
      </c>
      <c r="G68" s="97" t="s">
        <v>41</v>
      </c>
      <c r="H68" s="97" t="s">
        <v>42</v>
      </c>
      <c r="I68" s="97" t="s">
        <v>43</v>
      </c>
      <c r="J68" s="97" t="s">
        <v>12</v>
      </c>
      <c r="K68" s="97" t="s">
        <v>44</v>
      </c>
      <c r="L68" s="97" t="s">
        <v>14</v>
      </c>
      <c r="M68" s="97" t="s">
        <v>9</v>
      </c>
      <c r="N68" s="97" t="s">
        <v>10</v>
      </c>
      <c r="O68" s="97" t="s">
        <v>45</v>
      </c>
      <c r="P68" s="97" t="s">
        <v>5</v>
      </c>
      <c r="Q68" s="97" t="s">
        <v>46</v>
      </c>
      <c r="R68" s="97" t="s">
        <v>47</v>
      </c>
      <c r="S68" s="97" t="s">
        <v>48</v>
      </c>
      <c r="T68" s="97" t="s">
        <v>0</v>
      </c>
      <c r="U68" s="96" t="s">
        <v>49</v>
      </c>
      <c r="V68" s="96" t="s">
        <v>50</v>
      </c>
      <c r="W68" s="98"/>
    </row>
    <row r="69" ht="13.5" customHeight="1">
      <c r="A69" s="155" t="s">
        <v>32</v>
      </c>
      <c r="B69" s="156"/>
      <c r="C69" s="157"/>
      <c r="D69" s="158" t="s">
        <v>52</v>
      </c>
      <c r="E69" s="156" t="s">
        <v>91</v>
      </c>
      <c r="F69" s="156" t="s">
        <v>32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4">
        <f t="shared" ref="U69:U78" si="6">IFERROR(I69/H69,0)</f>
        <v>0</v>
      </c>
      <c r="V69" s="104">
        <f t="shared" ref="V69:V78" si="7">IFERROR(SUM(H69+L69)/G69,0)</f>
        <v>0</v>
      </c>
      <c r="W69" s="105"/>
    </row>
    <row r="70" ht="13.5" customHeight="1">
      <c r="A70" s="114" t="s">
        <v>32</v>
      </c>
      <c r="B70" s="114"/>
      <c r="C70" s="159"/>
      <c r="D70" s="134"/>
      <c r="E70" s="114" t="s">
        <v>91</v>
      </c>
      <c r="F70" s="114" t="s">
        <v>92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91</v>
      </c>
      <c r="F71" s="114" t="s">
        <v>93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91</v>
      </c>
      <c r="F72" s="114" t="s">
        <v>94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91</v>
      </c>
      <c r="F73" s="114" t="s">
        <v>95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91</v>
      </c>
      <c r="F74" s="114" t="s">
        <v>96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91</v>
      </c>
      <c r="F75" s="114" t="s">
        <v>97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91</v>
      </c>
      <c r="F76" s="114" t="s">
        <v>98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14" t="s">
        <v>32</v>
      </c>
      <c r="B77" s="114"/>
      <c r="C77" s="114"/>
      <c r="D77" s="160"/>
      <c r="E77" s="114" t="s">
        <v>91</v>
      </c>
      <c r="F77" s="114" t="s">
        <v>99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14" t="s">
        <v>32</v>
      </c>
      <c r="B78" s="114"/>
      <c r="C78" s="114"/>
      <c r="D78" s="160"/>
      <c r="E78" s="114" t="s">
        <v>91</v>
      </c>
      <c r="F78" s="114" t="s">
        <v>100</v>
      </c>
      <c r="G78" s="185">
        <v>1.0</v>
      </c>
      <c r="H78" s="185">
        <v>0.0</v>
      </c>
      <c r="I78" s="185">
        <v>0.0</v>
      </c>
      <c r="J78" s="185">
        <v>0.0</v>
      </c>
      <c r="K78" s="185">
        <v>0.0</v>
      </c>
      <c r="L78" s="185">
        <v>0.0</v>
      </c>
      <c r="M78" s="185">
        <v>0.0</v>
      </c>
      <c r="N78" s="185">
        <v>0.0</v>
      </c>
      <c r="O78" s="185">
        <v>0.0</v>
      </c>
      <c r="P78" s="185">
        <v>0.0</v>
      </c>
      <c r="Q78" s="185">
        <v>0.0</v>
      </c>
      <c r="R78" s="185">
        <v>0.0</v>
      </c>
      <c r="S78" s="185">
        <v>0.0</v>
      </c>
      <c r="T78" s="185">
        <v>0.0</v>
      </c>
      <c r="U78" s="104">
        <f t="shared" si="6"/>
        <v>0</v>
      </c>
      <c r="V78" s="104">
        <f t="shared" si="7"/>
        <v>0</v>
      </c>
      <c r="W78" s="105"/>
    </row>
    <row r="79" ht="20.25" customHeight="1">
      <c r="A79" s="93" t="s">
        <v>36</v>
      </c>
      <c r="B79" s="94" t="s">
        <v>37</v>
      </c>
      <c r="C79" s="94" t="s">
        <v>38</v>
      </c>
      <c r="D79" s="95"/>
      <c r="E79" s="96" t="s">
        <v>39</v>
      </c>
      <c r="F79" s="94" t="s">
        <v>40</v>
      </c>
      <c r="G79" s="97" t="s">
        <v>41</v>
      </c>
      <c r="H79" s="97" t="s">
        <v>42</v>
      </c>
      <c r="I79" s="97" t="s">
        <v>43</v>
      </c>
      <c r="J79" s="97" t="s">
        <v>12</v>
      </c>
      <c r="K79" s="97" t="s">
        <v>44</v>
      </c>
      <c r="L79" s="97" t="s">
        <v>14</v>
      </c>
      <c r="M79" s="97" t="s">
        <v>9</v>
      </c>
      <c r="N79" s="97" t="s">
        <v>10</v>
      </c>
      <c r="O79" s="97" t="s">
        <v>45</v>
      </c>
      <c r="P79" s="97" t="s">
        <v>5</v>
      </c>
      <c r="Q79" s="97" t="s">
        <v>46</v>
      </c>
      <c r="R79" s="97" t="s">
        <v>47</v>
      </c>
      <c r="S79" s="97" t="s">
        <v>48</v>
      </c>
      <c r="T79" s="97" t="s">
        <v>0</v>
      </c>
      <c r="U79" s="96" t="s">
        <v>49</v>
      </c>
      <c r="V79" s="96" t="s">
        <v>50</v>
      </c>
      <c r="W79" s="98"/>
    </row>
    <row r="80" ht="12.75" customHeight="1">
      <c r="A80" s="161" t="s">
        <v>33</v>
      </c>
      <c r="B80" s="161"/>
      <c r="C80" s="161"/>
      <c r="D80" s="162" t="s">
        <v>52</v>
      </c>
      <c r="E80" s="161" t="s">
        <v>101</v>
      </c>
      <c r="F80" s="161" t="s">
        <v>33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ref="U80:U84" si="8">IFERROR(I80/H80,0)</f>
        <v>0</v>
      </c>
      <c r="V80" s="104">
        <f t="shared" ref="V80:V84" si="9">IFERROR(SUM(H80+L80)/G80,0)</f>
        <v>0</v>
      </c>
      <c r="W80" s="105"/>
    </row>
    <row r="81" ht="12.75" customHeight="1">
      <c r="A81" s="163" t="s">
        <v>33</v>
      </c>
      <c r="B81" s="164"/>
      <c r="C81" s="164"/>
      <c r="D81" s="101"/>
      <c r="E81" s="126" t="s">
        <v>76</v>
      </c>
      <c r="F81" s="126" t="s">
        <v>102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8"/>
        <v>0</v>
      </c>
      <c r="V81" s="104">
        <f t="shared" si="9"/>
        <v>0</v>
      </c>
      <c r="W81" s="105"/>
    </row>
    <row r="82" ht="12.75" customHeight="1">
      <c r="A82" s="165" t="s">
        <v>33</v>
      </c>
      <c r="B82" s="165"/>
      <c r="C82" s="128" t="s">
        <v>103</v>
      </c>
      <c r="D82" s="129" t="s">
        <v>52</v>
      </c>
      <c r="E82" s="117" t="s">
        <v>59</v>
      </c>
      <c r="F82" s="128" t="s">
        <v>103</v>
      </c>
      <c r="G82" s="185">
        <v>0.0</v>
      </c>
      <c r="H82" s="185">
        <v>0.0</v>
      </c>
      <c r="I82" s="185">
        <v>0.0</v>
      </c>
      <c r="J82" s="185">
        <v>0.0</v>
      </c>
      <c r="K82" s="185">
        <v>0.0</v>
      </c>
      <c r="L82" s="185">
        <v>0.0</v>
      </c>
      <c r="M82" s="185">
        <v>0.0</v>
      </c>
      <c r="N82" s="185">
        <v>0.0</v>
      </c>
      <c r="O82" s="185">
        <v>0.0</v>
      </c>
      <c r="P82" s="185">
        <v>0.0</v>
      </c>
      <c r="Q82" s="185">
        <v>0.0</v>
      </c>
      <c r="R82" s="185">
        <v>0.0</v>
      </c>
      <c r="S82" s="185">
        <v>0.0</v>
      </c>
      <c r="T82" s="185">
        <v>0.0</v>
      </c>
      <c r="U82" s="104">
        <f t="shared" si="8"/>
        <v>0</v>
      </c>
      <c r="V82" s="104">
        <f t="shared" si="9"/>
        <v>0</v>
      </c>
      <c r="W82" s="105"/>
    </row>
    <row r="83" ht="12.75" customHeight="1">
      <c r="A83" s="161" t="s">
        <v>33</v>
      </c>
      <c r="B83" s="161"/>
      <c r="C83" s="111" t="s">
        <v>104</v>
      </c>
      <c r="D83" s="112" t="s">
        <v>52</v>
      </c>
      <c r="E83" s="111" t="s">
        <v>105</v>
      </c>
      <c r="F83" s="111" t="s">
        <v>104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8"/>
        <v>0</v>
      </c>
      <c r="V83" s="104">
        <f t="shared" si="9"/>
        <v>0</v>
      </c>
      <c r="W83" s="105"/>
    </row>
    <row r="84" ht="12.75" customHeight="1">
      <c r="A84" s="163" t="s">
        <v>33</v>
      </c>
      <c r="B84" s="163"/>
      <c r="C84" s="114" t="s">
        <v>104</v>
      </c>
      <c r="D84" s="115"/>
      <c r="E84" s="114" t="s">
        <v>59</v>
      </c>
      <c r="F84" s="114" t="s">
        <v>106</v>
      </c>
      <c r="G84" s="185">
        <v>0.0</v>
      </c>
      <c r="H84" s="185">
        <v>0.0</v>
      </c>
      <c r="I84" s="185">
        <v>0.0</v>
      </c>
      <c r="J84" s="185">
        <v>0.0</v>
      </c>
      <c r="K84" s="185">
        <v>0.0</v>
      </c>
      <c r="L84" s="185">
        <v>0.0</v>
      </c>
      <c r="M84" s="185">
        <v>0.0</v>
      </c>
      <c r="N84" s="185">
        <v>0.0</v>
      </c>
      <c r="O84" s="185">
        <v>0.0</v>
      </c>
      <c r="P84" s="185">
        <v>0.0</v>
      </c>
      <c r="Q84" s="185">
        <v>0.0</v>
      </c>
      <c r="R84" s="185">
        <v>0.0</v>
      </c>
      <c r="S84" s="185">
        <v>0.0</v>
      </c>
      <c r="T84" s="185">
        <v>0.0</v>
      </c>
      <c r="U84" s="104">
        <f t="shared" si="8"/>
        <v>0</v>
      </c>
      <c r="V84" s="104">
        <f t="shared" si="9"/>
        <v>0</v>
      </c>
      <c r="W84" s="105"/>
    </row>
    <row r="85" ht="20.25" customHeight="1">
      <c r="A85" s="93" t="s">
        <v>36</v>
      </c>
      <c r="B85" s="94" t="s">
        <v>37</v>
      </c>
      <c r="C85" s="94" t="s">
        <v>38</v>
      </c>
      <c r="D85" s="95"/>
      <c r="E85" s="96" t="s">
        <v>39</v>
      </c>
      <c r="F85" s="94" t="s">
        <v>40</v>
      </c>
      <c r="G85" s="97" t="s">
        <v>41</v>
      </c>
      <c r="H85" s="97" t="s">
        <v>42</v>
      </c>
      <c r="I85" s="97" t="s">
        <v>43</v>
      </c>
      <c r="J85" s="97" t="s">
        <v>12</v>
      </c>
      <c r="K85" s="97" t="s">
        <v>44</v>
      </c>
      <c r="L85" s="97" t="s">
        <v>14</v>
      </c>
      <c r="M85" s="97" t="s">
        <v>9</v>
      </c>
      <c r="N85" s="97" t="s">
        <v>10</v>
      </c>
      <c r="O85" s="97" t="s">
        <v>45</v>
      </c>
      <c r="P85" s="97" t="s">
        <v>5</v>
      </c>
      <c r="Q85" s="97" t="s">
        <v>46</v>
      </c>
      <c r="R85" s="97" t="s">
        <v>47</v>
      </c>
      <c r="S85" s="97" t="s">
        <v>48</v>
      </c>
      <c r="T85" s="97" t="s">
        <v>0</v>
      </c>
      <c r="U85" s="96" t="s">
        <v>49</v>
      </c>
      <c r="V85" s="96" t="s">
        <v>50</v>
      </c>
      <c r="W85" s="98"/>
    </row>
    <row r="86" ht="13.5" customHeight="1">
      <c r="A86" s="166" t="s">
        <v>34</v>
      </c>
      <c r="B86" s="167"/>
      <c r="C86" s="167"/>
      <c r="D86" s="166" t="s">
        <v>52</v>
      </c>
      <c r="E86" s="166" t="s">
        <v>58</v>
      </c>
      <c r="F86" s="166" t="s">
        <v>34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ref="U86:U102" si="10">IFERROR(I86/H86,0)</f>
        <v>0</v>
      </c>
      <c r="V86" s="104">
        <f t="shared" ref="V86:V102" si="11">IFERROR(SUM(H86+L86)/G86,0)</f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59</v>
      </c>
      <c r="F87" s="168" t="s">
        <v>107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0"/>
        <v>0</v>
      </c>
      <c r="V87" s="104">
        <f t="shared" si="11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58</v>
      </c>
      <c r="F88" s="168" t="s">
        <v>108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76</v>
      </c>
      <c r="F89" s="168" t="s">
        <v>109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68" t="s">
        <v>34</v>
      </c>
      <c r="B90" s="167"/>
      <c r="C90" s="167"/>
      <c r="D90" s="167"/>
      <c r="E90" s="168" t="s">
        <v>62</v>
      </c>
      <c r="F90" s="168" t="s">
        <v>110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68" t="s">
        <v>34</v>
      </c>
      <c r="B91" s="167"/>
      <c r="C91" s="167"/>
      <c r="D91" s="167"/>
      <c r="E91" s="168" t="s">
        <v>58</v>
      </c>
      <c r="F91" s="168" t="s">
        <v>111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112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113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9" t="s">
        <v>34</v>
      </c>
      <c r="B95" s="170"/>
      <c r="C95" s="169"/>
      <c r="D95" s="170"/>
      <c r="E95" s="169"/>
      <c r="F95" s="169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9" t="s">
        <v>34</v>
      </c>
      <c r="B96" s="170"/>
      <c r="C96" s="169"/>
      <c r="D96" s="170"/>
      <c r="E96" s="169"/>
      <c r="F96" s="169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71" t="s">
        <v>34</v>
      </c>
      <c r="B97" s="172"/>
      <c r="C97" s="171" t="s">
        <v>117</v>
      </c>
      <c r="D97" s="173" t="s">
        <v>52</v>
      </c>
      <c r="E97" s="171" t="s">
        <v>105</v>
      </c>
      <c r="F97" s="171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74" t="s">
        <v>34</v>
      </c>
      <c r="B98" s="175"/>
      <c r="C98" s="174" t="s">
        <v>117</v>
      </c>
      <c r="D98" s="175"/>
      <c r="E98" s="174" t="s">
        <v>118</v>
      </c>
      <c r="F98" s="174" t="s">
        <v>119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74" t="s">
        <v>34</v>
      </c>
      <c r="B99" s="175"/>
      <c r="C99" s="174" t="s">
        <v>117</v>
      </c>
      <c r="D99" s="175"/>
      <c r="E99" s="174" t="s">
        <v>120</v>
      </c>
      <c r="F99" s="174" t="s">
        <v>121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74" t="s">
        <v>34</v>
      </c>
      <c r="B100" s="175"/>
      <c r="C100" s="174" t="s">
        <v>117</v>
      </c>
      <c r="D100" s="175"/>
      <c r="E100" s="174"/>
      <c r="F100" s="174" t="s">
        <v>119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6" t="s">
        <v>34</v>
      </c>
      <c r="B101" s="176"/>
      <c r="C101" s="166" t="s">
        <v>122</v>
      </c>
      <c r="D101" s="166" t="s">
        <v>52</v>
      </c>
      <c r="E101" s="166" t="s">
        <v>123</v>
      </c>
      <c r="F101" s="166" t="s">
        <v>122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9" t="s">
        <v>34</v>
      </c>
      <c r="B102" s="170"/>
      <c r="C102" s="169" t="s">
        <v>122</v>
      </c>
      <c r="D102" s="170"/>
      <c r="E102" s="169"/>
      <c r="F102" s="169" t="s">
        <v>124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20.25" customHeight="1">
      <c r="A103" s="93" t="s">
        <v>36</v>
      </c>
      <c r="B103" s="94" t="s">
        <v>37</v>
      </c>
      <c r="C103" s="94" t="s">
        <v>38</v>
      </c>
      <c r="D103" s="95"/>
      <c r="E103" s="96" t="s">
        <v>39</v>
      </c>
      <c r="F103" s="94" t="s">
        <v>40</v>
      </c>
      <c r="G103" s="97" t="s">
        <v>41</v>
      </c>
      <c r="H103" s="97" t="s">
        <v>42</v>
      </c>
      <c r="I103" s="97" t="s">
        <v>43</v>
      </c>
      <c r="J103" s="97" t="s">
        <v>12</v>
      </c>
      <c r="K103" s="97" t="s">
        <v>44</v>
      </c>
      <c r="L103" s="97" t="s">
        <v>14</v>
      </c>
      <c r="M103" s="97" t="s">
        <v>9</v>
      </c>
      <c r="N103" s="97" t="s">
        <v>10</v>
      </c>
      <c r="O103" s="97" t="s">
        <v>45</v>
      </c>
      <c r="P103" s="97" t="s">
        <v>5</v>
      </c>
      <c r="Q103" s="97" t="s">
        <v>46</v>
      </c>
      <c r="R103" s="97" t="s">
        <v>47</v>
      </c>
      <c r="S103" s="97" t="s">
        <v>48</v>
      </c>
      <c r="T103" s="97" t="s">
        <v>0</v>
      </c>
      <c r="U103" s="96" t="s">
        <v>49</v>
      </c>
      <c r="V103" s="96" t="s">
        <v>50</v>
      </c>
      <c r="W103" s="98"/>
    </row>
    <row r="104" ht="20.25" customHeight="1">
      <c r="A104" s="111" t="s">
        <v>35</v>
      </c>
      <c r="B104" s="160"/>
      <c r="C104" s="111"/>
      <c r="D104" s="111" t="s">
        <v>52</v>
      </c>
      <c r="E104" s="111" t="s">
        <v>59</v>
      </c>
      <c r="F104" s="111" t="s">
        <v>35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45">
        <f t="shared" ref="U104:U105" si="12">IFERROR(I104/H104,0)</f>
        <v>0</v>
      </c>
      <c r="V104" s="145">
        <f t="shared" ref="V104:V105" si="13">IFERROR(SUM(H104+L104)/G104,0)</f>
        <v>0</v>
      </c>
      <c r="W104" s="146"/>
    </row>
    <row r="105" ht="20.25" customHeight="1">
      <c r="A105" s="117" t="s">
        <v>35</v>
      </c>
      <c r="B105" s="136"/>
      <c r="C105" s="117" t="s">
        <v>125</v>
      </c>
      <c r="D105" s="117" t="s">
        <v>52</v>
      </c>
      <c r="E105" s="117"/>
      <c r="F105" s="117" t="s">
        <v>125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45">
        <f t="shared" si="12"/>
        <v>0</v>
      </c>
      <c r="V105" s="145">
        <f t="shared" si="13"/>
        <v>0</v>
      </c>
      <c r="W105" s="146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77"/>
      <c r="B618" s="177"/>
      <c r="C618" s="177"/>
      <c r="D618" s="1"/>
      <c r="E618" s="177"/>
      <c r="F618" s="178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80"/>
      <c r="V618" s="180"/>
      <c r="W618" s="180"/>
    </row>
    <row r="619" ht="12.75" customHeight="1">
      <c r="A619" s="177"/>
      <c r="B619" s="177"/>
      <c r="C619" s="177"/>
      <c r="D619" s="1"/>
      <c r="E619" s="177"/>
      <c r="F619" s="178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80"/>
      <c r="V619" s="180"/>
      <c r="W619" s="180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1428</v>
      </c>
      <c r="D2" s="10"/>
      <c r="E2" s="11">
        <f t="shared" ref="E2:R2" si="1">SUM(E5,E20,E23,E26,E29,E32)</f>
        <v>0</v>
      </c>
      <c r="F2" s="11">
        <f t="shared" si="1"/>
        <v>5</v>
      </c>
      <c r="G2" s="11">
        <f t="shared" si="1"/>
        <v>5</v>
      </c>
      <c r="H2" s="11">
        <f t="shared" si="1"/>
        <v>1</v>
      </c>
      <c r="I2" s="11">
        <f t="shared" si="1"/>
        <v>0</v>
      </c>
      <c r="J2" s="11">
        <f t="shared" si="1"/>
        <v>0</v>
      </c>
      <c r="K2" s="11">
        <f t="shared" si="1"/>
        <v>2</v>
      </c>
      <c r="L2" s="11">
        <f t="shared" si="1"/>
        <v>1</v>
      </c>
      <c r="M2" s="11">
        <f t="shared" si="1"/>
        <v>19</v>
      </c>
      <c r="N2" s="11">
        <f t="shared" si="1"/>
        <v>4</v>
      </c>
      <c r="O2" s="11">
        <f t="shared" si="1"/>
        <v>1</v>
      </c>
      <c r="P2" s="11">
        <f t="shared" si="1"/>
        <v>4</v>
      </c>
      <c r="Q2" s="11">
        <f t="shared" si="1"/>
        <v>1</v>
      </c>
      <c r="R2" s="11">
        <f t="shared" si="1"/>
        <v>3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64</v>
      </c>
      <c r="D4" s="22"/>
      <c r="E4" s="23">
        <f>IFERROR(C2/H2,0)</f>
        <v>1428</v>
      </c>
      <c r="F4" s="24">
        <f>IFERROR((G2+R2)/F2,0)</f>
        <v>1.6</v>
      </c>
      <c r="G4" s="24">
        <f>IFERROR(H2/G2,0)</f>
        <v>0.2</v>
      </c>
      <c r="H4" s="23">
        <f>(C2/C4)</f>
        <v>22.3125</v>
      </c>
      <c r="I4" s="25"/>
      <c r="J4" s="24">
        <f>IFERROR(J2/I2,0)</f>
        <v>0</v>
      </c>
      <c r="K4" s="25"/>
      <c r="L4" s="24">
        <f>IFERROR(L2/K2,0)</f>
        <v>0.5</v>
      </c>
      <c r="M4" s="26">
        <f>IFERROR(M2/G2,0)</f>
        <v>3.8</v>
      </c>
      <c r="N4" s="25"/>
      <c r="O4" s="24">
        <f>IFERROR(O2/N2,0)</f>
        <v>0.25</v>
      </c>
      <c r="P4" s="26"/>
      <c r="Q4" s="24">
        <f>IFERROR(Q2/P2,0)</f>
        <v>0.25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1428</v>
      </c>
      <c r="D5" s="31"/>
      <c r="E5" s="32">
        <f>SUMIFS(T:T,A:A,B5,D:D,"Y")</f>
        <v>0</v>
      </c>
      <c r="F5" s="11">
        <f>SUMIF(A:A,B5,G:G)</f>
        <v>4</v>
      </c>
      <c r="G5" s="11">
        <f>SUMIF(A:A,B5,H:H)</f>
        <v>4</v>
      </c>
      <c r="H5" s="11">
        <f>SUMIF(A:A,B5,I:I)</f>
        <v>1</v>
      </c>
      <c r="I5" s="11">
        <f>SUMIF(A:A,B5,P:P)</f>
        <v>0</v>
      </c>
      <c r="J5" s="11">
        <f>SUMIF(A:A,B5,Q:Q)</f>
        <v>0</v>
      </c>
      <c r="K5" s="11">
        <f>SUMIF(A:A,B5,R:R)</f>
        <v>2</v>
      </c>
      <c r="L5" s="11">
        <f>SUMIF(A:A,B5,S:S)</f>
        <v>1</v>
      </c>
      <c r="M5" s="11">
        <f>SUMIF(A:A,B5,M:M)</f>
        <v>18</v>
      </c>
      <c r="N5" s="11">
        <f>SUMIF(A:A,B5,N:N)</f>
        <v>3</v>
      </c>
      <c r="O5" s="11">
        <f>SUMIF(A:A,B5,O:O)</f>
        <v>0</v>
      </c>
      <c r="P5" s="11">
        <f>SUMIF(A:A,B5,J:J)</f>
        <v>3</v>
      </c>
      <c r="Q5" s="11">
        <f>SUMIF(A:A,B5,K:K)</f>
        <v>1</v>
      </c>
      <c r="R5" s="33">
        <f>SUMIF(A:A,B5,L:L)</f>
        <v>3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25</v>
      </c>
      <c r="D7" s="39"/>
      <c r="E7" s="40">
        <f>IFERROR(C5/H5,0)</f>
        <v>1428</v>
      </c>
      <c r="F7" s="41">
        <f>IFERROR((G5+R5)/F5,0)</f>
        <v>1.75</v>
      </c>
      <c r="G7" s="41">
        <f>IFERROR(H5/G5,0)</f>
        <v>0.25</v>
      </c>
      <c r="H7" s="40">
        <f>(C5/C7)</f>
        <v>57.12</v>
      </c>
      <c r="I7" s="42"/>
      <c r="J7" s="41">
        <f>IFERROR(J5/I5,0)</f>
        <v>0</v>
      </c>
      <c r="K7" s="42"/>
      <c r="L7" s="41">
        <f>IFERROR(L5/K5,0)</f>
        <v>0.5</v>
      </c>
      <c r="M7" s="43">
        <f>IFERROR(M5/SUM(R5+G5,0),"")</f>
        <v>2.571428571</v>
      </c>
      <c r="N7" s="42"/>
      <c r="O7" s="41">
        <f>IFERROR(O5/N5,0)</f>
        <v>0</v>
      </c>
      <c r="P7" s="43"/>
      <c r="Q7" s="41">
        <f>IFERROR(Q5/P5,0)</f>
        <v>0.3333333333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SUMIF(B37:B1137,B8,G37:G1137)</f>
        <v>1</v>
      </c>
      <c r="G8" s="50">
        <f>SUMIF(B37:B1137,B8,H37:H1137)</f>
        <v>1</v>
      </c>
      <c r="H8" s="50">
        <f>SUMIF(B37:B1137,B8,I37:I1137)</f>
        <v>0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1</v>
      </c>
      <c r="L8" s="50">
        <f>SUMIF(B37:B1137,B8,S37:S1137)</f>
        <v>0</v>
      </c>
      <c r="M8" s="50">
        <f>SUMIF(B37:B1137,B8,M37:M1137)</f>
        <v>5</v>
      </c>
      <c r="N8" s="50">
        <f>SUMIF(B37:B1137,B8,N37:N1137)</f>
        <v>0</v>
      </c>
      <c r="O8" s="50">
        <f>SUMIF(B37:B1137,B8,O37:O1137)</f>
        <v>0</v>
      </c>
      <c r="P8" s="50">
        <f>SUMIF(B37:B1137,B8,J37:J1137)</f>
        <v>1</v>
      </c>
      <c r="Q8" s="50">
        <f>SUMIF(B37:B1137,B8,K37:K1137)</f>
        <v>0</v>
      </c>
      <c r="R8" s="51">
        <f>SUMIF(B37:B1137,B8,L37:L1137)</f>
        <v>0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0</v>
      </c>
      <c r="F10" s="24">
        <f>IFERROR((G8+R8)/F8,0)</f>
        <v>1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IFERROR(M8/SUM(G8+R8,0),"")</f>
        <v>5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1428</v>
      </c>
      <c r="D11" s="60"/>
      <c r="E11" s="48">
        <f>SUMIFS(T:T,B:B,B11,D:D,"Y")</f>
        <v>0</v>
      </c>
      <c r="F11" s="49">
        <f>SUMIF(B39:B1137,B11,G39:G1137)</f>
        <v>1</v>
      </c>
      <c r="G11" s="50">
        <f>SUMIF(B39:B1137,B11,H39:H1137)</f>
        <v>2</v>
      </c>
      <c r="H11" s="50">
        <f>SUMIF(B39:B1137,B11,I39:I1137)</f>
        <v>1</v>
      </c>
      <c r="I11" s="50">
        <f>SUMIF(B39:B1137,B11,P39:P1137)</f>
        <v>0</v>
      </c>
      <c r="J11" s="50">
        <f>SUMIF(B39:B1137,B11,Q39:Q1137)</f>
        <v>0</v>
      </c>
      <c r="K11" s="50">
        <f>SUMIF(B39:B1137,B11,R39:R1137)</f>
        <v>1</v>
      </c>
      <c r="L11" s="50">
        <f>SUMIF(B39:B1137,B11,S39:S1137)</f>
        <v>1</v>
      </c>
      <c r="M11" s="50">
        <f>SUMIF(B39:B1137,B11,M39:M1137)</f>
        <v>8</v>
      </c>
      <c r="N11" s="50">
        <f>SUMIF(B39:B1137,B11,N39:N1137)</f>
        <v>1</v>
      </c>
      <c r="O11" s="50">
        <f>SUMIF(B39:B1137,B11,O39:O1137)</f>
        <v>0</v>
      </c>
      <c r="P11" s="50">
        <f>SUMIF(B39:B1137,B11,J39:J1137)</f>
        <v>1</v>
      </c>
      <c r="Q11" s="50">
        <f>SUMIF(B39:B1137,B11,K39:K1137)</f>
        <v>1</v>
      </c>
      <c r="R11" s="51">
        <f>SUMIF(B39:B1137,B11,L39:L1137)</f>
        <v>0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8</v>
      </c>
      <c r="D13" s="56"/>
      <c r="E13" s="23">
        <f>IFERROR(C11/H11,0)</f>
        <v>1428</v>
      </c>
      <c r="F13" s="24">
        <f>IFERROR((G11+R11)/F11,0)</f>
        <v>2</v>
      </c>
      <c r="G13" s="24">
        <f>IFERROR(H11/G11,0)</f>
        <v>0.5</v>
      </c>
      <c r="H13" s="23">
        <f>(C11/C13)</f>
        <v>178.5</v>
      </c>
      <c r="I13" s="25"/>
      <c r="J13" s="24">
        <f>IFERROR(J11/I11,0)</f>
        <v>0</v>
      </c>
      <c r="K13" s="25"/>
      <c r="L13" s="24">
        <f>IFERROR(L11/K11,0)</f>
        <v>1</v>
      </c>
      <c r="M13" s="26">
        <f>IFERROR(M11/SUM(R11+G11,0),"")</f>
        <v>4</v>
      </c>
      <c r="N13" s="25"/>
      <c r="O13" s="24">
        <f>IFERROR(O11/N11,0)</f>
        <v>0</v>
      </c>
      <c r="P13" s="26"/>
      <c r="Q13" s="24">
        <f>IFERROR(Q11/P11,0)</f>
        <v>1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0</v>
      </c>
      <c r="D14" s="60"/>
      <c r="E14" s="48">
        <f>SUMIFS(T:T,B:B,B14,D:D,"Y")</f>
        <v>0</v>
      </c>
      <c r="F14" s="49">
        <f>SUMIF(B39:B1137,B14,G39:G1137)</f>
        <v>2</v>
      </c>
      <c r="G14" s="50">
        <f>SUMIF(B39:B1137,B14,H39:H1137)</f>
        <v>1</v>
      </c>
      <c r="H14" s="50">
        <f>SUMIF(B39:B1137,B14,I39:I1137)</f>
        <v>0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0</v>
      </c>
      <c r="L14" s="50">
        <f>SUMIF(B39:B1137,B14,S39:S1137)</f>
        <v>0</v>
      </c>
      <c r="M14" s="50">
        <f>SUMIF(B39:B1137,B14,M39:M1137)</f>
        <v>5</v>
      </c>
      <c r="N14" s="50">
        <f>SUMIF(B39:B1137,B14,N39:N1137)</f>
        <v>2</v>
      </c>
      <c r="O14" s="50">
        <f>SUMIF(B39:B1137,B14,O39:O1137)</f>
        <v>0</v>
      </c>
      <c r="P14" s="50">
        <f>SUMIF(B39:B1137,B14,J39:J1137)</f>
        <v>1</v>
      </c>
      <c r="Q14" s="50">
        <f>SUMIF(B39:B1137,B14,K39:K1137)</f>
        <v>0</v>
      </c>
      <c r="R14" s="51">
        <f>SUMIF(B39:B1137,B14,L39:L1137)</f>
        <v>3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8</v>
      </c>
      <c r="D16" s="56"/>
      <c r="E16" s="23">
        <f>IFERROR(C14/H14,0)</f>
        <v>0</v>
      </c>
      <c r="F16" s="24">
        <f>IFERROR((G14+R14)/F14,0)</f>
        <v>2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IFERROR(M14/SUM(R14+G14,0),"")</f>
        <v>1.25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0</v>
      </c>
      <c r="D17" s="60"/>
      <c r="E17" s="48">
        <f>SUMIFS(T:T,B:B,B17,D:D,"Y")</f>
        <v>0</v>
      </c>
      <c r="F17" s="49">
        <f>SUMIF(B45:B1137,B17,G45:G1137)</f>
        <v>0</v>
      </c>
      <c r="G17" s="50">
        <f>SUMIF(B45:B1137,B17,H45:H1137)</f>
        <v>0</v>
      </c>
      <c r="H17" s="50">
        <f>SUMIF(B45:B1137,B17,I45:I1137)</f>
        <v>0</v>
      </c>
      <c r="I17" s="50">
        <f>SUMIF(B45:B1137,B17,P45:P1137)</f>
        <v>0</v>
      </c>
      <c r="J17" s="50">
        <f>SUMIF(B45:B1137,B17,Q45:Q1137)</f>
        <v>0</v>
      </c>
      <c r="K17" s="50">
        <f>SUMIF(B45:B1137,B17,R45:R1137)</f>
        <v>0</v>
      </c>
      <c r="L17" s="50">
        <f>SUMIF(B45:B1137,B17,S45:S1137)</f>
        <v>0</v>
      </c>
      <c r="M17" s="50">
        <f>SUMIF(B45:B1137,B17,M45:M1137)</f>
        <v>0</v>
      </c>
      <c r="N17" s="50">
        <f>SUMIF(B45:B1137,B17,N45:N1137)</f>
        <v>0</v>
      </c>
      <c r="O17" s="50">
        <f>SUMIF(B45:B1137,B17,O45:O1137)</f>
        <v>0</v>
      </c>
      <c r="P17" s="50">
        <f>SUMIF(B45:B1137,B17,J45:J1137)</f>
        <v>0</v>
      </c>
      <c r="Q17" s="50">
        <f>SUMIF(B45:B1137,B17,K45:K1137)</f>
        <v>0</v>
      </c>
      <c r="R17" s="51">
        <f>SUMIF(B45:B1137,B17,L45:L1137)</f>
        <v>0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COUNTIFS(B45:B1137,B17)</f>
        <v>3</v>
      </c>
      <c r="D19" s="56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1</v>
      </c>
      <c r="G23" s="11">
        <f>SUMIF(A:A,B23,H:H)</f>
        <v>1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1</v>
      </c>
      <c r="N23" s="11">
        <f>SUMIF(A:A,B23,N:N)</f>
        <v>1</v>
      </c>
      <c r="O23" s="11">
        <f>SUMIF(A:A,B23,O:O)</f>
        <v>1</v>
      </c>
      <c r="P23" s="11">
        <f>SUMIF(A:A,B23,J:J)</f>
        <v>1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0</v>
      </c>
      <c r="F25" s="24">
        <f>IFERROR((G23+R23)/F23,0)</f>
        <v>1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1</v>
      </c>
      <c r="N25" s="25"/>
      <c r="O25" s="24">
        <f>IFERROR(O23/N23,0)</f>
        <v>1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1" si="2">IFERROR(I37/H37,0)</f>
        <v>0</v>
      </c>
      <c r="V37" s="104">
        <f t="shared" ref="V37:V61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85">
        <v>0.0</v>
      </c>
      <c r="H39" s="185">
        <v>0.0</v>
      </c>
      <c r="I39" s="185">
        <v>0.0</v>
      </c>
      <c r="J39" s="185">
        <v>0.0</v>
      </c>
      <c r="K39" s="185">
        <v>0.0</v>
      </c>
      <c r="L39" s="185">
        <v>0.0</v>
      </c>
      <c r="M39" s="185">
        <v>0.0</v>
      </c>
      <c r="N39" s="185">
        <v>0.0</v>
      </c>
      <c r="O39" s="185">
        <v>0.0</v>
      </c>
      <c r="P39" s="185">
        <v>0.0</v>
      </c>
      <c r="Q39" s="185">
        <v>0.0</v>
      </c>
      <c r="R39" s="185">
        <v>0.0</v>
      </c>
      <c r="S39" s="185">
        <v>0.0</v>
      </c>
      <c r="T39" s="103"/>
      <c r="U39" s="104">
        <f t="shared" si="2"/>
        <v>0</v>
      </c>
      <c r="V39" s="104">
        <f t="shared" si="3"/>
        <v>0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85">
        <v>1.0</v>
      </c>
      <c r="H40" s="185">
        <v>1.0</v>
      </c>
      <c r="I40" s="185">
        <v>0.0</v>
      </c>
      <c r="J40" s="185">
        <v>1.0</v>
      </c>
      <c r="K40" s="185">
        <v>0.0</v>
      </c>
      <c r="L40" s="185">
        <v>0.0</v>
      </c>
      <c r="M40" s="185">
        <v>5.0</v>
      </c>
      <c r="N40" s="185">
        <v>0.0</v>
      </c>
      <c r="O40" s="185">
        <v>0.0</v>
      </c>
      <c r="P40" s="185">
        <v>0.0</v>
      </c>
      <c r="Q40" s="185">
        <v>0.0</v>
      </c>
      <c r="R40" s="185">
        <v>1.0</v>
      </c>
      <c r="S40" s="185">
        <v>0.0</v>
      </c>
      <c r="T40" s="103"/>
      <c r="U40" s="104">
        <f t="shared" si="2"/>
        <v>0</v>
      </c>
      <c r="V40" s="104">
        <f t="shared" si="3"/>
        <v>1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85">
        <v>0.0</v>
      </c>
      <c r="H41" s="185">
        <v>0.0</v>
      </c>
      <c r="I41" s="185">
        <v>0.0</v>
      </c>
      <c r="J41" s="185">
        <v>0.0</v>
      </c>
      <c r="K41" s="185">
        <v>0.0</v>
      </c>
      <c r="L41" s="185">
        <v>0.0</v>
      </c>
      <c r="M41" s="185">
        <v>0.0</v>
      </c>
      <c r="N41" s="185">
        <v>0.0</v>
      </c>
      <c r="O41" s="185">
        <v>0.0</v>
      </c>
      <c r="P41" s="185">
        <v>0.0</v>
      </c>
      <c r="Q41" s="185">
        <v>0.0</v>
      </c>
      <c r="R41" s="185">
        <v>0.0</v>
      </c>
      <c r="S41" s="185">
        <v>0.0</v>
      </c>
      <c r="T41" s="185">
        <v>0.0</v>
      </c>
      <c r="U41" s="104">
        <f t="shared" si="2"/>
        <v>0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85">
        <v>0.0</v>
      </c>
      <c r="H42" s="185">
        <v>0.0</v>
      </c>
      <c r="I42" s="185">
        <v>0.0</v>
      </c>
      <c r="J42" s="185">
        <v>0.0</v>
      </c>
      <c r="K42" s="185">
        <v>0.0</v>
      </c>
      <c r="L42" s="185">
        <v>0.0</v>
      </c>
      <c r="M42" s="185">
        <v>0.0</v>
      </c>
      <c r="N42" s="185">
        <v>0.0</v>
      </c>
      <c r="O42" s="185">
        <v>0.0</v>
      </c>
      <c r="P42" s="185">
        <v>0.0</v>
      </c>
      <c r="Q42" s="185">
        <v>0.0</v>
      </c>
      <c r="R42" s="185">
        <v>0.0</v>
      </c>
      <c r="S42" s="185">
        <v>0.0</v>
      </c>
      <c r="T42" s="185">
        <v>0.0</v>
      </c>
      <c r="U42" s="104">
        <f t="shared" si="2"/>
        <v>0</v>
      </c>
      <c r="V42" s="104">
        <f t="shared" si="3"/>
        <v>0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62</v>
      </c>
      <c r="F44" s="126" t="s">
        <v>63</v>
      </c>
      <c r="G44" s="185">
        <v>0.0</v>
      </c>
      <c r="H44" s="185">
        <v>0.0</v>
      </c>
      <c r="I44" s="185">
        <v>0.0</v>
      </c>
      <c r="J44" s="185">
        <v>0.0</v>
      </c>
      <c r="K44" s="185">
        <v>0.0</v>
      </c>
      <c r="L44" s="185">
        <v>0.0</v>
      </c>
      <c r="M44" s="185">
        <v>0.0</v>
      </c>
      <c r="N44" s="185">
        <v>0.0</v>
      </c>
      <c r="O44" s="185">
        <v>0.0</v>
      </c>
      <c r="P44" s="185">
        <v>0.0</v>
      </c>
      <c r="Q44" s="185">
        <v>0.0</v>
      </c>
      <c r="R44" s="185">
        <v>0.0</v>
      </c>
      <c r="S44" s="185">
        <v>0.0</v>
      </c>
      <c r="T44" s="185">
        <v>0.0</v>
      </c>
      <c r="U44" s="104">
        <f t="shared" si="2"/>
        <v>0</v>
      </c>
      <c r="V44" s="104">
        <f t="shared" si="3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58</v>
      </c>
      <c r="F45" s="126" t="s">
        <v>64</v>
      </c>
      <c r="G45" s="185">
        <v>0.0</v>
      </c>
      <c r="H45" s="185">
        <v>0.0</v>
      </c>
      <c r="I45" s="185">
        <v>0.0</v>
      </c>
      <c r="J45" s="185">
        <v>0.0</v>
      </c>
      <c r="K45" s="185">
        <v>0.0</v>
      </c>
      <c r="L45" s="185">
        <v>0.0</v>
      </c>
      <c r="M45" s="185">
        <v>0.0</v>
      </c>
      <c r="N45" s="185">
        <v>0.0</v>
      </c>
      <c r="O45" s="185">
        <v>0.0</v>
      </c>
      <c r="P45" s="185">
        <v>0.0</v>
      </c>
      <c r="Q45" s="185">
        <v>0.0</v>
      </c>
      <c r="R45" s="185">
        <v>0.0</v>
      </c>
      <c r="S45" s="185">
        <v>0.0</v>
      </c>
      <c r="T45" s="185">
        <v>0.0</v>
      </c>
      <c r="U45" s="104">
        <f t="shared" si="2"/>
        <v>0</v>
      </c>
      <c r="V45" s="104">
        <f t="shared" si="3"/>
        <v>0</v>
      </c>
      <c r="W45" s="105"/>
    </row>
    <row r="46" ht="12.75" customHeight="1">
      <c r="A46" s="125" t="s">
        <v>26</v>
      </c>
      <c r="B46" s="99" t="s">
        <v>28</v>
      </c>
      <c r="C46" s="126"/>
      <c r="D46" s="101"/>
      <c r="E46" s="126" t="s">
        <v>53</v>
      </c>
      <c r="F46" s="126" t="s">
        <v>65</v>
      </c>
      <c r="G46" s="185">
        <v>0.0</v>
      </c>
      <c r="H46" s="185">
        <v>1.0</v>
      </c>
      <c r="I46" s="185">
        <v>1.0</v>
      </c>
      <c r="J46" s="185">
        <v>1.0</v>
      </c>
      <c r="K46" s="185">
        <v>1.0</v>
      </c>
      <c r="L46" s="185">
        <v>0.0</v>
      </c>
      <c r="M46" s="185">
        <v>8.0</v>
      </c>
      <c r="N46" s="185">
        <v>0.0</v>
      </c>
      <c r="O46" s="185">
        <v>0.0</v>
      </c>
      <c r="P46" s="185">
        <v>0.0</v>
      </c>
      <c r="Q46" s="185">
        <v>0.0</v>
      </c>
      <c r="R46" s="185">
        <v>1.0</v>
      </c>
      <c r="S46" s="185">
        <v>1.0</v>
      </c>
      <c r="T46" s="185">
        <v>1428.0</v>
      </c>
      <c r="U46" s="104">
        <f t="shared" si="2"/>
        <v>1</v>
      </c>
      <c r="V46" s="104">
        <f t="shared" si="3"/>
        <v>0</v>
      </c>
      <c r="W46" s="105"/>
    </row>
    <row r="47" ht="12.75" customHeight="1">
      <c r="A47" s="117" t="s">
        <v>26</v>
      </c>
      <c r="B47" s="127" t="s">
        <v>28</v>
      </c>
      <c r="C47" s="128" t="s">
        <v>66</v>
      </c>
      <c r="D47" s="129" t="s">
        <v>52</v>
      </c>
      <c r="E47" s="117" t="s">
        <v>67</v>
      </c>
      <c r="F47" s="128" t="s">
        <v>68</v>
      </c>
      <c r="G47" s="185">
        <v>0.0</v>
      </c>
      <c r="H47" s="185">
        <v>0.0</v>
      </c>
      <c r="I47" s="185">
        <v>0.0</v>
      </c>
      <c r="J47" s="185">
        <v>0.0</v>
      </c>
      <c r="K47" s="185">
        <v>0.0</v>
      </c>
      <c r="L47" s="185">
        <v>0.0</v>
      </c>
      <c r="M47" s="185">
        <v>0.0</v>
      </c>
      <c r="N47" s="185">
        <v>0.0</v>
      </c>
      <c r="O47" s="185">
        <v>0.0</v>
      </c>
      <c r="P47" s="185">
        <v>0.0</v>
      </c>
      <c r="Q47" s="185">
        <v>0.0</v>
      </c>
      <c r="R47" s="185">
        <v>0.0</v>
      </c>
      <c r="S47" s="185">
        <v>0.0</v>
      </c>
      <c r="T47" s="185">
        <v>0.0</v>
      </c>
      <c r="U47" s="104">
        <f t="shared" si="2"/>
        <v>0</v>
      </c>
      <c r="V47" s="104">
        <f t="shared" si="3"/>
        <v>0</v>
      </c>
      <c r="W47" s="105"/>
    </row>
    <row r="48" ht="12.75" customHeight="1">
      <c r="A48" s="119" t="s">
        <v>26</v>
      </c>
      <c r="B48" s="130" t="s">
        <v>28</v>
      </c>
      <c r="C48" s="120" t="s">
        <v>66</v>
      </c>
      <c r="D48" s="131"/>
      <c r="E48" s="120"/>
      <c r="F48" s="120" t="s">
        <v>69</v>
      </c>
      <c r="G48" s="185">
        <v>0.0</v>
      </c>
      <c r="H48" s="185">
        <v>0.0</v>
      </c>
      <c r="I48" s="185">
        <v>0.0</v>
      </c>
      <c r="J48" s="185">
        <v>0.0</v>
      </c>
      <c r="K48" s="185">
        <v>0.0</v>
      </c>
      <c r="L48" s="185">
        <v>0.0</v>
      </c>
      <c r="M48" s="185">
        <v>0.0</v>
      </c>
      <c r="N48" s="185">
        <v>0.0</v>
      </c>
      <c r="O48" s="185">
        <v>0.0</v>
      </c>
      <c r="P48" s="185">
        <v>0.0</v>
      </c>
      <c r="Q48" s="185">
        <v>0.0</v>
      </c>
      <c r="R48" s="185">
        <v>0.0</v>
      </c>
      <c r="S48" s="185">
        <v>0.0</v>
      </c>
      <c r="T48" s="185">
        <v>0.0</v>
      </c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66</v>
      </c>
      <c r="D49" s="131"/>
      <c r="E49" s="120"/>
      <c r="F49" s="120" t="s">
        <v>70</v>
      </c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4">
        <f t="shared" si="2"/>
        <v>0</v>
      </c>
      <c r="V49" s="104">
        <f t="shared" si="3"/>
        <v>0</v>
      </c>
      <c r="W49" s="105"/>
    </row>
    <row r="50" ht="12.75" customHeight="1">
      <c r="A50" s="119" t="s">
        <v>26</v>
      </c>
      <c r="B50" s="130" t="s">
        <v>28</v>
      </c>
      <c r="C50" s="120" t="s">
        <v>66</v>
      </c>
      <c r="D50" s="131"/>
      <c r="E50" s="120"/>
      <c r="F50" s="120" t="s">
        <v>71</v>
      </c>
      <c r="G50" s="185">
        <v>1.0</v>
      </c>
      <c r="H50" s="185">
        <v>1.0</v>
      </c>
      <c r="I50" s="185">
        <v>0.0</v>
      </c>
      <c r="J50" s="185">
        <v>0.0</v>
      </c>
      <c r="K50" s="185">
        <v>0.0</v>
      </c>
      <c r="L50" s="185">
        <v>0.0</v>
      </c>
      <c r="M50" s="185">
        <v>0.0</v>
      </c>
      <c r="N50" s="185">
        <v>1.0</v>
      </c>
      <c r="O50" s="185">
        <v>0.0</v>
      </c>
      <c r="P50" s="185">
        <v>0.0</v>
      </c>
      <c r="Q50" s="185">
        <v>0.0</v>
      </c>
      <c r="R50" s="185">
        <v>0.0</v>
      </c>
      <c r="S50" s="185">
        <v>0.0</v>
      </c>
      <c r="T50" s="185">
        <v>0.0</v>
      </c>
      <c r="U50" s="104">
        <f t="shared" si="2"/>
        <v>0</v>
      </c>
      <c r="V50" s="104">
        <f t="shared" si="3"/>
        <v>1</v>
      </c>
      <c r="W50" s="105"/>
    </row>
    <row r="51" ht="12.75" customHeight="1">
      <c r="A51" s="106" t="s">
        <v>26</v>
      </c>
      <c r="B51" s="109" t="s">
        <v>29</v>
      </c>
      <c r="C51" s="109"/>
      <c r="D51" s="132" t="s">
        <v>52</v>
      </c>
      <c r="E51" s="109" t="s">
        <v>72</v>
      </c>
      <c r="F51" s="133" t="s">
        <v>29</v>
      </c>
      <c r="G51" s="185">
        <v>1.0</v>
      </c>
      <c r="H51" s="185">
        <v>1.0</v>
      </c>
      <c r="I51" s="185">
        <v>0.0</v>
      </c>
      <c r="J51" s="185">
        <v>0.0</v>
      </c>
      <c r="K51" s="185">
        <v>0.0</v>
      </c>
      <c r="L51" s="185">
        <v>2.0</v>
      </c>
      <c r="M51" s="185">
        <v>1.0</v>
      </c>
      <c r="N51" s="185">
        <v>1.0</v>
      </c>
      <c r="O51" s="185">
        <v>0.0</v>
      </c>
      <c r="P51" s="185">
        <v>0.0</v>
      </c>
      <c r="Q51" s="185">
        <v>0.0</v>
      </c>
      <c r="R51" s="185">
        <v>0.0</v>
      </c>
      <c r="S51" s="185">
        <v>0.0</v>
      </c>
      <c r="T51" s="185">
        <v>0.0</v>
      </c>
      <c r="U51" s="104">
        <f t="shared" si="2"/>
        <v>0</v>
      </c>
      <c r="V51" s="104">
        <f t="shared" si="3"/>
        <v>3</v>
      </c>
      <c r="W51" s="105"/>
    </row>
    <row r="52" ht="13.5" customHeight="1">
      <c r="A52" s="113" t="s">
        <v>26</v>
      </c>
      <c r="B52" s="114" t="s">
        <v>29</v>
      </c>
      <c r="C52" s="114"/>
      <c r="D52" s="134"/>
      <c r="E52" s="114" t="s">
        <v>59</v>
      </c>
      <c r="F52" s="114" t="s">
        <v>73</v>
      </c>
      <c r="G52" s="103">
        <v>0.0</v>
      </c>
      <c r="H52" s="103">
        <v>0.0</v>
      </c>
      <c r="I52" s="103">
        <v>0.0</v>
      </c>
      <c r="J52" s="103">
        <v>0.0</v>
      </c>
      <c r="K52" s="103">
        <v>0.0</v>
      </c>
      <c r="L52" s="103">
        <v>0.0</v>
      </c>
      <c r="M52" s="103">
        <v>0.0</v>
      </c>
      <c r="N52" s="103">
        <v>0.0</v>
      </c>
      <c r="O52" s="103">
        <v>0.0</v>
      </c>
      <c r="P52" s="103">
        <v>0.0</v>
      </c>
      <c r="Q52" s="103">
        <v>0.0</v>
      </c>
      <c r="R52" s="103">
        <v>0.0</v>
      </c>
      <c r="S52" s="103">
        <v>0.0</v>
      </c>
      <c r="T52" s="103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13" t="s">
        <v>26</v>
      </c>
      <c r="B53" s="114" t="s">
        <v>29</v>
      </c>
      <c r="C53" s="114"/>
      <c r="D53" s="134"/>
      <c r="E53" s="114" t="s">
        <v>72</v>
      </c>
      <c r="F53" s="114" t="s">
        <v>74</v>
      </c>
      <c r="G53" s="103">
        <v>0.0</v>
      </c>
      <c r="H53" s="103">
        <v>0.0</v>
      </c>
      <c r="I53" s="103">
        <v>0.0</v>
      </c>
      <c r="J53" s="103">
        <v>0.0</v>
      </c>
      <c r="K53" s="103">
        <v>0.0</v>
      </c>
      <c r="L53" s="103">
        <v>0.0</v>
      </c>
      <c r="M53" s="103">
        <v>0.0</v>
      </c>
      <c r="N53" s="103">
        <v>0.0</v>
      </c>
      <c r="O53" s="103">
        <v>0.0</v>
      </c>
      <c r="P53" s="103">
        <v>0.0</v>
      </c>
      <c r="Q53" s="103">
        <v>0.0</v>
      </c>
      <c r="R53" s="103">
        <v>0.0</v>
      </c>
      <c r="S53" s="103">
        <v>0.0</v>
      </c>
      <c r="T53" s="103">
        <v>0.0</v>
      </c>
      <c r="U53" s="104">
        <f t="shared" si="2"/>
        <v>0</v>
      </c>
      <c r="V53" s="104">
        <f t="shared" si="3"/>
        <v>0</v>
      </c>
      <c r="W53" s="105"/>
    </row>
    <row r="54" ht="13.5" customHeight="1">
      <c r="A54" s="135" t="s">
        <v>26</v>
      </c>
      <c r="B54" s="127" t="s">
        <v>29</v>
      </c>
      <c r="C54" s="117" t="s">
        <v>75</v>
      </c>
      <c r="D54" s="136" t="s">
        <v>52</v>
      </c>
      <c r="E54" s="117" t="s">
        <v>76</v>
      </c>
      <c r="F54" s="117" t="s">
        <v>75</v>
      </c>
      <c r="G54" s="185">
        <v>1.0</v>
      </c>
      <c r="H54" s="185">
        <v>0.0</v>
      </c>
      <c r="I54" s="185">
        <v>0.0</v>
      </c>
      <c r="J54" s="185">
        <v>1.0</v>
      </c>
      <c r="K54" s="185">
        <v>0.0</v>
      </c>
      <c r="L54" s="185">
        <v>1.0</v>
      </c>
      <c r="M54" s="185">
        <v>4.0</v>
      </c>
      <c r="N54" s="185">
        <v>1.0</v>
      </c>
      <c r="O54" s="185">
        <v>0.0</v>
      </c>
      <c r="P54" s="185">
        <v>0.0</v>
      </c>
      <c r="Q54" s="185">
        <v>0.0</v>
      </c>
      <c r="R54" s="185">
        <v>0.0</v>
      </c>
      <c r="S54" s="185">
        <v>0.0</v>
      </c>
      <c r="T54" s="185">
        <v>0.0</v>
      </c>
      <c r="U54" s="104">
        <f t="shared" si="2"/>
        <v>0</v>
      </c>
      <c r="V54" s="104">
        <f t="shared" si="3"/>
        <v>1</v>
      </c>
      <c r="W54" s="105"/>
    </row>
    <row r="55" ht="13.5" customHeight="1">
      <c r="A55" s="137" t="s">
        <v>26</v>
      </c>
      <c r="B55" s="130" t="s">
        <v>29</v>
      </c>
      <c r="C55" s="120" t="s">
        <v>75</v>
      </c>
      <c r="D55" s="138"/>
      <c r="E55" s="120" t="s">
        <v>59</v>
      </c>
      <c r="F55" s="120" t="s">
        <v>77</v>
      </c>
      <c r="G55" s="103">
        <v>0.0</v>
      </c>
      <c r="H55" s="103">
        <v>0.0</v>
      </c>
      <c r="I55" s="103">
        <v>0.0</v>
      </c>
      <c r="J55" s="103">
        <v>0.0</v>
      </c>
      <c r="K55" s="103">
        <v>0.0</v>
      </c>
      <c r="L55" s="103">
        <v>0.0</v>
      </c>
      <c r="M55" s="103">
        <v>0.0</v>
      </c>
      <c r="N55" s="103">
        <v>0.0</v>
      </c>
      <c r="O55" s="103">
        <v>0.0</v>
      </c>
      <c r="P55" s="103">
        <v>0.0</v>
      </c>
      <c r="Q55" s="103">
        <v>0.0</v>
      </c>
      <c r="R55" s="103">
        <v>0.0</v>
      </c>
      <c r="S55" s="103">
        <v>0.0</v>
      </c>
      <c r="T55" s="103">
        <v>0.0</v>
      </c>
      <c r="U55" s="104">
        <f t="shared" si="2"/>
        <v>0</v>
      </c>
      <c r="V55" s="104">
        <f t="shared" si="3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75</v>
      </c>
      <c r="D56" s="138"/>
      <c r="E56" s="120" t="s">
        <v>59</v>
      </c>
      <c r="F56" s="120" t="s">
        <v>78</v>
      </c>
      <c r="G56" s="103">
        <v>0.0</v>
      </c>
      <c r="H56" s="103">
        <v>0.0</v>
      </c>
      <c r="I56" s="103">
        <v>0.0</v>
      </c>
      <c r="J56" s="103">
        <v>0.0</v>
      </c>
      <c r="K56" s="103">
        <v>0.0</v>
      </c>
      <c r="L56" s="103">
        <v>0.0</v>
      </c>
      <c r="M56" s="103">
        <v>0.0</v>
      </c>
      <c r="N56" s="103">
        <v>0.0</v>
      </c>
      <c r="O56" s="103">
        <v>0.0</v>
      </c>
      <c r="P56" s="103">
        <v>0.0</v>
      </c>
      <c r="Q56" s="103">
        <v>0.0</v>
      </c>
      <c r="R56" s="103">
        <v>0.0</v>
      </c>
      <c r="S56" s="103">
        <v>0.0</v>
      </c>
      <c r="T56" s="103">
        <v>0.0</v>
      </c>
      <c r="U56" s="104">
        <f t="shared" si="2"/>
        <v>0</v>
      </c>
      <c r="V56" s="104">
        <f t="shared" si="3"/>
        <v>0</v>
      </c>
      <c r="W56" s="105"/>
    </row>
    <row r="57" ht="13.5" customHeight="1">
      <c r="A57" s="137" t="s">
        <v>26</v>
      </c>
      <c r="B57" s="130" t="s">
        <v>29</v>
      </c>
      <c r="C57" s="120" t="s">
        <v>75</v>
      </c>
      <c r="D57" s="138"/>
      <c r="E57" s="120" t="s">
        <v>59</v>
      </c>
      <c r="F57" s="120" t="s">
        <v>79</v>
      </c>
      <c r="G57" s="103">
        <v>0.0</v>
      </c>
      <c r="H57" s="103">
        <v>0.0</v>
      </c>
      <c r="I57" s="103">
        <v>0.0</v>
      </c>
      <c r="J57" s="103">
        <v>0.0</v>
      </c>
      <c r="K57" s="103">
        <v>0.0</v>
      </c>
      <c r="L57" s="103">
        <v>0.0</v>
      </c>
      <c r="M57" s="103">
        <v>0.0</v>
      </c>
      <c r="N57" s="103">
        <v>0.0</v>
      </c>
      <c r="O57" s="103">
        <v>0.0</v>
      </c>
      <c r="P57" s="103">
        <v>0.0</v>
      </c>
      <c r="Q57" s="103">
        <v>0.0</v>
      </c>
      <c r="R57" s="103">
        <v>0.0</v>
      </c>
      <c r="S57" s="103">
        <v>0.0</v>
      </c>
      <c r="T57" s="103">
        <v>0.0</v>
      </c>
      <c r="U57" s="104">
        <f t="shared" si="2"/>
        <v>0</v>
      </c>
      <c r="V57" s="104">
        <f t="shared" si="3"/>
        <v>0</v>
      </c>
      <c r="W57" s="105"/>
    </row>
    <row r="58" ht="13.5" customHeight="1">
      <c r="A58" s="137" t="s">
        <v>26</v>
      </c>
      <c r="B58" s="130" t="s">
        <v>29</v>
      </c>
      <c r="C58" s="120" t="s">
        <v>75</v>
      </c>
      <c r="D58" s="138"/>
      <c r="E58" s="120" t="s">
        <v>80</v>
      </c>
      <c r="F58" s="120" t="s">
        <v>81</v>
      </c>
      <c r="G58" s="103">
        <v>0.0</v>
      </c>
      <c r="H58" s="103">
        <v>0.0</v>
      </c>
      <c r="I58" s="103">
        <v>0.0</v>
      </c>
      <c r="J58" s="103">
        <v>0.0</v>
      </c>
      <c r="K58" s="103">
        <v>0.0</v>
      </c>
      <c r="L58" s="103">
        <v>0.0</v>
      </c>
      <c r="M58" s="103">
        <v>0.0</v>
      </c>
      <c r="N58" s="103">
        <v>0.0</v>
      </c>
      <c r="O58" s="103">
        <v>0.0</v>
      </c>
      <c r="P58" s="103">
        <v>0.0</v>
      </c>
      <c r="Q58" s="103">
        <v>0.0</v>
      </c>
      <c r="R58" s="103">
        <v>0.0</v>
      </c>
      <c r="S58" s="103">
        <v>0.0</v>
      </c>
      <c r="T58" s="103">
        <v>0.0</v>
      </c>
      <c r="U58" s="104">
        <f t="shared" si="2"/>
        <v>0</v>
      </c>
      <c r="V58" s="104">
        <f t="shared" si="3"/>
        <v>0</v>
      </c>
      <c r="W58" s="105"/>
    </row>
    <row r="59" ht="15.0" customHeight="1">
      <c r="A59" s="106" t="s">
        <v>26</v>
      </c>
      <c r="B59" s="107" t="s">
        <v>30</v>
      </c>
      <c r="C59" s="107"/>
      <c r="D59" s="109" t="s">
        <v>52</v>
      </c>
      <c r="E59" s="107" t="s">
        <v>82</v>
      </c>
      <c r="F59" s="107" t="s">
        <v>30</v>
      </c>
      <c r="G59" s="185">
        <v>0.0</v>
      </c>
      <c r="H59" s="185">
        <v>0.0</v>
      </c>
      <c r="I59" s="185">
        <v>0.0</v>
      </c>
      <c r="J59" s="185">
        <v>0.0</v>
      </c>
      <c r="K59" s="185">
        <v>0.0</v>
      </c>
      <c r="L59" s="185">
        <v>0.0</v>
      </c>
      <c r="M59" s="185">
        <v>0.0</v>
      </c>
      <c r="N59" s="185">
        <v>0.0</v>
      </c>
      <c r="O59" s="185">
        <v>0.0</v>
      </c>
      <c r="P59" s="185">
        <v>0.0</v>
      </c>
      <c r="Q59" s="185">
        <v>0.0</v>
      </c>
      <c r="R59" s="185">
        <v>0.0</v>
      </c>
      <c r="S59" s="185">
        <v>0.0</v>
      </c>
      <c r="T59" s="185">
        <v>0.0</v>
      </c>
      <c r="U59" s="104">
        <f t="shared" si="2"/>
        <v>0</v>
      </c>
      <c r="V59" s="104">
        <f t="shared" si="3"/>
        <v>0</v>
      </c>
      <c r="W59" s="105"/>
    </row>
    <row r="60" ht="15.0" customHeight="1">
      <c r="A60" s="110" t="s">
        <v>26</v>
      </c>
      <c r="B60" s="111" t="s">
        <v>30</v>
      </c>
      <c r="C60" s="111" t="s">
        <v>83</v>
      </c>
      <c r="D60" s="111" t="s">
        <v>52</v>
      </c>
      <c r="E60" s="111" t="s">
        <v>82</v>
      </c>
      <c r="F60" s="111" t="s">
        <v>83</v>
      </c>
      <c r="G60" s="185">
        <v>0.0</v>
      </c>
      <c r="H60" s="185">
        <v>0.0</v>
      </c>
      <c r="I60" s="185">
        <v>0.0</v>
      </c>
      <c r="J60" s="185">
        <v>0.0</v>
      </c>
      <c r="K60" s="185">
        <v>0.0</v>
      </c>
      <c r="L60" s="185">
        <v>0.0</v>
      </c>
      <c r="M60" s="185">
        <v>0.0</v>
      </c>
      <c r="N60" s="185">
        <v>0.0</v>
      </c>
      <c r="O60" s="185">
        <v>0.0</v>
      </c>
      <c r="P60" s="185">
        <v>0.0</v>
      </c>
      <c r="Q60" s="185">
        <v>0.0</v>
      </c>
      <c r="R60" s="185">
        <v>0.0</v>
      </c>
      <c r="S60" s="185">
        <v>0.0</v>
      </c>
      <c r="T60" s="185">
        <v>0.0</v>
      </c>
      <c r="U60" s="104">
        <f t="shared" si="2"/>
        <v>0</v>
      </c>
      <c r="V60" s="104">
        <f t="shared" si="3"/>
        <v>0</v>
      </c>
      <c r="W60" s="105"/>
    </row>
    <row r="61" ht="15.0" customHeight="1">
      <c r="A61" s="113" t="s">
        <v>26</v>
      </c>
      <c r="B61" s="114" t="s">
        <v>30</v>
      </c>
      <c r="C61" s="114" t="s">
        <v>83</v>
      </c>
      <c r="D61" s="139"/>
      <c r="E61" s="114" t="s">
        <v>82</v>
      </c>
      <c r="F61" s="114" t="s">
        <v>84</v>
      </c>
      <c r="G61" s="185">
        <v>0.0</v>
      </c>
      <c r="H61" s="185">
        <v>0.0</v>
      </c>
      <c r="I61" s="185">
        <v>0.0</v>
      </c>
      <c r="J61" s="185">
        <v>0.0</v>
      </c>
      <c r="K61" s="185">
        <v>0.0</v>
      </c>
      <c r="L61" s="185">
        <v>0.0</v>
      </c>
      <c r="M61" s="185">
        <v>0.0</v>
      </c>
      <c r="N61" s="185">
        <v>0.0</v>
      </c>
      <c r="O61" s="185">
        <v>0.0</v>
      </c>
      <c r="P61" s="185">
        <v>0.0</v>
      </c>
      <c r="Q61" s="185">
        <v>0.0</v>
      </c>
      <c r="R61" s="185">
        <v>0.0</v>
      </c>
      <c r="S61" s="185">
        <v>0.0</v>
      </c>
      <c r="T61" s="185">
        <v>0.0</v>
      </c>
      <c r="U61" s="104">
        <f t="shared" si="2"/>
        <v>0</v>
      </c>
      <c r="V61" s="104">
        <f t="shared" si="3"/>
        <v>0</v>
      </c>
      <c r="W61" s="105"/>
    </row>
    <row r="62" ht="20.25" customHeight="1">
      <c r="A62" s="93" t="s">
        <v>36</v>
      </c>
      <c r="B62" s="94" t="s">
        <v>37</v>
      </c>
      <c r="C62" s="94" t="s">
        <v>38</v>
      </c>
      <c r="D62" s="95"/>
      <c r="E62" s="96" t="s">
        <v>39</v>
      </c>
      <c r="F62" s="94" t="s">
        <v>40</v>
      </c>
      <c r="G62" s="97" t="s">
        <v>41</v>
      </c>
      <c r="H62" s="97" t="s">
        <v>42</v>
      </c>
      <c r="I62" s="97" t="s">
        <v>43</v>
      </c>
      <c r="J62" s="97" t="s">
        <v>12</v>
      </c>
      <c r="K62" s="97" t="s">
        <v>44</v>
      </c>
      <c r="L62" s="97" t="s">
        <v>14</v>
      </c>
      <c r="M62" s="97" t="s">
        <v>9</v>
      </c>
      <c r="N62" s="97" t="s">
        <v>10</v>
      </c>
      <c r="O62" s="97" t="s">
        <v>45</v>
      </c>
      <c r="P62" s="97" t="s">
        <v>5</v>
      </c>
      <c r="Q62" s="97" t="s">
        <v>46</v>
      </c>
      <c r="R62" s="97" t="s">
        <v>47</v>
      </c>
      <c r="S62" s="97" t="s">
        <v>48</v>
      </c>
      <c r="T62" s="97" t="s">
        <v>0</v>
      </c>
      <c r="U62" s="96" t="s">
        <v>49</v>
      </c>
      <c r="V62" s="96" t="s">
        <v>50</v>
      </c>
      <c r="W62" s="98"/>
    </row>
    <row r="63" ht="12.75" customHeight="1">
      <c r="A63" s="140" t="s">
        <v>31</v>
      </c>
      <c r="B63" s="141"/>
      <c r="C63" s="141"/>
      <c r="D63" s="142" t="s">
        <v>52</v>
      </c>
      <c r="E63" s="102" t="s">
        <v>85</v>
      </c>
      <c r="F63" s="102" t="s">
        <v>31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ref="U63:U67" si="4">IFERROR(I63/H63,0)</f>
        <v>0</v>
      </c>
      <c r="V63" s="104">
        <f t="shared" ref="V63:V67" si="5">IFERROR(SUM(H63+L63)/G63,0)</f>
        <v>0</v>
      </c>
      <c r="W63" s="105"/>
    </row>
    <row r="64" ht="12.75" customHeight="1">
      <c r="A64" s="143" t="s">
        <v>31</v>
      </c>
      <c r="B64" s="144"/>
      <c r="C64" s="127" t="s">
        <v>86</v>
      </c>
      <c r="D64" s="127" t="s">
        <v>52</v>
      </c>
      <c r="E64" s="127"/>
      <c r="F64" s="127" t="s">
        <v>86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45">
        <f t="shared" si="4"/>
        <v>0</v>
      </c>
      <c r="V64" s="145">
        <f t="shared" si="5"/>
        <v>0</v>
      </c>
      <c r="W64" s="146"/>
    </row>
    <row r="65" ht="12.75" customHeight="1">
      <c r="A65" s="147" t="s">
        <v>31</v>
      </c>
      <c r="B65" s="148"/>
      <c r="C65" s="120" t="s">
        <v>86</v>
      </c>
      <c r="D65" s="117"/>
      <c r="E65" s="120"/>
      <c r="F65" s="120" t="s">
        <v>87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5">
        <f t="shared" si="4"/>
        <v>0</v>
      </c>
      <c r="V65" s="145">
        <f t="shared" si="5"/>
        <v>0</v>
      </c>
      <c r="W65" s="146"/>
    </row>
    <row r="66" ht="12.75" customHeight="1">
      <c r="A66" s="149" t="s">
        <v>31</v>
      </c>
      <c r="B66" s="150"/>
      <c r="C66" s="151" t="s">
        <v>88</v>
      </c>
      <c r="D66" s="151"/>
      <c r="E66" s="151"/>
      <c r="F66" s="151" t="s">
        <v>88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5">
        <f t="shared" si="4"/>
        <v>0</v>
      </c>
      <c r="V66" s="145">
        <f t="shared" si="5"/>
        <v>0</v>
      </c>
      <c r="W66" s="146"/>
    </row>
    <row r="67" ht="12.75" customHeight="1">
      <c r="A67" s="152" t="s">
        <v>31</v>
      </c>
      <c r="B67" s="153"/>
      <c r="C67" s="154" t="s">
        <v>88</v>
      </c>
      <c r="D67" s="151"/>
      <c r="E67" s="154" t="s">
        <v>89</v>
      </c>
      <c r="F67" s="154" t="s">
        <v>90</v>
      </c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45">
        <f t="shared" si="4"/>
        <v>0</v>
      </c>
      <c r="V67" s="145">
        <f t="shared" si="5"/>
        <v>0</v>
      </c>
      <c r="W67" s="146"/>
    </row>
    <row r="68" ht="20.25" customHeight="1">
      <c r="A68" s="93" t="s">
        <v>36</v>
      </c>
      <c r="B68" s="94" t="s">
        <v>37</v>
      </c>
      <c r="C68" s="94" t="s">
        <v>38</v>
      </c>
      <c r="D68" s="95"/>
      <c r="E68" s="96" t="s">
        <v>39</v>
      </c>
      <c r="F68" s="94" t="s">
        <v>40</v>
      </c>
      <c r="G68" s="97" t="s">
        <v>41</v>
      </c>
      <c r="H68" s="97" t="s">
        <v>42</v>
      </c>
      <c r="I68" s="97" t="s">
        <v>43</v>
      </c>
      <c r="J68" s="97" t="s">
        <v>12</v>
      </c>
      <c r="K68" s="97" t="s">
        <v>44</v>
      </c>
      <c r="L68" s="97" t="s">
        <v>14</v>
      </c>
      <c r="M68" s="97" t="s">
        <v>9</v>
      </c>
      <c r="N68" s="97" t="s">
        <v>10</v>
      </c>
      <c r="O68" s="97" t="s">
        <v>45</v>
      </c>
      <c r="P68" s="97" t="s">
        <v>5</v>
      </c>
      <c r="Q68" s="97" t="s">
        <v>46</v>
      </c>
      <c r="R68" s="97" t="s">
        <v>47</v>
      </c>
      <c r="S68" s="97" t="s">
        <v>48</v>
      </c>
      <c r="T68" s="97" t="s">
        <v>0</v>
      </c>
      <c r="U68" s="96" t="s">
        <v>49</v>
      </c>
      <c r="V68" s="96" t="s">
        <v>50</v>
      </c>
      <c r="W68" s="98"/>
    </row>
    <row r="69" ht="13.5" customHeight="1">
      <c r="A69" s="155" t="s">
        <v>32</v>
      </c>
      <c r="B69" s="156"/>
      <c r="C69" s="157"/>
      <c r="D69" s="158" t="s">
        <v>52</v>
      </c>
      <c r="E69" s="156" t="s">
        <v>91</v>
      </c>
      <c r="F69" s="156" t="s">
        <v>32</v>
      </c>
      <c r="G69" s="185">
        <v>1.0</v>
      </c>
      <c r="H69" s="185">
        <v>1.0</v>
      </c>
      <c r="I69" s="185">
        <v>0.0</v>
      </c>
      <c r="J69" s="185">
        <v>1.0</v>
      </c>
      <c r="K69" s="185">
        <v>0.0</v>
      </c>
      <c r="L69" s="185">
        <v>0.0</v>
      </c>
      <c r="M69" s="185">
        <v>1.0</v>
      </c>
      <c r="N69" s="185">
        <v>1.0</v>
      </c>
      <c r="O69" s="185">
        <v>1.0</v>
      </c>
      <c r="P69" s="185">
        <v>0.0</v>
      </c>
      <c r="Q69" s="185">
        <v>0.0</v>
      </c>
      <c r="R69" s="185">
        <v>0.0</v>
      </c>
      <c r="S69" s="185">
        <v>0.0</v>
      </c>
      <c r="T69" s="185">
        <v>0.0</v>
      </c>
      <c r="U69" s="104">
        <f t="shared" ref="U69:U78" si="6">IFERROR(I69/H69,0)</f>
        <v>0</v>
      </c>
      <c r="V69" s="104">
        <f t="shared" ref="V69:V78" si="7">IFERROR(SUM(H69+L69)/G69,0)</f>
        <v>1</v>
      </c>
      <c r="W69" s="105"/>
    </row>
    <row r="70" ht="13.5" customHeight="1">
      <c r="A70" s="114" t="s">
        <v>32</v>
      </c>
      <c r="B70" s="114"/>
      <c r="C70" s="159"/>
      <c r="D70" s="134"/>
      <c r="E70" s="114" t="s">
        <v>91</v>
      </c>
      <c r="F70" s="114" t="s">
        <v>92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91</v>
      </c>
      <c r="F71" s="114" t="s">
        <v>93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91</v>
      </c>
      <c r="F72" s="114" t="s">
        <v>94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91</v>
      </c>
      <c r="F73" s="114" t="s">
        <v>95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91</v>
      </c>
      <c r="F74" s="114" t="s">
        <v>96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91</v>
      </c>
      <c r="F75" s="114" t="s">
        <v>97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91</v>
      </c>
      <c r="F76" s="114" t="s">
        <v>98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14" t="s">
        <v>32</v>
      </c>
      <c r="B77" s="114"/>
      <c r="C77" s="114"/>
      <c r="D77" s="160"/>
      <c r="E77" s="114" t="s">
        <v>91</v>
      </c>
      <c r="F77" s="114" t="s">
        <v>99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14" t="s">
        <v>32</v>
      </c>
      <c r="B78" s="114"/>
      <c r="C78" s="114"/>
      <c r="D78" s="160"/>
      <c r="E78" s="114" t="s">
        <v>91</v>
      </c>
      <c r="F78" s="114" t="s">
        <v>100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20.25" customHeight="1">
      <c r="A79" s="93" t="s">
        <v>36</v>
      </c>
      <c r="B79" s="94" t="s">
        <v>37</v>
      </c>
      <c r="C79" s="94" t="s">
        <v>38</v>
      </c>
      <c r="D79" s="95"/>
      <c r="E79" s="96" t="s">
        <v>39</v>
      </c>
      <c r="F79" s="94" t="s">
        <v>40</v>
      </c>
      <c r="G79" s="97" t="s">
        <v>41</v>
      </c>
      <c r="H79" s="97" t="s">
        <v>42</v>
      </c>
      <c r="I79" s="97" t="s">
        <v>43</v>
      </c>
      <c r="J79" s="97" t="s">
        <v>12</v>
      </c>
      <c r="K79" s="97" t="s">
        <v>44</v>
      </c>
      <c r="L79" s="97" t="s">
        <v>14</v>
      </c>
      <c r="M79" s="97" t="s">
        <v>9</v>
      </c>
      <c r="N79" s="97" t="s">
        <v>10</v>
      </c>
      <c r="O79" s="97" t="s">
        <v>45</v>
      </c>
      <c r="P79" s="97" t="s">
        <v>5</v>
      </c>
      <c r="Q79" s="97" t="s">
        <v>46</v>
      </c>
      <c r="R79" s="97" t="s">
        <v>47</v>
      </c>
      <c r="S79" s="97" t="s">
        <v>48</v>
      </c>
      <c r="T79" s="97" t="s">
        <v>0</v>
      </c>
      <c r="U79" s="96" t="s">
        <v>49</v>
      </c>
      <c r="V79" s="96" t="s">
        <v>50</v>
      </c>
      <c r="W79" s="98"/>
    </row>
    <row r="80" ht="12.75" customHeight="1">
      <c r="A80" s="161" t="s">
        <v>33</v>
      </c>
      <c r="B80" s="161"/>
      <c r="C80" s="161"/>
      <c r="D80" s="162" t="s">
        <v>52</v>
      </c>
      <c r="E80" s="161" t="s">
        <v>101</v>
      </c>
      <c r="F80" s="161" t="s">
        <v>33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ref="U80:U84" si="8">IFERROR(I80/H80,0)</f>
        <v>0</v>
      </c>
      <c r="V80" s="104">
        <f t="shared" ref="V80:V84" si="9">IFERROR(SUM(H80+L80)/G80,0)</f>
        <v>0</v>
      </c>
      <c r="W80" s="105"/>
    </row>
    <row r="81" ht="12.75" customHeight="1">
      <c r="A81" s="163" t="s">
        <v>33</v>
      </c>
      <c r="B81" s="164"/>
      <c r="C81" s="164"/>
      <c r="D81" s="101"/>
      <c r="E81" s="126" t="s">
        <v>76</v>
      </c>
      <c r="F81" s="126" t="s">
        <v>102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8"/>
        <v>0</v>
      </c>
      <c r="V81" s="104">
        <f t="shared" si="9"/>
        <v>0</v>
      </c>
      <c r="W81" s="105"/>
    </row>
    <row r="82" ht="12.75" customHeight="1">
      <c r="A82" s="165" t="s">
        <v>33</v>
      </c>
      <c r="B82" s="165"/>
      <c r="C82" s="128" t="s">
        <v>103</v>
      </c>
      <c r="D82" s="129" t="s">
        <v>52</v>
      </c>
      <c r="E82" s="117" t="s">
        <v>59</v>
      </c>
      <c r="F82" s="128" t="s">
        <v>103</v>
      </c>
      <c r="G82" s="185">
        <v>0.0</v>
      </c>
      <c r="H82" s="185">
        <v>0.0</v>
      </c>
      <c r="I82" s="185">
        <v>0.0</v>
      </c>
      <c r="J82" s="185">
        <v>0.0</v>
      </c>
      <c r="K82" s="185">
        <v>0.0</v>
      </c>
      <c r="L82" s="185">
        <v>0.0</v>
      </c>
      <c r="M82" s="185">
        <v>0.0</v>
      </c>
      <c r="N82" s="185">
        <v>0.0</v>
      </c>
      <c r="O82" s="185">
        <v>0.0</v>
      </c>
      <c r="P82" s="185">
        <v>0.0</v>
      </c>
      <c r="Q82" s="185">
        <v>0.0</v>
      </c>
      <c r="R82" s="185">
        <v>0.0</v>
      </c>
      <c r="S82" s="185">
        <v>0.0</v>
      </c>
      <c r="T82" s="185">
        <v>0.0</v>
      </c>
      <c r="U82" s="104">
        <f t="shared" si="8"/>
        <v>0</v>
      </c>
      <c r="V82" s="104">
        <f t="shared" si="9"/>
        <v>0</v>
      </c>
      <c r="W82" s="105"/>
    </row>
    <row r="83" ht="12.75" customHeight="1">
      <c r="A83" s="161" t="s">
        <v>33</v>
      </c>
      <c r="B83" s="161"/>
      <c r="C83" s="111" t="s">
        <v>104</v>
      </c>
      <c r="D83" s="112" t="s">
        <v>52</v>
      </c>
      <c r="E83" s="111" t="s">
        <v>105</v>
      </c>
      <c r="F83" s="111" t="s">
        <v>104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8"/>
        <v>0</v>
      </c>
      <c r="V83" s="104">
        <f t="shared" si="9"/>
        <v>0</v>
      </c>
      <c r="W83" s="105"/>
    </row>
    <row r="84" ht="12.75" customHeight="1">
      <c r="A84" s="163" t="s">
        <v>33</v>
      </c>
      <c r="B84" s="163"/>
      <c r="C84" s="114" t="s">
        <v>104</v>
      </c>
      <c r="D84" s="115"/>
      <c r="E84" s="114" t="s">
        <v>59</v>
      </c>
      <c r="F84" s="114" t="s">
        <v>106</v>
      </c>
      <c r="G84" s="185">
        <v>0.0</v>
      </c>
      <c r="H84" s="185">
        <v>0.0</v>
      </c>
      <c r="I84" s="185">
        <v>0.0</v>
      </c>
      <c r="J84" s="185">
        <v>0.0</v>
      </c>
      <c r="K84" s="185">
        <v>0.0</v>
      </c>
      <c r="L84" s="185">
        <v>0.0</v>
      </c>
      <c r="M84" s="185">
        <v>0.0</v>
      </c>
      <c r="N84" s="185">
        <v>0.0</v>
      </c>
      <c r="O84" s="185">
        <v>0.0</v>
      </c>
      <c r="P84" s="185">
        <v>0.0</v>
      </c>
      <c r="Q84" s="185">
        <v>0.0</v>
      </c>
      <c r="R84" s="185">
        <v>0.0</v>
      </c>
      <c r="S84" s="185">
        <v>0.0</v>
      </c>
      <c r="T84" s="185">
        <v>0.0</v>
      </c>
      <c r="U84" s="104">
        <f t="shared" si="8"/>
        <v>0</v>
      </c>
      <c r="V84" s="104">
        <f t="shared" si="9"/>
        <v>0</v>
      </c>
      <c r="W84" s="105"/>
    </row>
    <row r="85" ht="20.25" customHeight="1">
      <c r="A85" s="93" t="s">
        <v>36</v>
      </c>
      <c r="B85" s="94" t="s">
        <v>37</v>
      </c>
      <c r="C85" s="94" t="s">
        <v>38</v>
      </c>
      <c r="D85" s="95"/>
      <c r="E85" s="96" t="s">
        <v>39</v>
      </c>
      <c r="F85" s="94" t="s">
        <v>40</v>
      </c>
      <c r="G85" s="97" t="s">
        <v>41</v>
      </c>
      <c r="H85" s="97" t="s">
        <v>42</v>
      </c>
      <c r="I85" s="97" t="s">
        <v>43</v>
      </c>
      <c r="J85" s="97" t="s">
        <v>12</v>
      </c>
      <c r="K85" s="97" t="s">
        <v>44</v>
      </c>
      <c r="L85" s="97" t="s">
        <v>14</v>
      </c>
      <c r="M85" s="97" t="s">
        <v>9</v>
      </c>
      <c r="N85" s="97" t="s">
        <v>10</v>
      </c>
      <c r="O85" s="97" t="s">
        <v>45</v>
      </c>
      <c r="P85" s="97" t="s">
        <v>5</v>
      </c>
      <c r="Q85" s="97" t="s">
        <v>46</v>
      </c>
      <c r="R85" s="97" t="s">
        <v>47</v>
      </c>
      <c r="S85" s="97" t="s">
        <v>48</v>
      </c>
      <c r="T85" s="97" t="s">
        <v>0</v>
      </c>
      <c r="U85" s="96" t="s">
        <v>49</v>
      </c>
      <c r="V85" s="96" t="s">
        <v>50</v>
      </c>
      <c r="W85" s="98"/>
    </row>
    <row r="86" ht="13.5" customHeight="1">
      <c r="A86" s="166" t="s">
        <v>34</v>
      </c>
      <c r="B86" s="167"/>
      <c r="C86" s="167"/>
      <c r="D86" s="166" t="s">
        <v>52</v>
      </c>
      <c r="E86" s="166" t="s">
        <v>58</v>
      </c>
      <c r="F86" s="166" t="s">
        <v>34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ref="U86:U102" si="10">IFERROR(I86/H86,0)</f>
        <v>0</v>
      </c>
      <c r="V86" s="104">
        <f t="shared" ref="V86:V102" si="11">IFERROR(SUM(H86+L86)/G86,0)</f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59</v>
      </c>
      <c r="F87" s="168" t="s">
        <v>107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0"/>
        <v>0</v>
      </c>
      <c r="V87" s="104">
        <f t="shared" si="11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58</v>
      </c>
      <c r="F88" s="168" t="s">
        <v>108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76</v>
      </c>
      <c r="F89" s="168" t="s">
        <v>109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68" t="s">
        <v>34</v>
      </c>
      <c r="B90" s="167"/>
      <c r="C90" s="167"/>
      <c r="D90" s="167"/>
      <c r="E90" s="168" t="s">
        <v>62</v>
      </c>
      <c r="F90" s="168" t="s">
        <v>110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68" t="s">
        <v>34</v>
      </c>
      <c r="B91" s="167"/>
      <c r="C91" s="167"/>
      <c r="D91" s="167"/>
      <c r="E91" s="168" t="s">
        <v>58</v>
      </c>
      <c r="F91" s="168" t="s">
        <v>111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112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113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9" t="s">
        <v>34</v>
      </c>
      <c r="B95" s="170"/>
      <c r="C95" s="169"/>
      <c r="D95" s="170"/>
      <c r="E95" s="169"/>
      <c r="F95" s="169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9" t="s">
        <v>34</v>
      </c>
      <c r="B96" s="170"/>
      <c r="C96" s="169"/>
      <c r="D96" s="170"/>
      <c r="E96" s="169"/>
      <c r="F96" s="169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71" t="s">
        <v>34</v>
      </c>
      <c r="B97" s="172"/>
      <c r="C97" s="171" t="s">
        <v>117</v>
      </c>
      <c r="D97" s="173" t="s">
        <v>52</v>
      </c>
      <c r="E97" s="171" t="s">
        <v>105</v>
      </c>
      <c r="F97" s="171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74" t="s">
        <v>34</v>
      </c>
      <c r="B98" s="175"/>
      <c r="C98" s="174" t="s">
        <v>117</v>
      </c>
      <c r="D98" s="175"/>
      <c r="E98" s="174" t="s">
        <v>118</v>
      </c>
      <c r="F98" s="174" t="s">
        <v>119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74" t="s">
        <v>34</v>
      </c>
      <c r="B99" s="175"/>
      <c r="C99" s="174" t="s">
        <v>117</v>
      </c>
      <c r="D99" s="175"/>
      <c r="E99" s="174" t="s">
        <v>120</v>
      </c>
      <c r="F99" s="174" t="s">
        <v>121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74" t="s">
        <v>34</v>
      </c>
      <c r="B100" s="175"/>
      <c r="C100" s="174" t="s">
        <v>117</v>
      </c>
      <c r="D100" s="175"/>
      <c r="E100" s="174"/>
      <c r="F100" s="174" t="s">
        <v>119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6" t="s">
        <v>34</v>
      </c>
      <c r="B101" s="176"/>
      <c r="C101" s="166" t="s">
        <v>122</v>
      </c>
      <c r="D101" s="166" t="s">
        <v>52</v>
      </c>
      <c r="E101" s="166" t="s">
        <v>123</v>
      </c>
      <c r="F101" s="166" t="s">
        <v>122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9" t="s">
        <v>34</v>
      </c>
      <c r="B102" s="170"/>
      <c r="C102" s="169" t="s">
        <v>122</v>
      </c>
      <c r="D102" s="170"/>
      <c r="E102" s="169"/>
      <c r="F102" s="169" t="s">
        <v>124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20.25" customHeight="1">
      <c r="A103" s="93" t="s">
        <v>36</v>
      </c>
      <c r="B103" s="94" t="s">
        <v>37</v>
      </c>
      <c r="C103" s="94" t="s">
        <v>38</v>
      </c>
      <c r="D103" s="95"/>
      <c r="E103" s="96" t="s">
        <v>39</v>
      </c>
      <c r="F103" s="94" t="s">
        <v>40</v>
      </c>
      <c r="G103" s="97" t="s">
        <v>41</v>
      </c>
      <c r="H103" s="97" t="s">
        <v>42</v>
      </c>
      <c r="I103" s="97" t="s">
        <v>43</v>
      </c>
      <c r="J103" s="97" t="s">
        <v>12</v>
      </c>
      <c r="K103" s="97" t="s">
        <v>44</v>
      </c>
      <c r="L103" s="97" t="s">
        <v>14</v>
      </c>
      <c r="M103" s="97" t="s">
        <v>9</v>
      </c>
      <c r="N103" s="97" t="s">
        <v>10</v>
      </c>
      <c r="O103" s="97" t="s">
        <v>45</v>
      </c>
      <c r="P103" s="97" t="s">
        <v>5</v>
      </c>
      <c r="Q103" s="97" t="s">
        <v>46</v>
      </c>
      <c r="R103" s="97" t="s">
        <v>47</v>
      </c>
      <c r="S103" s="97" t="s">
        <v>48</v>
      </c>
      <c r="T103" s="97" t="s">
        <v>0</v>
      </c>
      <c r="U103" s="96" t="s">
        <v>49</v>
      </c>
      <c r="V103" s="96" t="s">
        <v>50</v>
      </c>
      <c r="W103" s="98"/>
    </row>
    <row r="104" ht="20.25" customHeight="1">
      <c r="A104" s="111" t="s">
        <v>35</v>
      </c>
      <c r="B104" s="160"/>
      <c r="C104" s="111"/>
      <c r="D104" s="111" t="s">
        <v>52</v>
      </c>
      <c r="E104" s="111" t="s">
        <v>59</v>
      </c>
      <c r="F104" s="111" t="s">
        <v>35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45">
        <f t="shared" ref="U104:U105" si="12">IFERROR(I104/H104,0)</f>
        <v>0</v>
      </c>
      <c r="V104" s="145">
        <f t="shared" ref="V104:V105" si="13">IFERROR(SUM(H104+L104)/G104,0)</f>
        <v>0</v>
      </c>
      <c r="W104" s="146"/>
    </row>
    <row r="105" ht="20.25" customHeight="1">
      <c r="A105" s="117" t="s">
        <v>35</v>
      </c>
      <c r="B105" s="136"/>
      <c r="C105" s="117" t="s">
        <v>125</v>
      </c>
      <c r="D105" s="117" t="s">
        <v>52</v>
      </c>
      <c r="E105" s="117"/>
      <c r="F105" s="117" t="s">
        <v>125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45">
        <f t="shared" si="12"/>
        <v>0</v>
      </c>
      <c r="V105" s="145">
        <f t="shared" si="13"/>
        <v>0</v>
      </c>
      <c r="W105" s="146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77"/>
      <c r="B618" s="177"/>
      <c r="C618" s="177"/>
      <c r="D618" s="1"/>
      <c r="E618" s="177"/>
      <c r="F618" s="178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80"/>
      <c r="V618" s="180"/>
      <c r="W618" s="180"/>
    </row>
    <row r="619" ht="12.75" customHeight="1">
      <c r="A619" s="177"/>
      <c r="B619" s="177"/>
      <c r="C619" s="177"/>
      <c r="D619" s="1"/>
      <c r="E619" s="177"/>
      <c r="F619" s="178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80"/>
      <c r="V619" s="180"/>
      <c r="W619" s="180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15914.84</v>
      </c>
      <c r="D2" s="10"/>
      <c r="E2" s="11">
        <f t="shared" ref="E2:R2" si="1">SUM(E5,E20,E23,E26,E29,E32)</f>
        <v>13825.84</v>
      </c>
      <c r="F2" s="11">
        <f t="shared" si="1"/>
        <v>36</v>
      </c>
      <c r="G2" s="11">
        <f t="shared" si="1"/>
        <v>17</v>
      </c>
      <c r="H2" s="11">
        <f t="shared" si="1"/>
        <v>10</v>
      </c>
      <c r="I2" s="11">
        <f t="shared" si="1"/>
        <v>5</v>
      </c>
      <c r="J2" s="11">
        <f t="shared" si="1"/>
        <v>3</v>
      </c>
      <c r="K2" s="11">
        <f t="shared" si="1"/>
        <v>5</v>
      </c>
      <c r="L2" s="11">
        <f t="shared" si="1"/>
        <v>3</v>
      </c>
      <c r="M2" s="11">
        <f t="shared" si="1"/>
        <v>40</v>
      </c>
      <c r="N2" s="11">
        <f t="shared" si="1"/>
        <v>8</v>
      </c>
      <c r="O2" s="11">
        <f t="shared" si="1"/>
        <v>6</v>
      </c>
      <c r="P2" s="11">
        <f t="shared" si="1"/>
        <v>3</v>
      </c>
      <c r="Q2" s="11">
        <f t="shared" si="1"/>
        <v>2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64</v>
      </c>
      <c r="D4" s="22"/>
      <c r="E4" s="23">
        <f>IFERROR(C2/H2,0)</f>
        <v>1591.484</v>
      </c>
      <c r="F4" s="24">
        <f>IFERROR((G2+R2)/F2,0)</f>
        <v>0.4722222222</v>
      </c>
      <c r="G4" s="24">
        <f>IFERROR(H2/G2,0)</f>
        <v>0.5882352941</v>
      </c>
      <c r="H4" s="23">
        <f>(C2/C4)</f>
        <v>248.669375</v>
      </c>
      <c r="I4" s="25"/>
      <c r="J4" s="24">
        <f>IFERROR(J2/I2,0)</f>
        <v>0.6</v>
      </c>
      <c r="K4" s="25"/>
      <c r="L4" s="24">
        <f>IFERROR(L2/K2,0)</f>
        <v>0.6</v>
      </c>
      <c r="M4" s="26">
        <f>IFERROR(M2/G2,0)</f>
        <v>2.352941176</v>
      </c>
      <c r="N4" s="25"/>
      <c r="O4" s="24">
        <f>IFERROR(O2/N2,0)</f>
        <v>0.75</v>
      </c>
      <c r="P4" s="26"/>
      <c r="Q4" s="24">
        <f>IFERROR(Q2/P2,0)</f>
        <v>0.6666666667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10977</v>
      </c>
      <c r="D5" s="31"/>
      <c r="E5" s="32">
        <f>SUMIFS(T:T,A:A,B5,D:D,"Y")</f>
        <v>10977</v>
      </c>
      <c r="F5" s="11">
        <f>SUMIF(A:A,B5,G:G)</f>
        <v>31</v>
      </c>
      <c r="G5" s="11">
        <f>SUMIF(A:A,B5,H:H)</f>
        <v>13</v>
      </c>
      <c r="H5" s="11">
        <f>SUMIF(A:A,B5,I:I)</f>
        <v>7</v>
      </c>
      <c r="I5" s="11">
        <f>SUMIF(A:A,B5,P:P)</f>
        <v>5</v>
      </c>
      <c r="J5" s="11">
        <f>SUMIF(A:A,B5,Q:Q)</f>
        <v>3</v>
      </c>
      <c r="K5" s="11">
        <f>SUMIF(A:A,B5,R:R)</f>
        <v>2</v>
      </c>
      <c r="L5" s="11">
        <f>SUMIF(A:A,B5,S:S)</f>
        <v>0</v>
      </c>
      <c r="M5" s="11">
        <f>SUMIF(A:A,B5,M:M)</f>
        <v>29</v>
      </c>
      <c r="N5" s="11">
        <f>SUMIF(A:A,B5,N:N)</f>
        <v>6</v>
      </c>
      <c r="O5" s="11">
        <f>SUMIF(A:A,B5,O:O)</f>
        <v>4</v>
      </c>
      <c r="P5" s="11">
        <f>SUMIF(A:A,B5,J:J)</f>
        <v>2</v>
      </c>
      <c r="Q5" s="11">
        <f>SUMIF(A:A,B5,K:K)</f>
        <v>1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25</v>
      </c>
      <c r="D7" s="39"/>
      <c r="E7" s="40">
        <f>IFERROR(C5/H5,0)</f>
        <v>1568.142857</v>
      </c>
      <c r="F7" s="41">
        <f>IFERROR((G5+R5)/F5,0)</f>
        <v>0.4193548387</v>
      </c>
      <c r="G7" s="41">
        <f>IFERROR(H5/G5,0)</f>
        <v>0.5384615385</v>
      </c>
      <c r="H7" s="40">
        <f>(C5/C7)</f>
        <v>439.08</v>
      </c>
      <c r="I7" s="42"/>
      <c r="J7" s="41">
        <f>IFERROR(J5/I5,0)</f>
        <v>0.6</v>
      </c>
      <c r="K7" s="42"/>
      <c r="L7" s="41">
        <f>IFERROR(L5/K5,0)</f>
        <v>0</v>
      </c>
      <c r="M7" s="43">
        <f>IFERROR(M5/SUM(R5+G5,0),"")</f>
        <v>2.230769231</v>
      </c>
      <c r="N7" s="42"/>
      <c r="O7" s="41">
        <f>IFERROR(O5/N5,0)</f>
        <v>0.6666666667</v>
      </c>
      <c r="P7" s="43"/>
      <c r="Q7" s="41">
        <f>IFERROR(Q5/P5,0)</f>
        <v>0.5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SUMIF(B37:B1137,B8,G37:G1137)</f>
        <v>1</v>
      </c>
      <c r="G8" s="50">
        <f>SUMIF(B37:B1137,B8,H37:H1137)</f>
        <v>1</v>
      </c>
      <c r="H8" s="50">
        <f>SUMIF(B37:B1137,B8,I37:I1137)</f>
        <v>0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1</v>
      </c>
      <c r="L8" s="50">
        <f>SUMIF(B37:B1137,B8,S37:S1137)</f>
        <v>0</v>
      </c>
      <c r="M8" s="50">
        <f>SUMIF(B37:B1137,B8,M37:M1137)</f>
        <v>5</v>
      </c>
      <c r="N8" s="50">
        <f>SUMIF(B37:B1137,B8,N37:N1137)</f>
        <v>0</v>
      </c>
      <c r="O8" s="50">
        <f>SUMIF(B37:B1137,B8,O37:O1137)</f>
        <v>0</v>
      </c>
      <c r="P8" s="50">
        <f>SUMIF(B37:B1137,B8,J37:J1137)</f>
        <v>0</v>
      </c>
      <c r="Q8" s="50">
        <f>SUMIF(B37:B1137,B8,K37:K1137)</f>
        <v>0</v>
      </c>
      <c r="R8" s="51">
        <f>SUMIF(B37:B1137,B8,L37:L1137)</f>
        <v>0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0</v>
      </c>
      <c r="F10" s="24">
        <f>IFERROR((G8+R8)/F8,0)</f>
        <v>1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IFERROR(M8/SUM(G8+R8,0),"")</f>
        <v>5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5773</v>
      </c>
      <c r="D11" s="60"/>
      <c r="E11" s="48">
        <f>SUMIFS(T:T,B:B,B11,D:D,"Y")</f>
        <v>5773</v>
      </c>
      <c r="F11" s="49">
        <f>SUMIF(B39:B1137,B11,G39:G1137)</f>
        <v>21</v>
      </c>
      <c r="G11" s="50">
        <f>SUMIF(B39:B1137,B11,H39:H1137)</f>
        <v>8</v>
      </c>
      <c r="H11" s="50">
        <f>SUMIF(B39:B1137,B11,I39:I1137)</f>
        <v>3</v>
      </c>
      <c r="I11" s="50">
        <f>SUMIF(B39:B1137,B11,P39:P1137)</f>
        <v>5</v>
      </c>
      <c r="J11" s="50">
        <f>SUMIF(B39:B1137,B11,Q39:Q1137)</f>
        <v>3</v>
      </c>
      <c r="K11" s="50">
        <f>SUMIF(B39:B1137,B11,R39:R1137)</f>
        <v>1</v>
      </c>
      <c r="L11" s="50">
        <f>SUMIF(B39:B1137,B11,S39:S1137)</f>
        <v>0</v>
      </c>
      <c r="M11" s="50">
        <f>SUMIF(B39:B1137,B11,M39:M1137)</f>
        <v>10</v>
      </c>
      <c r="N11" s="50">
        <f>SUMIF(B39:B1137,B11,N39:N1137)</f>
        <v>2</v>
      </c>
      <c r="O11" s="50">
        <f>SUMIF(B39:B1137,B11,O39:O1137)</f>
        <v>0</v>
      </c>
      <c r="P11" s="50">
        <f>SUMIF(B39:B1137,B11,J39:J1137)</f>
        <v>1</v>
      </c>
      <c r="Q11" s="50">
        <f>SUMIF(B39:B1137,B11,K39:K1137)</f>
        <v>0</v>
      </c>
      <c r="R11" s="51">
        <f>SUMIF(B39:B1137,B11,L39:L1137)</f>
        <v>0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8</v>
      </c>
      <c r="D13" s="56"/>
      <c r="E13" s="23">
        <f>IFERROR(C11/H11,0)</f>
        <v>1924.333333</v>
      </c>
      <c r="F13" s="24">
        <f>IFERROR((G11+R11)/F11,0)</f>
        <v>0.380952381</v>
      </c>
      <c r="G13" s="24">
        <f>IFERROR(H11/G11,0)</f>
        <v>0.375</v>
      </c>
      <c r="H13" s="23">
        <f>(C11/C13)</f>
        <v>721.625</v>
      </c>
      <c r="I13" s="25"/>
      <c r="J13" s="24">
        <f>IFERROR(J11/I11,0)</f>
        <v>0.6</v>
      </c>
      <c r="K13" s="25"/>
      <c r="L13" s="24">
        <f>IFERROR(L11/K11,0)</f>
        <v>0</v>
      </c>
      <c r="M13" s="26">
        <f>IFERROR(M11/SUM(R11+G11,0),"")</f>
        <v>1.25</v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876</v>
      </c>
      <c r="D14" s="60"/>
      <c r="E14" s="48">
        <f>SUMIFS(T:T,B:B,B14,D:D,"Y")</f>
        <v>876</v>
      </c>
      <c r="F14" s="49">
        <f>SUMIF(B39:B1137,B14,G39:G1137)</f>
        <v>1</v>
      </c>
      <c r="G14" s="50">
        <f>SUMIF(B39:B1137,B14,H39:H1137)</f>
        <v>1</v>
      </c>
      <c r="H14" s="50">
        <f>SUMIF(B39:B1137,B14,I39:I1137)</f>
        <v>1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0</v>
      </c>
      <c r="L14" s="50">
        <f>SUMIF(B39:B1137,B14,S39:S1137)</f>
        <v>0</v>
      </c>
      <c r="M14" s="50">
        <f>SUMIF(B39:B1137,B14,M39:M1137)</f>
        <v>1</v>
      </c>
      <c r="N14" s="50">
        <f>SUMIF(B39:B1137,B14,N39:N1137)</f>
        <v>1</v>
      </c>
      <c r="O14" s="50">
        <f>SUMIF(B39:B1137,B14,O39:O1137)</f>
        <v>1</v>
      </c>
      <c r="P14" s="50">
        <f>SUMIF(B39:B1137,B14,J39:J1137)</f>
        <v>0</v>
      </c>
      <c r="Q14" s="50">
        <f>SUMIF(B39:B1137,B14,K39:K1137)</f>
        <v>0</v>
      </c>
      <c r="R14" s="51">
        <f>SUMIF(B39:B1137,B14,L39:L1137)</f>
        <v>0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8</v>
      </c>
      <c r="D16" s="56"/>
      <c r="E16" s="23">
        <f>IFERROR(C14/H14,0)</f>
        <v>876</v>
      </c>
      <c r="F16" s="24">
        <f>IFERROR((G14+R14)/F14,0)</f>
        <v>1</v>
      </c>
      <c r="G16" s="24">
        <f>IFERROR(H14/G14,0)</f>
        <v>1</v>
      </c>
      <c r="H16" s="23">
        <f>(C14/C16)</f>
        <v>109.5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IFERROR(M14/SUM(R14+G14,0),"")</f>
        <v>1</v>
      </c>
      <c r="N16" s="25"/>
      <c r="O16" s="24">
        <f>IFERROR(O14/N14,0)</f>
        <v>1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4328</v>
      </c>
      <c r="D17" s="60"/>
      <c r="E17" s="48">
        <f>SUMIFS(T:T,B:B,B17,D:D,"Y")</f>
        <v>4328</v>
      </c>
      <c r="F17" s="49">
        <f>SUMIF(B45:B1137,B17,G45:G1137)</f>
        <v>8</v>
      </c>
      <c r="G17" s="50">
        <f>SUMIF(B45:B1137,B17,H45:H1137)</f>
        <v>3</v>
      </c>
      <c r="H17" s="50">
        <f>SUMIF(B45:B1137,B17,I45:I1137)</f>
        <v>3</v>
      </c>
      <c r="I17" s="50">
        <f>SUMIF(B45:B1137,B17,P45:P1137)</f>
        <v>0</v>
      </c>
      <c r="J17" s="50">
        <f>SUMIF(B45:B1137,B17,Q45:Q1137)</f>
        <v>0</v>
      </c>
      <c r="K17" s="50">
        <f>SUMIF(B45:B1137,B17,R45:R1137)</f>
        <v>0</v>
      </c>
      <c r="L17" s="50">
        <f>SUMIF(B45:B1137,B17,S45:S1137)</f>
        <v>0</v>
      </c>
      <c r="M17" s="50">
        <f>SUMIF(B45:B1137,B17,M45:M1137)</f>
        <v>13</v>
      </c>
      <c r="N17" s="50">
        <f>SUMIF(B45:B1137,B17,N45:N1137)</f>
        <v>3</v>
      </c>
      <c r="O17" s="50">
        <f>SUMIF(B45:B1137,B17,O45:O1137)</f>
        <v>3</v>
      </c>
      <c r="P17" s="50">
        <f>SUMIF(B45:B1137,B17,J45:J1137)</f>
        <v>1</v>
      </c>
      <c r="Q17" s="50">
        <f>SUMIF(B45:B1137,B17,K45:K1137)</f>
        <v>1</v>
      </c>
      <c r="R17" s="51">
        <f>SUMIF(B45:B1137,B17,L45:L1137)</f>
        <v>0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COUNTIFS(B45:B1137,B17)</f>
        <v>3</v>
      </c>
      <c r="D19" s="56"/>
      <c r="E19" s="23">
        <f>IFERROR(C17/H17,0)</f>
        <v>1442.666667</v>
      </c>
      <c r="F19" s="24">
        <f>IFERROR((G17+R17)/F17,0)</f>
        <v>0.375</v>
      </c>
      <c r="G19" s="24">
        <f>IFERROR(H17/G17,0)</f>
        <v>1</v>
      </c>
      <c r="H19" s="23">
        <f>(C17/C19)</f>
        <v>1442.666667</v>
      </c>
      <c r="I19" s="25"/>
      <c r="J19" s="24">
        <f>IFERROR(J17/I17,0)</f>
        <v>0</v>
      </c>
      <c r="K19" s="25"/>
      <c r="L19" s="24">
        <f>IFERROR(L17/K17,0)</f>
        <v>0</v>
      </c>
      <c r="M19" s="26">
        <f>IFERROR(M17/SUM(R17+G17,0),"")</f>
        <v>4.333333333</v>
      </c>
      <c r="N19" s="25"/>
      <c r="O19" s="24">
        <f>IFERROR(O17/N17,0)</f>
        <v>1</v>
      </c>
      <c r="P19" s="26"/>
      <c r="Q19" s="24">
        <f>IFERROR(Q17/P17,0)</f>
        <v>1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3122</v>
      </c>
      <c r="D23" s="31"/>
      <c r="E23" s="64">
        <f>SUMIFS(T:T,A:A,B23,D:D,"Y")</f>
        <v>1033</v>
      </c>
      <c r="F23" s="9">
        <f>SUMIF(A:A,B23,G:G)</f>
        <v>4</v>
      </c>
      <c r="G23" s="11">
        <f>SUMIF(A:A,B23,H:H)</f>
        <v>3</v>
      </c>
      <c r="H23" s="11">
        <f>SUMIF(A:A,B23,I:I)</f>
        <v>2</v>
      </c>
      <c r="I23" s="11">
        <f>SUMIF(A:A,B23,P:P)</f>
        <v>0</v>
      </c>
      <c r="J23" s="11">
        <f>SUMIF(A:A,B23,Q:Q)</f>
        <v>0</v>
      </c>
      <c r="K23" s="11">
        <f>SUMIF(A:A,B23,R:R)</f>
        <v>2</v>
      </c>
      <c r="L23" s="11">
        <f>SUMIF(A:A,B23,S:S)</f>
        <v>2</v>
      </c>
      <c r="M23" s="11">
        <f>SUMIF(A:A,B23,M:M)</f>
        <v>9</v>
      </c>
      <c r="N23" s="11">
        <f>SUMIF(A:A,B23,N:N)</f>
        <v>1</v>
      </c>
      <c r="O23" s="11">
        <f>SUMIF(A:A,B23,O:O)</f>
        <v>1</v>
      </c>
      <c r="P23" s="11">
        <f>SUMIF(A:A,B23,J:J)</f>
        <v>1</v>
      </c>
      <c r="Q23" s="11">
        <f>SUMIF(A:A,B23,K:K)</f>
        <v>1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1561</v>
      </c>
      <c r="F25" s="24">
        <f>IFERROR((G23+R23)/F23,0)</f>
        <v>0.75</v>
      </c>
      <c r="G25" s="24">
        <f>IFERROR(H23/G23,0)</f>
        <v>0.6666666667</v>
      </c>
      <c r="H25" s="23">
        <f>(C23/C25)</f>
        <v>312.2</v>
      </c>
      <c r="I25" s="25"/>
      <c r="J25" s="24">
        <f>IFERROR(J23/I23,0)</f>
        <v>0</v>
      </c>
      <c r="K25" s="25"/>
      <c r="L25" s="24">
        <f>IFERROR(L23/K23,0)</f>
        <v>1</v>
      </c>
      <c r="M25" s="26">
        <f>IFERROR(M23/SUM(R23+G23,0),"")</f>
        <v>3</v>
      </c>
      <c r="N25" s="25"/>
      <c r="O25" s="24">
        <f>IFERROR(O23/N23,0)</f>
        <v>1</v>
      </c>
      <c r="P25" s="26"/>
      <c r="Q25" s="24">
        <f>IFERROR(Q23/P23,0)</f>
        <v>1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1815.84</v>
      </c>
      <c r="D26" s="31"/>
      <c r="E26" s="64">
        <f>SUMIFS(T:T,A:A,B26,D:D,"Y")</f>
        <v>1815.84</v>
      </c>
      <c r="F26" s="9">
        <f>SUMIF(A:A,B26,G:G)</f>
        <v>1</v>
      </c>
      <c r="G26" s="11">
        <f>SUMIF(A:A,B26,H:H)</f>
        <v>1</v>
      </c>
      <c r="H26" s="11">
        <f>SUMIF(A:A,B26,I:I)</f>
        <v>1</v>
      </c>
      <c r="I26" s="11">
        <f>SUMIF(A:A,B26,P:P)</f>
        <v>0</v>
      </c>
      <c r="J26" s="11">
        <f>SUMIF(A:A,B26,Q:Q)</f>
        <v>0</v>
      </c>
      <c r="K26" s="11">
        <f>SUMIF(A:A,B26,R:R)</f>
        <v>1</v>
      </c>
      <c r="L26" s="11">
        <f>SUMIF(A:A,B26,S:S)</f>
        <v>1</v>
      </c>
      <c r="M26" s="11">
        <f>SUMIF(A:A,B26,M:M)</f>
        <v>2</v>
      </c>
      <c r="N26" s="11">
        <f>SUMIF(A:A,B26,N:N)</f>
        <v>1</v>
      </c>
      <c r="O26" s="11">
        <f>SUMIF(A:A,B26,O:O)</f>
        <v>1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1815.84</v>
      </c>
      <c r="F28" s="24">
        <f>IFERROR((G26+R26)/F26,0)</f>
        <v>1</v>
      </c>
      <c r="G28" s="24">
        <f>IFERROR(H26/G26,0)</f>
        <v>1</v>
      </c>
      <c r="H28" s="23">
        <f>(C26/C28)</f>
        <v>363.168</v>
      </c>
      <c r="I28" s="25"/>
      <c r="J28" s="24">
        <f>IFERROR(J26/I26,0)</f>
        <v>0</v>
      </c>
      <c r="K28" s="25"/>
      <c r="L28" s="24">
        <f>IFERROR(L26/K26,0)</f>
        <v>1</v>
      </c>
      <c r="M28" s="26">
        <f>IFERROR(M26/SUM(R26+G26,0),"")</f>
        <v>2</v>
      </c>
      <c r="N28" s="25"/>
      <c r="O28" s="24">
        <f>IFERROR(O26/N26,0)</f>
        <v>1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1" si="2">IFERROR(I37/H37,0)</f>
        <v>0</v>
      </c>
      <c r="V37" s="104">
        <f t="shared" ref="V37:V61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85">
        <v>0.0</v>
      </c>
      <c r="H39" s="185">
        <v>0.0</v>
      </c>
      <c r="I39" s="185">
        <v>0.0</v>
      </c>
      <c r="J39" s="185">
        <v>0.0</v>
      </c>
      <c r="K39" s="185">
        <v>0.0</v>
      </c>
      <c r="L39" s="185">
        <v>0.0</v>
      </c>
      <c r="M39" s="185">
        <v>0.0</v>
      </c>
      <c r="N39" s="185">
        <v>0.0</v>
      </c>
      <c r="O39" s="185">
        <v>0.0</v>
      </c>
      <c r="P39" s="185">
        <v>0.0</v>
      </c>
      <c r="Q39" s="185">
        <v>0.0</v>
      </c>
      <c r="R39" s="185">
        <v>0.0</v>
      </c>
      <c r="S39" s="185">
        <v>0.0</v>
      </c>
      <c r="T39" s="185">
        <v>0.0</v>
      </c>
      <c r="U39" s="104">
        <f t="shared" si="2"/>
        <v>0</v>
      </c>
      <c r="V39" s="104">
        <f t="shared" si="3"/>
        <v>0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85">
        <v>1.0</v>
      </c>
      <c r="H40" s="185">
        <v>1.0</v>
      </c>
      <c r="I40" s="185">
        <v>0.0</v>
      </c>
      <c r="J40" s="185">
        <v>0.0</v>
      </c>
      <c r="K40" s="185">
        <v>0.0</v>
      </c>
      <c r="L40" s="185">
        <v>0.0</v>
      </c>
      <c r="M40" s="185">
        <v>5.0</v>
      </c>
      <c r="N40" s="185">
        <v>0.0</v>
      </c>
      <c r="O40" s="185">
        <v>0.0</v>
      </c>
      <c r="P40" s="185">
        <v>0.0</v>
      </c>
      <c r="Q40" s="185">
        <v>0.0</v>
      </c>
      <c r="R40" s="185">
        <v>1.0</v>
      </c>
      <c r="S40" s="185">
        <v>0.0</v>
      </c>
      <c r="T40" s="103"/>
      <c r="U40" s="104">
        <f t="shared" si="2"/>
        <v>0</v>
      </c>
      <c r="V40" s="104">
        <f t="shared" si="3"/>
        <v>1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85">
        <v>0.0</v>
      </c>
      <c r="H41" s="185">
        <v>0.0</v>
      </c>
      <c r="I41" s="185">
        <v>0.0</v>
      </c>
      <c r="J41" s="185">
        <v>0.0</v>
      </c>
      <c r="K41" s="185">
        <v>0.0</v>
      </c>
      <c r="L41" s="185">
        <v>0.0</v>
      </c>
      <c r="M41" s="185">
        <v>0.0</v>
      </c>
      <c r="N41" s="185">
        <v>0.0</v>
      </c>
      <c r="O41" s="185">
        <v>0.0</v>
      </c>
      <c r="P41" s="185">
        <v>0.0</v>
      </c>
      <c r="Q41" s="185">
        <v>0.0</v>
      </c>
      <c r="R41" s="185">
        <v>0.0</v>
      </c>
      <c r="S41" s="185">
        <v>0.0</v>
      </c>
      <c r="T41" s="185">
        <v>0.0</v>
      </c>
      <c r="U41" s="104">
        <f t="shared" si="2"/>
        <v>0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85">
        <v>0.0</v>
      </c>
      <c r="H42" s="185">
        <v>0.0</v>
      </c>
      <c r="I42" s="185">
        <v>0.0</v>
      </c>
      <c r="J42" s="185">
        <v>0.0</v>
      </c>
      <c r="K42" s="185">
        <v>0.0</v>
      </c>
      <c r="L42" s="185">
        <v>0.0</v>
      </c>
      <c r="M42" s="185">
        <v>0.0</v>
      </c>
      <c r="N42" s="185">
        <v>0.0</v>
      </c>
      <c r="O42" s="185">
        <v>0.0</v>
      </c>
      <c r="P42" s="185">
        <v>0.0</v>
      </c>
      <c r="Q42" s="185">
        <v>0.0</v>
      </c>
      <c r="R42" s="185">
        <v>0.0</v>
      </c>
      <c r="S42" s="185">
        <v>0.0</v>
      </c>
      <c r="T42" s="185">
        <v>0.0</v>
      </c>
      <c r="U42" s="104">
        <f t="shared" si="2"/>
        <v>0</v>
      </c>
      <c r="V42" s="104">
        <f t="shared" si="3"/>
        <v>0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85">
        <v>12.0</v>
      </c>
      <c r="H43" s="185">
        <v>5.0</v>
      </c>
      <c r="I43" s="185">
        <v>3.0</v>
      </c>
      <c r="J43" s="185">
        <v>0.0</v>
      </c>
      <c r="K43" s="185">
        <v>0.0</v>
      </c>
      <c r="L43" s="185">
        <v>0.0</v>
      </c>
      <c r="M43" s="185">
        <v>0.0</v>
      </c>
      <c r="N43" s="185">
        <v>0.0</v>
      </c>
      <c r="O43" s="185">
        <v>0.0</v>
      </c>
      <c r="P43" s="185">
        <v>5.0</v>
      </c>
      <c r="Q43" s="185">
        <v>3.0</v>
      </c>
      <c r="R43" s="185">
        <v>0.0</v>
      </c>
      <c r="S43" s="185">
        <v>0.0</v>
      </c>
      <c r="T43" s="185">
        <v>5773.0</v>
      </c>
      <c r="U43" s="104">
        <f t="shared" si="2"/>
        <v>0.6</v>
      </c>
      <c r="V43" s="104">
        <f t="shared" si="3"/>
        <v>0.4166666667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62</v>
      </c>
      <c r="F44" s="126" t="s">
        <v>63</v>
      </c>
      <c r="G44" s="185">
        <v>0.0</v>
      </c>
      <c r="H44" s="185">
        <v>0.0</v>
      </c>
      <c r="I44" s="185">
        <v>0.0</v>
      </c>
      <c r="J44" s="185">
        <v>0.0</v>
      </c>
      <c r="K44" s="185">
        <v>0.0</v>
      </c>
      <c r="L44" s="185">
        <v>0.0</v>
      </c>
      <c r="M44" s="185">
        <v>0.0</v>
      </c>
      <c r="N44" s="185">
        <v>0.0</v>
      </c>
      <c r="O44" s="185">
        <v>0.0</v>
      </c>
      <c r="P44" s="185">
        <v>0.0</v>
      </c>
      <c r="Q44" s="185">
        <v>0.0</v>
      </c>
      <c r="R44" s="185">
        <v>0.0</v>
      </c>
      <c r="S44" s="185">
        <v>0.0</v>
      </c>
      <c r="T44" s="185">
        <v>0.0</v>
      </c>
      <c r="U44" s="104">
        <f t="shared" si="2"/>
        <v>0</v>
      </c>
      <c r="V44" s="104">
        <f t="shared" si="3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58</v>
      </c>
      <c r="F45" s="126" t="s">
        <v>64</v>
      </c>
      <c r="G45" s="185">
        <v>2.0</v>
      </c>
      <c r="H45" s="185">
        <v>0.0</v>
      </c>
      <c r="I45" s="185">
        <v>0.0</v>
      </c>
      <c r="J45" s="185">
        <v>0.0</v>
      </c>
      <c r="K45" s="185">
        <v>0.0</v>
      </c>
      <c r="L45" s="185">
        <v>0.0</v>
      </c>
      <c r="M45" s="185">
        <v>0.0</v>
      </c>
      <c r="N45" s="185">
        <v>0.0</v>
      </c>
      <c r="O45" s="185">
        <v>0.0</v>
      </c>
      <c r="P45" s="185">
        <v>0.0</v>
      </c>
      <c r="Q45" s="185">
        <v>0.0</v>
      </c>
      <c r="R45" s="185">
        <v>0.0</v>
      </c>
      <c r="S45" s="185">
        <v>0.0</v>
      </c>
      <c r="T45" s="185">
        <v>0.0</v>
      </c>
      <c r="U45" s="104">
        <f t="shared" si="2"/>
        <v>0</v>
      </c>
      <c r="V45" s="104">
        <f t="shared" si="3"/>
        <v>0</v>
      </c>
      <c r="W45" s="105"/>
    </row>
    <row r="46" ht="12.75" customHeight="1">
      <c r="A46" s="125" t="s">
        <v>26</v>
      </c>
      <c r="B46" s="99" t="s">
        <v>28</v>
      </c>
      <c r="C46" s="126"/>
      <c r="D46" s="101"/>
      <c r="E46" s="126" t="s">
        <v>53</v>
      </c>
      <c r="F46" s="126" t="s">
        <v>65</v>
      </c>
      <c r="G46" s="185">
        <v>2.0</v>
      </c>
      <c r="H46" s="185">
        <v>1.0</v>
      </c>
      <c r="I46" s="185">
        <v>0.0</v>
      </c>
      <c r="J46" s="185">
        <v>0.0</v>
      </c>
      <c r="K46" s="185">
        <v>0.0</v>
      </c>
      <c r="L46" s="185">
        <v>0.0</v>
      </c>
      <c r="M46" s="185">
        <v>3.0</v>
      </c>
      <c r="N46" s="185">
        <v>0.0</v>
      </c>
      <c r="O46" s="185">
        <v>0.0</v>
      </c>
      <c r="P46" s="185">
        <v>0.0</v>
      </c>
      <c r="Q46" s="185">
        <v>0.0</v>
      </c>
      <c r="R46" s="185">
        <v>1.0</v>
      </c>
      <c r="S46" s="185">
        <v>0.0</v>
      </c>
      <c r="T46" s="185">
        <v>0.0</v>
      </c>
      <c r="U46" s="104">
        <f t="shared" si="2"/>
        <v>0</v>
      </c>
      <c r="V46" s="104">
        <f t="shared" si="3"/>
        <v>0.5</v>
      </c>
      <c r="W46" s="105"/>
    </row>
    <row r="47" ht="12.75" customHeight="1">
      <c r="A47" s="117" t="s">
        <v>26</v>
      </c>
      <c r="B47" s="127" t="s">
        <v>28</v>
      </c>
      <c r="C47" s="128" t="s">
        <v>66</v>
      </c>
      <c r="D47" s="129" t="s">
        <v>52</v>
      </c>
      <c r="E47" s="117" t="s">
        <v>67</v>
      </c>
      <c r="F47" s="128" t="s">
        <v>68</v>
      </c>
      <c r="G47" s="185">
        <v>1.0</v>
      </c>
      <c r="H47" s="185">
        <v>1.0</v>
      </c>
      <c r="I47" s="185">
        <v>0.0</v>
      </c>
      <c r="J47" s="185">
        <v>0.0</v>
      </c>
      <c r="K47" s="185">
        <v>0.0</v>
      </c>
      <c r="L47" s="185">
        <v>0.0</v>
      </c>
      <c r="M47" s="185">
        <v>2.0</v>
      </c>
      <c r="N47" s="185">
        <v>1.0</v>
      </c>
      <c r="O47" s="185">
        <v>0.0</v>
      </c>
      <c r="P47" s="185">
        <v>0.0</v>
      </c>
      <c r="Q47" s="185">
        <v>0.0</v>
      </c>
      <c r="R47" s="185">
        <v>0.0</v>
      </c>
      <c r="S47" s="185">
        <v>0.0</v>
      </c>
      <c r="T47" s="185">
        <v>0.0</v>
      </c>
      <c r="U47" s="104">
        <f t="shared" si="2"/>
        <v>0</v>
      </c>
      <c r="V47" s="104">
        <f t="shared" si="3"/>
        <v>1</v>
      </c>
      <c r="W47" s="105"/>
    </row>
    <row r="48" ht="12.75" customHeight="1">
      <c r="A48" s="119" t="s">
        <v>26</v>
      </c>
      <c r="B48" s="130" t="s">
        <v>28</v>
      </c>
      <c r="C48" s="120" t="s">
        <v>66</v>
      </c>
      <c r="D48" s="131"/>
      <c r="E48" s="120"/>
      <c r="F48" s="120" t="s">
        <v>69</v>
      </c>
      <c r="G48" s="185">
        <v>2.0</v>
      </c>
      <c r="H48" s="185">
        <v>0.0</v>
      </c>
      <c r="I48" s="185">
        <v>0.0</v>
      </c>
      <c r="J48" s="185">
        <v>0.0</v>
      </c>
      <c r="K48" s="185">
        <v>0.0</v>
      </c>
      <c r="L48" s="185">
        <v>0.0</v>
      </c>
      <c r="M48" s="185">
        <v>0.0</v>
      </c>
      <c r="N48" s="185">
        <v>0.0</v>
      </c>
      <c r="O48" s="185">
        <v>0.0</v>
      </c>
      <c r="P48" s="185">
        <v>0.0</v>
      </c>
      <c r="Q48" s="185">
        <v>0.0</v>
      </c>
      <c r="R48" s="185">
        <v>0.0</v>
      </c>
      <c r="S48" s="185">
        <v>0.0</v>
      </c>
      <c r="T48" s="185">
        <v>0.0</v>
      </c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66</v>
      </c>
      <c r="D49" s="131"/>
      <c r="E49" s="120"/>
      <c r="F49" s="120" t="s">
        <v>70</v>
      </c>
      <c r="G49" s="185">
        <v>0.0</v>
      </c>
      <c r="H49" s="185">
        <v>0.0</v>
      </c>
      <c r="I49" s="185">
        <v>0.0</v>
      </c>
      <c r="J49" s="185">
        <v>0.0</v>
      </c>
      <c r="K49" s="185">
        <v>0.0</v>
      </c>
      <c r="L49" s="185">
        <v>0.0</v>
      </c>
      <c r="M49" s="185">
        <v>0.0</v>
      </c>
      <c r="N49" s="185">
        <v>0.0</v>
      </c>
      <c r="O49" s="185">
        <v>0.0</v>
      </c>
      <c r="P49" s="185">
        <v>0.0</v>
      </c>
      <c r="Q49" s="185">
        <v>0.0</v>
      </c>
      <c r="R49" s="185">
        <v>0.0</v>
      </c>
      <c r="S49" s="185">
        <v>0.0</v>
      </c>
      <c r="T49" s="185">
        <v>0.0</v>
      </c>
      <c r="U49" s="104">
        <f t="shared" si="2"/>
        <v>0</v>
      </c>
      <c r="V49" s="104">
        <f t="shared" si="3"/>
        <v>0</v>
      </c>
      <c r="W49" s="105"/>
    </row>
    <row r="50" ht="12.75" customHeight="1">
      <c r="A50" s="119" t="s">
        <v>26</v>
      </c>
      <c r="B50" s="130" t="s">
        <v>28</v>
      </c>
      <c r="C50" s="120" t="s">
        <v>66</v>
      </c>
      <c r="D50" s="131"/>
      <c r="E50" s="120"/>
      <c r="F50" s="120" t="s">
        <v>71</v>
      </c>
      <c r="G50" s="185">
        <v>2.0</v>
      </c>
      <c r="H50" s="185">
        <v>1.0</v>
      </c>
      <c r="I50" s="185">
        <v>0.0</v>
      </c>
      <c r="J50" s="185">
        <v>1.0</v>
      </c>
      <c r="K50" s="185">
        <v>0.0</v>
      </c>
      <c r="L50" s="185">
        <v>0.0</v>
      </c>
      <c r="M50" s="185">
        <v>5.0</v>
      </c>
      <c r="N50" s="185">
        <v>1.0</v>
      </c>
      <c r="O50" s="185">
        <v>0.0</v>
      </c>
      <c r="P50" s="185">
        <v>0.0</v>
      </c>
      <c r="Q50" s="185">
        <v>0.0</v>
      </c>
      <c r="R50" s="185">
        <v>0.0</v>
      </c>
      <c r="S50" s="185">
        <v>0.0</v>
      </c>
      <c r="T50" s="185">
        <v>0.0</v>
      </c>
      <c r="U50" s="104">
        <f t="shared" si="2"/>
        <v>0</v>
      </c>
      <c r="V50" s="104">
        <f t="shared" si="3"/>
        <v>0.5</v>
      </c>
      <c r="W50" s="105"/>
    </row>
    <row r="51" ht="12.75" customHeight="1">
      <c r="A51" s="106" t="s">
        <v>26</v>
      </c>
      <c r="B51" s="109" t="s">
        <v>29</v>
      </c>
      <c r="C51" s="109"/>
      <c r="D51" s="132" t="s">
        <v>52</v>
      </c>
      <c r="E51" s="109" t="s">
        <v>72</v>
      </c>
      <c r="F51" s="133" t="s">
        <v>29</v>
      </c>
      <c r="G51" s="185">
        <v>1.0</v>
      </c>
      <c r="H51" s="185">
        <v>1.0</v>
      </c>
      <c r="I51" s="185">
        <v>1.0</v>
      </c>
      <c r="J51" s="185">
        <v>0.0</v>
      </c>
      <c r="K51" s="185">
        <v>0.0</v>
      </c>
      <c r="L51" s="185">
        <v>0.0</v>
      </c>
      <c r="M51" s="185">
        <v>1.0</v>
      </c>
      <c r="N51" s="185">
        <v>1.0</v>
      </c>
      <c r="O51" s="185">
        <v>1.0</v>
      </c>
      <c r="P51" s="185">
        <v>0.0</v>
      </c>
      <c r="Q51" s="185">
        <v>0.0</v>
      </c>
      <c r="R51" s="185">
        <v>0.0</v>
      </c>
      <c r="S51" s="185">
        <v>0.0</v>
      </c>
      <c r="T51" s="185">
        <v>876.0</v>
      </c>
      <c r="U51" s="104">
        <f t="shared" si="2"/>
        <v>1</v>
      </c>
      <c r="V51" s="104">
        <f t="shared" si="3"/>
        <v>1</v>
      </c>
      <c r="W51" s="105"/>
    </row>
    <row r="52" ht="13.5" customHeight="1">
      <c r="A52" s="113" t="s">
        <v>26</v>
      </c>
      <c r="B52" s="114" t="s">
        <v>29</v>
      </c>
      <c r="C52" s="114"/>
      <c r="D52" s="134"/>
      <c r="E52" s="114" t="s">
        <v>59</v>
      </c>
      <c r="F52" s="114" t="s">
        <v>73</v>
      </c>
      <c r="G52" s="185">
        <v>0.0</v>
      </c>
      <c r="H52" s="185">
        <v>0.0</v>
      </c>
      <c r="I52" s="185">
        <v>0.0</v>
      </c>
      <c r="J52" s="185">
        <v>0.0</v>
      </c>
      <c r="K52" s="185">
        <v>0.0</v>
      </c>
      <c r="L52" s="185">
        <v>0.0</v>
      </c>
      <c r="M52" s="185">
        <v>0.0</v>
      </c>
      <c r="N52" s="185">
        <v>0.0</v>
      </c>
      <c r="O52" s="185">
        <v>0.0</v>
      </c>
      <c r="P52" s="185">
        <v>0.0</v>
      </c>
      <c r="Q52" s="185">
        <v>0.0</v>
      </c>
      <c r="R52" s="185">
        <v>0.0</v>
      </c>
      <c r="S52" s="185">
        <v>0.0</v>
      </c>
      <c r="T52" s="185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13" t="s">
        <v>26</v>
      </c>
      <c r="B53" s="114" t="s">
        <v>29</v>
      </c>
      <c r="C53" s="114"/>
      <c r="D53" s="134"/>
      <c r="E53" s="114" t="s">
        <v>72</v>
      </c>
      <c r="F53" s="114" t="s">
        <v>74</v>
      </c>
      <c r="G53" s="185">
        <v>0.0</v>
      </c>
      <c r="H53" s="185">
        <v>0.0</v>
      </c>
      <c r="I53" s="185">
        <v>0.0</v>
      </c>
      <c r="J53" s="185">
        <v>0.0</v>
      </c>
      <c r="K53" s="185">
        <v>0.0</v>
      </c>
      <c r="L53" s="185">
        <v>0.0</v>
      </c>
      <c r="M53" s="185">
        <v>0.0</v>
      </c>
      <c r="N53" s="185">
        <v>0.0</v>
      </c>
      <c r="O53" s="185">
        <v>0.0</v>
      </c>
      <c r="P53" s="185">
        <v>0.0</v>
      </c>
      <c r="Q53" s="185">
        <v>0.0</v>
      </c>
      <c r="R53" s="185">
        <v>0.0</v>
      </c>
      <c r="S53" s="185">
        <v>0.0</v>
      </c>
      <c r="T53" s="185">
        <v>0.0</v>
      </c>
      <c r="U53" s="104">
        <f t="shared" si="2"/>
        <v>0</v>
      </c>
      <c r="V53" s="104">
        <f t="shared" si="3"/>
        <v>0</v>
      </c>
      <c r="W53" s="105"/>
    </row>
    <row r="54" ht="13.5" customHeight="1">
      <c r="A54" s="135" t="s">
        <v>26</v>
      </c>
      <c r="B54" s="127" t="s">
        <v>29</v>
      </c>
      <c r="C54" s="117" t="s">
        <v>75</v>
      </c>
      <c r="D54" s="136" t="s">
        <v>52</v>
      </c>
      <c r="E54" s="117" t="s">
        <v>76</v>
      </c>
      <c r="F54" s="117" t="s">
        <v>75</v>
      </c>
      <c r="G54" s="103">
        <v>0.0</v>
      </c>
      <c r="H54" s="103">
        <v>0.0</v>
      </c>
      <c r="I54" s="103">
        <v>0.0</v>
      </c>
      <c r="J54" s="103">
        <v>0.0</v>
      </c>
      <c r="K54" s="103">
        <v>0.0</v>
      </c>
      <c r="L54" s="103">
        <v>0.0</v>
      </c>
      <c r="M54" s="103">
        <v>0.0</v>
      </c>
      <c r="N54" s="103">
        <v>0.0</v>
      </c>
      <c r="O54" s="103">
        <v>0.0</v>
      </c>
      <c r="P54" s="103">
        <v>0.0</v>
      </c>
      <c r="Q54" s="103">
        <v>0.0</v>
      </c>
      <c r="R54" s="103">
        <v>0.0</v>
      </c>
      <c r="S54" s="103">
        <v>0.0</v>
      </c>
      <c r="T54" s="103">
        <v>0.0</v>
      </c>
      <c r="U54" s="104">
        <f t="shared" si="2"/>
        <v>0</v>
      </c>
      <c r="V54" s="104">
        <f t="shared" si="3"/>
        <v>0</v>
      </c>
      <c r="W54" s="105"/>
    </row>
    <row r="55" ht="13.5" customHeight="1">
      <c r="A55" s="137" t="s">
        <v>26</v>
      </c>
      <c r="B55" s="130" t="s">
        <v>29</v>
      </c>
      <c r="C55" s="120" t="s">
        <v>75</v>
      </c>
      <c r="D55" s="138"/>
      <c r="E55" s="120" t="s">
        <v>59</v>
      </c>
      <c r="F55" s="120" t="s">
        <v>77</v>
      </c>
      <c r="G55" s="103">
        <v>0.0</v>
      </c>
      <c r="H55" s="103">
        <v>0.0</v>
      </c>
      <c r="I55" s="103">
        <v>0.0</v>
      </c>
      <c r="J55" s="103">
        <v>0.0</v>
      </c>
      <c r="K55" s="103">
        <v>0.0</v>
      </c>
      <c r="L55" s="103">
        <v>0.0</v>
      </c>
      <c r="M55" s="103">
        <v>0.0</v>
      </c>
      <c r="N55" s="103">
        <v>0.0</v>
      </c>
      <c r="O55" s="103">
        <v>0.0</v>
      </c>
      <c r="P55" s="103">
        <v>0.0</v>
      </c>
      <c r="Q55" s="103">
        <v>0.0</v>
      </c>
      <c r="R55" s="103">
        <v>0.0</v>
      </c>
      <c r="S55" s="103">
        <v>0.0</v>
      </c>
      <c r="T55" s="103">
        <v>0.0</v>
      </c>
      <c r="U55" s="104">
        <f t="shared" si="2"/>
        <v>0</v>
      </c>
      <c r="V55" s="104">
        <f t="shared" si="3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75</v>
      </c>
      <c r="D56" s="138"/>
      <c r="E56" s="120" t="s">
        <v>59</v>
      </c>
      <c r="F56" s="120" t="s">
        <v>78</v>
      </c>
      <c r="G56" s="185">
        <v>0.0</v>
      </c>
      <c r="H56" s="185">
        <v>0.0</v>
      </c>
      <c r="I56" s="185">
        <v>0.0</v>
      </c>
      <c r="J56" s="185">
        <v>0.0</v>
      </c>
      <c r="K56" s="185">
        <v>0.0</v>
      </c>
      <c r="L56" s="185">
        <v>0.0</v>
      </c>
      <c r="M56" s="185">
        <v>0.0</v>
      </c>
      <c r="N56" s="185">
        <v>0.0</v>
      </c>
      <c r="O56" s="185">
        <v>0.0</v>
      </c>
      <c r="P56" s="185">
        <v>0.0</v>
      </c>
      <c r="Q56" s="185">
        <v>0.0</v>
      </c>
      <c r="R56" s="185">
        <v>0.0</v>
      </c>
      <c r="S56" s="185">
        <v>0.0</v>
      </c>
      <c r="T56" s="185">
        <v>0.0</v>
      </c>
      <c r="U56" s="104">
        <f t="shared" si="2"/>
        <v>0</v>
      </c>
      <c r="V56" s="104">
        <f t="shared" si="3"/>
        <v>0</v>
      </c>
      <c r="W56" s="105"/>
    </row>
    <row r="57" ht="13.5" customHeight="1">
      <c r="A57" s="137" t="s">
        <v>26</v>
      </c>
      <c r="B57" s="130" t="s">
        <v>29</v>
      </c>
      <c r="C57" s="120" t="s">
        <v>75</v>
      </c>
      <c r="D57" s="138"/>
      <c r="E57" s="120" t="s">
        <v>59</v>
      </c>
      <c r="F57" s="120" t="s">
        <v>79</v>
      </c>
      <c r="G57" s="185">
        <v>0.0</v>
      </c>
      <c r="H57" s="185">
        <v>0.0</v>
      </c>
      <c r="I57" s="185">
        <v>0.0</v>
      </c>
      <c r="J57" s="185">
        <v>0.0</v>
      </c>
      <c r="K57" s="185">
        <v>0.0</v>
      </c>
      <c r="L57" s="185">
        <v>0.0</v>
      </c>
      <c r="M57" s="185">
        <v>0.0</v>
      </c>
      <c r="N57" s="185">
        <v>0.0</v>
      </c>
      <c r="O57" s="185">
        <v>0.0</v>
      </c>
      <c r="P57" s="185">
        <v>0.0</v>
      </c>
      <c r="Q57" s="185">
        <v>0.0</v>
      </c>
      <c r="R57" s="185">
        <v>0.0</v>
      </c>
      <c r="S57" s="185">
        <v>0.0</v>
      </c>
      <c r="T57" s="185">
        <v>0.0</v>
      </c>
      <c r="U57" s="104">
        <f t="shared" si="2"/>
        <v>0</v>
      </c>
      <c r="V57" s="104">
        <f t="shared" si="3"/>
        <v>0</v>
      </c>
      <c r="W57" s="105"/>
    </row>
    <row r="58" ht="13.5" customHeight="1">
      <c r="A58" s="137" t="s">
        <v>26</v>
      </c>
      <c r="B58" s="130" t="s">
        <v>29</v>
      </c>
      <c r="C58" s="120" t="s">
        <v>75</v>
      </c>
      <c r="D58" s="138"/>
      <c r="E58" s="120" t="s">
        <v>80</v>
      </c>
      <c r="F58" s="120" t="s">
        <v>81</v>
      </c>
      <c r="G58" s="185">
        <v>0.0</v>
      </c>
      <c r="H58" s="185">
        <v>0.0</v>
      </c>
      <c r="I58" s="185">
        <v>0.0</v>
      </c>
      <c r="J58" s="185">
        <v>0.0</v>
      </c>
      <c r="K58" s="185">
        <v>0.0</v>
      </c>
      <c r="L58" s="185">
        <v>0.0</v>
      </c>
      <c r="M58" s="185">
        <v>0.0</v>
      </c>
      <c r="N58" s="185">
        <v>0.0</v>
      </c>
      <c r="O58" s="185">
        <v>0.0</v>
      </c>
      <c r="P58" s="185">
        <v>0.0</v>
      </c>
      <c r="Q58" s="185">
        <v>0.0</v>
      </c>
      <c r="R58" s="185">
        <v>0.0</v>
      </c>
      <c r="S58" s="185">
        <v>0.0</v>
      </c>
      <c r="T58" s="185">
        <v>0.0</v>
      </c>
      <c r="U58" s="104">
        <f t="shared" si="2"/>
        <v>0</v>
      </c>
      <c r="V58" s="104">
        <f t="shared" si="3"/>
        <v>0</v>
      </c>
      <c r="W58" s="105"/>
    </row>
    <row r="59" ht="15.0" customHeight="1">
      <c r="A59" s="106" t="s">
        <v>26</v>
      </c>
      <c r="B59" s="107" t="s">
        <v>30</v>
      </c>
      <c r="C59" s="107"/>
      <c r="D59" s="109" t="s">
        <v>52</v>
      </c>
      <c r="E59" s="107" t="s">
        <v>82</v>
      </c>
      <c r="F59" s="107" t="s">
        <v>30</v>
      </c>
      <c r="G59" s="103">
        <v>6.0</v>
      </c>
      <c r="H59" s="103">
        <v>2.0</v>
      </c>
      <c r="I59" s="103">
        <v>2.0</v>
      </c>
      <c r="J59" s="103">
        <v>0.0</v>
      </c>
      <c r="K59" s="103">
        <v>0.0</v>
      </c>
      <c r="L59" s="103">
        <v>0.0</v>
      </c>
      <c r="M59" s="103">
        <v>1.0</v>
      </c>
      <c r="N59" s="103">
        <v>2.0</v>
      </c>
      <c r="O59" s="103">
        <v>2.0</v>
      </c>
      <c r="P59" s="103">
        <v>0.0</v>
      </c>
      <c r="Q59" s="103">
        <v>0.0</v>
      </c>
      <c r="R59" s="103">
        <v>0.0</v>
      </c>
      <c r="S59" s="103">
        <v>0.0</v>
      </c>
      <c r="T59" s="103">
        <v>3000.0</v>
      </c>
      <c r="U59" s="104">
        <f t="shared" si="2"/>
        <v>1</v>
      </c>
      <c r="V59" s="104">
        <f t="shared" si="3"/>
        <v>0.3333333333</v>
      </c>
      <c r="W59" s="105"/>
    </row>
    <row r="60" ht="15.0" customHeight="1">
      <c r="A60" s="110" t="s">
        <v>26</v>
      </c>
      <c r="B60" s="111" t="s">
        <v>30</v>
      </c>
      <c r="C60" s="111" t="s">
        <v>83</v>
      </c>
      <c r="D60" s="111" t="s">
        <v>52</v>
      </c>
      <c r="E60" s="111" t="s">
        <v>82</v>
      </c>
      <c r="F60" s="111" t="s">
        <v>83</v>
      </c>
      <c r="G60" s="185">
        <v>2.0</v>
      </c>
      <c r="H60" s="185">
        <v>1.0</v>
      </c>
      <c r="I60" s="185">
        <v>1.0</v>
      </c>
      <c r="J60" s="185">
        <v>1.0</v>
      </c>
      <c r="K60" s="185">
        <v>1.0</v>
      </c>
      <c r="L60" s="185">
        <v>0.0</v>
      </c>
      <c r="M60" s="185">
        <v>12.0</v>
      </c>
      <c r="N60" s="185">
        <v>1.0</v>
      </c>
      <c r="O60" s="185">
        <v>1.0</v>
      </c>
      <c r="P60" s="185">
        <v>0.0</v>
      </c>
      <c r="Q60" s="185">
        <v>0.0</v>
      </c>
      <c r="R60" s="185">
        <v>0.0</v>
      </c>
      <c r="S60" s="185">
        <v>0.0</v>
      </c>
      <c r="T60" s="185">
        <v>1328.0</v>
      </c>
      <c r="U60" s="104">
        <f t="shared" si="2"/>
        <v>1</v>
      </c>
      <c r="V60" s="104">
        <f t="shared" si="3"/>
        <v>0.5</v>
      </c>
      <c r="W60" s="105"/>
    </row>
    <row r="61" ht="15.0" customHeight="1">
      <c r="A61" s="113" t="s">
        <v>26</v>
      </c>
      <c r="B61" s="114" t="s">
        <v>30</v>
      </c>
      <c r="C61" s="114" t="s">
        <v>83</v>
      </c>
      <c r="D61" s="139"/>
      <c r="E61" s="114" t="s">
        <v>82</v>
      </c>
      <c r="F61" s="114" t="s">
        <v>84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20.25" customHeight="1">
      <c r="A62" s="93" t="s">
        <v>36</v>
      </c>
      <c r="B62" s="94" t="s">
        <v>37</v>
      </c>
      <c r="C62" s="94" t="s">
        <v>38</v>
      </c>
      <c r="D62" s="95"/>
      <c r="E62" s="96" t="s">
        <v>39</v>
      </c>
      <c r="F62" s="94" t="s">
        <v>40</v>
      </c>
      <c r="G62" s="97" t="s">
        <v>41</v>
      </c>
      <c r="H62" s="97" t="s">
        <v>42</v>
      </c>
      <c r="I62" s="97" t="s">
        <v>43</v>
      </c>
      <c r="J62" s="97" t="s">
        <v>12</v>
      </c>
      <c r="K62" s="97" t="s">
        <v>44</v>
      </c>
      <c r="L62" s="97" t="s">
        <v>14</v>
      </c>
      <c r="M62" s="97" t="s">
        <v>9</v>
      </c>
      <c r="N62" s="97" t="s">
        <v>10</v>
      </c>
      <c r="O62" s="97" t="s">
        <v>45</v>
      </c>
      <c r="P62" s="97" t="s">
        <v>5</v>
      </c>
      <c r="Q62" s="97" t="s">
        <v>46</v>
      </c>
      <c r="R62" s="97" t="s">
        <v>47</v>
      </c>
      <c r="S62" s="97" t="s">
        <v>48</v>
      </c>
      <c r="T62" s="97" t="s">
        <v>0</v>
      </c>
      <c r="U62" s="96" t="s">
        <v>49</v>
      </c>
      <c r="V62" s="96" t="s">
        <v>50</v>
      </c>
      <c r="W62" s="98"/>
    </row>
    <row r="63" ht="12.75" customHeight="1">
      <c r="A63" s="140" t="s">
        <v>31</v>
      </c>
      <c r="B63" s="141"/>
      <c r="C63" s="141"/>
      <c r="D63" s="142" t="s">
        <v>52</v>
      </c>
      <c r="E63" s="102" t="s">
        <v>85</v>
      </c>
      <c r="F63" s="102" t="s">
        <v>31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ref="U63:U67" si="4">IFERROR(I63/H63,0)</f>
        <v>0</v>
      </c>
      <c r="V63" s="104">
        <f t="shared" ref="V63:V67" si="5">IFERROR(SUM(H63+L63)/G63,0)</f>
        <v>0</v>
      </c>
      <c r="W63" s="105"/>
    </row>
    <row r="64" ht="12.75" customHeight="1">
      <c r="A64" s="143" t="s">
        <v>31</v>
      </c>
      <c r="B64" s="144"/>
      <c r="C64" s="127" t="s">
        <v>86</v>
      </c>
      <c r="D64" s="127" t="s">
        <v>52</v>
      </c>
      <c r="E64" s="127"/>
      <c r="F64" s="127" t="s">
        <v>86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45">
        <f t="shared" si="4"/>
        <v>0</v>
      </c>
      <c r="V64" s="145">
        <f t="shared" si="5"/>
        <v>0</v>
      </c>
      <c r="W64" s="146"/>
    </row>
    <row r="65" ht="12.75" customHeight="1">
      <c r="A65" s="147" t="s">
        <v>31</v>
      </c>
      <c r="B65" s="148"/>
      <c r="C65" s="120" t="s">
        <v>86</v>
      </c>
      <c r="D65" s="117"/>
      <c r="E65" s="120"/>
      <c r="F65" s="120" t="s">
        <v>87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5">
        <f t="shared" si="4"/>
        <v>0</v>
      </c>
      <c r="V65" s="145">
        <f t="shared" si="5"/>
        <v>0</v>
      </c>
      <c r="W65" s="146"/>
    </row>
    <row r="66" ht="12.75" customHeight="1">
      <c r="A66" s="149" t="s">
        <v>31</v>
      </c>
      <c r="B66" s="150"/>
      <c r="C66" s="151" t="s">
        <v>88</v>
      </c>
      <c r="D66" s="151"/>
      <c r="E66" s="151"/>
      <c r="F66" s="151" t="s">
        <v>88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5">
        <f t="shared" si="4"/>
        <v>0</v>
      </c>
      <c r="V66" s="145">
        <f t="shared" si="5"/>
        <v>0</v>
      </c>
      <c r="W66" s="146"/>
    </row>
    <row r="67" ht="12.75" customHeight="1">
      <c r="A67" s="152" t="s">
        <v>31</v>
      </c>
      <c r="B67" s="153"/>
      <c r="C67" s="154" t="s">
        <v>88</v>
      </c>
      <c r="D67" s="151"/>
      <c r="E67" s="154" t="s">
        <v>89</v>
      </c>
      <c r="F67" s="154" t="s">
        <v>90</v>
      </c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45">
        <f t="shared" si="4"/>
        <v>0</v>
      </c>
      <c r="V67" s="145">
        <f t="shared" si="5"/>
        <v>0</v>
      </c>
      <c r="W67" s="146"/>
    </row>
    <row r="68" ht="20.25" customHeight="1">
      <c r="A68" s="93" t="s">
        <v>36</v>
      </c>
      <c r="B68" s="94" t="s">
        <v>37</v>
      </c>
      <c r="C68" s="94" t="s">
        <v>38</v>
      </c>
      <c r="D68" s="95"/>
      <c r="E68" s="96" t="s">
        <v>39</v>
      </c>
      <c r="F68" s="94" t="s">
        <v>40</v>
      </c>
      <c r="G68" s="97" t="s">
        <v>41</v>
      </c>
      <c r="H68" s="97" t="s">
        <v>42</v>
      </c>
      <c r="I68" s="97" t="s">
        <v>43</v>
      </c>
      <c r="J68" s="97" t="s">
        <v>12</v>
      </c>
      <c r="K68" s="97" t="s">
        <v>44</v>
      </c>
      <c r="L68" s="97" t="s">
        <v>14</v>
      </c>
      <c r="M68" s="97" t="s">
        <v>9</v>
      </c>
      <c r="N68" s="97" t="s">
        <v>10</v>
      </c>
      <c r="O68" s="97" t="s">
        <v>45</v>
      </c>
      <c r="P68" s="97" t="s">
        <v>5</v>
      </c>
      <c r="Q68" s="97" t="s">
        <v>46</v>
      </c>
      <c r="R68" s="97" t="s">
        <v>47</v>
      </c>
      <c r="S68" s="97" t="s">
        <v>48</v>
      </c>
      <c r="T68" s="97" t="s">
        <v>0</v>
      </c>
      <c r="U68" s="96" t="s">
        <v>49</v>
      </c>
      <c r="V68" s="96" t="s">
        <v>50</v>
      </c>
      <c r="W68" s="98"/>
    </row>
    <row r="69" ht="13.5" customHeight="1">
      <c r="A69" s="155" t="s">
        <v>32</v>
      </c>
      <c r="B69" s="156"/>
      <c r="C69" s="157"/>
      <c r="D69" s="158" t="s">
        <v>52</v>
      </c>
      <c r="E69" s="156" t="s">
        <v>91</v>
      </c>
      <c r="F69" s="156" t="s">
        <v>32</v>
      </c>
      <c r="G69" s="185">
        <v>1.0</v>
      </c>
      <c r="H69" s="185">
        <v>1.0</v>
      </c>
      <c r="I69" s="185">
        <v>1.0</v>
      </c>
      <c r="J69" s="185">
        <v>1.0</v>
      </c>
      <c r="K69" s="185">
        <v>1.0</v>
      </c>
      <c r="L69" s="185">
        <v>0.0</v>
      </c>
      <c r="M69" s="185">
        <v>7.0</v>
      </c>
      <c r="N69" s="185">
        <v>1.0</v>
      </c>
      <c r="O69" s="185">
        <v>1.0</v>
      </c>
      <c r="P69" s="185">
        <v>0.0</v>
      </c>
      <c r="Q69" s="185">
        <v>0.0</v>
      </c>
      <c r="R69" s="185">
        <v>0.0</v>
      </c>
      <c r="S69" s="185">
        <v>0.0</v>
      </c>
      <c r="T69" s="185">
        <v>1033.0</v>
      </c>
      <c r="U69" s="104">
        <f t="shared" ref="U69:U78" si="6">IFERROR(I69/H69,0)</f>
        <v>1</v>
      </c>
      <c r="V69" s="104">
        <f t="shared" ref="V69:V78" si="7">IFERROR(SUM(H69+L69)/G69,0)</f>
        <v>1</v>
      </c>
      <c r="W69" s="105"/>
    </row>
    <row r="70" ht="13.5" customHeight="1">
      <c r="A70" s="114" t="s">
        <v>32</v>
      </c>
      <c r="B70" s="114"/>
      <c r="C70" s="159"/>
      <c r="D70" s="134"/>
      <c r="E70" s="114" t="s">
        <v>91</v>
      </c>
      <c r="F70" s="114" t="s">
        <v>92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91</v>
      </c>
      <c r="F71" s="114" t="s">
        <v>93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91</v>
      </c>
      <c r="F72" s="114" t="s">
        <v>94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91</v>
      </c>
      <c r="F73" s="114" t="s">
        <v>95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91</v>
      </c>
      <c r="F74" s="114" t="s">
        <v>96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91</v>
      </c>
      <c r="F75" s="114" t="s">
        <v>97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91</v>
      </c>
      <c r="F76" s="114" t="s">
        <v>98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14" t="s">
        <v>32</v>
      </c>
      <c r="B77" s="114"/>
      <c r="C77" s="114"/>
      <c r="D77" s="160"/>
      <c r="E77" s="114" t="s">
        <v>91</v>
      </c>
      <c r="F77" s="114" t="s">
        <v>99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14" t="s">
        <v>32</v>
      </c>
      <c r="B78" s="114"/>
      <c r="C78" s="114"/>
      <c r="D78" s="160"/>
      <c r="E78" s="114" t="s">
        <v>91</v>
      </c>
      <c r="F78" s="114" t="s">
        <v>100</v>
      </c>
      <c r="G78" s="185">
        <v>3.0</v>
      </c>
      <c r="H78" s="185">
        <v>2.0</v>
      </c>
      <c r="I78" s="185">
        <v>1.0</v>
      </c>
      <c r="J78" s="185">
        <v>0.0</v>
      </c>
      <c r="K78" s="185">
        <v>0.0</v>
      </c>
      <c r="L78" s="185">
        <v>0.0</v>
      </c>
      <c r="M78" s="185">
        <v>2.0</v>
      </c>
      <c r="N78" s="185">
        <v>0.0</v>
      </c>
      <c r="O78" s="185">
        <v>0.0</v>
      </c>
      <c r="P78" s="185">
        <v>0.0</v>
      </c>
      <c r="Q78" s="185">
        <v>0.0</v>
      </c>
      <c r="R78" s="185">
        <v>2.0</v>
      </c>
      <c r="S78" s="185">
        <v>2.0</v>
      </c>
      <c r="T78" s="185">
        <v>2089.0</v>
      </c>
      <c r="U78" s="104">
        <f t="shared" si="6"/>
        <v>0.5</v>
      </c>
      <c r="V78" s="104">
        <f t="shared" si="7"/>
        <v>0.6666666667</v>
      </c>
      <c r="W78" s="105"/>
    </row>
    <row r="79" ht="20.25" customHeight="1">
      <c r="A79" s="93" t="s">
        <v>36</v>
      </c>
      <c r="B79" s="94" t="s">
        <v>37</v>
      </c>
      <c r="C79" s="94" t="s">
        <v>38</v>
      </c>
      <c r="D79" s="95"/>
      <c r="E79" s="96" t="s">
        <v>39</v>
      </c>
      <c r="F79" s="94" t="s">
        <v>40</v>
      </c>
      <c r="G79" s="97" t="s">
        <v>41</v>
      </c>
      <c r="H79" s="97" t="s">
        <v>42</v>
      </c>
      <c r="I79" s="97" t="s">
        <v>43</v>
      </c>
      <c r="J79" s="97" t="s">
        <v>12</v>
      </c>
      <c r="K79" s="97" t="s">
        <v>44</v>
      </c>
      <c r="L79" s="97" t="s">
        <v>14</v>
      </c>
      <c r="M79" s="97" t="s">
        <v>9</v>
      </c>
      <c r="N79" s="97" t="s">
        <v>10</v>
      </c>
      <c r="O79" s="97" t="s">
        <v>45</v>
      </c>
      <c r="P79" s="97" t="s">
        <v>5</v>
      </c>
      <c r="Q79" s="97" t="s">
        <v>46</v>
      </c>
      <c r="R79" s="97" t="s">
        <v>47</v>
      </c>
      <c r="S79" s="97" t="s">
        <v>48</v>
      </c>
      <c r="T79" s="97" t="s">
        <v>0</v>
      </c>
      <c r="U79" s="96" t="s">
        <v>49</v>
      </c>
      <c r="V79" s="96" t="s">
        <v>50</v>
      </c>
      <c r="W79" s="98"/>
    </row>
    <row r="80" ht="12.75" customHeight="1">
      <c r="A80" s="161" t="s">
        <v>33</v>
      </c>
      <c r="B80" s="161"/>
      <c r="C80" s="161"/>
      <c r="D80" s="162" t="s">
        <v>52</v>
      </c>
      <c r="E80" s="161" t="s">
        <v>101</v>
      </c>
      <c r="F80" s="161" t="s">
        <v>33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ref="U80:U84" si="8">IFERROR(I80/H80,0)</f>
        <v>0</v>
      </c>
      <c r="V80" s="104">
        <f t="shared" ref="V80:V84" si="9">IFERROR(SUM(H80+L80)/G80,0)</f>
        <v>0</v>
      </c>
      <c r="W80" s="105"/>
    </row>
    <row r="81" ht="12.75" customHeight="1">
      <c r="A81" s="163" t="s">
        <v>33</v>
      </c>
      <c r="B81" s="164"/>
      <c r="C81" s="164"/>
      <c r="D81" s="101"/>
      <c r="E81" s="126" t="s">
        <v>76</v>
      </c>
      <c r="F81" s="126" t="s">
        <v>102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8"/>
        <v>0</v>
      </c>
      <c r="V81" s="104">
        <f t="shared" si="9"/>
        <v>0</v>
      </c>
      <c r="W81" s="105"/>
    </row>
    <row r="82" ht="12.75" customHeight="1">
      <c r="A82" s="165" t="s">
        <v>33</v>
      </c>
      <c r="B82" s="165"/>
      <c r="C82" s="128" t="s">
        <v>103</v>
      </c>
      <c r="D82" s="129" t="s">
        <v>52</v>
      </c>
      <c r="E82" s="117" t="s">
        <v>59</v>
      </c>
      <c r="F82" s="128" t="s">
        <v>103</v>
      </c>
      <c r="G82" s="185">
        <v>1.0</v>
      </c>
      <c r="H82" s="185">
        <v>1.0</v>
      </c>
      <c r="I82" s="185">
        <v>1.0</v>
      </c>
      <c r="J82" s="185">
        <v>0.0</v>
      </c>
      <c r="K82" s="185">
        <v>0.0</v>
      </c>
      <c r="L82" s="185">
        <v>0.0</v>
      </c>
      <c r="M82" s="185">
        <v>2.0</v>
      </c>
      <c r="N82" s="185">
        <v>1.0</v>
      </c>
      <c r="O82" s="185">
        <v>1.0</v>
      </c>
      <c r="P82" s="185">
        <v>0.0</v>
      </c>
      <c r="Q82" s="185">
        <v>0.0</v>
      </c>
      <c r="R82" s="185">
        <v>1.0</v>
      </c>
      <c r="S82" s="185">
        <v>1.0</v>
      </c>
      <c r="T82" s="185">
        <v>1815.84</v>
      </c>
      <c r="U82" s="104">
        <f t="shared" si="8"/>
        <v>1</v>
      </c>
      <c r="V82" s="104">
        <f t="shared" si="9"/>
        <v>1</v>
      </c>
      <c r="W82" s="105"/>
    </row>
    <row r="83" ht="12.75" customHeight="1">
      <c r="A83" s="161" t="s">
        <v>33</v>
      </c>
      <c r="B83" s="161"/>
      <c r="C83" s="111" t="s">
        <v>104</v>
      </c>
      <c r="D83" s="112" t="s">
        <v>52</v>
      </c>
      <c r="E83" s="111" t="s">
        <v>105</v>
      </c>
      <c r="F83" s="111" t="s">
        <v>104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8"/>
        <v>0</v>
      </c>
      <c r="V83" s="104">
        <f t="shared" si="9"/>
        <v>0</v>
      </c>
      <c r="W83" s="105"/>
    </row>
    <row r="84" ht="12.75" customHeight="1">
      <c r="A84" s="163" t="s">
        <v>33</v>
      </c>
      <c r="B84" s="163"/>
      <c r="C84" s="114" t="s">
        <v>104</v>
      </c>
      <c r="D84" s="115"/>
      <c r="E84" s="114" t="s">
        <v>59</v>
      </c>
      <c r="F84" s="114" t="s">
        <v>106</v>
      </c>
      <c r="G84" s="185">
        <v>0.0</v>
      </c>
      <c r="H84" s="185">
        <v>0.0</v>
      </c>
      <c r="I84" s="185">
        <v>0.0</v>
      </c>
      <c r="J84" s="185">
        <v>0.0</v>
      </c>
      <c r="K84" s="185">
        <v>0.0</v>
      </c>
      <c r="L84" s="185">
        <v>0.0</v>
      </c>
      <c r="M84" s="185">
        <v>0.0</v>
      </c>
      <c r="N84" s="185">
        <v>0.0</v>
      </c>
      <c r="O84" s="185">
        <v>0.0</v>
      </c>
      <c r="P84" s="185">
        <v>0.0</v>
      </c>
      <c r="Q84" s="185">
        <v>0.0</v>
      </c>
      <c r="R84" s="185">
        <v>0.0</v>
      </c>
      <c r="S84" s="185">
        <v>0.0</v>
      </c>
      <c r="T84" s="185">
        <v>0.0</v>
      </c>
      <c r="U84" s="104">
        <f t="shared" si="8"/>
        <v>0</v>
      </c>
      <c r="V84" s="104">
        <f t="shared" si="9"/>
        <v>0</v>
      </c>
      <c r="W84" s="105"/>
    </row>
    <row r="85" ht="20.25" customHeight="1">
      <c r="A85" s="93" t="s">
        <v>36</v>
      </c>
      <c r="B85" s="94" t="s">
        <v>37</v>
      </c>
      <c r="C85" s="94" t="s">
        <v>38</v>
      </c>
      <c r="D85" s="95"/>
      <c r="E85" s="96" t="s">
        <v>39</v>
      </c>
      <c r="F85" s="94" t="s">
        <v>40</v>
      </c>
      <c r="G85" s="97" t="s">
        <v>41</v>
      </c>
      <c r="H85" s="97" t="s">
        <v>42</v>
      </c>
      <c r="I85" s="97" t="s">
        <v>43</v>
      </c>
      <c r="J85" s="97" t="s">
        <v>12</v>
      </c>
      <c r="K85" s="97" t="s">
        <v>44</v>
      </c>
      <c r="L85" s="97" t="s">
        <v>14</v>
      </c>
      <c r="M85" s="97" t="s">
        <v>9</v>
      </c>
      <c r="N85" s="97" t="s">
        <v>10</v>
      </c>
      <c r="O85" s="97" t="s">
        <v>45</v>
      </c>
      <c r="P85" s="97" t="s">
        <v>5</v>
      </c>
      <c r="Q85" s="97" t="s">
        <v>46</v>
      </c>
      <c r="R85" s="97" t="s">
        <v>47</v>
      </c>
      <c r="S85" s="97" t="s">
        <v>48</v>
      </c>
      <c r="T85" s="97" t="s">
        <v>0</v>
      </c>
      <c r="U85" s="96" t="s">
        <v>49</v>
      </c>
      <c r="V85" s="96" t="s">
        <v>50</v>
      </c>
      <c r="W85" s="98"/>
    </row>
    <row r="86" ht="13.5" customHeight="1">
      <c r="A86" s="166" t="s">
        <v>34</v>
      </c>
      <c r="B86" s="167"/>
      <c r="C86" s="167"/>
      <c r="D86" s="166" t="s">
        <v>52</v>
      </c>
      <c r="E86" s="166" t="s">
        <v>58</v>
      </c>
      <c r="F86" s="166" t="s">
        <v>34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ref="U86:U102" si="10">IFERROR(I86/H86,0)</f>
        <v>0</v>
      </c>
      <c r="V86" s="104">
        <f t="shared" ref="V86:V102" si="11">IFERROR(SUM(H86+L86)/G86,0)</f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59</v>
      </c>
      <c r="F87" s="168" t="s">
        <v>107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0"/>
        <v>0</v>
      </c>
      <c r="V87" s="104">
        <f t="shared" si="11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58</v>
      </c>
      <c r="F88" s="168" t="s">
        <v>108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76</v>
      </c>
      <c r="F89" s="168" t="s">
        <v>109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68" t="s">
        <v>34</v>
      </c>
      <c r="B90" s="167"/>
      <c r="C90" s="167"/>
      <c r="D90" s="167"/>
      <c r="E90" s="168" t="s">
        <v>62</v>
      </c>
      <c r="F90" s="168" t="s">
        <v>110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68" t="s">
        <v>34</v>
      </c>
      <c r="B91" s="167"/>
      <c r="C91" s="167"/>
      <c r="D91" s="167"/>
      <c r="E91" s="168" t="s">
        <v>58</v>
      </c>
      <c r="F91" s="168" t="s">
        <v>111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112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113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9" t="s">
        <v>34</v>
      </c>
      <c r="B95" s="170"/>
      <c r="C95" s="169"/>
      <c r="D95" s="170"/>
      <c r="E95" s="169"/>
      <c r="F95" s="169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9" t="s">
        <v>34</v>
      </c>
      <c r="B96" s="170"/>
      <c r="C96" s="169"/>
      <c r="D96" s="170"/>
      <c r="E96" s="169"/>
      <c r="F96" s="169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71" t="s">
        <v>34</v>
      </c>
      <c r="B97" s="172"/>
      <c r="C97" s="171" t="s">
        <v>117</v>
      </c>
      <c r="D97" s="173" t="s">
        <v>52</v>
      </c>
      <c r="E97" s="171" t="s">
        <v>105</v>
      </c>
      <c r="F97" s="171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74" t="s">
        <v>34</v>
      </c>
      <c r="B98" s="175"/>
      <c r="C98" s="174" t="s">
        <v>117</v>
      </c>
      <c r="D98" s="175"/>
      <c r="E98" s="174" t="s">
        <v>118</v>
      </c>
      <c r="F98" s="174" t="s">
        <v>119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74" t="s">
        <v>34</v>
      </c>
      <c r="B99" s="175"/>
      <c r="C99" s="174" t="s">
        <v>117</v>
      </c>
      <c r="D99" s="175"/>
      <c r="E99" s="174" t="s">
        <v>120</v>
      </c>
      <c r="F99" s="174" t="s">
        <v>121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74" t="s">
        <v>34</v>
      </c>
      <c r="B100" s="175"/>
      <c r="C100" s="174" t="s">
        <v>117</v>
      </c>
      <c r="D100" s="175"/>
      <c r="E100" s="174"/>
      <c r="F100" s="174" t="s">
        <v>119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6" t="s">
        <v>34</v>
      </c>
      <c r="B101" s="176"/>
      <c r="C101" s="166" t="s">
        <v>122</v>
      </c>
      <c r="D101" s="166" t="s">
        <v>52</v>
      </c>
      <c r="E101" s="166" t="s">
        <v>123</v>
      </c>
      <c r="F101" s="166" t="s">
        <v>122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9" t="s">
        <v>34</v>
      </c>
      <c r="B102" s="170"/>
      <c r="C102" s="169" t="s">
        <v>122</v>
      </c>
      <c r="D102" s="170"/>
      <c r="E102" s="169"/>
      <c r="F102" s="169" t="s">
        <v>124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20.25" customHeight="1">
      <c r="A103" s="93" t="s">
        <v>36</v>
      </c>
      <c r="B103" s="94" t="s">
        <v>37</v>
      </c>
      <c r="C103" s="94" t="s">
        <v>38</v>
      </c>
      <c r="D103" s="95"/>
      <c r="E103" s="96" t="s">
        <v>39</v>
      </c>
      <c r="F103" s="94" t="s">
        <v>40</v>
      </c>
      <c r="G103" s="97" t="s">
        <v>41</v>
      </c>
      <c r="H103" s="97" t="s">
        <v>42</v>
      </c>
      <c r="I103" s="97" t="s">
        <v>43</v>
      </c>
      <c r="J103" s="97" t="s">
        <v>12</v>
      </c>
      <c r="K103" s="97" t="s">
        <v>44</v>
      </c>
      <c r="L103" s="97" t="s">
        <v>14</v>
      </c>
      <c r="M103" s="97" t="s">
        <v>9</v>
      </c>
      <c r="N103" s="97" t="s">
        <v>10</v>
      </c>
      <c r="O103" s="97" t="s">
        <v>45</v>
      </c>
      <c r="P103" s="97" t="s">
        <v>5</v>
      </c>
      <c r="Q103" s="97" t="s">
        <v>46</v>
      </c>
      <c r="R103" s="97" t="s">
        <v>47</v>
      </c>
      <c r="S103" s="97" t="s">
        <v>48</v>
      </c>
      <c r="T103" s="97" t="s">
        <v>0</v>
      </c>
      <c r="U103" s="96" t="s">
        <v>49</v>
      </c>
      <c r="V103" s="96" t="s">
        <v>50</v>
      </c>
      <c r="W103" s="98"/>
    </row>
    <row r="104" ht="20.25" customHeight="1">
      <c r="A104" s="111" t="s">
        <v>35</v>
      </c>
      <c r="B104" s="160"/>
      <c r="C104" s="111"/>
      <c r="D104" s="111" t="s">
        <v>52</v>
      </c>
      <c r="E104" s="111" t="s">
        <v>59</v>
      </c>
      <c r="F104" s="111" t="s">
        <v>35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45">
        <f t="shared" ref="U104:U105" si="12">IFERROR(I104/H104,0)</f>
        <v>0</v>
      </c>
      <c r="V104" s="145">
        <f t="shared" ref="V104:V105" si="13">IFERROR(SUM(H104+L104)/G104,0)</f>
        <v>0</v>
      </c>
      <c r="W104" s="146"/>
    </row>
    <row r="105" ht="20.25" customHeight="1">
      <c r="A105" s="117" t="s">
        <v>35</v>
      </c>
      <c r="B105" s="136"/>
      <c r="C105" s="117" t="s">
        <v>125</v>
      </c>
      <c r="D105" s="117" t="s">
        <v>52</v>
      </c>
      <c r="E105" s="117"/>
      <c r="F105" s="117" t="s">
        <v>125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45">
        <f t="shared" si="12"/>
        <v>0</v>
      </c>
      <c r="V105" s="145">
        <f t="shared" si="13"/>
        <v>0</v>
      </c>
      <c r="W105" s="146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77"/>
      <c r="B618" s="177"/>
      <c r="C618" s="177"/>
      <c r="D618" s="1"/>
      <c r="E618" s="177"/>
      <c r="F618" s="178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80"/>
      <c r="V618" s="180"/>
      <c r="W618" s="180"/>
    </row>
    <row r="619" ht="12.75" customHeight="1">
      <c r="A619" s="177"/>
      <c r="B619" s="177"/>
      <c r="C619" s="177"/>
      <c r="D619" s="1"/>
      <c r="E619" s="177"/>
      <c r="F619" s="178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80"/>
      <c r="V619" s="180"/>
      <c r="W619" s="180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10975.2</v>
      </c>
      <c r="D2" s="10"/>
      <c r="E2" s="11">
        <f t="shared" ref="E2:R2" si="1">SUM(E5,E20,E23,E26,E29,E32)</f>
        <v>10379.2</v>
      </c>
      <c r="F2" s="11">
        <f t="shared" si="1"/>
        <v>36</v>
      </c>
      <c r="G2" s="11">
        <f t="shared" si="1"/>
        <v>13</v>
      </c>
      <c r="H2" s="11">
        <f t="shared" si="1"/>
        <v>7</v>
      </c>
      <c r="I2" s="11">
        <f t="shared" si="1"/>
        <v>3</v>
      </c>
      <c r="J2" s="11">
        <f t="shared" si="1"/>
        <v>3</v>
      </c>
      <c r="K2" s="11">
        <f t="shared" si="1"/>
        <v>7</v>
      </c>
      <c r="L2" s="11">
        <f t="shared" si="1"/>
        <v>2</v>
      </c>
      <c r="M2" s="11">
        <f t="shared" si="1"/>
        <v>36</v>
      </c>
      <c r="N2" s="11">
        <f t="shared" si="1"/>
        <v>5</v>
      </c>
      <c r="O2" s="11">
        <f t="shared" si="1"/>
        <v>3</v>
      </c>
      <c r="P2" s="11">
        <f t="shared" si="1"/>
        <v>9</v>
      </c>
      <c r="Q2" s="11">
        <f t="shared" si="1"/>
        <v>4</v>
      </c>
      <c r="R2" s="11">
        <f t="shared" si="1"/>
        <v>4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64</v>
      </c>
      <c r="D4" s="22"/>
      <c r="E4" s="23">
        <f>IFERROR(C2/H2,0)</f>
        <v>1567.885714</v>
      </c>
      <c r="F4" s="24">
        <f>IFERROR((G2+R2)/F2,0)</f>
        <v>0.4722222222</v>
      </c>
      <c r="G4" s="24">
        <f>IFERROR(H2/G2,0)</f>
        <v>0.5384615385</v>
      </c>
      <c r="H4" s="23">
        <f>(C2/C4)</f>
        <v>171.4875</v>
      </c>
      <c r="I4" s="25"/>
      <c r="J4" s="24">
        <f>IFERROR(J2/I2,0)</f>
        <v>1</v>
      </c>
      <c r="K4" s="25"/>
      <c r="L4" s="24">
        <f>IFERROR(L2/K2,0)</f>
        <v>0.2857142857</v>
      </c>
      <c r="M4" s="26">
        <f>IFERROR(M2/G2,0)</f>
        <v>2.769230769</v>
      </c>
      <c r="N4" s="25"/>
      <c r="O4" s="24">
        <f>IFERROR(O2/N2,0)</f>
        <v>0.6</v>
      </c>
      <c r="P4" s="26"/>
      <c r="Q4" s="24">
        <f>IFERROR(Q2/P2,0)</f>
        <v>0.4444444444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4983</v>
      </c>
      <c r="D5" s="31"/>
      <c r="E5" s="32">
        <f>SUMIFS(T:T,A:A,B5,D:D,"Y")</f>
        <v>4387</v>
      </c>
      <c r="F5" s="11">
        <f>SUMIF(A:A,B5,G:G)</f>
        <v>30</v>
      </c>
      <c r="G5" s="11">
        <f>SUMIF(A:A,B5,H:H)</f>
        <v>10</v>
      </c>
      <c r="H5" s="11">
        <f>SUMIF(A:A,B5,I:I)</f>
        <v>4</v>
      </c>
      <c r="I5" s="11">
        <f>SUMIF(A:A,B5,P:P)</f>
        <v>3</v>
      </c>
      <c r="J5" s="11">
        <f>SUMIF(A:A,B5,Q:Q)</f>
        <v>3</v>
      </c>
      <c r="K5" s="11">
        <f>SUMIF(A:A,B5,R:R)</f>
        <v>6</v>
      </c>
      <c r="L5" s="11">
        <f>SUMIF(A:A,B5,S:S)</f>
        <v>1</v>
      </c>
      <c r="M5" s="11">
        <f>SUMIF(A:A,B5,M:M)</f>
        <v>28</v>
      </c>
      <c r="N5" s="11">
        <f>SUMIF(A:A,B5,N:N)</f>
        <v>2</v>
      </c>
      <c r="O5" s="11">
        <f>SUMIF(A:A,B5,O:O)</f>
        <v>0</v>
      </c>
      <c r="P5" s="11">
        <f>SUMIF(A:A,B5,J:J)</f>
        <v>6</v>
      </c>
      <c r="Q5" s="11">
        <f>SUMIF(A:A,B5,K:K)</f>
        <v>1</v>
      </c>
      <c r="R5" s="33">
        <f>SUMIF(A:A,B5,L:L)</f>
        <v>4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25</v>
      </c>
      <c r="D7" s="39"/>
      <c r="E7" s="40">
        <f>IFERROR(C5/H5,0)</f>
        <v>1245.75</v>
      </c>
      <c r="F7" s="41">
        <f>IFERROR((G5+R5)/F5,0)</f>
        <v>0.4666666667</v>
      </c>
      <c r="G7" s="41">
        <f>IFERROR(H5/G5,0)</f>
        <v>0.4</v>
      </c>
      <c r="H7" s="40">
        <f>(C5/C7)</f>
        <v>199.32</v>
      </c>
      <c r="I7" s="42"/>
      <c r="J7" s="41">
        <f>IFERROR(J5/I5,0)</f>
        <v>1</v>
      </c>
      <c r="K7" s="42"/>
      <c r="L7" s="41">
        <f>IFERROR(L5/K5,0)</f>
        <v>0.1666666667</v>
      </c>
      <c r="M7" s="43">
        <f>IFERROR(M5/SUM(R5+G5,0),"")</f>
        <v>2</v>
      </c>
      <c r="N7" s="42"/>
      <c r="O7" s="41">
        <f>IFERROR(O5/N5,0)</f>
        <v>0</v>
      </c>
      <c r="P7" s="43"/>
      <c r="Q7" s="41">
        <f>IFERROR(Q5/P5,0)</f>
        <v>0.1666666667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SUMIF(B37:B1137,B8,G37:G1137)</f>
        <v>1</v>
      </c>
      <c r="G8" s="50">
        <f>SUMIF(B37:B1137,B8,H37:H1137)</f>
        <v>2</v>
      </c>
      <c r="H8" s="50">
        <f>SUMIF(B37:B1137,B8,I37:I1137)</f>
        <v>0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1</v>
      </c>
      <c r="L8" s="50">
        <f>SUMIF(B37:B1137,B8,S37:S1137)</f>
        <v>0</v>
      </c>
      <c r="M8" s="50">
        <f>SUMIF(B37:B1137,B8,M37:M1137)</f>
        <v>13</v>
      </c>
      <c r="N8" s="50">
        <f>SUMIF(B37:B1137,B8,N37:N1137)</f>
        <v>1</v>
      </c>
      <c r="O8" s="50">
        <f>SUMIF(B37:B1137,B8,O37:O1137)</f>
        <v>0</v>
      </c>
      <c r="P8" s="50">
        <f>SUMIF(B37:B1137,B8,J37:J1137)</f>
        <v>2</v>
      </c>
      <c r="Q8" s="50">
        <f>SUMIF(B37:B1137,B8,K37:K1137)</f>
        <v>0</v>
      </c>
      <c r="R8" s="51">
        <f>SUMIF(B37:B1137,B8,L37:L1137)</f>
        <v>2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0</v>
      </c>
      <c r="F10" s="24">
        <f>IFERROR((G8+R8)/F8,0)</f>
        <v>4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IFERROR(M8/SUM(G8+R8,0),"")</f>
        <v>3.25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1473</v>
      </c>
      <c r="D11" s="60"/>
      <c r="E11" s="48">
        <f>SUMIFS(T:T,B:B,B11,D:D,"Y")</f>
        <v>877</v>
      </c>
      <c r="F11" s="49">
        <f>SUMIF(B39:B1137,B11,G39:G1137)</f>
        <v>22</v>
      </c>
      <c r="G11" s="50">
        <f>SUMIF(B39:B1137,B11,H39:H1137)</f>
        <v>5</v>
      </c>
      <c r="H11" s="50">
        <f>SUMIF(B39:B1137,B11,I39:I1137)</f>
        <v>1</v>
      </c>
      <c r="I11" s="50">
        <f>SUMIF(B39:B1137,B11,P39:P1137)</f>
        <v>1</v>
      </c>
      <c r="J11" s="50">
        <f>SUMIF(B39:B1137,B11,Q39:Q1137)</f>
        <v>1</v>
      </c>
      <c r="K11" s="50">
        <f>SUMIF(B39:B1137,B11,R39:R1137)</f>
        <v>4</v>
      </c>
      <c r="L11" s="50">
        <f>SUMIF(B39:B1137,B11,S39:S1137)</f>
        <v>0</v>
      </c>
      <c r="M11" s="50">
        <f>SUMIF(B39:B1137,B11,M39:M1137)</f>
        <v>8</v>
      </c>
      <c r="N11" s="50">
        <f>SUMIF(B39:B1137,B11,N39:N1137)</f>
        <v>0</v>
      </c>
      <c r="O11" s="50">
        <f>SUMIF(B39:B1137,B11,O39:O1137)</f>
        <v>0</v>
      </c>
      <c r="P11" s="50">
        <f>SUMIF(B39:B1137,B11,J39:J1137)</f>
        <v>2</v>
      </c>
      <c r="Q11" s="50">
        <f>SUMIF(B39:B1137,B11,K39:K1137)</f>
        <v>0</v>
      </c>
      <c r="R11" s="51">
        <f>SUMIF(B39:B1137,B11,L39:L1137)</f>
        <v>2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8</v>
      </c>
      <c r="D13" s="56"/>
      <c r="E13" s="23">
        <f>IFERROR(C11/H11,0)</f>
        <v>1473</v>
      </c>
      <c r="F13" s="24">
        <f>IFERROR((G11+R11)/F11,0)</f>
        <v>0.3181818182</v>
      </c>
      <c r="G13" s="24">
        <f>IFERROR(H11/G11,0)</f>
        <v>0.2</v>
      </c>
      <c r="H13" s="23">
        <f>(C11/C13)</f>
        <v>184.125</v>
      </c>
      <c r="I13" s="25"/>
      <c r="J13" s="24">
        <f>IFERROR(J11/I11,0)</f>
        <v>1</v>
      </c>
      <c r="K13" s="25"/>
      <c r="L13" s="24">
        <f>IFERROR(L11/K11,0)</f>
        <v>0</v>
      </c>
      <c r="M13" s="26">
        <f>IFERROR(M11/SUM(R11+G11,0),"")</f>
        <v>1.142857143</v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1010</v>
      </c>
      <c r="D14" s="60"/>
      <c r="E14" s="48">
        <f>SUMIFS(T:T,B:B,B14,D:D,"Y")</f>
        <v>1010</v>
      </c>
      <c r="F14" s="49">
        <f>SUMIF(B39:B1137,B14,G39:G1137)</f>
        <v>2</v>
      </c>
      <c r="G14" s="50">
        <f>SUMIF(B39:B1137,B14,H39:H1137)</f>
        <v>1</v>
      </c>
      <c r="H14" s="50">
        <f>SUMIF(B39:B1137,B14,I39:I1137)</f>
        <v>1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1</v>
      </c>
      <c r="L14" s="50">
        <f>SUMIF(B39:B1137,B14,S39:S1137)</f>
        <v>1</v>
      </c>
      <c r="M14" s="50">
        <f>SUMIF(B39:B1137,B14,M39:M1137)</f>
        <v>6</v>
      </c>
      <c r="N14" s="50">
        <f>SUMIF(B39:B1137,B14,N39:N1137)</f>
        <v>1</v>
      </c>
      <c r="O14" s="50">
        <f>SUMIF(B39:B1137,B14,O39:O1137)</f>
        <v>0</v>
      </c>
      <c r="P14" s="50">
        <f>SUMIF(B39:B1137,B14,J39:J1137)</f>
        <v>2</v>
      </c>
      <c r="Q14" s="50">
        <f>SUMIF(B39:B1137,B14,K39:K1137)</f>
        <v>1</v>
      </c>
      <c r="R14" s="51">
        <f>SUMIF(B39:B1137,B14,L39:L1137)</f>
        <v>0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8</v>
      </c>
      <c r="D16" s="56"/>
      <c r="E16" s="23">
        <f>IFERROR(C14/H14,0)</f>
        <v>1010</v>
      </c>
      <c r="F16" s="24">
        <f>IFERROR((G14+R14)/F14,0)</f>
        <v>0.5</v>
      </c>
      <c r="G16" s="24">
        <f>IFERROR(H14/G14,0)</f>
        <v>1</v>
      </c>
      <c r="H16" s="23">
        <f>(C14/C16)</f>
        <v>126.25</v>
      </c>
      <c r="I16" s="25"/>
      <c r="J16" s="24">
        <f>IFERROR(J14/I14,0)</f>
        <v>0</v>
      </c>
      <c r="K16" s="25"/>
      <c r="L16" s="24">
        <f>IFERROR(L14/K14,0)</f>
        <v>1</v>
      </c>
      <c r="M16" s="26">
        <f>IFERROR(M14/SUM(R14+G14,0),"")</f>
        <v>6</v>
      </c>
      <c r="N16" s="25"/>
      <c r="O16" s="24">
        <f>IFERROR(O14/N14,0)</f>
        <v>0</v>
      </c>
      <c r="P16" s="26"/>
      <c r="Q16" s="24">
        <f>IFERROR(Q14/P14,0)</f>
        <v>0.5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2500</v>
      </c>
      <c r="D17" s="60"/>
      <c r="E17" s="48">
        <f>SUMIFS(T:T,B:B,B17,D:D,"Y")</f>
        <v>2500</v>
      </c>
      <c r="F17" s="49">
        <f>SUMIF(B45:B1137,B17,G45:G1137)</f>
        <v>5</v>
      </c>
      <c r="G17" s="50">
        <f>SUMIF(B45:B1137,B17,H45:H1137)</f>
        <v>2</v>
      </c>
      <c r="H17" s="50">
        <f>SUMIF(B45:B1137,B17,I45:I1137)</f>
        <v>2</v>
      </c>
      <c r="I17" s="50">
        <f>SUMIF(B45:B1137,B17,P45:P1137)</f>
        <v>2</v>
      </c>
      <c r="J17" s="50">
        <f>SUMIF(B45:B1137,B17,Q45:Q1137)</f>
        <v>2</v>
      </c>
      <c r="K17" s="50">
        <f>SUMIF(B45:B1137,B17,R45:R1137)</f>
        <v>0</v>
      </c>
      <c r="L17" s="50">
        <f>SUMIF(B45:B1137,B17,S45:S1137)</f>
        <v>0</v>
      </c>
      <c r="M17" s="50">
        <f>SUMIF(B45:B1137,B17,M45:M1137)</f>
        <v>1</v>
      </c>
      <c r="N17" s="50">
        <f>SUMIF(B45:B1137,B17,N45:N1137)</f>
        <v>0</v>
      </c>
      <c r="O17" s="50">
        <f>SUMIF(B45:B1137,B17,O45:O1137)</f>
        <v>0</v>
      </c>
      <c r="P17" s="50">
        <f>SUMIF(B45:B1137,B17,J45:J1137)</f>
        <v>0</v>
      </c>
      <c r="Q17" s="50">
        <f>SUMIF(B45:B1137,B17,K45:K1137)</f>
        <v>0</v>
      </c>
      <c r="R17" s="51">
        <f>SUMIF(B45:B1137,B17,L45:L1137)</f>
        <v>0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COUNTIFS(B45:B1137,B17)</f>
        <v>3</v>
      </c>
      <c r="D19" s="56"/>
      <c r="E19" s="23">
        <f>IFERROR(C17/H17,0)</f>
        <v>1250</v>
      </c>
      <c r="F19" s="24">
        <f>IFERROR((G17+R17)/F17,0)</f>
        <v>0.4</v>
      </c>
      <c r="G19" s="24">
        <f>IFERROR(H17/G17,0)</f>
        <v>1</v>
      </c>
      <c r="H19" s="23">
        <f>(C17/C19)</f>
        <v>833.3333333</v>
      </c>
      <c r="I19" s="25"/>
      <c r="J19" s="24">
        <f>IFERROR(J17/I17,0)</f>
        <v>1</v>
      </c>
      <c r="K19" s="25"/>
      <c r="L19" s="24">
        <f>IFERROR(L17/K17,0)</f>
        <v>0</v>
      </c>
      <c r="M19" s="26">
        <f>IFERROR(M17/SUM(R17+G17,0),"")</f>
        <v>0.5</v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3600</v>
      </c>
      <c r="D23" s="31"/>
      <c r="E23" s="64">
        <f>SUMIFS(T:T,A:A,B23,D:D,"Y")</f>
        <v>3600</v>
      </c>
      <c r="F23" s="9">
        <f>SUMIF(A:A,B23,G:G)</f>
        <v>5</v>
      </c>
      <c r="G23" s="11">
        <f>SUMIF(A:A,B23,H:H)</f>
        <v>2</v>
      </c>
      <c r="H23" s="11">
        <f>SUMIF(A:A,B23,I:I)</f>
        <v>2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8</v>
      </c>
      <c r="N23" s="11">
        <f>SUMIF(A:A,B23,N:N)</f>
        <v>2</v>
      </c>
      <c r="O23" s="11">
        <f>SUMIF(A:A,B23,O:O)</f>
        <v>2</v>
      </c>
      <c r="P23" s="11">
        <f>SUMIF(A:A,B23,J:J)</f>
        <v>2</v>
      </c>
      <c r="Q23" s="11">
        <f>SUMIF(A:A,B23,K:K)</f>
        <v>2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1800</v>
      </c>
      <c r="F25" s="24">
        <f>IFERROR((G23+R23)/F23,0)</f>
        <v>0.4</v>
      </c>
      <c r="G25" s="24">
        <f>IFERROR(H23/G23,0)</f>
        <v>1</v>
      </c>
      <c r="H25" s="23">
        <f>(C23/C25)</f>
        <v>360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4</v>
      </c>
      <c r="N25" s="25"/>
      <c r="O25" s="24">
        <f>IFERROR(O23/N23,0)</f>
        <v>1</v>
      </c>
      <c r="P25" s="26"/>
      <c r="Q25" s="24">
        <f>IFERROR(Q23/P23,0)</f>
        <v>1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2392.2</v>
      </c>
      <c r="D26" s="31"/>
      <c r="E26" s="64">
        <f>SUMIFS(T:T,A:A,B26,D:D,"Y")</f>
        <v>2392.2</v>
      </c>
      <c r="F26" s="9">
        <f>SUMIF(A:A,B26,G:G)</f>
        <v>1</v>
      </c>
      <c r="G26" s="11">
        <f>SUMIF(A:A,B26,H:H)</f>
        <v>1</v>
      </c>
      <c r="H26" s="11">
        <f>SUMIF(A:A,B26,I:I)</f>
        <v>1</v>
      </c>
      <c r="I26" s="11">
        <f>SUMIF(A:A,B26,P:P)</f>
        <v>0</v>
      </c>
      <c r="J26" s="11">
        <f>SUMIF(A:A,B26,Q:Q)</f>
        <v>0</v>
      </c>
      <c r="K26" s="11">
        <f>SUMIF(A:A,B26,R:R)</f>
        <v>1</v>
      </c>
      <c r="L26" s="11">
        <f>SUMIF(A:A,B26,S:S)</f>
        <v>1</v>
      </c>
      <c r="M26" s="11">
        <f>SUMIF(A:A,B26,M:M)</f>
        <v>0</v>
      </c>
      <c r="N26" s="11">
        <f>SUMIF(A:A,B26,N:N)</f>
        <v>1</v>
      </c>
      <c r="O26" s="11">
        <f>SUMIF(A:A,B26,O:O)</f>
        <v>1</v>
      </c>
      <c r="P26" s="11">
        <f>SUMIF(A:A,B26,J:J)</f>
        <v>1</v>
      </c>
      <c r="Q26" s="11">
        <f>SUMIF(A:A,B26,K:K)</f>
        <v>1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2392.2</v>
      </c>
      <c r="F28" s="24">
        <f>IFERROR((G26+R26)/F26,0)</f>
        <v>1</v>
      </c>
      <c r="G28" s="24">
        <f>IFERROR(H26/G26,0)</f>
        <v>1</v>
      </c>
      <c r="H28" s="23">
        <f>(C26/C28)</f>
        <v>478.44</v>
      </c>
      <c r="I28" s="25"/>
      <c r="J28" s="24">
        <f>IFERROR(J26/I26,0)</f>
        <v>0</v>
      </c>
      <c r="K28" s="25"/>
      <c r="L28" s="24">
        <f>IFERROR(L26/K26,0)</f>
        <v>1</v>
      </c>
      <c r="M28" s="26">
        <f>IFERROR(M26/SUM(R26+G26,0),"")</f>
        <v>0</v>
      </c>
      <c r="N28" s="25"/>
      <c r="O28" s="24">
        <f>IFERROR(O26/N26,0)</f>
        <v>1</v>
      </c>
      <c r="P28" s="26"/>
      <c r="Q28" s="24">
        <f>IFERROR(Q26/P26,0)</f>
        <v>1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1" si="2">IFERROR(I37/H37,0)</f>
        <v>0</v>
      </c>
      <c r="V37" s="104">
        <f t="shared" ref="V37:V61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85">
        <v>1.0</v>
      </c>
      <c r="H39" s="185">
        <v>1.0</v>
      </c>
      <c r="I39" s="185">
        <v>0.0</v>
      </c>
      <c r="J39" s="185">
        <v>1.0</v>
      </c>
      <c r="K39" s="185">
        <v>0.0</v>
      </c>
      <c r="L39" s="185">
        <v>1.0</v>
      </c>
      <c r="M39" s="185">
        <v>0.0</v>
      </c>
      <c r="N39" s="185">
        <v>1.0</v>
      </c>
      <c r="O39" s="185">
        <v>0.0</v>
      </c>
      <c r="P39" s="185">
        <v>0.0</v>
      </c>
      <c r="Q39" s="185">
        <v>0.0</v>
      </c>
      <c r="R39" s="185">
        <v>0.0</v>
      </c>
      <c r="S39" s="185">
        <v>0.0</v>
      </c>
      <c r="T39" s="103"/>
      <c r="U39" s="104">
        <f t="shared" si="2"/>
        <v>0</v>
      </c>
      <c r="V39" s="104">
        <f t="shared" si="3"/>
        <v>2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85">
        <v>0.0</v>
      </c>
      <c r="H40" s="185">
        <v>0.0</v>
      </c>
      <c r="I40" s="185">
        <v>0.0</v>
      </c>
      <c r="J40" s="185">
        <v>0.0</v>
      </c>
      <c r="K40" s="185">
        <v>0.0</v>
      </c>
      <c r="L40" s="185">
        <v>0.0</v>
      </c>
      <c r="M40" s="185">
        <v>0.0</v>
      </c>
      <c r="N40" s="185">
        <v>0.0</v>
      </c>
      <c r="O40" s="185">
        <v>0.0</v>
      </c>
      <c r="P40" s="185">
        <v>0.0</v>
      </c>
      <c r="Q40" s="185">
        <v>0.0</v>
      </c>
      <c r="R40" s="185">
        <v>0.0</v>
      </c>
      <c r="S40" s="185">
        <v>0.0</v>
      </c>
      <c r="T40" s="185">
        <v>0.0</v>
      </c>
      <c r="U40" s="104">
        <f t="shared" si="2"/>
        <v>0</v>
      </c>
      <c r="V40" s="104">
        <f t="shared" si="3"/>
        <v>0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85">
        <v>0.0</v>
      </c>
      <c r="H41" s="185">
        <v>1.0</v>
      </c>
      <c r="I41" s="185">
        <v>0.0</v>
      </c>
      <c r="J41" s="185">
        <v>1.0</v>
      </c>
      <c r="K41" s="185">
        <v>0.0</v>
      </c>
      <c r="L41" s="185">
        <v>1.0</v>
      </c>
      <c r="M41" s="185">
        <v>13.0</v>
      </c>
      <c r="N41" s="185">
        <v>0.0</v>
      </c>
      <c r="O41" s="185">
        <v>0.0</v>
      </c>
      <c r="P41" s="185">
        <v>0.0</v>
      </c>
      <c r="Q41" s="185">
        <v>0.0</v>
      </c>
      <c r="R41" s="185">
        <v>1.0</v>
      </c>
      <c r="S41" s="185">
        <v>0.0</v>
      </c>
      <c r="T41" s="185">
        <v>0.0</v>
      </c>
      <c r="U41" s="104">
        <f t="shared" si="2"/>
        <v>0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85">
        <v>0.0</v>
      </c>
      <c r="H42" s="185">
        <v>0.0</v>
      </c>
      <c r="I42" s="185">
        <v>0.0</v>
      </c>
      <c r="J42" s="185">
        <v>0.0</v>
      </c>
      <c r="K42" s="185">
        <v>0.0</v>
      </c>
      <c r="L42" s="185">
        <v>0.0</v>
      </c>
      <c r="M42" s="185">
        <v>0.0</v>
      </c>
      <c r="N42" s="185">
        <v>0.0</v>
      </c>
      <c r="O42" s="185">
        <v>0.0</v>
      </c>
      <c r="P42" s="185">
        <v>0.0</v>
      </c>
      <c r="Q42" s="185">
        <v>0.0</v>
      </c>
      <c r="R42" s="185">
        <v>0.0</v>
      </c>
      <c r="S42" s="185">
        <v>0.0</v>
      </c>
      <c r="T42" s="185">
        <v>0.0</v>
      </c>
      <c r="U42" s="104">
        <f t="shared" si="2"/>
        <v>0</v>
      </c>
      <c r="V42" s="104">
        <f t="shared" si="3"/>
        <v>0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85">
        <v>7.0</v>
      </c>
      <c r="H43" s="185">
        <v>1.0</v>
      </c>
      <c r="I43" s="185">
        <v>1.0</v>
      </c>
      <c r="J43" s="185">
        <v>0.0</v>
      </c>
      <c r="K43" s="185">
        <v>0.0</v>
      </c>
      <c r="L43" s="185">
        <v>0.0</v>
      </c>
      <c r="M43" s="185">
        <v>0.0</v>
      </c>
      <c r="N43" s="185">
        <v>0.0</v>
      </c>
      <c r="O43" s="185">
        <v>0.0</v>
      </c>
      <c r="P43" s="185">
        <v>1.0</v>
      </c>
      <c r="Q43" s="185">
        <v>1.0</v>
      </c>
      <c r="R43" s="185">
        <v>0.0</v>
      </c>
      <c r="S43" s="185">
        <v>0.0</v>
      </c>
      <c r="T43" s="185">
        <v>877.0</v>
      </c>
      <c r="U43" s="104">
        <f t="shared" si="2"/>
        <v>1</v>
      </c>
      <c r="V43" s="104">
        <f t="shared" si="3"/>
        <v>0.1428571429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62</v>
      </c>
      <c r="F44" s="126" t="s">
        <v>63</v>
      </c>
      <c r="G44" s="185">
        <v>0.0</v>
      </c>
      <c r="H44" s="185">
        <v>0.0</v>
      </c>
      <c r="I44" s="185">
        <v>0.0</v>
      </c>
      <c r="J44" s="185">
        <v>0.0</v>
      </c>
      <c r="K44" s="185">
        <v>0.0</v>
      </c>
      <c r="L44" s="185">
        <v>0.0</v>
      </c>
      <c r="M44" s="185">
        <v>0.0</v>
      </c>
      <c r="N44" s="185">
        <v>0.0</v>
      </c>
      <c r="O44" s="185">
        <v>0.0</v>
      </c>
      <c r="P44" s="185">
        <v>0.0</v>
      </c>
      <c r="Q44" s="185">
        <v>0.0</v>
      </c>
      <c r="R44" s="185">
        <v>0.0</v>
      </c>
      <c r="S44" s="185">
        <v>0.0</v>
      </c>
      <c r="T44" s="185">
        <v>0.0</v>
      </c>
      <c r="U44" s="104">
        <f t="shared" si="2"/>
        <v>0</v>
      </c>
      <c r="V44" s="104">
        <f t="shared" si="3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58</v>
      </c>
      <c r="F45" s="126" t="s">
        <v>64</v>
      </c>
      <c r="G45" s="185">
        <v>3.0</v>
      </c>
      <c r="H45" s="185">
        <v>2.0</v>
      </c>
      <c r="I45" s="185">
        <v>0.0</v>
      </c>
      <c r="J45" s="185">
        <v>1.0</v>
      </c>
      <c r="K45" s="185">
        <v>0.0</v>
      </c>
      <c r="L45" s="185">
        <v>2.0</v>
      </c>
      <c r="M45" s="185">
        <v>5.0</v>
      </c>
      <c r="N45" s="185">
        <v>0.0</v>
      </c>
      <c r="O45" s="185">
        <v>0.0</v>
      </c>
      <c r="P45" s="185">
        <v>0.0</v>
      </c>
      <c r="Q45" s="185">
        <v>0.0</v>
      </c>
      <c r="R45" s="185">
        <v>2.0</v>
      </c>
      <c r="S45" s="185">
        <v>0.0</v>
      </c>
      <c r="T45" s="185">
        <v>596.0</v>
      </c>
      <c r="U45" s="104">
        <f t="shared" si="2"/>
        <v>0</v>
      </c>
      <c r="V45" s="104">
        <f t="shared" si="3"/>
        <v>1.333333333</v>
      </c>
      <c r="W45" s="105"/>
    </row>
    <row r="46" ht="12.75" customHeight="1">
      <c r="A46" s="125" t="s">
        <v>26</v>
      </c>
      <c r="B46" s="99" t="s">
        <v>28</v>
      </c>
      <c r="C46" s="126"/>
      <c r="D46" s="101"/>
      <c r="E46" s="126" t="s">
        <v>53</v>
      </c>
      <c r="F46" s="126" t="s">
        <v>65</v>
      </c>
      <c r="G46" s="185">
        <v>1.0</v>
      </c>
      <c r="H46" s="185">
        <v>1.0</v>
      </c>
      <c r="I46" s="185">
        <v>0.0</v>
      </c>
      <c r="J46" s="185">
        <v>0.0</v>
      </c>
      <c r="K46" s="185">
        <v>0.0</v>
      </c>
      <c r="L46" s="185">
        <v>0.0</v>
      </c>
      <c r="M46" s="185">
        <v>0.0</v>
      </c>
      <c r="N46" s="185">
        <v>0.0</v>
      </c>
      <c r="O46" s="185">
        <v>0.0</v>
      </c>
      <c r="P46" s="185">
        <v>0.0</v>
      </c>
      <c r="Q46" s="185">
        <v>0.0</v>
      </c>
      <c r="R46" s="185">
        <v>1.0</v>
      </c>
      <c r="S46" s="185">
        <v>0.0</v>
      </c>
      <c r="T46" s="185">
        <v>0.0</v>
      </c>
      <c r="U46" s="104">
        <f t="shared" si="2"/>
        <v>0</v>
      </c>
      <c r="V46" s="104">
        <f t="shared" si="3"/>
        <v>1</v>
      </c>
      <c r="W46" s="105"/>
    </row>
    <row r="47" ht="12.75" customHeight="1">
      <c r="A47" s="117" t="s">
        <v>26</v>
      </c>
      <c r="B47" s="127" t="s">
        <v>28</v>
      </c>
      <c r="C47" s="128" t="s">
        <v>66</v>
      </c>
      <c r="D47" s="129" t="s">
        <v>52</v>
      </c>
      <c r="E47" s="117" t="s">
        <v>67</v>
      </c>
      <c r="F47" s="128" t="s">
        <v>68</v>
      </c>
      <c r="G47" s="185">
        <v>2.0</v>
      </c>
      <c r="H47" s="185">
        <v>0.0</v>
      </c>
      <c r="I47" s="185">
        <v>0.0</v>
      </c>
      <c r="J47" s="185">
        <v>0.0</v>
      </c>
      <c r="K47" s="185">
        <v>0.0</v>
      </c>
      <c r="L47" s="185">
        <v>0.0</v>
      </c>
      <c r="M47" s="185">
        <v>0.0</v>
      </c>
      <c r="N47" s="185">
        <v>0.0</v>
      </c>
      <c r="O47" s="185">
        <v>0.0</v>
      </c>
      <c r="P47" s="185">
        <v>0.0</v>
      </c>
      <c r="Q47" s="185">
        <v>0.0</v>
      </c>
      <c r="R47" s="185">
        <v>0.0</v>
      </c>
      <c r="S47" s="185">
        <v>0.0</v>
      </c>
      <c r="T47" s="185">
        <v>0.0</v>
      </c>
      <c r="U47" s="104">
        <f t="shared" si="2"/>
        <v>0</v>
      </c>
      <c r="V47" s="104">
        <f t="shared" si="3"/>
        <v>0</v>
      </c>
      <c r="W47" s="105"/>
    </row>
    <row r="48" ht="12.75" customHeight="1">
      <c r="A48" s="119" t="s">
        <v>26</v>
      </c>
      <c r="B48" s="130" t="s">
        <v>28</v>
      </c>
      <c r="C48" s="120" t="s">
        <v>66</v>
      </c>
      <c r="D48" s="131"/>
      <c r="E48" s="120"/>
      <c r="F48" s="120" t="s">
        <v>69</v>
      </c>
      <c r="G48" s="185">
        <v>5.0</v>
      </c>
      <c r="H48" s="185">
        <v>0.0</v>
      </c>
      <c r="I48" s="185">
        <v>0.0</v>
      </c>
      <c r="J48" s="185">
        <v>0.0</v>
      </c>
      <c r="K48" s="185">
        <v>0.0</v>
      </c>
      <c r="L48" s="185">
        <v>0.0</v>
      </c>
      <c r="M48" s="185">
        <v>0.0</v>
      </c>
      <c r="N48" s="185">
        <v>0.0</v>
      </c>
      <c r="O48" s="185">
        <v>0.0</v>
      </c>
      <c r="P48" s="185">
        <v>0.0</v>
      </c>
      <c r="Q48" s="185">
        <v>0.0</v>
      </c>
      <c r="R48" s="185">
        <v>0.0</v>
      </c>
      <c r="S48" s="185">
        <v>0.0</v>
      </c>
      <c r="T48" s="185">
        <v>0.0</v>
      </c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66</v>
      </c>
      <c r="D49" s="131"/>
      <c r="E49" s="120"/>
      <c r="F49" s="120" t="s">
        <v>70</v>
      </c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85"/>
      <c r="T49" s="103"/>
      <c r="U49" s="104">
        <f t="shared" si="2"/>
        <v>0</v>
      </c>
      <c r="V49" s="104">
        <f t="shared" si="3"/>
        <v>0</v>
      </c>
      <c r="W49" s="105"/>
    </row>
    <row r="50" ht="12.75" customHeight="1">
      <c r="A50" s="119" t="s">
        <v>26</v>
      </c>
      <c r="B50" s="130" t="s">
        <v>28</v>
      </c>
      <c r="C50" s="120" t="s">
        <v>66</v>
      </c>
      <c r="D50" s="131"/>
      <c r="E50" s="120"/>
      <c r="F50" s="120" t="s">
        <v>71</v>
      </c>
      <c r="G50" s="185">
        <v>4.0</v>
      </c>
      <c r="H50" s="185">
        <v>1.0</v>
      </c>
      <c r="I50" s="185">
        <v>0.0</v>
      </c>
      <c r="J50" s="185">
        <v>1.0</v>
      </c>
      <c r="K50" s="185">
        <v>0.0</v>
      </c>
      <c r="L50" s="185">
        <v>0.0</v>
      </c>
      <c r="M50" s="185">
        <v>3.0</v>
      </c>
      <c r="N50" s="185">
        <v>0.0</v>
      </c>
      <c r="O50" s="185">
        <v>0.0</v>
      </c>
      <c r="P50" s="185">
        <v>0.0</v>
      </c>
      <c r="Q50" s="185">
        <v>0.0</v>
      </c>
      <c r="R50" s="185">
        <v>1.0</v>
      </c>
      <c r="S50" s="185">
        <v>0.0</v>
      </c>
      <c r="T50" s="185">
        <v>0.0</v>
      </c>
      <c r="U50" s="104">
        <f t="shared" si="2"/>
        <v>0</v>
      </c>
      <c r="V50" s="104">
        <f t="shared" si="3"/>
        <v>0.25</v>
      </c>
      <c r="W50" s="105"/>
    </row>
    <row r="51" ht="12.75" customHeight="1">
      <c r="A51" s="106" t="s">
        <v>26</v>
      </c>
      <c r="B51" s="109" t="s">
        <v>29</v>
      </c>
      <c r="C51" s="109"/>
      <c r="D51" s="132" t="s">
        <v>52</v>
      </c>
      <c r="E51" s="109" t="s">
        <v>72</v>
      </c>
      <c r="F51" s="133" t="s">
        <v>29</v>
      </c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4">
        <f t="shared" si="2"/>
        <v>0</v>
      </c>
      <c r="V51" s="104">
        <f t="shared" si="3"/>
        <v>0</v>
      </c>
      <c r="W51" s="105"/>
    </row>
    <row r="52" ht="13.5" customHeight="1">
      <c r="A52" s="113" t="s">
        <v>26</v>
      </c>
      <c r="B52" s="114" t="s">
        <v>29</v>
      </c>
      <c r="C52" s="114"/>
      <c r="D52" s="134"/>
      <c r="E52" s="114" t="s">
        <v>59</v>
      </c>
      <c r="F52" s="114" t="s">
        <v>73</v>
      </c>
      <c r="G52" s="185">
        <v>0.0</v>
      </c>
      <c r="H52" s="185">
        <v>0.0</v>
      </c>
      <c r="I52" s="185">
        <v>0.0</v>
      </c>
      <c r="J52" s="185">
        <v>0.0</v>
      </c>
      <c r="K52" s="185">
        <v>0.0</v>
      </c>
      <c r="L52" s="185">
        <v>0.0</v>
      </c>
      <c r="M52" s="185">
        <v>0.0</v>
      </c>
      <c r="N52" s="185">
        <v>0.0</v>
      </c>
      <c r="O52" s="185">
        <v>0.0</v>
      </c>
      <c r="P52" s="185">
        <v>0.0</v>
      </c>
      <c r="Q52" s="185">
        <v>0.0</v>
      </c>
      <c r="R52" s="185">
        <v>0.0</v>
      </c>
      <c r="S52" s="185">
        <v>0.0</v>
      </c>
      <c r="T52" s="185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13" t="s">
        <v>26</v>
      </c>
      <c r="B53" s="114" t="s">
        <v>29</v>
      </c>
      <c r="C53" s="114"/>
      <c r="D53" s="134"/>
      <c r="E53" s="114" t="s">
        <v>72</v>
      </c>
      <c r="F53" s="114" t="s">
        <v>74</v>
      </c>
      <c r="G53" s="103">
        <v>0.0</v>
      </c>
      <c r="H53" s="103">
        <v>0.0</v>
      </c>
      <c r="I53" s="103">
        <v>0.0</v>
      </c>
      <c r="J53" s="103">
        <v>0.0</v>
      </c>
      <c r="K53" s="103">
        <v>0.0</v>
      </c>
      <c r="L53" s="103">
        <v>0.0</v>
      </c>
      <c r="M53" s="103">
        <v>0.0</v>
      </c>
      <c r="N53" s="103">
        <v>0.0</v>
      </c>
      <c r="O53" s="103">
        <v>0.0</v>
      </c>
      <c r="P53" s="103">
        <v>0.0</v>
      </c>
      <c r="Q53" s="103">
        <v>0.0</v>
      </c>
      <c r="R53" s="103">
        <v>0.0</v>
      </c>
      <c r="S53" s="103">
        <v>0.0</v>
      </c>
      <c r="T53" s="103">
        <v>0.0</v>
      </c>
      <c r="U53" s="104">
        <f t="shared" si="2"/>
        <v>0</v>
      </c>
      <c r="V53" s="104">
        <f t="shared" si="3"/>
        <v>0</v>
      </c>
      <c r="W53" s="105"/>
    </row>
    <row r="54" ht="13.5" customHeight="1">
      <c r="A54" s="135" t="s">
        <v>26</v>
      </c>
      <c r="B54" s="127" t="s">
        <v>29</v>
      </c>
      <c r="C54" s="117" t="s">
        <v>75</v>
      </c>
      <c r="D54" s="136" t="s">
        <v>52</v>
      </c>
      <c r="E54" s="117" t="s">
        <v>76</v>
      </c>
      <c r="F54" s="117" t="s">
        <v>75</v>
      </c>
      <c r="G54" s="185">
        <v>1.0</v>
      </c>
      <c r="H54" s="185">
        <v>0.0</v>
      </c>
      <c r="I54" s="185">
        <v>1.0</v>
      </c>
      <c r="J54" s="185">
        <v>1.0</v>
      </c>
      <c r="K54" s="185">
        <v>1.0</v>
      </c>
      <c r="L54" s="185">
        <v>0.0</v>
      </c>
      <c r="M54" s="185">
        <v>3.0</v>
      </c>
      <c r="N54" s="185">
        <v>0.0</v>
      </c>
      <c r="O54" s="185">
        <v>0.0</v>
      </c>
      <c r="P54" s="185">
        <v>0.0</v>
      </c>
      <c r="Q54" s="185">
        <v>0.0</v>
      </c>
      <c r="R54" s="185">
        <v>1.0</v>
      </c>
      <c r="S54" s="185">
        <v>1.0</v>
      </c>
      <c r="T54" s="185">
        <v>1010.0</v>
      </c>
      <c r="U54" s="104">
        <f t="shared" si="2"/>
        <v>0</v>
      </c>
      <c r="V54" s="104">
        <f t="shared" si="3"/>
        <v>0</v>
      </c>
      <c r="W54" s="105"/>
    </row>
    <row r="55" ht="13.5" customHeight="1">
      <c r="A55" s="137" t="s">
        <v>26</v>
      </c>
      <c r="B55" s="130" t="s">
        <v>29</v>
      </c>
      <c r="C55" s="120" t="s">
        <v>75</v>
      </c>
      <c r="D55" s="138"/>
      <c r="E55" s="120" t="s">
        <v>59</v>
      </c>
      <c r="F55" s="120" t="s">
        <v>77</v>
      </c>
      <c r="G55" s="185">
        <v>1.0</v>
      </c>
      <c r="H55" s="185">
        <v>1.0</v>
      </c>
      <c r="I55" s="103">
        <v>0.0</v>
      </c>
      <c r="J55" s="185">
        <v>1.0</v>
      </c>
      <c r="K55" s="103">
        <v>0.0</v>
      </c>
      <c r="L55" s="103">
        <v>0.0</v>
      </c>
      <c r="M55" s="185">
        <v>3.0</v>
      </c>
      <c r="N55" s="185">
        <v>1.0</v>
      </c>
      <c r="O55" s="103">
        <v>0.0</v>
      </c>
      <c r="P55" s="103">
        <v>0.0</v>
      </c>
      <c r="Q55" s="103">
        <v>0.0</v>
      </c>
      <c r="R55" s="103">
        <v>0.0</v>
      </c>
      <c r="S55" s="103">
        <v>0.0</v>
      </c>
      <c r="T55" s="103">
        <v>0.0</v>
      </c>
      <c r="U55" s="104">
        <f t="shared" si="2"/>
        <v>0</v>
      </c>
      <c r="V55" s="104">
        <f t="shared" si="3"/>
        <v>1</v>
      </c>
      <c r="W55" s="105"/>
    </row>
    <row r="56" ht="13.5" customHeight="1">
      <c r="A56" s="137" t="s">
        <v>26</v>
      </c>
      <c r="B56" s="130" t="s">
        <v>29</v>
      </c>
      <c r="C56" s="120" t="s">
        <v>75</v>
      </c>
      <c r="D56" s="138"/>
      <c r="E56" s="120" t="s">
        <v>59</v>
      </c>
      <c r="F56" s="120" t="s">
        <v>78</v>
      </c>
      <c r="G56" s="103">
        <v>0.0</v>
      </c>
      <c r="H56" s="103">
        <v>0.0</v>
      </c>
      <c r="I56" s="103">
        <v>0.0</v>
      </c>
      <c r="J56" s="103">
        <v>0.0</v>
      </c>
      <c r="K56" s="103">
        <v>0.0</v>
      </c>
      <c r="L56" s="103">
        <v>0.0</v>
      </c>
      <c r="M56" s="103">
        <v>0.0</v>
      </c>
      <c r="N56" s="103">
        <v>0.0</v>
      </c>
      <c r="O56" s="103">
        <v>0.0</v>
      </c>
      <c r="P56" s="103">
        <v>0.0</v>
      </c>
      <c r="Q56" s="103">
        <v>0.0</v>
      </c>
      <c r="R56" s="103">
        <v>0.0</v>
      </c>
      <c r="S56" s="103">
        <v>0.0</v>
      </c>
      <c r="T56" s="103">
        <v>0.0</v>
      </c>
      <c r="U56" s="104">
        <f t="shared" si="2"/>
        <v>0</v>
      </c>
      <c r="V56" s="104">
        <f t="shared" si="3"/>
        <v>0</v>
      </c>
      <c r="W56" s="105"/>
    </row>
    <row r="57" ht="13.5" customHeight="1">
      <c r="A57" s="137" t="s">
        <v>26</v>
      </c>
      <c r="B57" s="130" t="s">
        <v>29</v>
      </c>
      <c r="C57" s="120" t="s">
        <v>75</v>
      </c>
      <c r="D57" s="138"/>
      <c r="E57" s="120" t="s">
        <v>59</v>
      </c>
      <c r="F57" s="120" t="s">
        <v>79</v>
      </c>
      <c r="G57" s="103">
        <v>0.0</v>
      </c>
      <c r="H57" s="103">
        <v>0.0</v>
      </c>
      <c r="I57" s="103">
        <v>0.0</v>
      </c>
      <c r="J57" s="103">
        <v>0.0</v>
      </c>
      <c r="K57" s="103">
        <v>0.0</v>
      </c>
      <c r="L57" s="103">
        <v>0.0</v>
      </c>
      <c r="M57" s="103">
        <v>0.0</v>
      </c>
      <c r="N57" s="103">
        <v>0.0</v>
      </c>
      <c r="O57" s="103">
        <v>0.0</v>
      </c>
      <c r="P57" s="103">
        <v>0.0</v>
      </c>
      <c r="Q57" s="103">
        <v>0.0</v>
      </c>
      <c r="R57" s="103">
        <v>0.0</v>
      </c>
      <c r="S57" s="103">
        <v>0.0</v>
      </c>
      <c r="T57" s="103">
        <v>0.0</v>
      </c>
      <c r="U57" s="104">
        <f t="shared" si="2"/>
        <v>0</v>
      </c>
      <c r="V57" s="104">
        <f t="shared" si="3"/>
        <v>0</v>
      </c>
      <c r="W57" s="105"/>
    </row>
    <row r="58" ht="13.5" customHeight="1">
      <c r="A58" s="137" t="s">
        <v>26</v>
      </c>
      <c r="B58" s="130" t="s">
        <v>29</v>
      </c>
      <c r="C58" s="120" t="s">
        <v>75</v>
      </c>
      <c r="D58" s="138"/>
      <c r="E58" s="120" t="s">
        <v>80</v>
      </c>
      <c r="F58" s="120" t="s">
        <v>81</v>
      </c>
      <c r="G58" s="103">
        <v>0.0</v>
      </c>
      <c r="H58" s="103">
        <v>0.0</v>
      </c>
      <c r="I58" s="103">
        <v>0.0</v>
      </c>
      <c r="J58" s="103">
        <v>0.0</v>
      </c>
      <c r="K58" s="103">
        <v>0.0</v>
      </c>
      <c r="L58" s="103">
        <v>0.0</v>
      </c>
      <c r="M58" s="103">
        <v>0.0</v>
      </c>
      <c r="N58" s="103">
        <v>0.0</v>
      </c>
      <c r="O58" s="103">
        <v>0.0</v>
      </c>
      <c r="P58" s="103">
        <v>0.0</v>
      </c>
      <c r="Q58" s="103">
        <v>0.0</v>
      </c>
      <c r="R58" s="103">
        <v>0.0</v>
      </c>
      <c r="S58" s="103">
        <v>0.0</v>
      </c>
      <c r="T58" s="103">
        <v>0.0</v>
      </c>
      <c r="U58" s="104">
        <f t="shared" si="2"/>
        <v>0</v>
      </c>
      <c r="V58" s="104">
        <f t="shared" si="3"/>
        <v>0</v>
      </c>
      <c r="W58" s="105"/>
    </row>
    <row r="59" ht="15.0" customHeight="1">
      <c r="A59" s="106" t="s">
        <v>26</v>
      </c>
      <c r="B59" s="107" t="s">
        <v>30</v>
      </c>
      <c r="C59" s="107"/>
      <c r="D59" s="109" t="s">
        <v>52</v>
      </c>
      <c r="E59" s="107" t="s">
        <v>82</v>
      </c>
      <c r="F59" s="107" t="s">
        <v>30</v>
      </c>
      <c r="G59" s="185">
        <v>5.0</v>
      </c>
      <c r="H59" s="185">
        <v>2.0</v>
      </c>
      <c r="I59" s="185">
        <v>2.0</v>
      </c>
      <c r="J59" s="185">
        <v>0.0</v>
      </c>
      <c r="K59" s="185">
        <v>0.0</v>
      </c>
      <c r="L59" s="185">
        <v>0.0</v>
      </c>
      <c r="M59" s="185">
        <v>1.0</v>
      </c>
      <c r="N59" s="185">
        <v>0.0</v>
      </c>
      <c r="O59" s="185">
        <v>0.0</v>
      </c>
      <c r="P59" s="185">
        <v>2.0</v>
      </c>
      <c r="Q59" s="185">
        <v>2.0</v>
      </c>
      <c r="R59" s="185">
        <v>0.0</v>
      </c>
      <c r="S59" s="185">
        <v>0.0</v>
      </c>
      <c r="T59" s="185">
        <v>2500.0</v>
      </c>
      <c r="U59" s="104">
        <f t="shared" si="2"/>
        <v>1</v>
      </c>
      <c r="V59" s="104">
        <f t="shared" si="3"/>
        <v>0.4</v>
      </c>
      <c r="W59" s="105"/>
    </row>
    <row r="60" ht="15.0" customHeight="1">
      <c r="A60" s="110" t="s">
        <v>26</v>
      </c>
      <c r="B60" s="111" t="s">
        <v>30</v>
      </c>
      <c r="C60" s="111" t="s">
        <v>83</v>
      </c>
      <c r="D60" s="111" t="s">
        <v>52</v>
      </c>
      <c r="E60" s="111" t="s">
        <v>82</v>
      </c>
      <c r="F60" s="111" t="s">
        <v>83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13" t="s">
        <v>26</v>
      </c>
      <c r="B61" s="114" t="s">
        <v>30</v>
      </c>
      <c r="C61" s="114" t="s">
        <v>83</v>
      </c>
      <c r="D61" s="139"/>
      <c r="E61" s="114" t="s">
        <v>82</v>
      </c>
      <c r="F61" s="114" t="s">
        <v>84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20.25" customHeight="1">
      <c r="A62" s="93" t="s">
        <v>36</v>
      </c>
      <c r="B62" s="94" t="s">
        <v>37</v>
      </c>
      <c r="C62" s="94" t="s">
        <v>38</v>
      </c>
      <c r="D62" s="95"/>
      <c r="E62" s="96" t="s">
        <v>39</v>
      </c>
      <c r="F62" s="94" t="s">
        <v>40</v>
      </c>
      <c r="G62" s="97" t="s">
        <v>41</v>
      </c>
      <c r="H62" s="97" t="s">
        <v>42</v>
      </c>
      <c r="I62" s="97" t="s">
        <v>43</v>
      </c>
      <c r="J62" s="97" t="s">
        <v>12</v>
      </c>
      <c r="K62" s="97" t="s">
        <v>44</v>
      </c>
      <c r="L62" s="97" t="s">
        <v>14</v>
      </c>
      <c r="M62" s="97" t="s">
        <v>9</v>
      </c>
      <c r="N62" s="97" t="s">
        <v>10</v>
      </c>
      <c r="O62" s="97" t="s">
        <v>45</v>
      </c>
      <c r="P62" s="97" t="s">
        <v>5</v>
      </c>
      <c r="Q62" s="97" t="s">
        <v>46</v>
      </c>
      <c r="R62" s="97" t="s">
        <v>47</v>
      </c>
      <c r="S62" s="97" t="s">
        <v>48</v>
      </c>
      <c r="T62" s="97" t="s">
        <v>0</v>
      </c>
      <c r="U62" s="96" t="s">
        <v>49</v>
      </c>
      <c r="V62" s="96" t="s">
        <v>50</v>
      </c>
      <c r="W62" s="98"/>
    </row>
    <row r="63" ht="12.75" customHeight="1">
      <c r="A63" s="140" t="s">
        <v>31</v>
      </c>
      <c r="B63" s="141"/>
      <c r="C63" s="141"/>
      <c r="D63" s="142" t="s">
        <v>52</v>
      </c>
      <c r="E63" s="102" t="s">
        <v>85</v>
      </c>
      <c r="F63" s="102" t="s">
        <v>31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ref="U63:U67" si="4">IFERROR(I63/H63,0)</f>
        <v>0</v>
      </c>
      <c r="V63" s="104">
        <f t="shared" ref="V63:V67" si="5">IFERROR(SUM(H63+L63)/G63,0)</f>
        <v>0</v>
      </c>
      <c r="W63" s="105"/>
    </row>
    <row r="64" ht="12.75" customHeight="1">
      <c r="A64" s="143" t="s">
        <v>31</v>
      </c>
      <c r="B64" s="144"/>
      <c r="C64" s="127" t="s">
        <v>86</v>
      </c>
      <c r="D64" s="127" t="s">
        <v>52</v>
      </c>
      <c r="E64" s="127"/>
      <c r="F64" s="127" t="s">
        <v>86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45">
        <f t="shared" si="4"/>
        <v>0</v>
      </c>
      <c r="V64" s="145">
        <f t="shared" si="5"/>
        <v>0</v>
      </c>
      <c r="W64" s="146"/>
    </row>
    <row r="65" ht="12.75" customHeight="1">
      <c r="A65" s="147" t="s">
        <v>31</v>
      </c>
      <c r="B65" s="148"/>
      <c r="C65" s="120" t="s">
        <v>86</v>
      </c>
      <c r="D65" s="117"/>
      <c r="E65" s="120"/>
      <c r="F65" s="120" t="s">
        <v>87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5">
        <f t="shared" si="4"/>
        <v>0</v>
      </c>
      <c r="V65" s="145">
        <f t="shared" si="5"/>
        <v>0</v>
      </c>
      <c r="W65" s="146"/>
    </row>
    <row r="66" ht="12.75" customHeight="1">
      <c r="A66" s="149" t="s">
        <v>31</v>
      </c>
      <c r="B66" s="150"/>
      <c r="C66" s="151" t="s">
        <v>88</v>
      </c>
      <c r="D66" s="151"/>
      <c r="E66" s="151"/>
      <c r="F66" s="151" t="s">
        <v>88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5">
        <f t="shared" si="4"/>
        <v>0</v>
      </c>
      <c r="V66" s="145">
        <f t="shared" si="5"/>
        <v>0</v>
      </c>
      <c r="W66" s="146"/>
    </row>
    <row r="67" ht="12.75" customHeight="1">
      <c r="A67" s="152" t="s">
        <v>31</v>
      </c>
      <c r="B67" s="153"/>
      <c r="C67" s="154" t="s">
        <v>88</v>
      </c>
      <c r="D67" s="151"/>
      <c r="E67" s="154" t="s">
        <v>89</v>
      </c>
      <c r="F67" s="154" t="s">
        <v>90</v>
      </c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45">
        <f t="shared" si="4"/>
        <v>0</v>
      </c>
      <c r="V67" s="145">
        <f t="shared" si="5"/>
        <v>0</v>
      </c>
      <c r="W67" s="146"/>
    </row>
    <row r="68" ht="20.25" customHeight="1">
      <c r="A68" s="93" t="s">
        <v>36</v>
      </c>
      <c r="B68" s="94" t="s">
        <v>37</v>
      </c>
      <c r="C68" s="94" t="s">
        <v>38</v>
      </c>
      <c r="D68" s="95"/>
      <c r="E68" s="96" t="s">
        <v>39</v>
      </c>
      <c r="F68" s="94" t="s">
        <v>40</v>
      </c>
      <c r="G68" s="97" t="s">
        <v>41</v>
      </c>
      <c r="H68" s="97" t="s">
        <v>42</v>
      </c>
      <c r="I68" s="97" t="s">
        <v>43</v>
      </c>
      <c r="J68" s="97" t="s">
        <v>12</v>
      </c>
      <c r="K68" s="97" t="s">
        <v>44</v>
      </c>
      <c r="L68" s="97" t="s">
        <v>14</v>
      </c>
      <c r="M68" s="97" t="s">
        <v>9</v>
      </c>
      <c r="N68" s="97" t="s">
        <v>10</v>
      </c>
      <c r="O68" s="97" t="s">
        <v>45</v>
      </c>
      <c r="P68" s="97" t="s">
        <v>5</v>
      </c>
      <c r="Q68" s="97" t="s">
        <v>46</v>
      </c>
      <c r="R68" s="97" t="s">
        <v>47</v>
      </c>
      <c r="S68" s="97" t="s">
        <v>48</v>
      </c>
      <c r="T68" s="97" t="s">
        <v>0</v>
      </c>
      <c r="U68" s="96" t="s">
        <v>49</v>
      </c>
      <c r="V68" s="96" t="s">
        <v>50</v>
      </c>
      <c r="W68" s="98"/>
    </row>
    <row r="69" ht="13.5" customHeight="1">
      <c r="A69" s="155" t="s">
        <v>32</v>
      </c>
      <c r="B69" s="156"/>
      <c r="C69" s="157"/>
      <c r="D69" s="158" t="s">
        <v>52</v>
      </c>
      <c r="E69" s="156" t="s">
        <v>91</v>
      </c>
      <c r="F69" s="156" t="s">
        <v>32</v>
      </c>
      <c r="G69" s="185">
        <v>3.0</v>
      </c>
      <c r="H69" s="185">
        <v>2.0</v>
      </c>
      <c r="I69" s="185">
        <v>2.0</v>
      </c>
      <c r="J69" s="185">
        <v>2.0</v>
      </c>
      <c r="K69" s="185">
        <v>2.0</v>
      </c>
      <c r="L69" s="185">
        <v>0.0</v>
      </c>
      <c r="M69" s="185">
        <v>8.0</v>
      </c>
      <c r="N69" s="185">
        <v>2.0</v>
      </c>
      <c r="O69" s="185">
        <v>2.0</v>
      </c>
      <c r="P69" s="185">
        <v>0.0</v>
      </c>
      <c r="Q69" s="185">
        <v>0.0</v>
      </c>
      <c r="R69" s="185">
        <v>0.0</v>
      </c>
      <c r="S69" s="185">
        <v>0.0</v>
      </c>
      <c r="T69" s="185">
        <v>3600.0</v>
      </c>
      <c r="U69" s="104">
        <f t="shared" ref="U69:U78" si="6">IFERROR(I69/H69,0)</f>
        <v>1</v>
      </c>
      <c r="V69" s="104">
        <f t="shared" ref="V69:V78" si="7">IFERROR(SUM(H69+L69)/G69,0)</f>
        <v>0.6666666667</v>
      </c>
      <c r="W69" s="105"/>
    </row>
    <row r="70" ht="13.5" customHeight="1">
      <c r="A70" s="114" t="s">
        <v>32</v>
      </c>
      <c r="B70" s="114"/>
      <c r="C70" s="159"/>
      <c r="D70" s="134"/>
      <c r="E70" s="114" t="s">
        <v>91</v>
      </c>
      <c r="F70" s="114" t="s">
        <v>92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91</v>
      </c>
      <c r="F71" s="114" t="s">
        <v>93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91</v>
      </c>
      <c r="F72" s="114" t="s">
        <v>94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91</v>
      </c>
      <c r="F73" s="114" t="s">
        <v>95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91</v>
      </c>
      <c r="F74" s="114" t="s">
        <v>96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91</v>
      </c>
      <c r="F75" s="114" t="s">
        <v>97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91</v>
      </c>
      <c r="F76" s="114" t="s">
        <v>98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14" t="s">
        <v>32</v>
      </c>
      <c r="B77" s="114"/>
      <c r="C77" s="114"/>
      <c r="D77" s="160"/>
      <c r="E77" s="114" t="s">
        <v>91</v>
      </c>
      <c r="F77" s="114" t="s">
        <v>99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14" t="s">
        <v>32</v>
      </c>
      <c r="B78" s="114"/>
      <c r="C78" s="114"/>
      <c r="D78" s="160"/>
      <c r="E78" s="114" t="s">
        <v>91</v>
      </c>
      <c r="F78" s="114" t="s">
        <v>100</v>
      </c>
      <c r="G78" s="185">
        <v>2.0</v>
      </c>
      <c r="H78" s="185">
        <v>0.0</v>
      </c>
      <c r="I78" s="185">
        <v>0.0</v>
      </c>
      <c r="J78" s="185">
        <v>0.0</v>
      </c>
      <c r="K78" s="185">
        <v>0.0</v>
      </c>
      <c r="L78" s="185">
        <v>0.0</v>
      </c>
      <c r="M78" s="185">
        <v>0.0</v>
      </c>
      <c r="N78" s="185">
        <v>0.0</v>
      </c>
      <c r="O78" s="103"/>
      <c r="P78" s="185">
        <v>0.0</v>
      </c>
      <c r="Q78" s="185">
        <v>0.0</v>
      </c>
      <c r="R78" s="185">
        <v>0.0</v>
      </c>
      <c r="S78" s="185">
        <v>0.0</v>
      </c>
      <c r="T78" s="185">
        <v>0.0</v>
      </c>
      <c r="U78" s="104">
        <f t="shared" si="6"/>
        <v>0</v>
      </c>
      <c r="V78" s="104">
        <f t="shared" si="7"/>
        <v>0</v>
      </c>
      <c r="W78" s="105"/>
    </row>
    <row r="79" ht="20.25" customHeight="1">
      <c r="A79" s="93" t="s">
        <v>36</v>
      </c>
      <c r="B79" s="94" t="s">
        <v>37</v>
      </c>
      <c r="C79" s="94" t="s">
        <v>38</v>
      </c>
      <c r="D79" s="95"/>
      <c r="E79" s="96" t="s">
        <v>39</v>
      </c>
      <c r="F79" s="94" t="s">
        <v>40</v>
      </c>
      <c r="G79" s="97" t="s">
        <v>41</v>
      </c>
      <c r="H79" s="97" t="s">
        <v>42</v>
      </c>
      <c r="I79" s="97" t="s">
        <v>43</v>
      </c>
      <c r="J79" s="97" t="s">
        <v>12</v>
      </c>
      <c r="K79" s="97" t="s">
        <v>44</v>
      </c>
      <c r="L79" s="97" t="s">
        <v>14</v>
      </c>
      <c r="M79" s="97" t="s">
        <v>9</v>
      </c>
      <c r="N79" s="97" t="s">
        <v>10</v>
      </c>
      <c r="O79" s="97" t="s">
        <v>45</v>
      </c>
      <c r="P79" s="97" t="s">
        <v>5</v>
      </c>
      <c r="Q79" s="97" t="s">
        <v>46</v>
      </c>
      <c r="R79" s="97" t="s">
        <v>47</v>
      </c>
      <c r="S79" s="97" t="s">
        <v>48</v>
      </c>
      <c r="T79" s="97" t="s">
        <v>0</v>
      </c>
      <c r="U79" s="96" t="s">
        <v>49</v>
      </c>
      <c r="V79" s="96" t="s">
        <v>50</v>
      </c>
      <c r="W79" s="98"/>
    </row>
    <row r="80" ht="12.75" customHeight="1">
      <c r="A80" s="161" t="s">
        <v>33</v>
      </c>
      <c r="B80" s="161"/>
      <c r="C80" s="161"/>
      <c r="D80" s="162" t="s">
        <v>52</v>
      </c>
      <c r="E80" s="161" t="s">
        <v>101</v>
      </c>
      <c r="F80" s="161" t="s">
        <v>33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ref="U80:U84" si="8">IFERROR(I80/H80,0)</f>
        <v>0</v>
      </c>
      <c r="V80" s="104">
        <f t="shared" ref="V80:V84" si="9">IFERROR(SUM(H80+L80)/G80,0)</f>
        <v>0</v>
      </c>
      <c r="W80" s="105"/>
    </row>
    <row r="81" ht="12.75" customHeight="1">
      <c r="A81" s="163" t="s">
        <v>33</v>
      </c>
      <c r="B81" s="164"/>
      <c r="C81" s="164"/>
      <c r="D81" s="101"/>
      <c r="E81" s="126" t="s">
        <v>76</v>
      </c>
      <c r="F81" s="126" t="s">
        <v>102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8"/>
        <v>0</v>
      </c>
      <c r="V81" s="104">
        <f t="shared" si="9"/>
        <v>0</v>
      </c>
      <c r="W81" s="105"/>
    </row>
    <row r="82" ht="12.75" customHeight="1">
      <c r="A82" s="165" t="s">
        <v>33</v>
      </c>
      <c r="B82" s="165"/>
      <c r="C82" s="128" t="s">
        <v>103</v>
      </c>
      <c r="D82" s="129" t="s">
        <v>52</v>
      </c>
      <c r="E82" s="117" t="s">
        <v>59</v>
      </c>
      <c r="F82" s="128" t="s">
        <v>103</v>
      </c>
      <c r="G82" s="185">
        <v>1.0</v>
      </c>
      <c r="H82" s="185">
        <v>1.0</v>
      </c>
      <c r="I82" s="185">
        <v>1.0</v>
      </c>
      <c r="J82" s="185">
        <v>1.0</v>
      </c>
      <c r="K82" s="185">
        <v>1.0</v>
      </c>
      <c r="L82" s="185">
        <v>0.0</v>
      </c>
      <c r="M82" s="185">
        <v>0.0</v>
      </c>
      <c r="N82" s="185">
        <v>1.0</v>
      </c>
      <c r="O82" s="185">
        <v>1.0</v>
      </c>
      <c r="P82" s="185">
        <v>0.0</v>
      </c>
      <c r="Q82" s="185">
        <v>0.0</v>
      </c>
      <c r="R82" s="185">
        <v>1.0</v>
      </c>
      <c r="S82" s="185">
        <v>1.0</v>
      </c>
      <c r="T82" s="185">
        <v>2392.2</v>
      </c>
      <c r="U82" s="104">
        <f t="shared" si="8"/>
        <v>1</v>
      </c>
      <c r="V82" s="104">
        <f t="shared" si="9"/>
        <v>1</v>
      </c>
      <c r="W82" s="105"/>
    </row>
    <row r="83" ht="12.75" customHeight="1">
      <c r="A83" s="161" t="s">
        <v>33</v>
      </c>
      <c r="B83" s="161"/>
      <c r="C83" s="111" t="s">
        <v>104</v>
      </c>
      <c r="D83" s="112" t="s">
        <v>52</v>
      </c>
      <c r="E83" s="111" t="s">
        <v>105</v>
      </c>
      <c r="F83" s="111" t="s">
        <v>104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8"/>
        <v>0</v>
      </c>
      <c r="V83" s="104">
        <f t="shared" si="9"/>
        <v>0</v>
      </c>
      <c r="W83" s="105"/>
    </row>
    <row r="84" ht="12.75" customHeight="1">
      <c r="A84" s="163" t="s">
        <v>33</v>
      </c>
      <c r="B84" s="163"/>
      <c r="C84" s="114" t="s">
        <v>104</v>
      </c>
      <c r="D84" s="115"/>
      <c r="E84" s="114" t="s">
        <v>59</v>
      </c>
      <c r="F84" s="114" t="s">
        <v>106</v>
      </c>
      <c r="G84" s="185">
        <v>0.0</v>
      </c>
      <c r="H84" s="185">
        <v>0.0</v>
      </c>
      <c r="I84" s="185">
        <v>0.0</v>
      </c>
      <c r="J84" s="185">
        <v>0.0</v>
      </c>
      <c r="K84" s="185">
        <v>0.0</v>
      </c>
      <c r="L84" s="185">
        <v>0.0</v>
      </c>
      <c r="M84" s="185">
        <v>0.0</v>
      </c>
      <c r="N84" s="185">
        <v>0.0</v>
      </c>
      <c r="O84" s="185">
        <v>0.0</v>
      </c>
      <c r="P84" s="185">
        <v>0.0</v>
      </c>
      <c r="Q84" s="185">
        <v>0.0</v>
      </c>
      <c r="R84" s="185">
        <v>0.0</v>
      </c>
      <c r="S84" s="185">
        <v>0.0</v>
      </c>
      <c r="T84" s="185">
        <v>0.0</v>
      </c>
      <c r="U84" s="104">
        <f t="shared" si="8"/>
        <v>0</v>
      </c>
      <c r="V84" s="104">
        <f t="shared" si="9"/>
        <v>0</v>
      </c>
      <c r="W84" s="105"/>
    </row>
    <row r="85" ht="20.25" customHeight="1">
      <c r="A85" s="93" t="s">
        <v>36</v>
      </c>
      <c r="B85" s="94" t="s">
        <v>37</v>
      </c>
      <c r="C85" s="94" t="s">
        <v>38</v>
      </c>
      <c r="D85" s="95"/>
      <c r="E85" s="96" t="s">
        <v>39</v>
      </c>
      <c r="F85" s="94" t="s">
        <v>40</v>
      </c>
      <c r="G85" s="97" t="s">
        <v>41</v>
      </c>
      <c r="H85" s="97" t="s">
        <v>42</v>
      </c>
      <c r="I85" s="97" t="s">
        <v>43</v>
      </c>
      <c r="J85" s="97" t="s">
        <v>12</v>
      </c>
      <c r="K85" s="97" t="s">
        <v>44</v>
      </c>
      <c r="L85" s="97" t="s">
        <v>14</v>
      </c>
      <c r="M85" s="97" t="s">
        <v>9</v>
      </c>
      <c r="N85" s="97" t="s">
        <v>10</v>
      </c>
      <c r="O85" s="97" t="s">
        <v>45</v>
      </c>
      <c r="P85" s="97" t="s">
        <v>5</v>
      </c>
      <c r="Q85" s="97" t="s">
        <v>46</v>
      </c>
      <c r="R85" s="97" t="s">
        <v>47</v>
      </c>
      <c r="S85" s="97" t="s">
        <v>48</v>
      </c>
      <c r="T85" s="97" t="s">
        <v>0</v>
      </c>
      <c r="U85" s="96" t="s">
        <v>49</v>
      </c>
      <c r="V85" s="96" t="s">
        <v>50</v>
      </c>
      <c r="W85" s="98"/>
    </row>
    <row r="86" ht="13.5" customHeight="1">
      <c r="A86" s="166" t="s">
        <v>34</v>
      </c>
      <c r="B86" s="167"/>
      <c r="C86" s="167"/>
      <c r="D86" s="166" t="s">
        <v>52</v>
      </c>
      <c r="E86" s="166" t="s">
        <v>58</v>
      </c>
      <c r="F86" s="166" t="s">
        <v>34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ref="U86:U102" si="10">IFERROR(I86/H86,0)</f>
        <v>0</v>
      </c>
      <c r="V86" s="104">
        <f t="shared" ref="V86:V102" si="11">IFERROR(SUM(H86+L86)/G86,0)</f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59</v>
      </c>
      <c r="F87" s="168" t="s">
        <v>107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0"/>
        <v>0</v>
      </c>
      <c r="V87" s="104">
        <f t="shared" si="11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58</v>
      </c>
      <c r="F88" s="168" t="s">
        <v>108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76</v>
      </c>
      <c r="F89" s="168" t="s">
        <v>109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68" t="s">
        <v>34</v>
      </c>
      <c r="B90" s="167"/>
      <c r="C90" s="167"/>
      <c r="D90" s="167"/>
      <c r="E90" s="168" t="s">
        <v>62</v>
      </c>
      <c r="F90" s="168" t="s">
        <v>110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68" t="s">
        <v>34</v>
      </c>
      <c r="B91" s="167"/>
      <c r="C91" s="167"/>
      <c r="D91" s="167"/>
      <c r="E91" s="168" t="s">
        <v>58</v>
      </c>
      <c r="F91" s="168" t="s">
        <v>111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112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113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9" t="s">
        <v>34</v>
      </c>
      <c r="B95" s="170"/>
      <c r="C95" s="169"/>
      <c r="D95" s="170"/>
      <c r="E95" s="169"/>
      <c r="F95" s="169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9" t="s">
        <v>34</v>
      </c>
      <c r="B96" s="170"/>
      <c r="C96" s="169"/>
      <c r="D96" s="170"/>
      <c r="E96" s="169"/>
      <c r="F96" s="169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71" t="s">
        <v>34</v>
      </c>
      <c r="B97" s="172"/>
      <c r="C97" s="171" t="s">
        <v>117</v>
      </c>
      <c r="D97" s="173" t="s">
        <v>52</v>
      </c>
      <c r="E97" s="171" t="s">
        <v>105</v>
      </c>
      <c r="F97" s="171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74" t="s">
        <v>34</v>
      </c>
      <c r="B98" s="175"/>
      <c r="C98" s="174" t="s">
        <v>117</v>
      </c>
      <c r="D98" s="175"/>
      <c r="E98" s="174" t="s">
        <v>118</v>
      </c>
      <c r="F98" s="174" t="s">
        <v>119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74" t="s">
        <v>34</v>
      </c>
      <c r="B99" s="175"/>
      <c r="C99" s="174" t="s">
        <v>117</v>
      </c>
      <c r="D99" s="175"/>
      <c r="E99" s="174" t="s">
        <v>120</v>
      </c>
      <c r="F99" s="174" t="s">
        <v>121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74" t="s">
        <v>34</v>
      </c>
      <c r="B100" s="175"/>
      <c r="C100" s="174" t="s">
        <v>117</v>
      </c>
      <c r="D100" s="175"/>
      <c r="E100" s="174"/>
      <c r="F100" s="174" t="s">
        <v>119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6" t="s">
        <v>34</v>
      </c>
      <c r="B101" s="176"/>
      <c r="C101" s="166" t="s">
        <v>122</v>
      </c>
      <c r="D101" s="166" t="s">
        <v>52</v>
      </c>
      <c r="E101" s="166" t="s">
        <v>123</v>
      </c>
      <c r="F101" s="166" t="s">
        <v>122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9" t="s">
        <v>34</v>
      </c>
      <c r="B102" s="170"/>
      <c r="C102" s="169" t="s">
        <v>122</v>
      </c>
      <c r="D102" s="170"/>
      <c r="E102" s="169"/>
      <c r="F102" s="169" t="s">
        <v>124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20.25" customHeight="1">
      <c r="A103" s="93" t="s">
        <v>36</v>
      </c>
      <c r="B103" s="94" t="s">
        <v>37</v>
      </c>
      <c r="C103" s="94" t="s">
        <v>38</v>
      </c>
      <c r="D103" s="95"/>
      <c r="E103" s="96" t="s">
        <v>39</v>
      </c>
      <c r="F103" s="94" t="s">
        <v>40</v>
      </c>
      <c r="G103" s="97" t="s">
        <v>41</v>
      </c>
      <c r="H103" s="97" t="s">
        <v>42</v>
      </c>
      <c r="I103" s="97" t="s">
        <v>43</v>
      </c>
      <c r="J103" s="97" t="s">
        <v>12</v>
      </c>
      <c r="K103" s="97" t="s">
        <v>44</v>
      </c>
      <c r="L103" s="97" t="s">
        <v>14</v>
      </c>
      <c r="M103" s="97" t="s">
        <v>9</v>
      </c>
      <c r="N103" s="97" t="s">
        <v>10</v>
      </c>
      <c r="O103" s="97" t="s">
        <v>45</v>
      </c>
      <c r="P103" s="97" t="s">
        <v>5</v>
      </c>
      <c r="Q103" s="97" t="s">
        <v>46</v>
      </c>
      <c r="R103" s="97" t="s">
        <v>47</v>
      </c>
      <c r="S103" s="97" t="s">
        <v>48</v>
      </c>
      <c r="T103" s="97" t="s">
        <v>0</v>
      </c>
      <c r="U103" s="96" t="s">
        <v>49</v>
      </c>
      <c r="V103" s="96" t="s">
        <v>50</v>
      </c>
      <c r="W103" s="98"/>
    </row>
    <row r="104" ht="20.25" customHeight="1">
      <c r="A104" s="111" t="s">
        <v>35</v>
      </c>
      <c r="B104" s="160"/>
      <c r="C104" s="111"/>
      <c r="D104" s="111" t="s">
        <v>52</v>
      </c>
      <c r="E104" s="111" t="s">
        <v>59</v>
      </c>
      <c r="F104" s="111" t="s">
        <v>35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45">
        <f t="shared" ref="U104:U105" si="12">IFERROR(I104/H104,0)</f>
        <v>0</v>
      </c>
      <c r="V104" s="145">
        <f t="shared" ref="V104:V105" si="13">IFERROR(SUM(H104+L104)/G104,0)</f>
        <v>0</v>
      </c>
      <c r="W104" s="146"/>
    </row>
    <row r="105" ht="20.25" customHeight="1">
      <c r="A105" s="117" t="s">
        <v>35</v>
      </c>
      <c r="B105" s="136"/>
      <c r="C105" s="117" t="s">
        <v>125</v>
      </c>
      <c r="D105" s="117" t="s">
        <v>52</v>
      </c>
      <c r="E105" s="117"/>
      <c r="F105" s="117" t="s">
        <v>125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45">
        <f t="shared" si="12"/>
        <v>0</v>
      </c>
      <c r="V105" s="145">
        <f t="shared" si="13"/>
        <v>0</v>
      </c>
      <c r="W105" s="146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77"/>
      <c r="B618" s="177"/>
      <c r="C618" s="177"/>
      <c r="D618" s="1"/>
      <c r="E618" s="177"/>
      <c r="F618" s="178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80"/>
      <c r="V618" s="180"/>
      <c r="W618" s="180"/>
    </row>
    <row r="619" ht="12.75" customHeight="1">
      <c r="A619" s="177"/>
      <c r="B619" s="177"/>
      <c r="C619" s="177"/>
      <c r="D619" s="1"/>
      <c r="E619" s="177"/>
      <c r="F619" s="178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80"/>
      <c r="V619" s="180"/>
      <c r="W619" s="180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0</v>
      </c>
      <c r="D2" s="10"/>
      <c r="E2" s="11">
        <f t="shared" ref="E2:R2" si="1">SUM(E5,E20,E23,E26,E29,E32)</f>
        <v>0</v>
      </c>
      <c r="F2" s="11">
        <f t="shared" si="1"/>
        <v>0</v>
      </c>
      <c r="G2" s="11">
        <f t="shared" si="1"/>
        <v>0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0</v>
      </c>
      <c r="N2" s="11">
        <f t="shared" si="1"/>
        <v>0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64</v>
      </c>
      <c r="D4" s="22"/>
      <c r="E4" s="23">
        <f>IFERROR(C2/H2,0)</f>
        <v>0</v>
      </c>
      <c r="F4" s="24">
        <f>IFERROR((G2+R2)/F2,0)</f>
        <v>0</v>
      </c>
      <c r="G4" s="24">
        <f>IFERROR(H2/G2,0)</f>
        <v>0</v>
      </c>
      <c r="H4" s="23">
        <f>(C2/C4)</f>
        <v>0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0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0</v>
      </c>
      <c r="G5" s="11">
        <f>SUMIF(A:A,B5,H:H)</f>
        <v>0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0</v>
      </c>
      <c r="N5" s="11">
        <f>SUMIF(A:A,B5,N:N)</f>
        <v>0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25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SUMIF(B37:B1137,B8,G37:G1137)</f>
        <v>0</v>
      </c>
      <c r="G8" s="50">
        <f>SUMIF(B37:B1137,B8,H37:H1137)</f>
        <v>0</v>
      </c>
      <c r="H8" s="50">
        <f>SUMIF(B37:B1137,B8,I37:I1137)</f>
        <v>0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0</v>
      </c>
      <c r="L8" s="50">
        <f>SUMIF(B37:B1137,B8,S37:S1137)</f>
        <v>0</v>
      </c>
      <c r="M8" s="50">
        <f>SUMIF(B37:B1137,B8,M37:M1137)</f>
        <v>0</v>
      </c>
      <c r="N8" s="50">
        <f>SUMIF(B37:B1137,B8,N37:N1137)</f>
        <v>0</v>
      </c>
      <c r="O8" s="50">
        <f>SUMIF(B37:B1137,B8,O37:O1137)</f>
        <v>0</v>
      </c>
      <c r="P8" s="50">
        <f>SUMIF(B37:B1137,B8,J37:J1137)</f>
        <v>0</v>
      </c>
      <c r="Q8" s="50">
        <f>SUMIF(B37:B1137,B8,K37:K1137)</f>
        <v>0</v>
      </c>
      <c r="R8" s="51">
        <f>SUMIF(B37:B1137,B8,L37:L1137)</f>
        <v>0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IFERROR(M8/SUM(G8+R8,0),"")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0</v>
      </c>
      <c r="D11" s="60"/>
      <c r="E11" s="48">
        <f>SUMIFS(T:T,B:B,B11,D:D,"Y")</f>
        <v>0</v>
      </c>
      <c r="F11" s="49">
        <f>SUMIF(B39:B1137,B11,G39:G1137)</f>
        <v>0</v>
      </c>
      <c r="G11" s="50">
        <f>SUMIF(B39:B1137,B11,H39:H1137)</f>
        <v>0</v>
      </c>
      <c r="H11" s="50">
        <f>SUMIF(B39:B1137,B11,I39:I1137)</f>
        <v>0</v>
      </c>
      <c r="I11" s="50">
        <f>SUMIF(B39:B1137,B11,P39:P1137)</f>
        <v>0</v>
      </c>
      <c r="J11" s="50">
        <f>SUMIF(B39:B1137,B11,Q39:Q1137)</f>
        <v>0</v>
      </c>
      <c r="K11" s="50">
        <f>SUMIF(B39:B1137,B11,R39:R1137)</f>
        <v>0</v>
      </c>
      <c r="L11" s="50">
        <f>SUMIF(B39:B1137,B11,S39:S1137)</f>
        <v>0</v>
      </c>
      <c r="M11" s="50">
        <f>SUMIF(B39:B1137,B11,M39:M1137)</f>
        <v>0</v>
      </c>
      <c r="N11" s="50">
        <f>SUMIF(B39:B1137,B11,N39:N1137)</f>
        <v>0</v>
      </c>
      <c r="O11" s="50">
        <f>SUMIF(B39:B1137,B11,O39:O1137)</f>
        <v>0</v>
      </c>
      <c r="P11" s="50">
        <f>SUMIF(B39:B1137,B11,J39:J1137)</f>
        <v>0</v>
      </c>
      <c r="Q11" s="50">
        <f>SUMIF(B39:B1137,B11,K39:K1137)</f>
        <v>0</v>
      </c>
      <c r="R11" s="51">
        <f>SUMIF(B39:B1137,B11,L39:L1137)</f>
        <v>0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8</v>
      </c>
      <c r="D13" s="56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0</v>
      </c>
      <c r="D14" s="60"/>
      <c r="E14" s="48">
        <f>SUMIFS(T:T,B:B,B14,D:D,"Y")</f>
        <v>0</v>
      </c>
      <c r="F14" s="49">
        <f>SUMIF(B39:B1137,B14,G39:G1137)</f>
        <v>0</v>
      </c>
      <c r="G14" s="50">
        <f>SUMIF(B39:B1137,B14,H39:H1137)</f>
        <v>0</v>
      </c>
      <c r="H14" s="50">
        <f>SUMIF(B39:B1137,B14,I39:I1137)</f>
        <v>0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0</v>
      </c>
      <c r="L14" s="50">
        <f>SUMIF(B39:B1137,B14,S39:S1137)</f>
        <v>0</v>
      </c>
      <c r="M14" s="50">
        <f>SUMIF(B39:B1137,B14,M39:M1137)</f>
        <v>0</v>
      </c>
      <c r="N14" s="50">
        <f>SUMIF(B39:B1137,B14,N39:N1137)</f>
        <v>0</v>
      </c>
      <c r="O14" s="50">
        <f>SUMIF(B39:B1137,B14,O39:O1137)</f>
        <v>0</v>
      </c>
      <c r="P14" s="50">
        <f>SUMIF(B39:B1137,B14,J39:J1137)</f>
        <v>0</v>
      </c>
      <c r="Q14" s="50">
        <f>SUMIF(B39:B1137,B14,K39:K1137)</f>
        <v>0</v>
      </c>
      <c r="R14" s="51">
        <f>SUMIF(B39:B1137,B14,L39:L1137)</f>
        <v>0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8</v>
      </c>
      <c r="D16" s="56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0</v>
      </c>
      <c r="D17" s="60"/>
      <c r="E17" s="48">
        <f>SUMIFS(T:T,B:B,B17,D:D,"Y")</f>
        <v>0</v>
      </c>
      <c r="F17" s="49">
        <f>SUMIF(B45:B1137,B17,G45:G1137)</f>
        <v>0</v>
      </c>
      <c r="G17" s="50">
        <f>SUMIF(B45:B1137,B17,H45:H1137)</f>
        <v>0</v>
      </c>
      <c r="H17" s="50">
        <f>SUMIF(B45:B1137,B17,I45:I1137)</f>
        <v>0</v>
      </c>
      <c r="I17" s="50">
        <f>SUMIF(B45:B1137,B17,P45:P1137)</f>
        <v>0</v>
      </c>
      <c r="J17" s="50">
        <f>SUMIF(B45:B1137,B17,Q45:Q1137)</f>
        <v>0</v>
      </c>
      <c r="K17" s="50">
        <f>SUMIF(B45:B1137,B17,R45:R1137)</f>
        <v>0</v>
      </c>
      <c r="L17" s="50">
        <f>SUMIF(B45:B1137,B17,S45:S1137)</f>
        <v>0</v>
      </c>
      <c r="M17" s="50">
        <f>SUMIF(B45:B1137,B17,M45:M1137)</f>
        <v>0</v>
      </c>
      <c r="N17" s="50">
        <f>SUMIF(B45:B1137,B17,N45:N1137)</f>
        <v>0</v>
      </c>
      <c r="O17" s="50">
        <f>SUMIF(B45:B1137,B17,O45:O1137)</f>
        <v>0</v>
      </c>
      <c r="P17" s="50">
        <f>SUMIF(B45:B1137,B17,J45:J1137)</f>
        <v>0</v>
      </c>
      <c r="Q17" s="50">
        <f>SUMIF(B45:B1137,B17,K45:K1137)</f>
        <v>0</v>
      </c>
      <c r="R17" s="51">
        <f>SUMIF(B45:B1137,B17,L45:L1137)</f>
        <v>0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COUNTIFS(B45:B1137,B17)</f>
        <v>3</v>
      </c>
      <c r="D19" s="56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1" si="2">IFERROR(I37/H37,0)</f>
        <v>0</v>
      </c>
      <c r="V37" s="104">
        <f t="shared" ref="V37:V61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62</v>
      </c>
      <c r="F44" s="126" t="s">
        <v>63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58</v>
      </c>
      <c r="F45" s="126" t="s">
        <v>64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5" t="s">
        <v>26</v>
      </c>
      <c r="B46" s="99" t="s">
        <v>28</v>
      </c>
      <c r="C46" s="126"/>
      <c r="D46" s="101"/>
      <c r="E46" s="126" t="s">
        <v>53</v>
      </c>
      <c r="F46" s="126" t="s">
        <v>65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2.75" customHeight="1">
      <c r="A47" s="117" t="s">
        <v>26</v>
      </c>
      <c r="B47" s="127" t="s">
        <v>28</v>
      </c>
      <c r="C47" s="128" t="s">
        <v>66</v>
      </c>
      <c r="D47" s="129" t="s">
        <v>52</v>
      </c>
      <c r="E47" s="117" t="s">
        <v>67</v>
      </c>
      <c r="F47" s="128" t="s">
        <v>68</v>
      </c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4">
        <f t="shared" si="2"/>
        <v>0</v>
      </c>
      <c r="V47" s="104">
        <f t="shared" si="3"/>
        <v>0</v>
      </c>
      <c r="W47" s="105"/>
    </row>
    <row r="48" ht="12.75" customHeight="1">
      <c r="A48" s="119" t="s">
        <v>26</v>
      </c>
      <c r="B48" s="130" t="s">
        <v>28</v>
      </c>
      <c r="C48" s="120" t="s">
        <v>66</v>
      </c>
      <c r="D48" s="131"/>
      <c r="E48" s="120"/>
      <c r="F48" s="120" t="s">
        <v>69</v>
      </c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66</v>
      </c>
      <c r="D49" s="131"/>
      <c r="E49" s="120"/>
      <c r="F49" s="120" t="s">
        <v>70</v>
      </c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4">
        <f t="shared" si="2"/>
        <v>0</v>
      </c>
      <c r="V49" s="104">
        <f t="shared" si="3"/>
        <v>0</v>
      </c>
      <c r="W49" s="105"/>
    </row>
    <row r="50" ht="12.75" customHeight="1">
      <c r="A50" s="119" t="s">
        <v>26</v>
      </c>
      <c r="B50" s="130" t="s">
        <v>28</v>
      </c>
      <c r="C50" s="120" t="s">
        <v>66</v>
      </c>
      <c r="D50" s="131"/>
      <c r="E50" s="120"/>
      <c r="F50" s="120" t="s">
        <v>71</v>
      </c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4">
        <f t="shared" si="2"/>
        <v>0</v>
      </c>
      <c r="V50" s="104">
        <f t="shared" si="3"/>
        <v>0</v>
      </c>
      <c r="W50" s="105"/>
    </row>
    <row r="51" ht="12.75" customHeight="1">
      <c r="A51" s="106" t="s">
        <v>26</v>
      </c>
      <c r="B51" s="109" t="s">
        <v>29</v>
      </c>
      <c r="C51" s="109"/>
      <c r="D51" s="132" t="s">
        <v>52</v>
      </c>
      <c r="E51" s="109" t="s">
        <v>72</v>
      </c>
      <c r="F51" s="133" t="s">
        <v>29</v>
      </c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4">
        <f t="shared" si="2"/>
        <v>0</v>
      </c>
      <c r="V51" s="104">
        <f t="shared" si="3"/>
        <v>0</v>
      </c>
      <c r="W51" s="105"/>
    </row>
    <row r="52" ht="13.5" customHeight="1">
      <c r="A52" s="113" t="s">
        <v>26</v>
      </c>
      <c r="B52" s="114" t="s">
        <v>29</v>
      </c>
      <c r="C52" s="114"/>
      <c r="D52" s="134"/>
      <c r="E52" s="114" t="s">
        <v>59</v>
      </c>
      <c r="F52" s="114" t="s">
        <v>73</v>
      </c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4">
        <f t="shared" si="2"/>
        <v>0</v>
      </c>
      <c r="V52" s="104">
        <f t="shared" si="3"/>
        <v>0</v>
      </c>
      <c r="W52" s="105"/>
    </row>
    <row r="53" ht="13.5" customHeight="1">
      <c r="A53" s="113" t="s">
        <v>26</v>
      </c>
      <c r="B53" s="114" t="s">
        <v>29</v>
      </c>
      <c r="C53" s="114"/>
      <c r="D53" s="134"/>
      <c r="E53" s="114" t="s">
        <v>72</v>
      </c>
      <c r="F53" s="114" t="s">
        <v>74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3.5" customHeight="1">
      <c r="A54" s="135" t="s">
        <v>26</v>
      </c>
      <c r="B54" s="127" t="s">
        <v>29</v>
      </c>
      <c r="C54" s="117" t="s">
        <v>75</v>
      </c>
      <c r="D54" s="136" t="s">
        <v>52</v>
      </c>
      <c r="E54" s="117" t="s">
        <v>76</v>
      </c>
      <c r="F54" s="117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3.5" customHeight="1">
      <c r="A55" s="137" t="s">
        <v>26</v>
      </c>
      <c r="B55" s="130" t="s">
        <v>29</v>
      </c>
      <c r="C55" s="120" t="s">
        <v>75</v>
      </c>
      <c r="D55" s="138"/>
      <c r="E55" s="120" t="s">
        <v>59</v>
      </c>
      <c r="F55" s="120" t="s">
        <v>77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75</v>
      </c>
      <c r="D56" s="138"/>
      <c r="E56" s="120" t="s">
        <v>59</v>
      </c>
      <c r="F56" s="120" t="s">
        <v>78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3.5" customHeight="1">
      <c r="A57" s="137" t="s">
        <v>26</v>
      </c>
      <c r="B57" s="130" t="s">
        <v>29</v>
      </c>
      <c r="C57" s="120" t="s">
        <v>75</v>
      </c>
      <c r="D57" s="138"/>
      <c r="E57" s="120" t="s">
        <v>59</v>
      </c>
      <c r="F57" s="120" t="s">
        <v>79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3.5" customHeight="1">
      <c r="A58" s="137" t="s">
        <v>26</v>
      </c>
      <c r="B58" s="130" t="s">
        <v>29</v>
      </c>
      <c r="C58" s="120" t="s">
        <v>75</v>
      </c>
      <c r="D58" s="138"/>
      <c r="E58" s="120" t="s">
        <v>80</v>
      </c>
      <c r="F58" s="120" t="s">
        <v>81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06" t="s">
        <v>26</v>
      </c>
      <c r="B59" s="107" t="s">
        <v>30</v>
      </c>
      <c r="C59" s="107"/>
      <c r="D59" s="109" t="s">
        <v>52</v>
      </c>
      <c r="E59" s="107" t="s">
        <v>82</v>
      </c>
      <c r="F59" s="107" t="s">
        <v>30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10" t="s">
        <v>26</v>
      </c>
      <c r="B60" s="111" t="s">
        <v>30</v>
      </c>
      <c r="C60" s="111" t="s">
        <v>83</v>
      </c>
      <c r="D60" s="111" t="s">
        <v>52</v>
      </c>
      <c r="E60" s="111" t="s">
        <v>82</v>
      </c>
      <c r="F60" s="111" t="s">
        <v>83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13" t="s">
        <v>26</v>
      </c>
      <c r="B61" s="114" t="s">
        <v>30</v>
      </c>
      <c r="C61" s="114" t="s">
        <v>83</v>
      </c>
      <c r="D61" s="139"/>
      <c r="E61" s="114" t="s">
        <v>82</v>
      </c>
      <c r="F61" s="114" t="s">
        <v>84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20.25" customHeight="1">
      <c r="A62" s="93" t="s">
        <v>36</v>
      </c>
      <c r="B62" s="94" t="s">
        <v>37</v>
      </c>
      <c r="C62" s="94" t="s">
        <v>38</v>
      </c>
      <c r="D62" s="95"/>
      <c r="E62" s="96" t="s">
        <v>39</v>
      </c>
      <c r="F62" s="94" t="s">
        <v>40</v>
      </c>
      <c r="G62" s="97" t="s">
        <v>41</v>
      </c>
      <c r="H62" s="97" t="s">
        <v>42</v>
      </c>
      <c r="I62" s="97" t="s">
        <v>43</v>
      </c>
      <c r="J62" s="97" t="s">
        <v>12</v>
      </c>
      <c r="K62" s="97" t="s">
        <v>44</v>
      </c>
      <c r="L62" s="97" t="s">
        <v>14</v>
      </c>
      <c r="M62" s="97" t="s">
        <v>9</v>
      </c>
      <c r="N62" s="97" t="s">
        <v>10</v>
      </c>
      <c r="O62" s="97" t="s">
        <v>45</v>
      </c>
      <c r="P62" s="97" t="s">
        <v>5</v>
      </c>
      <c r="Q62" s="97" t="s">
        <v>46</v>
      </c>
      <c r="R62" s="97" t="s">
        <v>47</v>
      </c>
      <c r="S62" s="97" t="s">
        <v>48</v>
      </c>
      <c r="T62" s="97" t="s">
        <v>0</v>
      </c>
      <c r="U62" s="96" t="s">
        <v>49</v>
      </c>
      <c r="V62" s="96" t="s">
        <v>50</v>
      </c>
      <c r="W62" s="98"/>
    </row>
    <row r="63" ht="12.75" customHeight="1">
      <c r="A63" s="140" t="s">
        <v>31</v>
      </c>
      <c r="B63" s="141"/>
      <c r="C63" s="141"/>
      <c r="D63" s="142" t="s">
        <v>52</v>
      </c>
      <c r="E63" s="102" t="s">
        <v>85</v>
      </c>
      <c r="F63" s="102" t="s">
        <v>31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ref="U63:U67" si="4">IFERROR(I63/H63,0)</f>
        <v>0</v>
      </c>
      <c r="V63" s="104">
        <f t="shared" ref="V63:V67" si="5">IFERROR(SUM(H63+L63)/G63,0)</f>
        <v>0</v>
      </c>
      <c r="W63" s="105"/>
    </row>
    <row r="64" ht="12.75" customHeight="1">
      <c r="A64" s="143" t="s">
        <v>31</v>
      </c>
      <c r="B64" s="144"/>
      <c r="C64" s="127" t="s">
        <v>86</v>
      </c>
      <c r="D64" s="127" t="s">
        <v>52</v>
      </c>
      <c r="E64" s="127"/>
      <c r="F64" s="127" t="s">
        <v>86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45">
        <f t="shared" si="4"/>
        <v>0</v>
      </c>
      <c r="V64" s="145">
        <f t="shared" si="5"/>
        <v>0</v>
      </c>
      <c r="W64" s="146"/>
    </row>
    <row r="65" ht="12.75" customHeight="1">
      <c r="A65" s="147" t="s">
        <v>31</v>
      </c>
      <c r="B65" s="148"/>
      <c r="C65" s="120" t="s">
        <v>86</v>
      </c>
      <c r="D65" s="117"/>
      <c r="E65" s="120"/>
      <c r="F65" s="120" t="s">
        <v>87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5">
        <f t="shared" si="4"/>
        <v>0</v>
      </c>
      <c r="V65" s="145">
        <f t="shared" si="5"/>
        <v>0</v>
      </c>
      <c r="W65" s="146"/>
    </row>
    <row r="66" ht="12.75" customHeight="1">
      <c r="A66" s="149" t="s">
        <v>31</v>
      </c>
      <c r="B66" s="150"/>
      <c r="C66" s="151" t="s">
        <v>88</v>
      </c>
      <c r="D66" s="151"/>
      <c r="E66" s="151"/>
      <c r="F66" s="151" t="s">
        <v>88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5">
        <f t="shared" si="4"/>
        <v>0</v>
      </c>
      <c r="V66" s="145">
        <f t="shared" si="5"/>
        <v>0</v>
      </c>
      <c r="W66" s="146"/>
    </row>
    <row r="67" ht="12.75" customHeight="1">
      <c r="A67" s="152" t="s">
        <v>31</v>
      </c>
      <c r="B67" s="153"/>
      <c r="C67" s="154" t="s">
        <v>88</v>
      </c>
      <c r="D67" s="151"/>
      <c r="E67" s="154" t="s">
        <v>89</v>
      </c>
      <c r="F67" s="154" t="s">
        <v>90</v>
      </c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45">
        <f t="shared" si="4"/>
        <v>0</v>
      </c>
      <c r="V67" s="145">
        <f t="shared" si="5"/>
        <v>0</v>
      </c>
      <c r="W67" s="146"/>
    </row>
    <row r="68" ht="20.25" customHeight="1">
      <c r="A68" s="93" t="s">
        <v>36</v>
      </c>
      <c r="B68" s="94" t="s">
        <v>37</v>
      </c>
      <c r="C68" s="94" t="s">
        <v>38</v>
      </c>
      <c r="D68" s="95"/>
      <c r="E68" s="96" t="s">
        <v>39</v>
      </c>
      <c r="F68" s="94" t="s">
        <v>40</v>
      </c>
      <c r="G68" s="97" t="s">
        <v>41</v>
      </c>
      <c r="H68" s="97" t="s">
        <v>42</v>
      </c>
      <c r="I68" s="97" t="s">
        <v>43</v>
      </c>
      <c r="J68" s="97" t="s">
        <v>12</v>
      </c>
      <c r="K68" s="97" t="s">
        <v>44</v>
      </c>
      <c r="L68" s="97" t="s">
        <v>14</v>
      </c>
      <c r="M68" s="97" t="s">
        <v>9</v>
      </c>
      <c r="N68" s="97" t="s">
        <v>10</v>
      </c>
      <c r="O68" s="97" t="s">
        <v>45</v>
      </c>
      <c r="P68" s="97" t="s">
        <v>5</v>
      </c>
      <c r="Q68" s="97" t="s">
        <v>46</v>
      </c>
      <c r="R68" s="97" t="s">
        <v>47</v>
      </c>
      <c r="S68" s="97" t="s">
        <v>48</v>
      </c>
      <c r="T68" s="97" t="s">
        <v>0</v>
      </c>
      <c r="U68" s="96" t="s">
        <v>49</v>
      </c>
      <c r="V68" s="96" t="s">
        <v>50</v>
      </c>
      <c r="W68" s="98"/>
    </row>
    <row r="69" ht="13.5" customHeight="1">
      <c r="A69" s="155" t="s">
        <v>32</v>
      </c>
      <c r="B69" s="156"/>
      <c r="C69" s="157"/>
      <c r="D69" s="158" t="s">
        <v>52</v>
      </c>
      <c r="E69" s="156" t="s">
        <v>91</v>
      </c>
      <c r="F69" s="156" t="s">
        <v>32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4">
        <f t="shared" ref="U69:U78" si="6">IFERROR(I69/H69,0)</f>
        <v>0</v>
      </c>
      <c r="V69" s="104">
        <f t="shared" ref="V69:V78" si="7">IFERROR(SUM(H69+L69)/G69,0)</f>
        <v>0</v>
      </c>
      <c r="W69" s="105"/>
    </row>
    <row r="70" ht="13.5" customHeight="1">
      <c r="A70" s="114" t="s">
        <v>32</v>
      </c>
      <c r="B70" s="114"/>
      <c r="C70" s="159"/>
      <c r="D70" s="134"/>
      <c r="E70" s="114" t="s">
        <v>91</v>
      </c>
      <c r="F70" s="114" t="s">
        <v>92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91</v>
      </c>
      <c r="F71" s="114" t="s">
        <v>93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91</v>
      </c>
      <c r="F72" s="114" t="s">
        <v>94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91</v>
      </c>
      <c r="F73" s="114" t="s">
        <v>95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91</v>
      </c>
      <c r="F74" s="114" t="s">
        <v>96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91</v>
      </c>
      <c r="F75" s="114" t="s">
        <v>97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91</v>
      </c>
      <c r="F76" s="114" t="s">
        <v>98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14" t="s">
        <v>32</v>
      </c>
      <c r="B77" s="114"/>
      <c r="C77" s="114"/>
      <c r="D77" s="160"/>
      <c r="E77" s="114" t="s">
        <v>91</v>
      </c>
      <c r="F77" s="114" t="s">
        <v>99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14" t="s">
        <v>32</v>
      </c>
      <c r="B78" s="114"/>
      <c r="C78" s="114"/>
      <c r="D78" s="160"/>
      <c r="E78" s="114" t="s">
        <v>91</v>
      </c>
      <c r="F78" s="114" t="s">
        <v>100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20.25" customHeight="1">
      <c r="A79" s="93" t="s">
        <v>36</v>
      </c>
      <c r="B79" s="94" t="s">
        <v>37</v>
      </c>
      <c r="C79" s="94" t="s">
        <v>38</v>
      </c>
      <c r="D79" s="95"/>
      <c r="E79" s="96" t="s">
        <v>39</v>
      </c>
      <c r="F79" s="94" t="s">
        <v>40</v>
      </c>
      <c r="G79" s="97" t="s">
        <v>41</v>
      </c>
      <c r="H79" s="97" t="s">
        <v>42</v>
      </c>
      <c r="I79" s="97" t="s">
        <v>43</v>
      </c>
      <c r="J79" s="97" t="s">
        <v>12</v>
      </c>
      <c r="K79" s="97" t="s">
        <v>44</v>
      </c>
      <c r="L79" s="97" t="s">
        <v>14</v>
      </c>
      <c r="M79" s="97" t="s">
        <v>9</v>
      </c>
      <c r="N79" s="97" t="s">
        <v>10</v>
      </c>
      <c r="O79" s="97" t="s">
        <v>45</v>
      </c>
      <c r="P79" s="97" t="s">
        <v>5</v>
      </c>
      <c r="Q79" s="97" t="s">
        <v>46</v>
      </c>
      <c r="R79" s="97" t="s">
        <v>47</v>
      </c>
      <c r="S79" s="97" t="s">
        <v>48</v>
      </c>
      <c r="T79" s="97" t="s">
        <v>0</v>
      </c>
      <c r="U79" s="96" t="s">
        <v>49</v>
      </c>
      <c r="V79" s="96" t="s">
        <v>50</v>
      </c>
      <c r="W79" s="98"/>
    </row>
    <row r="80" ht="12.75" customHeight="1">
      <c r="A80" s="161" t="s">
        <v>33</v>
      </c>
      <c r="B80" s="161"/>
      <c r="C80" s="161"/>
      <c r="D80" s="162" t="s">
        <v>52</v>
      </c>
      <c r="E80" s="161" t="s">
        <v>101</v>
      </c>
      <c r="F80" s="161" t="s">
        <v>33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ref="U80:U84" si="8">IFERROR(I80/H80,0)</f>
        <v>0</v>
      </c>
      <c r="V80" s="104">
        <f t="shared" ref="V80:V84" si="9">IFERROR(SUM(H80+L80)/G80,0)</f>
        <v>0</v>
      </c>
      <c r="W80" s="105"/>
    </row>
    <row r="81" ht="12.75" customHeight="1">
      <c r="A81" s="163" t="s">
        <v>33</v>
      </c>
      <c r="B81" s="164"/>
      <c r="C81" s="164"/>
      <c r="D81" s="101"/>
      <c r="E81" s="126" t="s">
        <v>76</v>
      </c>
      <c r="F81" s="126" t="s">
        <v>102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8"/>
        <v>0</v>
      </c>
      <c r="V81" s="104">
        <f t="shared" si="9"/>
        <v>0</v>
      </c>
      <c r="W81" s="105"/>
    </row>
    <row r="82" ht="12.75" customHeight="1">
      <c r="A82" s="165" t="s">
        <v>33</v>
      </c>
      <c r="B82" s="165"/>
      <c r="C82" s="128" t="s">
        <v>103</v>
      </c>
      <c r="D82" s="129" t="s">
        <v>52</v>
      </c>
      <c r="E82" s="117" t="s">
        <v>59</v>
      </c>
      <c r="F82" s="128" t="s">
        <v>103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61" t="s">
        <v>33</v>
      </c>
      <c r="B83" s="161"/>
      <c r="C83" s="111" t="s">
        <v>104</v>
      </c>
      <c r="D83" s="112" t="s">
        <v>52</v>
      </c>
      <c r="E83" s="111" t="s">
        <v>105</v>
      </c>
      <c r="F83" s="111" t="s">
        <v>104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8"/>
        <v>0</v>
      </c>
      <c r="V83" s="104">
        <f t="shared" si="9"/>
        <v>0</v>
      </c>
      <c r="W83" s="105"/>
    </row>
    <row r="84" ht="12.75" customHeight="1">
      <c r="A84" s="163" t="s">
        <v>33</v>
      </c>
      <c r="B84" s="163"/>
      <c r="C84" s="114" t="s">
        <v>104</v>
      </c>
      <c r="D84" s="115"/>
      <c r="E84" s="114" t="s">
        <v>59</v>
      </c>
      <c r="F84" s="114" t="s">
        <v>106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si="8"/>
        <v>0</v>
      </c>
      <c r="V84" s="104">
        <f t="shared" si="9"/>
        <v>0</v>
      </c>
      <c r="W84" s="105"/>
    </row>
    <row r="85" ht="20.25" customHeight="1">
      <c r="A85" s="93" t="s">
        <v>36</v>
      </c>
      <c r="B85" s="94" t="s">
        <v>37</v>
      </c>
      <c r="C85" s="94" t="s">
        <v>38</v>
      </c>
      <c r="D85" s="95"/>
      <c r="E85" s="96" t="s">
        <v>39</v>
      </c>
      <c r="F85" s="94" t="s">
        <v>40</v>
      </c>
      <c r="G85" s="97" t="s">
        <v>41</v>
      </c>
      <c r="H85" s="97" t="s">
        <v>42</v>
      </c>
      <c r="I85" s="97" t="s">
        <v>43</v>
      </c>
      <c r="J85" s="97" t="s">
        <v>12</v>
      </c>
      <c r="K85" s="97" t="s">
        <v>44</v>
      </c>
      <c r="L85" s="97" t="s">
        <v>14</v>
      </c>
      <c r="M85" s="97" t="s">
        <v>9</v>
      </c>
      <c r="N85" s="97" t="s">
        <v>10</v>
      </c>
      <c r="O85" s="97" t="s">
        <v>45</v>
      </c>
      <c r="P85" s="97" t="s">
        <v>5</v>
      </c>
      <c r="Q85" s="97" t="s">
        <v>46</v>
      </c>
      <c r="R85" s="97" t="s">
        <v>47</v>
      </c>
      <c r="S85" s="97" t="s">
        <v>48</v>
      </c>
      <c r="T85" s="97" t="s">
        <v>0</v>
      </c>
      <c r="U85" s="96" t="s">
        <v>49</v>
      </c>
      <c r="V85" s="96" t="s">
        <v>50</v>
      </c>
      <c r="W85" s="98"/>
    </row>
    <row r="86" ht="13.5" customHeight="1">
      <c r="A86" s="166" t="s">
        <v>34</v>
      </c>
      <c r="B86" s="167"/>
      <c r="C86" s="167"/>
      <c r="D86" s="166" t="s">
        <v>52</v>
      </c>
      <c r="E86" s="166" t="s">
        <v>58</v>
      </c>
      <c r="F86" s="166" t="s">
        <v>34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ref="U86:U102" si="10">IFERROR(I86/H86,0)</f>
        <v>0</v>
      </c>
      <c r="V86" s="104">
        <f t="shared" ref="V86:V102" si="11">IFERROR(SUM(H86+L86)/G86,0)</f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59</v>
      </c>
      <c r="F87" s="168" t="s">
        <v>107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0"/>
        <v>0</v>
      </c>
      <c r="V87" s="104">
        <f t="shared" si="11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58</v>
      </c>
      <c r="F88" s="168" t="s">
        <v>108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76</v>
      </c>
      <c r="F89" s="168" t="s">
        <v>109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68" t="s">
        <v>34</v>
      </c>
      <c r="B90" s="167"/>
      <c r="C90" s="167"/>
      <c r="D90" s="167"/>
      <c r="E90" s="168" t="s">
        <v>62</v>
      </c>
      <c r="F90" s="168" t="s">
        <v>110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68" t="s">
        <v>34</v>
      </c>
      <c r="B91" s="167"/>
      <c r="C91" s="167"/>
      <c r="D91" s="167"/>
      <c r="E91" s="168" t="s">
        <v>58</v>
      </c>
      <c r="F91" s="168" t="s">
        <v>111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112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113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9" t="s">
        <v>34</v>
      </c>
      <c r="B95" s="170"/>
      <c r="C95" s="169"/>
      <c r="D95" s="170"/>
      <c r="E95" s="169"/>
      <c r="F95" s="169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9" t="s">
        <v>34</v>
      </c>
      <c r="B96" s="170"/>
      <c r="C96" s="169"/>
      <c r="D96" s="170"/>
      <c r="E96" s="169"/>
      <c r="F96" s="169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71" t="s">
        <v>34</v>
      </c>
      <c r="B97" s="172"/>
      <c r="C97" s="171" t="s">
        <v>117</v>
      </c>
      <c r="D97" s="173" t="s">
        <v>52</v>
      </c>
      <c r="E97" s="171" t="s">
        <v>105</v>
      </c>
      <c r="F97" s="171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74" t="s">
        <v>34</v>
      </c>
      <c r="B98" s="175"/>
      <c r="C98" s="174" t="s">
        <v>117</v>
      </c>
      <c r="D98" s="175"/>
      <c r="E98" s="174" t="s">
        <v>118</v>
      </c>
      <c r="F98" s="174" t="s">
        <v>119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74" t="s">
        <v>34</v>
      </c>
      <c r="B99" s="175"/>
      <c r="C99" s="174" t="s">
        <v>117</v>
      </c>
      <c r="D99" s="175"/>
      <c r="E99" s="174" t="s">
        <v>120</v>
      </c>
      <c r="F99" s="174" t="s">
        <v>121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74" t="s">
        <v>34</v>
      </c>
      <c r="B100" s="175"/>
      <c r="C100" s="174" t="s">
        <v>117</v>
      </c>
      <c r="D100" s="175"/>
      <c r="E100" s="174"/>
      <c r="F100" s="174" t="s">
        <v>119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6" t="s">
        <v>34</v>
      </c>
      <c r="B101" s="176"/>
      <c r="C101" s="166" t="s">
        <v>122</v>
      </c>
      <c r="D101" s="166" t="s">
        <v>52</v>
      </c>
      <c r="E101" s="166" t="s">
        <v>123</v>
      </c>
      <c r="F101" s="166" t="s">
        <v>122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9" t="s">
        <v>34</v>
      </c>
      <c r="B102" s="170"/>
      <c r="C102" s="169" t="s">
        <v>122</v>
      </c>
      <c r="D102" s="170"/>
      <c r="E102" s="169"/>
      <c r="F102" s="169" t="s">
        <v>124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20.25" customHeight="1">
      <c r="A103" s="93" t="s">
        <v>36</v>
      </c>
      <c r="B103" s="94" t="s">
        <v>37</v>
      </c>
      <c r="C103" s="94" t="s">
        <v>38</v>
      </c>
      <c r="D103" s="95"/>
      <c r="E103" s="96" t="s">
        <v>39</v>
      </c>
      <c r="F103" s="94" t="s">
        <v>40</v>
      </c>
      <c r="G103" s="97" t="s">
        <v>41</v>
      </c>
      <c r="H103" s="97" t="s">
        <v>42</v>
      </c>
      <c r="I103" s="97" t="s">
        <v>43</v>
      </c>
      <c r="J103" s="97" t="s">
        <v>12</v>
      </c>
      <c r="K103" s="97" t="s">
        <v>44</v>
      </c>
      <c r="L103" s="97" t="s">
        <v>14</v>
      </c>
      <c r="M103" s="97" t="s">
        <v>9</v>
      </c>
      <c r="N103" s="97" t="s">
        <v>10</v>
      </c>
      <c r="O103" s="97" t="s">
        <v>45</v>
      </c>
      <c r="P103" s="97" t="s">
        <v>5</v>
      </c>
      <c r="Q103" s="97" t="s">
        <v>46</v>
      </c>
      <c r="R103" s="97" t="s">
        <v>47</v>
      </c>
      <c r="S103" s="97" t="s">
        <v>48</v>
      </c>
      <c r="T103" s="97" t="s">
        <v>0</v>
      </c>
      <c r="U103" s="96" t="s">
        <v>49</v>
      </c>
      <c r="V103" s="96" t="s">
        <v>50</v>
      </c>
      <c r="W103" s="98"/>
    </row>
    <row r="104" ht="20.25" customHeight="1">
      <c r="A104" s="111" t="s">
        <v>35</v>
      </c>
      <c r="B104" s="160"/>
      <c r="C104" s="111"/>
      <c r="D104" s="111" t="s">
        <v>52</v>
      </c>
      <c r="E104" s="111" t="s">
        <v>59</v>
      </c>
      <c r="F104" s="111" t="s">
        <v>35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45">
        <f t="shared" ref="U104:U105" si="12">IFERROR(I104/H104,0)</f>
        <v>0</v>
      </c>
      <c r="V104" s="145">
        <f t="shared" ref="V104:V105" si="13">IFERROR(SUM(H104+L104)/G104,0)</f>
        <v>0</v>
      </c>
      <c r="W104" s="146"/>
    </row>
    <row r="105" ht="20.25" customHeight="1">
      <c r="A105" s="117" t="s">
        <v>35</v>
      </c>
      <c r="B105" s="136"/>
      <c r="C105" s="117" t="s">
        <v>125</v>
      </c>
      <c r="D105" s="117" t="s">
        <v>52</v>
      </c>
      <c r="E105" s="117"/>
      <c r="F105" s="117" t="s">
        <v>125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45">
        <f t="shared" si="12"/>
        <v>0</v>
      </c>
      <c r="V105" s="145">
        <f t="shared" si="13"/>
        <v>0</v>
      </c>
      <c r="W105" s="146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77"/>
      <c r="B618" s="177"/>
      <c r="C618" s="177"/>
      <c r="D618" s="1"/>
      <c r="E618" s="177"/>
      <c r="F618" s="178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80"/>
      <c r="V618" s="180"/>
      <c r="W618" s="180"/>
    </row>
    <row r="619" ht="12.75" customHeight="1">
      <c r="A619" s="177"/>
      <c r="B619" s="177"/>
      <c r="C619" s="177"/>
      <c r="D619" s="1"/>
      <c r="E619" s="177"/>
      <c r="F619" s="178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80"/>
      <c r="V619" s="180"/>
      <c r="W619" s="180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0</v>
      </c>
      <c r="D2" s="10"/>
      <c r="E2" s="11">
        <f t="shared" ref="E2:R2" si="1">SUM(E5,E20,E23,E26,E29,E32)</f>
        <v>0</v>
      </c>
      <c r="F2" s="11">
        <f t="shared" si="1"/>
        <v>0</v>
      </c>
      <c r="G2" s="11">
        <f t="shared" si="1"/>
        <v>0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0</v>
      </c>
      <c r="N2" s="11">
        <f t="shared" si="1"/>
        <v>0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64</v>
      </c>
      <c r="D4" s="22"/>
      <c r="E4" s="23">
        <f>IFERROR(C2/H2,0)</f>
        <v>0</v>
      </c>
      <c r="F4" s="24">
        <f>IFERROR((G2+R2)/F2,0)</f>
        <v>0</v>
      </c>
      <c r="G4" s="24">
        <f>IFERROR(H2/G2,0)</f>
        <v>0</v>
      </c>
      <c r="H4" s="23">
        <f>(C2/C4)</f>
        <v>0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0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0</v>
      </c>
      <c r="G5" s="11">
        <f>SUMIF(A:A,B5,H:H)</f>
        <v>0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0</v>
      </c>
      <c r="N5" s="11">
        <f>SUMIF(A:A,B5,N:N)</f>
        <v>0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25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SUMIF(B37:B1137,B8,G37:G1137)</f>
        <v>0</v>
      </c>
      <c r="G8" s="50">
        <f>SUMIF(B37:B1137,B8,H37:H1137)</f>
        <v>0</v>
      </c>
      <c r="H8" s="50">
        <f>SUMIF(B37:B1137,B8,I37:I1137)</f>
        <v>0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0</v>
      </c>
      <c r="L8" s="50">
        <f>SUMIF(B37:B1137,B8,S37:S1137)</f>
        <v>0</v>
      </c>
      <c r="M8" s="50">
        <f>SUMIF(B37:B1137,B8,M37:M1137)</f>
        <v>0</v>
      </c>
      <c r="N8" s="50">
        <f>SUMIF(B37:B1137,B8,N37:N1137)</f>
        <v>0</v>
      </c>
      <c r="O8" s="50">
        <f>SUMIF(B37:B1137,B8,O37:O1137)</f>
        <v>0</v>
      </c>
      <c r="P8" s="50">
        <f>SUMIF(B37:B1137,B8,J37:J1137)</f>
        <v>0</v>
      </c>
      <c r="Q8" s="50">
        <f>SUMIF(B37:B1137,B8,K37:K1137)</f>
        <v>0</v>
      </c>
      <c r="R8" s="51">
        <f>SUMIF(B37:B1137,B8,L37:L1137)</f>
        <v>0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IFERROR(M8/SUM(G8+R8,0),"")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0</v>
      </c>
      <c r="D11" s="60"/>
      <c r="E11" s="48">
        <f>SUMIFS(T:T,B:B,B11,D:D,"Y")</f>
        <v>0</v>
      </c>
      <c r="F11" s="49">
        <f>SUMIF(B39:B1137,B11,G39:G1137)</f>
        <v>0</v>
      </c>
      <c r="G11" s="50">
        <f>SUMIF(B39:B1137,B11,H39:H1137)</f>
        <v>0</v>
      </c>
      <c r="H11" s="50">
        <f>SUMIF(B39:B1137,B11,I39:I1137)</f>
        <v>0</v>
      </c>
      <c r="I11" s="50">
        <f>SUMIF(B39:B1137,B11,P39:P1137)</f>
        <v>0</v>
      </c>
      <c r="J11" s="50">
        <f>SUMIF(B39:B1137,B11,Q39:Q1137)</f>
        <v>0</v>
      </c>
      <c r="K11" s="50">
        <f>SUMIF(B39:B1137,B11,R39:R1137)</f>
        <v>0</v>
      </c>
      <c r="L11" s="50">
        <f>SUMIF(B39:B1137,B11,S39:S1137)</f>
        <v>0</v>
      </c>
      <c r="M11" s="50">
        <f>SUMIF(B39:B1137,B11,M39:M1137)</f>
        <v>0</v>
      </c>
      <c r="N11" s="50">
        <f>SUMIF(B39:B1137,B11,N39:N1137)</f>
        <v>0</v>
      </c>
      <c r="O11" s="50">
        <f>SUMIF(B39:B1137,B11,O39:O1137)</f>
        <v>0</v>
      </c>
      <c r="P11" s="50">
        <f>SUMIF(B39:B1137,B11,J39:J1137)</f>
        <v>0</v>
      </c>
      <c r="Q11" s="50">
        <f>SUMIF(B39:B1137,B11,K39:K1137)</f>
        <v>0</v>
      </c>
      <c r="R11" s="51">
        <f>SUMIF(B39:B1137,B11,L39:L1137)</f>
        <v>0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8</v>
      </c>
      <c r="D13" s="56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0</v>
      </c>
      <c r="D14" s="60"/>
      <c r="E14" s="48">
        <f>SUMIFS(T:T,B:B,B14,D:D,"Y")</f>
        <v>0</v>
      </c>
      <c r="F14" s="49">
        <f>SUMIF(B39:B1137,B14,G39:G1137)</f>
        <v>0</v>
      </c>
      <c r="G14" s="50">
        <f>SUMIF(B39:B1137,B14,H39:H1137)</f>
        <v>0</v>
      </c>
      <c r="H14" s="50">
        <f>SUMIF(B39:B1137,B14,I39:I1137)</f>
        <v>0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0</v>
      </c>
      <c r="L14" s="50">
        <f>SUMIF(B39:B1137,B14,S39:S1137)</f>
        <v>0</v>
      </c>
      <c r="M14" s="50">
        <f>SUMIF(B39:B1137,B14,M39:M1137)</f>
        <v>0</v>
      </c>
      <c r="N14" s="50">
        <f>SUMIF(B39:B1137,B14,N39:N1137)</f>
        <v>0</v>
      </c>
      <c r="O14" s="50">
        <f>SUMIF(B39:B1137,B14,O39:O1137)</f>
        <v>0</v>
      </c>
      <c r="P14" s="50">
        <f>SUMIF(B39:B1137,B14,J39:J1137)</f>
        <v>0</v>
      </c>
      <c r="Q14" s="50">
        <f>SUMIF(B39:B1137,B14,K39:K1137)</f>
        <v>0</v>
      </c>
      <c r="R14" s="51">
        <f>SUMIF(B39:B1137,B14,L39:L1137)</f>
        <v>0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8</v>
      </c>
      <c r="D16" s="56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0</v>
      </c>
      <c r="D17" s="60"/>
      <c r="E17" s="48">
        <f>SUMIFS(T:T,B:B,B17,D:D,"Y")</f>
        <v>0</v>
      </c>
      <c r="F17" s="49">
        <f>SUMIF(B45:B1137,B17,G45:G1137)</f>
        <v>0</v>
      </c>
      <c r="G17" s="50">
        <f>SUMIF(B45:B1137,B17,H45:H1137)</f>
        <v>0</v>
      </c>
      <c r="H17" s="50">
        <f>SUMIF(B45:B1137,B17,I45:I1137)</f>
        <v>0</v>
      </c>
      <c r="I17" s="50">
        <f>SUMIF(B45:B1137,B17,P45:P1137)</f>
        <v>0</v>
      </c>
      <c r="J17" s="50">
        <f>SUMIF(B45:B1137,B17,Q45:Q1137)</f>
        <v>0</v>
      </c>
      <c r="K17" s="50">
        <f>SUMIF(B45:B1137,B17,R45:R1137)</f>
        <v>0</v>
      </c>
      <c r="L17" s="50">
        <f>SUMIF(B45:B1137,B17,S45:S1137)</f>
        <v>0</v>
      </c>
      <c r="M17" s="50">
        <f>SUMIF(B45:B1137,B17,M45:M1137)</f>
        <v>0</v>
      </c>
      <c r="N17" s="50">
        <f>SUMIF(B45:B1137,B17,N45:N1137)</f>
        <v>0</v>
      </c>
      <c r="O17" s="50">
        <f>SUMIF(B45:B1137,B17,O45:O1137)</f>
        <v>0</v>
      </c>
      <c r="P17" s="50">
        <f>SUMIF(B45:B1137,B17,J45:J1137)</f>
        <v>0</v>
      </c>
      <c r="Q17" s="50">
        <f>SUMIF(B45:B1137,B17,K45:K1137)</f>
        <v>0</v>
      </c>
      <c r="R17" s="51">
        <f>SUMIF(B45:B1137,B17,L45:L1137)</f>
        <v>0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COUNTIFS(B45:B1137,B17)</f>
        <v>3</v>
      </c>
      <c r="D19" s="56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1" si="2">IFERROR(I37/H37,0)</f>
        <v>0</v>
      </c>
      <c r="V37" s="104">
        <f t="shared" ref="V37:V61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62</v>
      </c>
      <c r="F44" s="126" t="s">
        <v>63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58</v>
      </c>
      <c r="F45" s="126" t="s">
        <v>64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5" t="s">
        <v>26</v>
      </c>
      <c r="B46" s="99" t="s">
        <v>28</v>
      </c>
      <c r="C46" s="126"/>
      <c r="D46" s="101"/>
      <c r="E46" s="126" t="s">
        <v>53</v>
      </c>
      <c r="F46" s="126" t="s">
        <v>65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2.75" customHeight="1">
      <c r="A47" s="117" t="s">
        <v>26</v>
      </c>
      <c r="B47" s="127" t="s">
        <v>28</v>
      </c>
      <c r="C47" s="128" t="s">
        <v>66</v>
      </c>
      <c r="D47" s="129" t="s">
        <v>52</v>
      </c>
      <c r="E47" s="117" t="s">
        <v>67</v>
      </c>
      <c r="F47" s="128" t="s">
        <v>68</v>
      </c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4">
        <f t="shared" si="2"/>
        <v>0</v>
      </c>
      <c r="V47" s="104">
        <f t="shared" si="3"/>
        <v>0</v>
      </c>
      <c r="W47" s="105"/>
    </row>
    <row r="48" ht="12.75" customHeight="1">
      <c r="A48" s="119" t="s">
        <v>26</v>
      </c>
      <c r="B48" s="130" t="s">
        <v>28</v>
      </c>
      <c r="C48" s="120" t="s">
        <v>66</v>
      </c>
      <c r="D48" s="131"/>
      <c r="E48" s="120"/>
      <c r="F48" s="120" t="s">
        <v>69</v>
      </c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66</v>
      </c>
      <c r="D49" s="131"/>
      <c r="E49" s="120"/>
      <c r="F49" s="120" t="s">
        <v>70</v>
      </c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4">
        <f t="shared" si="2"/>
        <v>0</v>
      </c>
      <c r="V49" s="104">
        <f t="shared" si="3"/>
        <v>0</v>
      </c>
      <c r="W49" s="105"/>
    </row>
    <row r="50" ht="12.75" customHeight="1">
      <c r="A50" s="119" t="s">
        <v>26</v>
      </c>
      <c r="B50" s="130" t="s">
        <v>28</v>
      </c>
      <c r="C50" s="120" t="s">
        <v>66</v>
      </c>
      <c r="D50" s="131"/>
      <c r="E50" s="120"/>
      <c r="F50" s="120" t="s">
        <v>71</v>
      </c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4">
        <f t="shared" si="2"/>
        <v>0</v>
      </c>
      <c r="V50" s="104">
        <f t="shared" si="3"/>
        <v>0</v>
      </c>
      <c r="W50" s="105"/>
    </row>
    <row r="51" ht="12.75" customHeight="1">
      <c r="A51" s="106" t="s">
        <v>26</v>
      </c>
      <c r="B51" s="109" t="s">
        <v>29</v>
      </c>
      <c r="C51" s="109"/>
      <c r="D51" s="132" t="s">
        <v>52</v>
      </c>
      <c r="E51" s="109" t="s">
        <v>72</v>
      </c>
      <c r="F51" s="133" t="s">
        <v>29</v>
      </c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4">
        <f t="shared" si="2"/>
        <v>0</v>
      </c>
      <c r="V51" s="104">
        <f t="shared" si="3"/>
        <v>0</v>
      </c>
      <c r="W51" s="105"/>
    </row>
    <row r="52" ht="13.5" customHeight="1">
      <c r="A52" s="113" t="s">
        <v>26</v>
      </c>
      <c r="B52" s="114" t="s">
        <v>29</v>
      </c>
      <c r="C52" s="114"/>
      <c r="D52" s="134"/>
      <c r="E52" s="114" t="s">
        <v>59</v>
      </c>
      <c r="F52" s="114" t="s">
        <v>73</v>
      </c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4">
        <f t="shared" si="2"/>
        <v>0</v>
      </c>
      <c r="V52" s="104">
        <f t="shared" si="3"/>
        <v>0</v>
      </c>
      <c r="W52" s="105"/>
    </row>
    <row r="53" ht="13.5" customHeight="1">
      <c r="A53" s="113" t="s">
        <v>26</v>
      </c>
      <c r="B53" s="114" t="s">
        <v>29</v>
      </c>
      <c r="C53" s="114"/>
      <c r="D53" s="134"/>
      <c r="E53" s="114" t="s">
        <v>72</v>
      </c>
      <c r="F53" s="114" t="s">
        <v>74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3.5" customHeight="1">
      <c r="A54" s="135" t="s">
        <v>26</v>
      </c>
      <c r="B54" s="127" t="s">
        <v>29</v>
      </c>
      <c r="C54" s="117" t="s">
        <v>75</v>
      </c>
      <c r="D54" s="136" t="s">
        <v>52</v>
      </c>
      <c r="E54" s="117" t="s">
        <v>76</v>
      </c>
      <c r="F54" s="117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3.5" customHeight="1">
      <c r="A55" s="137" t="s">
        <v>26</v>
      </c>
      <c r="B55" s="130" t="s">
        <v>29</v>
      </c>
      <c r="C55" s="120" t="s">
        <v>75</v>
      </c>
      <c r="D55" s="138"/>
      <c r="E55" s="120" t="s">
        <v>59</v>
      </c>
      <c r="F55" s="120" t="s">
        <v>77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75</v>
      </c>
      <c r="D56" s="138"/>
      <c r="E56" s="120" t="s">
        <v>59</v>
      </c>
      <c r="F56" s="120" t="s">
        <v>78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3.5" customHeight="1">
      <c r="A57" s="137" t="s">
        <v>26</v>
      </c>
      <c r="B57" s="130" t="s">
        <v>29</v>
      </c>
      <c r="C57" s="120" t="s">
        <v>75</v>
      </c>
      <c r="D57" s="138"/>
      <c r="E57" s="120" t="s">
        <v>59</v>
      </c>
      <c r="F57" s="120" t="s">
        <v>79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3.5" customHeight="1">
      <c r="A58" s="137" t="s">
        <v>26</v>
      </c>
      <c r="B58" s="130" t="s">
        <v>29</v>
      </c>
      <c r="C58" s="120" t="s">
        <v>75</v>
      </c>
      <c r="D58" s="138"/>
      <c r="E58" s="120" t="s">
        <v>80</v>
      </c>
      <c r="F58" s="120" t="s">
        <v>81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06" t="s">
        <v>26</v>
      </c>
      <c r="B59" s="107" t="s">
        <v>30</v>
      </c>
      <c r="C59" s="107"/>
      <c r="D59" s="109" t="s">
        <v>52</v>
      </c>
      <c r="E59" s="107" t="s">
        <v>82</v>
      </c>
      <c r="F59" s="107" t="s">
        <v>30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10" t="s">
        <v>26</v>
      </c>
      <c r="B60" s="111" t="s">
        <v>30</v>
      </c>
      <c r="C60" s="111" t="s">
        <v>83</v>
      </c>
      <c r="D60" s="111" t="s">
        <v>52</v>
      </c>
      <c r="E60" s="111" t="s">
        <v>82</v>
      </c>
      <c r="F60" s="111" t="s">
        <v>83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13" t="s">
        <v>26</v>
      </c>
      <c r="B61" s="114" t="s">
        <v>30</v>
      </c>
      <c r="C61" s="114" t="s">
        <v>83</v>
      </c>
      <c r="D61" s="139"/>
      <c r="E61" s="114" t="s">
        <v>82</v>
      </c>
      <c r="F61" s="114" t="s">
        <v>84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20.25" customHeight="1">
      <c r="A62" s="93" t="s">
        <v>36</v>
      </c>
      <c r="B62" s="94" t="s">
        <v>37</v>
      </c>
      <c r="C62" s="94" t="s">
        <v>38</v>
      </c>
      <c r="D62" s="95"/>
      <c r="E62" s="96" t="s">
        <v>39</v>
      </c>
      <c r="F62" s="94" t="s">
        <v>40</v>
      </c>
      <c r="G62" s="97" t="s">
        <v>41</v>
      </c>
      <c r="H62" s="97" t="s">
        <v>42</v>
      </c>
      <c r="I62" s="97" t="s">
        <v>43</v>
      </c>
      <c r="J62" s="97" t="s">
        <v>12</v>
      </c>
      <c r="K62" s="97" t="s">
        <v>44</v>
      </c>
      <c r="L62" s="97" t="s">
        <v>14</v>
      </c>
      <c r="M62" s="97" t="s">
        <v>9</v>
      </c>
      <c r="N62" s="97" t="s">
        <v>10</v>
      </c>
      <c r="O62" s="97" t="s">
        <v>45</v>
      </c>
      <c r="P62" s="97" t="s">
        <v>5</v>
      </c>
      <c r="Q62" s="97" t="s">
        <v>46</v>
      </c>
      <c r="R62" s="97" t="s">
        <v>47</v>
      </c>
      <c r="S62" s="97" t="s">
        <v>48</v>
      </c>
      <c r="T62" s="97" t="s">
        <v>0</v>
      </c>
      <c r="U62" s="96" t="s">
        <v>49</v>
      </c>
      <c r="V62" s="96" t="s">
        <v>50</v>
      </c>
      <c r="W62" s="98"/>
    </row>
    <row r="63" ht="12.75" customHeight="1">
      <c r="A63" s="140" t="s">
        <v>31</v>
      </c>
      <c r="B63" s="141"/>
      <c r="C63" s="141"/>
      <c r="D63" s="142" t="s">
        <v>52</v>
      </c>
      <c r="E63" s="102" t="s">
        <v>85</v>
      </c>
      <c r="F63" s="102" t="s">
        <v>31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ref="U63:U67" si="4">IFERROR(I63/H63,0)</f>
        <v>0</v>
      </c>
      <c r="V63" s="104">
        <f t="shared" ref="V63:V67" si="5">IFERROR(SUM(H63+L63)/G63,0)</f>
        <v>0</v>
      </c>
      <c r="W63" s="105"/>
    </row>
    <row r="64" ht="12.75" customHeight="1">
      <c r="A64" s="143" t="s">
        <v>31</v>
      </c>
      <c r="B64" s="144"/>
      <c r="C64" s="127" t="s">
        <v>86</v>
      </c>
      <c r="D64" s="127" t="s">
        <v>52</v>
      </c>
      <c r="E64" s="127"/>
      <c r="F64" s="127" t="s">
        <v>86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45">
        <f t="shared" si="4"/>
        <v>0</v>
      </c>
      <c r="V64" s="145">
        <f t="shared" si="5"/>
        <v>0</v>
      </c>
      <c r="W64" s="146"/>
    </row>
    <row r="65" ht="12.75" customHeight="1">
      <c r="A65" s="147" t="s">
        <v>31</v>
      </c>
      <c r="B65" s="148"/>
      <c r="C65" s="120" t="s">
        <v>86</v>
      </c>
      <c r="D65" s="117"/>
      <c r="E65" s="120"/>
      <c r="F65" s="120" t="s">
        <v>87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5">
        <f t="shared" si="4"/>
        <v>0</v>
      </c>
      <c r="V65" s="145">
        <f t="shared" si="5"/>
        <v>0</v>
      </c>
      <c r="W65" s="146"/>
    </row>
    <row r="66" ht="12.75" customHeight="1">
      <c r="A66" s="149" t="s">
        <v>31</v>
      </c>
      <c r="B66" s="150"/>
      <c r="C66" s="151" t="s">
        <v>88</v>
      </c>
      <c r="D66" s="151"/>
      <c r="E66" s="151"/>
      <c r="F66" s="151" t="s">
        <v>88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5">
        <f t="shared" si="4"/>
        <v>0</v>
      </c>
      <c r="V66" s="145">
        <f t="shared" si="5"/>
        <v>0</v>
      </c>
      <c r="W66" s="146"/>
    </row>
    <row r="67" ht="12.75" customHeight="1">
      <c r="A67" s="152" t="s">
        <v>31</v>
      </c>
      <c r="B67" s="153"/>
      <c r="C67" s="154" t="s">
        <v>88</v>
      </c>
      <c r="D67" s="151"/>
      <c r="E67" s="154" t="s">
        <v>89</v>
      </c>
      <c r="F67" s="154" t="s">
        <v>90</v>
      </c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45">
        <f t="shared" si="4"/>
        <v>0</v>
      </c>
      <c r="V67" s="145">
        <f t="shared" si="5"/>
        <v>0</v>
      </c>
      <c r="W67" s="146"/>
    </row>
    <row r="68" ht="20.25" customHeight="1">
      <c r="A68" s="93" t="s">
        <v>36</v>
      </c>
      <c r="B68" s="94" t="s">
        <v>37</v>
      </c>
      <c r="C68" s="94" t="s">
        <v>38</v>
      </c>
      <c r="D68" s="95"/>
      <c r="E68" s="96" t="s">
        <v>39</v>
      </c>
      <c r="F68" s="94" t="s">
        <v>40</v>
      </c>
      <c r="G68" s="97" t="s">
        <v>41</v>
      </c>
      <c r="H68" s="97" t="s">
        <v>42</v>
      </c>
      <c r="I68" s="97" t="s">
        <v>43</v>
      </c>
      <c r="J68" s="97" t="s">
        <v>12</v>
      </c>
      <c r="K68" s="97" t="s">
        <v>44</v>
      </c>
      <c r="L68" s="97" t="s">
        <v>14</v>
      </c>
      <c r="M68" s="97" t="s">
        <v>9</v>
      </c>
      <c r="N68" s="97" t="s">
        <v>10</v>
      </c>
      <c r="O68" s="97" t="s">
        <v>45</v>
      </c>
      <c r="P68" s="97" t="s">
        <v>5</v>
      </c>
      <c r="Q68" s="97" t="s">
        <v>46</v>
      </c>
      <c r="R68" s="97" t="s">
        <v>47</v>
      </c>
      <c r="S68" s="97" t="s">
        <v>48</v>
      </c>
      <c r="T68" s="97" t="s">
        <v>0</v>
      </c>
      <c r="U68" s="96" t="s">
        <v>49</v>
      </c>
      <c r="V68" s="96" t="s">
        <v>50</v>
      </c>
      <c r="W68" s="98"/>
    </row>
    <row r="69" ht="13.5" customHeight="1">
      <c r="A69" s="155" t="s">
        <v>32</v>
      </c>
      <c r="B69" s="156"/>
      <c r="C69" s="157"/>
      <c r="D69" s="158" t="s">
        <v>52</v>
      </c>
      <c r="E69" s="156" t="s">
        <v>91</v>
      </c>
      <c r="F69" s="156" t="s">
        <v>32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4">
        <f t="shared" ref="U69:U78" si="6">IFERROR(I69/H69,0)</f>
        <v>0</v>
      </c>
      <c r="V69" s="104">
        <f t="shared" ref="V69:V78" si="7">IFERROR(SUM(H69+L69)/G69,0)</f>
        <v>0</v>
      </c>
      <c r="W69" s="105"/>
    </row>
    <row r="70" ht="13.5" customHeight="1">
      <c r="A70" s="114" t="s">
        <v>32</v>
      </c>
      <c r="B70" s="114"/>
      <c r="C70" s="159"/>
      <c r="D70" s="134"/>
      <c r="E70" s="114" t="s">
        <v>91</v>
      </c>
      <c r="F70" s="114" t="s">
        <v>92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91</v>
      </c>
      <c r="F71" s="114" t="s">
        <v>93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91</v>
      </c>
      <c r="F72" s="114" t="s">
        <v>94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91</v>
      </c>
      <c r="F73" s="114" t="s">
        <v>95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91</v>
      </c>
      <c r="F74" s="114" t="s">
        <v>96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91</v>
      </c>
      <c r="F75" s="114" t="s">
        <v>97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91</v>
      </c>
      <c r="F76" s="114" t="s">
        <v>98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14" t="s">
        <v>32</v>
      </c>
      <c r="B77" s="114"/>
      <c r="C77" s="114"/>
      <c r="D77" s="160"/>
      <c r="E77" s="114" t="s">
        <v>91</v>
      </c>
      <c r="F77" s="114" t="s">
        <v>99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14" t="s">
        <v>32</v>
      </c>
      <c r="B78" s="114"/>
      <c r="C78" s="114"/>
      <c r="D78" s="160"/>
      <c r="E78" s="114" t="s">
        <v>91</v>
      </c>
      <c r="F78" s="114" t="s">
        <v>100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20.25" customHeight="1">
      <c r="A79" s="93" t="s">
        <v>36</v>
      </c>
      <c r="B79" s="94" t="s">
        <v>37</v>
      </c>
      <c r="C79" s="94" t="s">
        <v>38</v>
      </c>
      <c r="D79" s="95"/>
      <c r="E79" s="96" t="s">
        <v>39</v>
      </c>
      <c r="F79" s="94" t="s">
        <v>40</v>
      </c>
      <c r="G79" s="97" t="s">
        <v>41</v>
      </c>
      <c r="H79" s="97" t="s">
        <v>42</v>
      </c>
      <c r="I79" s="97" t="s">
        <v>43</v>
      </c>
      <c r="J79" s="97" t="s">
        <v>12</v>
      </c>
      <c r="K79" s="97" t="s">
        <v>44</v>
      </c>
      <c r="L79" s="97" t="s">
        <v>14</v>
      </c>
      <c r="M79" s="97" t="s">
        <v>9</v>
      </c>
      <c r="N79" s="97" t="s">
        <v>10</v>
      </c>
      <c r="O79" s="97" t="s">
        <v>45</v>
      </c>
      <c r="P79" s="97" t="s">
        <v>5</v>
      </c>
      <c r="Q79" s="97" t="s">
        <v>46</v>
      </c>
      <c r="R79" s="97" t="s">
        <v>47</v>
      </c>
      <c r="S79" s="97" t="s">
        <v>48</v>
      </c>
      <c r="T79" s="97" t="s">
        <v>0</v>
      </c>
      <c r="U79" s="96" t="s">
        <v>49</v>
      </c>
      <c r="V79" s="96" t="s">
        <v>50</v>
      </c>
      <c r="W79" s="98"/>
    </row>
    <row r="80" ht="12.75" customHeight="1">
      <c r="A80" s="161" t="s">
        <v>33</v>
      </c>
      <c r="B80" s="161"/>
      <c r="C80" s="161"/>
      <c r="D80" s="162" t="s">
        <v>52</v>
      </c>
      <c r="E80" s="161" t="s">
        <v>101</v>
      </c>
      <c r="F80" s="161" t="s">
        <v>33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ref="U80:U84" si="8">IFERROR(I80/H80,0)</f>
        <v>0</v>
      </c>
      <c r="V80" s="104">
        <f t="shared" ref="V80:V84" si="9">IFERROR(SUM(H80+L80)/G80,0)</f>
        <v>0</v>
      </c>
      <c r="W80" s="105"/>
    </row>
    <row r="81" ht="12.75" customHeight="1">
      <c r="A81" s="163" t="s">
        <v>33</v>
      </c>
      <c r="B81" s="164"/>
      <c r="C81" s="164"/>
      <c r="D81" s="101"/>
      <c r="E81" s="126" t="s">
        <v>76</v>
      </c>
      <c r="F81" s="126" t="s">
        <v>102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8"/>
        <v>0</v>
      </c>
      <c r="V81" s="104">
        <f t="shared" si="9"/>
        <v>0</v>
      </c>
      <c r="W81" s="105"/>
    </row>
    <row r="82" ht="12.75" customHeight="1">
      <c r="A82" s="165" t="s">
        <v>33</v>
      </c>
      <c r="B82" s="165"/>
      <c r="C82" s="128" t="s">
        <v>103</v>
      </c>
      <c r="D82" s="129" t="s">
        <v>52</v>
      </c>
      <c r="E82" s="117" t="s">
        <v>59</v>
      </c>
      <c r="F82" s="128" t="s">
        <v>103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61" t="s">
        <v>33</v>
      </c>
      <c r="B83" s="161"/>
      <c r="C83" s="111" t="s">
        <v>104</v>
      </c>
      <c r="D83" s="112" t="s">
        <v>52</v>
      </c>
      <c r="E83" s="111" t="s">
        <v>105</v>
      </c>
      <c r="F83" s="111" t="s">
        <v>104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8"/>
        <v>0</v>
      </c>
      <c r="V83" s="104">
        <f t="shared" si="9"/>
        <v>0</v>
      </c>
      <c r="W83" s="105"/>
    </row>
    <row r="84" ht="12.75" customHeight="1">
      <c r="A84" s="163" t="s">
        <v>33</v>
      </c>
      <c r="B84" s="163"/>
      <c r="C84" s="114" t="s">
        <v>104</v>
      </c>
      <c r="D84" s="115"/>
      <c r="E84" s="114" t="s">
        <v>59</v>
      </c>
      <c r="F84" s="114" t="s">
        <v>106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si="8"/>
        <v>0</v>
      </c>
      <c r="V84" s="104">
        <f t="shared" si="9"/>
        <v>0</v>
      </c>
      <c r="W84" s="105"/>
    </row>
    <row r="85" ht="20.25" customHeight="1">
      <c r="A85" s="93" t="s">
        <v>36</v>
      </c>
      <c r="B85" s="94" t="s">
        <v>37</v>
      </c>
      <c r="C85" s="94" t="s">
        <v>38</v>
      </c>
      <c r="D85" s="95"/>
      <c r="E85" s="96" t="s">
        <v>39</v>
      </c>
      <c r="F85" s="94" t="s">
        <v>40</v>
      </c>
      <c r="G85" s="97" t="s">
        <v>41</v>
      </c>
      <c r="H85" s="97" t="s">
        <v>42</v>
      </c>
      <c r="I85" s="97" t="s">
        <v>43</v>
      </c>
      <c r="J85" s="97" t="s">
        <v>12</v>
      </c>
      <c r="K85" s="97" t="s">
        <v>44</v>
      </c>
      <c r="L85" s="97" t="s">
        <v>14</v>
      </c>
      <c r="M85" s="97" t="s">
        <v>9</v>
      </c>
      <c r="N85" s="97" t="s">
        <v>10</v>
      </c>
      <c r="O85" s="97" t="s">
        <v>45</v>
      </c>
      <c r="P85" s="97" t="s">
        <v>5</v>
      </c>
      <c r="Q85" s="97" t="s">
        <v>46</v>
      </c>
      <c r="R85" s="97" t="s">
        <v>47</v>
      </c>
      <c r="S85" s="97" t="s">
        <v>48</v>
      </c>
      <c r="T85" s="97" t="s">
        <v>0</v>
      </c>
      <c r="U85" s="96" t="s">
        <v>49</v>
      </c>
      <c r="V85" s="96" t="s">
        <v>50</v>
      </c>
      <c r="W85" s="98"/>
    </row>
    <row r="86" ht="13.5" customHeight="1">
      <c r="A86" s="166" t="s">
        <v>34</v>
      </c>
      <c r="B86" s="167"/>
      <c r="C86" s="167"/>
      <c r="D86" s="166" t="s">
        <v>52</v>
      </c>
      <c r="E86" s="166" t="s">
        <v>58</v>
      </c>
      <c r="F86" s="166" t="s">
        <v>34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ref="U86:U102" si="10">IFERROR(I86/H86,0)</f>
        <v>0</v>
      </c>
      <c r="V86" s="104">
        <f t="shared" ref="V86:V102" si="11">IFERROR(SUM(H86+L86)/G86,0)</f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59</v>
      </c>
      <c r="F87" s="168" t="s">
        <v>107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0"/>
        <v>0</v>
      </c>
      <c r="V87" s="104">
        <f t="shared" si="11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58</v>
      </c>
      <c r="F88" s="168" t="s">
        <v>108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76</v>
      </c>
      <c r="F89" s="168" t="s">
        <v>109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68" t="s">
        <v>34</v>
      </c>
      <c r="B90" s="167"/>
      <c r="C90" s="167"/>
      <c r="D90" s="167"/>
      <c r="E90" s="168" t="s">
        <v>62</v>
      </c>
      <c r="F90" s="168" t="s">
        <v>110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68" t="s">
        <v>34</v>
      </c>
      <c r="B91" s="167"/>
      <c r="C91" s="167"/>
      <c r="D91" s="167"/>
      <c r="E91" s="168" t="s">
        <v>58</v>
      </c>
      <c r="F91" s="168" t="s">
        <v>111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112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113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9" t="s">
        <v>34</v>
      </c>
      <c r="B95" s="170"/>
      <c r="C95" s="169"/>
      <c r="D95" s="170"/>
      <c r="E95" s="169"/>
      <c r="F95" s="169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9" t="s">
        <v>34</v>
      </c>
      <c r="B96" s="170"/>
      <c r="C96" s="169"/>
      <c r="D96" s="170"/>
      <c r="E96" s="169"/>
      <c r="F96" s="169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71" t="s">
        <v>34</v>
      </c>
      <c r="B97" s="172"/>
      <c r="C97" s="171" t="s">
        <v>117</v>
      </c>
      <c r="D97" s="173" t="s">
        <v>52</v>
      </c>
      <c r="E97" s="171" t="s">
        <v>105</v>
      </c>
      <c r="F97" s="171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74" t="s">
        <v>34</v>
      </c>
      <c r="B98" s="175"/>
      <c r="C98" s="174" t="s">
        <v>117</v>
      </c>
      <c r="D98" s="175"/>
      <c r="E98" s="174" t="s">
        <v>118</v>
      </c>
      <c r="F98" s="174" t="s">
        <v>119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74" t="s">
        <v>34</v>
      </c>
      <c r="B99" s="175"/>
      <c r="C99" s="174" t="s">
        <v>117</v>
      </c>
      <c r="D99" s="175"/>
      <c r="E99" s="174" t="s">
        <v>120</v>
      </c>
      <c r="F99" s="174" t="s">
        <v>121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74" t="s">
        <v>34</v>
      </c>
      <c r="B100" s="175"/>
      <c r="C100" s="174" t="s">
        <v>117</v>
      </c>
      <c r="D100" s="175"/>
      <c r="E100" s="174"/>
      <c r="F100" s="174" t="s">
        <v>119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6" t="s">
        <v>34</v>
      </c>
      <c r="B101" s="176"/>
      <c r="C101" s="166" t="s">
        <v>122</v>
      </c>
      <c r="D101" s="166" t="s">
        <v>52</v>
      </c>
      <c r="E101" s="166" t="s">
        <v>123</v>
      </c>
      <c r="F101" s="166" t="s">
        <v>122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9" t="s">
        <v>34</v>
      </c>
      <c r="B102" s="170"/>
      <c r="C102" s="169" t="s">
        <v>122</v>
      </c>
      <c r="D102" s="170"/>
      <c r="E102" s="169"/>
      <c r="F102" s="169" t="s">
        <v>124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20.25" customHeight="1">
      <c r="A103" s="93" t="s">
        <v>36</v>
      </c>
      <c r="B103" s="94" t="s">
        <v>37</v>
      </c>
      <c r="C103" s="94" t="s">
        <v>38</v>
      </c>
      <c r="D103" s="95"/>
      <c r="E103" s="96" t="s">
        <v>39</v>
      </c>
      <c r="F103" s="94" t="s">
        <v>40</v>
      </c>
      <c r="G103" s="97" t="s">
        <v>41</v>
      </c>
      <c r="H103" s="97" t="s">
        <v>42</v>
      </c>
      <c r="I103" s="97" t="s">
        <v>43</v>
      </c>
      <c r="J103" s="97" t="s">
        <v>12</v>
      </c>
      <c r="K103" s="97" t="s">
        <v>44</v>
      </c>
      <c r="L103" s="97" t="s">
        <v>14</v>
      </c>
      <c r="M103" s="97" t="s">
        <v>9</v>
      </c>
      <c r="N103" s="97" t="s">
        <v>10</v>
      </c>
      <c r="O103" s="97" t="s">
        <v>45</v>
      </c>
      <c r="P103" s="97" t="s">
        <v>5</v>
      </c>
      <c r="Q103" s="97" t="s">
        <v>46</v>
      </c>
      <c r="R103" s="97" t="s">
        <v>47</v>
      </c>
      <c r="S103" s="97" t="s">
        <v>48</v>
      </c>
      <c r="T103" s="97" t="s">
        <v>0</v>
      </c>
      <c r="U103" s="96" t="s">
        <v>49</v>
      </c>
      <c r="V103" s="96" t="s">
        <v>50</v>
      </c>
      <c r="W103" s="98"/>
    </row>
    <row r="104" ht="20.25" customHeight="1">
      <c r="A104" s="111" t="s">
        <v>35</v>
      </c>
      <c r="B104" s="160"/>
      <c r="C104" s="111"/>
      <c r="D104" s="111" t="s">
        <v>52</v>
      </c>
      <c r="E104" s="111" t="s">
        <v>59</v>
      </c>
      <c r="F104" s="111" t="s">
        <v>35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45">
        <f t="shared" ref="U104:U105" si="12">IFERROR(I104/H104,0)</f>
        <v>0</v>
      </c>
      <c r="V104" s="145">
        <f t="shared" ref="V104:V105" si="13">IFERROR(SUM(H104+L104)/G104,0)</f>
        <v>0</v>
      </c>
      <c r="W104" s="146"/>
    </row>
    <row r="105" ht="20.25" customHeight="1">
      <c r="A105" s="117" t="s">
        <v>35</v>
      </c>
      <c r="B105" s="136"/>
      <c r="C105" s="117" t="s">
        <v>125</v>
      </c>
      <c r="D105" s="117" t="s">
        <v>52</v>
      </c>
      <c r="E105" s="117"/>
      <c r="F105" s="117" t="s">
        <v>125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45">
        <f t="shared" si="12"/>
        <v>0</v>
      </c>
      <c r="V105" s="145">
        <f t="shared" si="13"/>
        <v>0</v>
      </c>
      <c r="W105" s="146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77"/>
      <c r="B618" s="177"/>
      <c r="C618" s="177"/>
      <c r="D618" s="1"/>
      <c r="E618" s="177"/>
      <c r="F618" s="178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80"/>
      <c r="V618" s="180"/>
      <c r="W618" s="180"/>
    </row>
    <row r="619" ht="12.75" customHeight="1">
      <c r="A619" s="177"/>
      <c r="B619" s="177"/>
      <c r="C619" s="177"/>
      <c r="D619" s="1"/>
      <c r="E619" s="177"/>
      <c r="F619" s="178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80"/>
      <c r="V619" s="180"/>
      <c r="W619" s="180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6.25" customHeight="1">
      <c r="A1" s="188" t="s">
        <v>126</v>
      </c>
      <c r="B1" s="188" t="s">
        <v>127</v>
      </c>
      <c r="C1" s="188" t="s">
        <v>36</v>
      </c>
      <c r="D1" s="188" t="s">
        <v>128</v>
      </c>
      <c r="E1" s="188" t="s">
        <v>0</v>
      </c>
      <c r="F1" s="188" t="s">
        <v>129</v>
      </c>
      <c r="G1" s="188" t="s">
        <v>130</v>
      </c>
      <c r="H1" s="188" t="s">
        <v>131</v>
      </c>
      <c r="I1" s="188" t="s">
        <v>132</v>
      </c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</row>
    <row r="2">
      <c r="A2" s="190" t="s">
        <v>133</v>
      </c>
      <c r="B2" s="190" t="s">
        <v>134</v>
      </c>
      <c r="C2" s="190" t="s">
        <v>135</v>
      </c>
      <c r="D2" s="191">
        <v>46081.0</v>
      </c>
      <c r="E2" s="190">
        <v>2410.44</v>
      </c>
      <c r="F2" s="190" t="s">
        <v>136</v>
      </c>
      <c r="G2" s="190" t="s">
        <v>137</v>
      </c>
      <c r="H2" s="190" t="s">
        <v>138</v>
      </c>
      <c r="I2" s="190" t="s">
        <v>118</v>
      </c>
    </row>
    <row r="3">
      <c r="A3" s="190" t="s">
        <v>139</v>
      </c>
      <c r="B3" s="190" t="s">
        <v>140</v>
      </c>
      <c r="C3" s="190" t="s">
        <v>135</v>
      </c>
      <c r="D3" s="191">
        <v>46077.0</v>
      </c>
      <c r="E3" s="190">
        <v>2336.88</v>
      </c>
      <c r="F3" s="190" t="s">
        <v>136</v>
      </c>
      <c r="G3" s="190" t="s">
        <v>141</v>
      </c>
      <c r="H3" s="190" t="s">
        <v>142</v>
      </c>
      <c r="I3" s="190" t="s">
        <v>118</v>
      </c>
    </row>
  </sheetData>
  <drawing r:id="rId1"/>
</worksheet>
</file>