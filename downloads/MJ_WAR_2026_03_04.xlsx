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<sst xmlns="http://schemas.openxmlformats.org/spreadsheetml/2006/main" count="2296" uniqueCount="110">
  <si>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</si>
  <si>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</si>
  <si>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</si>
  <si>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</si>
  <si>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</si>
  <si>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</si>
  <si>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</si>
  <si>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</si>
  <si>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</si>
  <si>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</si>
  <si>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</si>
  <si>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</si>
  <si>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</si>
  <si>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</si>
  <si>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</si>
  <si>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</si>
  <si>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</si>
  <si>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</si>
  <si>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</si>
  <si>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</si>
  <si>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</si>
  <si>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</si>
  <si>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</si>
  <si>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</si>
  <si>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</si>
  <si>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</si>
  <si>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</si>
  <si>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</si>
  <si>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</si>
  <si>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</si>
  <si>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</si>
  <si>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</si>
  <si>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</si>
  <si>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</si>
  <si>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</si>
  <si>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</si>
  <si>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</si>
  <si>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</si>
  <si>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</si>
  <si>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</si>
  <si>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</si>
  <si>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</si>
  <si>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</si>
  <si>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</si>
  <si>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</si>
  <si>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</si>
  <si>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</si>
  <si>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</si>
  <si>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</si>
  <si>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</si>
  <si>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</si>
  <si>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</si>
  <si>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</si>
  <si>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</si>
  <si>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</si>
  <si>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</si>
  <si>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</si>
  <si>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</si>
  <si>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</si>
  <si>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</si>
  <si>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</si>
  <si>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</si>
  <si>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</si>
  <si>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</si>
  <si>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</si>
  <si>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</si>
  <si>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</si>
  <si>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 xml:space="preserve">Snoor Qaradaghi </t>
  </si>
  <si>
    <t>Snoor Qaradaghi</t>
  </si>
  <si>
    <t>NC</t>
  </si>
  <si>
    <t xml:space="preserve">Kimberly Villacampa </t>
  </si>
  <si>
    <t>Shiko Qaradaghi</t>
  </si>
  <si>
    <t>LA</t>
  </si>
  <si>
    <t>Tina Tilley</t>
  </si>
  <si>
    <t>Bruce Curry</t>
  </si>
  <si>
    <t>Bilal Olayan</t>
  </si>
  <si>
    <t>CO</t>
  </si>
  <si>
    <t>Daniella Robinson</t>
  </si>
  <si>
    <t>Ari Rashid</t>
  </si>
  <si>
    <t>Waleed Othman</t>
  </si>
  <si>
    <t>MO</t>
  </si>
  <si>
    <t>Jeannieliza Solis</t>
  </si>
  <si>
    <t>Jose Bravo</t>
  </si>
  <si>
    <t>`</t>
  </si>
  <si>
    <t>00-%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</si>
  <si>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</si>
  <si>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</si>
  <si>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</si>
  <si>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</si>
  <si>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</si>
  <si>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</si>
  <si>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</si>
  <si>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CASSIOUS MASAH JR</t>
  </si>
  <si>
    <t>HENRY LONG</t>
  </si>
  <si>
    <t>ALJAHMI</t>
  </si>
  <si>
    <t>N/A</t>
  </si>
  <si>
    <t>NO</t>
  </si>
  <si>
    <t xml:space="preserve">CANCEL PER AGENT </t>
  </si>
  <si>
    <t xml:space="preserve">LS </t>
  </si>
  <si>
    <t>BRANDT BETTS</t>
  </si>
  <si>
    <t>LANDY SITTO</t>
  </si>
  <si>
    <t>MARYSE SISOMPHOU</t>
  </si>
  <si>
    <t>ADAM YOUSSEF</t>
  </si>
  <si>
    <t>JEREMY FRANKLIN</t>
  </si>
  <si>
    <t>GABRIELA ROMERO</t>
  </si>
  <si>
    <t>CANCEL PER LISA</t>
  </si>
  <si>
    <t>ISAIAH WIGGLESWORTH</t>
  </si>
  <si>
    <t>HANNAH SANDERS</t>
  </si>
  <si>
    <t>YES</t>
  </si>
  <si>
    <t>REWRITING TO ENSURE ADEQUATE FUNDS ARE AVAIL.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</si>
</sst>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1" fillId="5" fontId="1" numFmtId="3" xfId="0" applyAlignment="1" applyBorder="1" applyFont="1" applyNumberFormat="1">
      <alignment readingOrder="0"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6" fontId="7" numFmtId="9" xfId="0" applyAlignment="1" applyBorder="1" applyFont="1" applyNumberFormat="1">
      <alignment horizontal="right" readingOrder="0" vertical="center"/>
    </xf>
    <xf borderId="3" fillId="4" fontId="12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3" fillId="6" fontId="7" numFmtId="0" xfId="0" applyAlignment="1" applyBorder="1" applyFont="1">
      <alignment horizontal="right" readingOrder="0"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6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46203</v>
      </c>
      <c r="D2" s="9"/>
      <c r="E2" s="8">
        <f t="shared" ref="E2:R2" si="1">SUM(E5)</f>
        <v>8295</v>
      </c>
      <c r="F2" s="8">
        <f t="shared" si="1"/>
        <v>106</v>
      </c>
      <c r="G2" s="10">
        <f t="shared" si="1"/>
        <v>48</v>
      </c>
      <c r="H2" s="10">
        <f t="shared" si="1"/>
        <v>25</v>
      </c>
      <c r="I2" s="10">
        <f t="shared" si="1"/>
        <v>5</v>
      </c>
      <c r="J2" s="10">
        <f t="shared" si="1"/>
        <v>2</v>
      </c>
      <c r="K2" s="10">
        <f t="shared" si="1"/>
        <v>15</v>
      </c>
      <c r="L2" s="10">
        <f t="shared" si="1"/>
        <v>5</v>
      </c>
      <c r="M2" s="10">
        <f t="shared" si="1"/>
        <v>167</v>
      </c>
      <c r="N2" s="10">
        <f t="shared" si="1"/>
        <v>30</v>
      </c>
      <c r="O2" s="10">
        <f t="shared" si="1"/>
        <v>18</v>
      </c>
      <c r="P2" s="10">
        <f t="shared" si="1"/>
        <v>32</v>
      </c>
      <c r="Q2" s="10">
        <f t="shared" si="1"/>
        <v>19</v>
      </c>
      <c r="R2" s="10">
        <f t="shared" si="1"/>
        <v>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1848.12</v>
      </c>
      <c r="F4" s="20">
        <f>IFERROR((G2+R2)/F2,0)</f>
        <v>0.5</v>
      </c>
      <c r="G4" s="20">
        <f>IFERROR(H2/G2,0)</f>
        <v>0.5208333333</v>
      </c>
      <c r="H4" s="19">
        <f>(C2/C4)</f>
        <v>1593.206897</v>
      </c>
      <c r="I4" s="21"/>
      <c r="J4" s="20">
        <f>IFERROR(J2/I2,0)</f>
        <v>0.4</v>
      </c>
      <c r="K4" s="21"/>
      <c r="L4" s="20">
        <f>IFERROR(L2/K2,0)</f>
        <v>0.3333333333</v>
      </c>
      <c r="M4" s="22">
        <f>IFERROR(M2/G2,0)</f>
        <v>3.479166667</v>
      </c>
      <c r="N4" s="21"/>
      <c r="O4" s="20">
        <f>IFERROR(O2/N2,0)</f>
        <v>0.6</v>
      </c>
      <c r="P4" s="22"/>
      <c r="Q4" s="20">
        <f>IFERROR(Q2/P2,0)</f>
        <v>0.59375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46203</v>
      </c>
      <c r="D5" s="26"/>
      <c r="E5" s="27">
        <f>SUMIFS(T:T,A:A,B5,D:D,"Y")</f>
        <v>8295</v>
      </c>
      <c r="F5" s="8">
        <f>SUMIF(A:A,B5,G:G)</f>
        <v>106</v>
      </c>
      <c r="G5" s="10">
        <f>SUMIF(A:A,B5,H:H)</f>
        <v>48</v>
      </c>
      <c r="H5" s="10">
        <f>SUMIF(A:A,B5,I:I)</f>
        <v>25</v>
      </c>
      <c r="I5" s="10">
        <f>SUMIF(A:A,B5,P:P)</f>
        <v>5</v>
      </c>
      <c r="J5" s="10">
        <f>SUMIF(A:A,B5,Q:Q)</f>
        <v>2</v>
      </c>
      <c r="K5" s="10">
        <f>SUMIF(A:A,B5,R:R)</f>
        <v>15</v>
      </c>
      <c r="L5" s="10">
        <f>SUMIF(A:A,B5,S:S)</f>
        <v>5</v>
      </c>
      <c r="M5" s="10">
        <f>SUMIF(A:A,B5,M:M)</f>
        <v>167</v>
      </c>
      <c r="N5" s="10">
        <f>SUMIF(A:A,B5,N:N)</f>
        <v>30</v>
      </c>
      <c r="O5" s="10">
        <f>SUMIF(A:A,B5,O:O)</f>
        <v>18</v>
      </c>
      <c r="P5" s="10">
        <f>SUMIF(A:A,B5,J:J)</f>
        <v>32</v>
      </c>
      <c r="Q5" s="10">
        <f>SUMIF(A:A,B5,K:K)</f>
        <v>19</v>
      </c>
      <c r="R5" s="10">
        <f>SUMIF(A:A,B5,L:L)</f>
        <v>5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1848.12</v>
      </c>
      <c r="F7" s="20">
        <f>IFERROR((G5+R5)/F5,0)</f>
        <v>0.5</v>
      </c>
      <c r="G7" s="20">
        <f>IFERROR(H5/G5,0)</f>
        <v>0.5208333333</v>
      </c>
      <c r="H7" s="19">
        <f>(C5/C7)</f>
        <v>1593.206897</v>
      </c>
      <c r="I7" s="21"/>
      <c r="J7" s="20">
        <f>IFERROR(J5/I5,0)</f>
        <v>0.4</v>
      </c>
      <c r="K7" s="21"/>
      <c r="L7" s="20">
        <f>IFERROR(L5/K5,0)</f>
        <v>0.3333333333</v>
      </c>
      <c r="M7" s="22">
        <f>IFERROR(M5/SUM(R5+G5,0),"")</f>
        <v>3.150943396</v>
      </c>
      <c r="N7" s="21"/>
      <c r="O7" s="20">
        <f>IFERROR(O5/N5,0)</f>
        <v>0.6</v>
      </c>
      <c r="P7" s="22"/>
      <c r="Q7" s="20">
        <f>IFERROR(Q5/P5,0)</f>
        <v>0.59375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46203</v>
      </c>
      <c r="D8" s="36"/>
      <c r="E8" s="37">
        <f>SUMIFS(T:T,B:B,B8,D:D,"Y")</f>
        <v>8295</v>
      </c>
      <c r="F8" s="38">
        <f>SUMIF(B16:B1038,B8,G16:G1038)</f>
        <v>106</v>
      </c>
      <c r="G8" s="39">
        <f>SUMIF(B16:B1038,B8,H16:H1038)</f>
        <v>48</v>
      </c>
      <c r="H8" s="38">
        <f>SUMIF(B16:B1038,B8,I16:I1038)</f>
        <v>25</v>
      </c>
      <c r="I8" s="39">
        <f>SUMIF(B16:B1038,B8,P16:P1038)</f>
        <v>5</v>
      </c>
      <c r="J8" s="39">
        <f>SUMIF(B16:B1038,B8,Q16:Q1038)</f>
        <v>2</v>
      </c>
      <c r="K8" s="39">
        <f>SUMIF(B16:B1038,B8,R16:R1038)</f>
        <v>15</v>
      </c>
      <c r="L8" s="39">
        <f>SUMIF(B16:B1038,B8,S16:S1038)</f>
        <v>5</v>
      </c>
      <c r="M8" s="39">
        <f>SUMIF(B16:B1038,B8,M16:M1038)</f>
        <v>167</v>
      </c>
      <c r="N8" s="39">
        <f>SUMIF(B16:B1038,B8,N16:N1038)</f>
        <v>30</v>
      </c>
      <c r="O8" s="38">
        <f>SUMIF(B16:B1038,B8,O16:O1038)</f>
        <v>18</v>
      </c>
      <c r="P8" s="39">
        <f>SUMIF(B16:B1038,B8,J16:J1038)</f>
        <v>32</v>
      </c>
      <c r="Q8" s="39">
        <f>SUMIF(B16:B1038,B8,K16:K1038)</f>
        <v>19</v>
      </c>
      <c r="R8" s="38">
        <f>SUMIF(B16:B1038,B8,L16:L1038)</f>
        <v>5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COUNTIFS(B16:B1038,B8)</f>
        <v>26</v>
      </c>
      <c r="D10" s="42"/>
      <c r="E10" s="50">
        <f>IFERROR(C8/H8,0)</f>
        <v>1848.12</v>
      </c>
      <c r="F10" s="51">
        <f>IFERROR((G8+R8)/F8,0)</f>
        <v>0.5</v>
      </c>
      <c r="G10" s="51">
        <f>IFERROR(H8/G8,0)</f>
        <v>0.5208333333</v>
      </c>
      <c r="H10" s="50">
        <f>(C8/C10)</f>
        <v>1777.038462</v>
      </c>
      <c r="I10" s="46"/>
      <c r="J10" s="51">
        <f>IFERROR(J8/I8,0)</f>
        <v>0.4</v>
      </c>
      <c r="K10" s="46"/>
      <c r="L10" s="51">
        <f>IFERROR(L8/K8,0)</f>
        <v>0.3333333333</v>
      </c>
      <c r="M10" s="52">
        <f>IFERROR(M8/SUM(G8+R8,0),"")</f>
        <v>3.150943396</v>
      </c>
      <c r="N10" s="46"/>
      <c r="O10" s="51">
        <f>IFERROR(O8/N8,0)</f>
        <v>0.6</v>
      </c>
      <c r="P10" s="53"/>
      <c r="Q10" s="51">
        <f>IFERROR(Q8/P8,0)</f>
        <v>0.59375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SUMIF(B46:B1038,B11,G46:G1038)</f>
        <v>0</v>
      </c>
      <c r="G11" s="39">
        <f>SUMIF(B46:B1038,B11,H46:H1038)</f>
        <v>0</v>
      </c>
      <c r="H11" s="38">
        <f>SUMIF(B46:B1038,B11,I46:I1038)</f>
        <v>0</v>
      </c>
      <c r="I11" s="39">
        <f>SUMIF(B46:B1038,B11,P46:P1038)</f>
        <v>0</v>
      </c>
      <c r="J11" s="39">
        <f>SUMIF(B46:B1038,B11,Q46:Q1038)</f>
        <v>0</v>
      </c>
      <c r="K11" s="39">
        <f>SUMIF(B46:B1038,B11,R46:R1038)</f>
        <v>0</v>
      </c>
      <c r="L11" s="39">
        <f>SUMIF(B46:B1038,B11,S46:S1038)</f>
        <v>0</v>
      </c>
      <c r="M11" s="39">
        <f>SUMIF(B46:B1038,B11,M46:M1038)</f>
        <v>0</v>
      </c>
      <c r="N11" s="39">
        <f>SUMIF(B46:B1038,B11,N46:N1038)</f>
        <v>0</v>
      </c>
      <c r="O11" s="38">
        <f>SUMIF(B46:B1038,B11,O46:O1038)</f>
        <v>0</v>
      </c>
      <c r="P11" s="39">
        <f>SUMIF(B46:B1038,B11,J46:J1038)</f>
        <v>0</v>
      </c>
      <c r="Q11" s="39">
        <f>SUMIF(B46:B1038,B11,K46:K1038)</f>
        <v>0</v>
      </c>
      <c r="R11" s="38">
        <f>SUMIF(B46:B1038,B11,L46:L1038)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COUNTIFS(B16:B1038,B11)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5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4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3</v>
      </c>
      <c r="H23" s="66">
        <f>('Thurs (2)'!H23+Thurs!H23+'Tues '!H23+Wed!H23+Fri!H23+'Mon '!H23+'Wed (2)'!H23+Sun!H23+Sat!H23)</f>
        <v>2</v>
      </c>
      <c r="I23" s="66">
        <f>('Thurs (2)'!I23+Thurs!I23+'Tues '!I23+Wed!I23+Fri!I23+'Mon '!I23+'Wed (2)'!I23+Sun!I23+Sat!I23)</f>
        <v>2</v>
      </c>
      <c r="J23" s="66">
        <f>('Thurs (2)'!J23+Thurs!J23+'Tues '!J23+Wed!J23+Fri!J23+'Mon '!J23+'Wed (2)'!J23+Sun!J23+Sat!J23)</f>
        <v>1</v>
      </c>
      <c r="K23" s="66">
        <f>('Thurs (2)'!K23+Thurs!K23+'Tues '!K23+Wed!K23+Fri!K23+'Mon '!K23+'Wed (2)'!K23+Sun!K23+Sat!K23)</f>
        <v>1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5</v>
      </c>
      <c r="N23" s="66">
        <f>('Thurs (2)'!N23+Thurs!N23+'Tues '!N23+Wed!N23+Fri!N23+'Mon '!N23+'Wed (2)'!N23+Sun!N23+Sat!N23)</f>
        <v>2</v>
      </c>
      <c r="O23" s="66">
        <f>('Thurs (2)'!O23+Thurs!O23+'Tues '!O23+Wed!O23+Fri!O23+'Mon '!O23+'Wed (2)'!O23+Sun!O23+Sat!O23)</f>
        <v>2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4269</v>
      </c>
      <c r="U23" s="67">
        <f t="shared" si="2"/>
        <v>1</v>
      </c>
      <c r="V23" s="67">
        <f t="shared" si="3"/>
        <v>0.6666666667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16</v>
      </c>
      <c r="H24" s="66">
        <f>('Thurs (2)'!H24+Thurs!H24+'Tues '!H24+Wed!H24+Fri!H24+'Mon '!H24+'Wed (2)'!H24+Sun!H24+Sat!H24)</f>
        <v>6</v>
      </c>
      <c r="I24" s="66">
        <f>('Thurs (2)'!I24+Thurs!I24+'Tues '!I24+Wed!I24+Fri!I24+'Mon '!I24+'Wed (2)'!I24+Sun!I24+Sat!I24)</f>
        <v>3</v>
      </c>
      <c r="J24" s="66">
        <f>('Thurs (2)'!J24+Thurs!J24+'Tues '!J24+Wed!J24+Fri!J24+'Mon '!J24+'Wed (2)'!J24+Sun!J24+Sat!J24)</f>
        <v>1</v>
      </c>
      <c r="K24" s="66">
        <f>('Thurs (2)'!K24+Thurs!K24+'Tues '!K24+Wed!K24+Fri!K24+'Mon '!K24+'Wed (2)'!K24+Sun!K24+Sat!K24)</f>
        <v>1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14</v>
      </c>
      <c r="N24" s="66">
        <f>('Thurs (2)'!N24+Thurs!N24+'Tues '!N24+Wed!N24+Fri!N24+'Mon '!N24+'Wed (2)'!N24+Sun!N24+Sat!N24)</f>
        <v>6</v>
      </c>
      <c r="O24" s="66">
        <f>('Thurs (2)'!O24+Thurs!O24+'Tues '!O24+Wed!O24+Fri!O24+'Mon '!O24+'Wed (2)'!O24+Sun!O24+Sat!O24)</f>
        <v>3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4248</v>
      </c>
      <c r="U24" s="67">
        <f t="shared" si="2"/>
        <v>0.5</v>
      </c>
      <c r="V24" s="67">
        <f t="shared" si="3"/>
        <v>0.375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3</v>
      </c>
      <c r="H25" s="66">
        <f>('Thurs (2)'!H25+Thurs!H25+'Tues '!H25+Wed!H25+Fri!H25+'Mon '!H25+'Wed (2)'!H25+Sun!H25+Sat!H25)</f>
        <v>3</v>
      </c>
      <c r="I25" s="66">
        <f>('Thurs (2)'!I25+Thurs!I25+'Tues '!I25+Wed!I25+Fri!I25+'Mon '!I25+'Wed (2)'!I25+Sun!I25+Sat!I25)</f>
        <v>2</v>
      </c>
      <c r="J25" s="66">
        <f>('Thurs (2)'!J25+Thurs!J25+'Tues '!J25+Wed!J25+Fri!J25+'Mon '!J25+'Wed (2)'!J25+Sun!J25+Sat!J25)</f>
        <v>2</v>
      </c>
      <c r="K25" s="66">
        <f>('Thurs (2)'!K25+Thurs!K25+'Tues '!K25+Wed!K25+Fri!K25+'Mon '!K25+'Wed (2)'!K25+Sun!K25+Sat!K25)</f>
        <v>1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17</v>
      </c>
      <c r="N25" s="66">
        <f>('Thurs (2)'!N25+Thurs!N25+'Tues '!N25+Wed!N25+Fri!N25+'Mon '!N25+'Wed (2)'!N25+Sun!N25+Sat!N25)</f>
        <v>1</v>
      </c>
      <c r="O25" s="66">
        <f>('Thurs (2)'!O25+Thurs!O25+'Tues '!O25+Wed!O25+Fri!O25+'Mon '!O25+'Wed (2)'!O25+Sun!O25+Sat!O25)</f>
        <v>1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1</v>
      </c>
      <c r="S25" s="66">
        <f>('Thurs (2)'!S25+Thurs!S25+'Tues '!S25+Wed!S25+Fri!S25+'Mon '!S25+'Wed (2)'!S25+Sun!S25+Sat!S25)</f>
        <v>1</v>
      </c>
      <c r="T25" s="66">
        <f>('Thurs (2)'!T25+Thurs!T25+'Tues '!T25+Wed!T25+Fri!T25+'Mon '!T25+'Wed (2)'!T25+Sun!T25+Sat!T25)</f>
        <v>3564</v>
      </c>
      <c r="U25" s="67">
        <f t="shared" si="2"/>
        <v>0.6666666667</v>
      </c>
      <c r="V25" s="67">
        <f t="shared" si="3"/>
        <v>1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31</v>
      </c>
      <c r="H27" s="66">
        <f>('Thurs (2)'!H27+Thurs!H27+'Tues '!H27+Wed!H27+Fri!H27+'Mon '!H27+'Wed (2)'!H27+Sun!H27+Sat!H27)</f>
        <v>7</v>
      </c>
      <c r="I27" s="66">
        <f>('Thurs (2)'!I27+Thurs!I27+'Tues '!I27+Wed!I27+Fri!I27+'Mon '!I27+'Wed (2)'!I27+Sun!I27+Sat!I27)</f>
        <v>6</v>
      </c>
      <c r="J27" s="66">
        <f>('Thurs (2)'!J27+Thurs!J27+'Tues '!J27+Wed!J27+Fri!J27+'Mon '!J27+'Wed (2)'!J27+Sun!J27+Sat!J27)</f>
        <v>6</v>
      </c>
      <c r="K27" s="66">
        <f>('Thurs (2)'!K27+Thurs!K27+'Tues '!K27+Wed!K27+Fri!K27+'Mon '!K27+'Wed (2)'!K27+Sun!K27+Sat!K27)</f>
        <v>5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35</v>
      </c>
      <c r="N27" s="66">
        <f>('Thurs (2)'!N27+Thurs!N27+'Tues '!N27+Wed!N27+Fri!N27+'Mon '!N27+'Wed (2)'!N27+Sun!N27+Sat!N27)</f>
        <v>5</v>
      </c>
      <c r="O27" s="66">
        <f>('Thurs (2)'!O27+Thurs!O27+'Tues '!O27+Wed!O27+Fri!O27+'Mon '!O27+'Wed (2)'!O27+Sun!O27+Sat!O27)</f>
        <v>5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2</v>
      </c>
      <c r="S27" s="66">
        <f>('Thurs (2)'!S27+Thurs!S27+'Tues '!S27+Wed!S27+Fri!S27+'Mon '!S27+'Wed (2)'!S27+Sun!S27+Sat!S27)</f>
        <v>1</v>
      </c>
      <c r="T27" s="66">
        <f>('Thurs (2)'!T27+Thurs!T27+'Tues '!T27+Wed!T27+Fri!T27+'Mon '!T27+'Wed (2)'!T27+Sun!T27+Sat!T27)</f>
        <v>12297</v>
      </c>
      <c r="U27" s="67">
        <f t="shared" si="2"/>
        <v>0.8571428571</v>
      </c>
      <c r="V27" s="67">
        <f t="shared" si="3"/>
        <v>0.2258064516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7</v>
      </c>
      <c r="H28" s="66">
        <f>('Thurs (2)'!H28+Thurs!H28+'Tues '!H28+Wed!H28+Fri!H28+'Mon '!H28+'Wed (2)'!H28+Sun!H28+Sat!H28)</f>
        <v>4</v>
      </c>
      <c r="I28" s="66">
        <f>('Thurs (2)'!I28+Thurs!I28+'Tues '!I28+Wed!I28+Fri!I28+'Mon '!I28+'Wed (2)'!I28+Sun!I28+Sat!I28)</f>
        <v>3</v>
      </c>
      <c r="J28" s="66">
        <f>('Thurs (2)'!J28+Thurs!J28+'Tues '!J28+Wed!J28+Fri!J28+'Mon '!J28+'Wed (2)'!J28+Sun!J28+Sat!J28)</f>
        <v>4</v>
      </c>
      <c r="K28" s="66">
        <f>('Thurs (2)'!K28+Thurs!K28+'Tues '!K28+Wed!K28+Fri!K28+'Mon '!K28+'Wed (2)'!K28+Sun!K28+Sat!K28)</f>
        <v>4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10</v>
      </c>
      <c r="N28" s="66">
        <f>('Thurs (2)'!N28+Thurs!N28+'Tues '!N28+Wed!N28+Fri!N28+'Mon '!N28+'Wed (2)'!N28+Sun!N28+Sat!N28)</f>
        <v>2</v>
      </c>
      <c r="O28" s="66">
        <f>('Thurs (2)'!O28+Thurs!O28+'Tues '!O28+Wed!O28+Fri!O28+'Mon '!O28+'Wed (2)'!O28+Sun!O28+Sat!O28)</f>
        <v>2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2</v>
      </c>
      <c r="S28" s="66">
        <f>('Thurs (2)'!S28+Thurs!S28+'Tues '!S28+Wed!S28+Fri!S28+'Mon '!S28+'Wed (2)'!S28+Sun!S28+Sat!S28)</f>
        <v>1</v>
      </c>
      <c r="T28" s="66">
        <f>('Thurs (2)'!T28+Thurs!T28+'Tues '!T28+Wed!T28+Fri!T28+'Mon '!T28+'Wed (2)'!T28+Sun!T28+Sat!T28)</f>
        <v>5060</v>
      </c>
      <c r="U28" s="67">
        <f t="shared" si="2"/>
        <v>0.75</v>
      </c>
      <c r="V28" s="67">
        <f t="shared" si="3"/>
        <v>0.5714285714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5</v>
      </c>
      <c r="H29" s="66">
        <f>('Thurs (2)'!H29+Thurs!H29+'Tues '!H29+Wed!H29+Fri!H29+'Mon '!H29+'Wed (2)'!H29+Sun!H29+Sat!H29)</f>
        <v>4</v>
      </c>
      <c r="I29" s="66">
        <f>('Thurs (2)'!I29+Thurs!I29+'Tues '!I29+Wed!I29+Fri!I29+'Mon '!I29+'Wed (2)'!I29+Sun!I29+Sat!I29)</f>
        <v>2</v>
      </c>
      <c r="J29" s="66">
        <f>('Thurs (2)'!J29+Thurs!J29+'Tues '!J29+Wed!J29+Fri!J29+'Mon '!J29+'Wed (2)'!J29+Sun!J29+Sat!J29)</f>
        <v>3</v>
      </c>
      <c r="K29" s="66">
        <f>('Thurs (2)'!K29+Thurs!K29+'Tues '!K29+Wed!K29+Fri!K29+'Mon '!K29+'Wed (2)'!K29+Sun!K29+Sat!K29)</f>
        <v>2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16</v>
      </c>
      <c r="N29" s="66">
        <f>('Thurs (2)'!N29+Thurs!N29+'Tues '!N29+Wed!N29+Fri!N29+'Mon '!N29+'Wed (2)'!N29+Sun!N29+Sat!N29)</f>
        <v>3</v>
      </c>
      <c r="O29" s="66">
        <f>('Thurs (2)'!O29+Thurs!O29+'Tues '!O29+Wed!O29+Fri!O29+'Mon '!O29+'Wed (2)'!O29+Sun!O29+Sat!O29)</f>
        <v>2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1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2540</v>
      </c>
      <c r="U29" s="67">
        <f t="shared" si="2"/>
        <v>0.5</v>
      </c>
      <c r="V29" s="67">
        <f t="shared" si="3"/>
        <v>0.8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5</v>
      </c>
      <c r="H30" s="66">
        <f>('Thurs (2)'!H30+Thurs!H30+'Tues '!H30+Wed!H30+Fri!H30+'Mon '!H30+'Wed (2)'!H30+Sun!H30+Sat!H30)</f>
        <v>4</v>
      </c>
      <c r="I30" s="66">
        <f>('Thurs (2)'!I30+Thurs!I30+'Tues '!I30+Wed!I30+Fri!I30+'Mon '!I30+'Wed (2)'!I30+Sun!I30+Sat!I30)</f>
        <v>2</v>
      </c>
      <c r="J30" s="66">
        <f>('Thurs (2)'!J30+Thurs!J30+'Tues '!J30+Wed!J30+Fri!J30+'Mon '!J30+'Wed (2)'!J30+Sun!J30+Sat!J30)</f>
        <v>4</v>
      </c>
      <c r="K30" s="66">
        <f>('Thurs (2)'!K30+Thurs!K30+'Tues '!K30+Wed!K30+Fri!K30+'Mon '!K30+'Wed (2)'!K30+Sun!K30+Sat!K30)</f>
        <v>2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18</v>
      </c>
      <c r="N30" s="66">
        <f>('Thurs (2)'!N30+Thurs!N30+'Tues '!N30+Wed!N30+Fri!N30+'Mon '!N30+'Wed (2)'!N30+Sun!N30+Sat!N30)</f>
        <v>4</v>
      </c>
      <c r="O30" s="66">
        <f>('Thurs (2)'!O30+Thurs!O30+'Tues '!O30+Wed!O30+Fri!O30+'Mon '!O30+'Wed (2)'!O30+Sun!O30+Sat!O30)</f>
        <v>2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1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4376</v>
      </c>
      <c r="U30" s="67">
        <f t="shared" si="2"/>
        <v>0.5</v>
      </c>
      <c r="V30" s="67">
        <f t="shared" si="3"/>
        <v>0.8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7</v>
      </c>
      <c r="H31" s="66">
        <f>('Thurs (2)'!H31+Thurs!H31+'Tues '!H31+Wed!H31+Fri!H31+'Mon '!H31+'Wed (2)'!H31+Sun!H31+Sat!H31)</f>
        <v>4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2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17</v>
      </c>
      <c r="N31" s="66">
        <f>('Thurs (2)'!N31+Thurs!N31+'Tues '!N31+Wed!N31+Fri!N31+'Mon '!N31+'Wed (2)'!N31+Sun!N31+Sat!N31)</f>
        <v>3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1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0.5714285714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1</v>
      </c>
      <c r="H32" s="66">
        <f>('Thurs (2)'!H32+Thurs!H32+'Tues '!H32+Wed!H32+Fri!H32+'Mon '!H32+'Wed (2)'!H32+Sun!H32+Sat!H32)</f>
        <v>1</v>
      </c>
      <c r="I32" s="66">
        <f>('Thurs (2)'!I32+Thurs!I32+'Tues '!I32+Wed!I32+Fri!I32+'Mon '!I32+'Wed (2)'!I32+Sun!I32+Sat!I32)</f>
        <v>1</v>
      </c>
      <c r="J32" s="66">
        <f>('Thurs (2)'!J32+Thurs!J32+'Tues '!J32+Wed!J32+Fri!J32+'Mon '!J32+'Wed (2)'!J32+Sun!J32+Sat!J32)</f>
        <v>1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3</v>
      </c>
      <c r="N32" s="66">
        <f>('Thurs (2)'!N32+Thurs!N32+'Tues '!N32+Wed!N32+Fri!N32+'Mon '!N32+'Wed (2)'!N32+Sun!N32+Sat!N32)</f>
        <v>1</v>
      </c>
      <c r="O32" s="66">
        <f>('Thurs (2)'!O32+Thurs!O32+'Tues '!O32+Wed!O32+Fri!O32+'Mon '!O32+'Wed (2)'!O32+Sun!O32+Sat!O32)</f>
        <v>1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2148</v>
      </c>
      <c r="U32" s="67">
        <f t="shared" si="2"/>
        <v>1</v>
      </c>
      <c r="V32" s="67">
        <f t="shared" si="3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5</v>
      </c>
      <c r="H33" s="66">
        <f>('Thurs (2)'!H33+Thurs!H33+'Tues '!H33+Wed!H33+Fri!H33+'Mon '!H33+'Wed (2)'!H33+Sun!H33+Sat!H33)</f>
        <v>4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4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5</v>
      </c>
      <c r="N33" s="66">
        <f>('Thurs (2)'!N33+Thurs!N33+'Tues '!N33+Wed!N33+Fri!N33+'Mon '!N33+'Wed (2)'!N33+Sun!N33+Sat!N33)</f>
        <v>2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2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0.8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0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3</v>
      </c>
      <c r="M34" s="66">
        <f>('Thurs (2)'!M34+Thurs!M34+'Tues '!M34+Wed!M34+Fri!M34+'Mon '!M34+'Wed (2)'!M34+Sun!M34+Sat!M34)</f>
        <v>20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10</v>
      </c>
      <c r="H35" s="66">
        <f>('Thurs (2)'!H35+Thurs!H35+'Tues '!H35+Wed!H35+Fri!H35+'Mon '!H35+'Wed (2)'!H35+Sun!H35+Sat!H35)</f>
        <v>3</v>
      </c>
      <c r="I35" s="66">
        <f>('Thurs (2)'!I35+Thurs!I35+'Tues '!I35+Wed!I35+Fri!I35+'Mon '!I35+'Wed (2)'!I35+Sun!I35+Sat!I35)</f>
        <v>2</v>
      </c>
      <c r="J35" s="66">
        <f>('Thurs (2)'!J35+Thurs!J35+'Tues '!J35+Wed!J35+Fri!J35+'Mon '!J35+'Wed (2)'!J35+Sun!J35+Sat!J35)</f>
        <v>1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3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5</v>
      </c>
      <c r="Q35" s="66">
        <f>('Thurs (2)'!Q35+Thurs!Q35+'Tues '!Q35+Wed!Q35+Fri!Q35+'Mon '!Q35+'Wed (2)'!Q35+Sun!Q35+Sat!Q35)</f>
        <v>2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3235</v>
      </c>
      <c r="U35" s="67">
        <f t="shared" si="2"/>
        <v>0.6666666667</v>
      </c>
      <c r="V35" s="67">
        <f t="shared" si="3"/>
        <v>0.3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5</v>
      </c>
      <c r="H36" s="66">
        <f>('Thurs (2)'!H36+Thurs!H36+'Tues '!H36+Wed!H36+Fri!H36+'Mon '!H36+'Wed (2)'!H36+Sun!H36+Sat!H36)</f>
        <v>2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1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2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2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0.4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4</v>
      </c>
      <c r="H37" s="66">
        <f>('Thurs (2)'!H37+Thurs!H37+'Tues '!H37+Wed!H37+Fri!H37+'Mon '!H37+'Wed (2)'!H37+Sun!H37+Sat!H37)</f>
        <v>4</v>
      </c>
      <c r="I37" s="66">
        <f>('Thurs (2)'!I37+Thurs!I37+'Tues '!I37+Wed!I37+Fri!I37+'Mon '!I37+'Wed (2)'!I37+Sun!I37+Sat!I37)</f>
        <v>2</v>
      </c>
      <c r="J37" s="66">
        <f>('Thurs (2)'!J37+Thurs!J37+'Tues '!J37+Wed!J37+Fri!J37+'Mon '!J37+'Wed (2)'!J37+Sun!J37+Sat!J37)</f>
        <v>2</v>
      </c>
      <c r="K37" s="66">
        <f>('Thurs (2)'!K37+Thurs!K37+'Tues '!K37+Wed!K37+Fri!K37+'Mon '!K37+'Wed (2)'!K37+Sun!K37+Sat!K37)</f>
        <v>2</v>
      </c>
      <c r="L37" s="66">
        <f>('Thurs (2)'!L37+Thurs!L37+'Tues '!L37+Wed!L37+Fri!L37+'Mon '!L37+'Wed (2)'!L37+Sun!L37+Sat!L37)</f>
        <v>2</v>
      </c>
      <c r="M37" s="66">
        <f>('Thurs (2)'!M37+Thurs!M37+'Tues '!M37+Wed!M37+Fri!M37+'Mon '!M37+'Wed (2)'!M37+Sun!M37+Sat!M37)</f>
        <v>2</v>
      </c>
      <c r="N37" s="66">
        <f>('Thurs (2)'!N37+Thurs!N37+'Tues '!N37+Wed!N37+Fri!N37+'Mon '!N37+'Wed (2)'!N37+Sun!N37+Sat!N37)</f>
        <v>1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3</v>
      </c>
      <c r="S37" s="66">
        <f>('Thurs (2)'!S37+Thurs!S37+'Tues '!S37+Wed!S37+Fri!S37+'Mon '!S37+'Wed (2)'!S37+Sun!S37+Sat!S37)</f>
        <v>2</v>
      </c>
      <c r="T37" s="66">
        <f>('Thurs (2)'!T37+Thurs!T37+'Tues '!T37+Wed!T37+Fri!T37+'Mon '!T37+'Wed (2)'!T37+Sun!T37+Sat!T37)</f>
        <v>4466</v>
      </c>
      <c r="U37" s="67">
        <f t="shared" si="2"/>
        <v>0.5</v>
      </c>
      <c r="V37" s="67">
        <f t="shared" si="3"/>
        <v>1.5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>
        <f>('Thurs (2)'!G38+Thurs!G38+'Tues '!G38+Wed!G38+Fri!G38+'Mon '!G38+'Wed (2)'!G38+Sun!G38+Sat!G38)</f>
        <v>0</v>
      </c>
      <c r="H38" s="66">
        <f>('Thurs (2)'!H38+Thurs!H38+'Tues '!H38+Wed!H38+Fri!H38+'Mon '!H38+'Wed (2)'!H38+Sun!H38+Sat!H38)</f>
        <v>0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52</v>
      </c>
      <c r="F42" s="76" t="s">
        <v>78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46</v>
      </c>
      <c r="F43" s="76" t="s">
        <v>79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>
        <f>('Thurs (2)'!G45+Thurs!G45+'Tues '!G45+Wed!G45+Fri!G45+'Mon '!G45+'Wed (2)'!G45+Sun!G45+Sat!G45)</f>
        <v>0</v>
      </c>
      <c r="H45" s="66">
        <f>('Thurs (2)'!H45+Thurs!H45+'Tues '!H45+Wed!H45+Fri!H45+'Mon '!H45+'Wed (2)'!H45+Sun!H45+Sat!H45)</f>
        <v>0</v>
      </c>
      <c r="I45" s="66">
        <f>('Thurs (2)'!I45+Thurs!I45+'Tues '!I45+Wed!I45+Fri!I45+'Mon '!I45+'Wed (2)'!I45+Sun!I45+Sat!I45)</f>
        <v>0</v>
      </c>
      <c r="J45" s="66">
        <f>('Thurs (2)'!J45+Thurs!J45+'Tues '!J45+Wed!J45+Fri!J45+'Mon '!J45+'Wed (2)'!J45+Sun!J45+Sat!J45)</f>
        <v>0</v>
      </c>
      <c r="K45" s="66">
        <f>('Thurs (2)'!K45+Thurs!K45+'Tues '!K45+Wed!K45+Fri!K45+'Mon '!K45+'Wed (2)'!K45+Sun!K45+Sat!K45)</f>
        <v>0</v>
      </c>
      <c r="L45" s="66">
        <f>('Thurs (2)'!L45+Thurs!L45+'Tues '!L45+Wed!L45+Fri!L45+'Mon '!L45+'Wed (2)'!L45+Sun!L45+Sat!L45)</f>
        <v>0</v>
      </c>
      <c r="M45" s="66">
        <f>('Thurs (2)'!M45+Thurs!M45+'Tues '!M45+Wed!M45+Fri!M45+'Mon '!M45+'Wed (2)'!M45+Sun!M45+Sat!M45)</f>
        <v>0</v>
      </c>
      <c r="N45" s="66">
        <f>('Thurs (2)'!N45+Thurs!N45+'Tues '!N45+Wed!N45+Fri!N45+'Mon '!N45+'Wed (2)'!N45+Sun!N45+Sat!N45)</f>
        <v>0</v>
      </c>
      <c r="O45" s="66">
        <f>('Thurs (2)'!O45+Thurs!O45+'Tues '!O45+Wed!O45+Fri!O45+'Mon '!O45+'Wed (2)'!O45+Sun!O45+Sat!O45)</f>
        <v>0</v>
      </c>
      <c r="P45" s="66">
        <f>('Thurs (2)'!P45+Thurs!P45+'Tues '!P45+Wed!P45+Fri!P45+'Mon '!P45+'Wed (2)'!P45+Sun!P45+Sat!P45)</f>
        <v>0</v>
      </c>
      <c r="Q45" s="66">
        <f>('Thurs (2)'!Q45+Thurs!Q45+'Tues '!Q45+Wed!Q45+Fri!Q45+'Mon '!Q45+'Wed (2)'!Q45+Sun!Q45+Sat!Q45)</f>
        <v>0</v>
      </c>
      <c r="R45" s="66">
        <f>('Thurs (2)'!R45+Thurs!R45+'Tues '!R45+Wed!R45+Fri!R45+'Mon '!R45+'Wed (2)'!R45+Sun!R45+Sat!R45)</f>
        <v>0</v>
      </c>
      <c r="S45" s="66">
        <f>('Thurs (2)'!S45+Thurs!S45+'Tues '!S45+Wed!S45+Fri!S45+'Mon '!S45+'Wed (2)'!S45+Sun!S45+Sat!S45)</f>
        <v>0</v>
      </c>
      <c r="T45" s="66">
        <f>('Thurs (2)'!T45+Thurs!T45+'Tues '!T45+Wed!T45+Fri!T45+'Mon '!T45+'Wed (2)'!T45+Sun!T45+Sat!T45)</f>
        <v>0</v>
      </c>
      <c r="U45" s="67">
        <f t="shared" si="2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12649</v>
      </c>
      <c r="D2" s="139"/>
      <c r="E2" s="138">
        <f t="shared" ref="E2:R2" si="1">SUM(E5)</f>
        <v>1646</v>
      </c>
      <c r="F2" s="138">
        <f t="shared" si="1"/>
        <v>21</v>
      </c>
      <c r="G2" s="140">
        <f t="shared" si="1"/>
        <v>9</v>
      </c>
      <c r="H2" s="140">
        <f t="shared" si="1"/>
        <v>7</v>
      </c>
      <c r="I2" s="140">
        <f t="shared" si="1"/>
        <v>2</v>
      </c>
      <c r="J2" s="140">
        <f t="shared" si="1"/>
        <v>1</v>
      </c>
      <c r="K2" s="140">
        <f t="shared" si="1"/>
        <v>3</v>
      </c>
      <c r="L2" s="140">
        <f t="shared" si="1"/>
        <v>2</v>
      </c>
      <c r="M2" s="140">
        <f t="shared" si="1"/>
        <v>31</v>
      </c>
      <c r="N2" s="140">
        <f t="shared" si="1"/>
        <v>5</v>
      </c>
      <c r="O2" s="140">
        <f t="shared" si="1"/>
        <v>4</v>
      </c>
      <c r="P2" s="140">
        <f t="shared" si="1"/>
        <v>4</v>
      </c>
      <c r="Q2" s="140">
        <f t="shared" si="1"/>
        <v>3</v>
      </c>
      <c r="R2" s="140">
        <f t="shared" si="1"/>
        <v>1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1807</v>
      </c>
      <c r="F4" s="51">
        <f>IFERROR((G2+R2)/F2,0)</f>
        <v>0.4761904762</v>
      </c>
      <c r="G4" s="51">
        <f>IFERROR(H2/G2,0)</f>
        <v>0.7777777778</v>
      </c>
      <c r="H4" s="50">
        <f>(C2/C4)</f>
        <v>436.1724138</v>
      </c>
      <c r="I4" s="46"/>
      <c r="J4" s="51">
        <f>IFERROR(J2/I2,0)</f>
        <v>0.5</v>
      </c>
      <c r="K4" s="46"/>
      <c r="L4" s="51">
        <f>IFERROR(L2/K2,0)</f>
        <v>0.6666666667</v>
      </c>
      <c r="M4" s="52">
        <f>IFERROR(M2/G2,0)</f>
        <v>3.444444444</v>
      </c>
      <c r="N4" s="46"/>
      <c r="O4" s="51">
        <f>IFERROR(O2/N2,0)</f>
        <v>0.8</v>
      </c>
      <c r="P4" s="53"/>
      <c r="Q4" s="51">
        <f>IFERROR(Q2/P2,0)</f>
        <v>0.75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12649</v>
      </c>
      <c r="D5" s="147"/>
      <c r="E5" s="148">
        <f>SUMIFS(T:T,A:A,B5,D:D,"Y")</f>
        <v>1646</v>
      </c>
      <c r="F5" s="138">
        <f>SUMIF(A:A,B5,G:G)</f>
        <v>21</v>
      </c>
      <c r="G5" s="140">
        <f>SUMIF(A:A,B5,H:H)</f>
        <v>9</v>
      </c>
      <c r="H5" s="140">
        <f>SUMIF(A:A,B5,I:I)</f>
        <v>7</v>
      </c>
      <c r="I5" s="140">
        <f>SUMIF(A:A,B5,P:P)</f>
        <v>2</v>
      </c>
      <c r="J5" s="140">
        <f>SUMIF(A:A,B5,Q:Q)</f>
        <v>1</v>
      </c>
      <c r="K5" s="140">
        <f>SUMIF(A:A,B5,R:R)</f>
        <v>3</v>
      </c>
      <c r="L5" s="140">
        <f>SUMIF(A:A,B5,S:S)</f>
        <v>2</v>
      </c>
      <c r="M5" s="140">
        <f>SUMIF(A:A,B5,M:M)</f>
        <v>31</v>
      </c>
      <c r="N5" s="140">
        <f>SUMIF(A:A,B5,N:N)</f>
        <v>5</v>
      </c>
      <c r="O5" s="140">
        <f>SUMIF(A:A,B5,O:O)</f>
        <v>4</v>
      </c>
      <c r="P5" s="140">
        <f>SUMIF(A:A,B5,J:J)</f>
        <v>4</v>
      </c>
      <c r="Q5" s="140">
        <f>SUMIF(A:A,B5,K:K)</f>
        <v>3</v>
      </c>
      <c r="R5" s="14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1807</v>
      </c>
      <c r="F7" s="51">
        <f>IFERROR((G5+R5)/F5,0)</f>
        <v>0.4761904762</v>
      </c>
      <c r="G7" s="51">
        <f>IFERROR(H5/G5,0)</f>
        <v>0.7777777778</v>
      </c>
      <c r="H7" s="50">
        <f>(C5/C7)</f>
        <v>436.1724138</v>
      </c>
      <c r="I7" s="46"/>
      <c r="J7" s="51">
        <f>IFERROR(J5/I5,0)</f>
        <v>0.5</v>
      </c>
      <c r="K7" s="46"/>
      <c r="L7" s="51">
        <f>IFERROR(L5/K5,0)</f>
        <v>0.6666666667</v>
      </c>
      <c r="M7" s="53">
        <f>IFERROR(M5/SUM(R5+G5,0),"")</f>
        <v>3.1</v>
      </c>
      <c r="N7" s="46"/>
      <c r="O7" s="51">
        <f>IFERROR(O5/N5,0)</f>
        <v>0.8</v>
      </c>
      <c r="P7" s="53"/>
      <c r="Q7" s="51">
        <f>IFERROR(Q5/P5,0)</f>
        <v>0.75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12649</v>
      </c>
      <c r="D8" s="36"/>
      <c r="E8" s="37">
        <f>SUMIFS(T:T,B:B,B8,D:D,"Y")</f>
        <v>1646</v>
      </c>
      <c r="F8" s="38">
        <f>SUMIF(B16:B1129,B8,G16:G1129)</f>
        <v>21</v>
      </c>
      <c r="G8" s="39">
        <f>SUMIF(B16:B1129,B8,H16:H1129)</f>
        <v>9</v>
      </c>
      <c r="H8" s="38">
        <f>SUMIF(B16:B1129,B8,I16:I1129)</f>
        <v>7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3</v>
      </c>
      <c r="L8" s="39">
        <f>SUMIF(B16:B1129,B8,S16:S1129)</f>
        <v>2</v>
      </c>
      <c r="M8" s="39">
        <f>SUMIF(B16:B1129,B8,M16:M1129)</f>
        <v>31</v>
      </c>
      <c r="N8" s="39">
        <f>SUMIF(B16:B1129,B8,N16:N1129)</f>
        <v>5</v>
      </c>
      <c r="O8" s="38">
        <f>SUMIF(B16:B1129,B8,O16:O1129)</f>
        <v>4</v>
      </c>
      <c r="P8" s="39">
        <f>SUMIF(B16:B1129,B8,J16:J1129)</f>
        <v>4</v>
      </c>
      <c r="Q8" s="39">
        <f>SUMIF(B16:B1129,B8,K16:K1129)</f>
        <v>3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1807</v>
      </c>
      <c r="F10" s="51">
        <f>IFERROR((G8+R8)/F8,0)</f>
        <v>0.4761904762</v>
      </c>
      <c r="G10" s="51">
        <f>IFERROR(H8/G8,0)</f>
        <v>0.7777777778</v>
      </c>
      <c r="H10" s="50">
        <f>(C8/C10)</f>
        <v>486.5</v>
      </c>
      <c r="I10" s="46"/>
      <c r="J10" s="51">
        <f>IFERROR(J8/I8,0)</f>
        <v>0.5</v>
      </c>
      <c r="K10" s="46"/>
      <c r="L10" s="51">
        <f>IFERROR(L8/K8,0)</f>
        <v>0.6666666667</v>
      </c>
      <c r="M10" s="53">
        <f>IFERROR(M8/SUM(G8+R8,0),"")</f>
        <v>3.1</v>
      </c>
      <c r="N10" s="46"/>
      <c r="O10" s="51">
        <f>IFERROR(O8/N8,0)</f>
        <v>0.8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1.0</v>
      </c>
      <c r="H23" s="171">
        <v>2.0</v>
      </c>
      <c r="I23" s="171">
        <v>2.0</v>
      </c>
      <c r="J23" s="171">
        <v>1.0</v>
      </c>
      <c r="K23" s="171">
        <v>1.0</v>
      </c>
      <c r="L23" s="171">
        <v>0.0</v>
      </c>
      <c r="M23" s="171">
        <v>5.0</v>
      </c>
      <c r="N23" s="171">
        <v>2.0</v>
      </c>
      <c r="O23" s="171">
        <v>2.0</v>
      </c>
      <c r="P23" s="171">
        <v>0.0</v>
      </c>
      <c r="Q23" s="171">
        <v>0.0</v>
      </c>
      <c r="R23" s="171">
        <v>0.0</v>
      </c>
      <c r="S23" s="171">
        <v>0.0</v>
      </c>
      <c r="T23" s="171">
        <v>4269.0</v>
      </c>
      <c r="U23" s="153">
        <f t="shared" si="2"/>
        <v>1</v>
      </c>
      <c r="V23" s="153">
        <f t="shared" si="3"/>
        <v>2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4.0</v>
      </c>
      <c r="H24" s="171">
        <v>2.0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2.0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792.0</v>
      </c>
      <c r="U24" s="153">
        <f t="shared" si="2"/>
        <v>0.5</v>
      </c>
      <c r="V24" s="153">
        <f t="shared" si="3"/>
        <v>0.5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9.0</v>
      </c>
      <c r="H27" s="171">
        <v>2.0</v>
      </c>
      <c r="I27" s="171">
        <v>2.0</v>
      </c>
      <c r="J27" s="171">
        <v>1.0</v>
      </c>
      <c r="K27" s="171">
        <v>1.0</v>
      </c>
      <c r="L27" s="171">
        <v>0.0</v>
      </c>
      <c r="M27" s="171">
        <v>12.0</v>
      </c>
      <c r="N27" s="171">
        <v>1.0</v>
      </c>
      <c r="O27" s="171">
        <v>1.0</v>
      </c>
      <c r="P27" s="171">
        <v>0.0</v>
      </c>
      <c r="Q27" s="171">
        <v>0.0</v>
      </c>
      <c r="R27" s="171">
        <v>1.0</v>
      </c>
      <c r="S27" s="171">
        <v>1.0</v>
      </c>
      <c r="T27" s="171">
        <v>3816.0</v>
      </c>
      <c r="U27" s="153">
        <f t="shared" si="2"/>
        <v>1</v>
      </c>
      <c r="V27" s="153">
        <f t="shared" si="3"/>
        <v>0.2222222222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3.0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83">
        <v>0.0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1.0</v>
      </c>
      <c r="M34" s="171">
        <v>6.0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2.0</v>
      </c>
      <c r="H35" s="171">
        <v>1.0</v>
      </c>
      <c r="I35" s="171">
        <v>1.0</v>
      </c>
      <c r="J35" s="171">
        <v>0.0</v>
      </c>
      <c r="K35" s="171">
        <v>0.0</v>
      </c>
      <c r="L35" s="171">
        <v>0.0</v>
      </c>
      <c r="M35" s="171">
        <v>1.0</v>
      </c>
      <c r="N35" s="171">
        <v>0.0</v>
      </c>
      <c r="O35" s="171">
        <v>0.0</v>
      </c>
      <c r="P35" s="171">
        <v>2.0</v>
      </c>
      <c r="Q35" s="171">
        <v>1.0</v>
      </c>
      <c r="R35" s="171">
        <v>0.0</v>
      </c>
      <c r="S35" s="171">
        <v>0.0</v>
      </c>
      <c r="T35" s="171">
        <v>1646.0</v>
      </c>
      <c r="U35" s="153">
        <f t="shared" ref="U35:U45" si="5">IFERROR(I35/H35,0)</f>
        <v>1</v>
      </c>
      <c r="V35" s="153">
        <f t="shared" si="4"/>
        <v>0.5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1.0</v>
      </c>
      <c r="I36" s="171">
        <v>0.0</v>
      </c>
      <c r="J36" s="171">
        <v>1.0</v>
      </c>
      <c r="K36" s="171">
        <v>0.0</v>
      </c>
      <c r="L36" s="171">
        <v>0.0</v>
      </c>
      <c r="M36" s="171">
        <v>2.0</v>
      </c>
      <c r="N36" s="171">
        <v>0.0</v>
      </c>
      <c r="O36" s="171">
        <v>0.0</v>
      </c>
      <c r="P36" s="171">
        <v>0.0</v>
      </c>
      <c r="Q36" s="171">
        <v>0.0</v>
      </c>
      <c r="R36" s="171">
        <v>1.0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1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1.0</v>
      </c>
      <c r="H37" s="171">
        <v>1.0</v>
      </c>
      <c r="I37" s="171">
        <v>1.0</v>
      </c>
      <c r="J37" s="171">
        <v>1.0</v>
      </c>
      <c r="K37" s="171">
        <v>1.0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1.0</v>
      </c>
      <c r="S37" s="171">
        <v>1.0</v>
      </c>
      <c r="T37" s="171">
        <v>2126.0</v>
      </c>
      <c r="U37" s="153">
        <f t="shared" si="5"/>
        <v>1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8251</v>
      </c>
      <c r="D2" s="139"/>
      <c r="E2" s="138">
        <f t="shared" ref="E2:R2" si="1">SUM(E5)</f>
        <v>2380</v>
      </c>
      <c r="F2" s="138">
        <f t="shared" si="1"/>
        <v>15</v>
      </c>
      <c r="G2" s="140">
        <f t="shared" si="1"/>
        <v>8</v>
      </c>
      <c r="H2" s="140">
        <f t="shared" si="1"/>
        <v>4</v>
      </c>
      <c r="I2" s="140">
        <f t="shared" si="1"/>
        <v>0</v>
      </c>
      <c r="J2" s="140">
        <f t="shared" si="1"/>
        <v>0</v>
      </c>
      <c r="K2" s="140">
        <f t="shared" si="1"/>
        <v>5</v>
      </c>
      <c r="L2" s="140">
        <f t="shared" si="1"/>
        <v>2</v>
      </c>
      <c r="M2" s="140">
        <f t="shared" si="1"/>
        <v>59</v>
      </c>
      <c r="N2" s="140">
        <f t="shared" si="1"/>
        <v>3</v>
      </c>
      <c r="O2" s="140">
        <f t="shared" si="1"/>
        <v>2</v>
      </c>
      <c r="P2" s="140">
        <f t="shared" si="1"/>
        <v>5</v>
      </c>
      <c r="Q2" s="140">
        <f t="shared" si="1"/>
        <v>3</v>
      </c>
      <c r="R2" s="140">
        <f t="shared" si="1"/>
        <v>4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2062.75</v>
      </c>
      <c r="F4" s="51">
        <f>IFERROR((G2+R2)/F2,0)</f>
        <v>0.8</v>
      </c>
      <c r="G4" s="51">
        <f>IFERROR(H2/G2,0)</f>
        <v>0.5</v>
      </c>
      <c r="H4" s="50">
        <f>(C2/C4)</f>
        <v>284.5172414</v>
      </c>
      <c r="I4" s="46"/>
      <c r="J4" s="51">
        <f>IFERROR(J2/I2,0)</f>
        <v>0</v>
      </c>
      <c r="K4" s="46"/>
      <c r="L4" s="51">
        <f>IFERROR(L2/K2,0)</f>
        <v>0.4</v>
      </c>
      <c r="M4" s="52">
        <f>IFERROR(M2/G2,0)</f>
        <v>7.375</v>
      </c>
      <c r="N4" s="46"/>
      <c r="O4" s="51">
        <f>IFERROR(O2/N2,0)</f>
        <v>0.6666666667</v>
      </c>
      <c r="P4" s="53"/>
      <c r="Q4" s="51">
        <f>IFERROR(Q2/P2,0)</f>
        <v>0.6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8251</v>
      </c>
      <c r="D5" s="147"/>
      <c r="E5" s="148">
        <f>SUMIFS(T:T,A:A,B5,D:D,"Y")</f>
        <v>2380</v>
      </c>
      <c r="F5" s="138">
        <f>SUMIF(A:A,B5,G:G)</f>
        <v>15</v>
      </c>
      <c r="G5" s="140">
        <f>SUMIF(A:A,B5,H:H)</f>
        <v>8</v>
      </c>
      <c r="H5" s="140">
        <f>SUMIF(A:A,B5,I:I)</f>
        <v>4</v>
      </c>
      <c r="I5" s="140">
        <f>SUMIF(A:A,B5,P:P)</f>
        <v>0</v>
      </c>
      <c r="J5" s="140">
        <f>SUMIF(A:A,B5,Q:Q)</f>
        <v>0</v>
      </c>
      <c r="K5" s="140">
        <f>SUMIF(A:A,B5,R:R)</f>
        <v>5</v>
      </c>
      <c r="L5" s="140">
        <f>SUMIF(A:A,B5,S:S)</f>
        <v>2</v>
      </c>
      <c r="M5" s="140">
        <f>SUMIF(A:A,B5,M:M)</f>
        <v>59</v>
      </c>
      <c r="N5" s="140">
        <f>SUMIF(A:A,B5,N:N)</f>
        <v>3</v>
      </c>
      <c r="O5" s="140">
        <f>SUMIF(A:A,B5,O:O)</f>
        <v>2</v>
      </c>
      <c r="P5" s="140">
        <f>SUMIF(A:A,B5,J:J)</f>
        <v>5</v>
      </c>
      <c r="Q5" s="140">
        <f>SUMIF(A:A,B5,K:K)</f>
        <v>3</v>
      </c>
      <c r="R5" s="140">
        <f>SUMIF(A:A,B5,L:L)</f>
        <v>4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2062.75</v>
      </c>
      <c r="F7" s="51">
        <f>IFERROR((G5+R5)/F5,0)</f>
        <v>0.8</v>
      </c>
      <c r="G7" s="51">
        <f>IFERROR(H5/G5,0)</f>
        <v>0.5</v>
      </c>
      <c r="H7" s="50">
        <f>(C5/C7)</f>
        <v>284.5172414</v>
      </c>
      <c r="I7" s="46"/>
      <c r="J7" s="51">
        <f>IFERROR(J5/I5,0)</f>
        <v>0</v>
      </c>
      <c r="K7" s="46"/>
      <c r="L7" s="51">
        <f>IFERROR(L5/K5,0)</f>
        <v>0.4</v>
      </c>
      <c r="M7" s="53">
        <f>IFERROR(M5/SUM(R5+G5,0),"")</f>
        <v>4.916666667</v>
      </c>
      <c r="N7" s="46"/>
      <c r="O7" s="51">
        <f>IFERROR(O5/N5,0)</f>
        <v>0.6666666667</v>
      </c>
      <c r="P7" s="53"/>
      <c r="Q7" s="51">
        <f>IFERROR(Q5/P5,0)</f>
        <v>0.6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8251</v>
      </c>
      <c r="D8" s="36"/>
      <c r="E8" s="37">
        <f>SUMIFS(T:T,B:B,B8,D:D,"Y")</f>
        <v>2380</v>
      </c>
      <c r="F8" s="38">
        <f>SUMIF(B16:B1129,B8,G16:G1129)</f>
        <v>15</v>
      </c>
      <c r="G8" s="39">
        <f>SUMIF(B16:B1129,B8,H16:H1129)</f>
        <v>8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5</v>
      </c>
      <c r="L8" s="39">
        <f>SUMIF(B16:B1129,B8,S16:S1129)</f>
        <v>2</v>
      </c>
      <c r="M8" s="39">
        <f>SUMIF(B16:B1129,B8,M16:M1129)</f>
        <v>59</v>
      </c>
      <c r="N8" s="39">
        <f>SUMIF(B16:B1129,B8,N16:N1129)</f>
        <v>3</v>
      </c>
      <c r="O8" s="38">
        <f>SUMIF(B16:B1129,B8,O16:O1129)</f>
        <v>2</v>
      </c>
      <c r="P8" s="39">
        <f>SUMIF(B16:B1129,B8,J16:J1129)</f>
        <v>5</v>
      </c>
      <c r="Q8" s="39">
        <f>SUMIF(B16:B1129,B8,K16:K1129)</f>
        <v>3</v>
      </c>
      <c r="R8" s="38">
        <f>SUMIF(B16:B1129,B8,L16:L1129)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2062.75</v>
      </c>
      <c r="F10" s="51">
        <f>IFERROR((G8+R8)/F8,0)</f>
        <v>0.8</v>
      </c>
      <c r="G10" s="51">
        <f>IFERROR(H8/G8,0)</f>
        <v>0.5</v>
      </c>
      <c r="H10" s="50">
        <f>(C8/C10)</f>
        <v>317.3461538</v>
      </c>
      <c r="I10" s="46"/>
      <c r="J10" s="51">
        <f>IFERROR(J8/I8,0)</f>
        <v>0</v>
      </c>
      <c r="K10" s="46"/>
      <c r="L10" s="51">
        <f>IFERROR(L8/K8,0)</f>
        <v>0.4</v>
      </c>
      <c r="M10" s="53">
        <f>IFERROR(M8/SUM(G8+R8,0),"")</f>
        <v>4.916666667</v>
      </c>
      <c r="N10" s="46"/>
      <c r="O10" s="51">
        <f>IFERROR(O8/N8,0)</f>
        <v>0.6666666667</v>
      </c>
      <c r="P10" s="53"/>
      <c r="Q10" s="51">
        <f>IFERROR(Q8/P8,0)</f>
        <v>0.6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8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1.0</v>
      </c>
      <c r="H25" s="171">
        <v>1.0</v>
      </c>
      <c r="I25" s="171">
        <v>1.0</v>
      </c>
      <c r="J25" s="171">
        <v>0.0</v>
      </c>
      <c r="K25" s="171">
        <v>0.0</v>
      </c>
      <c r="L25" s="171">
        <v>0.0</v>
      </c>
      <c r="M25" s="171">
        <v>17.0</v>
      </c>
      <c r="N25" s="171">
        <v>0.0</v>
      </c>
      <c r="O25" s="171">
        <v>0.0</v>
      </c>
      <c r="P25" s="171">
        <v>0.0</v>
      </c>
      <c r="Q25" s="171">
        <v>0.0</v>
      </c>
      <c r="R25" s="171">
        <v>1.0</v>
      </c>
      <c r="S25" s="171">
        <v>1.0</v>
      </c>
      <c r="T25" s="171">
        <v>2655.0</v>
      </c>
      <c r="U25" s="153">
        <f t="shared" si="2"/>
        <v>1</v>
      </c>
      <c r="V25" s="153">
        <f t="shared" si="3"/>
        <v>1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6.0</v>
      </c>
      <c r="H27" s="171">
        <v>1.0</v>
      </c>
      <c r="I27" s="171">
        <v>0.0</v>
      </c>
      <c r="J27" s="171">
        <v>1.0</v>
      </c>
      <c r="K27" s="171">
        <v>0.0</v>
      </c>
      <c r="L27" s="171">
        <v>0.0</v>
      </c>
      <c r="M27" s="171">
        <v>12.0</v>
      </c>
      <c r="N27" s="171">
        <v>0.0</v>
      </c>
      <c r="O27" s="171">
        <v>0.0</v>
      </c>
      <c r="P27" s="171">
        <v>0.0</v>
      </c>
      <c r="Q27" s="171">
        <v>0.0</v>
      </c>
      <c r="R27" s="171">
        <v>1.0</v>
      </c>
      <c r="S27" s="171">
        <v>0.0</v>
      </c>
      <c r="T27" s="171">
        <v>0.0</v>
      </c>
      <c r="U27" s="153">
        <f t="shared" si="2"/>
        <v>0</v>
      </c>
      <c r="V27" s="153">
        <f t="shared" si="3"/>
        <v>0.1666666667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1.0</v>
      </c>
      <c r="I28" s="171">
        <v>1.0</v>
      </c>
      <c r="J28" s="171">
        <v>1.0</v>
      </c>
      <c r="K28" s="171">
        <v>1.0</v>
      </c>
      <c r="L28" s="171">
        <v>0.0</v>
      </c>
      <c r="M28" s="171">
        <v>1.0</v>
      </c>
      <c r="N28" s="171">
        <v>0.0</v>
      </c>
      <c r="O28" s="171">
        <v>0.0</v>
      </c>
      <c r="P28" s="171">
        <v>0.0</v>
      </c>
      <c r="Q28" s="171">
        <v>0.0</v>
      </c>
      <c r="R28" s="171">
        <v>1.0</v>
      </c>
      <c r="S28" s="171">
        <v>1.0</v>
      </c>
      <c r="T28" s="171">
        <v>2380.0</v>
      </c>
      <c r="U28" s="153">
        <v>0.0</v>
      </c>
      <c r="V28" s="153">
        <f t="shared" si="3"/>
        <v>1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1.0</v>
      </c>
      <c r="H29" s="171">
        <v>1.0</v>
      </c>
      <c r="I29" s="171">
        <v>1.0</v>
      </c>
      <c r="J29" s="171">
        <v>1.0</v>
      </c>
      <c r="K29" s="171">
        <v>1.0</v>
      </c>
      <c r="L29" s="171">
        <v>0.0</v>
      </c>
      <c r="M29" s="171">
        <v>12.0</v>
      </c>
      <c r="N29" s="171">
        <v>1.0</v>
      </c>
      <c r="O29" s="171">
        <v>1.0</v>
      </c>
      <c r="P29" s="171">
        <v>0.0</v>
      </c>
      <c r="Q29" s="171">
        <v>0.0</v>
      </c>
      <c r="R29" s="171">
        <v>0.0</v>
      </c>
      <c r="S29" s="171">
        <v>0.0</v>
      </c>
      <c r="T29" s="171">
        <v>1140.0</v>
      </c>
      <c r="U29" s="198" t="s">
        <v>83</v>
      </c>
      <c r="V29" s="183">
        <v>0.0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1.0</v>
      </c>
      <c r="H30" s="171">
        <v>1.0</v>
      </c>
      <c r="I30" s="171">
        <v>1.0</v>
      </c>
      <c r="J30" s="171">
        <v>1.0</v>
      </c>
      <c r="K30" s="171">
        <v>1.0</v>
      </c>
      <c r="L30" s="171">
        <v>0.0</v>
      </c>
      <c r="M30" s="171">
        <v>0.0</v>
      </c>
      <c r="N30" s="171">
        <v>1.0</v>
      </c>
      <c r="O30" s="171">
        <v>1.0</v>
      </c>
      <c r="P30" s="171">
        <v>0.0</v>
      </c>
      <c r="Q30" s="171">
        <v>0.0</v>
      </c>
      <c r="R30" s="171">
        <v>0.0</v>
      </c>
      <c r="S30" s="171">
        <v>0.0</v>
      </c>
      <c r="T30" s="171">
        <v>2076.0</v>
      </c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2.0</v>
      </c>
      <c r="H31" s="171">
        <v>1.0</v>
      </c>
      <c r="I31" s="171">
        <v>0.0</v>
      </c>
      <c r="J31" s="171">
        <v>1.0</v>
      </c>
      <c r="K31" s="171">
        <v>0.0</v>
      </c>
      <c r="L31" s="171">
        <v>0.0</v>
      </c>
      <c r="M31" s="171">
        <v>1.0</v>
      </c>
      <c r="N31" s="171">
        <v>0.0</v>
      </c>
      <c r="O31" s="171">
        <v>0.0</v>
      </c>
      <c r="P31" s="171">
        <v>0.0</v>
      </c>
      <c r="Q31" s="171">
        <v>0.0</v>
      </c>
      <c r="R31" s="171">
        <v>1.0</v>
      </c>
      <c r="S31" s="171">
        <v>0.0</v>
      </c>
      <c r="T31" s="171">
        <v>0.0</v>
      </c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83">
        <v>0.0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2.0</v>
      </c>
      <c r="M34" s="171">
        <v>14.0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98" t="s">
        <v>84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2.0</v>
      </c>
      <c r="H37" s="171">
        <v>2.0</v>
      </c>
      <c r="I37" s="171">
        <v>0.0</v>
      </c>
      <c r="J37" s="171">
        <v>0.0</v>
      </c>
      <c r="K37" s="171">
        <v>0.0</v>
      </c>
      <c r="L37" s="171">
        <v>2.0</v>
      </c>
      <c r="M37" s="171">
        <v>2.0</v>
      </c>
      <c r="N37" s="171">
        <v>1.0</v>
      </c>
      <c r="O37" s="171">
        <v>0.0</v>
      </c>
      <c r="P37" s="171">
        <v>0.0</v>
      </c>
      <c r="Q37" s="171">
        <v>0.0</v>
      </c>
      <c r="R37" s="171">
        <v>1.0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2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4728</v>
      </c>
      <c r="D2" s="139"/>
      <c r="E2" s="138">
        <f t="shared" ref="E2:R2" si="1">SUM(E5)</f>
        <v>1680</v>
      </c>
      <c r="F2" s="138">
        <f t="shared" si="1"/>
        <v>9</v>
      </c>
      <c r="G2" s="140">
        <f t="shared" si="1"/>
        <v>7</v>
      </c>
      <c r="H2" s="140">
        <f t="shared" si="1"/>
        <v>3</v>
      </c>
      <c r="I2" s="140">
        <f t="shared" si="1"/>
        <v>0</v>
      </c>
      <c r="J2" s="140">
        <f t="shared" si="1"/>
        <v>0</v>
      </c>
      <c r="K2" s="140">
        <f t="shared" si="1"/>
        <v>1</v>
      </c>
      <c r="L2" s="140">
        <f t="shared" si="1"/>
        <v>0</v>
      </c>
      <c r="M2" s="140">
        <f t="shared" si="1"/>
        <v>15</v>
      </c>
      <c r="N2" s="140">
        <f t="shared" si="1"/>
        <v>6</v>
      </c>
      <c r="O2" s="140">
        <f t="shared" si="1"/>
        <v>3</v>
      </c>
      <c r="P2" s="140">
        <f t="shared" si="1"/>
        <v>4</v>
      </c>
      <c r="Q2" s="140">
        <f t="shared" si="1"/>
        <v>2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1576</v>
      </c>
      <c r="F4" s="51">
        <f>IFERROR((G2+R2)/F2,0)</f>
        <v>0.7777777778</v>
      </c>
      <c r="G4" s="51">
        <f>IFERROR(H2/G2,0)</f>
        <v>0.4285714286</v>
      </c>
      <c r="H4" s="50">
        <f>(C2/C4)</f>
        <v>163.0344828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2.142857143</v>
      </c>
      <c r="N4" s="46"/>
      <c r="O4" s="51">
        <f>IFERROR(O2/N2,0)</f>
        <v>0.5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4728</v>
      </c>
      <c r="D5" s="147"/>
      <c r="E5" s="148">
        <f>SUMIFS(T:T,A:A,B5,D:D,"Y")</f>
        <v>1680</v>
      </c>
      <c r="F5" s="138">
        <f>SUMIF(A:A,B5,G:G)</f>
        <v>9</v>
      </c>
      <c r="G5" s="140">
        <f>SUMIF(A:A,B5,H:H)</f>
        <v>7</v>
      </c>
      <c r="H5" s="140">
        <f>SUMIF(A:A,B5,I:I)</f>
        <v>3</v>
      </c>
      <c r="I5" s="140">
        <f>SUMIF(A:A,B5,P:P)</f>
        <v>0</v>
      </c>
      <c r="J5" s="140">
        <f>SUMIF(A:A,B5,Q:Q)</f>
        <v>0</v>
      </c>
      <c r="K5" s="140">
        <f>SUMIF(A:A,B5,R:R)</f>
        <v>1</v>
      </c>
      <c r="L5" s="140">
        <f>SUMIF(A:A,B5,S:S)</f>
        <v>0</v>
      </c>
      <c r="M5" s="140">
        <f>SUMIF(A:A,B5,M:M)</f>
        <v>15</v>
      </c>
      <c r="N5" s="140">
        <f>SUMIF(A:A,B5,N:N)</f>
        <v>6</v>
      </c>
      <c r="O5" s="140">
        <f>SUMIF(A:A,B5,O:O)</f>
        <v>3</v>
      </c>
      <c r="P5" s="140">
        <f>SUMIF(A:A,B5,J:J)</f>
        <v>4</v>
      </c>
      <c r="Q5" s="140">
        <f>SUMIF(A:A,B5,K:K)</f>
        <v>2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1576</v>
      </c>
      <c r="F7" s="51">
        <f>IFERROR((G5+R5)/F5,0)</f>
        <v>0.7777777778</v>
      </c>
      <c r="G7" s="51">
        <f>IFERROR(H5/G5,0)</f>
        <v>0.4285714286</v>
      </c>
      <c r="H7" s="50">
        <f>(C5/C7)</f>
        <v>163.0344828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2.142857143</v>
      </c>
      <c r="N7" s="46"/>
      <c r="O7" s="51">
        <f>IFERROR(O5/N5,0)</f>
        <v>0.5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4728</v>
      </c>
      <c r="D8" s="36"/>
      <c r="E8" s="37">
        <f>SUMIFS(T:T,B:B,B8,D:D,"Y")</f>
        <v>1680</v>
      </c>
      <c r="F8" s="38">
        <f>SUMIF(B16:B1129,B8,G16:G1129)</f>
        <v>9</v>
      </c>
      <c r="G8" s="39">
        <f>SUMIF(B16:B1129,B8,H16:H1129)</f>
        <v>7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15</v>
      </c>
      <c r="N8" s="39">
        <f>SUMIF(B16:B1129,B8,N16:N1129)</f>
        <v>6</v>
      </c>
      <c r="O8" s="38">
        <f>SUMIF(B16:B1129,B8,O16:O1129)</f>
        <v>3</v>
      </c>
      <c r="P8" s="39">
        <f>SUMIF(B16:B1129,B8,J16:J1129)</f>
        <v>4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1576</v>
      </c>
      <c r="F10" s="51">
        <f>IFERROR((G8+R8)/F8,0)</f>
        <v>0.7777777778</v>
      </c>
      <c r="G10" s="51">
        <f>IFERROR(H8/G8,0)</f>
        <v>0.4285714286</v>
      </c>
      <c r="H10" s="50">
        <f>(C8/C10)</f>
        <v>181.8461538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2.142857143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5.0</v>
      </c>
      <c r="H24" s="171">
        <v>3.0</v>
      </c>
      <c r="I24" s="171">
        <v>1.0</v>
      </c>
      <c r="J24" s="171">
        <v>0.0</v>
      </c>
      <c r="K24" s="171">
        <v>0.0</v>
      </c>
      <c r="L24" s="171">
        <v>0.0</v>
      </c>
      <c r="M24" s="171">
        <v>7.0</v>
      </c>
      <c r="N24" s="171">
        <v>3.0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1356.0</v>
      </c>
      <c r="U24" s="153">
        <f t="shared" si="2"/>
        <v>0.3333333333</v>
      </c>
      <c r="V24" s="153">
        <f t="shared" si="3"/>
        <v>0.6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1.0</v>
      </c>
      <c r="H27" s="171">
        <v>1.0</v>
      </c>
      <c r="I27" s="171">
        <v>1.0</v>
      </c>
      <c r="J27" s="171">
        <v>1.0</v>
      </c>
      <c r="K27" s="171">
        <v>1.0</v>
      </c>
      <c r="L27" s="171">
        <v>0.0</v>
      </c>
      <c r="M27" s="171">
        <v>3.0</v>
      </c>
      <c r="N27" s="171">
        <v>1.0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1692.0</v>
      </c>
      <c r="U27" s="153">
        <f t="shared" si="2"/>
        <v>1</v>
      </c>
      <c r="V27" s="153">
        <f t="shared" si="3"/>
        <v>1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1.0</v>
      </c>
      <c r="I28" s="171">
        <v>1.0</v>
      </c>
      <c r="J28" s="171">
        <v>1.0</v>
      </c>
      <c r="K28" s="171">
        <v>1.0</v>
      </c>
      <c r="L28" s="171">
        <v>0.0</v>
      </c>
      <c r="M28" s="171">
        <v>0.0</v>
      </c>
      <c r="N28" s="171">
        <v>1.0</v>
      </c>
      <c r="O28" s="171">
        <v>1.0</v>
      </c>
      <c r="P28" s="171">
        <v>0.0</v>
      </c>
      <c r="Q28" s="171">
        <v>0.0</v>
      </c>
      <c r="R28" s="171">
        <v>0.0</v>
      </c>
      <c r="S28" s="171">
        <v>0.0</v>
      </c>
      <c r="T28" s="171">
        <v>1680.0</v>
      </c>
      <c r="U28" s="153">
        <v>0.0</v>
      </c>
      <c r="V28" s="153">
        <f t="shared" si="3"/>
        <v>1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52"/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2.0</v>
      </c>
      <c r="H33" s="171">
        <v>2.0</v>
      </c>
      <c r="I33" s="171">
        <v>0.0</v>
      </c>
      <c r="J33" s="171">
        <v>2.0</v>
      </c>
      <c r="K33" s="171">
        <v>0.0</v>
      </c>
      <c r="L33" s="171">
        <v>0.0</v>
      </c>
      <c r="M33" s="171">
        <v>5.0</v>
      </c>
      <c r="N33" s="171">
        <v>1.0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53">
        <f>IFERROR(I33/H33,0)</f>
        <v>0</v>
      </c>
      <c r="V33" s="153">
        <f>IFERROR(SUM(H33+L33)/G33,0)</f>
        <v>1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83">
        <v>0.0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0.0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4">IFERROR(I35/H35,0)</f>
        <v>0</v>
      </c>
      <c r="V35" s="153">
        <f t="shared" ref="V35:V45" si="5">IFERROR(SUM(H35+L35)/G35,0)</f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4"/>
        <v>0</v>
      </c>
      <c r="V36" s="153">
        <f t="shared" si="5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4"/>
        <v>0</v>
      </c>
      <c r="V37" s="153">
        <f t="shared" si="5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4"/>
        <v>0</v>
      </c>
      <c r="V38" s="153">
        <f t="shared" si="5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4"/>
        <v>0</v>
      </c>
      <c r="V39" s="153">
        <f t="shared" si="5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4"/>
        <v>0</v>
      </c>
      <c r="V40" s="153">
        <f t="shared" si="5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4"/>
        <v>0</v>
      </c>
      <c r="V41" s="153">
        <f t="shared" si="5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4"/>
        <v>0</v>
      </c>
      <c r="V42" s="153">
        <f t="shared" si="5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4"/>
        <v>0</v>
      </c>
      <c r="V43" s="153">
        <f t="shared" si="5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4"/>
        <v>0</v>
      </c>
      <c r="V44" s="153">
        <f t="shared" si="5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4"/>
        <v>0</v>
      </c>
      <c r="V45" s="153">
        <f t="shared" si="5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2100</v>
      </c>
      <c r="D2" s="139"/>
      <c r="E2" s="138">
        <f t="shared" ref="E2:R2" si="1">SUM(E5)</f>
        <v>0</v>
      </c>
      <c r="F2" s="138">
        <f t="shared" si="1"/>
        <v>11</v>
      </c>
      <c r="G2" s="140">
        <f t="shared" si="1"/>
        <v>2</v>
      </c>
      <c r="H2" s="140">
        <f t="shared" si="1"/>
        <v>1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2</v>
      </c>
      <c r="N2" s="140">
        <f t="shared" si="1"/>
        <v>2</v>
      </c>
      <c r="O2" s="140">
        <f t="shared" si="1"/>
        <v>1</v>
      </c>
      <c r="P2" s="140">
        <f t="shared" si="1"/>
        <v>1</v>
      </c>
      <c r="Q2" s="140">
        <f t="shared" si="1"/>
        <v>1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2100</v>
      </c>
      <c r="F4" s="51">
        <f>IFERROR((G2+R2)/F2,0)</f>
        <v>0.1818181818</v>
      </c>
      <c r="G4" s="51">
        <f>IFERROR(H2/G2,0)</f>
        <v>0.5</v>
      </c>
      <c r="H4" s="50">
        <f>(C2/C4)</f>
        <v>72.4137931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1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2100</v>
      </c>
      <c r="D5" s="147"/>
      <c r="E5" s="148">
        <f>SUMIFS(T:T,A:A,B5,D:D,"Y")</f>
        <v>0</v>
      </c>
      <c r="F5" s="138">
        <f>SUMIF(A:A,B5,G:G)</f>
        <v>11</v>
      </c>
      <c r="G5" s="140">
        <f>SUMIF(A:A,B5,H:H)</f>
        <v>2</v>
      </c>
      <c r="H5" s="140">
        <f>SUMIF(A:A,B5,I:I)</f>
        <v>1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2</v>
      </c>
      <c r="N5" s="140">
        <f>SUMIF(A:A,B5,N:N)</f>
        <v>2</v>
      </c>
      <c r="O5" s="140">
        <f>SUMIF(A:A,B5,O:O)</f>
        <v>1</v>
      </c>
      <c r="P5" s="140">
        <f>SUMIF(A:A,B5,J:J)</f>
        <v>1</v>
      </c>
      <c r="Q5" s="140">
        <f>SUMIF(A:A,B5,K:K)</f>
        <v>1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2100</v>
      </c>
      <c r="F7" s="51">
        <f>IFERROR((G5+R5)/F5,0)</f>
        <v>0.1818181818</v>
      </c>
      <c r="G7" s="51">
        <f>IFERROR(H5/G5,0)</f>
        <v>0.5</v>
      </c>
      <c r="H7" s="50">
        <f>(C5/C7)</f>
        <v>72.4137931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1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2100</v>
      </c>
      <c r="D8" s="36"/>
      <c r="E8" s="37">
        <f>SUMIFS(T:T,B:B,B8,D:D,"Y")</f>
        <v>0</v>
      </c>
      <c r="F8" s="38">
        <f>SUMIF(B16:B1129,B8,G16:G1129)</f>
        <v>11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2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2100</v>
      </c>
      <c r="F10" s="51">
        <f>IFERROR((G8+R8)/F8,0)</f>
        <v>0.1818181818</v>
      </c>
      <c r="G10" s="51">
        <f>IFERROR(H8/G8,0)</f>
        <v>0.5</v>
      </c>
      <c r="H10" s="50">
        <f>(C8/C10)</f>
        <v>80.76923077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1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7.0</v>
      </c>
      <c r="H24" s="171">
        <v>1.0</v>
      </c>
      <c r="I24" s="171">
        <v>1.0</v>
      </c>
      <c r="J24" s="171">
        <v>1.0</v>
      </c>
      <c r="K24" s="171">
        <v>1.0</v>
      </c>
      <c r="L24" s="171">
        <v>0.0</v>
      </c>
      <c r="M24" s="171">
        <v>2.0</v>
      </c>
      <c r="N24" s="171">
        <v>1.0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2100.0</v>
      </c>
      <c r="U24" s="153">
        <f t="shared" si="2"/>
        <v>1</v>
      </c>
      <c r="V24" s="153">
        <f t="shared" si="3"/>
        <v>0.1428571429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1.0</v>
      </c>
      <c r="H27" s="171">
        <v>0.0</v>
      </c>
      <c r="I27" s="171">
        <v>0.0</v>
      </c>
      <c r="J27" s="171">
        <v>0.0</v>
      </c>
      <c r="K27" s="171">
        <v>0.0</v>
      </c>
      <c r="L27" s="171">
        <v>0.0</v>
      </c>
      <c r="M27" s="171">
        <v>0.0</v>
      </c>
      <c r="N27" s="171">
        <v>0.0</v>
      </c>
      <c r="O27" s="171">
        <v>0.0</v>
      </c>
      <c r="P27" s="171">
        <v>0.0</v>
      </c>
      <c r="Q27" s="171">
        <v>0.0</v>
      </c>
      <c r="R27" s="171">
        <v>0.0</v>
      </c>
      <c r="S27" s="171">
        <v>0.0</v>
      </c>
      <c r="T27" s="171">
        <v>0.0</v>
      </c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0.01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1.0</v>
      </c>
      <c r="H31" s="171">
        <v>1.0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1.0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7417</v>
      </c>
      <c r="D2" s="139"/>
      <c r="E2" s="138">
        <f t="shared" ref="E2:R2" si="1">SUM(E5)</f>
        <v>0</v>
      </c>
      <c r="F2" s="138">
        <f t="shared" si="1"/>
        <v>7</v>
      </c>
      <c r="G2" s="140">
        <f t="shared" si="1"/>
        <v>4</v>
      </c>
      <c r="H2" s="140">
        <f t="shared" si="1"/>
        <v>3</v>
      </c>
      <c r="I2" s="140">
        <f t="shared" si="1"/>
        <v>0</v>
      </c>
      <c r="J2" s="140">
        <f t="shared" si="1"/>
        <v>0</v>
      </c>
      <c r="K2" s="140">
        <f t="shared" si="1"/>
        <v>1</v>
      </c>
      <c r="L2" s="140">
        <f t="shared" si="1"/>
        <v>1</v>
      </c>
      <c r="M2" s="140">
        <f t="shared" si="1"/>
        <v>21</v>
      </c>
      <c r="N2" s="140">
        <f t="shared" si="1"/>
        <v>4</v>
      </c>
      <c r="O2" s="140">
        <f t="shared" si="1"/>
        <v>2</v>
      </c>
      <c r="P2" s="140">
        <f t="shared" si="1"/>
        <v>3</v>
      </c>
      <c r="Q2" s="140">
        <f t="shared" si="1"/>
        <v>3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2472.333333</v>
      </c>
      <c r="F4" s="51">
        <f>IFERROR((G2+R2)/F2,0)</f>
        <v>0.5714285714</v>
      </c>
      <c r="G4" s="51">
        <f>IFERROR(H2/G2,0)</f>
        <v>0.75</v>
      </c>
      <c r="H4" s="50">
        <f>(C2/C4)</f>
        <v>255.7586207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5.25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7417</v>
      </c>
      <c r="D5" s="147"/>
      <c r="E5" s="148">
        <f>SUMIFS(T:T,A:A,B5,D:D,"Y")</f>
        <v>0</v>
      </c>
      <c r="F5" s="138">
        <f>SUMIF(A:A,B5,G:G)</f>
        <v>7</v>
      </c>
      <c r="G5" s="140">
        <f>SUMIF(A:A,B5,H:H)</f>
        <v>4</v>
      </c>
      <c r="H5" s="140">
        <f>SUMIF(A:A,B5,I:I)</f>
        <v>3</v>
      </c>
      <c r="I5" s="140">
        <f>SUMIF(A:A,B5,P:P)</f>
        <v>0</v>
      </c>
      <c r="J5" s="140">
        <f>SUMIF(A:A,B5,Q:Q)</f>
        <v>0</v>
      </c>
      <c r="K5" s="140">
        <f>SUMIF(A:A,B5,R:R)</f>
        <v>1</v>
      </c>
      <c r="L5" s="140">
        <f>SUMIF(A:A,B5,S:S)</f>
        <v>1</v>
      </c>
      <c r="M5" s="140">
        <f>SUMIF(A:A,B5,M:M)</f>
        <v>21</v>
      </c>
      <c r="N5" s="140">
        <f>SUMIF(A:A,B5,N:N)</f>
        <v>4</v>
      </c>
      <c r="O5" s="140">
        <f>SUMIF(A:A,B5,O:O)</f>
        <v>2</v>
      </c>
      <c r="P5" s="140">
        <f>SUMIF(A:A,B5,J:J)</f>
        <v>3</v>
      </c>
      <c r="Q5" s="140">
        <f>SUMIF(A:A,B5,K:K)</f>
        <v>3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2472.333333</v>
      </c>
      <c r="F7" s="51">
        <f>IFERROR((G5+R5)/F5,0)</f>
        <v>0.5714285714</v>
      </c>
      <c r="G7" s="51">
        <f>IFERROR(H5/G5,0)</f>
        <v>0.75</v>
      </c>
      <c r="H7" s="50">
        <f>(C5/C7)</f>
        <v>255.7586207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5.25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7417</v>
      </c>
      <c r="D8" s="36"/>
      <c r="E8" s="37">
        <f>SUMIFS(T:T,B:B,B8,D:D,"Y")</f>
        <v>0</v>
      </c>
      <c r="F8" s="38">
        <f>SUMIF(B16:B1129,B8,G16:G1129)</f>
        <v>7</v>
      </c>
      <c r="G8" s="39">
        <f>SUMIF(B16:B1129,B8,H16:H1129)</f>
        <v>4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21</v>
      </c>
      <c r="N8" s="39">
        <f>SUMIF(B16:B1129,B8,N16:N1129)</f>
        <v>4</v>
      </c>
      <c r="O8" s="38">
        <f>SUMIF(B16:B1129,B8,O16:O1129)</f>
        <v>2</v>
      </c>
      <c r="P8" s="39">
        <f>SUMIF(B16:B1129,B8,J16:J1129)</f>
        <v>3</v>
      </c>
      <c r="Q8" s="39">
        <f>SUMIF(B16:B1129,B8,K16:K1129)</f>
        <v>3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2472.333333</v>
      </c>
      <c r="F10" s="51">
        <f>IFERROR((G8+R8)/F8,0)</f>
        <v>0.5714285714</v>
      </c>
      <c r="G10" s="51">
        <f>IFERROR(H8/G8,0)</f>
        <v>0.75</v>
      </c>
      <c r="H10" s="50">
        <f>(C8/C10)</f>
        <v>285.2692308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5.25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8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1.0</v>
      </c>
      <c r="H27" s="171">
        <v>1.0</v>
      </c>
      <c r="I27" s="171">
        <v>1.0</v>
      </c>
      <c r="J27" s="171">
        <v>1.0</v>
      </c>
      <c r="K27" s="171">
        <v>1.0</v>
      </c>
      <c r="L27" s="171">
        <v>0.0</v>
      </c>
      <c r="M27" s="171">
        <v>5.0</v>
      </c>
      <c r="N27" s="171">
        <v>1.0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2777.0</v>
      </c>
      <c r="U27" s="153">
        <f t="shared" si="2"/>
        <v>1</v>
      </c>
      <c r="V27" s="153">
        <f t="shared" si="3"/>
        <v>1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83">
        <v>0.0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2.0</v>
      </c>
      <c r="H30" s="171">
        <v>1.0</v>
      </c>
      <c r="I30" s="171">
        <v>1.0</v>
      </c>
      <c r="J30" s="171">
        <v>1.0</v>
      </c>
      <c r="K30" s="171">
        <v>1.0</v>
      </c>
      <c r="L30" s="171">
        <v>0.0</v>
      </c>
      <c r="M30" s="171">
        <v>10.0</v>
      </c>
      <c r="N30" s="171">
        <v>2.0</v>
      </c>
      <c r="O30" s="171">
        <v>1.0</v>
      </c>
      <c r="P30" s="171">
        <v>0.0</v>
      </c>
      <c r="Q30" s="171">
        <v>0.0</v>
      </c>
      <c r="R30" s="171">
        <v>0.0</v>
      </c>
      <c r="S30" s="171">
        <v>0.0</v>
      </c>
      <c r="T30" s="171">
        <v>2300.0</v>
      </c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2.0</v>
      </c>
      <c r="H31" s="171">
        <v>1.0</v>
      </c>
      <c r="I31" s="171">
        <v>0.0</v>
      </c>
      <c r="J31" s="171">
        <v>0.0</v>
      </c>
      <c r="K31" s="171">
        <v>0.0</v>
      </c>
      <c r="L31" s="171">
        <v>0.0</v>
      </c>
      <c r="M31" s="171">
        <v>6.0</v>
      </c>
      <c r="N31" s="171">
        <v>1.0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0.0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1.0</v>
      </c>
      <c r="H37" s="171">
        <v>1.0</v>
      </c>
      <c r="I37" s="171">
        <v>1.0</v>
      </c>
      <c r="J37" s="171">
        <v>1.0</v>
      </c>
      <c r="K37" s="171">
        <v>1.0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1.0</v>
      </c>
      <c r="S37" s="171">
        <v>1.0</v>
      </c>
      <c r="T37" s="171">
        <v>2340.0</v>
      </c>
      <c r="U37" s="153">
        <f t="shared" si="5"/>
        <v>1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1589</v>
      </c>
      <c r="D2" s="139"/>
      <c r="E2" s="138">
        <f t="shared" ref="E2:R2" si="1">SUM(E5)</f>
        <v>1589</v>
      </c>
      <c r="F2" s="138">
        <f t="shared" si="1"/>
        <v>18</v>
      </c>
      <c r="G2" s="140">
        <f t="shared" si="1"/>
        <v>8</v>
      </c>
      <c r="H2" s="140">
        <f t="shared" si="1"/>
        <v>1</v>
      </c>
      <c r="I2" s="140">
        <f t="shared" si="1"/>
        <v>2</v>
      </c>
      <c r="J2" s="140">
        <f t="shared" si="1"/>
        <v>1</v>
      </c>
      <c r="K2" s="140">
        <f t="shared" si="1"/>
        <v>4</v>
      </c>
      <c r="L2" s="140">
        <f t="shared" si="1"/>
        <v>0</v>
      </c>
      <c r="M2" s="140">
        <f t="shared" si="1"/>
        <v>29</v>
      </c>
      <c r="N2" s="140">
        <f t="shared" si="1"/>
        <v>3</v>
      </c>
      <c r="O2" s="140">
        <f t="shared" si="1"/>
        <v>0</v>
      </c>
      <c r="P2" s="140">
        <f t="shared" si="1"/>
        <v>6</v>
      </c>
      <c r="Q2" s="140">
        <f t="shared" si="1"/>
        <v>1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1589</v>
      </c>
      <c r="F4" s="51">
        <f>IFERROR((G2+R2)/F2,0)</f>
        <v>0.4444444444</v>
      </c>
      <c r="G4" s="51">
        <f>IFERROR(H2/G2,0)</f>
        <v>0.125</v>
      </c>
      <c r="H4" s="50">
        <f>(C2/C4)</f>
        <v>54.79310345</v>
      </c>
      <c r="I4" s="46"/>
      <c r="J4" s="51">
        <f>IFERROR(J2/I2,0)</f>
        <v>0.5</v>
      </c>
      <c r="K4" s="46"/>
      <c r="L4" s="51">
        <f>IFERROR(L2/K2,0)</f>
        <v>0</v>
      </c>
      <c r="M4" s="52">
        <f>IFERROR(M2/G2,0)</f>
        <v>3.625</v>
      </c>
      <c r="N4" s="46"/>
      <c r="O4" s="51">
        <f>IFERROR(O2/N2,0)</f>
        <v>0</v>
      </c>
      <c r="P4" s="53"/>
      <c r="Q4" s="51">
        <f>IFERROR(Q2/P2,0)</f>
        <v>0.1666666667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1589</v>
      </c>
      <c r="D5" s="147"/>
      <c r="E5" s="148">
        <f>SUMIFS(T:T,A:A,B5,D:D,"Y")</f>
        <v>1589</v>
      </c>
      <c r="F5" s="138">
        <f>SUMIF(A:A,B5,G:G)</f>
        <v>18</v>
      </c>
      <c r="G5" s="140">
        <f>SUMIF(A:A,B5,H:H)</f>
        <v>8</v>
      </c>
      <c r="H5" s="140">
        <f>SUMIF(A:A,B5,I:I)</f>
        <v>1</v>
      </c>
      <c r="I5" s="140">
        <f>SUMIF(A:A,B5,P:P)</f>
        <v>2</v>
      </c>
      <c r="J5" s="140">
        <f>SUMIF(A:A,B5,Q:Q)</f>
        <v>1</v>
      </c>
      <c r="K5" s="140">
        <f>SUMIF(A:A,B5,R:R)</f>
        <v>4</v>
      </c>
      <c r="L5" s="140">
        <f>SUMIF(A:A,B5,S:S)</f>
        <v>0</v>
      </c>
      <c r="M5" s="140">
        <f>SUMIF(A:A,B5,M:M)</f>
        <v>29</v>
      </c>
      <c r="N5" s="140">
        <f>SUMIF(A:A,B5,N:N)</f>
        <v>3</v>
      </c>
      <c r="O5" s="140">
        <f>SUMIF(A:A,B5,O:O)</f>
        <v>0</v>
      </c>
      <c r="P5" s="140">
        <f>SUMIF(A:A,B5,J:J)</f>
        <v>6</v>
      </c>
      <c r="Q5" s="140">
        <f>SUMIF(A:A,B5,K:K)</f>
        <v>1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1589</v>
      </c>
      <c r="F7" s="51">
        <f>IFERROR((G5+R5)/F5,0)</f>
        <v>0.4444444444</v>
      </c>
      <c r="G7" s="51">
        <f>IFERROR(H5/G5,0)</f>
        <v>0.125</v>
      </c>
      <c r="H7" s="50">
        <f>(C5/C7)</f>
        <v>54.79310345</v>
      </c>
      <c r="I7" s="46"/>
      <c r="J7" s="51">
        <f>IFERROR(J5/I5,0)</f>
        <v>0.5</v>
      </c>
      <c r="K7" s="46"/>
      <c r="L7" s="51">
        <f>IFERROR(L5/K5,0)</f>
        <v>0</v>
      </c>
      <c r="M7" s="53">
        <f>IFERROR(M5/SUM(R5+G5,0),"")</f>
        <v>3.625</v>
      </c>
      <c r="N7" s="46"/>
      <c r="O7" s="51">
        <f>IFERROR(O5/N5,0)</f>
        <v>0</v>
      </c>
      <c r="P7" s="53"/>
      <c r="Q7" s="51">
        <f>IFERROR(Q5/P5,0)</f>
        <v>0.1666666667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1589</v>
      </c>
      <c r="D8" s="36"/>
      <c r="E8" s="37">
        <f>SUMIFS(T:T,B:B,B8,D:D,"Y")</f>
        <v>1589</v>
      </c>
      <c r="F8" s="38">
        <f>SUMIF(B16:B1129,B8,G16:G1129)</f>
        <v>18</v>
      </c>
      <c r="G8" s="39">
        <f>SUMIF(B16:B1129,B8,H16:H1129)</f>
        <v>8</v>
      </c>
      <c r="H8" s="38">
        <f>SUMIF(B16:B1129,B8,I16:I1129)</f>
        <v>1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4</v>
      </c>
      <c r="L8" s="39">
        <f>SUMIF(B16:B1129,B8,S16:S1129)</f>
        <v>0</v>
      </c>
      <c r="M8" s="39">
        <f>SUMIF(B16:B1129,B8,M16:M1129)</f>
        <v>29</v>
      </c>
      <c r="N8" s="39">
        <f>SUMIF(B16:B1129,B8,N16:N1129)</f>
        <v>3</v>
      </c>
      <c r="O8" s="38">
        <f>SUMIF(B16:B1129,B8,O16:O1129)</f>
        <v>0</v>
      </c>
      <c r="P8" s="39">
        <f>SUMIF(B16:B1129,B8,J16:J1129)</f>
        <v>6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1589</v>
      </c>
      <c r="F10" s="51">
        <f>IFERROR((G8+R8)/F8,0)</f>
        <v>0.4444444444</v>
      </c>
      <c r="G10" s="51">
        <f>IFERROR(H8/G8,0)</f>
        <v>0.125</v>
      </c>
      <c r="H10" s="50">
        <f>(C8/C10)</f>
        <v>61.11538462</v>
      </c>
      <c r="I10" s="46"/>
      <c r="J10" s="51">
        <f>IFERROR(J8/I8,0)</f>
        <v>0.5</v>
      </c>
      <c r="K10" s="46"/>
      <c r="L10" s="51">
        <f>IFERROR(L8/K8,0)</f>
        <v>0</v>
      </c>
      <c r="M10" s="53">
        <f>IFERROR(M8/SUM(G8+R8,0),"")</f>
        <v>3.625</v>
      </c>
      <c r="N10" s="46"/>
      <c r="O10" s="51">
        <f>IFERROR(O8/N8,0)</f>
        <v>0</v>
      </c>
      <c r="P10" s="53"/>
      <c r="Q10" s="51">
        <f>IFERROR(Q8/P8,0)</f>
        <v>0.1666666667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6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1.0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6.0</v>
      </c>
      <c r="H27" s="171">
        <v>0.0</v>
      </c>
      <c r="I27" s="171">
        <v>0.0</v>
      </c>
      <c r="J27" s="171">
        <v>0.0</v>
      </c>
      <c r="K27" s="171">
        <v>0.0</v>
      </c>
      <c r="L27" s="171">
        <v>0.0</v>
      </c>
      <c r="M27" s="171">
        <v>0.0</v>
      </c>
      <c r="N27" s="171">
        <v>0.0</v>
      </c>
      <c r="O27" s="171">
        <v>0.0</v>
      </c>
      <c r="P27" s="171">
        <v>0.0</v>
      </c>
      <c r="Q27" s="171">
        <v>0.0</v>
      </c>
      <c r="R27" s="171">
        <v>0.0</v>
      </c>
      <c r="S27" s="171">
        <v>0.0</v>
      </c>
      <c r="T27" s="171">
        <v>0.0</v>
      </c>
      <c r="U27" s="183">
        <v>0.0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1.0</v>
      </c>
      <c r="I28" s="171">
        <v>0.0</v>
      </c>
      <c r="J28" s="171">
        <v>1.0</v>
      </c>
      <c r="K28" s="171">
        <v>1.0</v>
      </c>
      <c r="L28" s="171">
        <v>0.0</v>
      </c>
      <c r="M28" s="171">
        <v>5.0</v>
      </c>
      <c r="N28" s="171">
        <v>0.0</v>
      </c>
      <c r="O28" s="171">
        <v>0.0</v>
      </c>
      <c r="P28" s="171">
        <v>0.0</v>
      </c>
      <c r="Q28" s="171">
        <v>0.0</v>
      </c>
      <c r="R28" s="171">
        <v>1.0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2.0</v>
      </c>
      <c r="H29" s="171">
        <v>2.0</v>
      </c>
      <c r="I29" s="171">
        <v>0.0</v>
      </c>
      <c r="J29" s="171">
        <v>1.0</v>
      </c>
      <c r="K29" s="171">
        <v>0.0</v>
      </c>
      <c r="L29" s="171">
        <v>0.0</v>
      </c>
      <c r="M29" s="171">
        <v>4.0</v>
      </c>
      <c r="N29" s="171">
        <v>1.0</v>
      </c>
      <c r="O29" s="171">
        <v>0.0</v>
      </c>
      <c r="P29" s="171">
        <v>0.0</v>
      </c>
      <c r="Q29" s="171">
        <v>0.0</v>
      </c>
      <c r="R29" s="171">
        <v>1.0</v>
      </c>
      <c r="S29" s="171">
        <v>0.0</v>
      </c>
      <c r="T29" s="171">
        <v>0.0</v>
      </c>
      <c r="U29" s="153">
        <v>0.0</v>
      </c>
      <c r="V29" s="153">
        <f>IFERROR(SUM(H29+L29)/G29,0)</f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2.0</v>
      </c>
      <c r="H30" s="171">
        <v>2.0</v>
      </c>
      <c r="I30" s="171">
        <v>0.0</v>
      </c>
      <c r="J30" s="171">
        <v>2.0</v>
      </c>
      <c r="K30" s="171">
        <v>0.0</v>
      </c>
      <c r="L30" s="171">
        <v>0.0</v>
      </c>
      <c r="M30" s="171">
        <v>8.0</v>
      </c>
      <c r="N30" s="171">
        <v>1.0</v>
      </c>
      <c r="O30" s="171">
        <v>0.0</v>
      </c>
      <c r="P30" s="171">
        <v>0.0</v>
      </c>
      <c r="Q30" s="171">
        <v>0.0</v>
      </c>
      <c r="R30" s="171">
        <v>1.0</v>
      </c>
      <c r="S30" s="171">
        <v>0.0</v>
      </c>
      <c r="T30" s="171">
        <v>0.0</v>
      </c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1.0</v>
      </c>
      <c r="H31" s="171">
        <v>1.0</v>
      </c>
      <c r="I31" s="171">
        <v>0.0</v>
      </c>
      <c r="J31" s="171">
        <v>1.0</v>
      </c>
      <c r="K31" s="171">
        <v>0.0</v>
      </c>
      <c r="L31" s="171">
        <v>0.0</v>
      </c>
      <c r="M31" s="171">
        <v>10.0</v>
      </c>
      <c r="N31" s="171">
        <v>1.0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2.0</v>
      </c>
      <c r="H35" s="171">
        <v>1.0</v>
      </c>
      <c r="I35" s="171">
        <v>1.0</v>
      </c>
      <c r="J35" s="171">
        <v>1.0</v>
      </c>
      <c r="K35" s="171">
        <v>0.0</v>
      </c>
      <c r="L35" s="171">
        <v>0.0</v>
      </c>
      <c r="M35" s="171">
        <v>2.0</v>
      </c>
      <c r="N35" s="171">
        <v>0.0</v>
      </c>
      <c r="O35" s="171">
        <v>0.0</v>
      </c>
      <c r="P35" s="171">
        <v>2.0</v>
      </c>
      <c r="Q35" s="171">
        <v>1.0</v>
      </c>
      <c r="R35" s="171">
        <v>0.0</v>
      </c>
      <c r="S35" s="171">
        <v>0.0</v>
      </c>
      <c r="T35" s="171">
        <v>1589.0</v>
      </c>
      <c r="U35" s="153">
        <f t="shared" ref="U35:U45" si="5">IFERROR(I35/H35,0)</f>
        <v>1</v>
      </c>
      <c r="V35" s="153">
        <f t="shared" si="4"/>
        <v>0.5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2.0</v>
      </c>
      <c r="H36" s="171">
        <v>1.0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1.0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0.5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9469</v>
      </c>
      <c r="D2" s="139"/>
      <c r="E2" s="138">
        <f t="shared" ref="E2:R2" si="1">SUM(E5)</f>
        <v>1000</v>
      </c>
      <c r="F2" s="138">
        <f t="shared" si="1"/>
        <v>25</v>
      </c>
      <c r="G2" s="140">
        <f t="shared" si="1"/>
        <v>10</v>
      </c>
      <c r="H2" s="140">
        <f t="shared" si="1"/>
        <v>6</v>
      </c>
      <c r="I2" s="140">
        <f t="shared" si="1"/>
        <v>1</v>
      </c>
      <c r="J2" s="140">
        <f t="shared" si="1"/>
        <v>0</v>
      </c>
      <c r="K2" s="140">
        <f t="shared" si="1"/>
        <v>1</v>
      </c>
      <c r="L2" s="140">
        <f t="shared" si="1"/>
        <v>0</v>
      </c>
      <c r="M2" s="140">
        <f t="shared" si="1"/>
        <v>10</v>
      </c>
      <c r="N2" s="140">
        <f t="shared" si="1"/>
        <v>7</v>
      </c>
      <c r="O2" s="140">
        <f t="shared" si="1"/>
        <v>6</v>
      </c>
      <c r="P2" s="140">
        <f t="shared" si="1"/>
        <v>9</v>
      </c>
      <c r="Q2" s="140">
        <f t="shared" si="1"/>
        <v>6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1578.166667</v>
      </c>
      <c r="F4" s="51">
        <f>IFERROR((G2+R2)/F2,0)</f>
        <v>0.4</v>
      </c>
      <c r="G4" s="51">
        <f>IFERROR(H2/G2,0)</f>
        <v>0.6</v>
      </c>
      <c r="H4" s="50">
        <f>(C2/C4)</f>
        <v>326.5172414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1</v>
      </c>
      <c r="N4" s="46"/>
      <c r="O4" s="51">
        <f>IFERROR(O2/N2,0)</f>
        <v>0.8571428571</v>
      </c>
      <c r="P4" s="53"/>
      <c r="Q4" s="51">
        <f>IFERROR(Q2/P2,0)</f>
        <v>0.6666666667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9469</v>
      </c>
      <c r="D5" s="147"/>
      <c r="E5" s="148">
        <f>SUMIFS(T:T,A:A,B5,D:D,"Y")</f>
        <v>1000</v>
      </c>
      <c r="F5" s="138">
        <f>SUMIF(A:A,B5,G:G)</f>
        <v>25</v>
      </c>
      <c r="G5" s="140">
        <f>SUMIF(A:A,B5,H:H)</f>
        <v>10</v>
      </c>
      <c r="H5" s="140">
        <f>SUMIF(A:A,B5,I:I)</f>
        <v>6</v>
      </c>
      <c r="I5" s="140">
        <f>SUMIF(A:A,B5,P:P)</f>
        <v>1</v>
      </c>
      <c r="J5" s="140">
        <f>SUMIF(A:A,B5,Q:Q)</f>
        <v>0</v>
      </c>
      <c r="K5" s="140">
        <f>SUMIF(A:A,B5,R:R)</f>
        <v>1</v>
      </c>
      <c r="L5" s="140">
        <f>SUMIF(A:A,B5,S:S)</f>
        <v>0</v>
      </c>
      <c r="M5" s="140">
        <f>SUMIF(A:A,B5,M:M)</f>
        <v>10</v>
      </c>
      <c r="N5" s="140">
        <f>SUMIF(A:A,B5,N:N)</f>
        <v>7</v>
      </c>
      <c r="O5" s="140">
        <f>SUMIF(A:A,B5,O:O)</f>
        <v>6</v>
      </c>
      <c r="P5" s="140">
        <f>SUMIF(A:A,B5,J:J)</f>
        <v>9</v>
      </c>
      <c r="Q5" s="140">
        <f>SUMIF(A:A,B5,K:K)</f>
        <v>6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1578.166667</v>
      </c>
      <c r="F7" s="51">
        <f>IFERROR((G5+R5)/F5,0)</f>
        <v>0.4</v>
      </c>
      <c r="G7" s="51">
        <f>IFERROR(H5/G5,0)</f>
        <v>0.6</v>
      </c>
      <c r="H7" s="50">
        <f>(C5/C7)</f>
        <v>326.5172414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1</v>
      </c>
      <c r="N7" s="46"/>
      <c r="O7" s="51">
        <f>IFERROR(O5/N5,0)</f>
        <v>0.8571428571</v>
      </c>
      <c r="P7" s="53"/>
      <c r="Q7" s="51">
        <f>IFERROR(Q5/P5,0)</f>
        <v>0.6666666667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9469</v>
      </c>
      <c r="D8" s="36"/>
      <c r="E8" s="37">
        <f>SUMIFS(T:T,B:B,B8,D:D,"Y")</f>
        <v>1000</v>
      </c>
      <c r="F8" s="38">
        <f>SUMIF(B16:B1129,B8,G16:G1129)</f>
        <v>25</v>
      </c>
      <c r="G8" s="39">
        <f>SUMIF(B16:B1129,B8,H16:H1129)</f>
        <v>10</v>
      </c>
      <c r="H8" s="38">
        <f>SUMIF(B16:B1129,B8,I16:I1129)</f>
        <v>6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10</v>
      </c>
      <c r="N8" s="39">
        <f>SUMIF(B16:B1129,B8,N16:N1129)</f>
        <v>7</v>
      </c>
      <c r="O8" s="38">
        <f>SUMIF(B16:B1129,B8,O16:O1129)</f>
        <v>6</v>
      </c>
      <c r="P8" s="39">
        <f>SUMIF(B16:B1129,B8,J16:J1129)</f>
        <v>9</v>
      </c>
      <c r="Q8" s="39">
        <f>SUMIF(B16:B1129,B8,K16:K1129)</f>
        <v>6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1578.166667</v>
      </c>
      <c r="F10" s="51">
        <f>IFERROR((G8+R8)/F8,0)</f>
        <v>0.4</v>
      </c>
      <c r="G10" s="51">
        <f>IFERROR(H8/G8,0)</f>
        <v>0.6</v>
      </c>
      <c r="H10" s="50">
        <f>(C8/C10)</f>
        <v>364.1923077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1</v>
      </c>
      <c r="N10" s="46"/>
      <c r="O10" s="51">
        <f>IFERROR(O8/N8,0)</f>
        <v>0.8571428571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2.0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1.0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2.0</v>
      </c>
      <c r="H25" s="171">
        <v>2.0</v>
      </c>
      <c r="I25" s="171">
        <v>1.0</v>
      </c>
      <c r="J25" s="171">
        <v>2.0</v>
      </c>
      <c r="K25" s="171">
        <v>1.0</v>
      </c>
      <c r="L25" s="171">
        <v>0.0</v>
      </c>
      <c r="M25" s="171">
        <v>0.0</v>
      </c>
      <c r="N25" s="171">
        <v>1.0</v>
      </c>
      <c r="O25" s="171">
        <v>1.0</v>
      </c>
      <c r="P25" s="171">
        <v>0.0</v>
      </c>
      <c r="Q25" s="171">
        <v>0.0</v>
      </c>
      <c r="R25" s="171">
        <v>0.0</v>
      </c>
      <c r="S25" s="171">
        <v>0.0</v>
      </c>
      <c r="T25" s="171">
        <v>909.0</v>
      </c>
      <c r="U25" s="153">
        <f t="shared" si="2"/>
        <v>0.5</v>
      </c>
      <c r="V25" s="153">
        <f t="shared" si="3"/>
        <v>1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7.0</v>
      </c>
      <c r="H27" s="171">
        <v>2.0</v>
      </c>
      <c r="I27" s="171">
        <v>2.0</v>
      </c>
      <c r="J27" s="171">
        <v>2.0</v>
      </c>
      <c r="K27" s="171">
        <v>2.0</v>
      </c>
      <c r="L27" s="171">
        <v>0.0</v>
      </c>
      <c r="M27" s="171">
        <v>3.0</v>
      </c>
      <c r="N27" s="171">
        <v>2.0</v>
      </c>
      <c r="O27" s="171">
        <v>2.0</v>
      </c>
      <c r="P27" s="171">
        <v>0.0</v>
      </c>
      <c r="Q27" s="171">
        <v>0.0</v>
      </c>
      <c r="R27" s="171">
        <v>0.0</v>
      </c>
      <c r="S27" s="171">
        <v>0.0</v>
      </c>
      <c r="T27" s="171">
        <v>4012.0</v>
      </c>
      <c r="U27" s="153">
        <f t="shared" si="2"/>
        <v>1</v>
      </c>
      <c r="V27" s="153">
        <f t="shared" si="3"/>
        <v>0.2857142857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1.0</v>
      </c>
      <c r="I28" s="171">
        <v>1.0</v>
      </c>
      <c r="J28" s="171">
        <v>1.0</v>
      </c>
      <c r="K28" s="171">
        <v>1.0</v>
      </c>
      <c r="L28" s="171">
        <v>0.0</v>
      </c>
      <c r="M28" s="171">
        <v>4.0</v>
      </c>
      <c r="N28" s="171">
        <v>1.0</v>
      </c>
      <c r="O28" s="171">
        <v>1.0</v>
      </c>
      <c r="P28" s="171">
        <v>0.0</v>
      </c>
      <c r="Q28" s="171">
        <v>0.0</v>
      </c>
      <c r="R28" s="171">
        <v>0.0</v>
      </c>
      <c r="S28" s="171">
        <v>0.0</v>
      </c>
      <c r="T28" s="171">
        <v>1000.0</v>
      </c>
      <c r="U28" s="153">
        <v>0.0</v>
      </c>
      <c r="V28" s="153">
        <f t="shared" si="3"/>
        <v>1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2.0</v>
      </c>
      <c r="H29" s="171">
        <v>1.0</v>
      </c>
      <c r="I29" s="171">
        <v>1.0</v>
      </c>
      <c r="J29" s="171">
        <v>1.0</v>
      </c>
      <c r="K29" s="171">
        <v>1.0</v>
      </c>
      <c r="L29" s="171">
        <v>0.0</v>
      </c>
      <c r="M29" s="171">
        <v>0.0</v>
      </c>
      <c r="N29" s="171">
        <v>1.0</v>
      </c>
      <c r="O29" s="171">
        <v>1.0</v>
      </c>
      <c r="P29" s="171">
        <v>0.0</v>
      </c>
      <c r="Q29" s="171">
        <v>0.0</v>
      </c>
      <c r="R29" s="171">
        <v>0.0</v>
      </c>
      <c r="S29" s="171">
        <v>0.0</v>
      </c>
      <c r="T29" s="171">
        <v>1400.0</v>
      </c>
      <c r="U29" s="153">
        <v>0.0</v>
      </c>
      <c r="V29" s="153">
        <f t="shared" si="3"/>
        <v>0.5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1.0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1.0</v>
      </c>
      <c r="H32" s="171">
        <v>1.0</v>
      </c>
      <c r="I32" s="171">
        <v>1.0</v>
      </c>
      <c r="J32" s="171">
        <v>1.0</v>
      </c>
      <c r="K32" s="171">
        <v>1.0</v>
      </c>
      <c r="L32" s="171">
        <v>0.0</v>
      </c>
      <c r="M32" s="171">
        <v>3.0</v>
      </c>
      <c r="N32" s="171">
        <v>1.0</v>
      </c>
      <c r="O32" s="171">
        <v>1.0</v>
      </c>
      <c r="P32" s="171">
        <v>0.0</v>
      </c>
      <c r="Q32" s="171">
        <v>0.0</v>
      </c>
      <c r="R32" s="171">
        <v>0.0</v>
      </c>
      <c r="S32" s="171">
        <v>0.0</v>
      </c>
      <c r="T32" s="171">
        <v>2148.0</v>
      </c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3.0</v>
      </c>
      <c r="H33" s="171">
        <v>2.0</v>
      </c>
      <c r="I33" s="171">
        <v>0.0</v>
      </c>
      <c r="J33" s="171">
        <v>2.0</v>
      </c>
      <c r="K33" s="171">
        <v>0.0</v>
      </c>
      <c r="L33" s="171">
        <v>0.0</v>
      </c>
      <c r="M33" s="171">
        <v>0.0</v>
      </c>
      <c r="N33" s="171">
        <v>1.0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53">
        <f>IFERROR(I33/H33,0)</f>
        <v>0</v>
      </c>
      <c r="V33" s="153">
        <f t="shared" ref="V33:V45" si="4">IFERROR(SUM(H33+L33)/G33,0)</f>
        <v>0.6666666667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4.0</v>
      </c>
      <c r="H35" s="171">
        <v>1.0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1.0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0.25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0</v>
      </c>
      <c r="D2" s="139"/>
      <c r="E2" s="138">
        <f t="shared" ref="E2:R2" si="1">SUM(E5)</f>
        <v>0</v>
      </c>
      <c r="F2" s="138">
        <f t="shared" si="1"/>
        <v>0</v>
      </c>
      <c r="G2" s="140">
        <f t="shared" si="1"/>
        <v>0</v>
      </c>
      <c r="H2" s="140">
        <f t="shared" si="1"/>
        <v>0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0</v>
      </c>
      <c r="N2" s="140">
        <f t="shared" si="1"/>
        <v>0</v>
      </c>
      <c r="O2" s="140">
        <f t="shared" si="1"/>
        <v>0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0</v>
      </c>
      <c r="D5" s="147"/>
      <c r="E5" s="148">
        <f>SUMIFS(T:T,A:A,B5,D:D,"Y")</f>
        <v>0</v>
      </c>
      <c r="F5" s="138">
        <f>SUMIF(A:A,B5,G:G)</f>
        <v>0</v>
      </c>
      <c r="G5" s="140">
        <f>SUMIF(A:A,B5,H:H)</f>
        <v>0</v>
      </c>
      <c r="H5" s="140">
        <f>SUMIF(A:A,B5,I:I)</f>
        <v>0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0</v>
      </c>
      <c r="N5" s="140">
        <f>SUMIF(A:A,B5,N:N)</f>
        <v>0</v>
      </c>
      <c r="O5" s="140">
        <f>SUMIF(A:A,B5,O:O)</f>
        <v>0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0</v>
      </c>
      <c r="D2" s="139"/>
      <c r="E2" s="138">
        <f t="shared" ref="E2:R2" si="1">SUM(E5)</f>
        <v>0</v>
      </c>
      <c r="F2" s="138">
        <f t="shared" si="1"/>
        <v>0</v>
      </c>
      <c r="G2" s="140">
        <f t="shared" si="1"/>
        <v>0</v>
      </c>
      <c r="H2" s="140">
        <f t="shared" si="1"/>
        <v>0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0</v>
      </c>
      <c r="N2" s="140">
        <f t="shared" si="1"/>
        <v>0</v>
      </c>
      <c r="O2" s="140">
        <f t="shared" si="1"/>
        <v>0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0</v>
      </c>
      <c r="D5" s="147"/>
      <c r="E5" s="148">
        <f>SUMIFS(T:T,A:A,B5,D:D,"Y")</f>
        <v>0</v>
      </c>
      <c r="F5" s="138">
        <f>SUMIF(A:A,B5,G:G)</f>
        <v>0</v>
      </c>
      <c r="G5" s="140">
        <f>SUMIF(A:A,B5,H:H)</f>
        <v>0</v>
      </c>
      <c r="H5" s="140">
        <f>SUMIF(A:A,B5,I:I)</f>
        <v>0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0</v>
      </c>
      <c r="N5" s="140">
        <f>SUMIF(A:A,B5,N:N)</f>
        <v>0</v>
      </c>
      <c r="O5" s="140">
        <f>SUMIF(A:A,B5,O:O)</f>
        <v>0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3">
        <v>0.0</v>
      </c>
      <c r="V30" s="15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3">
        <v>0.0</v>
      </c>
      <c r="V31" s="15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3">
        <v>0.0</v>
      </c>
      <c r="V32" s="15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99" t="s">
        <v>85</v>
      </c>
      <c r="B1" s="199" t="s">
        <v>86</v>
      </c>
      <c r="C1" s="199" t="s">
        <v>29</v>
      </c>
      <c r="D1" s="199" t="s">
        <v>87</v>
      </c>
      <c r="E1" s="199" t="s">
        <v>0</v>
      </c>
      <c r="F1" s="199" t="s">
        <v>88</v>
      </c>
      <c r="G1" s="199" t="s">
        <v>89</v>
      </c>
      <c r="H1" s="199" t="s">
        <v>90</v>
      </c>
      <c r="I1" s="199" t="s">
        <v>91</v>
      </c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</row>
    <row r="2">
      <c r="A2" s="201" t="s">
        <v>92</v>
      </c>
      <c r="B2" s="201" t="s">
        <v>93</v>
      </c>
      <c r="C2" s="201" t="s">
        <v>94</v>
      </c>
      <c r="D2" s="202">
        <v>46086.0</v>
      </c>
      <c r="E2" s="201">
        <v>2547.6</v>
      </c>
      <c r="F2" s="201" t="s">
        <v>95</v>
      </c>
      <c r="G2" s="201" t="s">
        <v>96</v>
      </c>
      <c r="H2" s="201" t="s">
        <v>97</v>
      </c>
      <c r="I2" s="201" t="s">
        <v>98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>
      <c r="A3" s="201" t="s">
        <v>99</v>
      </c>
      <c r="B3" s="201" t="s">
        <v>100</v>
      </c>
      <c r="C3" s="201" t="s">
        <v>94</v>
      </c>
      <c r="D3" s="202">
        <v>46090.0</v>
      </c>
      <c r="E3" s="201">
        <v>1116.84</v>
      </c>
      <c r="F3" s="201" t="s">
        <v>95</v>
      </c>
      <c r="G3" s="201" t="s">
        <v>96</v>
      </c>
      <c r="H3" s="201" t="s">
        <v>97</v>
      </c>
      <c r="I3" s="201" t="s">
        <v>98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>
      <c r="A4" s="201" t="s">
        <v>101</v>
      </c>
      <c r="B4" s="201" t="s">
        <v>102</v>
      </c>
      <c r="C4" s="201" t="s">
        <v>94</v>
      </c>
      <c r="D4" s="204">
        <v>46091.0</v>
      </c>
      <c r="E4" s="201">
        <v>684.0</v>
      </c>
      <c r="F4" s="201" t="s">
        <v>95</v>
      </c>
      <c r="G4" s="201" t="s">
        <v>96</v>
      </c>
      <c r="H4" s="201" t="s">
        <v>97</v>
      </c>
      <c r="I4" s="201" t="s">
        <v>61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</row>
    <row r="5">
      <c r="A5" s="201" t="s">
        <v>103</v>
      </c>
      <c r="B5" s="201" t="s">
        <v>104</v>
      </c>
      <c r="C5" s="201" t="s">
        <v>94</v>
      </c>
      <c r="D5" s="204">
        <v>46091.0</v>
      </c>
      <c r="E5" s="201">
        <v>2246.4</v>
      </c>
      <c r="F5" s="201" t="s">
        <v>95</v>
      </c>
      <c r="G5" s="201" t="s">
        <v>96</v>
      </c>
      <c r="H5" s="201" t="s">
        <v>105</v>
      </c>
      <c r="I5" s="201" t="s">
        <v>61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</row>
    <row r="6">
      <c r="A6" s="201" t="s">
        <v>106</v>
      </c>
      <c r="B6" s="201" t="s">
        <v>107</v>
      </c>
      <c r="C6" s="201" t="s">
        <v>94</v>
      </c>
      <c r="D6" s="204">
        <v>46088.0</v>
      </c>
      <c r="E6" s="201">
        <v>1937.04</v>
      </c>
      <c r="F6" s="201" t="s">
        <v>95</v>
      </c>
      <c r="G6" s="201" t="s">
        <v>108</v>
      </c>
      <c r="H6" s="201" t="s">
        <v>109</v>
      </c>
      <c r="I6" s="201" t="s">
        <v>61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</row>
    <row r="7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</row>
    <row r="8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</row>
    <row r="9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</row>
    <row r="10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</row>
    <row r="11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</row>
    <row r="12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</row>
    <row r="13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</row>
    <row r="15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</row>
    <row r="16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</row>
    <row r="17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</row>
    <row r="18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</row>
    <row r="19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</row>
    <row r="20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</row>
    <row r="2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</row>
    <row r="22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</row>
    <row r="23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</row>
    <row r="24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</row>
    <row r="25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</row>
    <row r="26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</row>
    <row r="27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</row>
    <row r="28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</row>
    <row r="29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</row>
    <row r="30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</row>
    <row r="3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</row>
    <row r="3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</row>
    <row r="33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</row>
    <row r="3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</row>
    <row r="35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</row>
    <row r="36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</row>
    <row r="37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</row>
    <row r="38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</row>
    <row r="39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</row>
    <row r="40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</row>
    <row r="4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</row>
    <row r="4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</row>
    <row r="43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</row>
    <row r="44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</row>
    <row r="4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</row>
    <row r="46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</row>
    <row r="47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</row>
    <row r="48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</row>
    <row r="49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</row>
    <row r="50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</row>
  </sheetData>
  <drawing r:id="rId1"/>
</worksheet>
</file>