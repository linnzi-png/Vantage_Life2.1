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<sst xmlns="http://schemas.openxmlformats.org/spreadsheetml/2006/main" count="2688" uniqueCount="111">
  <si>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</si>
  <si>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</si>
  <si>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</si>
  <si>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</si>
  <si>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</si>
  <si>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</si>
  <si>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</si>
  <si>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</si>
  <si>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</si>
  <si>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</si>
  <si>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</si>
  <si>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</si>
  <si>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</si>
  <si>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</si>
  <si>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</si>
  <si>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</si>
  <si>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</si>
  <si>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</si>
  <si>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</si>
  <si>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</si>
  <si>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</si>
  <si>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</si>
  <si>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</si>
  <si>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</si>
  <si>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</si>
  <si>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</si>
  <si>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</si>
  <si>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</si>
  <si>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</si>
  <si>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</si>
  <si>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</si>
  <si>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</si>
  <si>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</si>
  <si>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</si>
  <si>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</si>
  <si>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</si>
  <si>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</si>
  <si>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</si>
  <si>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</si>
  <si>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</si>
  <si>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</si>
  <si>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</si>
  <si>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</si>
  <si>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</si>
  <si>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</si>
  <si>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</si>
  <si>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</si>
  <si>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</si>
  <si>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</si>
  <si>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</si>
  <si>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</si>
  <si>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</si>
  <si>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</si>
  <si>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</si>
  <si>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</si>
  <si>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</si>
  <si>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Mahdy Alwatan</t>
  </si>
  <si>
    <t>Sabrina Leu</t>
  </si>
  <si>
    <t>Tolu Alualu</t>
  </si>
  <si>
    <t>Sunshine Faimalo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</si>
  <si>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</si>
  <si>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</si>
  <si>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</si>
  <si>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</si>
  <si>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</si>
  <si>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</si>
  <si>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</si>
  <si>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</si>
  <si>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</si>
  <si>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</si>
  <si>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</si>
  <si>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</si>
  <si>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</si>
  <si>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</si>
  <si>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</si>
  <si>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</si>
  <si>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</si>
  <si>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</si>
  <si>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>WA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</si>
  <si>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</si>
  <si>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</si>
  <si>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</si>
  <si>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</si>
  <si>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</si>
  <si>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</si>
  <si>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</si>
  <si>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WIMMER, JORDAN</t>
  </si>
  <si>
    <t>MOHAMADALI ALWATAN</t>
  </si>
  <si>
    <t>ALWATAN</t>
  </si>
  <si>
    <t>N/A</t>
  </si>
  <si>
    <t>NO</t>
  </si>
  <si>
    <t>CANCEL PER CLIENT REQUEST</t>
  </si>
  <si>
    <t>LS</t>
  </si>
  <si>
    <t>PEREZ, FELIZ</t>
  </si>
  <si>
    <t>AFNAN ALFATLAWY</t>
  </si>
  <si>
    <t>CANCEL PER AGENT REQUEST</t>
  </si>
  <si>
    <t>MCLEAN, MATHHEW</t>
  </si>
  <si>
    <t>HAJIR SABEEH</t>
  </si>
  <si>
    <t>YES</t>
  </si>
  <si>
    <t>MILLER, PAUL</t>
  </si>
  <si>
    <t>MOHAMMAD SAAD</t>
  </si>
  <si>
    <t>SAAD</t>
  </si>
  <si>
    <t>WHITTLESEY, TIMMY</t>
  </si>
  <si>
    <t>ALITAHIR ALWATAN</t>
  </si>
  <si>
    <t xml:space="preserve">APPLICATION BEING REWRITTEN </t>
  </si>
  <si>
    <t>MILLICENT MURPHY</t>
  </si>
  <si>
    <t>HER DAD LET HER KNOW HAS COVERAGE ON HER ALREADY AND DOESN'T NEED THIS.</t>
  </si>
  <si>
    <t>FL</t>
  </si>
  <si>
    <t>KENNETH ADAMS</t>
  </si>
  <si>
    <t>REWRITING ON CORRECT STATE APP</t>
  </si>
  <si>
    <t>LORI ADAMS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</si>
</sst>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115983</v>
      </c>
      <c r="D2" s="9"/>
      <c r="E2" s="8">
        <f t="shared" ref="E2:R2" si="1">SUM(E5,E11)</f>
        <v>52585</v>
      </c>
      <c r="F2" s="8">
        <f t="shared" si="1"/>
        <v>290</v>
      </c>
      <c r="G2" s="10">
        <f t="shared" si="1"/>
        <v>132</v>
      </c>
      <c r="H2" s="10">
        <f t="shared" si="1"/>
        <v>67</v>
      </c>
      <c r="I2" s="10">
        <f t="shared" si="1"/>
        <v>7</v>
      </c>
      <c r="J2" s="10">
        <f t="shared" si="1"/>
        <v>3</v>
      </c>
      <c r="K2" s="10">
        <f t="shared" si="1"/>
        <v>63</v>
      </c>
      <c r="L2" s="10">
        <f t="shared" si="1"/>
        <v>35</v>
      </c>
      <c r="M2" s="10">
        <f t="shared" si="1"/>
        <v>526</v>
      </c>
      <c r="N2" s="10">
        <f t="shared" si="1"/>
        <v>36</v>
      </c>
      <c r="O2" s="10">
        <f t="shared" si="1"/>
        <v>23</v>
      </c>
      <c r="P2" s="10">
        <f t="shared" si="1"/>
        <v>53</v>
      </c>
      <c r="Q2" s="10">
        <f t="shared" si="1"/>
        <v>32</v>
      </c>
      <c r="R2" s="10">
        <f t="shared" si="1"/>
        <v>27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1731.089552</v>
      </c>
      <c r="F4" s="20">
        <f>IFERROR((G2+R2)/F2,0)</f>
        <v>0.5482758621</v>
      </c>
      <c r="G4" s="20">
        <f>IFERROR(H2/G2,0)</f>
        <v>0.5075757576</v>
      </c>
      <c r="H4" s="19">
        <f>(C2/C4)</f>
        <v>3866.1</v>
      </c>
      <c r="I4" s="21"/>
      <c r="J4" s="20">
        <f>IFERROR(J2/I2,0)</f>
        <v>0.4285714286</v>
      </c>
      <c r="K4" s="21"/>
      <c r="L4" s="20">
        <f>IFERROR(L2/K2,0)</f>
        <v>0.5555555556</v>
      </c>
      <c r="M4" s="22">
        <f>IFERROR(M2/G2,0)</f>
        <v>3.984848485</v>
      </c>
      <c r="N4" s="21"/>
      <c r="O4" s="20">
        <f>IFERROR(O2/N2,0)</f>
        <v>0.6388888889</v>
      </c>
      <c r="P4" s="22"/>
      <c r="Q4" s="20">
        <f>IFERROR(Q2/P2,0)</f>
        <v>0.6037735849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60697</v>
      </c>
      <c r="D5" s="26"/>
      <c r="E5" s="27">
        <f>SUMIFS(T:T,A:A,B5,D:D,"Y")</f>
        <v>40326</v>
      </c>
      <c r="F5" s="8">
        <f>SUMIF(A:A,B5,G:G)</f>
        <v>169</v>
      </c>
      <c r="G5" s="10">
        <f>SUMIF(A:A,B5,H:H)</f>
        <v>81</v>
      </c>
      <c r="H5" s="10">
        <f>SUMIF(A:A,B5,I:I)</f>
        <v>41</v>
      </c>
      <c r="I5" s="10">
        <f>SUMIF(A:A,B5,P:P)</f>
        <v>5</v>
      </c>
      <c r="J5" s="10">
        <f>SUMIF(A:A,B5,Q:Q)</f>
        <v>3</v>
      </c>
      <c r="K5" s="10">
        <f>SUMIF(A:A,B5,R:R)</f>
        <v>24</v>
      </c>
      <c r="L5" s="10">
        <f>SUMIF(A:A,B5,S:S)</f>
        <v>12</v>
      </c>
      <c r="M5" s="10">
        <f>SUMIF(A:A,B5,M:M)</f>
        <v>406</v>
      </c>
      <c r="N5" s="10">
        <f>SUMIF(A:A,B5,N:N)</f>
        <v>29</v>
      </c>
      <c r="O5" s="10">
        <f>SUMIF(A:A,B5,O:O)</f>
        <v>18</v>
      </c>
      <c r="P5" s="10">
        <f>SUMIF(A:A,B5,J:J)</f>
        <v>24</v>
      </c>
      <c r="Q5" s="10">
        <f>SUMIF(A:A,B5,K:K)</f>
        <v>15</v>
      </c>
      <c r="R5" s="10">
        <f>SUMIF(A:A,B5,L:L)</f>
        <v>11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1480.414634</v>
      </c>
      <c r="F7" s="20">
        <f>IFERROR((G5+R5)/F5,0)</f>
        <v>0.5443786982</v>
      </c>
      <c r="G7" s="20">
        <f>IFERROR(H5/G5,0)</f>
        <v>0.5061728395</v>
      </c>
      <c r="H7" s="19">
        <f>(C5/C7)</f>
        <v>4669</v>
      </c>
      <c r="I7" s="21"/>
      <c r="J7" s="20">
        <f>IFERROR(J5/I5,0)</f>
        <v>0.6</v>
      </c>
      <c r="K7" s="21"/>
      <c r="L7" s="20">
        <f>IFERROR(L5/K5,0)</f>
        <v>0.5</v>
      </c>
      <c r="M7" s="22">
        <f>IFERROR(M5/SUM(R5+G5,0),"")</f>
        <v>4.413043478</v>
      </c>
      <c r="N7" s="21"/>
      <c r="O7" s="20">
        <f>IFERROR(O5/N5,0)</f>
        <v>0.6206896552</v>
      </c>
      <c r="P7" s="22"/>
      <c r="Q7" s="20">
        <f>IFERROR(Q5/P5,0)</f>
        <v>0.625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60697</v>
      </c>
      <c r="D8" s="36"/>
      <c r="E8" s="37">
        <f>SUMIFS(T:T,B:B,B8,D:D,"Y")</f>
        <v>40326</v>
      </c>
      <c r="F8" s="38">
        <f>SUMIF(B19:B1029,B8,G19:G1029)</f>
        <v>169</v>
      </c>
      <c r="G8" s="39">
        <f>SUMIF(B19:B1029,B8,H19:H1029)</f>
        <v>81</v>
      </c>
      <c r="H8" s="38">
        <f>SUMIF(B19:B1029,B8,I19:I1029)</f>
        <v>41</v>
      </c>
      <c r="I8" s="39">
        <f>SUMIF(B19:B1029,B8,P19:P1029)</f>
        <v>5</v>
      </c>
      <c r="J8" s="39">
        <f>SUMIF(B19:B1029,B8,Q19:Q1029)</f>
        <v>3</v>
      </c>
      <c r="K8" s="39">
        <f>SUMIF(B19:B1029,B8,R19:R1029)</f>
        <v>24</v>
      </c>
      <c r="L8" s="39">
        <f>SUMIF(B19:B1029,B8,S19:S1029)</f>
        <v>12</v>
      </c>
      <c r="M8" s="39">
        <f>SUMIF(B19:B1029,B8,M19:M1029)</f>
        <v>406</v>
      </c>
      <c r="N8" s="39">
        <f>SUMIF(B19:B1029,B8,N19:N1029)</f>
        <v>29</v>
      </c>
      <c r="O8" s="38">
        <f>SUMIF(B19:B1029,B8,O19:O1029)</f>
        <v>18</v>
      </c>
      <c r="P8" s="39">
        <f>SUMIF(B19:B1029,B8,J19:J1029)</f>
        <v>24</v>
      </c>
      <c r="Q8" s="39">
        <f>SUMIF(B19:B1029,B8,K19:K1029)</f>
        <v>15</v>
      </c>
      <c r="R8" s="38">
        <f>SUMIF(B19:B1029,B8,L19:L1029)</f>
        <v>11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COUNTIFS(B19:B1029,B8)</f>
        <v>12</v>
      </c>
      <c r="D10" s="42"/>
      <c r="E10" s="50">
        <f>IFERROR(C8/H8,0)</f>
        <v>1480.414634</v>
      </c>
      <c r="F10" s="51">
        <f>IFERROR((G8+R8)/F8,0)</f>
        <v>0.5443786982</v>
      </c>
      <c r="G10" s="51">
        <f>IFERROR(H8/G8,0)</f>
        <v>0.5061728395</v>
      </c>
      <c r="H10" s="50">
        <f>(C8/C10)</f>
        <v>5058.083333</v>
      </c>
      <c r="I10" s="46"/>
      <c r="J10" s="51">
        <f>IFERROR(J8/I8,0)</f>
        <v>0.6</v>
      </c>
      <c r="K10" s="46"/>
      <c r="L10" s="51">
        <f>IFERROR(L8/K8,0)</f>
        <v>0.5</v>
      </c>
      <c r="M10" s="52">
        <f>IFERROR(M8/SUM(G8+R8,0),"")</f>
        <v>4.413043478</v>
      </c>
      <c r="N10" s="46"/>
      <c r="O10" s="51">
        <f>IFERROR(O8/N8,0)</f>
        <v>0.6206896552</v>
      </c>
      <c r="P10" s="53"/>
      <c r="Q10" s="51">
        <f>IFERROR(Q8/P8,0)</f>
        <v>0.625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55286</v>
      </c>
      <c r="D11" s="26"/>
      <c r="E11" s="27">
        <f>SUMIFS(T:T,A:A,B11,D:D,"Y")</f>
        <v>12259</v>
      </c>
      <c r="F11" s="8">
        <f>SUMIF(A:A,B11,G:G)</f>
        <v>121</v>
      </c>
      <c r="G11" s="10">
        <f>SUMIF(A:A,B11,H:H)</f>
        <v>51</v>
      </c>
      <c r="H11" s="10">
        <f>SUMIF(A:A,B11,I:I)</f>
        <v>26</v>
      </c>
      <c r="I11" s="10">
        <f>SUMIF(A:A,B11,P:P)</f>
        <v>2</v>
      </c>
      <c r="J11" s="10">
        <f>SUMIF(A:A,B11,Q:Q)</f>
        <v>0</v>
      </c>
      <c r="K11" s="10">
        <f>SUMIF(A:A,B11,R:R)</f>
        <v>39</v>
      </c>
      <c r="L11" s="10">
        <f>SUMIF(A:A,B11,S:S)</f>
        <v>23</v>
      </c>
      <c r="M11" s="10">
        <f>SUMIF(A:A,B11,M:M)</f>
        <v>120</v>
      </c>
      <c r="N11" s="10">
        <f>SUMIF(A:A,B11,N:N)</f>
        <v>7</v>
      </c>
      <c r="O11" s="10">
        <f>SUMIF(A:A,B11,O:O)</f>
        <v>5</v>
      </c>
      <c r="P11" s="10">
        <f>SUMIF(A:A,B11,J:J)</f>
        <v>29</v>
      </c>
      <c r="Q11" s="10">
        <f>SUMIF(A:A,B11,K:K)</f>
        <v>17</v>
      </c>
      <c r="R11" s="10">
        <f>SUMIF(A:A,B11,L:L)</f>
        <v>16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2126.384615</v>
      </c>
      <c r="F13" s="20">
        <f>IFERROR((G11+R11)/F11,0)</f>
        <v>0.5537190083</v>
      </c>
      <c r="G13" s="20">
        <f>IFERROR(H11/G11,0)</f>
        <v>0.5098039216</v>
      </c>
      <c r="H13" s="19">
        <f>(C11/C13)</f>
        <v>3252.117647</v>
      </c>
      <c r="I13" s="21"/>
      <c r="J13" s="20">
        <f>IFERROR(J11/I11,0)</f>
        <v>0</v>
      </c>
      <c r="K13" s="21"/>
      <c r="L13" s="20">
        <f>IFERROR(L11/K11,0)</f>
        <v>0.5897435897</v>
      </c>
      <c r="M13" s="22">
        <f>IFERROR(M11/SUM(R11+G11,0),"")</f>
        <v>1.791044776</v>
      </c>
      <c r="N13" s="21"/>
      <c r="O13" s="20">
        <f>IFERROR(O11/N11,0)</f>
        <v>0.7142857143</v>
      </c>
      <c r="P13" s="22"/>
      <c r="Q13" s="20">
        <f>IFERROR(Q11/P11,0)</f>
        <v>0.5862068966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55286</v>
      </c>
      <c r="D14" s="36"/>
      <c r="E14" s="37">
        <f>SUMIFS(T:T,B:B,B14,D:D,"Y")</f>
        <v>12259</v>
      </c>
      <c r="F14" s="38">
        <f>SUMIF(B19:B1029,B14,G19:G1029)</f>
        <v>121</v>
      </c>
      <c r="G14" s="39">
        <f>SUMIF(B19:B1029,B14,H19:H1029)</f>
        <v>51</v>
      </c>
      <c r="H14" s="38">
        <f>SUMIF(B19:B1029,B14,I19:I1029)</f>
        <v>26</v>
      </c>
      <c r="I14" s="39">
        <f>SUMIF(B19:B1029,B14,P19:P1029)</f>
        <v>2</v>
      </c>
      <c r="J14" s="39">
        <f>SUMIF(B19:B1029,B14,Q19:Q1029)</f>
        <v>0</v>
      </c>
      <c r="K14" s="39">
        <f>SUMIF(B19:B1029,B14,R19:R1029)</f>
        <v>39</v>
      </c>
      <c r="L14" s="39">
        <f>SUMIF(B19:B1029,B14,S19:S1029)</f>
        <v>23</v>
      </c>
      <c r="M14" s="39">
        <f>SUMIF(B19:B1029,B14,M19:M1029)</f>
        <v>120</v>
      </c>
      <c r="N14" s="39">
        <f>SUMIF(B19:B1029,B14,N19:N1029)</f>
        <v>7</v>
      </c>
      <c r="O14" s="38">
        <f>SUMIF(B19:B1029,B14,O19:O1029)</f>
        <v>5</v>
      </c>
      <c r="P14" s="39">
        <f>SUMIF(B19:B1029,B14,J19:J1029)</f>
        <v>29</v>
      </c>
      <c r="Q14" s="39">
        <f>SUMIF(B19:B1029,B14,K19:K1029)</f>
        <v>17</v>
      </c>
      <c r="R14" s="38">
        <f>SUMIF(B19:B1029,B14,L19:L1029)</f>
        <v>16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COUNTIFS(B19:B1029,B14)</f>
        <v>16</v>
      </c>
      <c r="D16" s="42"/>
      <c r="E16" s="50">
        <f>IFERROR(C14/H14,0)</f>
        <v>2126.384615</v>
      </c>
      <c r="F16" s="51">
        <f>IFERROR((G14+R14)/F14,0)</f>
        <v>0.5537190083</v>
      </c>
      <c r="G16" s="51">
        <f>IFERROR(H14/G14,0)</f>
        <v>0.5098039216</v>
      </c>
      <c r="H16" s="50">
        <f>(C14/C16)</f>
        <v>3455.375</v>
      </c>
      <c r="I16" s="46"/>
      <c r="J16" s="51">
        <f>IFERROR(J14/I14,0)</f>
        <v>0</v>
      </c>
      <c r="K16" s="46"/>
      <c r="L16" s="51">
        <f>IFERROR(L14/K14,0)</f>
        <v>0.5897435897</v>
      </c>
      <c r="M16" s="52">
        <f>IFERROR(M14/SUM(G14+R14,0),"")</f>
        <v>1.791044776</v>
      </c>
      <c r="N16" s="46"/>
      <c r="O16" s="51">
        <f>IFERROR(O14/N14,0)</f>
        <v>0.7142857143</v>
      </c>
      <c r="P16" s="53"/>
      <c r="Q16" s="51">
        <f>IFERROR(Q14/P14,0)</f>
        <v>0.5862068966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15</v>
      </c>
      <c r="H21" s="65">
        <f>('Thurs (2)'!H21+Thurs!H21+'Tues '!H21+Wed!H21+Fri!H21+'Mon '!H21+'Wed (2)'!H21+Sun!H21+Sat!H21)</f>
        <v>5</v>
      </c>
      <c r="I21" s="65">
        <f>('Thurs (2)'!I21+Thurs!I21+'Tues '!I21+Wed!I21+Fri!I21+'Mon '!I21+'Wed (2)'!I21+Sun!I21+Sat!I21)</f>
        <v>3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8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5</v>
      </c>
      <c r="Q21" s="65">
        <f>('Thurs (2)'!Q21+Thurs!Q21+'Tues '!Q21+Wed!Q21+Fri!Q21+'Mon '!Q21+'Wed (2)'!Q21+Sun!Q21+Sat!Q21)</f>
        <v>3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3641</v>
      </c>
      <c r="U21" s="66">
        <f t="shared" si="2"/>
        <v>0.6</v>
      </c>
      <c r="V21" s="66">
        <f t="shared" si="3"/>
        <v>0.3333333333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27</v>
      </c>
      <c r="H22" s="65">
        <f>('Thurs (2)'!H22+Thurs!H22+'Tues '!H22+Wed!H22+Fri!H22+'Mon '!H22+'Wed (2)'!H22+Sun!H22+Sat!H22)</f>
        <v>9</v>
      </c>
      <c r="I22" s="65">
        <f>('Thurs (2)'!I22+Thurs!I22+'Tues '!I22+Wed!I22+Fri!I22+'Mon '!I22+'Wed (2)'!I22+Sun!I22+Sat!I22)</f>
        <v>4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3</v>
      </c>
      <c r="M22" s="65">
        <f>('Thurs (2)'!M22+Thurs!M22+'Tues '!M22+Wed!M22+Fri!M22+'Mon '!M22+'Wed (2)'!M22+Sun!M22+Sat!M22)</f>
        <v>24</v>
      </c>
      <c r="N22" s="65">
        <f>('Thurs (2)'!N22+Thurs!N22+'Tues '!N22+Wed!N22+Fri!N22+'Mon '!N22+'Wed (2)'!N22+Sun!N22+Sat!N22)</f>
        <v>1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2</v>
      </c>
      <c r="S22" s="65">
        <f>('Thurs (2)'!S22+Thurs!S22+'Tues '!S22+Wed!S22+Fri!S22+'Mon '!S22+'Wed (2)'!S22+Sun!S22+Sat!S22)</f>
        <v>1</v>
      </c>
      <c r="T22" s="65">
        <f>('Thurs (2)'!T22+Thurs!T22+'Tues '!T22+Wed!T22+Fri!T22+'Mon '!T22+'Wed (2)'!T22+Sun!T22+Sat!T22)</f>
        <v>8094</v>
      </c>
      <c r="U22" s="66">
        <f t="shared" si="2"/>
        <v>0.4444444444</v>
      </c>
      <c r="V22" s="66">
        <f t="shared" si="3"/>
        <v>0.4444444444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2</v>
      </c>
      <c r="H23" s="65">
        <f>('Thurs (2)'!H23+Thurs!H23+'Tues '!H23+Wed!H23+Fri!H23+'Mon '!H23+'Wed (2)'!H23+Sun!H23+Sat!H23)</f>
        <v>1</v>
      </c>
      <c r="I23" s="65">
        <f>('Thurs (2)'!I23+Thurs!I23+'Tues '!I23+Wed!I23+Fri!I23+'Mon '!I23+'Wed (2)'!I23+Sun!I23+Sat!I23)</f>
        <v>1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1</v>
      </c>
      <c r="O23" s="65">
        <f>('Thurs (2)'!O23+Thurs!O23+'Tues '!O23+Wed!O23+Fri!O23+'Mon '!O23+'Wed (2)'!O23+Sun!O23+Sat!O23)</f>
        <v>1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1316</v>
      </c>
      <c r="U23" s="66">
        <f t="shared" si="2"/>
        <v>1</v>
      </c>
      <c r="V23" s="66">
        <f t="shared" si="3"/>
        <v>0.5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17</v>
      </c>
      <c r="H24" s="65">
        <f>('Thurs (2)'!H24+Thurs!H24+'Tues '!H24+Wed!H24+Fri!H24+'Mon '!H24+'Wed (2)'!H24+Sun!H24+Sat!H24)</f>
        <v>9</v>
      </c>
      <c r="I24" s="65">
        <f>('Thurs (2)'!I24+Thurs!I24+'Tues '!I24+Wed!I24+Fri!I24+'Mon '!I24+'Wed (2)'!I24+Sun!I24+Sat!I24)</f>
        <v>6</v>
      </c>
      <c r="J24" s="65">
        <f>('Thurs (2)'!J24+Thurs!J24+'Tues '!J24+Wed!J24+Fri!J24+'Mon '!J24+'Wed (2)'!J24+Sun!J24+Sat!J24)</f>
        <v>8</v>
      </c>
      <c r="K24" s="65">
        <f>('Thurs (2)'!K24+Thurs!K24+'Tues '!K24+Wed!K24+Fri!K24+'Mon '!K24+'Wed (2)'!K24+Sun!K24+Sat!K24)</f>
        <v>6</v>
      </c>
      <c r="L24" s="65">
        <f>('Thurs (2)'!L24+Thurs!L24+'Tues '!L24+Wed!L24+Fri!L24+'Mon '!L24+'Wed (2)'!L24+Sun!L24+Sat!L24)</f>
        <v>1</v>
      </c>
      <c r="M24" s="65">
        <f>('Thurs (2)'!M24+Thurs!M24+'Tues '!M24+Wed!M24+Fri!M24+'Mon '!M24+'Wed (2)'!M24+Sun!M24+Sat!M24)</f>
        <v>78</v>
      </c>
      <c r="N24" s="65">
        <f>('Thurs (2)'!N24+Thurs!N24+'Tues '!N24+Wed!N24+Fri!N24+'Mon '!N24+'Wed (2)'!N24+Sun!N24+Sat!N24)</f>
        <v>1</v>
      </c>
      <c r="O24" s="65">
        <f>('Thurs (2)'!O24+Thurs!O24+'Tues '!O24+Wed!O24+Fri!O24+'Mon '!O24+'Wed (2)'!O24+Sun!O24+Sat!O24)</f>
        <v>1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7</v>
      </c>
      <c r="S24" s="65">
        <f>('Thurs (2)'!S24+Thurs!S24+'Tues '!S24+Wed!S24+Fri!S24+'Mon '!S24+'Wed (2)'!S24+Sun!S24+Sat!S24)</f>
        <v>5</v>
      </c>
      <c r="T24" s="65">
        <f>('Thurs (2)'!T24+Thurs!T24+'Tues '!T24+Wed!T24+Fri!T24+'Mon '!T24+'Wed (2)'!T24+Sun!T24+Sat!T24)</f>
        <v>9402</v>
      </c>
      <c r="U24" s="66">
        <f t="shared" si="2"/>
        <v>0.6666666667</v>
      </c>
      <c r="V24" s="66">
        <f t="shared" si="3"/>
        <v>0.5882352941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15</v>
      </c>
      <c r="H25" s="65">
        <f>('Thurs (2)'!H25+Thurs!H25+'Tues '!H25+Wed!H25+Fri!H25+'Mon '!H25+'Wed (2)'!H25+Sun!H25+Sat!H25)</f>
        <v>7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1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16</v>
      </c>
      <c r="N25" s="65">
        <f>('Thurs (2)'!N25+Thurs!N25+'Tues '!N25+Wed!N25+Fri!N25+'Mon '!N25+'Wed (2)'!N25+Sun!N25+Sat!N25)</f>
        <v>2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2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0.4666666667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21</v>
      </c>
      <c r="H26" s="65">
        <f>('Thurs (2)'!H26+Thurs!H26+'Tues '!H26+Wed!H26+Fri!H26+'Mon '!H26+'Wed (2)'!H26+Sun!H26+Sat!H26)</f>
        <v>12</v>
      </c>
      <c r="I26" s="65">
        <f>('Thurs (2)'!I26+Thurs!I26+'Tues '!I26+Wed!I26+Fri!I26+'Mon '!I26+'Wed (2)'!I26+Sun!I26+Sat!I26)</f>
        <v>7</v>
      </c>
      <c r="J26" s="65">
        <f>('Thurs (2)'!J26+Thurs!J26+'Tues '!J26+Wed!J26+Fri!J26+'Mon '!J26+'Wed (2)'!J26+Sun!J26+Sat!J26)</f>
        <v>6</v>
      </c>
      <c r="K26" s="65">
        <f>('Thurs (2)'!K26+Thurs!K26+'Tues '!K26+Wed!K26+Fri!K26+'Mon '!K26+'Wed (2)'!K26+Sun!K26+Sat!K26)</f>
        <v>5</v>
      </c>
      <c r="L26" s="65">
        <f>('Thurs (2)'!L26+Thurs!L26+'Tues '!L26+Wed!L26+Fri!L26+'Mon '!L26+'Wed (2)'!L26+Sun!L26+Sat!L26)</f>
        <v>3</v>
      </c>
      <c r="M26" s="65">
        <f>('Thurs (2)'!M26+Thurs!M26+'Tues '!M26+Wed!M26+Fri!M26+'Mon '!M26+'Wed (2)'!M26+Sun!M26+Sat!M26)</f>
        <v>74</v>
      </c>
      <c r="N26" s="65">
        <f>('Thurs (2)'!N26+Thurs!N26+'Tues '!N26+Wed!N26+Fri!N26+'Mon '!N26+'Wed (2)'!N26+Sun!N26+Sat!N26)</f>
        <v>6</v>
      </c>
      <c r="O26" s="65">
        <f>('Thurs (2)'!O26+Thurs!O26+'Tues '!O26+Wed!O26+Fri!O26+'Mon '!O26+'Wed (2)'!O26+Sun!O26+Sat!O26)</f>
        <v>4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3</v>
      </c>
      <c r="S26" s="65">
        <f>('Thurs (2)'!S26+Thurs!S26+'Tues '!S26+Wed!S26+Fri!S26+'Mon '!S26+'Wed (2)'!S26+Sun!S26+Sat!S26)</f>
        <v>3</v>
      </c>
      <c r="T26" s="65">
        <f>('Thurs (2)'!T26+Thurs!T26+'Tues '!T26+Wed!T26+Fri!T26+'Mon '!T26+'Wed (2)'!T26+Sun!T26+Sat!T26)</f>
        <v>11317</v>
      </c>
      <c r="U26" s="66">
        <f t="shared" si="2"/>
        <v>0.5833333333</v>
      </c>
      <c r="V26" s="66">
        <f t="shared" si="3"/>
        <v>0.7142857143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7</v>
      </c>
      <c r="H27" s="65">
        <f>('Thurs (2)'!H27+Thurs!H27+'Tues '!H27+Wed!H27+Fri!H27+'Mon '!H27+'Wed (2)'!H27+Sun!H27+Sat!H27)</f>
        <v>5</v>
      </c>
      <c r="I27" s="65">
        <f>('Thurs (2)'!I27+Thurs!I27+'Tues '!I27+Wed!I27+Fri!I27+'Mon '!I27+'Wed (2)'!I27+Sun!I27+Sat!I27)</f>
        <v>2</v>
      </c>
      <c r="J27" s="65">
        <f>('Thurs (2)'!J27+Thurs!J27+'Tues '!J27+Wed!J27+Fri!J27+'Mon '!J27+'Wed (2)'!J27+Sun!J27+Sat!J27)</f>
        <v>3</v>
      </c>
      <c r="K27" s="65">
        <f>('Thurs (2)'!K27+Thurs!K27+'Tues '!K27+Wed!K27+Fri!K27+'Mon '!K27+'Wed (2)'!K27+Sun!K27+Sat!K27)</f>
        <v>1</v>
      </c>
      <c r="L27" s="65">
        <f>('Thurs (2)'!L27+Thurs!L27+'Tues '!L27+Wed!L27+Fri!L27+'Mon '!L27+'Wed (2)'!L27+Sun!L27+Sat!L27)</f>
        <v>2</v>
      </c>
      <c r="M27" s="65">
        <f>('Thurs (2)'!M27+Thurs!M27+'Tues '!M27+Wed!M27+Fri!M27+'Mon '!M27+'Wed (2)'!M27+Sun!M27+Sat!M27)</f>
        <v>43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4</v>
      </c>
      <c r="S27" s="65">
        <f>('Thurs (2)'!S27+Thurs!S27+'Tues '!S27+Wed!S27+Fri!S27+'Mon '!S27+'Wed (2)'!S27+Sun!S27+Sat!S27)</f>
        <v>2</v>
      </c>
      <c r="T27" s="65">
        <f>('Thurs (2)'!T27+Thurs!T27+'Tues '!T27+Wed!T27+Fri!T27+'Mon '!T27+'Wed (2)'!T27+Sun!T27+Sat!T27)</f>
        <v>2581</v>
      </c>
      <c r="U27" s="66">
        <f t="shared" si="2"/>
        <v>0.4</v>
      </c>
      <c r="V27" s="66">
        <f t="shared" si="3"/>
        <v>1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28</v>
      </c>
      <c r="H28" s="65">
        <f>('Thurs (2)'!H28+Thurs!H28+'Tues '!H28+Wed!H28+Fri!H28+'Mon '!H28+'Wed (2)'!H28+Sun!H28+Sat!H28)</f>
        <v>14</v>
      </c>
      <c r="I28" s="65">
        <f>('Thurs (2)'!I28+Thurs!I28+'Tues '!I28+Wed!I28+Fri!I28+'Mon '!I28+'Wed (2)'!I28+Sun!I28+Sat!I28)</f>
        <v>7</v>
      </c>
      <c r="J28" s="65">
        <f>('Thurs (2)'!J28+Thurs!J28+'Tues '!J28+Wed!J28+Fri!J28+'Mon '!J28+'Wed (2)'!J28+Sun!J28+Sat!J28)</f>
        <v>2</v>
      </c>
      <c r="K28" s="65">
        <f>('Thurs (2)'!K28+Thurs!K28+'Tues '!K28+Wed!K28+Fri!K28+'Mon '!K28+'Wed (2)'!K28+Sun!K28+Sat!K28)</f>
        <v>1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34</v>
      </c>
      <c r="N28" s="65">
        <f>('Thurs (2)'!N28+Thurs!N28+'Tues '!N28+Wed!N28+Fri!N28+'Mon '!N28+'Wed (2)'!N28+Sun!N28+Sat!N28)</f>
        <v>7</v>
      </c>
      <c r="O28" s="65">
        <f>('Thurs (2)'!O28+Thurs!O28+'Tues '!O28+Wed!O28+Fri!O28+'Mon '!O28+'Wed (2)'!O28+Sun!O28+Sat!O28)</f>
        <v>5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6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8938</v>
      </c>
      <c r="U28" s="66">
        <f t="shared" si="2"/>
        <v>0.5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7</v>
      </c>
      <c r="H29" s="65">
        <f>('Thurs (2)'!H29+Thurs!H29+'Tues '!H29+Wed!H29+Fri!H29+'Mon '!H29+'Wed (2)'!H29+Sun!H29+Sat!H29)</f>
        <v>3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3</v>
      </c>
      <c r="K29" s="65">
        <f>('Thurs (2)'!K29+Thurs!K29+'Tues '!K29+Wed!K29+Fri!K29+'Mon '!K29+'Wed (2)'!K29+Sun!K29+Sat!K29)</f>
        <v>1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21</v>
      </c>
      <c r="N29" s="65">
        <f>('Thurs (2)'!N29+Thurs!N29+'Tues '!N29+Wed!N29+Fri!N29+'Mon '!N29+'Wed (2)'!N29+Sun!N29+Sat!N29)</f>
        <v>3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532</v>
      </c>
      <c r="U29" s="66">
        <f t="shared" si="2"/>
        <v>0.3333333333</v>
      </c>
      <c r="V29" s="66">
        <f t="shared" si="3"/>
        <v>0.4285714286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f>('Thurs (2)'!G30+Thurs!G30+'Tues '!G30+Wed!G30+Fri!G30+'Mon '!G30+'Wed (2)'!G30+Sun!G30+Sat!G30)</f>
        <v>13</v>
      </c>
      <c r="H30" s="65">
        <f>('Thurs (2)'!H30+Thurs!H30+'Tues '!H30+Wed!H30+Fri!H30+'Mon '!H30+'Wed (2)'!H30+Sun!H30+Sat!H30)</f>
        <v>8</v>
      </c>
      <c r="I30" s="65">
        <f>('Thurs (2)'!I30+Thurs!I30+'Tues '!I30+Wed!I30+Fri!I30+'Mon '!I30+'Wed (2)'!I30+Sun!I30+Sat!I30)</f>
        <v>6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1</v>
      </c>
      <c r="M30" s="65">
        <f>('Thurs (2)'!M30+Thurs!M30+'Tues '!M30+Wed!M30+Fri!M30+'Mon '!M30+'Wed (2)'!M30+Sun!M30+Sat!M30)</f>
        <v>70</v>
      </c>
      <c r="N30" s="65">
        <f>('Thurs (2)'!N30+Thurs!N30+'Tues '!N30+Wed!N30+Fri!N30+'Mon '!N30+'Wed (2)'!N30+Sun!N30+Sat!N30)</f>
        <v>3</v>
      </c>
      <c r="O30" s="65">
        <f>('Thurs (2)'!O30+Thurs!O30+'Tues '!O30+Wed!O30+Fri!O30+'Mon '!O30+'Wed (2)'!O30+Sun!O30+Sat!O30)</f>
        <v>2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7872</v>
      </c>
      <c r="U30" s="66">
        <f t="shared" si="2"/>
        <v>0.75</v>
      </c>
      <c r="V30" s="66">
        <f t="shared" si="3"/>
        <v>0.6923076923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f>('Thurs (2)'!G31+Thurs!G31+'Tues '!G31+Wed!G31+Fri!G31+'Mon '!G31+'Wed (2)'!G31+Sun!G31+Sat!G31)</f>
        <v>2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f>('Thurs (2)'!G32+Thurs!G32+'Tues '!G32+Wed!G32+Fri!G32+'Mon '!G32+'Wed (2)'!G32+Sun!G32+Sat!G32)</f>
        <v>15</v>
      </c>
      <c r="H32" s="65">
        <f>('Thurs (2)'!H32+Thurs!H32+'Tues '!H32+Wed!H32+Fri!H32+'Mon '!H32+'Wed (2)'!H32+Sun!H32+Sat!H32)</f>
        <v>8</v>
      </c>
      <c r="I32" s="65">
        <f>('Thurs (2)'!I32+Thurs!I32+'Tues '!I32+Wed!I32+Fri!I32+'Mon '!I32+'Wed (2)'!I32+Sun!I32+Sat!I32)</f>
        <v>4</v>
      </c>
      <c r="J32" s="65">
        <f>('Thurs (2)'!J32+Thurs!J32+'Tues '!J32+Wed!J32+Fri!J32+'Mon '!J32+'Wed (2)'!J32+Sun!J32+Sat!J32)</f>
        <v>1</v>
      </c>
      <c r="K32" s="65">
        <f>('Thurs (2)'!K32+Thurs!K32+'Tues '!K32+Wed!K32+Fri!K32+'Mon '!K32+'Wed (2)'!K32+Sun!K32+Sat!K32)</f>
        <v>1</v>
      </c>
      <c r="L32" s="65">
        <f>('Thurs (2)'!L32+Thurs!L32+'Tues '!L32+Wed!L32+Fri!L32+'Mon '!L32+'Wed (2)'!L32+Sun!L32+Sat!L32)</f>
        <v>1</v>
      </c>
      <c r="M32" s="65">
        <f>('Thurs (2)'!M32+Thurs!M32+'Tues '!M32+Wed!M32+Fri!M32+'Mon '!M32+'Wed (2)'!M32+Sun!M32+Sat!M32)</f>
        <v>38</v>
      </c>
      <c r="N32" s="65">
        <f>('Thurs (2)'!N32+Thurs!N32+'Tues '!N32+Wed!N32+Fri!N32+'Mon '!N32+'Wed (2)'!N32+Sun!N32+Sat!N32)</f>
        <v>5</v>
      </c>
      <c r="O32" s="65">
        <f>('Thurs (2)'!O32+Thurs!O32+'Tues '!O32+Wed!O32+Fri!O32+'Mon '!O32+'Wed (2)'!O32+Sun!O32+Sat!O32)</f>
        <v>4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7004</v>
      </c>
      <c r="U32" s="66">
        <f t="shared" si="2"/>
        <v>0.5</v>
      </c>
      <c r="V32" s="66">
        <f t="shared" si="3"/>
        <v>0.6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>
        <f>('Thurs (2)'!G35+Thurs!G35+'Tues '!G35+Wed!G35+Fri!G35+'Mon '!G35+'Wed (2)'!G35+Sun!G35+Sat!G35)</f>
        <v>3</v>
      </c>
      <c r="H35" s="65">
        <f>('Thurs (2)'!H35+Thurs!H35+'Tues '!H35+Wed!H35+Fri!H35+'Mon '!H35+'Wed (2)'!H35+Sun!H35+Sat!H35)</f>
        <v>3</v>
      </c>
      <c r="I35" s="65">
        <f>('Thurs (2)'!I35+Thurs!I35+'Tues '!I35+Wed!I35+Fri!I35+'Mon '!I35+'Wed (2)'!I35+Sun!I35+Sat!I35)</f>
        <v>2</v>
      </c>
      <c r="J35" s="65">
        <f>('Thurs (2)'!J35+Thurs!J35+'Tues '!J35+Wed!J35+Fri!J35+'Mon '!J35+'Wed (2)'!J35+Sun!J35+Sat!J35)</f>
        <v>2</v>
      </c>
      <c r="K35" s="65">
        <f>('Thurs (2)'!K35+Thurs!K35+'Tues '!K35+Wed!K35+Fri!K35+'Mon '!K35+'Wed (2)'!K35+Sun!K35+Sat!K35)</f>
        <v>2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2</v>
      </c>
      <c r="N35" s="65">
        <f>('Thurs (2)'!N35+Thurs!N35+'Tues '!N35+Wed!N35+Fri!N35+'Mon '!N35+'Wed (2)'!N35+Sun!N35+Sat!N35)</f>
        <v>1</v>
      </c>
      <c r="O35" s="65">
        <f>('Thurs (2)'!O35+Thurs!O35+'Tues '!O35+Wed!O35+Fri!O35+'Mon '!O35+'Wed (2)'!O35+Sun!O35+Sat!O35)</f>
        <v>1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1</v>
      </c>
      <c r="S35" s="65">
        <f>('Thurs (2)'!S35+Thurs!S35+'Tues '!S35+Wed!S35+Fri!S35+'Mon '!S35+'Wed (2)'!S35+Sun!S35+Sat!S35)</f>
        <v>1</v>
      </c>
      <c r="T35" s="65">
        <f>('Thurs (2)'!T35+Thurs!T35+'Tues '!T35+Wed!T35+Fri!T35+'Mon '!T35+'Wed (2)'!T35+Sun!T35+Sat!T35)</f>
        <v>3025</v>
      </c>
      <c r="U35" s="66">
        <f t="shared" si="4"/>
        <v>0.6666666667</v>
      </c>
      <c r="V35" s="66">
        <f t="shared" si="5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>
        <f>('Thurs (2)'!G36+Thurs!G36+'Tues '!G36+Wed!G36+Fri!G36+'Mon '!G36+'Wed (2)'!G36+Sun!G36+Sat!G36)</f>
        <v>10</v>
      </c>
      <c r="H36" s="65">
        <f>('Thurs (2)'!H36+Thurs!H36+'Tues '!H36+Wed!H36+Fri!H36+'Mon '!H36+'Wed (2)'!H36+Sun!H36+Sat!H36)</f>
        <v>7</v>
      </c>
      <c r="I36" s="65">
        <f>('Thurs (2)'!I36+Thurs!I36+'Tues '!I36+Wed!I36+Fri!I36+'Mon '!I36+'Wed (2)'!I36+Sun!I36+Sat!I36)</f>
        <v>3</v>
      </c>
      <c r="J36" s="65">
        <f>('Thurs (2)'!J36+Thurs!J36+'Tues '!J36+Wed!J36+Fri!J36+'Mon '!J36+'Wed (2)'!J36+Sun!J36+Sat!J36)</f>
        <v>3</v>
      </c>
      <c r="K36" s="65">
        <f>('Thurs (2)'!K36+Thurs!K36+'Tues '!K36+Wed!K36+Fri!K36+'Mon '!K36+'Wed (2)'!K36+Sun!K36+Sat!K36)</f>
        <v>3</v>
      </c>
      <c r="L36" s="65">
        <f>('Thurs (2)'!L36+Thurs!L36+'Tues '!L36+Wed!L36+Fri!L36+'Mon '!L36+'Wed (2)'!L36+Sun!L36+Sat!L36)</f>
        <v>8</v>
      </c>
      <c r="M36" s="65">
        <f>('Thurs (2)'!M36+Thurs!M36+'Tues '!M36+Wed!M36+Fri!M36+'Mon '!M36+'Wed (2)'!M36+Sun!M36+Sat!M36)</f>
        <v>10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8</v>
      </c>
      <c r="S36" s="65">
        <f>('Thurs (2)'!S36+Thurs!S36+'Tues '!S36+Wed!S36+Fri!S36+'Mon '!S36+'Wed (2)'!S36+Sun!S36+Sat!S36)</f>
        <v>3</v>
      </c>
      <c r="T36" s="65">
        <f>('Thurs (2)'!T36+Thurs!T36+'Tues '!T36+Wed!T36+Fri!T36+'Mon '!T36+'Wed (2)'!T36+Sun!T36+Sat!T36)</f>
        <v>9234</v>
      </c>
      <c r="U36" s="66">
        <f t="shared" si="4"/>
        <v>0.4285714286</v>
      </c>
      <c r="V36" s="66">
        <f t="shared" si="5"/>
        <v>1.5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>
        <f>('Thurs (2)'!G37+Thurs!G37+'Tues '!G37+Wed!G37+Fri!G37+'Mon '!G37+'Wed (2)'!G37+Sun!G37+Sat!G37)</f>
        <v>24</v>
      </c>
      <c r="H37" s="65">
        <f>('Thurs (2)'!H37+Thurs!H37+'Tues '!H37+Wed!H37+Fri!H37+'Mon '!H37+'Wed (2)'!H37+Sun!H37+Sat!H37)</f>
        <v>11</v>
      </c>
      <c r="I37" s="65">
        <f>('Thurs (2)'!I37+Thurs!I37+'Tues '!I37+Wed!I37+Fri!I37+'Mon '!I37+'Wed (2)'!I37+Sun!I37+Sat!I37)</f>
        <v>5</v>
      </c>
      <c r="J37" s="65">
        <f>('Thurs (2)'!J37+Thurs!J37+'Tues '!J37+Wed!J37+Fri!J37+'Mon '!J37+'Wed (2)'!J37+Sun!J37+Sat!J37)</f>
        <v>2</v>
      </c>
      <c r="K37" s="65">
        <f>('Thurs (2)'!K37+Thurs!K37+'Tues '!K37+Wed!K37+Fri!K37+'Mon '!K37+'Wed (2)'!K37+Sun!K37+Sat!K37)</f>
        <v>1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7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2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6</v>
      </c>
      <c r="S37" s="65">
        <f>('Thurs (2)'!S37+Thurs!S37+'Tues '!S37+Wed!S37+Fri!S37+'Mon '!S37+'Wed (2)'!S37+Sun!S37+Sat!S37)</f>
        <v>5</v>
      </c>
      <c r="T37" s="65">
        <f>('Thurs (2)'!T37+Thurs!T37+'Tues '!T37+Wed!T37+Fri!T37+'Mon '!T37+'Wed (2)'!T37+Sun!T37+Sat!T37)</f>
        <v>6057</v>
      </c>
      <c r="U37" s="66">
        <f t="shared" si="4"/>
        <v>0.4545454545</v>
      </c>
      <c r="V37" s="66">
        <f t="shared" si="5"/>
        <v>0.4583333333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>
        <f>('Thurs (2)'!G38+Thurs!G38+'Tues '!G38+Wed!G38+Fri!G38+'Mon '!G38+'Wed (2)'!G38+Sun!G38+Sat!G38)</f>
        <v>5</v>
      </c>
      <c r="H38" s="65">
        <f>('Thurs (2)'!H38+Thurs!H38+'Tues '!H38+Wed!H38+Fri!H38+'Mon '!H38+'Wed (2)'!H38+Sun!H38+Sat!H38)</f>
        <v>2</v>
      </c>
      <c r="I38" s="65">
        <f>('Thurs (2)'!I38+Thurs!I38+'Tues '!I38+Wed!I38+Fri!I38+'Mon '!I38+'Wed (2)'!I38+Sun!I38+Sat!I38)</f>
        <v>1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25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2</v>
      </c>
      <c r="S38" s="65">
        <f>('Thurs (2)'!S38+Thurs!S38+'Tues '!S38+Wed!S38+Fri!S38+'Mon '!S38+'Wed (2)'!S38+Sun!S38+Sat!S38)</f>
        <v>1</v>
      </c>
      <c r="T38" s="65">
        <f>('Thurs (2)'!T38+Thurs!T38+'Tues '!T38+Wed!T38+Fri!T38+'Mon '!T38+'Wed (2)'!T38+Sun!T38+Sat!T38)</f>
        <v>1680</v>
      </c>
      <c r="U38" s="66">
        <f t="shared" si="4"/>
        <v>0.5</v>
      </c>
      <c r="V38" s="66">
        <f t="shared" si="5"/>
        <v>0.4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32</v>
      </c>
      <c r="H39" s="65">
        <f>('Thurs (2)'!H39+Thurs!H39+'Tues '!H39+Wed!H39+Fri!H39+'Mon '!H39+'Wed (2)'!H39+Sun!H39+Sat!H39)</f>
        <v>13</v>
      </c>
      <c r="I39" s="65">
        <f>('Thurs (2)'!I39+Thurs!I39+'Tues '!I39+Wed!I39+Fri!I39+'Mon '!I39+'Wed (2)'!I39+Sun!I39+Sat!I39)</f>
        <v>6</v>
      </c>
      <c r="J39" s="65">
        <f>('Thurs (2)'!J39+Thurs!J39+'Tues '!J39+Wed!J39+Fri!J39+'Mon '!J39+'Wed (2)'!J39+Sun!J39+Sat!J39)</f>
        <v>12</v>
      </c>
      <c r="K39" s="65">
        <f>('Thurs (2)'!K39+Thurs!K39+'Tues '!K39+Wed!K39+Fri!K39+'Mon '!K39+'Wed (2)'!K39+Sun!K39+Sat!K39)</f>
        <v>8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43</v>
      </c>
      <c r="N39" s="65">
        <f>('Thurs (2)'!N39+Thurs!N39+'Tues '!N39+Wed!N39+Fri!N39+'Mon '!N39+'Wed (2)'!N39+Sun!N39+Sat!N39)</f>
        <v>5</v>
      </c>
      <c r="O39" s="65">
        <f>('Thurs (2)'!O39+Thurs!O39+'Tues '!O39+Wed!O39+Fri!O39+'Mon '!O39+'Wed (2)'!O39+Sun!O39+Sat!O39)</f>
        <v>3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8</v>
      </c>
      <c r="S39" s="65">
        <f>('Thurs (2)'!S39+Thurs!S39+'Tues '!S39+Wed!S39+Fri!S39+'Mon '!S39+'Wed (2)'!S39+Sun!S39+Sat!S39)</f>
        <v>5</v>
      </c>
      <c r="T39" s="65">
        <f>('Thurs (2)'!T39+Thurs!T39+'Tues '!T39+Wed!T39+Fri!T39+'Mon '!T39+'Wed (2)'!T39+Sun!T39+Sat!T39)</f>
        <v>16230</v>
      </c>
      <c r="U39" s="66">
        <f t="shared" si="4"/>
        <v>0.4615384615</v>
      </c>
      <c r="V39" s="66">
        <f t="shared" si="5"/>
        <v>0.40625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5</v>
      </c>
      <c r="H40" s="65">
        <f>('Thurs (2)'!H40+Thurs!H40+'Tues '!H40+Wed!H40+Fri!H40+'Mon '!H40+'Wed (2)'!H40+Sun!H40+Sat!H40)</f>
        <v>1</v>
      </c>
      <c r="I40" s="65">
        <f>('Thurs (2)'!I40+Thurs!I40+'Tues '!I40+Wed!I40+Fri!I40+'Mon '!I40+'Wed (2)'!I40+Sun!I40+Sat!I40)</f>
        <v>1</v>
      </c>
      <c r="J40" s="65">
        <f>('Thurs (2)'!J40+Thurs!J40+'Tues '!J40+Wed!J40+Fri!J40+'Mon '!J40+'Wed (2)'!J40+Sun!J40+Sat!J40)</f>
        <v>1</v>
      </c>
      <c r="K40" s="65">
        <f>('Thurs (2)'!K40+Thurs!K40+'Tues '!K40+Wed!K40+Fri!K40+'Mon '!K40+'Wed (2)'!K40+Sun!K40+Sat!K40)</f>
        <v>1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2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1</v>
      </c>
      <c r="S40" s="65">
        <f>('Thurs (2)'!S40+Thurs!S40+'Tues '!S40+Wed!S40+Fri!S40+'Mon '!S40+'Wed (2)'!S40+Sun!S40+Sat!S40)</f>
        <v>1</v>
      </c>
      <c r="T40" s="65">
        <f>('Thurs (2)'!T40+Thurs!T40+'Tues '!T40+Wed!T40+Fri!T40+'Mon '!T40+'Wed (2)'!T40+Sun!T40+Sat!T40)</f>
        <v>2111</v>
      </c>
      <c r="U40" s="66">
        <f t="shared" si="4"/>
        <v>1</v>
      </c>
      <c r="V40" s="66">
        <f t="shared" si="5"/>
        <v>0.2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12</v>
      </c>
      <c r="H41" s="65">
        <f>('Thurs (2)'!H41+Thurs!H41+'Tues '!H41+Wed!H41+Fri!H41+'Mon '!H41+'Wed (2)'!H41+Sun!H41+Sat!H41)</f>
        <v>6</v>
      </c>
      <c r="I41" s="65">
        <f>('Thurs (2)'!I41+Thurs!I41+'Tues '!I41+Wed!I41+Fri!I41+'Mon '!I41+'Wed (2)'!I41+Sun!I41+Sat!I41)</f>
        <v>3</v>
      </c>
      <c r="J41" s="65">
        <f>('Thurs (2)'!J41+Thurs!J41+'Tues '!J41+Wed!J41+Fri!J41+'Mon '!J41+'Wed (2)'!J41+Sun!J41+Sat!J41)</f>
        <v>5</v>
      </c>
      <c r="K41" s="65">
        <f>('Thurs (2)'!K41+Thurs!K41+'Tues '!K41+Wed!K41+Fri!K41+'Mon '!K41+'Wed (2)'!K41+Sun!K41+Sat!K41)</f>
        <v>2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10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6</v>
      </c>
      <c r="S41" s="65">
        <f>('Thurs (2)'!S41+Thurs!S41+'Tues '!S41+Wed!S41+Fri!S41+'Mon '!S41+'Wed (2)'!S41+Sun!S41+Sat!S41)</f>
        <v>3</v>
      </c>
      <c r="T41" s="65">
        <f>('Thurs (2)'!T41+Thurs!T41+'Tues '!T41+Wed!T41+Fri!T41+'Mon '!T41+'Wed (2)'!T41+Sun!T41+Sat!T41)</f>
        <v>7375</v>
      </c>
      <c r="U41" s="66">
        <f t="shared" si="4"/>
        <v>0.5</v>
      </c>
      <c r="V41" s="66">
        <f t="shared" si="5"/>
        <v>0.5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>
        <f>('Thurs (2)'!G42+Thurs!G42+'Tues '!G42+Wed!G42+Fri!G42+'Mon '!G42+'Wed (2)'!G42+Sun!G42+Sat!G42)</f>
        <v>2</v>
      </c>
      <c r="H42" s="65">
        <f>('Thurs (2)'!H42+Thurs!H42+'Tues '!H42+Wed!H42+Fri!H42+'Mon '!H42+'Wed (2)'!H42+Sun!H42+Sat!H42)</f>
        <v>2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2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1</v>
      </c>
      <c r="M42" s="65">
        <f>('Thurs (2)'!M42+Thurs!M42+'Tues '!M42+Wed!M42+Fri!M42+'Mon '!M42+'Wed (2)'!M42+Sun!M42+Sat!M42)</f>
        <v>5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2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1.5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3</v>
      </c>
      <c r="H43" s="65">
        <f>('Thurs (2)'!H43+Thurs!H43+'Tues '!H43+Wed!H43+Fri!H43+'Mon '!H43+'Wed (2)'!H43+Sun!H43+Sat!H43)</f>
        <v>2</v>
      </c>
      <c r="I43" s="65">
        <f>('Thurs (2)'!I43+Thurs!I43+'Tues '!I43+Wed!I43+Fri!I43+'Mon '!I43+'Wed (2)'!I43+Sun!I43+Sat!I43)</f>
        <v>2</v>
      </c>
      <c r="J43" s="65">
        <f>('Thurs (2)'!J43+Thurs!J43+'Tues '!J43+Wed!J43+Fri!J43+'Mon '!J43+'Wed (2)'!J43+Sun!J43+Sat!J43)</f>
        <v>2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8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2</v>
      </c>
      <c r="S43" s="65">
        <f>('Thurs (2)'!S43+Thurs!S43+'Tues '!S43+Wed!S43+Fri!S43+'Mon '!S43+'Wed (2)'!S43+Sun!S43+Sat!S43)</f>
        <v>2</v>
      </c>
      <c r="T43" s="65">
        <f>('Thurs (2)'!T43+Thurs!T43+'Tues '!T43+Wed!T43+Fri!T43+'Mon '!T43+'Wed (2)'!T43+Sun!T43+Sat!T43)</f>
        <v>4044</v>
      </c>
      <c r="U43" s="66">
        <f t="shared" si="4"/>
        <v>1</v>
      </c>
      <c r="V43" s="66">
        <f t="shared" si="5"/>
        <v>0.6666666667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>
        <f>('Thurs (2)'!G44+Thurs!G44+'Tues '!G44+Wed!G44+Fri!G44+'Mon '!G44+'Wed (2)'!G44+Sun!G44+Sat!G44)</f>
        <v>18</v>
      </c>
      <c r="H44" s="65">
        <f>('Thurs (2)'!H44+Thurs!H44+'Tues '!H44+Wed!H44+Fri!H44+'Mon '!H44+'Wed (2)'!H44+Sun!H44+Sat!H44)</f>
        <v>3</v>
      </c>
      <c r="I44" s="65">
        <f>('Thurs (2)'!I44+Thurs!I44+'Tues '!I44+Wed!I44+Fri!I44+'Mon '!I44+'Wed (2)'!I44+Sun!I44+Sat!I44)</f>
        <v>2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5</v>
      </c>
      <c r="M44" s="65">
        <f>('Thurs (2)'!M44+Thurs!M44+'Tues '!M44+Wed!M44+Fri!M44+'Mon '!M44+'Wed (2)'!M44+Sun!M44+Sat!M44)</f>
        <v>5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3</v>
      </c>
      <c r="S44" s="65">
        <f>('Thurs (2)'!S44+Thurs!S44+'Tues '!S44+Wed!S44+Fri!S44+'Mon '!S44+'Wed (2)'!S44+Sun!S44+Sat!S44)</f>
        <v>2</v>
      </c>
      <c r="T44" s="65">
        <f>('Thurs (2)'!T44+Thurs!T44+'Tues '!T44+Wed!T44+Fri!T44+'Mon '!T44+'Wed (2)'!T44+Sun!T44+Sat!T44)</f>
        <v>4510</v>
      </c>
      <c r="U44" s="66">
        <f t="shared" si="4"/>
        <v>0.6666666667</v>
      </c>
      <c r="V44" s="66">
        <f t="shared" si="5"/>
        <v>0.4444444444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2</v>
      </c>
      <c r="H46" s="65">
        <f>('Thurs (2)'!H46+Thurs!H46+'Tues '!H46+Wed!H46+Fri!H46+'Mon '!H46+'Wed (2)'!H46+Sun!H46+Sat!H46)</f>
        <v>1</v>
      </c>
      <c r="I46" s="65">
        <f>('Thurs (2)'!I46+Thurs!I46+'Tues '!I46+Wed!I46+Fri!I46+'Mon '!I46+'Wed (2)'!I46+Sun!I46+Sat!I46)</f>
        <v>1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3</v>
      </c>
      <c r="N46" s="65">
        <f>('Thurs (2)'!N46+Thurs!N46+'Tues '!N46+Wed!N46+Fri!N46+'Mon '!N46+'Wed (2)'!N46+Sun!N46+Sat!N46)</f>
        <v>1</v>
      </c>
      <c r="O46" s="65">
        <f>('Thurs (2)'!O46+Thurs!O46+'Tues '!O46+Wed!O46+Fri!O46+'Mon '!O46+'Wed (2)'!O46+Sun!O46+Sat!O46)</f>
        <v>1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1020</v>
      </c>
      <c r="U46" s="66">
        <f t="shared" si="4"/>
        <v>1</v>
      </c>
      <c r="V46" s="66">
        <f t="shared" si="5"/>
        <v>0.5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>
        <f>('Thurs (2)'!G49+Thurs!G49+'Tues '!G49+Wed!G49+Fri!G49+'Mon '!G49+'Wed (2)'!G49+Sun!G49+Sat!G49)</f>
        <v>2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>
        <f>('Thurs (2)'!G50+Thurs!G50+'Tues '!G50+Wed!G50+Fri!G50+'Mon '!G50+'Wed (2)'!G50+Sun!G50+Sat!G50)</f>
        <v>3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2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0.6666666667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9644</v>
      </c>
      <c r="D2" s="9"/>
      <c r="E2" s="8">
        <f t="shared" ref="E2:R2" si="1">SUM(E5,E11)</f>
        <v>4621</v>
      </c>
      <c r="F2" s="8">
        <f t="shared" si="1"/>
        <v>41</v>
      </c>
      <c r="G2" s="10">
        <f t="shared" si="1"/>
        <v>16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5</v>
      </c>
      <c r="L2" s="10">
        <f t="shared" si="1"/>
        <v>4</v>
      </c>
      <c r="M2" s="10">
        <f t="shared" si="1"/>
        <v>54</v>
      </c>
      <c r="N2" s="10">
        <f t="shared" si="1"/>
        <v>2</v>
      </c>
      <c r="O2" s="10">
        <f t="shared" si="1"/>
        <v>0</v>
      </c>
      <c r="P2" s="10">
        <f t="shared" si="1"/>
        <v>6</v>
      </c>
      <c r="Q2" s="10">
        <f t="shared" si="1"/>
        <v>4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1928.8</v>
      </c>
      <c r="F4" s="20">
        <f>IFERROR((G2+R2)/F2,0)</f>
        <v>0.487804878</v>
      </c>
      <c r="G4" s="20">
        <f>IFERROR(H2/G2,0)</f>
        <v>0.3125</v>
      </c>
      <c r="H4" s="19">
        <f>(C2/C4)</f>
        <v>321.4666667</v>
      </c>
      <c r="I4" s="21"/>
      <c r="J4" s="20">
        <f>IFERROR(J2/I2,0)</f>
        <v>0</v>
      </c>
      <c r="K4" s="21"/>
      <c r="L4" s="20">
        <f>IFERROR(L2/K2,0)</f>
        <v>0.8</v>
      </c>
      <c r="M4" s="22">
        <f>IFERROR(M2/G2,0)</f>
        <v>3.375</v>
      </c>
      <c r="N4" s="21"/>
      <c r="O4" s="20">
        <f>IFERROR(O2/N2,0)</f>
        <v>0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4621</v>
      </c>
      <c r="D5" s="26"/>
      <c r="E5" s="27">
        <f>SUMIFS(T:T,A:A,B5,D:D,"Y")</f>
        <v>1398</v>
      </c>
      <c r="F5" s="8">
        <f>SUMIF(A:A,B5,G:G)</f>
        <v>26</v>
      </c>
      <c r="G5" s="10">
        <f>SUMIF(A:A,B5,H:H)</f>
        <v>12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2</v>
      </c>
      <c r="M5" s="10">
        <f>SUMIF(A:A,B5,M:M)</f>
        <v>45</v>
      </c>
      <c r="N5" s="10">
        <f>SUMIF(A:A,B5,N:N)</f>
        <v>1</v>
      </c>
      <c r="O5" s="10">
        <f>SUMIF(A:A,B5,O:O)</f>
        <v>0</v>
      </c>
      <c r="P5" s="10">
        <f>SUMIF(A:A,B5,J:J)</f>
        <v>3</v>
      </c>
      <c r="Q5" s="10">
        <f>SUMIF(A:A,B5,K:K)</f>
        <v>2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1540.333333</v>
      </c>
      <c r="F7" s="20">
        <f>IFERROR((G5+R5)/F5,0)</f>
        <v>0.5769230769</v>
      </c>
      <c r="G7" s="20">
        <f>IFERROR(H5/G5,0)</f>
        <v>0.25</v>
      </c>
      <c r="H7" s="19">
        <f>(C5/C7)</f>
        <v>355.4615385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3</v>
      </c>
      <c r="N7" s="21"/>
      <c r="O7" s="20">
        <f>IFERROR(O5/N5,0)</f>
        <v>0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4621</v>
      </c>
      <c r="D8" s="36"/>
      <c r="E8" s="37">
        <f>SUMIFS(T:T,B:B,B8,D:D,"Y")</f>
        <v>1398</v>
      </c>
      <c r="F8" s="38">
        <f>SUMIF(B19:B1129,B8,G19:G1129)</f>
        <v>26</v>
      </c>
      <c r="G8" s="39">
        <f>SUMIF(B19:B1129,B8,H19:H1129)</f>
        <v>12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3</v>
      </c>
      <c r="L8" s="39">
        <f>SUMIF(B19:B1129,B8,S19:S1129)</f>
        <v>2</v>
      </c>
      <c r="M8" s="39">
        <f>SUMIF(B19:B1129,B8,M19:M1129)</f>
        <v>45</v>
      </c>
      <c r="N8" s="39">
        <f>SUMIF(B19:B1129,B8,N19:N1129)</f>
        <v>1</v>
      </c>
      <c r="O8" s="38">
        <f>SUMIF(B19:B1129,B8,O19:O1129)</f>
        <v>0</v>
      </c>
      <c r="P8" s="39">
        <f>SUMIF(B19:B1129,B8,J19:J1129)</f>
        <v>3</v>
      </c>
      <c r="Q8" s="39">
        <f>SUMIF(B19:B1129,B8,K19:K1129)</f>
        <v>2</v>
      </c>
      <c r="R8" s="38">
        <f>SUMIF(B19:B1129,B8,L19:L1129)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1540.333333</v>
      </c>
      <c r="F10" s="51">
        <f>IFERROR((G8+R8)/F8,0)</f>
        <v>0.5769230769</v>
      </c>
      <c r="G10" s="51">
        <f>IFERROR(H8/G8,0)</f>
        <v>0.25</v>
      </c>
      <c r="H10" s="50">
        <f>(C8/C10)</f>
        <v>385.0833333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3</v>
      </c>
      <c r="N10" s="46"/>
      <c r="O10" s="51">
        <f>IFERROR(O8/N8,0)</f>
        <v>0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5023</v>
      </c>
      <c r="D11" s="26"/>
      <c r="E11" s="27">
        <f>SUMIFS(T:T,A:A,B11,D:D,"Y")</f>
        <v>3223</v>
      </c>
      <c r="F11" s="8">
        <f>SUMIF(A:A,B11,G:G)</f>
        <v>15</v>
      </c>
      <c r="G11" s="10">
        <f>SUMIF(A:A,B11,H:H)</f>
        <v>4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2</v>
      </c>
      <c r="M11" s="10">
        <f>SUMIF(A:A,B11,M:M)</f>
        <v>9</v>
      </c>
      <c r="N11" s="10">
        <f>SUMIF(A:A,B11,N:N)</f>
        <v>1</v>
      </c>
      <c r="O11" s="10">
        <f>SUMIF(A:A,B11,O:O)</f>
        <v>0</v>
      </c>
      <c r="P11" s="10">
        <f>SUMIF(A:A,B11,J:J)</f>
        <v>3</v>
      </c>
      <c r="Q11" s="10">
        <f>SUMIF(A:A,B11,K:K)</f>
        <v>2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2511.5</v>
      </c>
      <c r="F13" s="20">
        <f>IFERROR((G11+R11)/F11,0)</f>
        <v>0.3333333333</v>
      </c>
      <c r="G13" s="20">
        <f>IFERROR(H11/G11,0)</f>
        <v>0.5</v>
      </c>
      <c r="H13" s="19">
        <f>(C11/C13)</f>
        <v>295.4705882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1.8</v>
      </c>
      <c r="N13" s="21"/>
      <c r="O13" s="20">
        <f>IFERROR(O11/N11,0)</f>
        <v>0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5023</v>
      </c>
      <c r="D14" s="36"/>
      <c r="E14" s="37">
        <f>SUMIFS(T:T,B:B,B14,D:D,"Y")</f>
        <v>3223</v>
      </c>
      <c r="F14" s="38">
        <f>SUMIF(B19:B1129,B14,G19:G1129)</f>
        <v>15</v>
      </c>
      <c r="G14" s="39">
        <f>SUMIF(B19:B1129,B14,H19:H1129)</f>
        <v>4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2</v>
      </c>
      <c r="M14" s="39">
        <f>SUMIF(B19:B1129,B14,M19:M1129)</f>
        <v>9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3</v>
      </c>
      <c r="Q14" s="39">
        <f>SUMIF(B19:B1129,B14,K19:K1129)</f>
        <v>2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2511.5</v>
      </c>
      <c r="F16" s="51">
        <f>IFERROR((G14+R14)/F14,0)</f>
        <v>0.3333333333</v>
      </c>
      <c r="G16" s="51">
        <f>IFERROR(H14/G14,0)</f>
        <v>0.5</v>
      </c>
      <c r="H16" s="50">
        <f>(C14/C16)</f>
        <v>313.9375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1.8</v>
      </c>
      <c r="N16" s="46"/>
      <c r="O16" s="51">
        <f>IFERROR(O14/N14,0)</f>
        <v>0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8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4.0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2.0</v>
      </c>
      <c r="I22" s="105">
        <v>0.0</v>
      </c>
      <c r="J22" s="105">
        <v>0.0</v>
      </c>
      <c r="K22" s="105">
        <v>0.0</v>
      </c>
      <c r="L22" s="105">
        <v>2.0</v>
      </c>
      <c r="M22" s="105">
        <v>4.0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1.333333333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65"/>
      <c r="U25" s="66">
        <f t="shared" si="2"/>
        <v>0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2.0</v>
      </c>
      <c r="I26" s="105">
        <v>1.0</v>
      </c>
      <c r="J26" s="105">
        <v>2.0</v>
      </c>
      <c r="K26" s="105">
        <v>1.0</v>
      </c>
      <c r="L26" s="105">
        <v>0.0</v>
      </c>
      <c r="M26" s="105">
        <v>6.0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1398.0</v>
      </c>
      <c r="U26" s="66">
        <f t="shared" si="2"/>
        <v>0.5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4.0</v>
      </c>
      <c r="H27" s="105">
        <v>2.0</v>
      </c>
      <c r="I27" s="105">
        <v>1.0</v>
      </c>
      <c r="J27" s="105">
        <v>1.0</v>
      </c>
      <c r="K27" s="105">
        <v>1.0</v>
      </c>
      <c r="L27" s="105">
        <v>0.0</v>
      </c>
      <c r="M27" s="105">
        <v>16.0</v>
      </c>
      <c r="N27" s="105">
        <v>0.0</v>
      </c>
      <c r="O27" s="105">
        <v>0.0</v>
      </c>
      <c r="P27" s="105">
        <v>0.0</v>
      </c>
      <c r="Q27" s="105">
        <v>0.0</v>
      </c>
      <c r="R27" s="105">
        <v>1.0</v>
      </c>
      <c r="S27" s="105">
        <v>1.0</v>
      </c>
      <c r="T27" s="105">
        <v>1512.0</v>
      </c>
      <c r="U27" s="66">
        <f t="shared" si="2"/>
        <v>0.5</v>
      </c>
      <c r="V27" s="66">
        <f t="shared" si="3"/>
        <v>0.5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0.0</v>
      </c>
      <c r="J28" s="105">
        <v>0.0</v>
      </c>
      <c r="K28" s="105">
        <v>0.0</v>
      </c>
      <c r="L28" s="105">
        <v>0.0</v>
      </c>
      <c r="M28" s="105">
        <v>4.0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06">
        <v>0.0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2.0</v>
      </c>
      <c r="H30" s="105">
        <v>1.0</v>
      </c>
      <c r="I30" s="105">
        <v>0.0</v>
      </c>
      <c r="J30" s="105">
        <v>0.0</v>
      </c>
      <c r="K30" s="105">
        <v>0.0</v>
      </c>
      <c r="L30" s="105">
        <v>1.0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ref="U30:U32" si="4">IFERROR(I30/H30,0)</f>
        <v>0</v>
      </c>
      <c r="V30" s="66">
        <f t="shared" si="3"/>
        <v>1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3.0</v>
      </c>
      <c r="H32" s="105">
        <v>3.0</v>
      </c>
      <c r="I32" s="105">
        <v>1.0</v>
      </c>
      <c r="J32" s="105">
        <v>0.0</v>
      </c>
      <c r="K32" s="105">
        <v>0.0</v>
      </c>
      <c r="L32" s="105">
        <v>0.0</v>
      </c>
      <c r="M32" s="105">
        <v>15.0</v>
      </c>
      <c r="N32" s="105">
        <v>1.0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1711.0</v>
      </c>
      <c r="U32" s="66">
        <f t="shared" si="4"/>
        <v>0.3333333333</v>
      </c>
      <c r="V32" s="66">
        <f t="shared" si="3"/>
        <v>1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1.0</v>
      </c>
      <c r="H36" s="105">
        <v>2.0</v>
      </c>
      <c r="I36" s="105">
        <v>1.0</v>
      </c>
      <c r="J36" s="105">
        <v>1.0</v>
      </c>
      <c r="K36" s="105">
        <v>1.0</v>
      </c>
      <c r="L36" s="105">
        <v>1.0</v>
      </c>
      <c r="M36" s="105">
        <v>5.0</v>
      </c>
      <c r="N36" s="105">
        <v>0.0</v>
      </c>
      <c r="O36" s="105">
        <v>0.0</v>
      </c>
      <c r="P36" s="105">
        <v>0.0</v>
      </c>
      <c r="Q36" s="105">
        <v>0.0</v>
      </c>
      <c r="R36" s="105">
        <v>1.0</v>
      </c>
      <c r="S36" s="105">
        <v>1.0</v>
      </c>
      <c r="T36" s="105">
        <v>3223.0</v>
      </c>
      <c r="U36" s="66">
        <f t="shared" si="5"/>
        <v>0.5</v>
      </c>
      <c r="V36" s="66">
        <f t="shared" si="6"/>
        <v>3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1.0</v>
      </c>
      <c r="I37" s="105">
        <v>1.0</v>
      </c>
      <c r="J37" s="105">
        <v>1.0</v>
      </c>
      <c r="K37" s="105">
        <v>1.0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1.0</v>
      </c>
      <c r="S37" s="105">
        <v>1.0</v>
      </c>
      <c r="T37" s="105">
        <v>1800.0</v>
      </c>
      <c r="U37" s="66">
        <f t="shared" si="5"/>
        <v>1</v>
      </c>
      <c r="V37" s="66">
        <f t="shared" si="6"/>
        <v>0.25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5.0</v>
      </c>
      <c r="H39" s="105">
        <v>1.0</v>
      </c>
      <c r="I39" s="105">
        <v>0.0</v>
      </c>
      <c r="J39" s="105">
        <v>1.0</v>
      </c>
      <c r="K39" s="105">
        <v>0.0</v>
      </c>
      <c r="L39" s="105">
        <v>0.0</v>
      </c>
      <c r="M39" s="105">
        <v>4.0</v>
      </c>
      <c r="N39" s="105">
        <v>1.0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0.2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3.0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2.0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19308</v>
      </c>
      <c r="D2" s="9"/>
      <c r="E2" s="8">
        <f t="shared" ref="E2:R2" si="1">SUM(E5,E11)</f>
        <v>7306</v>
      </c>
      <c r="F2" s="8">
        <f t="shared" si="1"/>
        <v>55</v>
      </c>
      <c r="G2" s="10">
        <f t="shared" si="1"/>
        <v>27</v>
      </c>
      <c r="H2" s="10">
        <f t="shared" si="1"/>
        <v>12</v>
      </c>
      <c r="I2" s="10">
        <f t="shared" si="1"/>
        <v>1</v>
      </c>
      <c r="J2" s="10">
        <f t="shared" si="1"/>
        <v>0</v>
      </c>
      <c r="K2" s="10">
        <f t="shared" si="1"/>
        <v>21</v>
      </c>
      <c r="L2" s="10">
        <f t="shared" si="1"/>
        <v>9</v>
      </c>
      <c r="M2" s="10">
        <f t="shared" si="1"/>
        <v>111</v>
      </c>
      <c r="N2" s="10">
        <f t="shared" si="1"/>
        <v>7</v>
      </c>
      <c r="O2" s="10">
        <f t="shared" si="1"/>
        <v>2</v>
      </c>
      <c r="P2" s="10">
        <f t="shared" si="1"/>
        <v>12</v>
      </c>
      <c r="Q2" s="10">
        <f t="shared" si="1"/>
        <v>5</v>
      </c>
      <c r="R2" s="10">
        <f t="shared" si="1"/>
        <v>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1609</v>
      </c>
      <c r="F4" s="20">
        <f>IFERROR((G2+R2)/F2,0)</f>
        <v>0.6181818182</v>
      </c>
      <c r="G4" s="20">
        <f>IFERROR(H2/G2,0)</f>
        <v>0.4444444444</v>
      </c>
      <c r="H4" s="19">
        <f>(C2/C4)</f>
        <v>643.6</v>
      </c>
      <c r="I4" s="21"/>
      <c r="J4" s="20">
        <f>IFERROR(J2/I2,0)</f>
        <v>0</v>
      </c>
      <c r="K4" s="21"/>
      <c r="L4" s="20">
        <f>IFERROR(L2/K2,0)</f>
        <v>0.4285714286</v>
      </c>
      <c r="M4" s="22">
        <f>IFERROR(M2/G2,0)</f>
        <v>4.111111111</v>
      </c>
      <c r="N4" s="21"/>
      <c r="O4" s="20">
        <f>IFERROR(O2/N2,0)</f>
        <v>0.2857142857</v>
      </c>
      <c r="P4" s="22"/>
      <c r="Q4" s="20">
        <f>IFERROR(Q2/P2,0)</f>
        <v>0.4166666667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9692</v>
      </c>
      <c r="D5" s="26"/>
      <c r="E5" s="27">
        <f>SUMIFS(T:T,A:A,B5,D:D,"Y")</f>
        <v>7306</v>
      </c>
      <c r="F5" s="8">
        <f>SUMIF(A:A,B5,G:G)</f>
        <v>28</v>
      </c>
      <c r="G5" s="10">
        <f>SUMIF(A:A,B5,H:H)</f>
        <v>17</v>
      </c>
      <c r="H5" s="10">
        <f>SUMIF(A:A,B5,I:I)</f>
        <v>7</v>
      </c>
      <c r="I5" s="10">
        <f>SUMIF(A:A,B5,P:P)</f>
        <v>1</v>
      </c>
      <c r="J5" s="10">
        <f>SUMIF(A:A,B5,Q:Q)</f>
        <v>0</v>
      </c>
      <c r="K5" s="10">
        <f>SUMIF(A:A,B5,R:R)</f>
        <v>6</v>
      </c>
      <c r="L5" s="10">
        <f>SUMIF(A:A,B5,S:S)</f>
        <v>4</v>
      </c>
      <c r="M5" s="10">
        <f>SUMIF(A:A,B5,M:M)</f>
        <v>94</v>
      </c>
      <c r="N5" s="10">
        <f>SUMIF(A:A,B5,N:N)</f>
        <v>7</v>
      </c>
      <c r="O5" s="10">
        <f>SUMIF(A:A,B5,O:O)</f>
        <v>2</v>
      </c>
      <c r="P5" s="10">
        <f>SUMIF(A:A,B5,J:J)</f>
        <v>6</v>
      </c>
      <c r="Q5" s="10">
        <f>SUMIF(A:A,B5,K:K)</f>
        <v>3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1384.571429</v>
      </c>
      <c r="F7" s="20">
        <f>IFERROR((G5+R5)/F5,0)</f>
        <v>0.7142857143</v>
      </c>
      <c r="G7" s="20">
        <f>IFERROR(H5/G5,0)</f>
        <v>0.4117647059</v>
      </c>
      <c r="H7" s="19">
        <f>(C5/C7)</f>
        <v>745.5384615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4.7</v>
      </c>
      <c r="N7" s="21"/>
      <c r="O7" s="20">
        <f>IFERROR(O5/N5,0)</f>
        <v>0.2857142857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9692</v>
      </c>
      <c r="D8" s="36"/>
      <c r="E8" s="37">
        <f>SUMIFS(T:T,B:B,B8,D:D,"Y")</f>
        <v>7306</v>
      </c>
      <c r="F8" s="38">
        <f>SUMIF(B19:B1129,B8,G19:G1129)</f>
        <v>28</v>
      </c>
      <c r="G8" s="39">
        <f>SUMIF(B19:B1129,B8,H19:H1129)</f>
        <v>17</v>
      </c>
      <c r="H8" s="38">
        <f>SUMIF(B19:B1129,B8,I19:I1129)</f>
        <v>7</v>
      </c>
      <c r="I8" s="39">
        <f>SUMIF(B19:B1129,B8,P19:P1129)</f>
        <v>1</v>
      </c>
      <c r="J8" s="39">
        <f>SUMIF(B19:B1129,B8,Q19:Q1129)</f>
        <v>0</v>
      </c>
      <c r="K8" s="39">
        <f>SUMIF(B19:B1129,B8,R19:R1129)</f>
        <v>6</v>
      </c>
      <c r="L8" s="39">
        <f>SUMIF(B19:B1129,B8,S19:S1129)</f>
        <v>4</v>
      </c>
      <c r="M8" s="39">
        <f>SUMIF(B19:B1129,B8,M19:M1129)</f>
        <v>94</v>
      </c>
      <c r="N8" s="39">
        <f>SUMIF(B19:B1129,B8,N19:N1129)</f>
        <v>7</v>
      </c>
      <c r="O8" s="38">
        <f>SUMIF(B19:B1129,B8,O19:O1129)</f>
        <v>2</v>
      </c>
      <c r="P8" s="39">
        <f>SUMIF(B19:B1129,B8,J19:J1129)</f>
        <v>6</v>
      </c>
      <c r="Q8" s="39">
        <f>SUMIF(B19:B1129,B8,K19:K1129)</f>
        <v>3</v>
      </c>
      <c r="R8" s="38">
        <f>SUMIF(B19:B1129,B8,L19:L1129)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1384.571429</v>
      </c>
      <c r="F10" s="51">
        <f>IFERROR((G8+R8)/F8,0)</f>
        <v>0.7142857143</v>
      </c>
      <c r="G10" s="51">
        <f>IFERROR(H8/G8,0)</f>
        <v>0.4117647059</v>
      </c>
      <c r="H10" s="50">
        <f>(C8/C10)</f>
        <v>807.6666667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4.7</v>
      </c>
      <c r="N10" s="46"/>
      <c r="O10" s="51">
        <f>IFERROR(O8/N8,0)</f>
        <v>0.2857142857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9616</v>
      </c>
      <c r="D11" s="26"/>
      <c r="E11" s="27">
        <f>SUMIFS(T:T,A:A,B11,D:D,"Y")</f>
        <v>0</v>
      </c>
      <c r="F11" s="8">
        <f>SUMIF(A:A,B11,G:G)</f>
        <v>27</v>
      </c>
      <c r="G11" s="10">
        <f>SUMIF(A:A,B11,H:H)</f>
        <v>10</v>
      </c>
      <c r="H11" s="10">
        <f>SUMIF(A:A,B11,I:I)</f>
        <v>5</v>
      </c>
      <c r="I11" s="10">
        <f>SUMIF(A:A,B11,P:P)</f>
        <v>0</v>
      </c>
      <c r="J11" s="10">
        <f>SUMIF(A:A,B11,Q:Q)</f>
        <v>0</v>
      </c>
      <c r="K11" s="10">
        <f>SUMIF(A:A,B11,R:R)</f>
        <v>15</v>
      </c>
      <c r="L11" s="10">
        <f>SUMIF(A:A,B11,S:S)</f>
        <v>5</v>
      </c>
      <c r="M11" s="10">
        <f>SUMIF(A:A,B11,M:M)</f>
        <v>17</v>
      </c>
      <c r="N11" s="10">
        <f>SUMIF(A:A,B11,N:N)</f>
        <v>0</v>
      </c>
      <c r="O11" s="10">
        <f>SUMIF(A:A,B11,O:O)</f>
        <v>0</v>
      </c>
      <c r="P11" s="10">
        <f>SUMIF(A:A,B11,J:J)</f>
        <v>6</v>
      </c>
      <c r="Q11" s="10">
        <f>SUMIF(A:A,B11,K:K)</f>
        <v>2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1923.2</v>
      </c>
      <c r="F13" s="20">
        <f>IFERROR((G11+R11)/F11,0)</f>
        <v>0.5185185185</v>
      </c>
      <c r="G13" s="20">
        <f>IFERROR(H11/G11,0)</f>
        <v>0.5</v>
      </c>
      <c r="H13" s="19">
        <f>(C11/C13)</f>
        <v>565.6470588</v>
      </c>
      <c r="I13" s="21"/>
      <c r="J13" s="20">
        <f>IFERROR(J11/I11,0)</f>
        <v>0</v>
      </c>
      <c r="K13" s="21"/>
      <c r="L13" s="20">
        <f>IFERROR(L11/K11,0)</f>
        <v>0.3333333333</v>
      </c>
      <c r="M13" s="22">
        <f>IFERROR(M11/SUM(R11+G11,0),"")</f>
        <v>1.214285714</v>
      </c>
      <c r="N13" s="21"/>
      <c r="O13" s="20">
        <f>IFERROR(O11/N11,0)</f>
        <v>0</v>
      </c>
      <c r="P13" s="22"/>
      <c r="Q13" s="20">
        <f>IFERROR(Q11/P11,0)</f>
        <v>0.3333333333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9616</v>
      </c>
      <c r="D14" s="36"/>
      <c r="E14" s="37">
        <f>SUMIFS(T:T,B:B,B14,D:D,"Y")</f>
        <v>0</v>
      </c>
      <c r="F14" s="38">
        <f>SUMIF(B19:B1129,B14,G19:G1129)</f>
        <v>27</v>
      </c>
      <c r="G14" s="39">
        <f>SUMIF(B19:B1129,B14,H19:H1129)</f>
        <v>10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15</v>
      </c>
      <c r="L14" s="39">
        <f>SUMIF(B19:B1129,B14,S19:S1129)</f>
        <v>5</v>
      </c>
      <c r="M14" s="39">
        <f>SUMIF(B19:B1129,B14,M19:M1129)</f>
        <v>17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6</v>
      </c>
      <c r="Q14" s="39">
        <f>SUMIF(B19:B1129,B14,K19:K1129)</f>
        <v>2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1923.2</v>
      </c>
      <c r="F16" s="51">
        <f>IFERROR((G14+R14)/F14,0)</f>
        <v>0.5185185185</v>
      </c>
      <c r="G16" s="51">
        <f>IFERROR(H14/G14,0)</f>
        <v>0.5</v>
      </c>
      <c r="H16" s="50">
        <f>(C14/C16)</f>
        <v>601</v>
      </c>
      <c r="I16" s="46"/>
      <c r="J16" s="51">
        <f>IFERROR(J14/I14,0)</f>
        <v>0</v>
      </c>
      <c r="K16" s="46"/>
      <c r="L16" s="51">
        <f>IFERROR(L14/K14,0)</f>
        <v>0.3333333333</v>
      </c>
      <c r="M16" s="52">
        <f>IFERROR(M14/SUM(G14+R14,0),"")</f>
        <v>1.214285714</v>
      </c>
      <c r="N16" s="46"/>
      <c r="O16" s="51">
        <f>IFERROR(O14/N14,0)</f>
        <v>0</v>
      </c>
      <c r="P16" s="53"/>
      <c r="Q16" s="51">
        <f>IFERROR(Q14/P14,0)</f>
        <v>0.3333333333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1.0</v>
      </c>
      <c r="I21" s="105">
        <v>0.0</v>
      </c>
      <c r="J21" s="105">
        <v>0.0</v>
      </c>
      <c r="K21" s="105">
        <v>0.0</v>
      </c>
      <c r="L21" s="105">
        <v>0.0</v>
      </c>
      <c r="M21" s="105">
        <v>2.0</v>
      </c>
      <c r="N21" s="105">
        <v>0.0</v>
      </c>
      <c r="O21" s="105">
        <v>0.0</v>
      </c>
      <c r="P21" s="105">
        <v>1.0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0.3333333333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6.0</v>
      </c>
      <c r="H22" s="105">
        <v>2.0</v>
      </c>
      <c r="I22" s="105">
        <v>2.0</v>
      </c>
      <c r="J22" s="105">
        <v>0.0</v>
      </c>
      <c r="K22" s="105">
        <v>0.0</v>
      </c>
      <c r="L22" s="105">
        <v>0.0</v>
      </c>
      <c r="M22" s="105">
        <v>6.0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1.0</v>
      </c>
      <c r="T22" s="105">
        <v>3591.0</v>
      </c>
      <c r="U22" s="66">
        <f t="shared" si="2"/>
        <v>1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3.0</v>
      </c>
      <c r="I24" s="105">
        <v>2.0</v>
      </c>
      <c r="J24" s="105">
        <v>3.0</v>
      </c>
      <c r="K24" s="105">
        <v>2.0</v>
      </c>
      <c r="L24" s="105">
        <v>1.0</v>
      </c>
      <c r="M24" s="105">
        <v>30.0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3.0</v>
      </c>
      <c r="S24" s="105">
        <v>2.0</v>
      </c>
      <c r="T24" s="105">
        <v>2655.0</v>
      </c>
      <c r="U24" s="66">
        <f t="shared" si="2"/>
        <v>0.6666666667</v>
      </c>
      <c r="V24" s="66">
        <f t="shared" si="3"/>
        <v>2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3.0</v>
      </c>
      <c r="H25" s="105">
        <v>2.0</v>
      </c>
      <c r="I25" s="105">
        <v>0.0</v>
      </c>
      <c r="J25" s="105">
        <v>0.0</v>
      </c>
      <c r="K25" s="105">
        <v>0.0</v>
      </c>
      <c r="L25" s="105">
        <v>0.0</v>
      </c>
      <c r="M25" s="105">
        <v>7.0</v>
      </c>
      <c r="N25" s="105">
        <v>2.0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0.6666666667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2.0</v>
      </c>
      <c r="I26" s="105">
        <v>1.0</v>
      </c>
      <c r="J26" s="105">
        <v>1.0</v>
      </c>
      <c r="K26" s="105">
        <v>1.0</v>
      </c>
      <c r="L26" s="105">
        <v>2.0</v>
      </c>
      <c r="M26" s="105">
        <v>26.0</v>
      </c>
      <c r="N26" s="105">
        <v>1.0</v>
      </c>
      <c r="O26" s="105">
        <v>1.0</v>
      </c>
      <c r="P26" s="105">
        <v>0.0</v>
      </c>
      <c r="Q26" s="105">
        <v>0.0</v>
      </c>
      <c r="R26" s="105">
        <v>0.0</v>
      </c>
      <c r="S26" s="105">
        <v>0.0</v>
      </c>
      <c r="T26" s="105">
        <v>1060.0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3.0</v>
      </c>
      <c r="I28" s="105">
        <v>1.0</v>
      </c>
      <c r="J28" s="105">
        <v>0.0</v>
      </c>
      <c r="K28" s="105">
        <v>0.0</v>
      </c>
      <c r="L28" s="105">
        <v>0.0</v>
      </c>
      <c r="M28" s="105">
        <v>12.0</v>
      </c>
      <c r="N28" s="105">
        <v>1.0</v>
      </c>
      <c r="O28" s="105">
        <v>0.0</v>
      </c>
      <c r="P28" s="105">
        <v>0.0</v>
      </c>
      <c r="Q28" s="105">
        <v>0.0</v>
      </c>
      <c r="R28" s="105">
        <v>2.0</v>
      </c>
      <c r="S28" s="105">
        <v>1.0</v>
      </c>
      <c r="T28" s="105">
        <v>1600.0</v>
      </c>
      <c r="U28" s="66">
        <f t="shared" si="2"/>
        <v>0.3333333333</v>
      </c>
      <c r="V28" s="66">
        <f t="shared" si="3"/>
        <v>0.75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3.0</v>
      </c>
      <c r="H29" s="105">
        <v>2.0</v>
      </c>
      <c r="I29" s="105">
        <v>0.0</v>
      </c>
      <c r="J29" s="105">
        <v>2.0</v>
      </c>
      <c r="K29" s="105">
        <v>0.0</v>
      </c>
      <c r="L29" s="105">
        <v>0.0</v>
      </c>
      <c r="M29" s="105">
        <v>11.0</v>
      </c>
      <c r="N29" s="105">
        <v>2.0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0.6666666667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3.0</v>
      </c>
      <c r="H32" s="105">
        <v>2.0</v>
      </c>
      <c r="I32" s="105">
        <v>1.0</v>
      </c>
      <c r="J32" s="105">
        <v>0.0</v>
      </c>
      <c r="K32" s="105">
        <v>0.0</v>
      </c>
      <c r="L32" s="105">
        <v>0.0</v>
      </c>
      <c r="M32" s="105">
        <v>0.0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786.0</v>
      </c>
      <c r="U32" s="66">
        <f t="shared" si="2"/>
        <v>0.5</v>
      </c>
      <c r="V32" s="66">
        <f t="shared" si="3"/>
        <v>0.6666666667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5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5.0</v>
      </c>
      <c r="S36" s="105">
        <v>0.0</v>
      </c>
      <c r="T36" s="105">
        <v>0.0</v>
      </c>
      <c r="U36" s="106">
        <v>0.0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3.0</v>
      </c>
      <c r="H37" s="105">
        <v>2.0</v>
      </c>
      <c r="I37" s="105">
        <v>1.0</v>
      </c>
      <c r="J37" s="105">
        <v>1.0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2.0</v>
      </c>
      <c r="S37" s="105">
        <v>1.0</v>
      </c>
      <c r="T37" s="105">
        <v>903.0</v>
      </c>
      <c r="U37" s="66">
        <f t="shared" ref="U37:U50" si="6">IFERROR(I37/H37,0)</f>
        <v>0.5</v>
      </c>
      <c r="V37" s="66">
        <f t="shared" si="5"/>
        <v>0.6666666667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2.0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6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7.0</v>
      </c>
      <c r="H39" s="105">
        <v>3.0</v>
      </c>
      <c r="I39" s="105">
        <v>2.0</v>
      </c>
      <c r="J39" s="105">
        <v>3.0</v>
      </c>
      <c r="K39" s="105">
        <v>2.0</v>
      </c>
      <c r="L39" s="105">
        <v>0.0</v>
      </c>
      <c r="M39" s="105">
        <v>8.0</v>
      </c>
      <c r="N39" s="105">
        <v>0.0</v>
      </c>
      <c r="O39" s="105">
        <v>0.0</v>
      </c>
      <c r="P39" s="105">
        <v>0.0</v>
      </c>
      <c r="Q39" s="105">
        <v>0.0</v>
      </c>
      <c r="R39" s="105">
        <v>3.0</v>
      </c>
      <c r="S39" s="105">
        <v>2.0</v>
      </c>
      <c r="T39" s="105">
        <v>3456.0</v>
      </c>
      <c r="U39" s="66">
        <f t="shared" si="6"/>
        <v>0.6666666667</v>
      </c>
      <c r="V39" s="66">
        <f t="shared" si="5"/>
        <v>0.4285714286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6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3.0</v>
      </c>
      <c r="H41" s="105">
        <v>1.0</v>
      </c>
      <c r="I41" s="105">
        <v>1.0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2747.0</v>
      </c>
      <c r="U41" s="66">
        <f t="shared" si="6"/>
        <v>1</v>
      </c>
      <c r="V41" s="66">
        <f t="shared" si="5"/>
        <v>0.3333333333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2.0</v>
      </c>
      <c r="H42" s="105">
        <v>2.0</v>
      </c>
      <c r="I42" s="105">
        <v>0.0</v>
      </c>
      <c r="J42" s="105">
        <v>2.0</v>
      </c>
      <c r="K42" s="105">
        <v>0.0</v>
      </c>
      <c r="L42" s="105">
        <v>1.0</v>
      </c>
      <c r="M42" s="105">
        <v>5.0</v>
      </c>
      <c r="N42" s="105">
        <v>0.0</v>
      </c>
      <c r="O42" s="105">
        <v>0.0</v>
      </c>
      <c r="P42" s="105">
        <v>0.0</v>
      </c>
      <c r="Q42" s="105">
        <v>0.0</v>
      </c>
      <c r="R42" s="105">
        <v>2.0</v>
      </c>
      <c r="S42" s="105">
        <v>0.0</v>
      </c>
      <c r="T42" s="105">
        <v>0.0</v>
      </c>
      <c r="U42" s="66">
        <f t="shared" si="6"/>
        <v>0</v>
      </c>
      <c r="V42" s="66">
        <f t="shared" si="5"/>
        <v>1.5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6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8.0</v>
      </c>
      <c r="H44" s="105">
        <v>2.0</v>
      </c>
      <c r="I44" s="105">
        <v>1.0</v>
      </c>
      <c r="J44" s="105">
        <v>0.0</v>
      </c>
      <c r="K44" s="105">
        <v>0.0</v>
      </c>
      <c r="L44" s="105">
        <v>3.0</v>
      </c>
      <c r="M44" s="105">
        <v>4.0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2510.0</v>
      </c>
      <c r="U44" s="66">
        <f t="shared" si="6"/>
        <v>0.5</v>
      </c>
      <c r="V44" s="66">
        <f t="shared" si="5"/>
        <v>0.625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6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6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6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6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6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6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19331</v>
      </c>
      <c r="D2" s="9"/>
      <c r="E2" s="8">
        <f t="shared" ref="E2:R2" si="1">SUM(E5,E11)</f>
        <v>14814</v>
      </c>
      <c r="F2" s="8">
        <f t="shared" si="1"/>
        <v>43</v>
      </c>
      <c r="G2" s="10">
        <f t="shared" si="1"/>
        <v>11</v>
      </c>
      <c r="H2" s="10">
        <f t="shared" si="1"/>
        <v>9</v>
      </c>
      <c r="I2" s="10">
        <f t="shared" si="1"/>
        <v>0</v>
      </c>
      <c r="J2" s="10">
        <f t="shared" si="1"/>
        <v>0</v>
      </c>
      <c r="K2" s="10">
        <f t="shared" si="1"/>
        <v>7</v>
      </c>
      <c r="L2" s="10">
        <f t="shared" si="1"/>
        <v>6</v>
      </c>
      <c r="M2" s="10">
        <f t="shared" si="1"/>
        <v>59</v>
      </c>
      <c r="N2" s="10">
        <f t="shared" si="1"/>
        <v>3</v>
      </c>
      <c r="O2" s="10">
        <f t="shared" si="1"/>
        <v>3</v>
      </c>
      <c r="P2" s="10">
        <f t="shared" si="1"/>
        <v>7</v>
      </c>
      <c r="Q2" s="10">
        <f t="shared" si="1"/>
        <v>6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2147.888889</v>
      </c>
      <c r="F4" s="20">
        <f>IFERROR((G2+R2)/F2,0)</f>
        <v>0.3023255814</v>
      </c>
      <c r="G4" s="20">
        <f>IFERROR(H2/G2,0)</f>
        <v>0.8181818182</v>
      </c>
      <c r="H4" s="19">
        <f>(C2/C4)</f>
        <v>644.3666667</v>
      </c>
      <c r="I4" s="21"/>
      <c r="J4" s="20">
        <f>IFERROR(J2/I2,0)</f>
        <v>0</v>
      </c>
      <c r="K4" s="21"/>
      <c r="L4" s="20">
        <f>IFERROR(L2/K2,0)</f>
        <v>0.8571428571</v>
      </c>
      <c r="M4" s="22">
        <f>IFERROR(M2/G2,0)</f>
        <v>5.363636364</v>
      </c>
      <c r="N4" s="21"/>
      <c r="O4" s="20">
        <f>IFERROR(O2/N2,0)</f>
        <v>1</v>
      </c>
      <c r="P4" s="22"/>
      <c r="Q4" s="20">
        <f>IFERROR(Q2/P2,0)</f>
        <v>0.8571428571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8678</v>
      </c>
      <c r="D5" s="26"/>
      <c r="E5" s="27">
        <f>SUMIFS(T:T,A:A,B5,D:D,"Y")</f>
        <v>7381</v>
      </c>
      <c r="F5" s="8">
        <f>SUMIF(A:A,B5,G:G)</f>
        <v>26</v>
      </c>
      <c r="G5" s="10">
        <f>SUMIF(A:A,B5,H:H)</f>
        <v>5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2</v>
      </c>
      <c r="M5" s="10">
        <f>SUMIF(A:A,B5,M:M)</f>
        <v>52</v>
      </c>
      <c r="N5" s="10">
        <f>SUMIF(A:A,B5,N:N)</f>
        <v>2</v>
      </c>
      <c r="O5" s="10">
        <f>SUMIF(A:A,B5,O:O)</f>
        <v>2</v>
      </c>
      <c r="P5" s="10">
        <f>SUMIF(A:A,B5,J:J)</f>
        <v>4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2169.5</v>
      </c>
      <c r="F7" s="20">
        <f>IFERROR((G5+R5)/F5,0)</f>
        <v>0.1923076923</v>
      </c>
      <c r="G7" s="20">
        <f>IFERROR(H5/G5,0)</f>
        <v>0.8</v>
      </c>
      <c r="H7" s="19">
        <f>(C5/C7)</f>
        <v>667.5384615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10.4</v>
      </c>
      <c r="N7" s="21"/>
      <c r="O7" s="20">
        <f>IFERROR(O5/N5,0)</f>
        <v>1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8678</v>
      </c>
      <c r="D8" s="36"/>
      <c r="E8" s="37">
        <f>SUMIFS(T:T,B:B,B8,D:D,"Y")</f>
        <v>7381</v>
      </c>
      <c r="F8" s="38">
        <f>SUMIF(B19:B1129,B8,G19:G1129)</f>
        <v>26</v>
      </c>
      <c r="G8" s="39">
        <f>SUMIF(B19:B1129,B8,H19:H1129)</f>
        <v>5</v>
      </c>
      <c r="H8" s="38">
        <f>SUMIF(B19:B1129,B8,I19:I1129)</f>
        <v>4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3</v>
      </c>
      <c r="L8" s="39">
        <f>SUMIF(B19:B1129,B8,S19:S1129)</f>
        <v>2</v>
      </c>
      <c r="M8" s="39">
        <f>SUMIF(B19:B1129,B8,M19:M1129)</f>
        <v>52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2169.5</v>
      </c>
      <c r="F10" s="51">
        <f>IFERROR((G8+R8)/F8,0)</f>
        <v>0.1923076923</v>
      </c>
      <c r="G10" s="51">
        <f>IFERROR(H8/G8,0)</f>
        <v>0.8</v>
      </c>
      <c r="H10" s="50">
        <f>(C8/C10)</f>
        <v>723.1666667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10.4</v>
      </c>
      <c r="N10" s="46"/>
      <c r="O10" s="51">
        <f>IFERROR(O8/N8,0)</f>
        <v>1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10653</v>
      </c>
      <c r="D11" s="26"/>
      <c r="E11" s="27">
        <f>SUMIFS(T:T,A:A,B11,D:D,"Y")</f>
        <v>7433</v>
      </c>
      <c r="F11" s="8">
        <f>SUMIF(A:A,B11,G:G)</f>
        <v>17</v>
      </c>
      <c r="G11" s="10">
        <f>SUMIF(A:A,B11,H:H)</f>
        <v>6</v>
      </c>
      <c r="H11" s="10">
        <f>SUMIF(A:A,B11,I:I)</f>
        <v>5</v>
      </c>
      <c r="I11" s="10">
        <f>SUMIF(A:A,B11,P:P)</f>
        <v>0</v>
      </c>
      <c r="J11" s="10">
        <f>SUMIF(A:A,B11,Q:Q)</f>
        <v>0</v>
      </c>
      <c r="K11" s="10">
        <f>SUMIF(A:A,B11,R:R)</f>
        <v>4</v>
      </c>
      <c r="L11" s="10">
        <f>SUMIF(A:A,B11,S:S)</f>
        <v>4</v>
      </c>
      <c r="M11" s="10">
        <f>SUMIF(A:A,B11,M:M)</f>
        <v>7</v>
      </c>
      <c r="N11" s="10">
        <f>SUMIF(A:A,B11,N:N)</f>
        <v>1</v>
      </c>
      <c r="O11" s="10">
        <f>SUMIF(A:A,B11,O:O)</f>
        <v>1</v>
      </c>
      <c r="P11" s="10">
        <f>SUMIF(A:A,B11,J:J)</f>
        <v>3</v>
      </c>
      <c r="Q11" s="10">
        <f>SUMIF(A:A,B11,K:K)</f>
        <v>3</v>
      </c>
      <c r="R11" s="10">
        <f>SUMIF(A:A,B11,L:L)</f>
        <v>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2130.6</v>
      </c>
      <c r="F13" s="20">
        <f>IFERROR((G11+R11)/F11,0)</f>
        <v>0.4705882353</v>
      </c>
      <c r="G13" s="20">
        <f>IFERROR(H11/G11,0)</f>
        <v>0.8333333333</v>
      </c>
      <c r="H13" s="19">
        <f>(C11/C13)</f>
        <v>626.6470588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0.875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10653</v>
      </c>
      <c r="D14" s="36"/>
      <c r="E14" s="37">
        <f>SUMIFS(T:T,B:B,B14,D:D,"Y")</f>
        <v>7433</v>
      </c>
      <c r="F14" s="38">
        <f>SUMIF(B19:B1129,B14,G19:G1129)</f>
        <v>17</v>
      </c>
      <c r="G14" s="39">
        <f>SUMIF(B19:B1129,B14,H19:H1129)</f>
        <v>6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4</v>
      </c>
      <c r="L14" s="39">
        <f>SUMIF(B19:B1129,B14,S19:S1129)</f>
        <v>4</v>
      </c>
      <c r="M14" s="39">
        <f>SUMIF(B19:B1129,B14,M19:M1129)</f>
        <v>7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3</v>
      </c>
      <c r="Q14" s="39">
        <f>SUMIF(B19:B1129,B14,K19:K1129)</f>
        <v>3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2130.6</v>
      </c>
      <c r="F16" s="51">
        <f>IFERROR((G14+R14)/F14,0)</f>
        <v>0.4705882353</v>
      </c>
      <c r="G16" s="51">
        <f>IFERROR(H14/G14,0)</f>
        <v>0.8333333333</v>
      </c>
      <c r="H16" s="50">
        <f>(C14/C16)</f>
        <v>665.8125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0.875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3.0</v>
      </c>
      <c r="H24" s="105">
        <v>2.0</v>
      </c>
      <c r="I24" s="105">
        <v>1.0</v>
      </c>
      <c r="J24" s="105">
        <v>2.0</v>
      </c>
      <c r="K24" s="105">
        <v>1.0</v>
      </c>
      <c r="L24" s="105">
        <v>0.0</v>
      </c>
      <c r="M24" s="105">
        <v>36.0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1.0</v>
      </c>
      <c r="T24" s="105">
        <v>3480.0</v>
      </c>
      <c r="U24" s="66">
        <f t="shared" si="2"/>
        <v>0.5</v>
      </c>
      <c r="V24" s="66">
        <f t="shared" si="3"/>
        <v>0.6666666667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4.0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5.0</v>
      </c>
      <c r="H26" s="105">
        <v>2.0</v>
      </c>
      <c r="I26" s="105">
        <v>2.0</v>
      </c>
      <c r="J26" s="105">
        <v>2.0</v>
      </c>
      <c r="K26" s="105">
        <v>2.0</v>
      </c>
      <c r="L26" s="105">
        <v>0.0</v>
      </c>
      <c r="M26" s="105">
        <v>10.0</v>
      </c>
      <c r="N26" s="105">
        <v>1.0</v>
      </c>
      <c r="O26" s="105">
        <v>1.0</v>
      </c>
      <c r="P26" s="105">
        <v>0.0</v>
      </c>
      <c r="Q26" s="105">
        <v>0.0</v>
      </c>
      <c r="R26" s="105">
        <v>1.0</v>
      </c>
      <c r="S26" s="105">
        <v>1.0</v>
      </c>
      <c r="T26" s="105">
        <v>3901.0</v>
      </c>
      <c r="U26" s="66"/>
      <c r="V26" s="66">
        <f t="shared" si="3"/>
        <v>0.4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2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65"/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4.0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2.0</v>
      </c>
      <c r="H32" s="105">
        <v>1.0</v>
      </c>
      <c r="I32" s="105">
        <v>1.0</v>
      </c>
      <c r="J32" s="105">
        <v>0.0</v>
      </c>
      <c r="K32" s="105">
        <v>0.0</v>
      </c>
      <c r="L32" s="105">
        <v>0.0</v>
      </c>
      <c r="M32" s="105">
        <v>6.0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1297.0</v>
      </c>
      <c r="U32" s="66">
        <f t="shared" si="4"/>
        <v>1</v>
      </c>
      <c r="V32" s="66">
        <f t="shared" si="3"/>
        <v>0.5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2.0</v>
      </c>
      <c r="H35" s="105">
        <v>2.0</v>
      </c>
      <c r="I35" s="105">
        <v>1.0</v>
      </c>
      <c r="J35" s="105">
        <v>1.0</v>
      </c>
      <c r="K35" s="105">
        <v>1.0</v>
      </c>
      <c r="L35" s="105">
        <v>0.0</v>
      </c>
      <c r="M35" s="105">
        <v>1.0</v>
      </c>
      <c r="N35" s="105">
        <v>1.0</v>
      </c>
      <c r="O35" s="105">
        <v>1.0</v>
      </c>
      <c r="P35" s="105">
        <v>0.0</v>
      </c>
      <c r="Q35" s="105">
        <v>0.0</v>
      </c>
      <c r="R35" s="105">
        <v>0.0</v>
      </c>
      <c r="S35" s="105">
        <v>0.0</v>
      </c>
      <c r="T35" s="105">
        <v>1422.0</v>
      </c>
      <c r="U35" s="66">
        <f t="shared" si="5"/>
        <v>0.5</v>
      </c>
      <c r="V35" s="66">
        <f t="shared" si="6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4.0</v>
      </c>
      <c r="H36" s="105">
        <v>2.0</v>
      </c>
      <c r="I36" s="105">
        <v>2.0</v>
      </c>
      <c r="J36" s="105">
        <v>2.0</v>
      </c>
      <c r="K36" s="105">
        <v>2.0</v>
      </c>
      <c r="L36" s="105">
        <v>0.0</v>
      </c>
      <c r="M36" s="105">
        <v>5.0</v>
      </c>
      <c r="N36" s="105">
        <v>0.0</v>
      </c>
      <c r="O36" s="105">
        <v>0.0</v>
      </c>
      <c r="P36" s="105">
        <v>0.0</v>
      </c>
      <c r="Q36" s="105">
        <v>0.0</v>
      </c>
      <c r="R36" s="105">
        <v>2.0</v>
      </c>
      <c r="S36" s="105">
        <v>2.0</v>
      </c>
      <c r="T36" s="105">
        <v>6011.0</v>
      </c>
      <c r="U36" s="66">
        <f t="shared" si="5"/>
        <v>1</v>
      </c>
      <c r="V36" s="66">
        <f t="shared" si="6"/>
        <v>0.5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3.0</v>
      </c>
      <c r="H37" s="105">
        <v>1.0</v>
      </c>
      <c r="I37" s="105">
        <v>1.0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1.0</v>
      </c>
      <c r="S37" s="105">
        <v>1.0</v>
      </c>
      <c r="T37" s="105">
        <v>1220.0</v>
      </c>
      <c r="U37" s="66">
        <f t="shared" si="5"/>
        <v>1</v>
      </c>
      <c r="V37" s="66">
        <f t="shared" si="6"/>
        <v>0.3333333333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8.0</v>
      </c>
      <c r="H44" s="105">
        <v>1.0</v>
      </c>
      <c r="I44" s="105">
        <v>1.0</v>
      </c>
      <c r="J44" s="105">
        <v>0.0</v>
      </c>
      <c r="K44" s="105">
        <v>0.0</v>
      </c>
      <c r="L44" s="105">
        <v>2.0</v>
      </c>
      <c r="M44" s="105">
        <v>1.0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2000.0</v>
      </c>
      <c r="U44" s="66">
        <f t="shared" si="5"/>
        <v>1</v>
      </c>
      <c r="V44" s="66">
        <f t="shared" si="6"/>
        <v>0.375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7953</v>
      </c>
      <c r="D2" s="9"/>
      <c r="E2" s="8">
        <f t="shared" ref="E2:R2" si="1">SUM(E5,E11)</f>
        <v>3261</v>
      </c>
      <c r="F2" s="8">
        <f t="shared" si="1"/>
        <v>13</v>
      </c>
      <c r="G2" s="10">
        <f t="shared" si="1"/>
        <v>6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12</v>
      </c>
      <c r="N2" s="10">
        <f t="shared" si="1"/>
        <v>4</v>
      </c>
      <c r="O2" s="10">
        <f t="shared" si="1"/>
        <v>3</v>
      </c>
      <c r="P2" s="10">
        <f t="shared" si="1"/>
        <v>2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1988.25</v>
      </c>
      <c r="F4" s="20">
        <f>IFERROR((G2+R2)/F2,0)</f>
        <v>0.4615384615</v>
      </c>
      <c r="G4" s="20">
        <f>IFERROR(H2/G2,0)</f>
        <v>0.6666666667</v>
      </c>
      <c r="H4" s="19">
        <f>(C2/C4)</f>
        <v>265.1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</v>
      </c>
      <c r="N4" s="21"/>
      <c r="O4" s="20">
        <f>IFERROR(O2/N2,0)</f>
        <v>0.75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2858</v>
      </c>
      <c r="D5" s="26"/>
      <c r="E5" s="27">
        <f>SUMIFS(T:T,A:A,B5,D:D,"Y")</f>
        <v>1658</v>
      </c>
      <c r="F5" s="8">
        <f>SUMIF(A:A,B5,G:G)</f>
        <v>9</v>
      </c>
      <c r="G5" s="10">
        <f>SUMIF(A:A,B5,H:H)</f>
        <v>3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11</v>
      </c>
      <c r="N5" s="10">
        <f>SUMIF(A:A,B5,N:N)</f>
        <v>3</v>
      </c>
      <c r="O5" s="10">
        <f>SUMIF(A:A,B5,O:O)</f>
        <v>2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1429</v>
      </c>
      <c r="F7" s="20">
        <f>IFERROR((G5+R5)/F5,0)</f>
        <v>0.3333333333</v>
      </c>
      <c r="G7" s="20">
        <f>IFERROR(H5/G5,0)</f>
        <v>0.6666666667</v>
      </c>
      <c r="H7" s="19">
        <f>(C5/C7)</f>
        <v>219.8461538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3.666666667</v>
      </c>
      <c r="N7" s="21"/>
      <c r="O7" s="20">
        <f>IFERROR(O5/N5,0)</f>
        <v>0.6666666667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2858</v>
      </c>
      <c r="D8" s="36"/>
      <c r="E8" s="37">
        <f>SUMIFS(T:T,B:B,B8,D:D,"Y")</f>
        <v>1658</v>
      </c>
      <c r="F8" s="38">
        <f>SUMIF(B19:B1129,B8,G19:G1129)</f>
        <v>9</v>
      </c>
      <c r="G8" s="39">
        <f>SUMIF(B19:B1129,B8,H19:H1129)</f>
        <v>3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11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1429</v>
      </c>
      <c r="F10" s="51">
        <f>IFERROR((G8+R8)/F8,0)</f>
        <v>0.3333333333</v>
      </c>
      <c r="G10" s="51">
        <f>IFERROR(H8/G8,0)</f>
        <v>0.6666666667</v>
      </c>
      <c r="H10" s="50">
        <f>(C8/C10)</f>
        <v>238.1666667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3.666666667</v>
      </c>
      <c r="N10" s="46"/>
      <c r="O10" s="51">
        <f>IFERROR(O8/N8,0)</f>
        <v>0.6666666667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5095</v>
      </c>
      <c r="D11" s="26"/>
      <c r="E11" s="27">
        <f>SUMIFS(T:T,A:A,B11,D:D,"Y")</f>
        <v>1603</v>
      </c>
      <c r="F11" s="8">
        <f>SUMIF(A:A,B11,G:G)</f>
        <v>4</v>
      </c>
      <c r="G11" s="10">
        <f>SUMIF(A:A,B11,H:H)</f>
        <v>3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1</v>
      </c>
      <c r="N11" s="10">
        <f>SUMIF(A:A,B11,N:N)</f>
        <v>1</v>
      </c>
      <c r="O11" s="10">
        <f>SUMIF(A:A,B11,O:O)</f>
        <v>1</v>
      </c>
      <c r="P11" s="10">
        <f>SUMIF(A:A,B11,J:J)</f>
        <v>1</v>
      </c>
      <c r="Q11" s="10">
        <f>SUMIF(A:A,B11,K:K)</f>
        <v>1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2547.5</v>
      </c>
      <c r="F13" s="20">
        <f>IFERROR((G11+R11)/F11,0)</f>
        <v>0.75</v>
      </c>
      <c r="G13" s="20">
        <f>IFERROR(H11/G11,0)</f>
        <v>0.6666666667</v>
      </c>
      <c r="H13" s="19">
        <f>(C11/C13)</f>
        <v>299.7058824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0.3333333333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5095</v>
      </c>
      <c r="D14" s="36"/>
      <c r="E14" s="37">
        <f>SUMIFS(T:T,B:B,B14,D:D,"Y")</f>
        <v>1603</v>
      </c>
      <c r="F14" s="38">
        <f>SUMIF(B19:B1129,B14,G19:G1129)</f>
        <v>4</v>
      </c>
      <c r="G14" s="39">
        <f>SUMIF(B19:B1129,B14,H19:H1129)</f>
        <v>3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1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2547.5</v>
      </c>
      <c r="F16" s="51">
        <f>IFERROR((G14+R14)/F14,0)</f>
        <v>0.75</v>
      </c>
      <c r="G16" s="51">
        <f>IFERROR(H14/G14,0)</f>
        <v>0.6666666667</v>
      </c>
      <c r="H16" s="50">
        <f>(C14/C16)</f>
        <v>318.4375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0.3333333333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6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4.0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2.0</v>
      </c>
      <c r="I26" s="105">
        <v>1.0</v>
      </c>
      <c r="J26" s="105">
        <v>1.0</v>
      </c>
      <c r="K26" s="105">
        <v>1.0</v>
      </c>
      <c r="L26" s="105">
        <v>0.0</v>
      </c>
      <c r="M26" s="105">
        <v>10.0</v>
      </c>
      <c r="N26" s="105">
        <v>2.0</v>
      </c>
      <c r="O26" s="105">
        <v>1.0</v>
      </c>
      <c r="P26" s="105">
        <v>0.0</v>
      </c>
      <c r="Q26" s="105">
        <v>0.0</v>
      </c>
      <c r="R26" s="105">
        <v>0.0</v>
      </c>
      <c r="S26" s="105">
        <v>0.0</v>
      </c>
      <c r="T26" s="105">
        <v>1658.0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106">
        <v>0.0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1.0</v>
      </c>
      <c r="J28" s="105">
        <v>0.0</v>
      </c>
      <c r="K28" s="105">
        <v>0.0</v>
      </c>
      <c r="L28" s="105">
        <v>0.0</v>
      </c>
      <c r="M28" s="105">
        <v>1.0</v>
      </c>
      <c r="N28" s="105">
        <v>1.0</v>
      </c>
      <c r="O28" s="105">
        <v>1.0</v>
      </c>
      <c r="P28" s="105">
        <v>0.0</v>
      </c>
      <c r="Q28" s="105">
        <v>0.0</v>
      </c>
      <c r="R28" s="105">
        <v>0.0</v>
      </c>
      <c r="S28" s="105">
        <v>0.0</v>
      </c>
      <c r="T28" s="105">
        <v>1200.0</v>
      </c>
      <c r="U28" s="66">
        <f t="shared" ref="U28:U32" si="4">IFERROR(I28/H28,0)</f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5">IFERROR(I34/H34,0)</f>
        <v>0</v>
      </c>
      <c r="V34" s="66">
        <f t="shared" ref="V34:V36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1.0</v>
      </c>
      <c r="H35" s="105">
        <v>1.0</v>
      </c>
      <c r="I35" s="105">
        <v>1.0</v>
      </c>
      <c r="J35" s="105">
        <v>1.0</v>
      </c>
      <c r="K35" s="105">
        <v>1.0</v>
      </c>
      <c r="L35" s="105">
        <v>0.0</v>
      </c>
      <c r="M35" s="105">
        <v>1.0</v>
      </c>
      <c r="N35" s="105">
        <v>0.0</v>
      </c>
      <c r="O35" s="105">
        <v>0.0</v>
      </c>
      <c r="P35" s="105">
        <v>0.0</v>
      </c>
      <c r="Q35" s="105">
        <v>0.0</v>
      </c>
      <c r="R35" s="105">
        <v>1.0</v>
      </c>
      <c r="S35" s="105">
        <v>1.0</v>
      </c>
      <c r="T35" s="105">
        <v>1603.0</v>
      </c>
      <c r="U35" s="66">
        <f t="shared" si="5"/>
        <v>1</v>
      </c>
      <c r="V35" s="66">
        <f t="shared" si="6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2.0</v>
      </c>
      <c r="H37" s="105">
        <v>1.0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06">
        <v>0.0</v>
      </c>
      <c r="V37" s="106">
        <v>0.0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ref="U38:U49" si="7">IFERROR(I38/H38,0)</f>
        <v>0</v>
      </c>
      <c r="V38" s="66">
        <f t="shared" ref="V38:V50" si="8">IFERROR(SUM(H38+L38)/G38,0)</f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1.0</v>
      </c>
      <c r="H39" s="105">
        <v>1.0</v>
      </c>
      <c r="I39" s="105">
        <v>1.0</v>
      </c>
      <c r="J39" s="105">
        <v>0.0</v>
      </c>
      <c r="K39" s="105">
        <v>0.0</v>
      </c>
      <c r="L39" s="105">
        <v>0.0</v>
      </c>
      <c r="M39" s="105">
        <v>0.0</v>
      </c>
      <c r="N39" s="105">
        <v>1.0</v>
      </c>
      <c r="O39" s="105">
        <v>1.0</v>
      </c>
      <c r="P39" s="105">
        <v>0.0</v>
      </c>
      <c r="Q39" s="105">
        <v>0.0</v>
      </c>
      <c r="R39" s="105">
        <v>0.0</v>
      </c>
      <c r="S39" s="105">
        <v>0.0</v>
      </c>
      <c r="T39" s="105">
        <v>3492.0</v>
      </c>
      <c r="U39" s="66">
        <f t="shared" si="7"/>
        <v>1</v>
      </c>
      <c r="V39" s="66">
        <f t="shared" si="8"/>
        <v>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7"/>
        <v>0</v>
      </c>
      <c r="V40" s="66">
        <f t="shared" si="8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7"/>
        <v>0</v>
      </c>
      <c r="V41" s="66">
        <f t="shared" si="8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7"/>
        <v>0</v>
      </c>
      <c r="V42" s="66">
        <f t="shared" si="8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7"/>
        <v>0</v>
      </c>
      <c r="V43" s="66">
        <f t="shared" si="8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7"/>
        <v>0</v>
      </c>
      <c r="V44" s="66">
        <f t="shared" si="8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7"/>
        <v>0</v>
      </c>
      <c r="V45" s="66">
        <f t="shared" si="8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7"/>
        <v>0</v>
      </c>
      <c r="V46" s="66">
        <f t="shared" si="8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7"/>
        <v>0</v>
      </c>
      <c r="V47" s="66">
        <f t="shared" si="8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7"/>
        <v>0</v>
      </c>
      <c r="V48" s="66">
        <f t="shared" si="8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7"/>
        <v>0</v>
      </c>
      <c r="V49" s="66">
        <f t="shared" si="8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106">
        <v>0.0</v>
      </c>
      <c r="V50" s="66">
        <f t="shared" si="8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5277</v>
      </c>
      <c r="D2" s="9"/>
      <c r="E2" s="8">
        <f t="shared" ref="E2:R2" si="1">SUM(E5,E11)</f>
        <v>1152</v>
      </c>
      <c r="F2" s="8">
        <f t="shared" si="1"/>
        <v>20</v>
      </c>
      <c r="G2" s="10">
        <f t="shared" si="1"/>
        <v>10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2</v>
      </c>
      <c r="M2" s="10">
        <f t="shared" si="1"/>
        <v>25</v>
      </c>
      <c r="N2" s="10">
        <f t="shared" si="1"/>
        <v>4</v>
      </c>
      <c r="O2" s="10">
        <f t="shared" si="1"/>
        <v>3</v>
      </c>
      <c r="P2" s="10">
        <f t="shared" si="1"/>
        <v>3</v>
      </c>
      <c r="Q2" s="10">
        <f t="shared" si="1"/>
        <v>3</v>
      </c>
      <c r="R2" s="10">
        <f t="shared" si="1"/>
        <v>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1055.4</v>
      </c>
      <c r="F4" s="20">
        <f>IFERROR((G2+R2)/F2,0)</f>
        <v>0.85</v>
      </c>
      <c r="G4" s="20">
        <f>IFERROR(H2/G2,0)</f>
        <v>0.5</v>
      </c>
      <c r="H4" s="19">
        <f>(C2/C4)</f>
        <v>175.9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2.5</v>
      </c>
      <c r="N4" s="21"/>
      <c r="O4" s="20">
        <f>IFERROR(O2/N2,0)</f>
        <v>0.75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2884</v>
      </c>
      <c r="D5" s="26"/>
      <c r="E5" s="27">
        <f>SUMIFS(T:T,A:A,B5,D:D,"Y")</f>
        <v>1152</v>
      </c>
      <c r="F5" s="8">
        <f>SUMIF(A:A,B5,G:G)</f>
        <v>7</v>
      </c>
      <c r="G5" s="10">
        <f>SUMIF(A:A,B5,H:H)</f>
        <v>5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21</v>
      </c>
      <c r="N5" s="10">
        <f>SUMIF(A:A,B5,N:N)</f>
        <v>3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961.3333333</v>
      </c>
      <c r="F7" s="20">
        <f>IFERROR((G5+R5)/F5,0)</f>
        <v>0.7142857143</v>
      </c>
      <c r="G7" s="20">
        <f>IFERROR(H5/G5,0)</f>
        <v>0.6</v>
      </c>
      <c r="H7" s="19">
        <f>(C5/C7)</f>
        <v>221.8461538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4.2</v>
      </c>
      <c r="N7" s="21"/>
      <c r="O7" s="20">
        <f>IFERROR(O5/N5,0)</f>
        <v>0.6666666667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2884</v>
      </c>
      <c r="D8" s="36"/>
      <c r="E8" s="37">
        <f>SUMIFS(T:T,B:B,B8,D:D,"Y")</f>
        <v>1152</v>
      </c>
      <c r="F8" s="38">
        <f>SUMIF(B19:B1129,B8,G19:G1129)</f>
        <v>7</v>
      </c>
      <c r="G8" s="39">
        <f>SUMIF(B19:B1129,B8,H19:H1129)</f>
        <v>5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21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961.3333333</v>
      </c>
      <c r="F10" s="51">
        <f>IFERROR((G8+R8)/F8,0)</f>
        <v>0.7142857143</v>
      </c>
      <c r="G10" s="51">
        <f>IFERROR(H8/G8,0)</f>
        <v>0.6</v>
      </c>
      <c r="H10" s="50">
        <f>(C8/C10)</f>
        <v>240.3333333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4.2</v>
      </c>
      <c r="N10" s="46"/>
      <c r="O10" s="51">
        <f>IFERROR(O8/N8,0)</f>
        <v>0.6666666667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2393</v>
      </c>
      <c r="D11" s="26"/>
      <c r="E11" s="27">
        <f>SUMIFS(T:T,A:A,B11,D:D,"Y")</f>
        <v>0</v>
      </c>
      <c r="F11" s="8">
        <f>SUMIF(A:A,B11,G:G)</f>
        <v>13</v>
      </c>
      <c r="G11" s="10">
        <f>SUMIF(A:A,B11,H:H)</f>
        <v>5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4</v>
      </c>
      <c r="N11" s="10">
        <f>SUMIF(A:A,B11,N:N)</f>
        <v>1</v>
      </c>
      <c r="O11" s="10">
        <f>SUMIF(A:A,B11,O:O)</f>
        <v>1</v>
      </c>
      <c r="P11" s="10">
        <f>SUMIF(A:A,B11,J:J)</f>
        <v>1</v>
      </c>
      <c r="Q11" s="10">
        <f>SUMIF(A:A,B11,K:K)</f>
        <v>1</v>
      </c>
      <c r="R11" s="10">
        <f>SUMIF(A:A,B11,L:L)</f>
        <v>7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1196.5</v>
      </c>
      <c r="F13" s="20">
        <f>IFERROR((G11+R11)/F11,0)</f>
        <v>0.9230769231</v>
      </c>
      <c r="G13" s="20">
        <f>IFERROR(H11/G11,0)</f>
        <v>0.4</v>
      </c>
      <c r="H13" s="19">
        <f>(C11/C13)</f>
        <v>140.7647059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0.3333333333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2393</v>
      </c>
      <c r="D14" s="36"/>
      <c r="E14" s="37">
        <f>SUMIFS(T:T,B:B,B14,D:D,"Y")</f>
        <v>0</v>
      </c>
      <c r="F14" s="38">
        <f>SUMIF(B19:B1129,B14,G19:G1129)</f>
        <v>13</v>
      </c>
      <c r="G14" s="39">
        <f>SUMIF(B19:B1129,B14,H19:H1129)</f>
        <v>5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4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7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1196.5</v>
      </c>
      <c r="F16" s="51">
        <f>IFERROR((G14+R14)/F14,0)</f>
        <v>0.9230769231</v>
      </c>
      <c r="G16" s="51">
        <f>IFERROR(H14/G14,0)</f>
        <v>0.4</v>
      </c>
      <c r="H16" s="50">
        <f>(C14/C16)</f>
        <v>149.5625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0.3333333333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1.0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1.0</v>
      </c>
      <c r="I24" s="105">
        <v>1.0</v>
      </c>
      <c r="J24" s="105">
        <v>1.0</v>
      </c>
      <c r="K24" s="105">
        <v>1.0</v>
      </c>
      <c r="L24" s="105">
        <v>0.0</v>
      </c>
      <c r="M24" s="105">
        <v>5.0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1152.0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1.0</v>
      </c>
      <c r="I26" s="105">
        <v>0.0</v>
      </c>
      <c r="J26" s="105">
        <v>0.0</v>
      </c>
      <c r="K26" s="105">
        <v>0.0</v>
      </c>
      <c r="L26" s="105">
        <v>0.0</v>
      </c>
      <c r="M26" s="105">
        <v>5.0</v>
      </c>
      <c r="N26" s="105">
        <v>1.0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2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1.0</v>
      </c>
      <c r="J28" s="105">
        <v>0.0</v>
      </c>
      <c r="K28" s="105">
        <v>0.0</v>
      </c>
      <c r="L28" s="105">
        <v>0.0</v>
      </c>
      <c r="M28" s="105">
        <v>1.0</v>
      </c>
      <c r="N28" s="105">
        <v>1.0</v>
      </c>
      <c r="O28" s="105">
        <v>1.0</v>
      </c>
      <c r="P28" s="105">
        <v>0.0</v>
      </c>
      <c r="Q28" s="105">
        <v>0.0</v>
      </c>
      <c r="R28" s="105">
        <v>0.0</v>
      </c>
      <c r="S28" s="105">
        <v>0.0</v>
      </c>
      <c r="T28" s="105">
        <v>1200.0</v>
      </c>
      <c r="U28" s="66">
        <f t="shared" si="4"/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1.0</v>
      </c>
      <c r="I29" s="105">
        <v>1.0</v>
      </c>
      <c r="J29" s="105">
        <v>1.0</v>
      </c>
      <c r="K29" s="105">
        <v>1.0</v>
      </c>
      <c r="L29" s="105">
        <v>0.0</v>
      </c>
      <c r="M29" s="105">
        <v>10.0</v>
      </c>
      <c r="N29" s="105">
        <v>1.0</v>
      </c>
      <c r="O29" s="105">
        <v>1.0</v>
      </c>
      <c r="P29" s="105">
        <v>0.0</v>
      </c>
      <c r="Q29" s="105">
        <v>0.0</v>
      </c>
      <c r="R29" s="105">
        <v>0.0</v>
      </c>
      <c r="S29" s="105">
        <v>0.0</v>
      </c>
      <c r="T29" s="105">
        <v>532.0</v>
      </c>
      <c r="U29" s="66">
        <f t="shared" si="4"/>
        <v>1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 t="s">
        <v>78</v>
      </c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 t="s">
        <v>78</v>
      </c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 t="s">
        <v>78</v>
      </c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35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5.0</v>
      </c>
      <c r="H36" s="105">
        <v>3.0</v>
      </c>
      <c r="I36" s="105">
        <v>0.0</v>
      </c>
      <c r="J36" s="105">
        <v>0.0</v>
      </c>
      <c r="K36" s="105">
        <v>0.0</v>
      </c>
      <c r="L36" s="105">
        <v>7.0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106">
        <v>0.0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1.0</v>
      </c>
      <c r="H37" s="105">
        <v>1.0</v>
      </c>
      <c r="I37" s="105">
        <v>1.0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1.0</v>
      </c>
      <c r="S37" s="105">
        <v>1.0</v>
      </c>
      <c r="T37" s="105">
        <v>917.0</v>
      </c>
      <c r="U37" s="66">
        <f t="shared" si="5"/>
        <v>1</v>
      </c>
      <c r="V37" s="66">
        <f t="shared" ref="V37:V50" si="7">IFERROR(SUM(H37+L37)/G37,0)</f>
        <v>1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7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5.0</v>
      </c>
      <c r="H39" s="105">
        <v>1.0</v>
      </c>
      <c r="I39" s="105">
        <v>1.0</v>
      </c>
      <c r="J39" s="105">
        <v>1.0</v>
      </c>
      <c r="K39" s="105">
        <v>1.0</v>
      </c>
      <c r="L39" s="105">
        <v>0.0</v>
      </c>
      <c r="M39" s="105">
        <v>4.0</v>
      </c>
      <c r="N39" s="105">
        <v>1.0</v>
      </c>
      <c r="O39" s="105">
        <v>1.0</v>
      </c>
      <c r="P39" s="105">
        <v>0.0</v>
      </c>
      <c r="Q39" s="105">
        <v>0.0</v>
      </c>
      <c r="R39" s="105">
        <v>0.0</v>
      </c>
      <c r="S39" s="105">
        <v>0.0</v>
      </c>
      <c r="T39" s="105">
        <v>1476.0</v>
      </c>
      <c r="U39" s="66">
        <f t="shared" si="5"/>
        <v>1</v>
      </c>
      <c r="V39" s="66">
        <f t="shared" si="7"/>
        <v>0.2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2.0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7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29208</v>
      </c>
      <c r="D2" s="9"/>
      <c r="E2" s="8">
        <f t="shared" ref="E2:R2" si="1">SUM(E5,E11)</f>
        <v>15443</v>
      </c>
      <c r="F2" s="8">
        <f t="shared" si="1"/>
        <v>65</v>
      </c>
      <c r="G2" s="10">
        <f t="shared" si="1"/>
        <v>31</v>
      </c>
      <c r="H2" s="10">
        <f t="shared" si="1"/>
        <v>20</v>
      </c>
      <c r="I2" s="10">
        <f t="shared" si="1"/>
        <v>4</v>
      </c>
      <c r="J2" s="10">
        <f t="shared" si="1"/>
        <v>3</v>
      </c>
      <c r="K2" s="10">
        <f t="shared" si="1"/>
        <v>14</v>
      </c>
      <c r="L2" s="10">
        <f t="shared" si="1"/>
        <v>6</v>
      </c>
      <c r="M2" s="10">
        <f t="shared" si="1"/>
        <v>108</v>
      </c>
      <c r="N2" s="10">
        <f t="shared" si="1"/>
        <v>9</v>
      </c>
      <c r="O2" s="10">
        <f t="shared" si="1"/>
        <v>8</v>
      </c>
      <c r="P2" s="10">
        <f t="shared" si="1"/>
        <v>11</v>
      </c>
      <c r="Q2" s="10">
        <f t="shared" si="1"/>
        <v>8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1460.4</v>
      </c>
      <c r="F4" s="20">
        <f>IFERROR((G2+R2)/F2,0)</f>
        <v>0.5230769231</v>
      </c>
      <c r="G4" s="20">
        <f>IFERROR(H2/G2,0)</f>
        <v>0.6451612903</v>
      </c>
      <c r="H4" s="19">
        <f>(C2/C4)</f>
        <v>973.6</v>
      </c>
      <c r="I4" s="21"/>
      <c r="J4" s="20">
        <f>IFERROR(J2/I2,0)</f>
        <v>0.75</v>
      </c>
      <c r="K4" s="21"/>
      <c r="L4" s="20">
        <f>IFERROR(L2/K2,0)</f>
        <v>0.4285714286</v>
      </c>
      <c r="M4" s="22">
        <f>IFERROR(M2/G2,0)</f>
        <v>3.483870968</v>
      </c>
      <c r="N4" s="21"/>
      <c r="O4" s="20">
        <f>IFERROR(O2/N2,0)</f>
        <v>0.8888888889</v>
      </c>
      <c r="P4" s="22"/>
      <c r="Q4" s="20">
        <f>IFERROR(Q2/P2,0)</f>
        <v>0.7272727273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19828</v>
      </c>
      <c r="D5" s="26"/>
      <c r="E5" s="27">
        <f>SUMIFS(T:T,A:A,B5,D:D,"Y")</f>
        <v>15443</v>
      </c>
      <c r="F5" s="8">
        <f>SUMIF(A:A,B5,G:G)</f>
        <v>42</v>
      </c>
      <c r="G5" s="10">
        <f>SUMIF(A:A,B5,H:H)</f>
        <v>21</v>
      </c>
      <c r="H5" s="10">
        <f>SUMIF(A:A,B5,I:I)</f>
        <v>15</v>
      </c>
      <c r="I5" s="10">
        <f>SUMIF(A:A,B5,P:P)</f>
        <v>4</v>
      </c>
      <c r="J5" s="10">
        <f>SUMIF(A:A,B5,Q:Q)</f>
        <v>3</v>
      </c>
      <c r="K5" s="10">
        <f>SUMIF(A:A,B5,R:R)</f>
        <v>7</v>
      </c>
      <c r="L5" s="10">
        <f>SUMIF(A:A,B5,S:S)</f>
        <v>2</v>
      </c>
      <c r="M5" s="10">
        <f>SUMIF(A:A,B5,M:M)</f>
        <v>82</v>
      </c>
      <c r="N5" s="10">
        <f>SUMIF(A:A,B5,N:N)</f>
        <v>8</v>
      </c>
      <c r="O5" s="10">
        <f>SUMIF(A:A,B5,O:O)</f>
        <v>7</v>
      </c>
      <c r="P5" s="10">
        <f>SUMIF(A:A,B5,J:J)</f>
        <v>4</v>
      </c>
      <c r="Q5" s="10">
        <f>SUMIF(A:A,B5,K:K)</f>
        <v>3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1321.866667</v>
      </c>
      <c r="F7" s="20">
        <f>IFERROR((G5+R5)/F5,0)</f>
        <v>0.5238095238</v>
      </c>
      <c r="G7" s="20">
        <f>IFERROR(H5/G5,0)</f>
        <v>0.7142857143</v>
      </c>
      <c r="H7" s="19">
        <f>(C5/C7)</f>
        <v>1525.230769</v>
      </c>
      <c r="I7" s="21"/>
      <c r="J7" s="20">
        <f>IFERROR(J5/I5,0)</f>
        <v>0.75</v>
      </c>
      <c r="K7" s="21"/>
      <c r="L7" s="20">
        <f>IFERROR(L5/K5,0)</f>
        <v>0.2857142857</v>
      </c>
      <c r="M7" s="22">
        <f>IFERROR(M5/SUM(R5+G5,0),"")</f>
        <v>3.727272727</v>
      </c>
      <c r="N7" s="21"/>
      <c r="O7" s="20">
        <f>IFERROR(O5/N5,0)</f>
        <v>0.875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19828</v>
      </c>
      <c r="D8" s="36"/>
      <c r="E8" s="37">
        <f>SUMIFS(T:T,B:B,B8,D:D,"Y")</f>
        <v>15443</v>
      </c>
      <c r="F8" s="38">
        <f>SUMIF(B19:B1129,B8,G19:G1129)</f>
        <v>42</v>
      </c>
      <c r="G8" s="39">
        <f>SUMIF(B19:B1129,B8,H19:H1129)</f>
        <v>21</v>
      </c>
      <c r="H8" s="38">
        <f>SUMIF(B19:B1129,B8,I19:I1129)</f>
        <v>15</v>
      </c>
      <c r="I8" s="39">
        <f>SUMIF(B19:B1129,B8,P19:P1129)</f>
        <v>4</v>
      </c>
      <c r="J8" s="39">
        <f>SUMIF(B19:B1129,B8,Q19:Q1129)</f>
        <v>3</v>
      </c>
      <c r="K8" s="39">
        <f>SUMIF(B19:B1129,B8,R19:R1129)</f>
        <v>7</v>
      </c>
      <c r="L8" s="39">
        <f>SUMIF(B19:B1129,B8,S19:S1129)</f>
        <v>2</v>
      </c>
      <c r="M8" s="39">
        <f>SUMIF(B19:B1129,B8,M19:M1129)</f>
        <v>82</v>
      </c>
      <c r="N8" s="39">
        <f>SUMIF(B19:B1129,B8,N19:N1129)</f>
        <v>8</v>
      </c>
      <c r="O8" s="38">
        <f>SUMIF(B19:B1129,B8,O19:O1129)</f>
        <v>7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1321.866667</v>
      </c>
      <c r="F10" s="51">
        <f>IFERROR((G8+R8)/F8,0)</f>
        <v>0.5238095238</v>
      </c>
      <c r="G10" s="51">
        <f>IFERROR(H8/G8,0)</f>
        <v>0.7142857143</v>
      </c>
      <c r="H10" s="50">
        <f>(C8/C10)</f>
        <v>1652.333333</v>
      </c>
      <c r="I10" s="46"/>
      <c r="J10" s="51">
        <f>IFERROR(J8/I8,0)</f>
        <v>0.75</v>
      </c>
      <c r="K10" s="46"/>
      <c r="L10" s="51">
        <f>IFERROR(L8/K8,0)</f>
        <v>0.2857142857</v>
      </c>
      <c r="M10" s="52">
        <f>IFERROR(M8/SUM(G8+R8,0),"")</f>
        <v>3.727272727</v>
      </c>
      <c r="N10" s="46"/>
      <c r="O10" s="51">
        <f>IFERROR(O8/N8,0)</f>
        <v>0.875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9380</v>
      </c>
      <c r="D11" s="26"/>
      <c r="E11" s="27">
        <f>SUMIFS(T:T,A:A,B11,D:D,"Y")</f>
        <v>0</v>
      </c>
      <c r="F11" s="8">
        <f>SUMIF(A:A,B11,G:G)</f>
        <v>23</v>
      </c>
      <c r="G11" s="10">
        <f>SUMIF(A:A,B11,H:H)</f>
        <v>10</v>
      </c>
      <c r="H11" s="10">
        <f>SUMIF(A:A,B11,I:I)</f>
        <v>5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4</v>
      </c>
      <c r="M11" s="10">
        <f>SUMIF(A:A,B11,M:M)</f>
        <v>26</v>
      </c>
      <c r="N11" s="10">
        <f>SUMIF(A:A,B11,N:N)</f>
        <v>1</v>
      </c>
      <c r="O11" s="10">
        <f>SUMIF(A:A,B11,O:O)</f>
        <v>1</v>
      </c>
      <c r="P11" s="10">
        <f>SUMIF(A:A,B11,J:J)</f>
        <v>7</v>
      </c>
      <c r="Q11" s="10">
        <f>SUMIF(A:A,B11,K:K)</f>
        <v>5</v>
      </c>
      <c r="R11" s="10">
        <f>SUMIF(A:A,B11,L:L)</f>
        <v>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1876</v>
      </c>
      <c r="F13" s="20">
        <f>IFERROR((G11+R11)/F11,0)</f>
        <v>0.5217391304</v>
      </c>
      <c r="G13" s="20">
        <f>IFERROR(H11/G11,0)</f>
        <v>0.5</v>
      </c>
      <c r="H13" s="19">
        <f>(C11/C13)</f>
        <v>551.7647059</v>
      </c>
      <c r="I13" s="21"/>
      <c r="J13" s="20">
        <f>IFERROR(J11/I11,0)</f>
        <v>0</v>
      </c>
      <c r="K13" s="21"/>
      <c r="L13" s="20">
        <f>IFERROR(L11/K11,0)</f>
        <v>0.5714285714</v>
      </c>
      <c r="M13" s="22">
        <f>IFERROR(M11/SUM(R11+G11,0),"")</f>
        <v>2.166666667</v>
      </c>
      <c r="N13" s="21"/>
      <c r="O13" s="20">
        <f>IFERROR(O11/N11,0)</f>
        <v>1</v>
      </c>
      <c r="P13" s="22"/>
      <c r="Q13" s="20">
        <f>IFERROR(Q11/P11,0)</f>
        <v>0.7142857143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9380</v>
      </c>
      <c r="D14" s="36"/>
      <c r="E14" s="37">
        <f>SUMIFS(T:T,B:B,B14,D:D,"Y")</f>
        <v>0</v>
      </c>
      <c r="F14" s="38">
        <f>SUMIF(B19:B1129,B14,G19:G1129)</f>
        <v>23</v>
      </c>
      <c r="G14" s="39">
        <f>SUMIF(B19:B1129,B14,H19:H1129)</f>
        <v>10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4</v>
      </c>
      <c r="M14" s="39">
        <f>SUMIF(B19:B1129,B14,M19:M1129)</f>
        <v>26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7</v>
      </c>
      <c r="Q14" s="39">
        <f>SUMIF(B19:B1129,B14,K19:K1129)</f>
        <v>5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1876</v>
      </c>
      <c r="F16" s="51">
        <f>IFERROR((G14+R14)/F14,0)</f>
        <v>0.5217391304</v>
      </c>
      <c r="G16" s="51">
        <f>IFERROR(H14/G14,0)</f>
        <v>0.5</v>
      </c>
      <c r="H16" s="50">
        <f>(C14/C16)</f>
        <v>586.25</v>
      </c>
      <c r="I16" s="46"/>
      <c r="J16" s="51">
        <f>IFERROR(J14/I14,0)</f>
        <v>0</v>
      </c>
      <c r="K16" s="46"/>
      <c r="L16" s="51">
        <f>IFERROR(L14/K14,0)</f>
        <v>0.5714285714</v>
      </c>
      <c r="M16" s="52">
        <f>IFERROR(M14/SUM(G14+R14,0),"")</f>
        <v>2.166666667</v>
      </c>
      <c r="N16" s="46"/>
      <c r="O16" s="51">
        <f>IFERROR(O14/N14,0)</f>
        <v>1</v>
      </c>
      <c r="P16" s="53"/>
      <c r="Q16" s="51">
        <f>IFERROR(Q14/P14,0)</f>
        <v>0.7142857143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8.0</v>
      </c>
      <c r="H21" s="105">
        <v>4.0</v>
      </c>
      <c r="I21" s="105">
        <v>3.0</v>
      </c>
      <c r="J21" s="105">
        <v>0.0</v>
      </c>
      <c r="K21" s="105">
        <v>0.0</v>
      </c>
      <c r="L21" s="105">
        <v>0.0</v>
      </c>
      <c r="M21" s="105">
        <v>6.0</v>
      </c>
      <c r="N21" s="105">
        <v>0.0</v>
      </c>
      <c r="O21" s="105">
        <v>0.0</v>
      </c>
      <c r="P21" s="105">
        <v>4.0</v>
      </c>
      <c r="Q21" s="105">
        <v>3.0</v>
      </c>
      <c r="R21" s="105">
        <v>0.0</v>
      </c>
      <c r="S21" s="105">
        <v>0.0</v>
      </c>
      <c r="T21" s="105">
        <v>3641.0</v>
      </c>
      <c r="U21" s="66">
        <f t="shared" si="2"/>
        <v>0.75</v>
      </c>
      <c r="V21" s="66">
        <f t="shared" si="3"/>
        <v>0.5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6.0</v>
      </c>
      <c r="H22" s="105">
        <v>2.0</v>
      </c>
      <c r="I22" s="105">
        <v>2.0</v>
      </c>
      <c r="J22" s="105">
        <v>0.0</v>
      </c>
      <c r="K22" s="105">
        <v>0.0</v>
      </c>
      <c r="L22" s="105">
        <v>0.0</v>
      </c>
      <c r="M22" s="105">
        <v>10.0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4503.0</v>
      </c>
      <c r="U22" s="66">
        <f t="shared" si="2"/>
        <v>1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2.0</v>
      </c>
      <c r="J24" s="105">
        <v>2.0</v>
      </c>
      <c r="K24" s="105">
        <v>2.0</v>
      </c>
      <c r="L24" s="105">
        <v>0.0</v>
      </c>
      <c r="M24" s="105">
        <v>7.0</v>
      </c>
      <c r="N24" s="105">
        <v>1.0</v>
      </c>
      <c r="O24" s="105">
        <v>1.0</v>
      </c>
      <c r="P24" s="105">
        <v>0.0</v>
      </c>
      <c r="Q24" s="105">
        <v>0.0</v>
      </c>
      <c r="R24" s="105">
        <v>1.0</v>
      </c>
      <c r="S24" s="105">
        <v>1.0</v>
      </c>
      <c r="T24" s="105">
        <v>2115.0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3.0</v>
      </c>
      <c r="I26" s="105">
        <v>2.0</v>
      </c>
      <c r="J26" s="105">
        <v>0.0</v>
      </c>
      <c r="K26" s="105">
        <v>0.0</v>
      </c>
      <c r="L26" s="105">
        <v>0.0</v>
      </c>
      <c r="M26" s="105">
        <v>10.0</v>
      </c>
      <c r="N26" s="105">
        <v>1.0</v>
      </c>
      <c r="O26" s="105">
        <v>1.0</v>
      </c>
      <c r="P26" s="105">
        <v>0.0</v>
      </c>
      <c r="Q26" s="105">
        <v>0.0</v>
      </c>
      <c r="R26" s="105">
        <v>1.0</v>
      </c>
      <c r="S26" s="105">
        <v>1.0</v>
      </c>
      <c r="T26" s="105">
        <v>3300.0</v>
      </c>
      <c r="U26" s="66">
        <f t="shared" si="2"/>
        <v>0.6666666667</v>
      </c>
      <c r="V26" s="66">
        <f t="shared" si="3"/>
        <v>0.75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9.0</v>
      </c>
      <c r="H28" s="105">
        <v>6.0</v>
      </c>
      <c r="I28" s="105">
        <v>3.0</v>
      </c>
      <c r="J28" s="105">
        <v>2.0</v>
      </c>
      <c r="K28" s="105">
        <v>1.0</v>
      </c>
      <c r="L28" s="105">
        <v>0.0</v>
      </c>
      <c r="M28" s="105">
        <v>14.0</v>
      </c>
      <c r="N28" s="105">
        <v>2.0</v>
      </c>
      <c r="O28" s="105">
        <v>2.0</v>
      </c>
      <c r="P28" s="105">
        <v>0.0</v>
      </c>
      <c r="Q28" s="105">
        <v>0.0</v>
      </c>
      <c r="R28" s="105">
        <v>4.0</v>
      </c>
      <c r="S28" s="105">
        <v>0.0</v>
      </c>
      <c r="T28" s="105">
        <v>3838.0</v>
      </c>
      <c r="U28" s="66">
        <f t="shared" si="2"/>
        <v>0.5</v>
      </c>
      <c r="V28" s="66">
        <f t="shared" si="3"/>
        <v>0.6666666667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4.0</v>
      </c>
      <c r="H30" s="105">
        <v>2.0</v>
      </c>
      <c r="I30" s="105">
        <v>2.0</v>
      </c>
      <c r="J30" s="105">
        <v>0.0</v>
      </c>
      <c r="K30" s="105">
        <v>0.0</v>
      </c>
      <c r="L30" s="105">
        <v>0.0</v>
      </c>
      <c r="M30" s="105">
        <v>30.0</v>
      </c>
      <c r="N30" s="105">
        <v>3.0</v>
      </c>
      <c r="O30" s="105">
        <v>2.0</v>
      </c>
      <c r="P30" s="105">
        <v>0.0</v>
      </c>
      <c r="Q30" s="105">
        <v>0.0</v>
      </c>
      <c r="R30" s="105">
        <v>0.0</v>
      </c>
      <c r="S30" s="105">
        <v>0.0</v>
      </c>
      <c r="T30" s="105">
        <v>1884.0</v>
      </c>
      <c r="U30" s="66">
        <f t="shared" si="2"/>
        <v>1</v>
      </c>
      <c r="V30" s="66">
        <f t="shared" si="3"/>
        <v>0.5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2.0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4.0</v>
      </c>
      <c r="H32" s="105">
        <v>1.0</v>
      </c>
      <c r="I32" s="105">
        <v>1.0</v>
      </c>
      <c r="J32" s="105">
        <v>0.0</v>
      </c>
      <c r="K32" s="105">
        <v>0.0</v>
      </c>
      <c r="L32" s="105">
        <v>1.0</v>
      </c>
      <c r="M32" s="105">
        <v>5.0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547.0</v>
      </c>
      <c r="U32" s="66">
        <f t="shared" si="2"/>
        <v>1</v>
      </c>
      <c r="V32" s="66">
        <f t="shared" si="3"/>
        <v>0.5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6.0</v>
      </c>
      <c r="H37" s="105">
        <v>2.0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0.3333333333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1.0</v>
      </c>
      <c r="H38" s="105">
        <v>1.0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6.0</v>
      </c>
      <c r="H39" s="105">
        <v>3.0</v>
      </c>
      <c r="I39" s="105">
        <v>2.0</v>
      </c>
      <c r="J39" s="105">
        <v>3.0</v>
      </c>
      <c r="K39" s="105">
        <v>3.0</v>
      </c>
      <c r="L39" s="105">
        <v>0.0</v>
      </c>
      <c r="M39" s="105">
        <v>14.0</v>
      </c>
      <c r="N39" s="105">
        <v>1.0</v>
      </c>
      <c r="O39" s="105">
        <v>1.0</v>
      </c>
      <c r="P39" s="105">
        <v>0.0</v>
      </c>
      <c r="Q39" s="105">
        <v>0.0</v>
      </c>
      <c r="R39" s="105">
        <v>2.0</v>
      </c>
      <c r="S39" s="105">
        <v>1.0</v>
      </c>
      <c r="T39" s="105">
        <v>4200.0</v>
      </c>
      <c r="U39" s="66">
        <f t="shared" si="4"/>
        <v>0.6666666667</v>
      </c>
      <c r="V39" s="66">
        <f t="shared" si="5"/>
        <v>0.5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1.0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4.0</v>
      </c>
      <c r="H41" s="105">
        <v>3.0</v>
      </c>
      <c r="I41" s="105">
        <v>2.0</v>
      </c>
      <c r="J41" s="105">
        <v>3.0</v>
      </c>
      <c r="K41" s="105">
        <v>2.0</v>
      </c>
      <c r="L41" s="105">
        <v>0.0</v>
      </c>
      <c r="M41" s="105">
        <v>8.0</v>
      </c>
      <c r="N41" s="105">
        <v>0.0</v>
      </c>
      <c r="O41" s="105">
        <v>0.0</v>
      </c>
      <c r="P41" s="105">
        <v>0.0</v>
      </c>
      <c r="Q41" s="105">
        <v>0.0</v>
      </c>
      <c r="R41" s="105">
        <v>3.0</v>
      </c>
      <c r="S41" s="105">
        <v>2.0</v>
      </c>
      <c r="T41" s="105">
        <v>4628.0</v>
      </c>
      <c r="U41" s="66">
        <f t="shared" si="4"/>
        <v>0.6666666667</v>
      </c>
      <c r="V41" s="66">
        <f t="shared" si="5"/>
        <v>0.75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2.0</v>
      </c>
      <c r="H43" s="105">
        <v>1.0</v>
      </c>
      <c r="I43" s="105">
        <v>1.0</v>
      </c>
      <c r="J43" s="105">
        <v>1.0</v>
      </c>
      <c r="K43" s="105">
        <v>0.0</v>
      </c>
      <c r="L43" s="105">
        <v>0.0</v>
      </c>
      <c r="M43" s="105">
        <v>4.0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552.0</v>
      </c>
      <c r="U43" s="66">
        <f t="shared" si="4"/>
        <v>1</v>
      </c>
      <c r="V43" s="66">
        <f t="shared" si="5"/>
        <v>0.5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3.0</v>
      </c>
      <c r="H50" s="105">
        <v>0.0</v>
      </c>
      <c r="I50" s="105">
        <v>0.0</v>
      </c>
      <c r="J50" s="105">
        <v>0.0</v>
      </c>
      <c r="K50" s="105">
        <v>0.0</v>
      </c>
      <c r="L50" s="105">
        <v>2.0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0.6666666667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21755</v>
      </c>
      <c r="D2" s="9"/>
      <c r="E2" s="8">
        <f t="shared" ref="E2:R2" si="1">SUM(E5,E11)</f>
        <v>3913</v>
      </c>
      <c r="F2" s="8">
        <f t="shared" si="1"/>
        <v>53</v>
      </c>
      <c r="G2" s="10">
        <f t="shared" si="1"/>
        <v>29</v>
      </c>
      <c r="H2" s="10">
        <f t="shared" si="1"/>
        <v>10</v>
      </c>
      <c r="I2" s="10">
        <f t="shared" si="1"/>
        <v>2</v>
      </c>
      <c r="J2" s="10">
        <f t="shared" si="1"/>
        <v>0</v>
      </c>
      <c r="K2" s="10">
        <f t="shared" si="1"/>
        <v>13</v>
      </c>
      <c r="L2" s="10">
        <f t="shared" si="1"/>
        <v>7</v>
      </c>
      <c r="M2" s="10">
        <f t="shared" si="1"/>
        <v>147</v>
      </c>
      <c r="N2" s="10">
        <f t="shared" si="1"/>
        <v>7</v>
      </c>
      <c r="O2" s="10">
        <f t="shared" si="1"/>
        <v>4</v>
      </c>
      <c r="P2" s="10">
        <f t="shared" si="1"/>
        <v>12</v>
      </c>
      <c r="Q2" s="10">
        <f t="shared" si="1"/>
        <v>4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2175.5</v>
      </c>
      <c r="F4" s="20">
        <f>IFERROR((G2+R2)/F2,0)</f>
        <v>0.6226415094</v>
      </c>
      <c r="G4" s="20">
        <f>IFERROR(H2/G2,0)</f>
        <v>0.3448275862</v>
      </c>
      <c r="H4" s="19">
        <f>(C2/C4)</f>
        <v>725.1666667</v>
      </c>
      <c r="I4" s="21"/>
      <c r="J4" s="20">
        <f>IFERROR(J2/I2,0)</f>
        <v>0</v>
      </c>
      <c r="K4" s="21"/>
      <c r="L4" s="20">
        <f>IFERROR(L2/K2,0)</f>
        <v>0.5384615385</v>
      </c>
      <c r="M4" s="22">
        <f>IFERROR(M2/G2,0)</f>
        <v>5.068965517</v>
      </c>
      <c r="N4" s="21"/>
      <c r="O4" s="20">
        <f>IFERROR(O2/N2,0)</f>
        <v>0.5714285714</v>
      </c>
      <c r="P4" s="22"/>
      <c r="Q4" s="20">
        <f>IFERROR(Q2/P2,0)</f>
        <v>0.3333333333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8629</v>
      </c>
      <c r="D5" s="26"/>
      <c r="E5" s="27">
        <f>SUMIFS(T:T,A:A,B5,D:D,"Y")</f>
        <v>3913</v>
      </c>
      <c r="F5" s="8">
        <f>SUMIF(A:A,B5,G:G)</f>
        <v>31</v>
      </c>
      <c r="G5" s="10">
        <f>SUMIF(A:A,B5,H:H)</f>
        <v>16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1</v>
      </c>
      <c r="M5" s="10">
        <f>SUMIF(A:A,B5,M:M)</f>
        <v>91</v>
      </c>
      <c r="N5" s="10">
        <f>SUMIF(A:A,B5,N:N)</f>
        <v>5</v>
      </c>
      <c r="O5" s="10">
        <f>SUMIF(A:A,B5,O:O)</f>
        <v>3</v>
      </c>
      <c r="P5" s="10">
        <f>SUMIF(A:A,B5,J:J)</f>
        <v>4</v>
      </c>
      <c r="Q5" s="10">
        <f>SUMIF(A:A,B5,K:K)</f>
        <v>1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1725.8</v>
      </c>
      <c r="F7" s="20">
        <f>IFERROR((G5+R5)/F5,0)</f>
        <v>0.6451612903</v>
      </c>
      <c r="G7" s="20">
        <f>IFERROR(H5/G5,0)</f>
        <v>0.3125</v>
      </c>
      <c r="H7" s="19">
        <f>(C5/C7)</f>
        <v>663.7692308</v>
      </c>
      <c r="I7" s="21"/>
      <c r="J7" s="20">
        <f>IFERROR(J5/I5,0)</f>
        <v>0</v>
      </c>
      <c r="K7" s="21"/>
      <c r="L7" s="20">
        <f>IFERROR(L5/K5,0)</f>
        <v>0.25</v>
      </c>
      <c r="M7" s="22">
        <f>IFERROR(M5/SUM(R5+G5,0),"")</f>
        <v>4.55</v>
      </c>
      <c r="N7" s="21"/>
      <c r="O7" s="20">
        <f>IFERROR(O5/N5,0)</f>
        <v>0.6</v>
      </c>
      <c r="P7" s="22"/>
      <c r="Q7" s="20">
        <f>IFERROR(Q5/P5,0)</f>
        <v>0.25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8629</v>
      </c>
      <c r="D8" s="36"/>
      <c r="E8" s="37">
        <f>SUMIFS(T:T,B:B,B8,D:D,"Y")</f>
        <v>3913</v>
      </c>
      <c r="F8" s="38">
        <f>SUMIF(B19:B1129,B8,G19:G1129)</f>
        <v>31</v>
      </c>
      <c r="G8" s="39">
        <f>SUMIF(B19:B1129,B8,H19:H1129)</f>
        <v>16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1</v>
      </c>
      <c r="M8" s="39">
        <f>SUMIF(B19:B1129,B8,M19:M1129)</f>
        <v>91</v>
      </c>
      <c r="N8" s="39">
        <f>SUMIF(B19:B1129,B8,N19:N1129)</f>
        <v>5</v>
      </c>
      <c r="O8" s="38">
        <f>SUMIF(B19:B1129,B8,O19:O1129)</f>
        <v>3</v>
      </c>
      <c r="P8" s="39">
        <f>SUMIF(B19:B1129,B8,J19:J1129)</f>
        <v>4</v>
      </c>
      <c r="Q8" s="39">
        <f>SUMIF(B19:B1129,B8,K19:K1129)</f>
        <v>1</v>
      </c>
      <c r="R8" s="38">
        <f>SUMIF(B19:B1129,B8,L19:L1129)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1725.8</v>
      </c>
      <c r="F10" s="51">
        <f>IFERROR((G8+R8)/F8,0)</f>
        <v>0.6451612903</v>
      </c>
      <c r="G10" s="51">
        <f>IFERROR(H8/G8,0)</f>
        <v>0.3125</v>
      </c>
      <c r="H10" s="50">
        <f>(C8/C10)</f>
        <v>719.0833333</v>
      </c>
      <c r="I10" s="46"/>
      <c r="J10" s="51">
        <f>IFERROR(J8/I8,0)</f>
        <v>0</v>
      </c>
      <c r="K10" s="46"/>
      <c r="L10" s="51">
        <f>IFERROR(L8/K8,0)</f>
        <v>0.25</v>
      </c>
      <c r="M10" s="52">
        <f>IFERROR(M8/SUM(G8+R8,0),"")</f>
        <v>4.55</v>
      </c>
      <c r="N10" s="46"/>
      <c r="O10" s="51">
        <f>IFERROR(O8/N8,0)</f>
        <v>0.6</v>
      </c>
      <c r="P10" s="53"/>
      <c r="Q10" s="51">
        <f>IFERROR(Q8/P8,0)</f>
        <v>0.25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13126</v>
      </c>
      <c r="D11" s="26"/>
      <c r="E11" s="27">
        <f>SUMIFS(T:T,A:A,B11,D:D,"Y")</f>
        <v>0</v>
      </c>
      <c r="F11" s="8">
        <f>SUMIF(A:A,B11,G:G)</f>
        <v>22</v>
      </c>
      <c r="G11" s="10">
        <f>SUMIF(A:A,B11,H:H)</f>
        <v>13</v>
      </c>
      <c r="H11" s="10">
        <f>SUMIF(A:A,B11,I:I)</f>
        <v>5</v>
      </c>
      <c r="I11" s="10">
        <f>SUMIF(A:A,B11,P:P)</f>
        <v>2</v>
      </c>
      <c r="J11" s="10">
        <f>SUMIF(A:A,B11,Q:Q)</f>
        <v>0</v>
      </c>
      <c r="K11" s="10">
        <f>SUMIF(A:A,B11,R:R)</f>
        <v>9</v>
      </c>
      <c r="L11" s="10">
        <f>SUMIF(A:A,B11,S:S)</f>
        <v>6</v>
      </c>
      <c r="M11" s="10">
        <f>SUMIF(A:A,B11,M:M)</f>
        <v>56</v>
      </c>
      <c r="N11" s="10">
        <f>SUMIF(A:A,B11,N:N)</f>
        <v>2</v>
      </c>
      <c r="O11" s="10">
        <f>SUMIF(A:A,B11,O:O)</f>
        <v>1</v>
      </c>
      <c r="P11" s="10">
        <f>SUMIF(A:A,B11,J:J)</f>
        <v>8</v>
      </c>
      <c r="Q11" s="10">
        <f>SUMIF(A:A,B11,K:K)</f>
        <v>3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2625.2</v>
      </c>
      <c r="F13" s="20">
        <f>IFERROR((G11+R11)/F11,0)</f>
        <v>0.5909090909</v>
      </c>
      <c r="G13" s="20">
        <f>IFERROR(H11/G11,0)</f>
        <v>0.3846153846</v>
      </c>
      <c r="H13" s="19">
        <f>(C11/C13)</f>
        <v>772.1176471</v>
      </c>
      <c r="I13" s="21"/>
      <c r="J13" s="20">
        <f>IFERROR(J11/I11,0)</f>
        <v>0</v>
      </c>
      <c r="K13" s="21"/>
      <c r="L13" s="20">
        <f>IFERROR(L11/K11,0)</f>
        <v>0.6666666667</v>
      </c>
      <c r="M13" s="22">
        <f>IFERROR(M11/SUM(R11+G11,0),"")</f>
        <v>4.307692308</v>
      </c>
      <c r="N13" s="21"/>
      <c r="O13" s="20">
        <f>IFERROR(O11/N11,0)</f>
        <v>0.5</v>
      </c>
      <c r="P13" s="22"/>
      <c r="Q13" s="20">
        <f>IFERROR(Q11/P11,0)</f>
        <v>0.375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13126</v>
      </c>
      <c r="D14" s="36"/>
      <c r="E14" s="37">
        <f>SUMIFS(T:T,B:B,B14,D:D,"Y")</f>
        <v>0</v>
      </c>
      <c r="F14" s="38">
        <f>SUMIF(B19:B1129,B14,G19:G1129)</f>
        <v>22</v>
      </c>
      <c r="G14" s="39">
        <f>SUMIF(B19:B1129,B14,H19:H1129)</f>
        <v>13</v>
      </c>
      <c r="H14" s="38">
        <f>SUMIF(B19:B1129,B14,I19:I1129)</f>
        <v>5</v>
      </c>
      <c r="I14" s="39">
        <f>SUMIF(B19:B1129,B14,P19:P1129)</f>
        <v>2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6</v>
      </c>
      <c r="M14" s="39">
        <f>SUMIF(B19:B1129,B14,M19:M1129)</f>
        <v>56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8</v>
      </c>
      <c r="Q14" s="39">
        <f>SUMIF(B19:B1129,B14,K19:K1129)</f>
        <v>3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2625.2</v>
      </c>
      <c r="F16" s="51">
        <f>IFERROR((G14+R14)/F14,0)</f>
        <v>0.5909090909</v>
      </c>
      <c r="G16" s="51">
        <f>IFERROR(H14/G14,0)</f>
        <v>0.3846153846</v>
      </c>
      <c r="H16" s="50">
        <f>(C14/C16)</f>
        <v>820.375</v>
      </c>
      <c r="I16" s="46"/>
      <c r="J16" s="51">
        <f>IFERROR(J14/I14,0)</f>
        <v>0</v>
      </c>
      <c r="K16" s="46"/>
      <c r="L16" s="51">
        <f>IFERROR(L14/K14,0)</f>
        <v>0.6666666667</v>
      </c>
      <c r="M16" s="52">
        <f>IFERROR(M14/SUM(G14+R14,0),"")</f>
        <v>4.307692308</v>
      </c>
      <c r="N16" s="46"/>
      <c r="O16" s="51">
        <f>IFERROR(O14/N14,0)</f>
        <v>0.5</v>
      </c>
      <c r="P16" s="53"/>
      <c r="Q16" s="51">
        <f>IFERROR(Q14/P14,0)</f>
        <v>0.375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27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6.0</v>
      </c>
      <c r="H22" s="105">
        <v>2.0</v>
      </c>
      <c r="I22" s="105">
        <v>0.0</v>
      </c>
      <c r="J22" s="105">
        <v>0.0</v>
      </c>
      <c r="K22" s="105">
        <v>0.0</v>
      </c>
      <c r="L22" s="105">
        <v>1.0</v>
      </c>
      <c r="M22" s="105">
        <v>4.0</v>
      </c>
      <c r="N22" s="105">
        <v>1.0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1.0</v>
      </c>
      <c r="I23" s="105">
        <v>1.0</v>
      </c>
      <c r="J23" s="105">
        <v>0.0</v>
      </c>
      <c r="K23" s="105">
        <v>0.0</v>
      </c>
      <c r="L23" s="105">
        <v>0.0</v>
      </c>
      <c r="M23" s="105">
        <v>0.0</v>
      </c>
      <c r="N23" s="105">
        <v>1.0</v>
      </c>
      <c r="O23" s="105">
        <v>1.0</v>
      </c>
      <c r="P23" s="105">
        <v>0.0</v>
      </c>
      <c r="Q23" s="105">
        <v>0.0</v>
      </c>
      <c r="R23" s="105">
        <v>0.0</v>
      </c>
      <c r="S23" s="105">
        <v>0.0</v>
      </c>
      <c r="T23" s="105">
        <v>1316.0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1.0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4.0</v>
      </c>
      <c r="H25" s="105">
        <v>3.0</v>
      </c>
      <c r="I25" s="105">
        <v>0.0</v>
      </c>
      <c r="J25" s="105">
        <v>1.0</v>
      </c>
      <c r="K25" s="105">
        <v>0.0</v>
      </c>
      <c r="L25" s="105">
        <v>0.0</v>
      </c>
      <c r="M25" s="105">
        <v>9.0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0.75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1.0</v>
      </c>
      <c r="M26" s="105">
        <v>7.0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3.0</v>
      </c>
      <c r="H27" s="105">
        <v>3.0</v>
      </c>
      <c r="I27" s="105">
        <v>1.0</v>
      </c>
      <c r="J27" s="105">
        <v>2.0</v>
      </c>
      <c r="K27" s="105">
        <v>0.0</v>
      </c>
      <c r="L27" s="105">
        <v>2.0</v>
      </c>
      <c r="M27" s="105">
        <v>27.0</v>
      </c>
      <c r="N27" s="105">
        <v>0.0</v>
      </c>
      <c r="O27" s="105">
        <v>0.0</v>
      </c>
      <c r="P27" s="105">
        <v>0.0</v>
      </c>
      <c r="Q27" s="105">
        <v>0.0</v>
      </c>
      <c r="R27" s="105">
        <v>3.0</v>
      </c>
      <c r="S27" s="105">
        <v>1.0</v>
      </c>
      <c r="T27" s="105">
        <v>1069.0</v>
      </c>
      <c r="U27" s="66">
        <f>IFERROR(I27/H27,0)</f>
        <v>0.3333333333</v>
      </c>
      <c r="V27" s="66">
        <f t="shared" si="3"/>
        <v>1.666666667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5.0</v>
      </c>
      <c r="H28" s="105">
        <v>2.0</v>
      </c>
      <c r="I28" s="105">
        <v>1.0</v>
      </c>
      <c r="J28" s="105">
        <v>0.0</v>
      </c>
      <c r="K28" s="105">
        <v>0.0</v>
      </c>
      <c r="L28" s="105">
        <v>0.0</v>
      </c>
      <c r="M28" s="105">
        <v>2.0</v>
      </c>
      <c r="N28" s="105">
        <v>2.0</v>
      </c>
      <c r="O28" s="105">
        <v>1.0</v>
      </c>
      <c r="P28" s="105">
        <v>0.0</v>
      </c>
      <c r="Q28" s="105">
        <v>0.0</v>
      </c>
      <c r="R28" s="105">
        <v>0.0</v>
      </c>
      <c r="S28" s="105">
        <v>0.0</v>
      </c>
      <c r="T28" s="105">
        <v>1100.0</v>
      </c>
      <c r="U28" s="106">
        <v>0.0</v>
      </c>
      <c r="V28" s="106">
        <v>11.0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ref="U29:U32" si="4">IFERROR(I29/H29,0)</f>
        <v>0</v>
      </c>
      <c r="V29" s="66">
        <f t="shared" ref="V29:V32" si="5">IFERROR(SUM(H29+L29)/G29,0)</f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7.0</v>
      </c>
      <c r="H30" s="105">
        <v>3.0</v>
      </c>
      <c r="I30" s="105">
        <v>2.0</v>
      </c>
      <c r="J30" s="105">
        <v>0.0</v>
      </c>
      <c r="K30" s="105">
        <v>0.0</v>
      </c>
      <c r="L30" s="105">
        <v>0.0</v>
      </c>
      <c r="M30" s="105">
        <v>30.0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3913.0</v>
      </c>
      <c r="U30" s="66">
        <f t="shared" si="4"/>
        <v>0.6666666667</v>
      </c>
      <c r="V30" s="66">
        <f t="shared" si="5"/>
        <v>0.4285714286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5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3.0</v>
      </c>
      <c r="H32" s="105">
        <v>1.0</v>
      </c>
      <c r="I32" s="105">
        <v>0.0</v>
      </c>
      <c r="J32" s="105">
        <v>1.0</v>
      </c>
      <c r="K32" s="105">
        <v>1.0</v>
      </c>
      <c r="L32" s="105">
        <v>0.0</v>
      </c>
      <c r="M32" s="105">
        <v>12.0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1231.0</v>
      </c>
      <c r="U32" s="66">
        <f t="shared" si="4"/>
        <v>0</v>
      </c>
      <c r="V32" s="66">
        <f t="shared" si="5"/>
        <v>0.3333333333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4" si="6">IFERROR(I34/H34,0)</f>
        <v>0</v>
      </c>
      <c r="V34" s="66">
        <f t="shared" ref="V34:V50" si="7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6"/>
        <v>0</v>
      </c>
      <c r="V35" s="66">
        <f t="shared" si="7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6"/>
        <v>0</v>
      </c>
      <c r="V36" s="66">
        <f t="shared" si="7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5.0</v>
      </c>
      <c r="H37" s="105">
        <v>3.0</v>
      </c>
      <c r="I37" s="105">
        <v>1.0</v>
      </c>
      <c r="J37" s="105">
        <v>0.0</v>
      </c>
      <c r="K37" s="105">
        <v>0.0</v>
      </c>
      <c r="L37" s="105">
        <v>0.0</v>
      </c>
      <c r="M37" s="105">
        <v>7.0</v>
      </c>
      <c r="N37" s="105">
        <v>0.0</v>
      </c>
      <c r="O37" s="105">
        <v>0.0</v>
      </c>
      <c r="P37" s="105">
        <v>2.0</v>
      </c>
      <c r="Q37" s="105">
        <v>0.0</v>
      </c>
      <c r="R37" s="105">
        <v>1.0</v>
      </c>
      <c r="S37" s="105">
        <v>1.0</v>
      </c>
      <c r="T37" s="105">
        <v>1217.0</v>
      </c>
      <c r="U37" s="66">
        <f t="shared" si="6"/>
        <v>0.3333333333</v>
      </c>
      <c r="V37" s="66">
        <f t="shared" si="7"/>
        <v>0.6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2.0</v>
      </c>
      <c r="H38" s="105">
        <v>1.0</v>
      </c>
      <c r="I38" s="105">
        <v>1.0</v>
      </c>
      <c r="J38" s="105">
        <v>0.0</v>
      </c>
      <c r="K38" s="105">
        <v>0.0</v>
      </c>
      <c r="L38" s="105">
        <v>0.0</v>
      </c>
      <c r="M38" s="105">
        <v>25.0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1.0</v>
      </c>
      <c r="T38" s="105">
        <v>1680.0</v>
      </c>
      <c r="U38" s="66">
        <f t="shared" si="6"/>
        <v>1</v>
      </c>
      <c r="V38" s="66">
        <f t="shared" si="7"/>
        <v>0.5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8.0</v>
      </c>
      <c r="H39" s="105">
        <v>4.0</v>
      </c>
      <c r="I39" s="105">
        <v>0.0</v>
      </c>
      <c r="J39" s="105">
        <v>4.0</v>
      </c>
      <c r="K39" s="105">
        <v>2.0</v>
      </c>
      <c r="L39" s="105">
        <v>0.0</v>
      </c>
      <c r="M39" s="105">
        <v>13.0</v>
      </c>
      <c r="N39" s="105">
        <v>1.0</v>
      </c>
      <c r="O39" s="105">
        <v>0.0</v>
      </c>
      <c r="P39" s="105">
        <v>0.0</v>
      </c>
      <c r="Q39" s="105">
        <v>0.0</v>
      </c>
      <c r="R39" s="105">
        <v>3.0</v>
      </c>
      <c r="S39" s="105">
        <v>2.0</v>
      </c>
      <c r="T39" s="105">
        <v>3606.0</v>
      </c>
      <c r="U39" s="66">
        <f t="shared" si="6"/>
        <v>0</v>
      </c>
      <c r="V39" s="66">
        <f t="shared" si="7"/>
        <v>0.5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2.0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2111.0</v>
      </c>
      <c r="U40" s="66">
        <f t="shared" si="6"/>
        <v>1</v>
      </c>
      <c r="V40" s="66">
        <f t="shared" si="7"/>
        <v>0.5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2.0</v>
      </c>
      <c r="H41" s="105">
        <v>2.0</v>
      </c>
      <c r="I41" s="105">
        <v>0.0</v>
      </c>
      <c r="J41" s="105">
        <v>2.0</v>
      </c>
      <c r="K41" s="105">
        <v>0.0</v>
      </c>
      <c r="L41" s="105">
        <v>0.0</v>
      </c>
      <c r="M41" s="105">
        <v>2.0</v>
      </c>
      <c r="N41" s="105">
        <v>0.0</v>
      </c>
      <c r="O41" s="105">
        <v>0.0</v>
      </c>
      <c r="P41" s="105">
        <v>0.0</v>
      </c>
      <c r="Q41" s="105">
        <v>0.0</v>
      </c>
      <c r="R41" s="105">
        <v>2.0</v>
      </c>
      <c r="S41" s="105">
        <v>0.0</v>
      </c>
      <c r="T41" s="105">
        <v>0.0</v>
      </c>
      <c r="U41" s="66">
        <f t="shared" si="6"/>
        <v>0</v>
      </c>
      <c r="V41" s="66">
        <f t="shared" si="7"/>
        <v>1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1.0</v>
      </c>
      <c r="H43" s="105">
        <v>1.0</v>
      </c>
      <c r="I43" s="105">
        <v>1.0</v>
      </c>
      <c r="J43" s="105">
        <v>1.0</v>
      </c>
      <c r="K43" s="105">
        <v>0.0</v>
      </c>
      <c r="L43" s="105">
        <v>0.0</v>
      </c>
      <c r="M43" s="105">
        <v>4.0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3492.0</v>
      </c>
      <c r="U43" s="66">
        <f t="shared" si="6"/>
        <v>1</v>
      </c>
      <c r="V43" s="66">
        <f t="shared" si="7"/>
        <v>1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106">
        <v>0.0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2.0</v>
      </c>
      <c r="H46" s="105">
        <v>1.0</v>
      </c>
      <c r="I46" s="105">
        <v>1.0</v>
      </c>
      <c r="J46" s="105">
        <v>0.0</v>
      </c>
      <c r="K46" s="105">
        <v>0.0</v>
      </c>
      <c r="L46" s="105">
        <v>0.0</v>
      </c>
      <c r="M46" s="105">
        <v>3.0</v>
      </c>
      <c r="N46" s="105">
        <v>1.0</v>
      </c>
      <c r="O46" s="105">
        <v>1.0</v>
      </c>
      <c r="P46" s="105">
        <v>0.0</v>
      </c>
      <c r="Q46" s="105">
        <v>0.0</v>
      </c>
      <c r="R46" s="105">
        <v>0.0</v>
      </c>
      <c r="S46" s="105">
        <v>0.0</v>
      </c>
      <c r="T46" s="105">
        <v>1020.0</v>
      </c>
      <c r="U46" s="66">
        <f t="shared" ref="U46:U50" si="8">IFERROR(I46/H46,0)</f>
        <v>1</v>
      </c>
      <c r="V46" s="66">
        <f t="shared" si="7"/>
        <v>0.5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8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8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8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8"/>
        <v>0</v>
      </c>
      <c r="V50" s="66">
        <f t="shared" si="7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3507</v>
      </c>
      <c r="D2" s="9"/>
      <c r="E2" s="8">
        <f t="shared" ref="E2:R2" si="1">SUM(E5,E11)</f>
        <v>2075</v>
      </c>
      <c r="F2" s="8">
        <f t="shared" si="1"/>
        <v>0</v>
      </c>
      <c r="G2" s="10">
        <f t="shared" si="1"/>
        <v>2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1753.5</v>
      </c>
      <c r="F4" s="20">
        <f>IFERROR((G2+R2)/F2,0)</f>
        <v>0</v>
      </c>
      <c r="G4" s="20">
        <f>IFERROR(H2/G2,0)</f>
        <v>1</v>
      </c>
      <c r="H4" s="19">
        <f>(C2/C4)</f>
        <v>116.9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5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3507</v>
      </c>
      <c r="D5" s="26"/>
      <c r="E5" s="27">
        <f>SUMIFS(T:T,A:A,B5,D:D,"Y")</f>
        <v>2075</v>
      </c>
      <c r="F5" s="8">
        <f>SUMIF(A:A,B5,G:G)</f>
        <v>0</v>
      </c>
      <c r="G5" s="10">
        <f>SUMIF(A:A,B5,H:H)</f>
        <v>2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1753.5</v>
      </c>
      <c r="F7" s="20">
        <f>IFERROR((G5+R5)/F5,0)</f>
        <v>0</v>
      </c>
      <c r="G7" s="20">
        <f>IFERROR(H5/G5,0)</f>
        <v>1</v>
      </c>
      <c r="H7" s="19">
        <f>(C5/C7)</f>
        <v>269.7692308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5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3507</v>
      </c>
      <c r="D8" s="36"/>
      <c r="E8" s="37">
        <f>SUMIFS(T:T,B:B,B8,D:D,"Y")</f>
        <v>2075</v>
      </c>
      <c r="F8" s="38">
        <f>SUMIF(B19:B1129,B8,G19:G1129)</f>
        <v>0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10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1753.5</v>
      </c>
      <c r="F10" s="51">
        <f>IFERROR((G8+R8)/F8,0)</f>
        <v>0</v>
      </c>
      <c r="G10" s="51">
        <f>IFERROR(H8/G8,0)</f>
        <v>1</v>
      </c>
      <c r="H10" s="50">
        <f>(C8/C10)</f>
        <v>292.25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/>
      <c r="H30" s="105">
        <v>2.0</v>
      </c>
      <c r="I30" s="105">
        <v>2.0</v>
      </c>
      <c r="J30" s="105">
        <v>0.0</v>
      </c>
      <c r="K30" s="105">
        <v>0.0</v>
      </c>
      <c r="L30" s="105">
        <v>0.0</v>
      </c>
      <c r="M30" s="105">
        <v>10.0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2075.0</v>
      </c>
      <c r="U30" s="66">
        <f t="shared" si="2"/>
        <v>1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105">
        <v>1432.0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79</v>
      </c>
      <c r="B1" s="111" t="s">
        <v>80</v>
      </c>
      <c r="C1" s="111" t="s">
        <v>30</v>
      </c>
      <c r="D1" s="111" t="s">
        <v>81</v>
      </c>
      <c r="E1" s="111" t="s">
        <v>0</v>
      </c>
      <c r="F1" s="111" t="s">
        <v>82</v>
      </c>
      <c r="G1" s="111" t="s">
        <v>83</v>
      </c>
      <c r="H1" s="111" t="s">
        <v>84</v>
      </c>
      <c r="I1" s="111" t="s">
        <v>85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86</v>
      </c>
      <c r="B2" s="113" t="s">
        <v>87</v>
      </c>
      <c r="C2" s="113" t="s">
        <v>88</v>
      </c>
      <c r="D2" s="114">
        <v>46078.0</v>
      </c>
      <c r="E2" s="113">
        <v>1398.24</v>
      </c>
      <c r="F2" s="113" t="s">
        <v>89</v>
      </c>
      <c r="G2" s="113" t="s">
        <v>90</v>
      </c>
      <c r="H2" s="113" t="s">
        <v>91</v>
      </c>
      <c r="I2" s="113" t="s">
        <v>92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93</v>
      </c>
      <c r="B3" s="113" t="s">
        <v>94</v>
      </c>
      <c r="C3" s="113" t="s">
        <v>88</v>
      </c>
      <c r="D3" s="114">
        <v>46079.0</v>
      </c>
      <c r="E3" s="113">
        <v>1087.56</v>
      </c>
      <c r="F3" s="113" t="s">
        <v>89</v>
      </c>
      <c r="G3" s="113" t="s">
        <v>90</v>
      </c>
      <c r="H3" s="113" t="s">
        <v>95</v>
      </c>
      <c r="I3" s="113" t="s">
        <v>92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3" t="s">
        <v>96</v>
      </c>
      <c r="B4" s="113" t="s">
        <v>97</v>
      </c>
      <c r="C4" s="113" t="s">
        <v>88</v>
      </c>
      <c r="D4" s="114">
        <v>46081.0</v>
      </c>
      <c r="E4" s="113">
        <v>1081.56</v>
      </c>
      <c r="F4" s="113" t="s">
        <v>98</v>
      </c>
      <c r="G4" s="113" t="s">
        <v>90</v>
      </c>
      <c r="H4" s="113" t="s">
        <v>91</v>
      </c>
      <c r="I4" s="113" t="s">
        <v>92</v>
      </c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>
      <c r="A5" s="113" t="s">
        <v>99</v>
      </c>
      <c r="B5" s="113" t="s">
        <v>100</v>
      </c>
      <c r="C5" s="113" t="s">
        <v>101</v>
      </c>
      <c r="D5" s="114">
        <v>46083.0</v>
      </c>
      <c r="E5" s="113">
        <v>2081.4</v>
      </c>
      <c r="F5" s="113" t="s">
        <v>89</v>
      </c>
      <c r="G5" s="113" t="s">
        <v>90</v>
      </c>
      <c r="H5" s="113" t="s">
        <v>95</v>
      </c>
      <c r="I5" s="113" t="s">
        <v>92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>
      <c r="A6" s="113" t="s">
        <v>102</v>
      </c>
      <c r="B6" s="113" t="s">
        <v>103</v>
      </c>
      <c r="C6" s="113" t="s">
        <v>88</v>
      </c>
      <c r="D6" s="114">
        <v>46083.0</v>
      </c>
      <c r="E6" s="113">
        <v>1475.28</v>
      </c>
      <c r="F6" s="113" t="s">
        <v>89</v>
      </c>
      <c r="G6" s="113" t="s">
        <v>98</v>
      </c>
      <c r="H6" s="113" t="s">
        <v>104</v>
      </c>
      <c r="I6" s="113" t="s">
        <v>92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>
      <c r="A7" s="113" t="s">
        <v>105</v>
      </c>
      <c r="B7" s="113" t="s">
        <v>103</v>
      </c>
      <c r="C7" s="113" t="s">
        <v>88</v>
      </c>
      <c r="D7" s="116">
        <v>46079.0</v>
      </c>
      <c r="E7" s="113">
        <v>1488.24</v>
      </c>
      <c r="F7" s="113" t="s">
        <v>89</v>
      </c>
      <c r="G7" s="113" t="s">
        <v>90</v>
      </c>
      <c r="H7" s="113" t="s">
        <v>106</v>
      </c>
      <c r="I7" s="113" t="s">
        <v>107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>
      <c r="A8" s="113" t="s">
        <v>108</v>
      </c>
      <c r="B8" s="113" t="s">
        <v>94</v>
      </c>
      <c r="C8" s="113" t="s">
        <v>88</v>
      </c>
      <c r="D8" s="116">
        <v>46083.0</v>
      </c>
      <c r="E8" s="113">
        <v>1069.56</v>
      </c>
      <c r="F8" s="113" t="s">
        <v>89</v>
      </c>
      <c r="G8" s="113" t="s">
        <v>98</v>
      </c>
      <c r="H8" s="113" t="s">
        <v>109</v>
      </c>
      <c r="I8" s="113" t="s">
        <v>107</v>
      </c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>
      <c r="A9" s="113" t="s">
        <v>110</v>
      </c>
      <c r="B9" s="113" t="s">
        <v>94</v>
      </c>
      <c r="C9" s="113" t="s">
        <v>88</v>
      </c>
      <c r="D9" s="116">
        <v>46083.0</v>
      </c>
      <c r="E9" s="113">
        <v>1631.04</v>
      </c>
      <c r="F9" s="113" t="s">
        <v>89</v>
      </c>
      <c r="G9" s="113" t="s">
        <v>98</v>
      </c>
      <c r="H9" s="113" t="s">
        <v>109</v>
      </c>
      <c r="I9" s="113" t="s">
        <v>107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</sheetData>
  <drawing r:id="rId1"/>
</worksheet>
</file>