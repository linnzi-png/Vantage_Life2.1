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<sst xmlns="http://schemas.openxmlformats.org/spreadsheetml/2006/main" count="2675" uniqueCount="113">
  <si>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</si>
  <si>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</si>
  <si>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</si>
  <si>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</si>
  <si>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</si>
  <si>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</si>
  <si>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</si>
  <si>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</si>
  <si>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</si>
  <si>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</si>
  <si>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</si>
  <si>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</si>
  <si>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</si>
  <si>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</si>
  <si>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</si>
  <si>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</si>
  <si>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</si>
  <si>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</si>
  <si>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</si>
  <si>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</si>
  <si>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</si>
  <si>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</si>
  <si>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</si>
  <si>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</si>
  <si>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</si>
  <si>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</si>
  <si>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</si>
  <si>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</si>
  <si>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</si>
  <si>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</si>
  <si>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</si>
  <si>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</si>
  <si>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</si>
  <si>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</si>
  <si>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</si>
  <si>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</si>
  <si>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</si>
  <si>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</si>
  <si>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</si>
  <si>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</si>
  <si>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</si>
  <si>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</si>
  <si>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</si>
  <si>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</si>
  <si>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</si>
  <si>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</si>
  <si>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</si>
  <si>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</si>
  <si>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</si>
  <si>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</si>
  <si>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</si>
  <si>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</si>
  <si>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</si>
  <si>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</si>
  <si>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</si>
  <si>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</si>
  <si>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Sabrina Leu</t>
  </si>
  <si>
    <t>Tolu Alualu</t>
  </si>
  <si>
    <t>Sunshine Faimalo</t>
  </si>
  <si>
    <t>Salai Alualu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</si>
  <si>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</si>
  <si>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</si>
  <si>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</si>
  <si>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</si>
  <si>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</si>
  <si>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</si>
  <si>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</si>
  <si>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</si>
  <si>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</si>
  <si>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</si>
  <si>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</si>
  <si>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</si>
  <si>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</si>
  <si>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</si>
  <si>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</si>
  <si>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</si>
  <si>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</si>
  <si>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</si>
  <si>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</si>
  <si>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</si>
  <si>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</si>
  <si>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</si>
  <si>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</si>
  <si>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</si>
  <si>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</si>
  <si>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JEANETTE JENKINS</t>
  </si>
  <si>
    <t>RONALD HISHAW</t>
  </si>
  <si>
    <t>ALWATAN</t>
  </si>
  <si>
    <t>N/A</t>
  </si>
  <si>
    <t>NO</t>
  </si>
  <si>
    <t>DIDN'T FIND IT TO BE WORTH IT FOR ONLY 5K COVERAGE. AFTER DISCUSSING W KIDS, DECIDED AGAINST.</t>
  </si>
  <si>
    <t>FL</t>
  </si>
  <si>
    <t>AARON MARTINEZ</t>
  </si>
  <si>
    <t>CANCEL PER CLIENT REQUEST</t>
  </si>
  <si>
    <t>LS</t>
  </si>
  <si>
    <t>MARIA RIVERA</t>
  </si>
  <si>
    <t>CANCEL PER AGENT REQUEST</t>
  </si>
  <si>
    <t xml:space="preserve">LS </t>
  </si>
  <si>
    <t>SILVER GURULE</t>
  </si>
  <si>
    <t>AFTER DISCUSSING W/ SPOUSE, DECIDED AGAINST POLICY. THEY DON'T BELIEVE THEY NEED THE BENEFITS.</t>
  </si>
  <si>
    <t>DOUGLAS AND TERESA RIDNER</t>
  </si>
  <si>
    <t>ALI MERHI</t>
  </si>
  <si>
    <t>SAAD</t>
  </si>
  <si>
    <t>CANCEL PER MGA NOTE</t>
  </si>
  <si>
    <t>GEORGANNA AND HOWARD VELTEN</t>
  </si>
  <si>
    <t>MO SAAD</t>
  </si>
  <si>
    <t>YES</t>
  </si>
  <si>
    <t>VERY ADAMANT ON FIRST DRAFT COMING OUT ON APRIL 4TH</t>
  </si>
  <si>
    <t>JEFFERY HAMMONDS</t>
  </si>
  <si>
    <t>REWRITING NEXT WEEK TO AVOID DOUBLE DRAFT</t>
  </si>
  <si>
    <t>MELANIE BARROZO</t>
  </si>
  <si>
    <t>MEHDI ELKHATIB</t>
  </si>
  <si>
    <t xml:space="preserve">CANCEL PER MGA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</si>
</sst>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color rgb="FF000000"/>
      <name val="&quot;Open Sans&quot;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5F5F5"/>
        <bgColor rgb="FFF5F5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4" numFmtId="3" xfId="0" applyAlignment="1" applyFill="1" applyFont="1" applyNumberFormat="1">
      <alignment readingOrder="0"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106227</v>
      </c>
      <c r="D2" s="9"/>
      <c r="E2" s="8">
        <f t="shared" ref="E2:R2" si="1">SUM(E5,E11)</f>
        <v>48517</v>
      </c>
      <c r="F2" s="8">
        <f t="shared" si="1"/>
        <v>245</v>
      </c>
      <c r="G2" s="10">
        <f t="shared" si="1"/>
        <v>125</v>
      </c>
      <c r="H2" s="10">
        <f t="shared" si="1"/>
        <v>62</v>
      </c>
      <c r="I2" s="10">
        <f t="shared" si="1"/>
        <v>10</v>
      </c>
      <c r="J2" s="10">
        <f t="shared" si="1"/>
        <v>5</v>
      </c>
      <c r="K2" s="10">
        <f t="shared" si="1"/>
        <v>70</v>
      </c>
      <c r="L2" s="10">
        <f t="shared" si="1"/>
        <v>33</v>
      </c>
      <c r="M2" s="10">
        <f t="shared" si="1"/>
        <v>392</v>
      </c>
      <c r="N2" s="10">
        <f t="shared" si="1"/>
        <v>39</v>
      </c>
      <c r="O2" s="10">
        <f t="shared" si="1"/>
        <v>23</v>
      </c>
      <c r="P2" s="10">
        <f t="shared" si="1"/>
        <v>58</v>
      </c>
      <c r="Q2" s="10">
        <f t="shared" si="1"/>
        <v>31</v>
      </c>
      <c r="R2" s="10">
        <f t="shared" si="1"/>
        <v>25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1713.33871</v>
      </c>
      <c r="F4" s="20">
        <f>IFERROR((G2+R2)/F2,0)</f>
        <v>0.612244898</v>
      </c>
      <c r="G4" s="20">
        <f>IFERROR(H2/G2,0)</f>
        <v>0.496</v>
      </c>
      <c r="H4" s="19">
        <f>(C2/C4)</f>
        <v>3540.9</v>
      </c>
      <c r="I4" s="21"/>
      <c r="J4" s="20">
        <f>IFERROR(J2/I2,0)</f>
        <v>0.5</v>
      </c>
      <c r="K4" s="21"/>
      <c r="L4" s="20">
        <f>IFERROR(L2/K2,0)</f>
        <v>0.4714285714</v>
      </c>
      <c r="M4" s="22">
        <f>IFERROR(M2/G2,0)</f>
        <v>3.136</v>
      </c>
      <c r="N4" s="21"/>
      <c r="O4" s="20">
        <f>IFERROR(O2/N2,0)</f>
        <v>0.5897435897</v>
      </c>
      <c r="P4" s="22"/>
      <c r="Q4" s="20">
        <f>IFERROR(Q2/P2,0)</f>
        <v>0.5344827586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62157</v>
      </c>
      <c r="D5" s="26"/>
      <c r="E5" s="27">
        <f>SUMIFS(T:T,A:A,B5,D:D,"Y")</f>
        <v>36950</v>
      </c>
      <c r="F5" s="8">
        <f>SUMIF(A:A,B5,G:G)</f>
        <v>137</v>
      </c>
      <c r="G5" s="10">
        <f>SUMIF(A:A,B5,H:H)</f>
        <v>70</v>
      </c>
      <c r="H5" s="10">
        <f>SUMIF(A:A,B5,I:I)</f>
        <v>38</v>
      </c>
      <c r="I5" s="10">
        <f>SUMIF(A:A,B5,P:P)</f>
        <v>5</v>
      </c>
      <c r="J5" s="10">
        <f>SUMIF(A:A,B5,Q:Q)</f>
        <v>4</v>
      </c>
      <c r="K5" s="10">
        <f>SUMIF(A:A,B5,R:R)</f>
        <v>35</v>
      </c>
      <c r="L5" s="10">
        <f>SUMIF(A:A,B5,S:S)</f>
        <v>19</v>
      </c>
      <c r="M5" s="10">
        <f>SUMIF(A:A,B5,M:M)</f>
        <v>287</v>
      </c>
      <c r="N5" s="10">
        <f>SUMIF(A:A,B5,N:N)</f>
        <v>28</v>
      </c>
      <c r="O5" s="10">
        <f>SUMIF(A:A,B5,O:O)</f>
        <v>14</v>
      </c>
      <c r="P5" s="10">
        <f>SUMIF(A:A,B5,J:J)</f>
        <v>24</v>
      </c>
      <c r="Q5" s="10">
        <f>SUMIF(A:A,B5,K:K)</f>
        <v>16</v>
      </c>
      <c r="R5" s="10">
        <f>SUMIF(A:A,B5,L:L)</f>
        <v>14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1635.710526</v>
      </c>
      <c r="F7" s="20">
        <f>IFERROR((G5+R5)/F5,0)</f>
        <v>0.6131386861</v>
      </c>
      <c r="G7" s="20">
        <f>IFERROR(H5/G5,0)</f>
        <v>0.5428571429</v>
      </c>
      <c r="H7" s="19">
        <f>(C5/C7)</f>
        <v>4781.307692</v>
      </c>
      <c r="I7" s="21"/>
      <c r="J7" s="20">
        <f>IFERROR(J5/I5,0)</f>
        <v>0.8</v>
      </c>
      <c r="K7" s="21"/>
      <c r="L7" s="20">
        <f>IFERROR(L5/K5,0)</f>
        <v>0.5428571429</v>
      </c>
      <c r="M7" s="22">
        <f>IFERROR(M5/SUM(R5+G5,0),"")</f>
        <v>3.416666667</v>
      </c>
      <c r="N7" s="21"/>
      <c r="O7" s="20">
        <f>IFERROR(O5/N5,0)</f>
        <v>0.5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62157</v>
      </c>
      <c r="D8" s="36"/>
      <c r="E8" s="37">
        <f>SUMIFS(T:T,B:B,B8,D:D,"Y")</f>
        <v>36950</v>
      </c>
      <c r="F8" s="38">
        <f>SUMIF(B19:B1029,B8,G19:G1029)</f>
        <v>137</v>
      </c>
      <c r="G8" s="39">
        <f>SUMIF(B19:B1029,B8,H19:H1029)</f>
        <v>70</v>
      </c>
      <c r="H8" s="38">
        <f>SUMIF(B19:B1029,B8,I19:I1029)</f>
        <v>38</v>
      </c>
      <c r="I8" s="39">
        <f>SUMIF(B19:B1029,B8,P19:P1029)</f>
        <v>5</v>
      </c>
      <c r="J8" s="39">
        <f>SUMIF(B19:B1029,B8,Q19:Q1029)</f>
        <v>4</v>
      </c>
      <c r="K8" s="39">
        <f>SUMIF(B19:B1029,B8,R19:R1029)</f>
        <v>35</v>
      </c>
      <c r="L8" s="39">
        <f>SUMIF(B19:B1029,B8,S19:S1029)</f>
        <v>19</v>
      </c>
      <c r="M8" s="39">
        <f>SUMIF(B19:B1029,B8,M19:M1029)</f>
        <v>287</v>
      </c>
      <c r="N8" s="39">
        <f>SUMIF(B19:B1029,B8,N19:N1029)</f>
        <v>28</v>
      </c>
      <c r="O8" s="38">
        <f>SUMIF(B19:B1029,B8,O19:O1029)</f>
        <v>14</v>
      </c>
      <c r="P8" s="39">
        <f>SUMIF(B19:B1029,B8,J19:J1029)</f>
        <v>24</v>
      </c>
      <c r="Q8" s="39">
        <f>SUMIF(B19:B1029,B8,K19:K1029)</f>
        <v>16</v>
      </c>
      <c r="R8" s="38">
        <f>SUMIF(B19:B1029,B8,L19:L1029)</f>
        <v>14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COUNTIFS(B19:B1029,B8)</f>
        <v>12</v>
      </c>
      <c r="D10" s="42"/>
      <c r="E10" s="50">
        <f>IFERROR(C8/H8,0)</f>
        <v>1635.710526</v>
      </c>
      <c r="F10" s="51">
        <f>IFERROR((G8+R8)/F8,0)</f>
        <v>0.6131386861</v>
      </c>
      <c r="G10" s="51">
        <f>IFERROR(H8/G8,0)</f>
        <v>0.5428571429</v>
      </c>
      <c r="H10" s="50">
        <f>(C8/C10)</f>
        <v>5179.75</v>
      </c>
      <c r="I10" s="46"/>
      <c r="J10" s="51">
        <f>IFERROR(J8/I8,0)</f>
        <v>0.8</v>
      </c>
      <c r="K10" s="46"/>
      <c r="L10" s="51">
        <f>IFERROR(L8/K8,0)</f>
        <v>0.5428571429</v>
      </c>
      <c r="M10" s="52">
        <f>IFERROR(M8/SUM(G8+R8,0),"")</f>
        <v>3.416666667</v>
      </c>
      <c r="N10" s="46"/>
      <c r="O10" s="51">
        <f>IFERROR(O8/N8,0)</f>
        <v>0.5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44070</v>
      </c>
      <c r="D11" s="26"/>
      <c r="E11" s="27">
        <f>SUMIFS(T:T,A:A,B11,D:D,"Y")</f>
        <v>11567</v>
      </c>
      <c r="F11" s="8">
        <f>SUMIF(A:A,B11,G:G)</f>
        <v>108</v>
      </c>
      <c r="G11" s="10">
        <f>SUMIF(A:A,B11,H:H)</f>
        <v>55</v>
      </c>
      <c r="H11" s="10">
        <f>SUMIF(A:A,B11,I:I)</f>
        <v>24</v>
      </c>
      <c r="I11" s="10">
        <f>SUMIF(A:A,B11,P:P)</f>
        <v>5</v>
      </c>
      <c r="J11" s="10">
        <f>SUMIF(A:A,B11,Q:Q)</f>
        <v>1</v>
      </c>
      <c r="K11" s="10">
        <f>SUMIF(A:A,B11,R:R)</f>
        <v>35</v>
      </c>
      <c r="L11" s="10">
        <f>SUMIF(A:A,B11,S:S)</f>
        <v>14</v>
      </c>
      <c r="M11" s="10">
        <f>SUMIF(A:A,B11,M:M)</f>
        <v>105</v>
      </c>
      <c r="N11" s="10">
        <f>SUMIF(A:A,B11,N:N)</f>
        <v>11</v>
      </c>
      <c r="O11" s="10">
        <f>SUMIF(A:A,B11,O:O)</f>
        <v>9</v>
      </c>
      <c r="P11" s="10">
        <f>SUMIF(A:A,B11,J:J)</f>
        <v>34</v>
      </c>
      <c r="Q11" s="10">
        <f>SUMIF(A:A,B11,K:K)</f>
        <v>15</v>
      </c>
      <c r="R11" s="10">
        <f>SUMIF(A:A,B11,L:L)</f>
        <v>11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1836.25</v>
      </c>
      <c r="F13" s="20">
        <f>IFERROR((G11+R11)/F11,0)</f>
        <v>0.6111111111</v>
      </c>
      <c r="G13" s="20">
        <f>IFERROR(H11/G11,0)</f>
        <v>0.4363636364</v>
      </c>
      <c r="H13" s="19">
        <f>(C11/C13)</f>
        <v>2592.352941</v>
      </c>
      <c r="I13" s="21"/>
      <c r="J13" s="20">
        <f>IFERROR(J11/I11,0)</f>
        <v>0.2</v>
      </c>
      <c r="K13" s="21"/>
      <c r="L13" s="20">
        <f>IFERROR(L11/K11,0)</f>
        <v>0.4</v>
      </c>
      <c r="M13" s="22">
        <f>IFERROR(M11/SUM(R11+G11,0),"")</f>
        <v>1.590909091</v>
      </c>
      <c r="N13" s="21"/>
      <c r="O13" s="20">
        <f>IFERROR(O11/N11,0)</f>
        <v>0.8181818182</v>
      </c>
      <c r="P13" s="22"/>
      <c r="Q13" s="20">
        <f>IFERROR(Q11/P11,0)</f>
        <v>0.4411764706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44070</v>
      </c>
      <c r="D14" s="36"/>
      <c r="E14" s="37">
        <f>SUMIFS(T:T,B:B,B14,D:D,"Y")</f>
        <v>11567</v>
      </c>
      <c r="F14" s="38">
        <f>SUMIF(B19:B1029,B14,G19:G1029)</f>
        <v>108</v>
      </c>
      <c r="G14" s="39">
        <f>SUMIF(B19:B1029,B14,H19:H1029)</f>
        <v>55</v>
      </c>
      <c r="H14" s="38">
        <f>SUMIF(B19:B1029,B14,I19:I1029)</f>
        <v>24</v>
      </c>
      <c r="I14" s="39">
        <f>SUMIF(B19:B1029,B14,P19:P1029)</f>
        <v>5</v>
      </c>
      <c r="J14" s="39">
        <f>SUMIF(B19:B1029,B14,Q19:Q1029)</f>
        <v>1</v>
      </c>
      <c r="K14" s="39">
        <f>SUMIF(B19:B1029,B14,R19:R1029)</f>
        <v>35</v>
      </c>
      <c r="L14" s="39">
        <f>SUMIF(B19:B1029,B14,S19:S1029)</f>
        <v>14</v>
      </c>
      <c r="M14" s="39">
        <f>SUMIF(B19:B1029,B14,M19:M1029)</f>
        <v>105</v>
      </c>
      <c r="N14" s="39">
        <f>SUMIF(B19:B1029,B14,N19:N1029)</f>
        <v>11</v>
      </c>
      <c r="O14" s="38">
        <f>SUMIF(B19:B1029,B14,O19:O1029)</f>
        <v>9</v>
      </c>
      <c r="P14" s="39">
        <f>SUMIF(B19:B1029,B14,J19:J1029)</f>
        <v>34</v>
      </c>
      <c r="Q14" s="39">
        <f>SUMIF(B19:B1029,B14,K19:K1029)</f>
        <v>15</v>
      </c>
      <c r="R14" s="38">
        <f>SUMIF(B19:B1029,B14,L19:L1029)</f>
        <v>11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COUNTIFS(B19:B1029,B14)</f>
        <v>16</v>
      </c>
      <c r="D16" s="42"/>
      <c r="E16" s="50">
        <f>IFERROR(C14/H14,0)</f>
        <v>1836.25</v>
      </c>
      <c r="F16" s="51">
        <f>IFERROR((G14+R14)/F14,0)</f>
        <v>0.6111111111</v>
      </c>
      <c r="G16" s="51">
        <f>IFERROR(H14/G14,0)</f>
        <v>0.4363636364</v>
      </c>
      <c r="H16" s="50">
        <f>(C14/C16)</f>
        <v>2754.375</v>
      </c>
      <c r="I16" s="46"/>
      <c r="J16" s="51">
        <f>IFERROR(J14/I14,0)</f>
        <v>0.2</v>
      </c>
      <c r="K16" s="46"/>
      <c r="L16" s="51">
        <f>IFERROR(L14/K14,0)</f>
        <v>0.4</v>
      </c>
      <c r="M16" s="52">
        <f>IFERROR(M14/SUM(G14+R14,0),"")</f>
        <v>1.590909091</v>
      </c>
      <c r="N16" s="46"/>
      <c r="O16" s="51">
        <f>IFERROR(O14/N14,0)</f>
        <v>0.8181818182</v>
      </c>
      <c r="P16" s="53"/>
      <c r="Q16" s="51">
        <f>IFERROR(Q14/P14,0)</f>
        <v>0.4411764706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7</v>
      </c>
      <c r="H21" s="65">
        <f>('Thurs (2)'!H21+Thurs!H21+'Tues '!H21+Wed!H21+Fri!H21+'Mon '!H21+'Wed (2)'!H21+Sun!H21+Sat!H21)</f>
        <v>4</v>
      </c>
      <c r="I21" s="65">
        <f>('Thurs (2)'!I21+Thurs!I21+'Tues '!I21+Wed!I21+Fri!I21+'Mon '!I21+'Wed (2)'!I21+Sun!I21+Sat!I21)</f>
        <v>3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9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4</v>
      </c>
      <c r="Q21" s="65">
        <f>('Thurs (2)'!Q21+Thurs!Q21+'Tues '!Q21+Wed!Q21+Fri!Q21+'Mon '!Q21+'Wed (2)'!Q21+Sun!Q21+Sat!Q21)</f>
        <v>3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4015</v>
      </c>
      <c r="U21" s="66">
        <f t="shared" si="2"/>
        <v>0.75</v>
      </c>
      <c r="V21" s="66">
        <f t="shared" si="3"/>
        <v>0.5714285714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15</v>
      </c>
      <c r="H22" s="65">
        <f>('Thurs (2)'!H22+Thurs!H22+'Tues '!H22+Wed!H22+Fri!H22+'Mon '!H22+'Wed (2)'!H22+Sun!H22+Sat!H22)</f>
        <v>3</v>
      </c>
      <c r="I22" s="65">
        <f>('Thurs (2)'!I22+Thurs!I22+'Tues '!I22+Wed!I22+Fri!I22+'Mon '!I22+'Wed (2)'!I22+Sun!I22+Sat!I22)</f>
        <v>1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5</v>
      </c>
      <c r="N22" s="65">
        <f>('Thurs (2)'!N22+Thurs!N22+'Tues '!N22+Wed!N22+Fri!N22+'Mon '!N22+'Wed (2)'!N22+Sun!N22+Sat!N22)</f>
        <v>1</v>
      </c>
      <c r="O22" s="65">
        <f>('Thurs (2)'!O22+Thurs!O22+'Tues '!O22+Wed!O22+Fri!O22+'Mon '!O22+'Wed (2)'!O22+Sun!O22+Sat!O22)</f>
        <v>1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789</v>
      </c>
      <c r="U22" s="66">
        <f t="shared" si="2"/>
        <v>0.3333333333</v>
      </c>
      <c r="V22" s="66">
        <f t="shared" si="3"/>
        <v>0.2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3</v>
      </c>
      <c r="H23" s="65">
        <f>('Thurs (2)'!H23+Thurs!H23+'Tues '!H23+Wed!H23+Fri!H23+'Mon '!H23+'Wed (2)'!H23+Sun!H23+Sat!H23)</f>
        <v>1</v>
      </c>
      <c r="I23" s="65">
        <f>('Thurs (2)'!I23+Thurs!I23+'Tues '!I23+Wed!I23+Fri!I23+'Mon '!I23+'Wed (2)'!I23+Sun!I23+Sat!I23)</f>
        <v>1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4</v>
      </c>
      <c r="N23" s="65">
        <f>('Thurs (2)'!N23+Thurs!N23+'Tues '!N23+Wed!N23+Fri!N23+'Mon '!N23+'Wed (2)'!N23+Sun!N23+Sat!N23)</f>
        <v>1</v>
      </c>
      <c r="O23" s="65">
        <f>('Thurs (2)'!O23+Thurs!O23+'Tues '!O23+Wed!O23+Fri!O23+'Mon '!O23+'Wed (2)'!O23+Sun!O23+Sat!O23)</f>
        <v>1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1721</v>
      </c>
      <c r="U23" s="66">
        <f t="shared" si="2"/>
        <v>1</v>
      </c>
      <c r="V23" s="66">
        <f t="shared" si="3"/>
        <v>0.3333333333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19</v>
      </c>
      <c r="H24" s="65">
        <f>('Thurs (2)'!H24+Thurs!H24+'Tues '!H24+Wed!H24+Fri!H24+'Mon '!H24+'Wed (2)'!H24+Sun!H24+Sat!H24)</f>
        <v>14</v>
      </c>
      <c r="I24" s="65">
        <f>('Thurs (2)'!I24+Thurs!I24+'Tues '!I24+Wed!I24+Fri!I24+'Mon '!I24+'Wed (2)'!I24+Sun!I24+Sat!I24)</f>
        <v>8</v>
      </c>
      <c r="J24" s="65">
        <f>('Thurs (2)'!J24+Thurs!J24+'Tues '!J24+Wed!J24+Fri!J24+'Mon '!J24+'Wed (2)'!J24+Sun!J24+Sat!J24)</f>
        <v>2</v>
      </c>
      <c r="K24" s="65">
        <f>('Thurs (2)'!K24+Thurs!K24+'Tues '!K24+Wed!K24+Fri!K24+'Mon '!K24+'Wed (2)'!K24+Sun!K24+Sat!K24)</f>
        <v>2</v>
      </c>
      <c r="L24" s="65">
        <f>('Thurs (2)'!L24+Thurs!L24+'Tues '!L24+Wed!L24+Fri!L24+'Mon '!L24+'Wed (2)'!L24+Sun!L24+Sat!L24)</f>
        <v>3</v>
      </c>
      <c r="M24" s="65">
        <f>('Thurs (2)'!M24+Thurs!M24+'Tues '!M24+Wed!M24+Fri!M24+'Mon '!M24+'Wed (2)'!M24+Sun!M24+Sat!M24)</f>
        <v>40</v>
      </c>
      <c r="N24" s="65">
        <f>('Thurs (2)'!N24+Thurs!N24+'Tues '!N24+Wed!N24+Fri!N24+'Mon '!N24+'Wed (2)'!N24+Sun!N24+Sat!N24)</f>
        <v>2</v>
      </c>
      <c r="O24" s="65">
        <f>('Thurs (2)'!O24+Thurs!O24+'Tues '!O24+Wed!O24+Fri!O24+'Mon '!O24+'Wed (2)'!O24+Sun!O24+Sat!O24)</f>
        <v>2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12</v>
      </c>
      <c r="S24" s="65">
        <f>('Thurs (2)'!S24+Thurs!S24+'Tues '!S24+Wed!S24+Fri!S24+'Mon '!S24+'Wed (2)'!S24+Sun!S24+Sat!S24)</f>
        <v>6</v>
      </c>
      <c r="T24" s="65">
        <f>('Thurs (2)'!T24+Thurs!T24+'Tues '!T24+Wed!T24+Fri!T24+'Mon '!T24+'Wed (2)'!T24+Sun!T24+Sat!T24)</f>
        <v>13639</v>
      </c>
      <c r="U24" s="66">
        <f t="shared" si="2"/>
        <v>0.5714285714</v>
      </c>
      <c r="V24" s="66">
        <f t="shared" si="3"/>
        <v>0.8947368421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3</v>
      </c>
      <c r="H25" s="65">
        <f>('Thurs (2)'!H25+Thurs!H25+'Tues '!H25+Wed!H25+Fri!H25+'Mon '!H25+'Wed (2)'!H25+Sun!H25+Sat!H25)</f>
        <v>2</v>
      </c>
      <c r="I25" s="65">
        <f>('Thurs (2)'!I25+Thurs!I25+'Tues '!I25+Wed!I25+Fri!I25+'Mon '!I25+'Wed (2)'!I25+Sun!I25+Sat!I25)</f>
        <v>1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1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8</v>
      </c>
      <c r="N25" s="65">
        <f>('Thurs (2)'!N25+Thurs!N25+'Tues '!N25+Wed!N25+Fri!N25+'Mon '!N25+'Wed (2)'!N25+Sun!N25+Sat!N25)</f>
        <v>1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1</v>
      </c>
      <c r="S25" s="65">
        <f>('Thurs (2)'!S25+Thurs!S25+'Tues '!S25+Wed!S25+Fri!S25+'Mon '!S25+'Wed (2)'!S25+Sun!S25+Sat!S25)</f>
        <v>1</v>
      </c>
      <c r="T25" s="65">
        <f>('Thurs (2)'!T25+Thurs!T25+'Tues '!T25+Wed!T25+Fri!T25+'Mon '!T25+'Wed (2)'!T25+Sun!T25+Sat!T25)</f>
        <v>652</v>
      </c>
      <c r="U25" s="66">
        <f t="shared" si="2"/>
        <v>0.5</v>
      </c>
      <c r="V25" s="66">
        <f t="shared" si="3"/>
        <v>0.6666666667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18</v>
      </c>
      <c r="H26" s="65">
        <f>('Thurs (2)'!H26+Thurs!H26+'Tues '!H26+Wed!H26+Fri!H26+'Mon '!H26+'Wed (2)'!H26+Sun!H26+Sat!H26)</f>
        <v>8</v>
      </c>
      <c r="I26" s="65">
        <f>('Thurs (2)'!I26+Thurs!I26+'Tues '!I26+Wed!I26+Fri!I26+'Mon '!I26+'Wed (2)'!I26+Sun!I26+Sat!I26)</f>
        <v>7</v>
      </c>
      <c r="J26" s="65">
        <f>('Thurs (2)'!J26+Thurs!J26+'Tues '!J26+Wed!J26+Fri!J26+'Mon '!J26+'Wed (2)'!J26+Sun!J26+Sat!J26)</f>
        <v>6</v>
      </c>
      <c r="K26" s="65">
        <f>('Thurs (2)'!K26+Thurs!K26+'Tues '!K26+Wed!K26+Fri!K26+'Mon '!K26+'Wed (2)'!K26+Sun!K26+Sat!K26)</f>
        <v>6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29</v>
      </c>
      <c r="N26" s="65">
        <f>('Thurs (2)'!N26+Thurs!N26+'Tues '!N26+Wed!N26+Fri!N26+'Mon '!N26+'Wed (2)'!N26+Sun!N26+Sat!N26)</f>
        <v>1</v>
      </c>
      <c r="O26" s="65">
        <f>('Thurs (2)'!O26+Thurs!O26+'Tues '!O26+Wed!O26+Fri!O26+'Mon '!O26+'Wed (2)'!O26+Sun!O26+Sat!O26)</f>
        <v>1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7</v>
      </c>
      <c r="S26" s="65">
        <f>('Thurs (2)'!S26+Thurs!S26+'Tues '!S26+Wed!S26+Fri!S26+'Mon '!S26+'Wed (2)'!S26+Sun!S26+Sat!S26)</f>
        <v>6</v>
      </c>
      <c r="T26" s="65">
        <f>('Thurs (2)'!T26+Thurs!T26+'Tues '!T26+Wed!T26+Fri!T26+'Mon '!T26+'Wed (2)'!T26+Sun!T26+Sat!T26)</f>
        <v>15738</v>
      </c>
      <c r="U26" s="66">
        <f t="shared" si="2"/>
        <v>0.875</v>
      </c>
      <c r="V26" s="66">
        <f t="shared" si="3"/>
        <v>0.4444444444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22</v>
      </c>
      <c r="H27" s="65">
        <f>('Thurs (2)'!H27+Thurs!H27+'Tues '!H27+Wed!H27+Fri!H27+'Mon '!H27+'Wed (2)'!H27+Sun!H27+Sat!H27)</f>
        <v>20</v>
      </c>
      <c r="I27" s="65">
        <f>('Thurs (2)'!I27+Thurs!I27+'Tues '!I27+Wed!I27+Fri!I27+'Mon '!I27+'Wed (2)'!I27+Sun!I27+Sat!I27)</f>
        <v>8</v>
      </c>
      <c r="J27" s="65">
        <f>('Thurs (2)'!J27+Thurs!J27+'Tues '!J27+Wed!J27+Fri!J27+'Mon '!J27+'Wed (2)'!J27+Sun!J27+Sat!J27)</f>
        <v>9</v>
      </c>
      <c r="K27" s="65">
        <f>('Thurs (2)'!K27+Thurs!K27+'Tues '!K27+Wed!K27+Fri!K27+'Mon '!K27+'Wed (2)'!K27+Sun!K27+Sat!K27)</f>
        <v>6</v>
      </c>
      <c r="L27" s="65">
        <f>('Thurs (2)'!L27+Thurs!L27+'Tues '!L27+Wed!L27+Fri!L27+'Mon '!L27+'Wed (2)'!L27+Sun!L27+Sat!L27)</f>
        <v>2</v>
      </c>
      <c r="M27" s="65">
        <f>('Thurs (2)'!M27+Thurs!M27+'Tues '!M27+Wed!M27+Fri!M27+'Mon '!M27+'Wed (2)'!M27+Sun!M27+Sat!M27)</f>
        <v>83</v>
      </c>
      <c r="N27" s="65">
        <f>('Thurs (2)'!N27+Thurs!N27+'Tues '!N27+Wed!N27+Fri!N27+'Mon '!N27+'Wed (2)'!N27+Sun!N27+Sat!N27)</f>
        <v>9</v>
      </c>
      <c r="O27" s="65">
        <f>('Thurs (2)'!O27+Thurs!O27+'Tues '!O27+Wed!O27+Fri!O27+'Mon '!O27+'Wed (2)'!O27+Sun!O27+Sat!O27)</f>
        <v>4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11</v>
      </c>
      <c r="S27" s="65">
        <f>('Thurs (2)'!S27+Thurs!S27+'Tues '!S27+Wed!S27+Fri!S27+'Mon '!S27+'Wed (2)'!S27+Sun!S27+Sat!S27)</f>
        <v>4</v>
      </c>
      <c r="T27" s="65">
        <f>('Thurs (2)'!T27+Thurs!T27+'Tues '!T27+Wed!T27+Fri!T27+'Mon '!T27+'Wed (2)'!T27+Sun!T27+Sat!T27)</f>
        <v>13265</v>
      </c>
      <c r="U27" s="66">
        <f t="shared" si="2"/>
        <v>0.4</v>
      </c>
      <c r="V27" s="66">
        <f t="shared" si="3"/>
        <v>1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19</v>
      </c>
      <c r="H28" s="65">
        <f>('Thurs (2)'!H28+Thurs!H28+'Tues '!H28+Wed!H28+Fri!H28+'Mon '!H28+'Wed (2)'!H28+Sun!H28+Sat!H28)</f>
        <v>9</v>
      </c>
      <c r="I28" s="65">
        <f>('Thurs (2)'!I28+Thurs!I28+'Tues '!I28+Wed!I28+Fri!I28+'Mon '!I28+'Wed (2)'!I28+Sun!I28+Sat!I28)</f>
        <v>1</v>
      </c>
      <c r="J28" s="65">
        <f>('Thurs (2)'!J28+Thurs!J28+'Tues '!J28+Wed!J28+Fri!J28+'Mon '!J28+'Wed (2)'!J28+Sun!J28+Sat!J28)</f>
        <v>2</v>
      </c>
      <c r="K28" s="65">
        <f>('Thurs (2)'!K28+Thurs!K28+'Tues '!K28+Wed!K28+Fri!K28+'Mon '!K28+'Wed (2)'!K28+Sun!K28+Sat!K28)</f>
        <v>0</v>
      </c>
      <c r="L28" s="65">
        <f>('Thurs (2)'!L28+Thurs!L28+'Tues '!L28+Wed!L28+Fri!L28+'Mon '!L28+'Wed (2)'!L28+Sun!L28+Sat!L28)</f>
        <v>7</v>
      </c>
      <c r="M28" s="65">
        <f>('Thurs (2)'!M28+Thurs!M28+'Tues '!M28+Wed!M28+Fri!M28+'Mon '!M28+'Wed (2)'!M28+Sun!M28+Sat!M28)</f>
        <v>22</v>
      </c>
      <c r="N28" s="65">
        <f>('Thurs (2)'!N28+Thurs!N28+'Tues '!N28+Wed!N28+Fri!N28+'Mon '!N28+'Wed (2)'!N28+Sun!N28+Sat!N28)</f>
        <v>4</v>
      </c>
      <c r="O28" s="65">
        <f>('Thurs (2)'!O28+Thurs!O28+'Tues '!O28+Wed!O28+Fri!O28+'Mon '!O28+'Wed (2)'!O28+Sun!O28+Sat!O28)</f>
        <v>2</v>
      </c>
      <c r="P28" s="65">
        <f>('Thurs (2)'!P28+Thurs!P28+'Tues '!P28+Wed!P28+Fri!P28+'Mon '!P28+'Wed (2)'!P28+Sun!P28+Sat!P28)</f>
        <v>1</v>
      </c>
      <c r="Q28" s="65">
        <f>('Thurs (2)'!Q28+Thurs!Q28+'Tues '!Q28+Wed!Q28+Fri!Q28+'Mon '!Q28+'Wed (2)'!Q28+Sun!Q28+Sat!Q28)</f>
        <v>1</v>
      </c>
      <c r="R28" s="65">
        <f>('Thurs (2)'!R28+Thurs!R28+'Tues '!R28+Wed!R28+Fri!R28+'Mon '!R28+'Wed (2)'!R28+Sun!R28+Sat!R28)</f>
        <v>4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872</v>
      </c>
      <c r="U28" s="66">
        <f t="shared" si="2"/>
        <v>0.1111111111</v>
      </c>
      <c r="V28" s="66">
        <f t="shared" si="3"/>
        <v>0.8421052632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f>('Thurs (2)'!G29+Thurs!G29+'Tues '!G29+Wed!G29+Fri!G29+'Mon '!G29+'Wed (2)'!G29+Sun!G29+Sat!G29)</f>
        <v>9</v>
      </c>
      <c r="H29" s="65">
        <f>('Thurs (2)'!H29+Thurs!H29+'Tues '!H29+Wed!H29+Fri!H29+'Mon '!H29+'Wed (2)'!H29+Sun!H29+Sat!H29)</f>
        <v>4</v>
      </c>
      <c r="I29" s="65">
        <f>('Thurs (2)'!I29+Thurs!I29+'Tues '!I29+Wed!I29+Fri!I29+'Mon '!I29+'Wed (2)'!I29+Sun!I29+Sat!I29)</f>
        <v>3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30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2769</v>
      </c>
      <c r="U29" s="66">
        <f t="shared" si="2"/>
        <v>0.75</v>
      </c>
      <c r="V29" s="66">
        <f t="shared" si="3"/>
        <v>0.4444444444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0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0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f>('Thurs (2)'!G31+Thurs!G31+'Tues '!G31+Wed!G31+Fri!G31+'Mon '!G31+'Wed (2)'!G31+Sun!G31+Sat!G31)</f>
        <v>14</v>
      </c>
      <c r="H31" s="65">
        <f>('Thurs (2)'!H31+Thurs!H31+'Tues '!H31+Wed!H31+Fri!H31+'Mon '!H31+'Wed (2)'!H31+Sun!H31+Sat!H31)</f>
        <v>5</v>
      </c>
      <c r="I31" s="65">
        <f>('Thurs (2)'!I31+Thurs!I31+'Tues '!I31+Wed!I31+Fri!I31+'Mon '!I31+'Wed (2)'!I31+Sun!I31+Sat!I31)</f>
        <v>5</v>
      </c>
      <c r="J31" s="65">
        <f>('Thurs (2)'!J31+Thurs!J31+'Tues '!J31+Wed!J31+Fri!J31+'Mon '!J31+'Wed (2)'!J31+Sun!J31+Sat!J31)</f>
        <v>3</v>
      </c>
      <c r="K31" s="65">
        <f>('Thurs (2)'!K31+Thurs!K31+'Tues '!K31+Wed!K31+Fri!K31+'Mon '!K31+'Wed (2)'!K31+Sun!K31+Sat!K31)</f>
        <v>1</v>
      </c>
      <c r="L31" s="65">
        <f>('Thurs (2)'!L31+Thurs!L31+'Tues '!L31+Wed!L31+Fri!L31+'Mon '!L31+'Wed (2)'!L31+Sun!L31+Sat!L31)</f>
        <v>1</v>
      </c>
      <c r="M31" s="65">
        <f>('Thurs (2)'!M31+Thurs!M31+'Tues '!M31+Wed!M31+Fri!M31+'Mon '!M31+'Wed (2)'!M31+Sun!M31+Sat!M31)</f>
        <v>52</v>
      </c>
      <c r="N31" s="65">
        <f>('Thurs (2)'!N31+Thurs!N31+'Tues '!N31+Wed!N31+Fri!N31+'Mon '!N31+'Wed (2)'!N31+Sun!N31+Sat!N31)</f>
        <v>5</v>
      </c>
      <c r="O31" s="65">
        <f>('Thurs (2)'!O31+Thurs!O31+'Tues '!O31+Wed!O31+Fri!O31+'Mon '!O31+'Wed (2)'!O31+Sun!O31+Sat!O31)</f>
        <v>3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8697</v>
      </c>
      <c r="U31" s="66">
        <f t="shared" si="2"/>
        <v>1</v>
      </c>
      <c r="V31" s="66">
        <f t="shared" si="3"/>
        <v>0.4285714286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f>('Thurs (2)'!G32+Thurs!G32+'Tues '!G32+Wed!G32+Fri!G32+'Mon '!G32+'Wed (2)'!G32+Sun!G32+Sat!G32)</f>
        <v>8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1</v>
      </c>
      <c r="M32" s="65">
        <f>('Thurs (2)'!M32+Thurs!M32+'Tues '!M32+Wed!M32+Fri!M32+'Mon '!M32+'Wed (2)'!M32+Sun!M32+Sat!M32)</f>
        <v>5</v>
      </c>
      <c r="N32" s="65">
        <f>('Thurs (2)'!N32+Thurs!N32+'Tues '!N32+Wed!N32+Fri!N32+'Mon '!N32+'Wed (2)'!N32+Sun!N32+Sat!N32)</f>
        <v>4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1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0.125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>
        <f>('Thurs (2)'!G35+Thurs!G35+'Tues '!G35+Wed!G35+Fri!G35+'Mon '!G35+'Wed (2)'!G35+Sun!G35+Sat!G35)</f>
        <v>3</v>
      </c>
      <c r="H35" s="65">
        <f>('Thurs (2)'!H35+Thurs!H35+'Tues '!H35+Wed!H35+Fri!H35+'Mon '!H35+'Wed (2)'!H35+Sun!H35+Sat!H35)</f>
        <v>2</v>
      </c>
      <c r="I35" s="65">
        <f>('Thurs (2)'!I35+Thurs!I35+'Tues '!I35+Wed!I35+Fri!I35+'Mon '!I35+'Wed (2)'!I35+Sun!I35+Sat!I35)</f>
        <v>1</v>
      </c>
      <c r="J35" s="65">
        <f>('Thurs (2)'!J35+Thurs!J35+'Tues '!J35+Wed!J35+Fri!J35+'Mon '!J35+'Wed (2)'!J35+Sun!J35+Sat!J35)</f>
        <v>1</v>
      </c>
      <c r="K35" s="65">
        <f>('Thurs (2)'!K35+Thurs!K35+'Tues '!K35+Wed!K35+Fri!K35+'Mon '!K35+'Wed (2)'!K35+Sun!K35+Sat!K35)</f>
        <v>1</v>
      </c>
      <c r="L35" s="65">
        <f>('Thurs (2)'!L35+Thurs!L35+'Tues '!L35+Wed!L35+Fri!L35+'Mon '!L35+'Wed (2)'!L35+Sun!L35+Sat!L35)</f>
        <v>1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1</v>
      </c>
      <c r="S35" s="65">
        <f>('Thurs (2)'!S35+Thurs!S35+'Tues '!S35+Wed!S35+Fri!S35+'Mon '!S35+'Wed (2)'!S35+Sun!S35+Sat!S35)</f>
        <v>1</v>
      </c>
      <c r="T35" s="65">
        <f>('Thurs (2)'!T35+Thurs!T35+'Tues '!T35+Wed!T35+Fri!T35+'Mon '!T35+'Wed (2)'!T35+Sun!T35+Sat!T35)</f>
        <v>1487</v>
      </c>
      <c r="U35" s="66">
        <f t="shared" si="4"/>
        <v>0.5</v>
      </c>
      <c r="V35" s="66">
        <f t="shared" si="5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>
        <f>('Thurs (2)'!G36+Thurs!G36+'Tues '!G36+Wed!G36+Fri!G36+'Mon '!G36+'Wed (2)'!G36+Sun!G36+Sat!G36)</f>
        <v>11</v>
      </c>
      <c r="H36" s="65">
        <f>('Thurs (2)'!H36+Thurs!H36+'Tues '!H36+Wed!H36+Fri!H36+'Mon '!H36+'Wed (2)'!H36+Sun!H36+Sat!H36)</f>
        <v>8</v>
      </c>
      <c r="I36" s="65">
        <f>('Thurs (2)'!I36+Thurs!I36+'Tues '!I36+Wed!I36+Fri!I36+'Mon '!I36+'Wed (2)'!I36+Sun!I36+Sat!I36)</f>
        <v>6</v>
      </c>
      <c r="J36" s="65">
        <f>('Thurs (2)'!J36+Thurs!J36+'Tues '!J36+Wed!J36+Fri!J36+'Mon '!J36+'Wed (2)'!J36+Sun!J36+Sat!J36)</f>
        <v>6</v>
      </c>
      <c r="K36" s="65">
        <f>('Thurs (2)'!K36+Thurs!K36+'Tues '!K36+Wed!K36+Fri!K36+'Mon '!K36+'Wed (2)'!K36+Sun!K36+Sat!K36)</f>
        <v>6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10</v>
      </c>
      <c r="N36" s="65">
        <f>('Thurs (2)'!N36+Thurs!N36+'Tues '!N36+Wed!N36+Fri!N36+'Mon '!N36+'Wed (2)'!N36+Sun!N36+Sat!N36)</f>
        <v>6</v>
      </c>
      <c r="O36" s="65">
        <f>('Thurs (2)'!O36+Thurs!O36+'Tues '!O36+Wed!O36+Fri!O36+'Mon '!O36+'Wed (2)'!O36+Sun!O36+Sat!O36)</f>
        <v>6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10080</v>
      </c>
      <c r="U36" s="66">
        <f t="shared" si="4"/>
        <v>0.75</v>
      </c>
      <c r="V36" s="66">
        <f t="shared" si="5"/>
        <v>0.7272727273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>
        <f>('Thurs (2)'!G37+Thurs!G37+'Tues '!G37+Wed!G37+Fri!G37+'Mon '!G37+'Wed (2)'!G37+Sun!G37+Sat!G37)</f>
        <v>25</v>
      </c>
      <c r="H37" s="65">
        <f>('Thurs (2)'!H37+Thurs!H37+'Tues '!H37+Wed!H37+Fri!H37+'Mon '!H37+'Wed (2)'!H37+Sun!H37+Sat!H37)</f>
        <v>11</v>
      </c>
      <c r="I37" s="65">
        <f>('Thurs (2)'!I37+Thurs!I37+'Tues '!I37+Wed!I37+Fri!I37+'Mon '!I37+'Wed (2)'!I37+Sun!I37+Sat!I37)</f>
        <v>4</v>
      </c>
      <c r="J37" s="65">
        <f>('Thurs (2)'!J37+Thurs!J37+'Tues '!J37+Wed!J37+Fri!J37+'Mon '!J37+'Wed (2)'!J37+Sun!J37+Sat!J37)</f>
        <v>4</v>
      </c>
      <c r="K37" s="65">
        <f>('Thurs (2)'!K37+Thurs!K37+'Tues '!K37+Wed!K37+Fri!K37+'Mon '!K37+'Wed (2)'!K37+Sun!K37+Sat!K37)</f>
        <v>2</v>
      </c>
      <c r="L37" s="65">
        <f>('Thurs (2)'!L37+Thurs!L37+'Tues '!L37+Wed!L37+Fri!L37+'Mon '!L37+'Wed (2)'!L37+Sun!L37+Sat!L37)</f>
        <v>2</v>
      </c>
      <c r="M37" s="65">
        <f>('Thurs (2)'!M37+Thurs!M37+'Tues '!M37+Wed!M37+Fri!M37+'Mon '!M37+'Wed (2)'!M37+Sun!M37+Sat!M37)</f>
        <v>2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5</v>
      </c>
      <c r="Q37" s="65">
        <f>('Thurs (2)'!Q37+Thurs!Q37+'Tues '!Q37+Wed!Q37+Fri!Q37+'Mon '!Q37+'Wed (2)'!Q37+Sun!Q37+Sat!Q37)</f>
        <v>1</v>
      </c>
      <c r="R37" s="65">
        <f>('Thurs (2)'!R37+Thurs!R37+'Tues '!R37+Wed!R37+Fri!R37+'Mon '!R37+'Wed (2)'!R37+Sun!R37+Sat!R37)</f>
        <v>5</v>
      </c>
      <c r="S37" s="65">
        <f>('Thurs (2)'!S37+Thurs!S37+'Tues '!S37+Wed!S37+Fri!S37+'Mon '!S37+'Wed (2)'!S37+Sun!S37+Sat!S37)</f>
        <v>3</v>
      </c>
      <c r="T37" s="65">
        <f>('Thurs (2)'!T37+Thurs!T37+'Tues '!T37+Wed!T37+Fri!T37+'Mon '!T37+'Wed (2)'!T37+Sun!T37+Sat!T37)</f>
        <v>5800</v>
      </c>
      <c r="U37" s="66">
        <f t="shared" si="4"/>
        <v>0.3636363636</v>
      </c>
      <c r="V37" s="66">
        <f t="shared" si="5"/>
        <v>0.52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>
        <f>('Thurs (2)'!G38+Thurs!G38+'Tues '!G38+Wed!G38+Fri!G38+'Mon '!G38+'Wed (2)'!G38+Sun!G38+Sat!G38)</f>
        <v>2</v>
      </c>
      <c r="H38" s="65">
        <f>('Thurs (2)'!H38+Thurs!H38+'Tues '!H38+Wed!H38+Fri!H38+'Mon '!H38+'Wed (2)'!H38+Sun!H38+Sat!H38)</f>
        <v>2</v>
      </c>
      <c r="I38" s="65">
        <f>('Thurs (2)'!I38+Thurs!I38+'Tues '!I38+Wed!I38+Fri!I38+'Mon '!I38+'Wed (2)'!I38+Sun!I38+Sat!I38)</f>
        <v>2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13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2</v>
      </c>
      <c r="S38" s="65">
        <f>('Thurs (2)'!S38+Thurs!S38+'Tues '!S38+Wed!S38+Fri!S38+'Mon '!S38+'Wed (2)'!S38+Sun!S38+Sat!S38)</f>
        <v>2</v>
      </c>
      <c r="T38" s="65">
        <f>('Thurs (2)'!T38+Thurs!T38+'Tues '!T38+Wed!T38+Fri!T38+'Mon '!T38+'Wed (2)'!T38+Sun!T38+Sat!T38)</f>
        <v>4284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7</v>
      </c>
      <c r="H39" s="65">
        <f>('Thurs (2)'!H39+Thurs!H39+'Tues '!H39+Wed!H39+Fri!H39+'Mon '!H39+'Wed (2)'!H39+Sun!H39+Sat!H39)</f>
        <v>4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3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24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4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0.5714285714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6</v>
      </c>
      <c r="H40" s="65">
        <f>('Thurs (2)'!H40+Thurs!H40+'Tues '!H40+Wed!H40+Fri!H40+'Mon '!H40+'Wed (2)'!H40+Sun!H40+Sat!H40)</f>
        <v>6</v>
      </c>
      <c r="I40" s="65">
        <f>('Thurs (2)'!I40+Thurs!I40+'Tues '!I40+Wed!I40+Fri!I40+'Mon '!I40+'Wed (2)'!I40+Sun!I40+Sat!I40)</f>
        <v>3</v>
      </c>
      <c r="J40" s="65">
        <f>('Thurs (2)'!J40+Thurs!J40+'Tues '!J40+Wed!J40+Fri!J40+'Mon '!J40+'Wed (2)'!J40+Sun!J40+Sat!J40)</f>
        <v>6</v>
      </c>
      <c r="K40" s="65">
        <f>('Thurs (2)'!K40+Thurs!K40+'Tues '!K40+Wed!K40+Fri!K40+'Mon '!K40+'Wed (2)'!K40+Sun!K40+Sat!K40)</f>
        <v>3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9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6</v>
      </c>
      <c r="S40" s="65">
        <f>('Thurs (2)'!S40+Thurs!S40+'Tues '!S40+Wed!S40+Fri!S40+'Mon '!S40+'Wed (2)'!S40+Sun!S40+Sat!S40)</f>
        <v>3</v>
      </c>
      <c r="T40" s="65">
        <f>('Thurs (2)'!T40+Thurs!T40+'Tues '!T40+Wed!T40+Fri!T40+'Mon '!T40+'Wed (2)'!T40+Sun!T40+Sat!T40)</f>
        <v>4961</v>
      </c>
      <c r="U40" s="66">
        <f t="shared" si="4"/>
        <v>0.5</v>
      </c>
      <c r="V40" s="66">
        <f t="shared" si="5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20</v>
      </c>
      <c r="H41" s="65">
        <f>('Thurs (2)'!H41+Thurs!H41+'Tues '!H41+Wed!H41+Fri!H41+'Mon '!H41+'Wed (2)'!H41+Sun!H41+Sat!H41)</f>
        <v>9</v>
      </c>
      <c r="I41" s="65">
        <f>('Thurs (2)'!I41+Thurs!I41+'Tues '!I41+Wed!I41+Fri!I41+'Mon '!I41+'Wed (2)'!I41+Sun!I41+Sat!I41)</f>
        <v>3</v>
      </c>
      <c r="J41" s="65">
        <f>('Thurs (2)'!J41+Thurs!J41+'Tues '!J41+Wed!J41+Fri!J41+'Mon '!J41+'Wed (2)'!J41+Sun!J41+Sat!J41)</f>
        <v>4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17</v>
      </c>
      <c r="N41" s="65">
        <f>('Thurs (2)'!N41+Thurs!N41+'Tues '!N41+Wed!N41+Fri!N41+'Mon '!N41+'Wed (2)'!N41+Sun!N41+Sat!N41)</f>
        <v>5</v>
      </c>
      <c r="O41" s="65">
        <f>('Thurs (2)'!O41+Thurs!O41+'Tues '!O41+Wed!O41+Fri!O41+'Mon '!O41+'Wed (2)'!O41+Sun!O41+Sat!O41)</f>
        <v>3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4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4702</v>
      </c>
      <c r="U41" s="66">
        <f t="shared" si="4"/>
        <v>0.3333333333</v>
      </c>
      <c r="V41" s="66">
        <f t="shared" si="5"/>
        <v>0.45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1</v>
      </c>
      <c r="H43" s="65">
        <f>('Thurs (2)'!H43+Thurs!H43+'Tues '!H43+Wed!H43+Fri!H43+'Mon '!H43+'Wed (2)'!H43+Sun!H43+Sat!H43)</f>
        <v>1</v>
      </c>
      <c r="I43" s="65">
        <f>('Thurs (2)'!I43+Thurs!I43+'Tues '!I43+Wed!I43+Fri!I43+'Mon '!I43+'Wed (2)'!I43+Sun!I43+Sat!I43)</f>
        <v>1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2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1</v>
      </c>
      <c r="S43" s="65">
        <f>('Thurs (2)'!S43+Thurs!S43+'Tues '!S43+Wed!S43+Fri!S43+'Mon '!S43+'Wed (2)'!S43+Sun!S43+Sat!S43)</f>
        <v>1</v>
      </c>
      <c r="T43" s="65">
        <f>('Thurs (2)'!T43+Thurs!T43+'Tues '!T43+Wed!T43+Fri!T43+'Mon '!T43+'Wed (2)'!T43+Sun!T43+Sat!T43)</f>
        <v>2240</v>
      </c>
      <c r="U43" s="66">
        <f t="shared" si="4"/>
        <v>1</v>
      </c>
      <c r="V43" s="66">
        <f t="shared" si="5"/>
        <v>1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>
        <f>('Thurs (2)'!G44+Thurs!G44+'Tues '!G44+Wed!G44+Fri!G44+'Mon '!G44+'Wed (2)'!G44+Sun!G44+Sat!G44)</f>
        <v>14</v>
      </c>
      <c r="H44" s="65">
        <f>('Thurs (2)'!H44+Thurs!H44+'Tues '!H44+Wed!H44+Fri!H44+'Mon '!H44+'Wed (2)'!H44+Sun!H44+Sat!H44)</f>
        <v>3</v>
      </c>
      <c r="I44" s="65">
        <f>('Thurs (2)'!I44+Thurs!I44+'Tues '!I44+Wed!I44+Fri!I44+'Mon '!I44+'Wed (2)'!I44+Sun!I44+Sat!I44)</f>
        <v>2</v>
      </c>
      <c r="J44" s="65">
        <f>('Thurs (2)'!J44+Thurs!J44+'Tues '!J44+Wed!J44+Fri!J44+'Mon '!J44+'Wed (2)'!J44+Sun!J44+Sat!J44)</f>
        <v>1</v>
      </c>
      <c r="K44" s="65">
        <f>('Thurs (2)'!K44+Thurs!K44+'Tues '!K44+Wed!K44+Fri!K44+'Mon '!K44+'Wed (2)'!K44+Sun!K44+Sat!K44)</f>
        <v>1</v>
      </c>
      <c r="L44" s="65">
        <f>('Thurs (2)'!L44+Thurs!L44+'Tues '!L44+Wed!L44+Fri!L44+'Mon '!L44+'Wed (2)'!L44+Sun!L44+Sat!L44)</f>
        <v>3</v>
      </c>
      <c r="M44" s="65">
        <f>('Thurs (2)'!M44+Thurs!M44+'Tues '!M44+Wed!M44+Fri!M44+'Mon '!M44+'Wed (2)'!M44+Sun!M44+Sat!M44)</f>
        <v>4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3</v>
      </c>
      <c r="S44" s="65">
        <f>('Thurs (2)'!S44+Thurs!S44+'Tues '!S44+Wed!S44+Fri!S44+'Mon '!S44+'Wed (2)'!S44+Sun!S44+Sat!S44)</f>
        <v>2</v>
      </c>
      <c r="T44" s="65">
        <f>('Thurs (2)'!T44+Thurs!T44+'Tues '!T44+Wed!T44+Fri!T44+'Mon '!T44+'Wed (2)'!T44+Sun!T44+Sat!T44)</f>
        <v>6700</v>
      </c>
      <c r="U44" s="66">
        <f t="shared" si="4"/>
        <v>0.6666666667</v>
      </c>
      <c r="V44" s="66">
        <f t="shared" si="5"/>
        <v>0.4285714286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2</v>
      </c>
      <c r="H45" s="65">
        <f>('Thurs (2)'!H45+Thurs!H45+'Tues '!H45+Wed!H45+Fri!H45+'Mon '!H45+'Wed (2)'!H45+Sun!H45+Sat!H45)</f>
        <v>2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2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3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2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2.5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2</v>
      </c>
      <c r="H46" s="65">
        <f>('Thurs (2)'!H46+Thurs!H46+'Tues '!H46+Wed!H46+Fri!H46+'Mon '!H46+'Wed (2)'!H46+Sun!H46+Sat!H46)</f>
        <v>2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2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7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2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>
        <f>('Thurs (2)'!G49+Thurs!G49+'Tues '!G49+Wed!G49+Fri!G49+'Mon '!G49+'Wed (2)'!G49+Sun!G49+Sat!G49)</f>
        <v>1</v>
      </c>
      <c r="H49" s="65">
        <f>('Thurs (2)'!H49+Thurs!H49+'Tues '!H49+Wed!H49+Fri!H49+'Mon '!H49+'Wed (2)'!H49+Sun!H49+Sat!H49)</f>
        <v>1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1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1</v>
      </c>
      <c r="M49" s="65">
        <f>('Thurs (2)'!M49+Thurs!M49+'Tues '!M49+Wed!M49+Fri!M49+'Mon '!M49+'Wed (2)'!M49+Sun!M49+Sat!M49)</f>
        <v>5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1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2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>
        <f>('Thurs (2)'!G50+Thurs!G50+'Tues '!G50+Wed!G50+Fri!G50+'Mon '!G50+'Wed (2)'!G50+Sun!G50+Sat!G50)</f>
        <v>14</v>
      </c>
      <c r="H50" s="65">
        <f>('Thurs (2)'!H50+Thurs!H50+'Tues '!H50+Wed!H50+Fri!H50+'Mon '!H50+'Wed (2)'!H50+Sun!H50+Sat!H50)</f>
        <v>4</v>
      </c>
      <c r="I50" s="65">
        <f>('Thurs (2)'!I50+Thurs!I50+'Tues '!I50+Wed!I50+Fri!I50+'Mon '!I50+'Wed (2)'!I50+Sun!I50+Sat!I50)</f>
        <v>2</v>
      </c>
      <c r="J50" s="65">
        <f>('Thurs (2)'!J50+Thurs!J50+'Tues '!J50+Wed!J50+Fri!J50+'Mon '!J50+'Wed (2)'!J50+Sun!J50+Sat!J50)</f>
        <v>4</v>
      </c>
      <c r="K50" s="65">
        <f>('Thurs (2)'!K50+Thurs!K50+'Tues '!K50+Wed!K50+Fri!K50+'Mon '!K50+'Wed (2)'!K50+Sun!K50+Sat!K50)</f>
        <v>2</v>
      </c>
      <c r="L50" s="65">
        <f>('Thurs (2)'!L50+Thurs!L50+'Tues '!L50+Wed!L50+Fri!L50+'Mon '!L50+'Wed (2)'!L50+Sun!L50+Sat!L50)</f>
        <v>1</v>
      </c>
      <c r="M50" s="65">
        <f>('Thurs (2)'!M50+Thurs!M50+'Tues '!M50+Wed!M50+Fri!M50+'Mon '!M50+'Wed (2)'!M50+Sun!M50+Sat!M50)</f>
        <v>12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4</v>
      </c>
      <c r="S50" s="65">
        <f>('Thurs (2)'!S50+Thurs!S50+'Tues '!S50+Wed!S50+Fri!S50+'Mon '!S50+'Wed (2)'!S50+Sun!S50+Sat!S50)</f>
        <v>2</v>
      </c>
      <c r="T50" s="65">
        <f>('Thurs (2)'!T50+Thurs!T50+'Tues '!T50+Wed!T50+Fri!T50+'Mon '!T50+'Wed (2)'!T50+Sun!T50+Sat!T50)</f>
        <v>3816</v>
      </c>
      <c r="U50" s="66">
        <f t="shared" si="4"/>
        <v>0.5</v>
      </c>
      <c r="V50" s="66">
        <f t="shared" si="5"/>
        <v>0.3571428571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26589</v>
      </c>
      <c r="D2" s="9"/>
      <c r="E2" s="8">
        <f t="shared" ref="E2:R2" si="1">SUM(E5,E11)</f>
        <v>14059</v>
      </c>
      <c r="F2" s="8">
        <f t="shared" si="1"/>
        <v>61</v>
      </c>
      <c r="G2" s="10">
        <f t="shared" si="1"/>
        <v>37</v>
      </c>
      <c r="H2" s="10">
        <f t="shared" si="1"/>
        <v>17</v>
      </c>
      <c r="I2" s="10">
        <f t="shared" si="1"/>
        <v>3</v>
      </c>
      <c r="J2" s="10">
        <f t="shared" si="1"/>
        <v>0</v>
      </c>
      <c r="K2" s="10">
        <f t="shared" si="1"/>
        <v>22</v>
      </c>
      <c r="L2" s="10">
        <f t="shared" si="1"/>
        <v>7</v>
      </c>
      <c r="M2" s="10">
        <f t="shared" si="1"/>
        <v>122</v>
      </c>
      <c r="N2" s="10">
        <f t="shared" si="1"/>
        <v>9</v>
      </c>
      <c r="O2" s="10">
        <f t="shared" si="1"/>
        <v>6</v>
      </c>
      <c r="P2" s="10">
        <f t="shared" si="1"/>
        <v>23</v>
      </c>
      <c r="Q2" s="10">
        <f t="shared" si="1"/>
        <v>11</v>
      </c>
      <c r="R2" s="10">
        <f t="shared" si="1"/>
        <v>8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1564.058824</v>
      </c>
      <c r="F4" s="20">
        <f>IFERROR((G2+R2)/F2,0)</f>
        <v>0.737704918</v>
      </c>
      <c r="G4" s="20">
        <f>IFERROR(H2/G2,0)</f>
        <v>0.4594594595</v>
      </c>
      <c r="H4" s="19">
        <f>(C2/C4)</f>
        <v>886.3</v>
      </c>
      <c r="I4" s="21"/>
      <c r="J4" s="20">
        <f>IFERROR(J2/I2,0)</f>
        <v>0</v>
      </c>
      <c r="K4" s="21"/>
      <c r="L4" s="20">
        <f>IFERROR(L2/K2,0)</f>
        <v>0.3181818182</v>
      </c>
      <c r="M4" s="22">
        <f>IFERROR(M2/G2,0)</f>
        <v>3.297297297</v>
      </c>
      <c r="N4" s="21"/>
      <c r="O4" s="20">
        <f>IFERROR(O2/N2,0)</f>
        <v>0.6666666667</v>
      </c>
      <c r="P4" s="22"/>
      <c r="Q4" s="20">
        <f>IFERROR(Q2/P2,0)</f>
        <v>0.4782608696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15564</v>
      </c>
      <c r="D5" s="26"/>
      <c r="E5" s="27">
        <f>SUMIFS(T:T,A:A,B5,D:D,"Y")</f>
        <v>7058</v>
      </c>
      <c r="F5" s="8">
        <f>SUMIF(A:A,B5,G:G)</f>
        <v>24</v>
      </c>
      <c r="G5" s="10">
        <f>SUMIF(A:A,B5,H:H)</f>
        <v>16</v>
      </c>
      <c r="H5" s="10">
        <f>SUMIF(A:A,B5,I:I)</f>
        <v>11</v>
      </c>
      <c r="I5" s="10">
        <f>SUMIF(A:A,B5,P:P)</f>
        <v>1</v>
      </c>
      <c r="J5" s="10">
        <f>SUMIF(A:A,B5,Q:Q)</f>
        <v>0</v>
      </c>
      <c r="K5" s="10">
        <f>SUMIF(A:A,B5,R:R)</f>
        <v>7</v>
      </c>
      <c r="L5" s="10">
        <f>SUMIF(A:A,B5,S:S)</f>
        <v>4</v>
      </c>
      <c r="M5" s="10">
        <f>SUMIF(A:A,B5,M:M)</f>
        <v>82</v>
      </c>
      <c r="N5" s="10">
        <f>SUMIF(A:A,B5,N:N)</f>
        <v>6</v>
      </c>
      <c r="O5" s="10">
        <f>SUMIF(A:A,B5,O:O)</f>
        <v>3</v>
      </c>
      <c r="P5" s="10">
        <f>SUMIF(A:A,B5,J:J)</f>
        <v>6</v>
      </c>
      <c r="Q5" s="10">
        <f>SUMIF(A:A,B5,K:K)</f>
        <v>6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1414.909091</v>
      </c>
      <c r="F7" s="20">
        <f>IFERROR((G5+R5)/F5,0)</f>
        <v>0.75</v>
      </c>
      <c r="G7" s="20">
        <f>IFERROR(H5/G5,0)</f>
        <v>0.6875</v>
      </c>
      <c r="H7" s="19">
        <f>(C5/C7)</f>
        <v>1197.230769</v>
      </c>
      <c r="I7" s="21"/>
      <c r="J7" s="20">
        <f>IFERROR(J5/I5,0)</f>
        <v>0</v>
      </c>
      <c r="K7" s="21"/>
      <c r="L7" s="20">
        <f>IFERROR(L5/K5,0)</f>
        <v>0.5714285714</v>
      </c>
      <c r="M7" s="22">
        <f>IFERROR(M5/SUM(R5+G5,0),"")</f>
        <v>4.555555556</v>
      </c>
      <c r="N7" s="21"/>
      <c r="O7" s="20">
        <f>IFERROR(O5/N5,0)</f>
        <v>0.5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15564</v>
      </c>
      <c r="D8" s="36"/>
      <c r="E8" s="37">
        <f>SUMIFS(T:T,B:B,B8,D:D,"Y")</f>
        <v>7058</v>
      </c>
      <c r="F8" s="38">
        <f>SUMIF(B19:B1129,B8,G19:G1129)</f>
        <v>24</v>
      </c>
      <c r="G8" s="39">
        <f>SUMIF(B19:B1129,B8,H19:H1129)</f>
        <v>16</v>
      </c>
      <c r="H8" s="38">
        <f>SUMIF(B19:B1129,B8,I19:I1129)</f>
        <v>11</v>
      </c>
      <c r="I8" s="39">
        <f>SUMIF(B19:B1129,B8,P19:P1129)</f>
        <v>1</v>
      </c>
      <c r="J8" s="39">
        <f>SUMIF(B19:B1129,B8,Q19:Q1129)</f>
        <v>0</v>
      </c>
      <c r="K8" s="39">
        <f>SUMIF(B19:B1129,B8,R19:R1129)</f>
        <v>7</v>
      </c>
      <c r="L8" s="39">
        <f>SUMIF(B19:B1129,B8,S19:S1129)</f>
        <v>4</v>
      </c>
      <c r="M8" s="39">
        <f>SUMIF(B19:B1129,B8,M19:M1129)</f>
        <v>82</v>
      </c>
      <c r="N8" s="39">
        <f>SUMIF(B19:B1129,B8,N19:N1129)</f>
        <v>6</v>
      </c>
      <c r="O8" s="38">
        <f>SUMIF(B19:B1129,B8,O19:O1129)</f>
        <v>3</v>
      </c>
      <c r="P8" s="39">
        <f>SUMIF(B19:B1129,B8,J19:J1129)</f>
        <v>6</v>
      </c>
      <c r="Q8" s="39">
        <f>SUMIF(B19:B1129,B8,K19:K1129)</f>
        <v>6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1414.909091</v>
      </c>
      <c r="F10" s="51">
        <f>IFERROR((G8+R8)/F8,0)</f>
        <v>0.75</v>
      </c>
      <c r="G10" s="51">
        <f>IFERROR(H8/G8,0)</f>
        <v>0.6875</v>
      </c>
      <c r="H10" s="50">
        <f>(C8/C10)</f>
        <v>1297</v>
      </c>
      <c r="I10" s="46"/>
      <c r="J10" s="51">
        <f>IFERROR(J8/I8,0)</f>
        <v>0</v>
      </c>
      <c r="K10" s="46"/>
      <c r="L10" s="51">
        <f>IFERROR(L8/K8,0)</f>
        <v>0.5714285714</v>
      </c>
      <c r="M10" s="52">
        <f>IFERROR(M8/SUM(G8+R8,0),"")</f>
        <v>4.555555556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11025</v>
      </c>
      <c r="D11" s="26"/>
      <c r="E11" s="27">
        <f>SUMIFS(T:T,A:A,B11,D:D,"Y")</f>
        <v>7001</v>
      </c>
      <c r="F11" s="8">
        <f>SUMIF(A:A,B11,G:G)</f>
        <v>37</v>
      </c>
      <c r="G11" s="10">
        <f>SUMIF(A:A,B11,H:H)</f>
        <v>21</v>
      </c>
      <c r="H11" s="10">
        <f>SUMIF(A:A,B11,I:I)</f>
        <v>6</v>
      </c>
      <c r="I11" s="10">
        <f>SUMIF(A:A,B11,P:P)</f>
        <v>2</v>
      </c>
      <c r="J11" s="10">
        <f>SUMIF(A:A,B11,Q:Q)</f>
        <v>0</v>
      </c>
      <c r="K11" s="10">
        <f>SUMIF(A:A,B11,R:R)</f>
        <v>15</v>
      </c>
      <c r="L11" s="10">
        <f>SUMIF(A:A,B11,S:S)</f>
        <v>3</v>
      </c>
      <c r="M11" s="10">
        <f>SUMIF(A:A,B11,M:M)</f>
        <v>40</v>
      </c>
      <c r="N11" s="10">
        <f>SUMIF(A:A,B11,N:N)</f>
        <v>3</v>
      </c>
      <c r="O11" s="10">
        <f>SUMIF(A:A,B11,O:O)</f>
        <v>3</v>
      </c>
      <c r="P11" s="10">
        <f>SUMIF(A:A,B11,J:J)</f>
        <v>17</v>
      </c>
      <c r="Q11" s="10">
        <f>SUMIF(A:A,B11,K:K)</f>
        <v>5</v>
      </c>
      <c r="R11" s="10">
        <f>SUMIF(A:A,B11,L:L)</f>
        <v>6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1837.5</v>
      </c>
      <c r="F13" s="20">
        <f>IFERROR((G11+R11)/F11,0)</f>
        <v>0.7297297297</v>
      </c>
      <c r="G13" s="20">
        <f>IFERROR(H11/G11,0)</f>
        <v>0.2857142857</v>
      </c>
      <c r="H13" s="19">
        <f>(C11/C13)</f>
        <v>648.5294118</v>
      </c>
      <c r="I13" s="21"/>
      <c r="J13" s="20">
        <f>IFERROR(J11/I11,0)</f>
        <v>0</v>
      </c>
      <c r="K13" s="21"/>
      <c r="L13" s="20">
        <f>IFERROR(L11/K11,0)</f>
        <v>0.2</v>
      </c>
      <c r="M13" s="22">
        <f>IFERROR(M11/SUM(R11+G11,0),"")</f>
        <v>1.481481481</v>
      </c>
      <c r="N13" s="21"/>
      <c r="O13" s="20">
        <f>IFERROR(O11/N11,0)</f>
        <v>1</v>
      </c>
      <c r="P13" s="22"/>
      <c r="Q13" s="20">
        <f>IFERROR(Q11/P11,0)</f>
        <v>0.2941176471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11025</v>
      </c>
      <c r="D14" s="36"/>
      <c r="E14" s="37">
        <f>SUMIFS(T:T,B:B,B14,D:D,"Y")</f>
        <v>7001</v>
      </c>
      <c r="F14" s="38">
        <f>SUMIF(B19:B1129,B14,G19:G1129)</f>
        <v>37</v>
      </c>
      <c r="G14" s="39">
        <f>SUMIF(B19:B1129,B14,H19:H1129)</f>
        <v>21</v>
      </c>
      <c r="H14" s="38">
        <f>SUMIF(B19:B1129,B14,I19:I1129)</f>
        <v>6</v>
      </c>
      <c r="I14" s="39">
        <f>SUMIF(B19:B1129,B14,P19:P1129)</f>
        <v>2</v>
      </c>
      <c r="J14" s="39">
        <f>SUMIF(B19:B1129,B14,Q19:Q1129)</f>
        <v>0</v>
      </c>
      <c r="K14" s="39">
        <f>SUMIF(B19:B1129,B14,R19:R1129)</f>
        <v>15</v>
      </c>
      <c r="L14" s="39">
        <f>SUMIF(B19:B1129,B14,S19:S1129)</f>
        <v>3</v>
      </c>
      <c r="M14" s="39">
        <f>SUMIF(B19:B1129,B14,M19:M1129)</f>
        <v>40</v>
      </c>
      <c r="N14" s="39">
        <f>SUMIF(B19:B1129,B14,N19:N1129)</f>
        <v>3</v>
      </c>
      <c r="O14" s="38">
        <f>SUMIF(B19:B1129,B14,O19:O1129)</f>
        <v>3</v>
      </c>
      <c r="P14" s="39">
        <f>SUMIF(B19:B1129,B14,J19:J1129)</f>
        <v>17</v>
      </c>
      <c r="Q14" s="39">
        <f>SUMIF(B19:B1129,B14,K19:K1129)</f>
        <v>5</v>
      </c>
      <c r="R14" s="38">
        <f>SUMIF(B19:B1129,B14,L19:L1129)</f>
        <v>6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1837.5</v>
      </c>
      <c r="F16" s="51">
        <f>IFERROR((G14+R14)/F14,0)</f>
        <v>0.7297297297</v>
      </c>
      <c r="G16" s="51">
        <f>IFERROR(H14/G14,0)</f>
        <v>0.2857142857</v>
      </c>
      <c r="H16" s="50">
        <f>(C14/C16)</f>
        <v>689.0625</v>
      </c>
      <c r="I16" s="46"/>
      <c r="J16" s="51">
        <f>IFERROR(J14/I14,0)</f>
        <v>0</v>
      </c>
      <c r="K16" s="46"/>
      <c r="L16" s="51">
        <f>IFERROR(L14/K14,0)</f>
        <v>0.2</v>
      </c>
      <c r="M16" s="52">
        <f>IFERROR(M14/SUM(G14+R14,0),"")</f>
        <v>1.481481481</v>
      </c>
      <c r="N16" s="46"/>
      <c r="O16" s="51">
        <f>IFERROR(O14/N14,0)</f>
        <v>1</v>
      </c>
      <c r="P16" s="53"/>
      <c r="Q16" s="51">
        <f>IFERROR(Q14/P14,0)</f>
        <v>0.2941176471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1.0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2.0</v>
      </c>
      <c r="J24" s="105">
        <v>2.0</v>
      </c>
      <c r="K24" s="105">
        <v>2.0</v>
      </c>
      <c r="L24" s="105">
        <v>0.0</v>
      </c>
      <c r="M24" s="105">
        <v>6.0</v>
      </c>
      <c r="N24" s="105">
        <v>1.0</v>
      </c>
      <c r="O24" s="105">
        <v>1.0</v>
      </c>
      <c r="P24" s="105">
        <v>0.0</v>
      </c>
      <c r="Q24" s="105">
        <v>0.0</v>
      </c>
      <c r="R24" s="105">
        <v>1.0</v>
      </c>
      <c r="S24" s="105">
        <v>1.0</v>
      </c>
      <c r="T24" s="105">
        <v>3000.0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2.0</v>
      </c>
      <c r="I26" s="105">
        <v>1.0</v>
      </c>
      <c r="J26" s="105">
        <v>1.0</v>
      </c>
      <c r="K26" s="105">
        <v>1.0</v>
      </c>
      <c r="L26" s="105">
        <v>0.0</v>
      </c>
      <c r="M26" s="105">
        <v>8.0</v>
      </c>
      <c r="N26" s="105">
        <v>0.0</v>
      </c>
      <c r="O26" s="105">
        <v>0.0</v>
      </c>
      <c r="P26" s="105">
        <v>0.0</v>
      </c>
      <c r="Q26" s="105">
        <v>0.0</v>
      </c>
      <c r="R26" s="105">
        <v>2.0</v>
      </c>
      <c r="S26" s="105">
        <v>1.0</v>
      </c>
      <c r="T26" s="105">
        <v>1983.0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3.0</v>
      </c>
      <c r="H27" s="105">
        <v>4.0</v>
      </c>
      <c r="I27" s="105">
        <v>3.0</v>
      </c>
      <c r="J27" s="105">
        <v>2.0</v>
      </c>
      <c r="K27" s="105">
        <v>2.0</v>
      </c>
      <c r="L27" s="105">
        <v>1.0</v>
      </c>
      <c r="M27" s="105">
        <v>18.0</v>
      </c>
      <c r="N27" s="105">
        <v>2.0</v>
      </c>
      <c r="O27" s="105">
        <v>1.0</v>
      </c>
      <c r="P27" s="105">
        <v>0.0</v>
      </c>
      <c r="Q27" s="105">
        <v>0.0</v>
      </c>
      <c r="R27" s="105">
        <v>2.0</v>
      </c>
      <c r="S27" s="105">
        <v>2.0</v>
      </c>
      <c r="T27" s="105">
        <v>3234.0</v>
      </c>
      <c r="U27" s="66">
        <f t="shared" si="2"/>
        <v>0.75</v>
      </c>
      <c r="V27" s="66">
        <f t="shared" si="3"/>
        <v>1.666666667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5.0</v>
      </c>
      <c r="H28" s="105">
        <v>3.0</v>
      </c>
      <c r="I28" s="105">
        <v>1.0</v>
      </c>
      <c r="J28" s="105">
        <v>0.0</v>
      </c>
      <c r="K28" s="105">
        <v>0.0</v>
      </c>
      <c r="L28" s="105">
        <v>0.0</v>
      </c>
      <c r="M28" s="105">
        <v>5.0</v>
      </c>
      <c r="N28" s="105">
        <v>1.0</v>
      </c>
      <c r="O28" s="105">
        <v>1.0</v>
      </c>
      <c r="P28" s="105">
        <v>1.0</v>
      </c>
      <c r="Q28" s="105">
        <v>0.0</v>
      </c>
      <c r="R28" s="105">
        <v>2.0</v>
      </c>
      <c r="S28" s="105">
        <v>0.0</v>
      </c>
      <c r="T28" s="105">
        <v>872.0</v>
      </c>
      <c r="U28" s="66">
        <f t="shared" si="2"/>
        <v>0.3333333333</v>
      </c>
      <c r="V28" s="66">
        <f t="shared" si="3"/>
        <v>0.6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3.0</v>
      </c>
      <c r="H29" s="105">
        <v>2.0</v>
      </c>
      <c r="I29" s="105">
        <v>2.0</v>
      </c>
      <c r="J29" s="105">
        <v>0.0</v>
      </c>
      <c r="K29" s="105">
        <v>0.0</v>
      </c>
      <c r="L29" s="105">
        <v>0.0</v>
      </c>
      <c r="M29" s="105">
        <v>10.0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2075.0</v>
      </c>
      <c r="U29" s="66">
        <f t="shared" si="2"/>
        <v>1</v>
      </c>
      <c r="V29" s="66">
        <f t="shared" si="3"/>
        <v>0.6666666667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3.0</v>
      </c>
      <c r="H31" s="105">
        <v>2.0</v>
      </c>
      <c r="I31" s="105">
        <v>2.0</v>
      </c>
      <c r="J31" s="105">
        <v>1.0</v>
      </c>
      <c r="K31" s="105">
        <v>1.0</v>
      </c>
      <c r="L31" s="105">
        <v>0.0</v>
      </c>
      <c r="M31" s="105">
        <v>30.0</v>
      </c>
      <c r="N31" s="105">
        <v>2.0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4400.0</v>
      </c>
      <c r="U31" s="66">
        <f t="shared" si="2"/>
        <v>1</v>
      </c>
      <c r="V31" s="66">
        <f t="shared" si="3"/>
        <v>0.6666666667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1.0</v>
      </c>
      <c r="M32" s="105">
        <v>5.0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0.5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3.0</v>
      </c>
      <c r="H35" s="105">
        <v>2.0</v>
      </c>
      <c r="I35" s="105">
        <v>1.0</v>
      </c>
      <c r="J35" s="105">
        <v>1.0</v>
      </c>
      <c r="K35" s="105">
        <v>1.0</v>
      </c>
      <c r="L35" s="105">
        <v>1.0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1.0</v>
      </c>
      <c r="S35" s="105">
        <v>1.0</v>
      </c>
      <c r="T35" s="105">
        <v>1487.0</v>
      </c>
      <c r="U35" s="66">
        <f t="shared" si="4"/>
        <v>0.5</v>
      </c>
      <c r="V35" s="66">
        <f t="shared" si="5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3.0</v>
      </c>
      <c r="H36" s="105">
        <v>3.0</v>
      </c>
      <c r="I36" s="105">
        <v>3.0</v>
      </c>
      <c r="J36" s="105">
        <v>3.0</v>
      </c>
      <c r="K36" s="105">
        <v>3.0</v>
      </c>
      <c r="L36" s="105">
        <v>0.0</v>
      </c>
      <c r="M36" s="105">
        <v>5.0</v>
      </c>
      <c r="N36" s="105">
        <v>3.0</v>
      </c>
      <c r="O36" s="105">
        <v>3.0</v>
      </c>
      <c r="P36" s="105">
        <v>0.0</v>
      </c>
      <c r="Q36" s="105">
        <v>0.0</v>
      </c>
      <c r="R36" s="105">
        <v>0.0</v>
      </c>
      <c r="S36" s="105">
        <v>0.0</v>
      </c>
      <c r="T36" s="105">
        <v>5514.0</v>
      </c>
      <c r="U36" s="66">
        <f t="shared" si="4"/>
        <v>1</v>
      </c>
      <c r="V36" s="66">
        <f t="shared" si="5"/>
        <v>1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6.0</v>
      </c>
      <c r="H37" s="105">
        <v>3.0</v>
      </c>
      <c r="I37" s="105">
        <v>1.0</v>
      </c>
      <c r="J37" s="105">
        <v>1.0</v>
      </c>
      <c r="K37" s="105">
        <v>1.0</v>
      </c>
      <c r="L37" s="105">
        <v>0.0</v>
      </c>
      <c r="M37" s="105">
        <v>2.0</v>
      </c>
      <c r="N37" s="105">
        <v>0.0</v>
      </c>
      <c r="O37" s="105">
        <v>0.0</v>
      </c>
      <c r="P37" s="105">
        <v>2.0</v>
      </c>
      <c r="Q37" s="105">
        <v>0.0</v>
      </c>
      <c r="R37" s="105">
        <v>1.0</v>
      </c>
      <c r="S37" s="105">
        <v>1.0</v>
      </c>
      <c r="T37" s="105">
        <v>2200.0</v>
      </c>
      <c r="U37" s="66">
        <f t="shared" si="4"/>
        <v>0.3333333333</v>
      </c>
      <c r="V37" s="66">
        <f t="shared" si="5"/>
        <v>0.5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1.0</v>
      </c>
      <c r="H38" s="105">
        <v>1.0</v>
      </c>
      <c r="I38" s="105">
        <v>1.0</v>
      </c>
      <c r="J38" s="105">
        <v>0.0</v>
      </c>
      <c r="K38" s="105">
        <v>0.0</v>
      </c>
      <c r="L38" s="105">
        <v>0.0</v>
      </c>
      <c r="M38" s="105">
        <v>10.0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1.0</v>
      </c>
      <c r="T38" s="105">
        <v>1824.0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3.0</v>
      </c>
      <c r="H39" s="105">
        <v>1.0</v>
      </c>
      <c r="I39" s="105">
        <v>0.0</v>
      </c>
      <c r="J39" s="105">
        <v>1.0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1.0</v>
      </c>
      <c r="S39" s="105">
        <v>0.0</v>
      </c>
      <c r="T39" s="105">
        <v>0.0</v>
      </c>
      <c r="U39" s="66">
        <f t="shared" si="4"/>
        <v>0</v>
      </c>
      <c r="V39" s="66">
        <f t="shared" si="5"/>
        <v>0.3333333333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1.0</v>
      </c>
      <c r="I40" s="105">
        <v>0.0</v>
      </c>
      <c r="J40" s="105">
        <v>1.0</v>
      </c>
      <c r="K40" s="105">
        <v>0.0</v>
      </c>
      <c r="L40" s="105">
        <v>0.0</v>
      </c>
      <c r="M40" s="105">
        <v>4.0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0.5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6.0</v>
      </c>
      <c r="H41" s="105">
        <v>3.0</v>
      </c>
      <c r="I41" s="105">
        <v>0.0</v>
      </c>
      <c r="J41" s="105">
        <v>3.0</v>
      </c>
      <c r="K41" s="105">
        <v>0.0</v>
      </c>
      <c r="L41" s="105">
        <v>0.0</v>
      </c>
      <c r="M41" s="105"/>
      <c r="N41" s="105">
        <v>0.0</v>
      </c>
      <c r="O41" s="105">
        <v>0.0</v>
      </c>
      <c r="P41" s="105">
        <v>0.0</v>
      </c>
      <c r="Q41" s="105">
        <v>0.0</v>
      </c>
      <c r="R41" s="105">
        <v>3.0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0.5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6.0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2.0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2.0</v>
      </c>
      <c r="H45" s="105">
        <v>2.0</v>
      </c>
      <c r="I45" s="105">
        <v>0.0</v>
      </c>
      <c r="J45" s="105">
        <v>2.0</v>
      </c>
      <c r="K45" s="105">
        <v>0.0</v>
      </c>
      <c r="L45" s="105">
        <v>3.0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2.0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2.5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2.0</v>
      </c>
      <c r="H46" s="105">
        <v>2.0</v>
      </c>
      <c r="I46" s="105">
        <v>0.0</v>
      </c>
      <c r="J46" s="105">
        <v>2.0</v>
      </c>
      <c r="K46" s="105">
        <v>0.0</v>
      </c>
      <c r="L46" s="105">
        <v>0.0</v>
      </c>
      <c r="M46" s="105">
        <v>7.0</v>
      </c>
      <c r="N46" s="105">
        <v>0.0</v>
      </c>
      <c r="O46" s="105">
        <v>0.0</v>
      </c>
      <c r="P46" s="105">
        <v>0.0</v>
      </c>
      <c r="Q46" s="105">
        <v>0.0</v>
      </c>
      <c r="R46" s="105">
        <v>2.0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1.0</v>
      </c>
      <c r="H49" s="105">
        <v>1.0</v>
      </c>
      <c r="I49" s="105">
        <v>0.0</v>
      </c>
      <c r="J49" s="105">
        <v>1.0</v>
      </c>
      <c r="K49" s="105">
        <v>0.0</v>
      </c>
      <c r="L49" s="105">
        <v>1.0</v>
      </c>
      <c r="M49" s="105">
        <v>5.0</v>
      </c>
      <c r="N49" s="105">
        <v>0.0</v>
      </c>
      <c r="O49" s="105">
        <v>0.0</v>
      </c>
      <c r="P49" s="105">
        <v>0.0</v>
      </c>
      <c r="Q49" s="105">
        <v>0.0</v>
      </c>
      <c r="R49" s="105">
        <v>1.0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2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2.0</v>
      </c>
      <c r="H50" s="105">
        <v>2.0</v>
      </c>
      <c r="I50" s="105">
        <v>0.0</v>
      </c>
      <c r="J50" s="105">
        <v>2.0</v>
      </c>
      <c r="K50" s="105">
        <v>0.0</v>
      </c>
      <c r="L50" s="105">
        <v>1.0</v>
      </c>
      <c r="M50" s="105">
        <v>5.0</v>
      </c>
      <c r="N50" s="105">
        <v>0.0</v>
      </c>
      <c r="O50" s="105">
        <v>0.0</v>
      </c>
      <c r="P50" s="105">
        <v>0.0</v>
      </c>
      <c r="Q50" s="105">
        <v>0.0</v>
      </c>
      <c r="R50" s="105">
        <v>2.0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1.5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20986</v>
      </c>
      <c r="D2" s="9"/>
      <c r="E2" s="8">
        <f t="shared" ref="E2:R2" si="1">SUM(E5,E11)</f>
        <v>14854</v>
      </c>
      <c r="F2" s="8">
        <f t="shared" si="1"/>
        <v>53</v>
      </c>
      <c r="G2" s="10">
        <f t="shared" si="1"/>
        <v>27</v>
      </c>
      <c r="H2" s="10">
        <f t="shared" si="1"/>
        <v>13</v>
      </c>
      <c r="I2" s="10">
        <f t="shared" si="1"/>
        <v>6</v>
      </c>
      <c r="J2" s="10">
        <f t="shared" si="1"/>
        <v>3</v>
      </c>
      <c r="K2" s="10">
        <f t="shared" si="1"/>
        <v>8</v>
      </c>
      <c r="L2" s="10">
        <f t="shared" si="1"/>
        <v>4</v>
      </c>
      <c r="M2" s="10">
        <f t="shared" si="1"/>
        <v>94</v>
      </c>
      <c r="N2" s="10">
        <f t="shared" si="1"/>
        <v>9</v>
      </c>
      <c r="O2" s="10">
        <f t="shared" si="1"/>
        <v>5</v>
      </c>
      <c r="P2" s="10">
        <f t="shared" si="1"/>
        <v>10</v>
      </c>
      <c r="Q2" s="10">
        <f t="shared" si="1"/>
        <v>5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1614.307692</v>
      </c>
      <c r="F4" s="20">
        <f>IFERROR((G2+R2)/F2,0)</f>
        <v>0.5094339623</v>
      </c>
      <c r="G4" s="20">
        <f>IFERROR(H2/G2,0)</f>
        <v>0.4814814815</v>
      </c>
      <c r="H4" s="19">
        <f>(C2/C4)</f>
        <v>699.5333333</v>
      </c>
      <c r="I4" s="21"/>
      <c r="J4" s="20">
        <f>IFERROR(J2/I2,0)</f>
        <v>0.5</v>
      </c>
      <c r="K4" s="21"/>
      <c r="L4" s="20">
        <f>IFERROR(L2/K2,0)</f>
        <v>0.5</v>
      </c>
      <c r="M4" s="22">
        <f>IFERROR(M2/G2,0)</f>
        <v>3.481481481</v>
      </c>
      <c r="N4" s="21"/>
      <c r="O4" s="20">
        <f>IFERROR(O2/N2,0)</f>
        <v>0.5555555556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11812</v>
      </c>
      <c r="D5" s="26"/>
      <c r="E5" s="27">
        <f>SUMIFS(T:T,A:A,B5,D:D,"Y")</f>
        <v>10288</v>
      </c>
      <c r="F5" s="8">
        <f>SUMIF(A:A,B5,G:G)</f>
        <v>32</v>
      </c>
      <c r="G5" s="10">
        <f>SUMIF(A:A,B5,H:H)</f>
        <v>15</v>
      </c>
      <c r="H5" s="10">
        <f>SUMIF(A:A,B5,I:I)</f>
        <v>8</v>
      </c>
      <c r="I5" s="10">
        <f>SUMIF(A:A,B5,P:P)</f>
        <v>4</v>
      </c>
      <c r="J5" s="10">
        <f>SUMIF(A:A,B5,Q:Q)</f>
        <v>3</v>
      </c>
      <c r="K5" s="10">
        <f>SUMIF(A:A,B5,R:R)</f>
        <v>3</v>
      </c>
      <c r="L5" s="10">
        <f>SUMIF(A:A,B5,S:S)</f>
        <v>2</v>
      </c>
      <c r="M5" s="10">
        <f>SUMIF(A:A,B5,M:M)</f>
        <v>58</v>
      </c>
      <c r="N5" s="10">
        <f>SUMIF(A:A,B5,N:N)</f>
        <v>6</v>
      </c>
      <c r="O5" s="10">
        <f>SUMIF(A:A,B5,O:O)</f>
        <v>2</v>
      </c>
      <c r="P5" s="10">
        <f>SUMIF(A:A,B5,J:J)</f>
        <v>3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1476.5</v>
      </c>
      <c r="F7" s="20">
        <f>IFERROR((G5+R5)/F5,0)</f>
        <v>0.46875</v>
      </c>
      <c r="G7" s="20">
        <f>IFERROR(H5/G5,0)</f>
        <v>0.5333333333</v>
      </c>
      <c r="H7" s="19">
        <f>(C5/C7)</f>
        <v>908.6153846</v>
      </c>
      <c r="I7" s="21"/>
      <c r="J7" s="20">
        <f>IFERROR(J5/I5,0)</f>
        <v>0.75</v>
      </c>
      <c r="K7" s="21"/>
      <c r="L7" s="20">
        <f>IFERROR(L5/K5,0)</f>
        <v>0.6666666667</v>
      </c>
      <c r="M7" s="22">
        <f>IFERROR(M5/SUM(R5+G5,0),"")</f>
        <v>3.866666667</v>
      </c>
      <c r="N7" s="21"/>
      <c r="O7" s="20">
        <f>IFERROR(O5/N5,0)</f>
        <v>0.3333333333</v>
      </c>
      <c r="P7" s="22"/>
      <c r="Q7" s="20">
        <f>IFERROR(Q5/P5,0)</f>
        <v>0.3333333333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11812</v>
      </c>
      <c r="D8" s="36"/>
      <c r="E8" s="37">
        <f>SUMIFS(T:T,B:B,B8,D:D,"Y")</f>
        <v>10288</v>
      </c>
      <c r="F8" s="38">
        <f>SUMIF(B19:B1129,B8,G19:G1129)</f>
        <v>32</v>
      </c>
      <c r="G8" s="39">
        <f>SUMIF(B19:B1129,B8,H19:H1129)</f>
        <v>15</v>
      </c>
      <c r="H8" s="38">
        <f>SUMIF(B19:B1129,B8,I19:I1129)</f>
        <v>8</v>
      </c>
      <c r="I8" s="39">
        <f>SUMIF(B19:B1129,B8,P19:P1129)</f>
        <v>4</v>
      </c>
      <c r="J8" s="39">
        <f>SUMIF(B19:B1129,B8,Q19:Q1129)</f>
        <v>3</v>
      </c>
      <c r="K8" s="39">
        <f>SUMIF(B19:B1129,B8,R19:R1129)</f>
        <v>3</v>
      </c>
      <c r="L8" s="39">
        <f>SUMIF(B19:B1129,B8,S19:S1129)</f>
        <v>2</v>
      </c>
      <c r="M8" s="39">
        <f>SUMIF(B19:B1129,B8,M19:M1129)</f>
        <v>58</v>
      </c>
      <c r="N8" s="39">
        <f>SUMIF(B19:B1129,B8,N19:N1129)</f>
        <v>6</v>
      </c>
      <c r="O8" s="38">
        <f>SUMIF(B19:B1129,B8,O19:O1129)</f>
        <v>2</v>
      </c>
      <c r="P8" s="39">
        <f>SUMIF(B19:B1129,B8,J19:J1129)</f>
        <v>3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1476.5</v>
      </c>
      <c r="F10" s="51">
        <f>IFERROR((G8+R8)/F8,0)</f>
        <v>0.46875</v>
      </c>
      <c r="G10" s="51">
        <f>IFERROR(H8/G8,0)</f>
        <v>0.5333333333</v>
      </c>
      <c r="H10" s="50">
        <f>(C8/C10)</f>
        <v>984.3333333</v>
      </c>
      <c r="I10" s="46"/>
      <c r="J10" s="51">
        <f>IFERROR(J8/I8,0)</f>
        <v>0.75</v>
      </c>
      <c r="K10" s="46"/>
      <c r="L10" s="51">
        <f>IFERROR(L8/K8,0)</f>
        <v>0.6666666667</v>
      </c>
      <c r="M10" s="52">
        <f>IFERROR(M8/SUM(G8+R8,0),"")</f>
        <v>3.866666667</v>
      </c>
      <c r="N10" s="46"/>
      <c r="O10" s="51">
        <f>IFERROR(O8/N8,0)</f>
        <v>0.3333333333</v>
      </c>
      <c r="P10" s="53"/>
      <c r="Q10" s="51">
        <f>IFERROR(Q8/P8,0)</f>
        <v>0.3333333333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9174</v>
      </c>
      <c r="D11" s="26"/>
      <c r="E11" s="27">
        <f>SUMIFS(T:T,A:A,B11,D:D,"Y")</f>
        <v>4566</v>
      </c>
      <c r="F11" s="8">
        <f>SUMIF(A:A,B11,G:G)</f>
        <v>21</v>
      </c>
      <c r="G11" s="10">
        <f>SUMIF(A:A,B11,H:H)</f>
        <v>12</v>
      </c>
      <c r="H11" s="10">
        <f>SUMIF(A:A,B11,I:I)</f>
        <v>5</v>
      </c>
      <c r="I11" s="10">
        <f>SUMIF(A:A,B11,P:P)</f>
        <v>2</v>
      </c>
      <c r="J11" s="10">
        <f>SUMIF(A:A,B11,Q:Q)</f>
        <v>0</v>
      </c>
      <c r="K11" s="10">
        <f>SUMIF(A:A,B11,R:R)</f>
        <v>5</v>
      </c>
      <c r="L11" s="10">
        <f>SUMIF(A:A,B11,S:S)</f>
        <v>2</v>
      </c>
      <c r="M11" s="10">
        <f>SUMIF(A:A,B11,M:M)</f>
        <v>36</v>
      </c>
      <c r="N11" s="10">
        <f>SUMIF(A:A,B11,N:N)</f>
        <v>3</v>
      </c>
      <c r="O11" s="10">
        <f>SUMIF(A:A,B11,O:O)</f>
        <v>3</v>
      </c>
      <c r="P11" s="10">
        <f>SUMIF(A:A,B11,J:J)</f>
        <v>7</v>
      </c>
      <c r="Q11" s="10">
        <f>SUMIF(A:A,B11,K:K)</f>
        <v>4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1834.8</v>
      </c>
      <c r="F13" s="20">
        <f>IFERROR((G11+R11)/F11,0)</f>
        <v>0.5714285714</v>
      </c>
      <c r="G13" s="20">
        <f>IFERROR(H11/G11,0)</f>
        <v>0.4166666667</v>
      </c>
      <c r="H13" s="19">
        <f>(C11/C13)</f>
        <v>539.6470588</v>
      </c>
      <c r="I13" s="21"/>
      <c r="J13" s="20">
        <f>IFERROR(J11/I11,0)</f>
        <v>0</v>
      </c>
      <c r="K13" s="21"/>
      <c r="L13" s="20">
        <f>IFERROR(L11/K11,0)</f>
        <v>0.4</v>
      </c>
      <c r="M13" s="22">
        <f>IFERROR(M11/SUM(R11+G11,0),"")</f>
        <v>3</v>
      </c>
      <c r="N13" s="21"/>
      <c r="O13" s="20">
        <f>IFERROR(O11/N11,0)</f>
        <v>1</v>
      </c>
      <c r="P13" s="22"/>
      <c r="Q13" s="20">
        <f>IFERROR(Q11/P11,0)</f>
        <v>0.5714285714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9174</v>
      </c>
      <c r="D14" s="36"/>
      <c r="E14" s="37">
        <f>SUMIFS(T:T,B:B,B14,D:D,"Y")</f>
        <v>4566</v>
      </c>
      <c r="F14" s="38">
        <f>SUMIF(B19:B1129,B14,G19:G1129)</f>
        <v>21</v>
      </c>
      <c r="G14" s="39">
        <f>SUMIF(B19:B1129,B14,H19:H1129)</f>
        <v>12</v>
      </c>
      <c r="H14" s="38">
        <f>SUMIF(B19:B1129,B14,I19:I1129)</f>
        <v>5</v>
      </c>
      <c r="I14" s="39">
        <f>SUMIF(B19:B1129,B14,P19:P1129)</f>
        <v>2</v>
      </c>
      <c r="J14" s="39">
        <f>SUMIF(B19:B1129,B14,Q19:Q1129)</f>
        <v>0</v>
      </c>
      <c r="K14" s="39">
        <f>SUMIF(B19:B1129,B14,R19:R1129)</f>
        <v>5</v>
      </c>
      <c r="L14" s="39">
        <f>SUMIF(B19:B1129,B14,S19:S1129)</f>
        <v>2</v>
      </c>
      <c r="M14" s="39">
        <f>SUMIF(B19:B1129,B14,M19:M1129)</f>
        <v>36</v>
      </c>
      <c r="N14" s="39">
        <f>SUMIF(B19:B1129,B14,N19:N1129)</f>
        <v>3</v>
      </c>
      <c r="O14" s="38">
        <f>SUMIF(B19:B1129,B14,O19:O1129)</f>
        <v>3</v>
      </c>
      <c r="P14" s="39">
        <f>SUMIF(B19:B1129,B14,J19:J1129)</f>
        <v>7</v>
      </c>
      <c r="Q14" s="39">
        <f>SUMIF(B19:B1129,B14,K19:K1129)</f>
        <v>4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1834.8</v>
      </c>
      <c r="F16" s="51">
        <f>IFERROR((G14+R14)/F14,0)</f>
        <v>0.5714285714</v>
      </c>
      <c r="G16" s="51">
        <f>IFERROR(H14/G14,0)</f>
        <v>0.4166666667</v>
      </c>
      <c r="H16" s="50">
        <f>(C14/C16)</f>
        <v>573.375</v>
      </c>
      <c r="I16" s="46"/>
      <c r="J16" s="51">
        <f>IFERROR(J14/I14,0)</f>
        <v>0</v>
      </c>
      <c r="K16" s="46"/>
      <c r="L16" s="51">
        <f>IFERROR(L14/K14,0)</f>
        <v>0.4</v>
      </c>
      <c r="M16" s="52">
        <f>IFERROR(M14/SUM(G14+R14,0),"")</f>
        <v>3</v>
      </c>
      <c r="N16" s="46"/>
      <c r="O16" s="51">
        <f>IFERROR(O14/N14,0)</f>
        <v>1</v>
      </c>
      <c r="P16" s="53"/>
      <c r="Q16" s="51">
        <f>IFERROR(Q14/P14,0)</f>
        <v>0.5714285714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7.0</v>
      </c>
      <c r="H21" s="105">
        <v>4.0</v>
      </c>
      <c r="I21" s="105">
        <v>3.0</v>
      </c>
      <c r="J21" s="105">
        <v>0.0</v>
      </c>
      <c r="K21" s="105">
        <v>0.0</v>
      </c>
      <c r="L21" s="105">
        <v>0.0</v>
      </c>
      <c r="M21" s="105">
        <v>9.0</v>
      </c>
      <c r="N21" s="105">
        <v>0.0</v>
      </c>
      <c r="O21" s="105">
        <v>0.0</v>
      </c>
      <c r="P21" s="105">
        <v>4.0</v>
      </c>
      <c r="Q21" s="105">
        <v>3.0</v>
      </c>
      <c r="R21" s="105">
        <v>0.0</v>
      </c>
      <c r="S21" s="105">
        <v>0.0</v>
      </c>
      <c r="T21" s="105">
        <v>4015.0</v>
      </c>
      <c r="U21" s="66">
        <f t="shared" si="2"/>
        <v>0.75</v>
      </c>
      <c r="V21" s="66">
        <f t="shared" si="3"/>
        <v>0.5714285714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4.0</v>
      </c>
      <c r="H24" s="105">
        <v>2.0</v>
      </c>
      <c r="I24" s="105">
        <v>2.0</v>
      </c>
      <c r="J24" s="105">
        <v>0.0</v>
      </c>
      <c r="K24" s="105">
        <v>0.0</v>
      </c>
      <c r="L24" s="105">
        <v>0.0</v>
      </c>
      <c r="M24" s="105">
        <v>11.0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2.0</v>
      </c>
      <c r="T24" s="105">
        <v>3882.0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0.0</v>
      </c>
      <c r="J25" s="105">
        <v>1.0</v>
      </c>
      <c r="K25" s="105">
        <v>0.0</v>
      </c>
      <c r="L25" s="105">
        <v>0.0</v>
      </c>
      <c r="M25" s="105">
        <v>2.0</v>
      </c>
      <c r="N25" s="105">
        <v>1.0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3.0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5.0</v>
      </c>
      <c r="N26" s="105">
        <v>1.0</v>
      </c>
      <c r="O26" s="105">
        <v>1.0</v>
      </c>
      <c r="P26" s="105">
        <v>0.0</v>
      </c>
      <c r="Q26" s="105">
        <v>0.0</v>
      </c>
      <c r="R26" s="105">
        <v>0.0</v>
      </c>
      <c r="S26" s="105">
        <v>0.0</v>
      </c>
      <c r="T26" s="105">
        <v>1697.0</v>
      </c>
      <c r="U26" s="66">
        <f t="shared" si="2"/>
        <v>1</v>
      </c>
      <c r="V26" s="66">
        <f t="shared" si="3"/>
        <v>0.3333333333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4.0</v>
      </c>
      <c r="H27" s="105">
        <v>3.0</v>
      </c>
      <c r="I27" s="105">
        <v>1.0</v>
      </c>
      <c r="J27" s="105">
        <v>0.0</v>
      </c>
      <c r="K27" s="105">
        <v>0.0</v>
      </c>
      <c r="L27" s="105">
        <v>0.0</v>
      </c>
      <c r="M27" s="105">
        <v>6.0</v>
      </c>
      <c r="N27" s="105">
        <v>3.0</v>
      </c>
      <c r="O27" s="105">
        <v>1.0</v>
      </c>
      <c r="P27" s="105">
        <v>0.0</v>
      </c>
      <c r="Q27" s="105">
        <v>0.0</v>
      </c>
      <c r="R27" s="105">
        <v>0.0</v>
      </c>
      <c r="S27" s="105">
        <v>0.0</v>
      </c>
      <c r="T27" s="105">
        <v>1524.0</v>
      </c>
      <c r="U27" s="66">
        <f t="shared" si="2"/>
        <v>0.3333333333</v>
      </c>
      <c r="V27" s="66">
        <f t="shared" si="3"/>
        <v>0.75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2.0</v>
      </c>
      <c r="I28" s="105">
        <v>0.0</v>
      </c>
      <c r="J28" s="105">
        <v>1.0</v>
      </c>
      <c r="K28" s="105">
        <v>0.0</v>
      </c>
      <c r="L28" s="105">
        <v>0.0</v>
      </c>
      <c r="M28" s="105">
        <v>5.0</v>
      </c>
      <c r="N28" s="105">
        <v>1.0</v>
      </c>
      <c r="O28" s="105">
        <v>0.0</v>
      </c>
      <c r="P28" s="105">
        <v>0.0</v>
      </c>
      <c r="Q28" s="105">
        <v>0.0</v>
      </c>
      <c r="R28" s="105">
        <v>1.0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1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4.0</v>
      </c>
      <c r="H29" s="105">
        <v>2.0</v>
      </c>
      <c r="I29" s="105">
        <v>1.0</v>
      </c>
      <c r="J29" s="105">
        <v>0.0</v>
      </c>
      <c r="K29" s="105">
        <v>0.0</v>
      </c>
      <c r="L29" s="105">
        <v>0.0</v>
      </c>
      <c r="M29" s="105">
        <v>20.0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694.0</v>
      </c>
      <c r="U29" s="66">
        <f t="shared" si="2"/>
        <v>0.5</v>
      </c>
      <c r="V29" s="66">
        <f t="shared" si="3"/>
        <v>0.5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2.0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8.0</v>
      </c>
      <c r="H36" s="105">
        <v>5.0</v>
      </c>
      <c r="I36" s="105">
        <v>3.0</v>
      </c>
      <c r="J36" s="105">
        <v>3.0</v>
      </c>
      <c r="K36" s="105">
        <v>3.0</v>
      </c>
      <c r="L36" s="105">
        <v>0.0</v>
      </c>
      <c r="M36" s="105">
        <v>5.0</v>
      </c>
      <c r="N36" s="105">
        <v>3.0</v>
      </c>
      <c r="O36" s="105">
        <v>3.0</v>
      </c>
      <c r="P36" s="105">
        <v>0.0</v>
      </c>
      <c r="Q36" s="105">
        <v>0.0</v>
      </c>
      <c r="R36" s="105">
        <v>0.0</v>
      </c>
      <c r="S36" s="105">
        <v>0.0</v>
      </c>
      <c r="T36" s="105">
        <v>4566.0</v>
      </c>
      <c r="U36" s="66">
        <f t="shared" si="4"/>
        <v>0.6</v>
      </c>
      <c r="V36" s="66">
        <f t="shared" si="5"/>
        <v>0.625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2.0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2.0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0.5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1.0</v>
      </c>
      <c r="H38" s="105">
        <v>1.0</v>
      </c>
      <c r="I38" s="105">
        <v>1.0</v>
      </c>
      <c r="J38" s="105">
        <v>0.0</v>
      </c>
      <c r="K38" s="105">
        <v>0.0</v>
      </c>
      <c r="L38" s="105">
        <v>0.0</v>
      </c>
      <c r="M38" s="105">
        <v>3.0</v>
      </c>
      <c r="N38" s="105">
        <v>0.0</v>
      </c>
      <c r="O38" s="105">
        <v>0.0</v>
      </c>
      <c r="P38" s="105">
        <v>0.0</v>
      </c>
      <c r="Q38" s="105">
        <v>0.0</v>
      </c>
      <c r="R38" s="105">
        <v>1.0</v>
      </c>
      <c r="S38" s="105">
        <v>1.0</v>
      </c>
      <c r="T38" s="105">
        <v>2460.0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3.0</v>
      </c>
      <c r="H39" s="105">
        <v>2.0</v>
      </c>
      <c r="I39" s="105">
        <v>0.0</v>
      </c>
      <c r="J39" s="105">
        <v>2.0</v>
      </c>
      <c r="K39" s="105">
        <v>0.0</v>
      </c>
      <c r="L39" s="105">
        <v>0.0</v>
      </c>
      <c r="M39" s="105">
        <v>24.0</v>
      </c>
      <c r="N39" s="105">
        <v>0.0</v>
      </c>
      <c r="O39" s="105">
        <v>0.0</v>
      </c>
      <c r="P39" s="105">
        <v>0.0</v>
      </c>
      <c r="Q39" s="105">
        <v>0.0</v>
      </c>
      <c r="R39" s="105">
        <v>2.0</v>
      </c>
      <c r="S39" s="105">
        <v>0.0</v>
      </c>
      <c r="T39" s="105">
        <v>0.0</v>
      </c>
      <c r="U39" s="66">
        <f t="shared" si="4"/>
        <v>0</v>
      </c>
      <c r="V39" s="66">
        <f t="shared" si="5"/>
        <v>0.6666666667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1.0</v>
      </c>
      <c r="H40" s="105">
        <v>2.0</v>
      </c>
      <c r="I40" s="105">
        <v>1.0</v>
      </c>
      <c r="J40" s="105">
        <v>2.0</v>
      </c>
      <c r="K40" s="105">
        <v>1.0</v>
      </c>
      <c r="L40" s="105">
        <v>0.0</v>
      </c>
      <c r="M40" s="105">
        <v>4.0</v>
      </c>
      <c r="N40" s="105">
        <v>0.0</v>
      </c>
      <c r="O40" s="105">
        <v>0.0</v>
      </c>
      <c r="P40" s="105">
        <v>0.0</v>
      </c>
      <c r="Q40" s="105">
        <v>0.0</v>
      </c>
      <c r="R40" s="105">
        <v>2.0</v>
      </c>
      <c r="S40" s="105">
        <v>1.0</v>
      </c>
      <c r="T40" s="105">
        <v>2148.0</v>
      </c>
      <c r="U40" s="66">
        <f t="shared" si="4"/>
        <v>0.5</v>
      </c>
      <c r="V40" s="66">
        <f t="shared" si="5"/>
        <v>2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4.0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9019</v>
      </c>
      <c r="D2" s="9"/>
      <c r="E2" s="8">
        <f t="shared" ref="E2:R2" si="1">SUM(E5,E11)</f>
        <v>2783</v>
      </c>
      <c r="F2" s="8">
        <f t="shared" si="1"/>
        <v>27</v>
      </c>
      <c r="G2" s="10">
        <f t="shared" si="1"/>
        <v>12</v>
      </c>
      <c r="H2" s="10">
        <f t="shared" si="1"/>
        <v>6</v>
      </c>
      <c r="I2" s="10">
        <f t="shared" si="1"/>
        <v>1</v>
      </c>
      <c r="J2" s="10">
        <f t="shared" si="1"/>
        <v>1</v>
      </c>
      <c r="K2" s="10">
        <f t="shared" si="1"/>
        <v>6</v>
      </c>
      <c r="L2" s="10">
        <f t="shared" si="1"/>
        <v>2</v>
      </c>
      <c r="M2" s="10">
        <f t="shared" si="1"/>
        <v>36</v>
      </c>
      <c r="N2" s="10">
        <f t="shared" si="1"/>
        <v>4</v>
      </c>
      <c r="O2" s="10">
        <f t="shared" si="1"/>
        <v>3</v>
      </c>
      <c r="P2" s="10">
        <f t="shared" si="1"/>
        <v>4</v>
      </c>
      <c r="Q2" s="10">
        <f t="shared" si="1"/>
        <v>3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1503.166667</v>
      </c>
      <c r="F4" s="20">
        <f>IFERROR((G2+R2)/F2,0)</f>
        <v>0.5185185185</v>
      </c>
      <c r="G4" s="20">
        <f>IFERROR(H2/G2,0)</f>
        <v>0.5</v>
      </c>
      <c r="H4" s="19">
        <f>(C2/C4)</f>
        <v>300.6333333</v>
      </c>
      <c r="I4" s="21"/>
      <c r="J4" s="20">
        <f>IFERROR(J2/I2,0)</f>
        <v>1</v>
      </c>
      <c r="K4" s="21"/>
      <c r="L4" s="20">
        <f>IFERROR(L2/K2,0)</f>
        <v>0.3333333333</v>
      </c>
      <c r="M4" s="22">
        <f>IFERROR(M2/G2,0)</f>
        <v>3</v>
      </c>
      <c r="N4" s="21"/>
      <c r="O4" s="20">
        <f>IFERROR(O2/N2,0)</f>
        <v>0.75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8019</v>
      </c>
      <c r="D5" s="26"/>
      <c r="E5" s="27">
        <f>SUMIFS(T:T,A:A,B5,D:D,"Y")</f>
        <v>2783</v>
      </c>
      <c r="F5" s="8">
        <f>SUMIF(A:A,B5,G:G)</f>
        <v>23</v>
      </c>
      <c r="G5" s="10">
        <f>SUMIF(A:A,B5,H:H)</f>
        <v>10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6</v>
      </c>
      <c r="L5" s="10">
        <f>SUMIF(A:A,B5,S:S)</f>
        <v>2</v>
      </c>
      <c r="M5" s="10">
        <f>SUMIF(A:A,B5,M:M)</f>
        <v>36</v>
      </c>
      <c r="N5" s="10">
        <f>SUMIF(A:A,B5,N:N)</f>
        <v>4</v>
      </c>
      <c r="O5" s="10">
        <f>SUMIF(A:A,B5,O:O)</f>
        <v>3</v>
      </c>
      <c r="P5" s="10">
        <f>SUMIF(A:A,B5,J:J)</f>
        <v>4</v>
      </c>
      <c r="Q5" s="10">
        <f>SUMIF(A:A,B5,K:K)</f>
        <v>3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1603.8</v>
      </c>
      <c r="F7" s="20">
        <f>IFERROR((G5+R5)/F5,0)</f>
        <v>0.5217391304</v>
      </c>
      <c r="G7" s="20">
        <f>IFERROR(H5/G5,0)</f>
        <v>0.5</v>
      </c>
      <c r="H7" s="19">
        <f>(C5/C7)</f>
        <v>616.8461538</v>
      </c>
      <c r="I7" s="21"/>
      <c r="J7" s="20">
        <f>IFERROR(J5/I5,0)</f>
        <v>0</v>
      </c>
      <c r="K7" s="21"/>
      <c r="L7" s="20">
        <f>IFERROR(L5/K5,0)</f>
        <v>0.3333333333</v>
      </c>
      <c r="M7" s="22">
        <f>IFERROR(M5/SUM(R5+G5,0),"")</f>
        <v>3</v>
      </c>
      <c r="N7" s="21"/>
      <c r="O7" s="20">
        <f>IFERROR(O5/N5,0)</f>
        <v>0.75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8019</v>
      </c>
      <c r="D8" s="36"/>
      <c r="E8" s="37">
        <f>SUMIFS(T:T,B:B,B8,D:D,"Y")</f>
        <v>2783</v>
      </c>
      <c r="F8" s="38">
        <f>SUMIF(B19:B1129,B8,G19:G1129)</f>
        <v>23</v>
      </c>
      <c r="G8" s="39">
        <f>SUMIF(B19:B1129,B8,H19:H1129)</f>
        <v>10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6</v>
      </c>
      <c r="L8" s="39">
        <f>SUMIF(B19:B1129,B8,S19:S1129)</f>
        <v>2</v>
      </c>
      <c r="M8" s="39">
        <f>SUMIF(B19:B1129,B8,M19:M1129)</f>
        <v>36</v>
      </c>
      <c r="N8" s="39">
        <f>SUMIF(B19:B1129,B8,N19:N1129)</f>
        <v>4</v>
      </c>
      <c r="O8" s="38">
        <f>SUMIF(B19:B1129,B8,O19:O1129)</f>
        <v>3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1603.8</v>
      </c>
      <c r="F10" s="51">
        <f>IFERROR((G8+R8)/F8,0)</f>
        <v>0.5217391304</v>
      </c>
      <c r="G10" s="51">
        <f>IFERROR(H8/G8,0)</f>
        <v>0.5</v>
      </c>
      <c r="H10" s="50">
        <f>(C8/C10)</f>
        <v>668.25</v>
      </c>
      <c r="I10" s="46"/>
      <c r="J10" s="51">
        <f>IFERROR(J8/I8,0)</f>
        <v>0</v>
      </c>
      <c r="K10" s="46"/>
      <c r="L10" s="51">
        <f>IFERROR(L8/K8,0)</f>
        <v>0.3333333333</v>
      </c>
      <c r="M10" s="52">
        <f>IFERROR(M8/SUM(G8+R8,0),"")</f>
        <v>3</v>
      </c>
      <c r="N10" s="46"/>
      <c r="O10" s="51">
        <f>IFERROR(O8/N8,0)</f>
        <v>0.75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1000</v>
      </c>
      <c r="D11" s="26"/>
      <c r="E11" s="27">
        <f>SUMIFS(T:T,A:A,B11,D:D,"Y")</f>
        <v>0</v>
      </c>
      <c r="F11" s="8">
        <f>SUMIF(A:A,B11,G:G)</f>
        <v>4</v>
      </c>
      <c r="G11" s="10">
        <f>SUMIF(A:A,B11,H:H)</f>
        <v>2</v>
      </c>
      <c r="H11" s="10">
        <f>SUMIF(A:A,B11,I:I)</f>
        <v>1</v>
      </c>
      <c r="I11" s="10">
        <f>SUMIF(A:A,B11,P:P)</f>
        <v>1</v>
      </c>
      <c r="J11" s="10">
        <f>SUMIF(A:A,B11,Q:Q)</f>
        <v>1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1000</v>
      </c>
      <c r="F13" s="20">
        <f>IFERROR((G11+R11)/F11,0)</f>
        <v>0.5</v>
      </c>
      <c r="G13" s="20">
        <f>IFERROR(H11/G11,0)</f>
        <v>0.5</v>
      </c>
      <c r="H13" s="19">
        <f>(C11/C13)</f>
        <v>58.82352941</v>
      </c>
      <c r="I13" s="21"/>
      <c r="J13" s="20">
        <f>IFERROR(J11/I11,0)</f>
        <v>1</v>
      </c>
      <c r="K13" s="21"/>
      <c r="L13" s="20">
        <f>IFERROR(L11/K11,0)</f>
        <v>0</v>
      </c>
      <c r="M13" s="22">
        <f>IFERROR(M11/SUM(R11+G11,0),"")</f>
        <v>0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1000</v>
      </c>
      <c r="D14" s="36"/>
      <c r="E14" s="37">
        <f>SUMIFS(T:T,B:B,B14,D:D,"Y")</f>
        <v>0</v>
      </c>
      <c r="F14" s="38">
        <f>SUMIF(B19:B1129,B14,G19:G1129)</f>
        <v>4</v>
      </c>
      <c r="G14" s="39">
        <f>SUMIF(B19:B1129,B14,H19:H1129)</f>
        <v>2</v>
      </c>
      <c r="H14" s="38">
        <f>SUMIF(B19:B1129,B14,I19:I1129)</f>
        <v>1</v>
      </c>
      <c r="I14" s="39">
        <f>SUMIF(B19:B1129,B14,P19:P1129)</f>
        <v>1</v>
      </c>
      <c r="J14" s="39">
        <f>SUMIF(B19:B1129,B14,Q19:Q1129)</f>
        <v>1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1000</v>
      </c>
      <c r="F16" s="51">
        <f>IFERROR((G14+R14)/F14,0)</f>
        <v>0.5</v>
      </c>
      <c r="G16" s="51">
        <f>IFERROR(H14/G14,0)</f>
        <v>0.5</v>
      </c>
      <c r="H16" s="50">
        <f>(C14/C16)</f>
        <v>62.5</v>
      </c>
      <c r="I16" s="46"/>
      <c r="J16" s="51">
        <f>IFERROR(J14/I14,0)</f>
        <v>1</v>
      </c>
      <c r="K16" s="46"/>
      <c r="L16" s="51">
        <f>IFERROR(L14/K14,0)</f>
        <v>0</v>
      </c>
      <c r="M16" s="52">
        <f>IFERROR(M14/SUM(G14+R14,0),"")</f>
        <v>0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8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0.0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2.0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3.0</v>
      </c>
      <c r="H24" s="105">
        <v>2.0</v>
      </c>
      <c r="I24" s="105">
        <v>0.0</v>
      </c>
      <c r="J24" s="105">
        <v>0.0</v>
      </c>
      <c r="K24" s="105">
        <v>0.0</v>
      </c>
      <c r="L24" s="105">
        <v>1.0</v>
      </c>
      <c r="M24" s="105">
        <v>3.0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1.0</v>
      </c>
      <c r="H25" s="105">
        <v>1.0</v>
      </c>
      <c r="I25" s="105">
        <v>1.0</v>
      </c>
      <c r="J25" s="105">
        <v>1.0</v>
      </c>
      <c r="K25" s="105">
        <v>1.0</v>
      </c>
      <c r="L25" s="105">
        <v>0.0</v>
      </c>
      <c r="M25" s="105">
        <v>6.0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1.0</v>
      </c>
      <c r="T25" s="105">
        <v>652.0</v>
      </c>
      <c r="U25" s="66">
        <f t="shared" si="2"/>
        <v>1</v>
      </c>
      <c r="V25" s="66">
        <f t="shared" si="3"/>
        <v>1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2783.0</v>
      </c>
      <c r="U26" s="66">
        <f t="shared" si="2"/>
        <v>1</v>
      </c>
      <c r="V26" s="66">
        <f t="shared" si="3"/>
        <v>0.25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3.0</v>
      </c>
      <c r="H27" s="105">
        <v>2.0</v>
      </c>
      <c r="I27" s="105">
        <v>1.0</v>
      </c>
      <c r="J27" s="105">
        <v>1.0</v>
      </c>
      <c r="K27" s="105">
        <v>1.0</v>
      </c>
      <c r="L27" s="105">
        <v>0.0</v>
      </c>
      <c r="M27" s="105">
        <v>10.0</v>
      </c>
      <c r="N27" s="105">
        <v>1.0</v>
      </c>
      <c r="O27" s="105">
        <v>1.0</v>
      </c>
      <c r="P27" s="105">
        <v>0.0</v>
      </c>
      <c r="Q27" s="105">
        <v>0.0</v>
      </c>
      <c r="R27" s="105">
        <v>1.0</v>
      </c>
      <c r="S27" s="105">
        <v>0.0</v>
      </c>
      <c r="T27" s="105">
        <v>2111.0</v>
      </c>
      <c r="U27" s="66">
        <f t="shared" si="2"/>
        <v>0.5</v>
      </c>
      <c r="V27" s="66">
        <f t="shared" si="3"/>
        <v>0.6666666667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2.0</v>
      </c>
      <c r="I28" s="105">
        <v>0.0</v>
      </c>
      <c r="J28" s="105">
        <v>1.0</v>
      </c>
      <c r="K28" s="105">
        <v>0.0</v>
      </c>
      <c r="L28" s="105">
        <v>0.0</v>
      </c>
      <c r="M28" s="105">
        <v>5.0</v>
      </c>
      <c r="N28" s="105">
        <v>1.0</v>
      </c>
      <c r="O28" s="105">
        <v>0.0</v>
      </c>
      <c r="P28" s="105">
        <v>0.0</v>
      </c>
      <c r="Q28" s="105">
        <v>0.0</v>
      </c>
      <c r="R28" s="105">
        <v>1.0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1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2.0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10">
        <v>0.0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ref="U30:U32" si="4">IFERROR(I30/H30,0)</f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3.0</v>
      </c>
      <c r="H31" s="105">
        <v>2.0</v>
      </c>
      <c r="I31" s="105">
        <v>2.0</v>
      </c>
      <c r="J31" s="105">
        <v>0.0</v>
      </c>
      <c r="K31" s="105">
        <v>0.0</v>
      </c>
      <c r="L31" s="105">
        <v>1.0</v>
      </c>
      <c r="M31" s="105">
        <v>12.0</v>
      </c>
      <c r="N31" s="105">
        <v>2.0</v>
      </c>
      <c r="O31" s="105">
        <v>2.0</v>
      </c>
      <c r="P31" s="105">
        <v>0.0</v>
      </c>
      <c r="Q31" s="105">
        <v>0.0</v>
      </c>
      <c r="R31" s="105">
        <v>0.0</v>
      </c>
      <c r="S31" s="105">
        <v>0.0</v>
      </c>
      <c r="T31" s="105">
        <v>2473.0</v>
      </c>
      <c r="U31" s="66">
        <f t="shared" si="4"/>
        <v>1</v>
      </c>
      <c r="V31" s="66">
        <f t="shared" si="3"/>
        <v>1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2.0</v>
      </c>
      <c r="I37" s="105">
        <v>1.0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1.0</v>
      </c>
      <c r="Q37" s="105">
        <v>1.0</v>
      </c>
      <c r="R37" s="105">
        <v>0.0</v>
      </c>
      <c r="S37" s="105">
        <v>0.0</v>
      </c>
      <c r="T37" s="105">
        <v>1000.0</v>
      </c>
      <c r="U37" s="66">
        <f t="shared" si="5"/>
        <v>0.5</v>
      </c>
      <c r="V37" s="66">
        <f t="shared" si="6"/>
        <v>0.5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8587</v>
      </c>
      <c r="D2" s="9"/>
      <c r="E2" s="8">
        <f t="shared" ref="E2:R2" si="1">SUM(E5,E11)</f>
        <v>3828</v>
      </c>
      <c r="F2" s="8">
        <f t="shared" si="1"/>
        <v>17</v>
      </c>
      <c r="G2" s="10">
        <f t="shared" si="1"/>
        <v>8</v>
      </c>
      <c r="H2" s="10">
        <f t="shared" si="1"/>
        <v>4</v>
      </c>
      <c r="I2" s="10">
        <f t="shared" si="1"/>
        <v>0</v>
      </c>
      <c r="J2" s="10">
        <f t="shared" si="1"/>
        <v>1</v>
      </c>
      <c r="K2" s="10">
        <f t="shared" si="1"/>
        <v>4</v>
      </c>
      <c r="L2" s="10">
        <f t="shared" si="1"/>
        <v>3</v>
      </c>
      <c r="M2" s="10">
        <f t="shared" si="1"/>
        <v>24</v>
      </c>
      <c r="N2" s="10">
        <f t="shared" si="1"/>
        <v>3</v>
      </c>
      <c r="O2" s="10">
        <f t="shared" si="1"/>
        <v>3</v>
      </c>
      <c r="P2" s="10">
        <f t="shared" si="1"/>
        <v>5</v>
      </c>
      <c r="Q2" s="10">
        <f t="shared" si="1"/>
        <v>3</v>
      </c>
      <c r="R2" s="10">
        <f t="shared" si="1"/>
        <v>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2146.75</v>
      </c>
      <c r="F4" s="20">
        <f>IFERROR((G2+R2)/F2,0)</f>
        <v>0.8823529412</v>
      </c>
      <c r="G4" s="20">
        <f>IFERROR(H2/G2,0)</f>
        <v>0.5</v>
      </c>
      <c r="H4" s="19">
        <f>(C2/C4)</f>
        <v>286.2333333</v>
      </c>
      <c r="I4" s="21"/>
      <c r="J4" s="20">
        <f>IFERROR(J2/I2,0)</f>
        <v>0</v>
      </c>
      <c r="K4" s="21"/>
      <c r="L4" s="20">
        <f>IFERROR(L2/K2,0)</f>
        <v>0.75</v>
      </c>
      <c r="M4" s="22">
        <f>IFERROR(M2/G2,0)</f>
        <v>3</v>
      </c>
      <c r="N4" s="21"/>
      <c r="O4" s="20">
        <f>IFERROR(O2/N2,0)</f>
        <v>1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5959</v>
      </c>
      <c r="D5" s="26"/>
      <c r="E5" s="27">
        <f>SUMIFS(T:T,A:A,B5,D:D,"Y")</f>
        <v>3828</v>
      </c>
      <c r="F5" s="8">
        <f>SUMIF(A:A,B5,G:G)</f>
        <v>10</v>
      </c>
      <c r="G5" s="10">
        <f>SUMIF(A:A,B5,H:H)</f>
        <v>7</v>
      </c>
      <c r="H5" s="10">
        <f>SUMIF(A:A,B5,I:I)</f>
        <v>3</v>
      </c>
      <c r="I5" s="10">
        <f>SUMIF(A:A,B5,P:P)</f>
        <v>0</v>
      </c>
      <c r="J5" s="10">
        <f>SUMIF(A:A,B5,Q:Q)</f>
        <v>1</v>
      </c>
      <c r="K5" s="10">
        <f>SUMIF(A:A,B5,R:R)</f>
        <v>3</v>
      </c>
      <c r="L5" s="10">
        <f>SUMIF(A:A,B5,S:S)</f>
        <v>2</v>
      </c>
      <c r="M5" s="10">
        <f>SUMIF(A:A,B5,M:M)</f>
        <v>22</v>
      </c>
      <c r="N5" s="10">
        <f>SUMIF(A:A,B5,N:N)</f>
        <v>3</v>
      </c>
      <c r="O5" s="10">
        <f>SUMIF(A:A,B5,O:O)</f>
        <v>3</v>
      </c>
      <c r="P5" s="10">
        <f>SUMIF(A:A,B5,J:J)</f>
        <v>4</v>
      </c>
      <c r="Q5" s="10">
        <f>SUMIF(A:A,B5,K:K)</f>
        <v>2</v>
      </c>
      <c r="R5" s="10">
        <f>SUMIF(A:A,B5,L:L)</f>
        <v>7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1986.333333</v>
      </c>
      <c r="F7" s="20">
        <f>IFERROR((G5+R5)/F5,0)</f>
        <v>1.4</v>
      </c>
      <c r="G7" s="20">
        <f>IFERROR(H5/G5,0)</f>
        <v>0.4285714286</v>
      </c>
      <c r="H7" s="19">
        <f>(C5/C7)</f>
        <v>458.3846154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1.571428571</v>
      </c>
      <c r="N7" s="21"/>
      <c r="O7" s="20">
        <f>IFERROR(O5/N5,0)</f>
        <v>1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5959</v>
      </c>
      <c r="D8" s="36"/>
      <c r="E8" s="37">
        <f>SUMIFS(T:T,B:B,B8,D:D,"Y")</f>
        <v>3828</v>
      </c>
      <c r="F8" s="38">
        <f>SUMIF(B19:B1129,B8,G19:G1129)</f>
        <v>10</v>
      </c>
      <c r="G8" s="39">
        <f>SUMIF(B19:B1129,B8,H19:H1129)</f>
        <v>7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1</v>
      </c>
      <c r="K8" s="39">
        <f>SUMIF(B19:B1129,B8,R19:R1129)</f>
        <v>3</v>
      </c>
      <c r="L8" s="39">
        <f>SUMIF(B19:B1129,B8,S19:S1129)</f>
        <v>2</v>
      </c>
      <c r="M8" s="39">
        <f>SUMIF(B19:B1129,B8,M19:M1129)</f>
        <v>22</v>
      </c>
      <c r="N8" s="39">
        <f>SUMIF(B19:B1129,B8,N19:N1129)</f>
        <v>3</v>
      </c>
      <c r="O8" s="38">
        <f>SUMIF(B19:B1129,B8,O19:O1129)</f>
        <v>3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7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1986.333333</v>
      </c>
      <c r="F10" s="51">
        <f>IFERROR((G8+R8)/F8,0)</f>
        <v>1.4</v>
      </c>
      <c r="G10" s="51">
        <f>IFERROR(H8/G8,0)</f>
        <v>0.4285714286</v>
      </c>
      <c r="H10" s="50">
        <f>(C8/C10)</f>
        <v>496.5833333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1.571428571</v>
      </c>
      <c r="N10" s="46"/>
      <c r="O10" s="51">
        <f>IFERROR(O8/N8,0)</f>
        <v>1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2628</v>
      </c>
      <c r="D11" s="26"/>
      <c r="E11" s="27">
        <f>SUMIFS(T:T,A:A,B11,D:D,"Y")</f>
        <v>0</v>
      </c>
      <c r="F11" s="8">
        <f>SUMIF(A:A,B11,G:G)</f>
        <v>7</v>
      </c>
      <c r="G11" s="10">
        <f>SUMIF(A:A,B11,H:H)</f>
        <v>1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2</v>
      </c>
      <c r="N11" s="10">
        <f>SUMIF(A:A,B11,N:N)</f>
        <v>0</v>
      </c>
      <c r="O11" s="10">
        <f>SUMIF(A:A,B11,O:O)</f>
        <v>0</v>
      </c>
      <c r="P11" s="10">
        <f>SUMIF(A:A,B11,J:J)</f>
        <v>1</v>
      </c>
      <c r="Q11" s="10">
        <f>SUMIF(A:A,B11,K:K)</f>
        <v>1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2628</v>
      </c>
      <c r="F13" s="20">
        <f>IFERROR((G11+R11)/F11,0)</f>
        <v>0.1428571429</v>
      </c>
      <c r="G13" s="20">
        <f>IFERROR(H11/G11,0)</f>
        <v>1</v>
      </c>
      <c r="H13" s="19">
        <f>(C11/C13)</f>
        <v>154.5882353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2</v>
      </c>
      <c r="N13" s="21"/>
      <c r="O13" s="20">
        <f>IFERROR(O11/N11,0)</f>
        <v>0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2628</v>
      </c>
      <c r="D14" s="36"/>
      <c r="E14" s="37">
        <f>SUMIFS(T:T,B:B,B14,D:D,"Y")</f>
        <v>0</v>
      </c>
      <c r="F14" s="38">
        <f>SUMIF(B19:B1129,B14,G19:G1129)</f>
        <v>7</v>
      </c>
      <c r="G14" s="39">
        <f>SUMIF(B19:B1129,B14,H19:H1129)</f>
        <v>1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2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2628</v>
      </c>
      <c r="F16" s="51">
        <f>IFERROR((G14+R14)/F14,0)</f>
        <v>0.1428571429</v>
      </c>
      <c r="G16" s="51">
        <f>IFERROR(H14/G14,0)</f>
        <v>1</v>
      </c>
      <c r="H16" s="50">
        <f>(C14/C16)</f>
        <v>164.25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2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0.0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1.0</v>
      </c>
      <c r="I23" s="105">
        <v>1.0</v>
      </c>
      <c r="J23" s="105">
        <v>0.0</v>
      </c>
      <c r="K23" s="105">
        <v>0.0</v>
      </c>
      <c r="L23" s="105">
        <v>0.0</v>
      </c>
      <c r="M23" s="105">
        <v>4.0</v>
      </c>
      <c r="N23" s="105">
        <v>1.0</v>
      </c>
      <c r="O23" s="105">
        <v>1.0</v>
      </c>
      <c r="P23" s="105">
        <v>0.0</v>
      </c>
      <c r="Q23" s="105">
        <v>0.0</v>
      </c>
      <c r="R23" s="105">
        <v>0.0</v>
      </c>
      <c r="S23" s="105">
        <v>0.0</v>
      </c>
      <c r="T23" s="111">
        <v>1721.0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5.0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3828.0</v>
      </c>
      <c r="U26" s="66">
        <f t="shared" si="2"/>
        <v>1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4.0</v>
      </c>
      <c r="H27" s="105">
        <v>4.0</v>
      </c>
      <c r="I27" s="105">
        <v>1.0</v>
      </c>
      <c r="J27" s="105">
        <v>3.0</v>
      </c>
      <c r="K27" s="105">
        <v>1.0</v>
      </c>
      <c r="L27" s="105">
        <v>0.0</v>
      </c>
      <c r="M27" s="105">
        <v>13.0</v>
      </c>
      <c r="N27" s="105">
        <v>2.0</v>
      </c>
      <c r="O27" s="105">
        <v>1.0</v>
      </c>
      <c r="P27" s="105">
        <v>0.0</v>
      </c>
      <c r="Q27" s="105">
        <v>0.0</v>
      </c>
      <c r="R27" s="105">
        <v>2.0</v>
      </c>
      <c r="S27" s="105">
        <v>0.0</v>
      </c>
      <c r="T27" s="105">
        <v>410.0</v>
      </c>
      <c r="U27" s="66">
        <f t="shared" si="2"/>
        <v>0.25</v>
      </c>
      <c r="V27" s="66">
        <f t="shared" si="3"/>
        <v>1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0.0</v>
      </c>
      <c r="J28" s="105">
        <v>0.0</v>
      </c>
      <c r="K28" s="105">
        <v>0.0</v>
      </c>
      <c r="L28" s="105">
        <v>7.0</v>
      </c>
      <c r="M28" s="105">
        <v>0.0</v>
      </c>
      <c r="N28" s="105">
        <v>0.0</v>
      </c>
      <c r="O28" s="105">
        <v>1.0</v>
      </c>
      <c r="P28" s="105">
        <v>0.0</v>
      </c>
      <c r="Q28" s="105">
        <v>1.0</v>
      </c>
      <c r="R28" s="105">
        <v>0.0</v>
      </c>
      <c r="S28" s="105">
        <v>1.0</v>
      </c>
      <c r="T28" s="105">
        <v>0.0</v>
      </c>
      <c r="U28" s="66">
        <f t="shared" si="2"/>
        <v>0</v>
      </c>
      <c r="V28" s="66">
        <f t="shared" si="3"/>
        <v>4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1.0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2.0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5.0</v>
      </c>
      <c r="H50" s="105">
        <v>1.0</v>
      </c>
      <c r="I50" s="105">
        <v>1.0</v>
      </c>
      <c r="J50" s="105">
        <v>1.0</v>
      </c>
      <c r="K50" s="105">
        <v>1.0</v>
      </c>
      <c r="L50" s="105">
        <v>0.0</v>
      </c>
      <c r="M50" s="105">
        <v>2.0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2628.0</v>
      </c>
      <c r="U50" s="66">
        <f t="shared" si="4"/>
        <v>1</v>
      </c>
      <c r="V50" s="66">
        <f t="shared" si="5"/>
        <v>0.2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5393</v>
      </c>
      <c r="D2" s="9"/>
      <c r="E2" s="8">
        <f t="shared" ref="E2:R2" si="1">SUM(E5,E11)</f>
        <v>3521</v>
      </c>
      <c r="F2" s="8">
        <f t="shared" si="1"/>
        <v>8</v>
      </c>
      <c r="G2" s="10">
        <f t="shared" si="1"/>
        <v>4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14</v>
      </c>
      <c r="N2" s="10">
        <f t="shared" si="1"/>
        <v>3</v>
      </c>
      <c r="O2" s="10">
        <f t="shared" si="1"/>
        <v>1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2696.5</v>
      </c>
      <c r="F4" s="20">
        <f>IFERROR((G2+R2)/F2,0)</f>
        <v>0.5</v>
      </c>
      <c r="G4" s="20">
        <f>IFERROR(H2/G2,0)</f>
        <v>0.5</v>
      </c>
      <c r="H4" s="19">
        <f>(C2/C4)</f>
        <v>179.7666667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3.5</v>
      </c>
      <c r="N4" s="21"/>
      <c r="O4" s="20">
        <f>IFERROR(O2/N2,0)</f>
        <v>0.3333333333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5393</v>
      </c>
      <c r="D5" s="26"/>
      <c r="E5" s="27">
        <f>SUMIFS(T:T,A:A,B5,D:D,"Y")</f>
        <v>3521</v>
      </c>
      <c r="F5" s="8">
        <f>SUMIF(A:A,B5,G:G)</f>
        <v>6</v>
      </c>
      <c r="G5" s="10">
        <f>SUMIF(A:A,B5,H:H)</f>
        <v>4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14</v>
      </c>
      <c r="N5" s="10">
        <f>SUMIF(A:A,B5,N:N)</f>
        <v>3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2696.5</v>
      </c>
      <c r="F7" s="20">
        <f>IFERROR((G5+R5)/F5,0)</f>
        <v>0.6666666667</v>
      </c>
      <c r="G7" s="20">
        <f>IFERROR(H5/G5,0)</f>
        <v>0.5</v>
      </c>
      <c r="H7" s="19">
        <f>(C5/C7)</f>
        <v>414.8461538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3.5</v>
      </c>
      <c r="N7" s="21"/>
      <c r="O7" s="20">
        <f>IFERROR(O5/N5,0)</f>
        <v>0.3333333333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5393</v>
      </c>
      <c r="D8" s="36"/>
      <c r="E8" s="37">
        <f>SUMIFS(T:T,B:B,B8,D:D,"Y")</f>
        <v>3521</v>
      </c>
      <c r="F8" s="38">
        <f>SUMIF(B19:B1129,B8,G19:G1129)</f>
        <v>6</v>
      </c>
      <c r="G8" s="39">
        <f>SUMIF(B19:B1129,B8,H19:H1129)</f>
        <v>4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14</v>
      </c>
      <c r="N8" s="39">
        <f>SUMIF(B19:B1129,B8,N19:N1129)</f>
        <v>3</v>
      </c>
      <c r="O8" s="38">
        <f>SUMIF(B19:B1129,B8,O19:O1129)</f>
        <v>1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2696.5</v>
      </c>
      <c r="F10" s="51">
        <f>IFERROR((G8+R8)/F8,0)</f>
        <v>0.6666666667</v>
      </c>
      <c r="G10" s="51">
        <f>IFERROR(H8/G8,0)</f>
        <v>0.5</v>
      </c>
      <c r="H10" s="50">
        <f>(C8/C10)</f>
        <v>449.4166667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3.5</v>
      </c>
      <c r="N10" s="46"/>
      <c r="O10" s="51">
        <f>IFERROR(O8/N8,0)</f>
        <v>0.3333333333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2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2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0.0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2.0</v>
      </c>
      <c r="J24" s="105">
        <v>0.0</v>
      </c>
      <c r="K24" s="105">
        <v>0.0</v>
      </c>
      <c r="L24" s="105">
        <v>0.0</v>
      </c>
      <c r="M24" s="105">
        <v>5.0</v>
      </c>
      <c r="N24" s="105">
        <v>1.0</v>
      </c>
      <c r="O24" s="105">
        <v>1.0</v>
      </c>
      <c r="P24" s="105">
        <v>0.0</v>
      </c>
      <c r="Q24" s="105">
        <v>0.0</v>
      </c>
      <c r="R24" s="105">
        <v>1.0</v>
      </c>
      <c r="S24" s="105">
        <v>1.0</v>
      </c>
      <c r="T24" s="105">
        <v>3521.0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10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2.0</v>
      </c>
      <c r="H27" s="105">
        <v>1.0</v>
      </c>
      <c r="I27" s="105">
        <v>0.0</v>
      </c>
      <c r="J27" s="105">
        <v>0.0</v>
      </c>
      <c r="K27" s="105">
        <v>0.0</v>
      </c>
      <c r="L27" s="105">
        <v>0.0</v>
      </c>
      <c r="M27" s="105">
        <v>2.0</v>
      </c>
      <c r="N27" s="105">
        <v>1.0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1872.0</v>
      </c>
      <c r="U27" s="66">
        <f t="shared" ref="U27:U32" si="4">IFERROR(I27/H27,0)</f>
        <v>0</v>
      </c>
      <c r="V27" s="66">
        <f t="shared" si="3"/>
        <v>0.5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0.0</v>
      </c>
      <c r="J28" s="105">
        <v>0.0</v>
      </c>
      <c r="K28" s="105">
        <v>0.0</v>
      </c>
      <c r="L28" s="105">
        <v>0.0</v>
      </c>
      <c r="M28" s="105">
        <v>7.0</v>
      </c>
      <c r="N28" s="105">
        <v>1.0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0.5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2.0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10">
        <v>0.0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0" si="7">IFERROR(I38/H38,0)</f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7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7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7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7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7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7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7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7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7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7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7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7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6773</v>
      </c>
      <c r="D2" s="9"/>
      <c r="E2" s="8">
        <f t="shared" ref="E2:R2" si="1">SUM(E5,E11)</f>
        <v>789</v>
      </c>
      <c r="F2" s="8">
        <f t="shared" si="1"/>
        <v>34</v>
      </c>
      <c r="G2" s="10">
        <f t="shared" si="1"/>
        <v>12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2</v>
      </c>
      <c r="M2" s="10">
        <f t="shared" si="1"/>
        <v>26</v>
      </c>
      <c r="N2" s="10">
        <f t="shared" si="1"/>
        <v>3</v>
      </c>
      <c r="O2" s="10">
        <f t="shared" si="1"/>
        <v>2</v>
      </c>
      <c r="P2" s="10">
        <f t="shared" si="1"/>
        <v>5</v>
      </c>
      <c r="Q2" s="10">
        <f t="shared" si="1"/>
        <v>2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1693.25</v>
      </c>
      <c r="F4" s="20">
        <f>IFERROR((G2+R2)/F2,0)</f>
        <v>0.4411764706</v>
      </c>
      <c r="G4" s="20">
        <f>IFERROR(H2/G2,0)</f>
        <v>0.3333333333</v>
      </c>
      <c r="H4" s="19">
        <f>(C2/C4)</f>
        <v>225.7666667</v>
      </c>
      <c r="I4" s="21"/>
      <c r="J4" s="20">
        <f>IFERROR(J2/I2,0)</f>
        <v>0</v>
      </c>
      <c r="K4" s="21"/>
      <c r="L4" s="20">
        <f>IFERROR(L2/K2,0)</f>
        <v>0.25</v>
      </c>
      <c r="M4" s="22">
        <f>IFERROR(M2/G2,0)</f>
        <v>2.166666667</v>
      </c>
      <c r="N4" s="21"/>
      <c r="O4" s="20">
        <f>IFERROR(O2/N2,0)</f>
        <v>0.6666666667</v>
      </c>
      <c r="P4" s="22"/>
      <c r="Q4" s="20">
        <f>IFERROR(Q2/P2,0)</f>
        <v>0.4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2613</v>
      </c>
      <c r="D5" s="26"/>
      <c r="E5" s="27">
        <f>SUMIFS(T:T,A:A,B5,D:D,"Y")</f>
        <v>789</v>
      </c>
      <c r="F5" s="8">
        <f>SUMIF(A:A,B5,G:G)</f>
        <v>18</v>
      </c>
      <c r="G5" s="10">
        <f>SUMIF(A:A,B5,H:H)</f>
        <v>5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16</v>
      </c>
      <c r="N5" s="10">
        <f>SUMIF(A:A,B5,N:N)</f>
        <v>2</v>
      </c>
      <c r="O5" s="10">
        <f>SUMIF(A:A,B5,O:O)</f>
        <v>2</v>
      </c>
      <c r="P5" s="10">
        <f>SUMIF(A:A,B5,J:J)</f>
        <v>1</v>
      </c>
      <c r="Q5" s="10">
        <f>SUMIF(A:A,B5,K:K)</f>
        <v>0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1306.5</v>
      </c>
      <c r="F7" s="20">
        <f>IFERROR((G5+R5)/F5,0)</f>
        <v>0.3888888889</v>
      </c>
      <c r="G7" s="20">
        <f>IFERROR(H5/G5,0)</f>
        <v>0.4</v>
      </c>
      <c r="H7" s="19">
        <f>(C5/C7)</f>
        <v>201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2.285714286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2613</v>
      </c>
      <c r="D8" s="36"/>
      <c r="E8" s="37">
        <f>SUMIFS(T:T,B:B,B8,D:D,"Y")</f>
        <v>789</v>
      </c>
      <c r="F8" s="38">
        <f>SUMIF(B19:B1129,B8,G19:G1129)</f>
        <v>18</v>
      </c>
      <c r="G8" s="39">
        <f>SUMIF(B19:B1129,B8,H19:H1129)</f>
        <v>5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0</v>
      </c>
      <c r="M8" s="39">
        <f>SUMIF(B19:B1129,B8,M19:M1129)</f>
        <v>16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1</v>
      </c>
      <c r="Q8" s="39">
        <f>SUMIF(B19:B1129,B8,K19:K1129)</f>
        <v>0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1306.5</v>
      </c>
      <c r="F10" s="51">
        <f>IFERROR((G8+R8)/F8,0)</f>
        <v>0.3888888889</v>
      </c>
      <c r="G10" s="51">
        <f>IFERROR(H8/G8,0)</f>
        <v>0.4</v>
      </c>
      <c r="H10" s="50">
        <f>(C8/C10)</f>
        <v>217.75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2.285714286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4160</v>
      </c>
      <c r="D11" s="26"/>
      <c r="E11" s="27">
        <f>SUMIFS(T:T,A:A,B11,D:D,"Y")</f>
        <v>0</v>
      </c>
      <c r="F11" s="8">
        <f>SUMIF(A:A,B11,G:G)</f>
        <v>16</v>
      </c>
      <c r="G11" s="10">
        <f>SUMIF(A:A,B11,H:H)</f>
        <v>7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6</v>
      </c>
      <c r="L11" s="10">
        <f>SUMIF(A:A,B11,S:S)</f>
        <v>2</v>
      </c>
      <c r="M11" s="10">
        <f>SUMIF(A:A,B11,M:M)</f>
        <v>10</v>
      </c>
      <c r="N11" s="10">
        <f>SUMIF(A:A,B11,N:N)</f>
        <v>1</v>
      </c>
      <c r="O11" s="10">
        <f>SUMIF(A:A,B11,O:O)</f>
        <v>0</v>
      </c>
      <c r="P11" s="10">
        <f>SUMIF(A:A,B11,J:J)</f>
        <v>4</v>
      </c>
      <c r="Q11" s="10">
        <f>SUMIF(A:A,B11,K:K)</f>
        <v>2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2080</v>
      </c>
      <c r="F13" s="20">
        <f>IFERROR((G11+R11)/F11,0)</f>
        <v>0.5</v>
      </c>
      <c r="G13" s="20">
        <f>IFERROR(H11/G11,0)</f>
        <v>0.2857142857</v>
      </c>
      <c r="H13" s="19">
        <f>(C11/C13)</f>
        <v>244.7058824</v>
      </c>
      <c r="I13" s="21"/>
      <c r="J13" s="20">
        <f>IFERROR(J11/I11,0)</f>
        <v>0</v>
      </c>
      <c r="K13" s="21"/>
      <c r="L13" s="20">
        <f>IFERROR(L11/K11,0)</f>
        <v>0.3333333333</v>
      </c>
      <c r="M13" s="22">
        <f>IFERROR(M11/SUM(R11+G11,0),"")</f>
        <v>1.25</v>
      </c>
      <c r="N13" s="21"/>
      <c r="O13" s="20">
        <f>IFERROR(O11/N11,0)</f>
        <v>0</v>
      </c>
      <c r="P13" s="22"/>
      <c r="Q13" s="20">
        <f>IFERROR(Q11/P11,0)</f>
        <v>0.5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4160</v>
      </c>
      <c r="D14" s="36"/>
      <c r="E14" s="37">
        <f>SUMIFS(T:T,B:B,B14,D:D,"Y")</f>
        <v>0</v>
      </c>
      <c r="F14" s="38">
        <f>SUMIF(B19:B1129,B14,G19:G1129)</f>
        <v>16</v>
      </c>
      <c r="G14" s="39">
        <f>SUMIF(B19:B1129,B14,H19:H1129)</f>
        <v>7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2</v>
      </c>
      <c r="M14" s="39">
        <f>SUMIF(B19:B1129,B14,M19:M1129)</f>
        <v>10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4</v>
      </c>
      <c r="Q14" s="39">
        <f>SUMIF(B19:B1129,B14,K19:K1129)</f>
        <v>2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2080</v>
      </c>
      <c r="F16" s="51">
        <f>IFERROR((G14+R14)/F14,0)</f>
        <v>0.5</v>
      </c>
      <c r="G16" s="51">
        <f>IFERROR(H14/G14,0)</f>
        <v>0.2857142857</v>
      </c>
      <c r="H16" s="50">
        <f>(C14/C16)</f>
        <v>260</v>
      </c>
      <c r="I16" s="46"/>
      <c r="J16" s="51">
        <f>IFERROR(J14/I14,0)</f>
        <v>0</v>
      </c>
      <c r="K16" s="46"/>
      <c r="L16" s="51">
        <f>IFERROR(L14/K14,0)</f>
        <v>0.3333333333</v>
      </c>
      <c r="M16" s="52">
        <f>IFERROR(M14/SUM(G14+R14,0),"")</f>
        <v>1.25</v>
      </c>
      <c r="N16" s="46"/>
      <c r="O16" s="51">
        <f>IFERROR(O14/N14,0)</f>
        <v>0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6.0</v>
      </c>
      <c r="H22" s="105">
        <v>2.0</v>
      </c>
      <c r="I22" s="105">
        <v>1.0</v>
      </c>
      <c r="J22" s="105">
        <v>0.0</v>
      </c>
      <c r="K22" s="105">
        <v>0.0</v>
      </c>
      <c r="L22" s="105">
        <v>0.0</v>
      </c>
      <c r="M22" s="105">
        <v>5.0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789.0</v>
      </c>
      <c r="U22" s="66">
        <f t="shared" si="2"/>
        <v>0.5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3.0</v>
      </c>
      <c r="H24" s="105">
        <v>2.0</v>
      </c>
      <c r="I24" s="105">
        <v>0.0</v>
      </c>
      <c r="J24" s="105">
        <v>0.0</v>
      </c>
      <c r="K24" s="105">
        <v>0.0</v>
      </c>
      <c r="L24" s="105">
        <v>2.0</v>
      </c>
      <c r="M24" s="105">
        <v>6.0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1.333333333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3.0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3.0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2.0</v>
      </c>
      <c r="H31" s="105">
        <v>1.0</v>
      </c>
      <c r="I31" s="105">
        <v>1.0</v>
      </c>
      <c r="J31" s="105">
        <v>1.0</v>
      </c>
      <c r="K31" s="105">
        <v>0.0</v>
      </c>
      <c r="L31" s="105">
        <v>0.0</v>
      </c>
      <c r="M31" s="105">
        <v>5.0</v>
      </c>
      <c r="N31" s="105">
        <v>1.0</v>
      </c>
      <c r="O31" s="105">
        <v>1.0</v>
      </c>
      <c r="P31" s="105">
        <v>0.0</v>
      </c>
      <c r="Q31" s="105">
        <v>0.0</v>
      </c>
      <c r="R31" s="105">
        <v>0.0</v>
      </c>
      <c r="S31" s="105">
        <v>0.0</v>
      </c>
      <c r="T31" s="105">
        <v>1824.0</v>
      </c>
      <c r="U31" s="66">
        <f t="shared" si="2"/>
        <v>1</v>
      </c>
      <c r="V31" s="66">
        <f t="shared" si="3"/>
        <v>0.5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1.0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3.0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1.0</v>
      </c>
      <c r="H39" s="105">
        <v>1.0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1.0</v>
      </c>
      <c r="S39" s="105">
        <v>0.0</v>
      </c>
      <c r="T39" s="105">
        <v>0.0</v>
      </c>
      <c r="U39" s="66">
        <f t="shared" si="4"/>
        <v>0</v>
      </c>
      <c r="V39" s="66">
        <f t="shared" si="5"/>
        <v>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2.0</v>
      </c>
      <c r="H40" s="105">
        <v>2.0</v>
      </c>
      <c r="I40" s="105">
        <v>1.0</v>
      </c>
      <c r="J40" s="105">
        <v>2.0</v>
      </c>
      <c r="K40" s="105">
        <v>1.0</v>
      </c>
      <c r="L40" s="105">
        <v>0.0</v>
      </c>
      <c r="M40" s="105">
        <v>1.0</v>
      </c>
      <c r="N40" s="105">
        <v>0.0</v>
      </c>
      <c r="O40" s="105">
        <v>0.0</v>
      </c>
      <c r="P40" s="105">
        <v>0.0</v>
      </c>
      <c r="Q40" s="105">
        <v>0.0</v>
      </c>
      <c r="R40" s="105">
        <v>2.0</v>
      </c>
      <c r="S40" s="105">
        <v>1.0</v>
      </c>
      <c r="T40" s="105">
        <v>960.0</v>
      </c>
      <c r="U40" s="66">
        <f t="shared" si="4"/>
        <v>0.5</v>
      </c>
      <c r="V40" s="66">
        <f t="shared" si="5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6.0</v>
      </c>
      <c r="H41" s="105">
        <v>2.0</v>
      </c>
      <c r="I41" s="105">
        <v>0.0</v>
      </c>
      <c r="J41" s="105">
        <v>1.0</v>
      </c>
      <c r="K41" s="105">
        <v>0.0</v>
      </c>
      <c r="L41" s="105">
        <v>0.0</v>
      </c>
      <c r="M41" s="105">
        <v>7.0</v>
      </c>
      <c r="N41" s="105">
        <v>1.0</v>
      </c>
      <c r="O41" s="105">
        <v>0.0</v>
      </c>
      <c r="P41" s="105">
        <v>0.0</v>
      </c>
      <c r="Q41" s="105">
        <v>0.0</v>
      </c>
      <c r="R41" s="105">
        <v>1.0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0.3333333333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4.0</v>
      </c>
      <c r="H44" s="105">
        <v>2.0</v>
      </c>
      <c r="I44" s="105">
        <v>1.0</v>
      </c>
      <c r="J44" s="105">
        <v>1.0</v>
      </c>
      <c r="K44" s="105">
        <v>1.0</v>
      </c>
      <c r="L44" s="105">
        <v>1.0</v>
      </c>
      <c r="M44" s="105">
        <v>2.0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3200.0</v>
      </c>
      <c r="U44" s="66">
        <f t="shared" si="4"/>
        <v>0.5</v>
      </c>
      <c r="V44" s="66">
        <f t="shared" si="5"/>
        <v>0.75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28880</v>
      </c>
      <c r="D2" s="9"/>
      <c r="E2" s="8">
        <f t="shared" ref="E2:R2" si="1">SUM(E5,E11)</f>
        <v>8683</v>
      </c>
      <c r="F2" s="8">
        <f t="shared" si="1"/>
        <v>45</v>
      </c>
      <c r="G2" s="10">
        <f t="shared" si="1"/>
        <v>25</v>
      </c>
      <c r="H2" s="10">
        <f t="shared" si="1"/>
        <v>16</v>
      </c>
      <c r="I2" s="10">
        <f t="shared" si="1"/>
        <v>0</v>
      </c>
      <c r="J2" s="10">
        <f t="shared" si="1"/>
        <v>0</v>
      </c>
      <c r="K2" s="10">
        <f t="shared" si="1"/>
        <v>21</v>
      </c>
      <c r="L2" s="10">
        <f t="shared" si="1"/>
        <v>14</v>
      </c>
      <c r="M2" s="10">
        <f t="shared" si="1"/>
        <v>76</v>
      </c>
      <c r="N2" s="10">
        <f t="shared" si="1"/>
        <v>8</v>
      </c>
      <c r="O2" s="10">
        <f t="shared" si="1"/>
        <v>3</v>
      </c>
      <c r="P2" s="10">
        <f t="shared" si="1"/>
        <v>11</v>
      </c>
      <c r="Q2" s="10">
        <f t="shared" si="1"/>
        <v>7</v>
      </c>
      <c r="R2" s="10">
        <f t="shared" si="1"/>
        <v>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1805</v>
      </c>
      <c r="F4" s="20">
        <f>IFERROR((G2+R2)/F2,0)</f>
        <v>0.6666666667</v>
      </c>
      <c r="G4" s="20">
        <f>IFERROR(H2/G2,0)</f>
        <v>0.64</v>
      </c>
      <c r="H4" s="19">
        <f>(C2/C4)</f>
        <v>962.6666667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3.04</v>
      </c>
      <c r="N4" s="21"/>
      <c r="O4" s="20">
        <f>IFERROR(O2/N2,0)</f>
        <v>0.375</v>
      </c>
      <c r="P4" s="22"/>
      <c r="Q4" s="20">
        <f>IFERROR(Q2/P2,0)</f>
        <v>0.6363636364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12797</v>
      </c>
      <c r="D5" s="26"/>
      <c r="E5" s="27">
        <f>SUMIFS(T:T,A:A,B5,D:D,"Y")</f>
        <v>8683</v>
      </c>
      <c r="F5" s="8">
        <f>SUMIF(A:A,B5,G:G)</f>
        <v>24</v>
      </c>
      <c r="G5" s="10">
        <f>SUMIF(A:A,B5,H:H)</f>
        <v>13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13</v>
      </c>
      <c r="L5" s="10">
        <f>SUMIF(A:A,B5,S:S)</f>
        <v>8</v>
      </c>
      <c r="M5" s="10">
        <f>SUMIF(A:A,B5,M:M)</f>
        <v>59</v>
      </c>
      <c r="N5" s="10">
        <f>SUMIF(A:A,B5,N:N)</f>
        <v>4</v>
      </c>
      <c r="O5" s="10">
        <f>SUMIF(A:A,B5,O:O)</f>
        <v>0</v>
      </c>
      <c r="P5" s="10">
        <f>SUMIF(A:A,B5,J:J)</f>
        <v>6</v>
      </c>
      <c r="Q5" s="10">
        <f>SUMIF(A:A,B5,K:K)</f>
        <v>4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1828.142857</v>
      </c>
      <c r="F7" s="20">
        <f>IFERROR((G5+R5)/F5,0)</f>
        <v>0.5833333333</v>
      </c>
      <c r="G7" s="20">
        <f>IFERROR(H5/G5,0)</f>
        <v>0.5384615385</v>
      </c>
      <c r="H7" s="19">
        <f>(C5/C7)</f>
        <v>984.3846154</v>
      </c>
      <c r="I7" s="21"/>
      <c r="J7" s="20">
        <f>IFERROR(J5/I5,0)</f>
        <v>0</v>
      </c>
      <c r="K7" s="21"/>
      <c r="L7" s="20">
        <f>IFERROR(L5/K5,0)</f>
        <v>0.6153846154</v>
      </c>
      <c r="M7" s="22">
        <f>IFERROR(M5/SUM(R5+G5,0),"")</f>
        <v>4.214285714</v>
      </c>
      <c r="N7" s="21"/>
      <c r="O7" s="20">
        <f>IFERROR(O5/N5,0)</f>
        <v>0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12797</v>
      </c>
      <c r="D8" s="36"/>
      <c r="E8" s="37">
        <f>SUMIFS(T:T,B:B,B8,D:D,"Y")</f>
        <v>8683</v>
      </c>
      <c r="F8" s="38">
        <f>SUMIF(B19:B1129,B8,G19:G1129)</f>
        <v>24</v>
      </c>
      <c r="G8" s="39">
        <f>SUMIF(B19:B1129,B8,H19:H1129)</f>
        <v>13</v>
      </c>
      <c r="H8" s="38">
        <f>SUMIF(B19:B1129,B8,I19:I1129)</f>
        <v>7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13</v>
      </c>
      <c r="L8" s="39">
        <f>SUMIF(B19:B1129,B8,S19:S1129)</f>
        <v>8</v>
      </c>
      <c r="M8" s="39">
        <f>SUMIF(B19:B1129,B8,M19:M1129)</f>
        <v>59</v>
      </c>
      <c r="N8" s="39">
        <f>SUMIF(B19:B1129,B8,N19:N1129)</f>
        <v>4</v>
      </c>
      <c r="O8" s="38">
        <f>SUMIF(B19:B1129,B8,O19:O1129)</f>
        <v>0</v>
      </c>
      <c r="P8" s="39">
        <f>SUMIF(B19:B1129,B8,J19:J1129)</f>
        <v>6</v>
      </c>
      <c r="Q8" s="39">
        <f>SUMIF(B19:B1129,B8,K19:K1129)</f>
        <v>4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1828.142857</v>
      </c>
      <c r="F10" s="51">
        <f>IFERROR((G8+R8)/F8,0)</f>
        <v>0.5833333333</v>
      </c>
      <c r="G10" s="51">
        <f>IFERROR(H8/G8,0)</f>
        <v>0.5384615385</v>
      </c>
      <c r="H10" s="50">
        <f>(C8/C10)</f>
        <v>1066.416667</v>
      </c>
      <c r="I10" s="46"/>
      <c r="J10" s="51">
        <f>IFERROR(J8/I8,0)</f>
        <v>0</v>
      </c>
      <c r="K10" s="46"/>
      <c r="L10" s="51">
        <f>IFERROR(L8/K8,0)</f>
        <v>0.6153846154</v>
      </c>
      <c r="M10" s="52">
        <f>IFERROR(M8/SUM(G8+R8,0),"")</f>
        <v>4.214285714</v>
      </c>
      <c r="N10" s="46"/>
      <c r="O10" s="51">
        <f>IFERROR(O8/N8,0)</f>
        <v>0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16083</v>
      </c>
      <c r="D11" s="26"/>
      <c r="E11" s="27">
        <f>SUMIFS(T:T,A:A,B11,D:D,"Y")</f>
        <v>0</v>
      </c>
      <c r="F11" s="8">
        <f>SUMIF(A:A,B11,G:G)</f>
        <v>21</v>
      </c>
      <c r="G11" s="10">
        <f>SUMIF(A:A,B11,H:H)</f>
        <v>12</v>
      </c>
      <c r="H11" s="10">
        <f>SUMIF(A:A,B11,I:I)</f>
        <v>9</v>
      </c>
      <c r="I11" s="10">
        <f>SUMIF(A:A,B11,P:P)</f>
        <v>0</v>
      </c>
      <c r="J11" s="10">
        <f>SUMIF(A:A,B11,Q:Q)</f>
        <v>0</v>
      </c>
      <c r="K11" s="10">
        <f>SUMIF(A:A,B11,R:R)</f>
        <v>8</v>
      </c>
      <c r="L11" s="10">
        <f>SUMIF(A:A,B11,S:S)</f>
        <v>6</v>
      </c>
      <c r="M11" s="10">
        <f>SUMIF(A:A,B11,M:M)</f>
        <v>17</v>
      </c>
      <c r="N11" s="10">
        <f>SUMIF(A:A,B11,N:N)</f>
        <v>4</v>
      </c>
      <c r="O11" s="10">
        <f>SUMIF(A:A,B11,O:O)</f>
        <v>3</v>
      </c>
      <c r="P11" s="10">
        <f>SUMIF(A:A,B11,J:J)</f>
        <v>5</v>
      </c>
      <c r="Q11" s="10">
        <f>SUMIF(A:A,B11,K:K)</f>
        <v>3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1787</v>
      </c>
      <c r="F13" s="20">
        <f>IFERROR((G11+R11)/F11,0)</f>
        <v>0.7619047619</v>
      </c>
      <c r="G13" s="20">
        <f>IFERROR(H11/G11,0)</f>
        <v>0.75</v>
      </c>
      <c r="H13" s="19">
        <f>(C11/C13)</f>
        <v>946.0588235</v>
      </c>
      <c r="I13" s="21"/>
      <c r="J13" s="20">
        <f>IFERROR(J11/I11,0)</f>
        <v>0</v>
      </c>
      <c r="K13" s="21"/>
      <c r="L13" s="20">
        <f>IFERROR(L11/K11,0)</f>
        <v>0.75</v>
      </c>
      <c r="M13" s="22">
        <f>IFERROR(M11/SUM(R11+G11,0),"")</f>
        <v>1.0625</v>
      </c>
      <c r="N13" s="21"/>
      <c r="O13" s="20">
        <f>IFERROR(O11/N11,0)</f>
        <v>0.75</v>
      </c>
      <c r="P13" s="22"/>
      <c r="Q13" s="20">
        <f>IFERROR(Q11/P11,0)</f>
        <v>0.6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16083</v>
      </c>
      <c r="D14" s="36"/>
      <c r="E14" s="37">
        <f>SUMIFS(T:T,B:B,B14,D:D,"Y")</f>
        <v>0</v>
      </c>
      <c r="F14" s="38">
        <f>SUMIF(B19:B1129,B14,G19:G1129)</f>
        <v>21</v>
      </c>
      <c r="G14" s="39">
        <f>SUMIF(B19:B1129,B14,H19:H1129)</f>
        <v>12</v>
      </c>
      <c r="H14" s="38">
        <f>SUMIF(B19:B1129,B14,I19:I1129)</f>
        <v>9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8</v>
      </c>
      <c r="L14" s="39">
        <f>SUMIF(B19:B1129,B14,S19:S1129)</f>
        <v>6</v>
      </c>
      <c r="M14" s="39">
        <f>SUMIF(B19:B1129,B14,M19:M1129)</f>
        <v>17</v>
      </c>
      <c r="N14" s="39">
        <f>SUMIF(B19:B1129,B14,N19:N1129)</f>
        <v>4</v>
      </c>
      <c r="O14" s="38">
        <f>SUMIF(B19:B1129,B14,O19:O1129)</f>
        <v>3</v>
      </c>
      <c r="P14" s="39">
        <f>SUMIF(B19:B1129,B14,J19:J1129)</f>
        <v>5</v>
      </c>
      <c r="Q14" s="39">
        <f>SUMIF(B19:B1129,B14,K19:K1129)</f>
        <v>3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1787</v>
      </c>
      <c r="F16" s="51">
        <f>IFERROR((G14+R14)/F14,0)</f>
        <v>0.7619047619</v>
      </c>
      <c r="G16" s="51">
        <f>IFERROR(H14/G14,0)</f>
        <v>0.75</v>
      </c>
      <c r="H16" s="50">
        <f>(C14/C16)</f>
        <v>1005.1875</v>
      </c>
      <c r="I16" s="46"/>
      <c r="J16" s="51">
        <f>IFERROR(J14/I14,0)</f>
        <v>0</v>
      </c>
      <c r="K16" s="46"/>
      <c r="L16" s="51">
        <f>IFERROR(L14/K14,0)</f>
        <v>0.75</v>
      </c>
      <c r="M16" s="52">
        <f>IFERROR(M14/SUM(G14+R14,0),"")</f>
        <v>1.0625</v>
      </c>
      <c r="N16" s="46"/>
      <c r="O16" s="51">
        <f>IFERROR(O14/N14,0)</f>
        <v>0.75</v>
      </c>
      <c r="P16" s="53"/>
      <c r="Q16" s="51">
        <f>IFERROR(Q14/P14,0)</f>
        <v>0.6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5.0</v>
      </c>
      <c r="H24" s="105">
        <v>4.0</v>
      </c>
      <c r="I24" s="105">
        <v>2.0</v>
      </c>
      <c r="J24" s="105">
        <v>0.0</v>
      </c>
      <c r="K24" s="105">
        <v>0.0</v>
      </c>
      <c r="L24" s="105">
        <v>0.0</v>
      </c>
      <c r="M24" s="105">
        <v>9.0</v>
      </c>
      <c r="N24" s="105">
        <v>0.0</v>
      </c>
      <c r="O24" s="105">
        <v>0.0</v>
      </c>
      <c r="P24" s="105">
        <v>0.0</v>
      </c>
      <c r="Q24" s="105">
        <v>0.0</v>
      </c>
      <c r="R24" s="105">
        <v>4.0</v>
      </c>
      <c r="S24" s="105">
        <v>2.0</v>
      </c>
      <c r="T24" s="105">
        <v>3236.0</v>
      </c>
      <c r="U24" s="66">
        <f t="shared" si="2"/>
        <v>0.5</v>
      </c>
      <c r="V24" s="66">
        <f t="shared" si="3"/>
        <v>0.8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4.0</v>
      </c>
      <c r="H26" s="105">
        <v>3.0</v>
      </c>
      <c r="I26" s="105">
        <v>3.0</v>
      </c>
      <c r="J26" s="105">
        <v>2.0</v>
      </c>
      <c r="K26" s="105">
        <v>2.0</v>
      </c>
      <c r="L26" s="105">
        <v>0.0</v>
      </c>
      <c r="M26" s="105">
        <v>11.0</v>
      </c>
      <c r="N26" s="105">
        <v>0.0</v>
      </c>
      <c r="O26" s="105">
        <v>0.0</v>
      </c>
      <c r="P26" s="105">
        <v>0.0</v>
      </c>
      <c r="Q26" s="105">
        <v>0.0</v>
      </c>
      <c r="R26" s="105">
        <v>3.0</v>
      </c>
      <c r="S26" s="105">
        <v>3.0</v>
      </c>
      <c r="T26" s="105">
        <v>5447.0</v>
      </c>
      <c r="U26" s="66">
        <f t="shared" si="2"/>
        <v>1</v>
      </c>
      <c r="V26" s="66">
        <f t="shared" si="3"/>
        <v>0.75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6.0</v>
      </c>
      <c r="H27" s="105">
        <v>6.0</v>
      </c>
      <c r="I27" s="105">
        <v>2.0</v>
      </c>
      <c r="J27" s="105">
        <v>3.0</v>
      </c>
      <c r="K27" s="105">
        <v>2.0</v>
      </c>
      <c r="L27" s="105">
        <v>1.0</v>
      </c>
      <c r="M27" s="105">
        <v>34.0</v>
      </c>
      <c r="N27" s="105">
        <v>0.0</v>
      </c>
      <c r="O27" s="105">
        <v>0.0</v>
      </c>
      <c r="P27" s="105">
        <v>0.0</v>
      </c>
      <c r="Q27" s="105">
        <v>0.0</v>
      </c>
      <c r="R27" s="105">
        <v>6.0</v>
      </c>
      <c r="S27" s="105">
        <v>2.0</v>
      </c>
      <c r="T27" s="105">
        <v>4114.0</v>
      </c>
      <c r="U27" s="66">
        <f t="shared" si="2"/>
        <v>0.3333333333</v>
      </c>
      <c r="V27" s="66">
        <f t="shared" si="3"/>
        <v>1.166666667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3.0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10">
        <v>0.0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ref="U29:U32" si="4">IFERROR(I29/H29,0)</f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4.0</v>
      </c>
      <c r="H31" s="105">
        <v>0.0</v>
      </c>
      <c r="I31" s="105">
        <v>0.0</v>
      </c>
      <c r="J31" s="105">
        <v>1.0</v>
      </c>
      <c r="K31" s="105">
        <v>0.0</v>
      </c>
      <c r="L31" s="105">
        <v>0.0</v>
      </c>
      <c r="M31" s="105">
        <v>5.0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2.0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4.0</v>
      </c>
      <c r="O32" s="105">
        <v>0.0</v>
      </c>
      <c r="P32" s="105">
        <v>0.0</v>
      </c>
      <c r="Q32" s="105">
        <v>0.0</v>
      </c>
      <c r="R32" s="105">
        <v>0.0</v>
      </c>
      <c r="S32" s="105">
        <v>1.0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4.0</v>
      </c>
      <c r="I37" s="105">
        <v>2.0</v>
      </c>
      <c r="J37" s="105">
        <v>3.0</v>
      </c>
      <c r="K37" s="105">
        <v>1.0</v>
      </c>
      <c r="L37" s="105">
        <v>2.0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4.0</v>
      </c>
      <c r="S37" s="105">
        <v>2.0</v>
      </c>
      <c r="T37" s="105">
        <v>2600.0</v>
      </c>
      <c r="U37" s="110">
        <v>0.0</v>
      </c>
      <c r="V37" s="66">
        <f t="shared" si="6"/>
        <v>1.5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ref="U38:U50" si="7">IFERROR(I38/H38,0)</f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7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1.0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1853.0</v>
      </c>
      <c r="U40" s="66">
        <f t="shared" si="7"/>
        <v>1</v>
      </c>
      <c r="V40" s="66">
        <f t="shared" si="6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8.0</v>
      </c>
      <c r="H41" s="105">
        <v>4.0</v>
      </c>
      <c r="I41" s="105">
        <v>3.0</v>
      </c>
      <c r="J41" s="105">
        <v>0.0</v>
      </c>
      <c r="K41" s="105">
        <v>0.0</v>
      </c>
      <c r="L41" s="105">
        <v>0.0</v>
      </c>
      <c r="M41" s="105">
        <v>10.0</v>
      </c>
      <c r="N41" s="105">
        <v>4.0</v>
      </c>
      <c r="O41" s="105">
        <v>3.0</v>
      </c>
      <c r="P41" s="105">
        <v>0.0</v>
      </c>
      <c r="Q41" s="105">
        <v>0.0</v>
      </c>
      <c r="R41" s="105">
        <v>0.0</v>
      </c>
      <c r="S41" s="105">
        <v>0.0</v>
      </c>
      <c r="T41" s="105">
        <v>4702.0</v>
      </c>
      <c r="U41" s="66">
        <f t="shared" si="7"/>
        <v>0.75</v>
      </c>
      <c r="V41" s="66">
        <f t="shared" si="6"/>
        <v>0.5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7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1.0</v>
      </c>
      <c r="H43" s="105">
        <v>1.0</v>
      </c>
      <c r="I43" s="105">
        <v>1.0</v>
      </c>
      <c r="J43" s="105">
        <v>0.0</v>
      </c>
      <c r="K43" s="105">
        <v>0.0</v>
      </c>
      <c r="L43" s="105">
        <v>0.0</v>
      </c>
      <c r="M43" s="105">
        <v>2.0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2240.0</v>
      </c>
      <c r="U43" s="66">
        <f t="shared" si="7"/>
        <v>1</v>
      </c>
      <c r="V43" s="66">
        <f t="shared" si="6"/>
        <v>1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4.0</v>
      </c>
      <c r="H44" s="105">
        <v>1.0</v>
      </c>
      <c r="I44" s="105">
        <v>1.0</v>
      </c>
      <c r="J44" s="105">
        <v>0.0</v>
      </c>
      <c r="K44" s="105">
        <v>0.0</v>
      </c>
      <c r="L44" s="105">
        <v>2.0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3500.0</v>
      </c>
      <c r="U44" s="66">
        <f t="shared" si="7"/>
        <v>1</v>
      </c>
      <c r="V44" s="66">
        <f t="shared" si="6"/>
        <v>0.75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7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7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7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7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7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3.0</v>
      </c>
      <c r="H50" s="105">
        <v>1.0</v>
      </c>
      <c r="I50" s="105">
        <v>1.0</v>
      </c>
      <c r="J50" s="105">
        <v>1.0</v>
      </c>
      <c r="K50" s="105">
        <v>1.0</v>
      </c>
      <c r="L50" s="105">
        <v>0.0</v>
      </c>
      <c r="M50" s="105">
        <v>5.0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1188.0</v>
      </c>
      <c r="U50" s="66">
        <f t="shared" si="7"/>
        <v>1</v>
      </c>
      <c r="V50" s="66">
        <f t="shared" si="6"/>
        <v>0.3333333333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6"/>
      <c r="B1070" s="106"/>
      <c r="C1070" s="106"/>
      <c r="D1070" s="101"/>
      <c r="E1070" s="106"/>
      <c r="F1070" s="107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9"/>
      <c r="V1070" s="109"/>
    </row>
    <row r="1071" ht="12.75" customHeight="1">
      <c r="A1071" s="106"/>
      <c r="B1071" s="106"/>
      <c r="C1071" s="106"/>
      <c r="D1071" s="101"/>
      <c r="E1071" s="106"/>
      <c r="F1071" s="107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9"/>
      <c r="V1071" s="109"/>
    </row>
    <row r="1072" ht="12.75" customHeight="1">
      <c r="A1072" s="106"/>
      <c r="B1072" s="106"/>
      <c r="C1072" s="106"/>
      <c r="D1072" s="101"/>
      <c r="E1072" s="106"/>
      <c r="F1072" s="107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9"/>
      <c r="V1072" s="109"/>
    </row>
    <row r="1073" ht="12.75" customHeight="1">
      <c r="A1073" s="106"/>
      <c r="B1073" s="106"/>
      <c r="C1073" s="106"/>
      <c r="D1073" s="101"/>
      <c r="E1073" s="106"/>
      <c r="F1073" s="107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9"/>
      <c r="V1073" s="109"/>
    </row>
    <row r="1074" ht="12.75" customHeight="1">
      <c r="A1074" s="106"/>
      <c r="B1074" s="106"/>
      <c r="C1074" s="106"/>
      <c r="D1074" s="101"/>
      <c r="E1074" s="106"/>
      <c r="F1074" s="107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9"/>
      <c r="V1074" s="109"/>
    </row>
    <row r="1075" ht="12.75" customHeight="1">
      <c r="A1075" s="106"/>
      <c r="B1075" s="106"/>
      <c r="C1075" s="106"/>
      <c r="D1075" s="101"/>
      <c r="E1075" s="106"/>
      <c r="F1075" s="107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9"/>
      <c r="V1075" s="109"/>
    </row>
    <row r="1076" ht="12.75" customHeight="1">
      <c r="A1076" s="106"/>
      <c r="B1076" s="106"/>
      <c r="C1076" s="106"/>
      <c r="D1076" s="101"/>
      <c r="E1076" s="106"/>
      <c r="F1076" s="107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9"/>
      <c r="V1076" s="109"/>
    </row>
    <row r="1077" ht="12.75" customHeight="1">
      <c r="A1077" s="106"/>
      <c r="B1077" s="106"/>
      <c r="C1077" s="106"/>
      <c r="D1077" s="101"/>
      <c r="E1077" s="106"/>
      <c r="F1077" s="107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9"/>
      <c r="V1077" s="109"/>
    </row>
    <row r="1078" ht="12.75" customHeight="1">
      <c r="A1078" s="106"/>
      <c r="B1078" s="106"/>
      <c r="C1078" s="106"/>
      <c r="D1078" s="101"/>
      <c r="E1078" s="106"/>
      <c r="F1078" s="107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9"/>
      <c r="V1078" s="109"/>
    </row>
    <row r="1079" ht="12.75" customHeight="1">
      <c r="A1079" s="106"/>
      <c r="B1079" s="106"/>
      <c r="C1079" s="106"/>
      <c r="D1079" s="101"/>
      <c r="E1079" s="106"/>
      <c r="F1079" s="107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9"/>
      <c r="V1079" s="109"/>
    </row>
    <row r="1080" ht="12.75" customHeight="1">
      <c r="A1080" s="106"/>
      <c r="B1080" s="106"/>
      <c r="C1080" s="106"/>
      <c r="D1080" s="101"/>
      <c r="E1080" s="106"/>
      <c r="F1080" s="107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9"/>
      <c r="V1080" s="109"/>
    </row>
    <row r="1081" ht="12.75" customHeight="1">
      <c r="A1081" s="106"/>
      <c r="B1081" s="106"/>
      <c r="C1081" s="106"/>
      <c r="D1081" s="101"/>
      <c r="E1081" s="106"/>
      <c r="F1081" s="107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9"/>
      <c r="V1081" s="109"/>
    </row>
    <row r="1082" ht="12.75" customHeight="1">
      <c r="A1082" s="106"/>
      <c r="B1082" s="106"/>
      <c r="C1082" s="106"/>
      <c r="D1082" s="101"/>
      <c r="E1082" s="106"/>
      <c r="F1082" s="107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9"/>
      <c r="V1082" s="109"/>
    </row>
    <row r="1083" ht="12.75" customHeight="1">
      <c r="A1083" s="106"/>
      <c r="B1083" s="106"/>
      <c r="C1083" s="106"/>
      <c r="D1083" s="101"/>
      <c r="E1083" s="106"/>
      <c r="F1083" s="107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9"/>
      <c r="V1083" s="109"/>
    </row>
    <row r="1084" ht="12.75" customHeight="1">
      <c r="A1084" s="106"/>
      <c r="B1084" s="106"/>
      <c r="C1084" s="106"/>
      <c r="D1084" s="101"/>
      <c r="E1084" s="106"/>
      <c r="F1084" s="107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9"/>
      <c r="V1084" s="109"/>
    </row>
    <row r="1085" ht="12.75" customHeight="1">
      <c r="A1085" s="106"/>
      <c r="B1085" s="106"/>
      <c r="C1085" s="106"/>
      <c r="D1085" s="101"/>
      <c r="E1085" s="106"/>
      <c r="F1085" s="107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9"/>
      <c r="V1085" s="109"/>
    </row>
    <row r="1086" ht="12.75" customHeight="1">
      <c r="A1086" s="106"/>
      <c r="B1086" s="106"/>
      <c r="C1086" s="106"/>
      <c r="D1086" s="101"/>
      <c r="E1086" s="106"/>
      <c r="F1086" s="107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9"/>
      <c r="V1086" s="109"/>
    </row>
    <row r="1087" ht="12.75" customHeight="1">
      <c r="A1087" s="106"/>
      <c r="B1087" s="106"/>
      <c r="C1087" s="106"/>
      <c r="D1087" s="101"/>
      <c r="E1087" s="106"/>
      <c r="F1087" s="107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9"/>
      <c r="V1087" s="109"/>
    </row>
    <row r="1088" ht="12.75" customHeight="1">
      <c r="A1088" s="106"/>
      <c r="B1088" s="106"/>
      <c r="C1088" s="106"/>
      <c r="D1088" s="101"/>
      <c r="E1088" s="106"/>
      <c r="F1088" s="107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9"/>
      <c r="V1088" s="109"/>
    </row>
    <row r="1089" ht="12.75" customHeight="1">
      <c r="A1089" s="106"/>
      <c r="B1089" s="106"/>
      <c r="C1089" s="106"/>
      <c r="D1089" s="101"/>
      <c r="E1089" s="106"/>
      <c r="F1089" s="107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9"/>
      <c r="V1089" s="109"/>
    </row>
    <row r="1090" ht="12.75" customHeight="1">
      <c r="A1090" s="106"/>
      <c r="B1090" s="106"/>
      <c r="C1090" s="106"/>
      <c r="D1090" s="101"/>
      <c r="E1090" s="106"/>
      <c r="F1090" s="107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9"/>
      <c r="V1090" s="109"/>
    </row>
    <row r="1091" ht="12.75" customHeight="1">
      <c r="A1091" s="106"/>
      <c r="B1091" s="106"/>
      <c r="C1091" s="106"/>
      <c r="D1091" s="101"/>
      <c r="E1091" s="106"/>
      <c r="F1091" s="107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9"/>
      <c r="V1091" s="109"/>
    </row>
    <row r="1092" ht="12.75" customHeight="1">
      <c r="A1092" s="106"/>
      <c r="B1092" s="106"/>
      <c r="C1092" s="106"/>
      <c r="D1092" s="101"/>
      <c r="E1092" s="106"/>
      <c r="F1092" s="107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9"/>
      <c r="V1092" s="109"/>
    </row>
    <row r="1093" ht="12.75" customHeight="1">
      <c r="A1093" s="106"/>
      <c r="B1093" s="106"/>
      <c r="C1093" s="106"/>
      <c r="D1093" s="101"/>
      <c r="E1093" s="106"/>
      <c r="F1093" s="107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9"/>
      <c r="V1093" s="109"/>
    </row>
    <row r="1094" ht="12.75" customHeight="1">
      <c r="A1094" s="106"/>
      <c r="B1094" s="106"/>
      <c r="C1094" s="106"/>
      <c r="D1094" s="101"/>
      <c r="E1094" s="106"/>
      <c r="F1094" s="107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9"/>
      <c r="V1094" s="109"/>
    </row>
    <row r="1095" ht="12.75" customHeight="1">
      <c r="A1095" s="106"/>
      <c r="B1095" s="106"/>
      <c r="C1095" s="106"/>
      <c r="D1095" s="101"/>
      <c r="E1095" s="106"/>
      <c r="F1095" s="107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9"/>
      <c r="V1095" s="109"/>
    </row>
    <row r="1096" ht="12.75" customHeight="1">
      <c r="A1096" s="106"/>
      <c r="B1096" s="106"/>
      <c r="C1096" s="106"/>
      <c r="D1096" s="101"/>
      <c r="E1096" s="106"/>
      <c r="F1096" s="107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9"/>
      <c r="V1096" s="109"/>
    </row>
    <row r="1097" ht="12.75" customHeight="1">
      <c r="A1097" s="106"/>
      <c r="B1097" s="106"/>
      <c r="C1097" s="106"/>
      <c r="D1097" s="101"/>
      <c r="E1097" s="106"/>
      <c r="F1097" s="107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9"/>
      <c r="V1097" s="109"/>
    </row>
    <row r="1098" ht="12.75" customHeight="1">
      <c r="A1098" s="106"/>
      <c r="B1098" s="106"/>
      <c r="C1098" s="106"/>
      <c r="D1098" s="101"/>
      <c r="E1098" s="106"/>
      <c r="F1098" s="107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9"/>
      <c r="V1098" s="109"/>
    </row>
    <row r="1099" ht="12.75" customHeight="1">
      <c r="A1099" s="106"/>
      <c r="B1099" s="106"/>
      <c r="C1099" s="106"/>
      <c r="D1099" s="101"/>
      <c r="E1099" s="106"/>
      <c r="F1099" s="107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9"/>
      <c r="V1099" s="109"/>
    </row>
    <row r="1100" ht="12.75" customHeight="1">
      <c r="A1100" s="106"/>
      <c r="B1100" s="106"/>
      <c r="C1100" s="106"/>
      <c r="D1100" s="101"/>
      <c r="E1100" s="106"/>
      <c r="F1100" s="107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9"/>
      <c r="V1100" s="109"/>
    </row>
    <row r="1101" ht="12.75" customHeight="1">
      <c r="A1101" s="106"/>
      <c r="B1101" s="106"/>
      <c r="C1101" s="106"/>
      <c r="D1101" s="101"/>
      <c r="E1101" s="106"/>
      <c r="F1101" s="107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9"/>
      <c r="V1101" s="109"/>
    </row>
    <row r="1102" ht="12.75" customHeight="1">
      <c r="A1102" s="106"/>
      <c r="B1102" s="106"/>
      <c r="C1102" s="106"/>
      <c r="D1102" s="101"/>
      <c r="E1102" s="106"/>
      <c r="F1102" s="107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9"/>
      <c r="V1102" s="109"/>
    </row>
    <row r="1103" ht="12.75" customHeight="1">
      <c r="A1103" s="106"/>
      <c r="B1103" s="106"/>
      <c r="C1103" s="106"/>
      <c r="D1103" s="101"/>
      <c r="E1103" s="106"/>
      <c r="F1103" s="107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9"/>
      <c r="V1103" s="109"/>
    </row>
    <row r="1104" ht="12.75" customHeight="1">
      <c r="A1104" s="106"/>
      <c r="B1104" s="106"/>
      <c r="C1104" s="106"/>
      <c r="D1104" s="101"/>
      <c r="E1104" s="106"/>
      <c r="F1104" s="107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9"/>
      <c r="V1104" s="109"/>
    </row>
    <row r="1105" ht="12.75" customHeight="1">
      <c r="A1105" s="106"/>
      <c r="B1105" s="106"/>
      <c r="C1105" s="106"/>
      <c r="D1105" s="101"/>
      <c r="E1105" s="106"/>
      <c r="F1105" s="107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9"/>
      <c r="V1105" s="109"/>
    </row>
    <row r="1106" ht="12.75" customHeight="1">
      <c r="A1106" s="106"/>
      <c r="B1106" s="106"/>
      <c r="C1106" s="106"/>
      <c r="D1106" s="101"/>
      <c r="E1106" s="106"/>
      <c r="F1106" s="107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9"/>
      <c r="V1106" s="109"/>
    </row>
    <row r="1107" ht="12.75" customHeight="1">
      <c r="A1107" s="106"/>
      <c r="B1107" s="106"/>
      <c r="C1107" s="106"/>
      <c r="D1107" s="101"/>
      <c r="E1107" s="106"/>
      <c r="F1107" s="107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9"/>
      <c r="V1107" s="109"/>
    </row>
    <row r="1108" ht="12.75" customHeight="1">
      <c r="A1108" s="106"/>
      <c r="B1108" s="106"/>
      <c r="C1108" s="106"/>
      <c r="D1108" s="101"/>
      <c r="E1108" s="106"/>
      <c r="F1108" s="107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9"/>
      <c r="V1108" s="109"/>
    </row>
    <row r="1109" ht="12.75" customHeight="1">
      <c r="A1109" s="106"/>
      <c r="B1109" s="106"/>
      <c r="C1109" s="106"/>
      <c r="D1109" s="101"/>
      <c r="E1109" s="106"/>
      <c r="F1109" s="107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9"/>
      <c r="V1109" s="109"/>
    </row>
    <row r="1110" ht="12.75" customHeight="1">
      <c r="A1110" s="106"/>
      <c r="B1110" s="106"/>
      <c r="C1110" s="106"/>
      <c r="D1110" s="101"/>
      <c r="E1110" s="106"/>
      <c r="F1110" s="107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9"/>
      <c r="V1110" s="109"/>
    </row>
    <row r="1111" ht="12.75" customHeight="1">
      <c r="A1111" s="106"/>
      <c r="B1111" s="106"/>
      <c r="C1111" s="106"/>
      <c r="D1111" s="101"/>
      <c r="E1111" s="106"/>
      <c r="F1111" s="107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9"/>
      <c r="V1111" s="109"/>
    </row>
    <row r="1112" ht="12.75" customHeight="1">
      <c r="A1112" s="106"/>
      <c r="B1112" s="106"/>
      <c r="C1112" s="106"/>
      <c r="D1112" s="101"/>
      <c r="E1112" s="106"/>
      <c r="F1112" s="107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9"/>
      <c r="V1112" s="109"/>
    </row>
    <row r="1113" ht="12.75" customHeight="1">
      <c r="A1113" s="106"/>
      <c r="B1113" s="106"/>
      <c r="C1113" s="106"/>
      <c r="D1113" s="101"/>
      <c r="E1113" s="106"/>
      <c r="F1113" s="107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9"/>
      <c r="V1113" s="109"/>
    </row>
    <row r="1114" ht="12.75" customHeight="1">
      <c r="A1114" s="106"/>
      <c r="B1114" s="106"/>
      <c r="C1114" s="106"/>
      <c r="D1114" s="101"/>
      <c r="E1114" s="106"/>
      <c r="F1114" s="107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9"/>
      <c r="V1114" s="109"/>
    </row>
    <row r="1115" ht="12.75" customHeight="1">
      <c r="A1115" s="106"/>
      <c r="B1115" s="106"/>
      <c r="C1115" s="106"/>
      <c r="D1115" s="101"/>
      <c r="E1115" s="106"/>
      <c r="F1115" s="107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9"/>
      <c r="V1115" s="109"/>
    </row>
    <row r="1116" ht="12.75" customHeight="1">
      <c r="A1116" s="106"/>
      <c r="B1116" s="106"/>
      <c r="C1116" s="106"/>
      <c r="D1116" s="101"/>
      <c r="E1116" s="106"/>
      <c r="F1116" s="107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9"/>
      <c r="V1116" s="109"/>
    </row>
    <row r="1117" ht="12.75" customHeight="1">
      <c r="A1117" s="106"/>
      <c r="B1117" s="106"/>
      <c r="C1117" s="106"/>
      <c r="D1117" s="101"/>
      <c r="E1117" s="106"/>
      <c r="F1117" s="107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9"/>
      <c r="V1117" s="109"/>
    </row>
    <row r="1118" ht="12.75" customHeight="1">
      <c r="A1118" s="106"/>
      <c r="B1118" s="106"/>
      <c r="C1118" s="106"/>
      <c r="D1118" s="101"/>
      <c r="E1118" s="106"/>
      <c r="F1118" s="107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9"/>
      <c r="V1118" s="109"/>
    </row>
    <row r="1119" ht="12.75" customHeight="1">
      <c r="A1119" s="106"/>
      <c r="B1119" s="106"/>
      <c r="C1119" s="106"/>
      <c r="D1119" s="101"/>
      <c r="E1119" s="106"/>
      <c r="F1119" s="107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9"/>
      <c r="V1119" s="109"/>
    </row>
    <row r="1120" ht="12.75" customHeight="1">
      <c r="A1120" s="106"/>
      <c r="B1120" s="106"/>
      <c r="C1120" s="106"/>
      <c r="D1120" s="101"/>
      <c r="E1120" s="106"/>
      <c r="F1120" s="107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9"/>
      <c r="V1120" s="109"/>
    </row>
    <row r="1121" ht="12.75" customHeight="1">
      <c r="A1121" s="106"/>
      <c r="B1121" s="106"/>
      <c r="C1121" s="106"/>
      <c r="D1121" s="101"/>
      <c r="E1121" s="106"/>
      <c r="F1121" s="107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9"/>
      <c r="V1121" s="109"/>
    </row>
    <row r="1122" ht="12.75" customHeight="1">
      <c r="A1122" s="106"/>
      <c r="B1122" s="106"/>
      <c r="C1122" s="106"/>
      <c r="D1122" s="101"/>
      <c r="E1122" s="106"/>
      <c r="F1122" s="107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9"/>
      <c r="V1122" s="109"/>
    </row>
    <row r="1123" ht="12.75" customHeight="1">
      <c r="A1123" s="106"/>
      <c r="B1123" s="106"/>
      <c r="C1123" s="106"/>
      <c r="D1123" s="101"/>
      <c r="E1123" s="106"/>
      <c r="F1123" s="107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9"/>
      <c r="V1123" s="109"/>
    </row>
    <row r="1124" ht="12.75" customHeight="1">
      <c r="A1124" s="106"/>
      <c r="B1124" s="106"/>
      <c r="C1124" s="106"/>
      <c r="D1124" s="101"/>
      <c r="E1124" s="106"/>
      <c r="F1124" s="107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9"/>
      <c r="V1124" s="109"/>
    </row>
    <row r="1125" ht="12.75" customHeight="1">
      <c r="A1125" s="106"/>
      <c r="B1125" s="106"/>
      <c r="C1125" s="106"/>
      <c r="D1125" s="101"/>
      <c r="E1125" s="106"/>
      <c r="F1125" s="107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9"/>
      <c r="V1125" s="109"/>
    </row>
    <row r="1126" ht="12.75" customHeight="1">
      <c r="A1126" s="106"/>
      <c r="B1126" s="106"/>
      <c r="C1126" s="106"/>
      <c r="D1126" s="101"/>
      <c r="E1126" s="106"/>
      <c r="F1126" s="107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9"/>
      <c r="V1126" s="109"/>
    </row>
    <row r="1127" ht="12.75" customHeight="1">
      <c r="A1127" s="106"/>
      <c r="B1127" s="106"/>
      <c r="C1127" s="106"/>
      <c r="D1127" s="101"/>
      <c r="E1127" s="106"/>
      <c r="F1127" s="107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9"/>
      <c r="V1127" s="109"/>
    </row>
    <row r="1128" ht="12.75" customHeight="1">
      <c r="A1128" s="106"/>
      <c r="B1128" s="106"/>
      <c r="C1128" s="106"/>
      <c r="D1128" s="101"/>
      <c r="E1128" s="106"/>
      <c r="F1128" s="107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9"/>
      <c r="V1128" s="109"/>
    </row>
    <row r="1129" ht="12.75" customHeight="1">
      <c r="A1129" s="106"/>
      <c r="B1129" s="106"/>
      <c r="C1129" s="106"/>
      <c r="D1129" s="101"/>
      <c r="E1129" s="106"/>
      <c r="F1129" s="107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9"/>
      <c r="V1129" s="10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2" t="s">
        <v>78</v>
      </c>
      <c r="B1" s="112" t="s">
        <v>79</v>
      </c>
      <c r="C1" s="112" t="s">
        <v>30</v>
      </c>
      <c r="D1" s="112" t="s">
        <v>80</v>
      </c>
      <c r="E1" s="112" t="s">
        <v>0</v>
      </c>
      <c r="F1" s="112" t="s">
        <v>81</v>
      </c>
      <c r="G1" s="112" t="s">
        <v>82</v>
      </c>
      <c r="H1" s="112" t="s">
        <v>83</v>
      </c>
      <c r="I1" s="112" t="s">
        <v>84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>
      <c r="A2" s="114" t="s">
        <v>85</v>
      </c>
      <c r="B2" s="114" t="s">
        <v>86</v>
      </c>
      <c r="C2" s="114" t="s">
        <v>87</v>
      </c>
      <c r="D2" s="115">
        <v>46085.0</v>
      </c>
      <c r="E2" s="114">
        <v>889.8</v>
      </c>
      <c r="F2" s="114" t="s">
        <v>88</v>
      </c>
      <c r="G2" s="114" t="s">
        <v>89</v>
      </c>
      <c r="H2" s="114" t="s">
        <v>90</v>
      </c>
      <c r="I2" s="114" t="s">
        <v>91</v>
      </c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>
      <c r="A3" s="114" t="s">
        <v>92</v>
      </c>
      <c r="B3" s="114" t="s">
        <v>86</v>
      </c>
      <c r="C3" s="114" t="s">
        <v>87</v>
      </c>
      <c r="D3" s="115">
        <v>46085.0</v>
      </c>
      <c r="E3" s="114">
        <v>1013.16</v>
      </c>
      <c r="F3" s="114" t="s">
        <v>88</v>
      </c>
      <c r="G3" s="114" t="s">
        <v>89</v>
      </c>
      <c r="H3" s="114" t="s">
        <v>93</v>
      </c>
      <c r="I3" s="114" t="s">
        <v>94</v>
      </c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>
      <c r="A4" s="114" t="s">
        <v>95</v>
      </c>
      <c r="B4" s="114" t="s">
        <v>86</v>
      </c>
      <c r="C4" s="114" t="s">
        <v>87</v>
      </c>
      <c r="D4" s="115">
        <v>46090.0</v>
      </c>
      <c r="E4" s="114">
        <v>1156.68</v>
      </c>
      <c r="F4" s="114" t="s">
        <v>88</v>
      </c>
      <c r="G4" s="114" t="s">
        <v>89</v>
      </c>
      <c r="H4" s="114" t="s">
        <v>96</v>
      </c>
      <c r="I4" s="114" t="s">
        <v>97</v>
      </c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</row>
    <row r="5">
      <c r="A5" s="114" t="s">
        <v>98</v>
      </c>
      <c r="B5" s="114" t="s">
        <v>86</v>
      </c>
      <c r="C5" s="114" t="s">
        <v>87</v>
      </c>
      <c r="D5" s="115">
        <v>46091.0</v>
      </c>
      <c r="E5" s="114">
        <v>2443.44</v>
      </c>
      <c r="F5" s="114" t="s">
        <v>88</v>
      </c>
      <c r="G5" s="114" t="s">
        <v>89</v>
      </c>
      <c r="H5" s="114" t="s">
        <v>99</v>
      </c>
      <c r="I5" s="114" t="s">
        <v>91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</row>
    <row r="6">
      <c r="A6" s="114" t="s">
        <v>100</v>
      </c>
      <c r="B6" s="114" t="s">
        <v>101</v>
      </c>
      <c r="C6" s="114" t="s">
        <v>102</v>
      </c>
      <c r="D6" s="115">
        <v>46088.0</v>
      </c>
      <c r="E6" s="114">
        <v>2627.88</v>
      </c>
      <c r="F6" s="114" t="s">
        <v>88</v>
      </c>
      <c r="G6" s="114" t="s">
        <v>89</v>
      </c>
      <c r="H6" s="114" t="s">
        <v>103</v>
      </c>
      <c r="I6" s="114" t="s">
        <v>91</v>
      </c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</row>
    <row r="7">
      <c r="A7" s="114" t="s">
        <v>104</v>
      </c>
      <c r="B7" s="114" t="s">
        <v>105</v>
      </c>
      <c r="C7" s="114" t="s">
        <v>102</v>
      </c>
      <c r="D7" s="115">
        <v>46091.0</v>
      </c>
      <c r="E7" s="114">
        <v>2238.72</v>
      </c>
      <c r="F7" s="114" t="s">
        <v>88</v>
      </c>
      <c r="G7" s="114" t="s">
        <v>106</v>
      </c>
      <c r="H7" s="114" t="s">
        <v>107</v>
      </c>
      <c r="I7" s="114" t="s">
        <v>91</v>
      </c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</row>
    <row r="8">
      <c r="A8" s="114" t="s">
        <v>108</v>
      </c>
      <c r="B8" s="114" t="s">
        <v>105</v>
      </c>
      <c r="C8" s="114" t="s">
        <v>102</v>
      </c>
      <c r="D8" s="115">
        <v>46091.0</v>
      </c>
      <c r="E8" s="114">
        <v>3295.32</v>
      </c>
      <c r="F8" s="114" t="s">
        <v>88</v>
      </c>
      <c r="G8" s="114" t="s">
        <v>106</v>
      </c>
      <c r="H8" s="114" t="s">
        <v>109</v>
      </c>
      <c r="I8" s="114" t="s">
        <v>91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</row>
    <row r="9">
      <c r="A9" s="114" t="s">
        <v>110</v>
      </c>
      <c r="B9" s="114" t="s">
        <v>111</v>
      </c>
      <c r="C9" s="114" t="s">
        <v>102</v>
      </c>
      <c r="D9" s="115">
        <v>46091.0</v>
      </c>
      <c r="E9" s="114">
        <v>2063.28</v>
      </c>
      <c r="F9" s="114" t="s">
        <v>88</v>
      </c>
      <c r="G9" s="114" t="s">
        <v>89</v>
      </c>
      <c r="H9" s="114" t="s">
        <v>112</v>
      </c>
      <c r="I9" s="114" t="s">
        <v>91</v>
      </c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</row>
    <row r="10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</row>
    <row r="1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</row>
  </sheetData>
  <drawing r:id="rId1"/>
</worksheet>
</file>