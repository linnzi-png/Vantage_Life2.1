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<sst xmlns="http://schemas.openxmlformats.org/spreadsheetml/2006/main" count="2941" uniqueCount="113">
  <si>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</si>
  <si>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</si>
  <si>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</si>
  <si>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</si>
  <si>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</si>
  <si>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</si>
  <si>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</si>
  <si>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</si>
  <si>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</si>
  <si>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</si>
  <si>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</si>
  <si>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</si>
  <si>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</si>
  <si>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</si>
  <si>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</si>
  <si>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</si>
  <si>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</si>
  <si>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</si>
  <si>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</si>
  <si>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</si>
  <si>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</si>
  <si>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</si>
  <si>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</si>
  <si>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</si>
  <si>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</si>
  <si>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</si>
  <si>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</si>
  <si>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</si>
  <si>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</si>
  <si>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</si>
  <si>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</si>
  <si>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</si>
  <si>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</si>
  <si>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</si>
  <si>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</si>
  <si>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</si>
  <si>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</si>
  <si>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</si>
  <si>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</si>
  <si>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</si>
  <si>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</si>
  <si>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</si>
  <si>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</si>
  <si>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</si>
  <si>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</si>
  <si>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</si>
  <si>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</si>
  <si>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</si>
  <si>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</si>
  <si>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</si>
  <si>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</si>
  <si>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</si>
  <si>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</si>
  <si>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Gabriel Alsheeblawy</t>
  </si>
  <si>
    <t>Ali Alameedi</t>
  </si>
  <si>
    <t>Mohamad-Ali Alwatan</t>
  </si>
  <si>
    <t>Ali Alwatan</t>
  </si>
  <si>
    <t>Korey Mucchiello</t>
  </si>
  <si>
    <t>LA</t>
  </si>
  <si>
    <t>Reiss Dupuis</t>
  </si>
  <si>
    <t>Sabrina Leu</t>
  </si>
  <si>
    <t>Tolu Alualu</t>
  </si>
  <si>
    <t>Sunshine Faimalo</t>
  </si>
  <si>
    <t>Salai Alualu</t>
  </si>
  <si>
    <t>Tamasailau Leutele</t>
  </si>
  <si>
    <t>Ali Hammoud</t>
  </si>
  <si>
    <t>Mehdi Elkhatib</t>
  </si>
  <si>
    <t>Ali Chahine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</si>
  <si>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</si>
  <si>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</si>
  <si>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</si>
  <si>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</si>
  <si>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</si>
  <si>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</si>
  <si>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</si>
  <si>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</si>
  <si>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</si>
  <si>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CO</t>
  </si>
  <si>
    <t>Shibil Mahdawe</t>
  </si>
  <si>
    <t>NC</t>
  </si>
  <si>
    <t>Amy Conner</t>
  </si>
  <si>
    <t>Omran Daher</t>
  </si>
  <si>
    <t>Ali Haidar</t>
  </si>
  <si>
    <t>Mohammad Darwish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</si>
  <si>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</si>
  <si>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</si>
  <si>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</si>
  <si>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</si>
  <si>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</si>
  <si>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</si>
  <si>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</si>
  <si>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SHIBIL MAHDAWE</t>
  </si>
  <si>
    <t>FATEN ELGHARABAWI</t>
  </si>
  <si>
    <t>SAAD</t>
  </si>
  <si>
    <t>N/A</t>
  </si>
  <si>
    <t>NO</t>
  </si>
  <si>
    <t>CANCEL PER ALI SAAD</t>
  </si>
  <si>
    <t xml:space="preserve">LS </t>
  </si>
  <si>
    <t>TAMMY HAYS</t>
  </si>
  <si>
    <t>MOHAMMAD SAAD</t>
  </si>
  <si>
    <t xml:space="preserve">CANCEL PER APPLICANT. </t>
  </si>
  <si>
    <t>ANGEL OROZCO</t>
  </si>
  <si>
    <t>MOHAMADALI ALWATAN</t>
  </si>
  <si>
    <t>ALWATAN</t>
  </si>
  <si>
    <t>CANCEL PER AGENT REQ.</t>
  </si>
  <si>
    <t>FL</t>
  </si>
  <si>
    <t>ROBERT SIMPSON</t>
  </si>
  <si>
    <t>CLIENT STATED HE CANCELLED WITH HIS REP LATER THE SAME DAY THAT HE ENROLLED.</t>
  </si>
  <si>
    <t>MARTHA GONZALEZ</t>
  </si>
  <si>
    <t>MIKE ALWATAN</t>
  </si>
  <si>
    <t>ISAIAH ANDERSEN</t>
  </si>
  <si>
    <t>MEHDI ELKHATIB</t>
  </si>
  <si>
    <t>LISA MADE NOTE THAT THE CLIENT WANTED TO TOUCH BASE W AGENT AGAIN REGARDING PREM. AGENT ADVISED A CANCELLATION.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</si>
</sst>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"/>
    <numFmt numFmtId="166" formatCode="m/d/yy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3" fillId="6" fontId="2" numFmtId="9" xfId="0" applyAlignment="1" applyBorder="1" applyFont="1" applyNumberFormat="1">
      <alignment horizontal="right" readingOrder="0"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3" fillId="3" fontId="4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3" fillId="0" fontId="9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3" fontId="4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3" fillId="0" fontId="10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1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11" numFmtId="0" xfId="0" applyAlignment="1" applyBorder="1" applyFont="1">
      <alignment vertical="center"/>
    </xf>
    <xf borderId="1" fillId="4" fontId="10" numFmtId="0" xfId="0" applyAlignment="1" applyBorder="1" applyFont="1">
      <alignment shrinkToFit="0" vertical="bottom" wrapText="1"/>
    </xf>
    <xf borderId="3" fillId="4" fontId="10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vertical="center"/>
    </xf>
    <xf borderId="4" fillId="0" fontId="9" numFmtId="0" xfId="0" applyAlignment="1" applyBorder="1" applyFont="1">
      <alignment shrinkToFit="0" vertical="bottom" wrapText="1"/>
    </xf>
    <xf borderId="1" fillId="5" fontId="1" numFmtId="3" xfId="0" applyAlignment="1" applyBorder="1" applyFont="1" applyNumberFormat="1">
      <alignment readingOrder="0" vertical="center"/>
    </xf>
    <xf borderId="3" fillId="6" fontId="7" numFmtId="9" xfId="0" applyAlignment="1" applyBorder="1" applyFont="1" applyNumberFormat="1">
      <alignment horizontal="right" readingOrder="0" vertical="center"/>
    </xf>
    <xf borderId="3" fillId="4" fontId="9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vertical="bottom"/>
    </xf>
    <xf borderId="3" fillId="4" fontId="10" numFmtId="0" xfId="0" applyAlignment="1" applyBorder="1" applyFont="1">
      <alignment shrinkToFit="0" vertical="center" wrapText="1"/>
    </xf>
    <xf borderId="3" fillId="0" fontId="1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3" fillId="3" fontId="4" numFmtId="0" xfId="0" applyAlignment="1" applyBorder="1" applyFont="1">
      <alignment vertical="center"/>
    </xf>
    <xf borderId="4" fillId="4" fontId="10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1" fillId="5" fontId="1" numFmtId="3" xfId="0" applyAlignment="1" applyBorder="1" applyFont="1" applyNumberFormat="1">
      <alignment horizontal="right" readingOrder="0" vertical="center"/>
    </xf>
    <xf borderId="1" fillId="5" fontId="1" numFmtId="3" xfId="0" applyAlignment="1" applyBorder="1" applyFont="1" applyNumberFormat="1">
      <alignment horizontal="right"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5" numFmtId="165" xfId="0" applyAlignment="1" applyFont="1" applyNumberFormat="1">
      <alignment readingOrder="0" vertical="center"/>
    </xf>
    <xf borderId="0" fillId="0" fontId="15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37666</v>
      </c>
      <c r="D2" s="9"/>
      <c r="E2" s="8">
        <f t="shared" ref="E2:R2" si="1">SUM(E5,E11)</f>
        <v>6546</v>
      </c>
      <c r="F2" s="8">
        <f t="shared" si="1"/>
        <v>85</v>
      </c>
      <c r="G2" s="10">
        <f t="shared" si="1"/>
        <v>45</v>
      </c>
      <c r="H2" s="10">
        <f t="shared" si="1"/>
        <v>25</v>
      </c>
      <c r="I2" s="10">
        <f t="shared" si="1"/>
        <v>0</v>
      </c>
      <c r="J2" s="10">
        <f t="shared" si="1"/>
        <v>0</v>
      </c>
      <c r="K2" s="10">
        <f t="shared" si="1"/>
        <v>35</v>
      </c>
      <c r="L2" s="10">
        <f t="shared" si="1"/>
        <v>19</v>
      </c>
      <c r="M2" s="10">
        <f t="shared" si="1"/>
        <v>150</v>
      </c>
      <c r="N2" s="10">
        <f t="shared" si="1"/>
        <v>4</v>
      </c>
      <c r="O2" s="10">
        <f t="shared" si="1"/>
        <v>3</v>
      </c>
      <c r="P2" s="10">
        <f t="shared" si="1"/>
        <v>30</v>
      </c>
      <c r="Q2" s="10">
        <f t="shared" si="1"/>
        <v>18</v>
      </c>
      <c r="R2" s="10">
        <f t="shared" si="1"/>
        <v>15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1506.64</v>
      </c>
      <c r="F4" s="20">
        <f>IFERROR((G2+R2)/F2,0)</f>
        <v>0.7058823529</v>
      </c>
      <c r="G4" s="20">
        <f>IFERROR(H2/G2,0)</f>
        <v>0.5555555556</v>
      </c>
      <c r="H4" s="19">
        <f>(C2/C4)</f>
        <v>1046.277778</v>
      </c>
      <c r="I4" s="21"/>
      <c r="J4" s="20">
        <f>IFERROR(J2/I2,0)</f>
        <v>0</v>
      </c>
      <c r="K4" s="21"/>
      <c r="L4" s="20">
        <f>IFERROR(L2/K2,0)</f>
        <v>0.5428571429</v>
      </c>
      <c r="M4" s="22">
        <f>IFERROR(M2/G2,0)</f>
        <v>3.333333333</v>
      </c>
      <c r="N4" s="21"/>
      <c r="O4" s="20">
        <f>IFERROR(O2/N2,0)</f>
        <v>0.75</v>
      </c>
      <c r="P4" s="22"/>
      <c r="Q4" s="20">
        <f>IFERROR(Q2/P2,0)</f>
        <v>0.6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9332</v>
      </c>
      <c r="D5" s="26"/>
      <c r="E5" s="27">
        <f>SUMIFS(T:T,A:A,B5,D:D,"Y")</f>
        <v>6546</v>
      </c>
      <c r="F5" s="8">
        <f>SUMIF(A:A,B5,G:G)</f>
        <v>28</v>
      </c>
      <c r="G5" s="10">
        <f>SUMIF(A:A,B5,H:H)</f>
        <v>18</v>
      </c>
      <c r="H5" s="10">
        <f>SUMIF(A:A,B5,I:I)</f>
        <v>8</v>
      </c>
      <c r="I5" s="10">
        <f>SUMIF(A:A,B5,P:P)</f>
        <v>0</v>
      </c>
      <c r="J5" s="10">
        <f>SUMIF(A:A,B5,Q:Q)</f>
        <v>0</v>
      </c>
      <c r="K5" s="10">
        <f>SUMIF(A:A,B5,R:R)</f>
        <v>12</v>
      </c>
      <c r="L5" s="10">
        <f>SUMIF(A:A,B5,S:S)</f>
        <v>5</v>
      </c>
      <c r="M5" s="10">
        <f>SUMIF(A:A,B5,M:M)</f>
        <v>117</v>
      </c>
      <c r="N5" s="10">
        <f>SUMIF(A:A,B5,N:N)</f>
        <v>3</v>
      </c>
      <c r="O5" s="10">
        <f>SUMIF(A:A,B5,O:O)</f>
        <v>2</v>
      </c>
      <c r="P5" s="10">
        <f>SUMIF(A:A,B5,J:J)</f>
        <v>15</v>
      </c>
      <c r="Q5" s="10">
        <f>SUMIF(A:A,B5,K:K)</f>
        <v>6</v>
      </c>
      <c r="R5" s="10">
        <f>SUMIF(A:A,B5,L:L)</f>
        <v>10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1166.5</v>
      </c>
      <c r="F7" s="20">
        <f>IFERROR((G5+R5)/F5,0)</f>
        <v>1</v>
      </c>
      <c r="G7" s="20">
        <f>IFERROR(H5/G5,0)</f>
        <v>0.4444444444</v>
      </c>
      <c r="H7" s="19">
        <f>(C5/C7)</f>
        <v>548.9411765</v>
      </c>
      <c r="I7" s="21"/>
      <c r="J7" s="20">
        <f>IFERROR(J5/I5,0)</f>
        <v>0</v>
      </c>
      <c r="K7" s="21"/>
      <c r="L7" s="20">
        <f>IFERROR(L5/K5,0)</f>
        <v>0.4166666667</v>
      </c>
      <c r="M7" s="22">
        <f>IFERROR(M5/SUM(R5+G5,0),"")</f>
        <v>4.178571429</v>
      </c>
      <c r="N7" s="21"/>
      <c r="O7" s="20">
        <f>IFERROR(O5/N5,0)</f>
        <v>0.6666666667</v>
      </c>
      <c r="P7" s="22"/>
      <c r="Q7" s="20">
        <f>IFERROR(Q5/P5,0)</f>
        <v>0.4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9332</v>
      </c>
      <c r="D8" s="36"/>
      <c r="E8" s="37">
        <f>SUMIFS(T:T,B:B,B8,D:D,"Y")</f>
        <v>6546</v>
      </c>
      <c r="F8" s="38">
        <f>SUMIF(B19:B1035,B8,G19:G1035)</f>
        <v>28</v>
      </c>
      <c r="G8" s="39">
        <f>SUMIF(B19:B1035,B8,H19:H1035)</f>
        <v>18</v>
      </c>
      <c r="H8" s="38">
        <f>SUMIF(B19:B1035,B8,I19:I1035)</f>
        <v>8</v>
      </c>
      <c r="I8" s="39">
        <f>SUMIF(B19:B1035,B8,P19:P1035)</f>
        <v>0</v>
      </c>
      <c r="J8" s="39">
        <f>SUMIF(B19:B1035,B8,Q19:Q1035)</f>
        <v>0</v>
      </c>
      <c r="K8" s="39">
        <f>SUMIF(B19:B1035,B8,R19:R1035)</f>
        <v>12</v>
      </c>
      <c r="L8" s="39">
        <f>SUMIF(B19:B1035,B8,S19:S1035)</f>
        <v>5</v>
      </c>
      <c r="M8" s="39">
        <f>SUMIF(B19:B1035,B8,M19:M1035)</f>
        <v>117</v>
      </c>
      <c r="N8" s="39">
        <f>SUMIF(B19:B1035,B8,N19:N1035)</f>
        <v>3</v>
      </c>
      <c r="O8" s="38">
        <f>SUMIF(B19:B1035,B8,O19:O1035)</f>
        <v>2</v>
      </c>
      <c r="P8" s="39">
        <f>SUMIF(B19:B1035,B8,J19:J1035)</f>
        <v>15</v>
      </c>
      <c r="Q8" s="39">
        <f>SUMIF(B19:B1035,B8,K19:K1035)</f>
        <v>6</v>
      </c>
      <c r="R8" s="38">
        <f>SUMIF(B19:B1035,B8,L19:L1035)</f>
        <v>10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COUNTIFS(B19:B1035,B8)</f>
        <v>16</v>
      </c>
      <c r="D10" s="42"/>
      <c r="E10" s="50">
        <f>IFERROR(C8/H8,0)</f>
        <v>1166.5</v>
      </c>
      <c r="F10" s="51">
        <f>IFERROR((G8+R8)/F8,0)</f>
        <v>1</v>
      </c>
      <c r="G10" s="51">
        <f>IFERROR(H8/G8,0)</f>
        <v>0.4444444444</v>
      </c>
      <c r="H10" s="50">
        <f>(C8/C10)</f>
        <v>583.25</v>
      </c>
      <c r="I10" s="46"/>
      <c r="J10" s="51">
        <f>IFERROR(J8/I8,0)</f>
        <v>0</v>
      </c>
      <c r="K10" s="46"/>
      <c r="L10" s="51">
        <f>IFERROR(L8/K8,0)</f>
        <v>0.4166666667</v>
      </c>
      <c r="M10" s="52">
        <f>IFERROR(M8/SUM(G8+R8,0),"")</f>
        <v>4.178571429</v>
      </c>
      <c r="N10" s="46"/>
      <c r="O10" s="51">
        <f>IFERROR(O8/N8,0)</f>
        <v>0.6666666667</v>
      </c>
      <c r="P10" s="53"/>
      <c r="Q10" s="51">
        <f>IFERROR(Q8/P8,0)</f>
        <v>0.4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28334</v>
      </c>
      <c r="D11" s="26"/>
      <c r="E11" s="27">
        <f>SUMIFS(T:T,A:A,B11,D:D,"Y")</f>
        <v>0</v>
      </c>
      <c r="F11" s="8">
        <f>SUMIF(A:A,B11,G:G)</f>
        <v>57</v>
      </c>
      <c r="G11" s="10">
        <f>SUMIF(A:A,B11,H:H)</f>
        <v>27</v>
      </c>
      <c r="H11" s="10">
        <f>SUMIF(A:A,B11,I:I)</f>
        <v>17</v>
      </c>
      <c r="I11" s="10">
        <f>SUMIF(A:A,B11,P:P)</f>
        <v>0</v>
      </c>
      <c r="J11" s="10">
        <f>SUMIF(A:A,B11,Q:Q)</f>
        <v>0</v>
      </c>
      <c r="K11" s="10">
        <f>SUMIF(A:A,B11,R:R)</f>
        <v>23</v>
      </c>
      <c r="L11" s="10">
        <f>SUMIF(A:A,B11,S:S)</f>
        <v>14</v>
      </c>
      <c r="M11" s="10">
        <f>SUMIF(A:A,B11,M:M)</f>
        <v>33</v>
      </c>
      <c r="N11" s="10">
        <f>SUMIF(A:A,B11,N:N)</f>
        <v>1</v>
      </c>
      <c r="O11" s="10">
        <f>SUMIF(A:A,B11,O:O)</f>
        <v>1</v>
      </c>
      <c r="P11" s="10">
        <f>SUMIF(A:A,B11,J:J)</f>
        <v>15</v>
      </c>
      <c r="Q11" s="10">
        <f>SUMIF(A:A,B11,K:K)</f>
        <v>12</v>
      </c>
      <c r="R11" s="10">
        <f>SUMIF(A:A,B11,L:L)</f>
        <v>5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1666.705882</v>
      </c>
      <c r="F13" s="20">
        <f>IFERROR((G11+R11)/F11,0)</f>
        <v>0.5614035088</v>
      </c>
      <c r="G13" s="20">
        <f>IFERROR(H11/G11,0)</f>
        <v>0.6296296296</v>
      </c>
      <c r="H13" s="19">
        <f>(C11/C13)</f>
        <v>1491.263158</v>
      </c>
      <c r="I13" s="21"/>
      <c r="J13" s="20">
        <f>IFERROR(J11/I11,0)</f>
        <v>0</v>
      </c>
      <c r="K13" s="21"/>
      <c r="L13" s="20">
        <f>IFERROR(L11/K11,0)</f>
        <v>0.6086956522</v>
      </c>
      <c r="M13" s="22">
        <f>IFERROR(M11/SUM(R11+G11,0),"")</f>
        <v>1.03125</v>
      </c>
      <c r="N13" s="21"/>
      <c r="O13" s="20">
        <f>IFERROR(O11/N11,0)</f>
        <v>1</v>
      </c>
      <c r="P13" s="22"/>
      <c r="Q13" s="20">
        <f>IFERROR(Q11/P11,0)</f>
        <v>0.8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28334</v>
      </c>
      <c r="D14" s="36"/>
      <c r="E14" s="37">
        <f>SUMIFS(T:T,B:B,B14,D:D,"Y")</f>
        <v>0</v>
      </c>
      <c r="F14" s="38">
        <f>SUMIF(B19:B1035,B14,G19:G1035)</f>
        <v>57</v>
      </c>
      <c r="G14" s="39">
        <f>SUMIF(B19:B1035,B14,H19:H1035)</f>
        <v>27</v>
      </c>
      <c r="H14" s="38">
        <f>SUMIF(B19:B1035,B14,I19:I1035)</f>
        <v>17</v>
      </c>
      <c r="I14" s="39">
        <f>SUMIF(B19:B1035,B14,P19:P1035)</f>
        <v>0</v>
      </c>
      <c r="J14" s="39">
        <f>SUMIF(B19:B1035,B14,Q19:Q1035)</f>
        <v>0</v>
      </c>
      <c r="K14" s="39">
        <f>SUMIF(B19:B1035,B14,R19:R1035)</f>
        <v>23</v>
      </c>
      <c r="L14" s="39">
        <f>SUMIF(B19:B1035,B14,S19:S1035)</f>
        <v>14</v>
      </c>
      <c r="M14" s="39">
        <f>SUMIF(B19:B1035,B14,M19:M1035)</f>
        <v>33</v>
      </c>
      <c r="N14" s="39">
        <f>SUMIF(B19:B1035,B14,N19:N1035)</f>
        <v>1</v>
      </c>
      <c r="O14" s="38">
        <f>SUMIF(B19:B1035,B14,O19:O1035)</f>
        <v>1</v>
      </c>
      <c r="P14" s="39">
        <f>SUMIF(B19:B1035,B14,J19:J1035)</f>
        <v>15</v>
      </c>
      <c r="Q14" s="39">
        <f>SUMIF(B19:B1035,B14,K19:K1035)</f>
        <v>12</v>
      </c>
      <c r="R14" s="38">
        <f>SUMIF(B19:B1035,B14,L19:L1035)</f>
        <v>5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COUNTIFS(B19:B1035,B14)</f>
        <v>18</v>
      </c>
      <c r="D16" s="42"/>
      <c r="E16" s="50">
        <f>IFERROR(C14/H14,0)</f>
        <v>1666.705882</v>
      </c>
      <c r="F16" s="51">
        <f>IFERROR((G14+R14)/F14,0)</f>
        <v>0.5614035088</v>
      </c>
      <c r="G16" s="51">
        <f>IFERROR(H14/G14,0)</f>
        <v>0.6296296296</v>
      </c>
      <c r="H16" s="50">
        <f>(C14/C16)</f>
        <v>1574.111111</v>
      </c>
      <c r="I16" s="46"/>
      <c r="J16" s="51">
        <f>IFERROR(J14/I14,0)</f>
        <v>0</v>
      </c>
      <c r="K16" s="46"/>
      <c r="L16" s="51">
        <f>IFERROR(L14/K14,0)</f>
        <v>0.6086956522</v>
      </c>
      <c r="M16" s="52">
        <f>IFERROR(M14/SUM(G14+R14,0),"")</f>
        <v>1.03125</v>
      </c>
      <c r="N16" s="46"/>
      <c r="O16" s="51">
        <f>IFERROR(O14/N14,0)</f>
        <v>1</v>
      </c>
      <c r="P16" s="53"/>
      <c r="Q16" s="51">
        <f>IFERROR(Q14/P14,0)</f>
        <v>0.8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0</v>
      </c>
      <c r="H21" s="65">
        <f>('Thurs (2)'!H21+Thurs!H21+'Tues '!H21+Wed!H21+Fri!H21+'Mon '!H21+'Wed (2)'!H21+Sun!H21+Sat!H21)</f>
        <v>0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0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0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3</v>
      </c>
      <c r="H22" s="65">
        <f>('Thurs (2)'!H22+Thurs!H22+'Tues '!H22+Wed!H22+Fri!H22+'Mon '!H22+'Wed (2)'!H22+Sun!H22+Sat!H22)</f>
        <v>1</v>
      </c>
      <c r="I22" s="65">
        <f>('Thurs (2)'!I22+Thurs!I22+'Tues '!I22+Wed!I22+Fri!I22+'Mon '!I22+'Wed (2)'!I22+Sun!I22+Sat!I22)</f>
        <v>0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1</v>
      </c>
      <c r="M22" s="65">
        <f>('Thurs (2)'!M22+Thurs!M22+'Tues '!M22+Wed!M22+Fri!M22+'Mon '!M22+'Wed (2)'!M22+Sun!M22+Sat!M22)</f>
        <v>1</v>
      </c>
      <c r="N22" s="65">
        <f>('Thurs (2)'!N22+Thurs!N22+'Tues '!N22+Wed!N22+Fri!N22+'Mon '!N22+'Wed (2)'!N22+Sun!N22+Sat!N22)</f>
        <v>0</v>
      </c>
      <c r="O22" s="65">
        <f>('Thurs (2)'!O22+Thurs!O22+'Tues '!O22+Wed!O22+Fri!O22+'Mon '!O22+'Wed (2)'!O22+Sun!O22+Sat!O22)</f>
        <v>0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0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0</v>
      </c>
      <c r="U22" s="66">
        <f t="shared" si="2"/>
        <v>0</v>
      </c>
      <c r="V22" s="66">
        <f t="shared" si="3"/>
        <v>0.6666666667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0</v>
      </c>
      <c r="H23" s="65">
        <f>('Thurs (2)'!H23+Thurs!H23+'Tues '!H23+Wed!H23+Fri!H23+'Mon '!H23+'Wed (2)'!H23+Sun!H23+Sat!H23)</f>
        <v>0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6</v>
      </c>
      <c r="H24" s="65">
        <f>('Thurs (2)'!H24+Thurs!H24+'Tues '!H24+Wed!H24+Fri!H24+'Mon '!H24+'Wed (2)'!H24+Sun!H24+Sat!H24)</f>
        <v>2</v>
      </c>
      <c r="I24" s="65">
        <f>('Thurs (2)'!I24+Thurs!I24+'Tues '!I24+Wed!I24+Fri!I24+'Mon '!I24+'Wed (2)'!I24+Sun!I24+Sat!I24)</f>
        <v>2</v>
      </c>
      <c r="J24" s="65">
        <f>('Thurs (2)'!J24+Thurs!J24+'Tues '!J24+Wed!J24+Fri!J24+'Mon '!J24+'Wed (2)'!J24+Sun!J24+Sat!J24)</f>
        <v>2</v>
      </c>
      <c r="K24" s="65">
        <f>('Thurs (2)'!K24+Thurs!K24+'Tues '!K24+Wed!K24+Fri!K24+'Mon '!K24+'Wed (2)'!K24+Sun!K24+Sat!K24)</f>
        <v>2</v>
      </c>
      <c r="L24" s="65">
        <f>('Thurs (2)'!L24+Thurs!L24+'Tues '!L24+Wed!L24+Fri!L24+'Mon '!L24+'Wed (2)'!L24+Sun!L24+Sat!L24)</f>
        <v>0</v>
      </c>
      <c r="M24" s="65">
        <f>('Thurs (2)'!M24+Thurs!M24+'Tues '!M24+Wed!M24+Fri!M24+'Mon '!M24+'Wed (2)'!M24+Sun!M24+Sat!M24)</f>
        <v>10</v>
      </c>
      <c r="N24" s="65">
        <f>('Thurs (2)'!N24+Thurs!N24+'Tues '!N24+Wed!N24+Fri!N24+'Mon '!N24+'Wed (2)'!N24+Sun!N24+Sat!N24)</f>
        <v>0</v>
      </c>
      <c r="O24" s="65">
        <f>('Thurs (2)'!O24+Thurs!O24+'Tues '!O24+Wed!O24+Fri!O24+'Mon '!O24+'Wed (2)'!O24+Sun!O24+Sat!O24)</f>
        <v>0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2</v>
      </c>
      <c r="S24" s="65">
        <f>('Thurs (2)'!S24+Thurs!S24+'Tues '!S24+Wed!S24+Fri!S24+'Mon '!S24+'Wed (2)'!S24+Sun!S24+Sat!S24)</f>
        <v>2</v>
      </c>
      <c r="T24" s="65">
        <f>('Thurs (2)'!T24+Thurs!T24+'Tues '!T24+Wed!T24+Fri!T24+'Mon '!T24+'Wed (2)'!T24+Sun!T24+Sat!T24)</f>
        <v>3344</v>
      </c>
      <c r="U24" s="66">
        <f t="shared" si="2"/>
        <v>1</v>
      </c>
      <c r="V24" s="66">
        <f t="shared" si="3"/>
        <v>0.3333333333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0</v>
      </c>
      <c r="H25" s="65">
        <f>('Thurs (2)'!H25+Thurs!H25+'Tues '!H25+Wed!H25+Fri!H25+'Mon '!H25+'Wed (2)'!H25+Sun!H25+Sat!H25)</f>
        <v>2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2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1</v>
      </c>
      <c r="M25" s="65">
        <f>('Thurs (2)'!M25+Thurs!M25+'Tues '!M25+Wed!M25+Fri!M25+'Mon '!M25+'Wed (2)'!M25+Sun!M25+Sat!M25)</f>
        <v>7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1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>
        <f>('Thurs (2)'!G26+Thurs!G26+'Tues '!G26+Wed!G26+Fri!G26+'Mon '!G26+'Wed (2)'!G26+Sun!G26+Sat!G26)</f>
        <v>0</v>
      </c>
      <c r="H26" s="65">
        <f>('Thurs (2)'!H26+Thurs!H26+'Tues '!H26+Wed!H26+Fri!H26+'Mon '!H26+'Wed (2)'!H26+Sun!H26+Sat!H26)</f>
        <v>0</v>
      </c>
      <c r="I26" s="65">
        <f>('Thurs (2)'!I26+Thurs!I26+'Tues '!I26+Wed!I26+Fri!I26+'Mon '!I26+'Wed (2)'!I26+Sun!I26+Sat!I26)</f>
        <v>0</v>
      </c>
      <c r="J26" s="65">
        <f>('Thurs (2)'!J26+Thurs!J26+'Tues '!J26+Wed!J26+Fri!J26+'Mon '!J26+'Wed (2)'!J26+Sun!J26+Sat!J26)</f>
        <v>0</v>
      </c>
      <c r="K26" s="65">
        <f>('Thurs (2)'!K26+Thurs!K26+'Tues '!K26+Wed!K26+Fri!K26+'Mon '!K26+'Wed (2)'!K26+Sun!K26+Sat!K26)</f>
        <v>0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0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0</v>
      </c>
      <c r="S26" s="65">
        <f>('Thurs (2)'!S26+Thurs!S26+'Tues '!S26+Wed!S26+Fri!S26+'Mon '!S26+'Wed (2)'!S26+Sun!S26+Sat!S26)</f>
        <v>0</v>
      </c>
      <c r="T26" s="65">
        <f>('Thurs (2)'!T26+Thurs!T26+'Tues '!T26+Wed!T26+Fri!T26+'Mon '!T26+'Wed (2)'!T26+Sun!T26+Sat!T26)</f>
        <v>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>
        <f>('Thurs (2)'!G28+Thurs!G28+'Tues '!G28+Wed!G28+Fri!G28+'Mon '!G28+'Wed (2)'!G28+Sun!G28+Sat!G28)</f>
        <v>3</v>
      </c>
      <c r="H28" s="65">
        <f>('Thurs (2)'!H28+Thurs!H28+'Tues '!H28+Wed!H28+Fri!H28+'Mon '!H28+'Wed (2)'!H28+Sun!H28+Sat!H28)</f>
        <v>4</v>
      </c>
      <c r="I28" s="65">
        <f>('Thurs (2)'!I28+Thurs!I28+'Tues '!I28+Wed!I28+Fri!I28+'Mon '!I28+'Wed (2)'!I28+Sun!I28+Sat!I28)</f>
        <v>2</v>
      </c>
      <c r="J28" s="65">
        <f>('Thurs (2)'!J28+Thurs!J28+'Tues '!J28+Wed!J28+Fri!J28+'Mon '!J28+'Wed (2)'!J28+Sun!J28+Sat!J28)</f>
        <v>5</v>
      </c>
      <c r="K28" s="65">
        <f>('Thurs (2)'!K28+Thurs!K28+'Tues '!K28+Wed!K28+Fri!K28+'Mon '!K28+'Wed (2)'!K28+Sun!K28+Sat!K28)</f>
        <v>2</v>
      </c>
      <c r="L28" s="65">
        <f>('Thurs (2)'!L28+Thurs!L28+'Tues '!L28+Wed!L28+Fri!L28+'Mon '!L28+'Wed (2)'!L28+Sun!L28+Sat!L28)</f>
        <v>1</v>
      </c>
      <c r="M28" s="65">
        <f>('Thurs (2)'!M28+Thurs!M28+'Tues '!M28+Wed!M28+Fri!M28+'Mon '!M28+'Wed (2)'!M28+Sun!M28+Sat!M28)</f>
        <v>28</v>
      </c>
      <c r="N28" s="65">
        <f>('Thurs (2)'!N28+Thurs!N28+'Tues '!N28+Wed!N28+Fri!N28+'Mon '!N28+'Wed (2)'!N28+Sun!N28+Sat!N28)</f>
        <v>0</v>
      </c>
      <c r="O28" s="65">
        <f>('Thurs (2)'!O28+Thurs!O28+'Tues '!O28+Wed!O28+Fri!O28+'Mon '!O28+'Wed (2)'!O28+Sun!O28+Sat!O28)</f>
        <v>0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5</v>
      </c>
      <c r="S28" s="65">
        <f>('Thurs (2)'!S28+Thurs!S28+'Tues '!S28+Wed!S28+Fri!S28+'Mon '!S28+'Wed (2)'!S28+Sun!S28+Sat!S28)</f>
        <v>2</v>
      </c>
      <c r="T28" s="65">
        <f>('Thurs (2)'!T28+Thurs!T28+'Tues '!T28+Wed!T28+Fri!T28+'Mon '!T28+'Wed (2)'!T28+Sun!T28+Sat!T28)</f>
        <v>3202</v>
      </c>
      <c r="U28" s="66">
        <f t="shared" si="2"/>
        <v>0.5</v>
      </c>
      <c r="V28" s="66">
        <f t="shared" si="3"/>
        <v>1.666666667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16</v>
      </c>
      <c r="H29" s="65">
        <f>('Thurs (2)'!H29+Thurs!H29+'Tues '!H29+Wed!H29+Fri!H29+'Mon '!H29+'Wed (2)'!H29+Sun!H29+Sat!H29)</f>
        <v>7</v>
      </c>
      <c r="I29" s="65">
        <f>('Thurs (2)'!I29+Thurs!I29+'Tues '!I29+Wed!I29+Fri!I29+'Mon '!I29+'Wed (2)'!I29+Sun!I29+Sat!I29)</f>
        <v>3</v>
      </c>
      <c r="J29" s="65">
        <f>('Thurs (2)'!J29+Thurs!J29+'Tues '!J29+Wed!J29+Fri!J29+'Mon '!J29+'Wed (2)'!J29+Sun!J29+Sat!J29)</f>
        <v>5</v>
      </c>
      <c r="K29" s="65">
        <f>('Thurs (2)'!K29+Thurs!K29+'Tues '!K29+Wed!K29+Fri!K29+'Mon '!K29+'Wed (2)'!K29+Sun!K29+Sat!K29)</f>
        <v>2</v>
      </c>
      <c r="L29" s="65">
        <f>('Thurs (2)'!L29+Thurs!L29+'Tues '!L29+Wed!L29+Fri!L29+'Mon '!L29+'Wed (2)'!L29+Sun!L29+Sat!L29)</f>
        <v>1</v>
      </c>
      <c r="M29" s="65">
        <f>('Thurs (2)'!M29+Thurs!M29+'Tues '!M29+Wed!M29+Fri!M29+'Mon '!M29+'Wed (2)'!M29+Sun!M29+Sat!M29)</f>
        <v>70</v>
      </c>
      <c r="N29" s="65">
        <f>('Thurs (2)'!N29+Thurs!N29+'Tues '!N29+Wed!N29+Fri!N29+'Mon '!N29+'Wed (2)'!N29+Sun!N29+Sat!N29)</f>
        <v>3</v>
      </c>
      <c r="O29" s="65">
        <f>('Thurs (2)'!O29+Thurs!O29+'Tues '!O29+Wed!O29+Fri!O29+'Mon '!O29+'Wed (2)'!O29+Sun!O29+Sat!O29)</f>
        <v>2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4</v>
      </c>
      <c r="S29" s="65">
        <f>('Thurs (2)'!S29+Thurs!S29+'Tues '!S29+Wed!S29+Fri!S29+'Mon '!S29+'Wed (2)'!S29+Sun!S29+Sat!S29)</f>
        <v>1</v>
      </c>
      <c r="T29" s="65">
        <f>('Thurs (2)'!T29+Thurs!T29+'Tues '!T29+Wed!T29+Fri!T29+'Mon '!T29+'Wed (2)'!T29+Sun!T29+Sat!T29)</f>
        <v>1236</v>
      </c>
      <c r="U29" s="66">
        <f t="shared" si="2"/>
        <v>0.4285714286</v>
      </c>
      <c r="V29" s="66">
        <f t="shared" si="3"/>
        <v>0.5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>
        <f>('Thurs (2)'!G30+Thurs!G30+'Tues '!G30+Wed!G30+Fri!G30+'Mon '!G30+'Wed (2)'!G30+Sun!G30+Sat!G30)</f>
        <v>0</v>
      </c>
      <c r="H30" s="65">
        <f>('Thurs (2)'!H30+Thurs!H30+'Tues '!H30+Wed!H30+Fri!H30+'Mon '!H30+'Wed (2)'!H30+Sun!H30+Sat!H30)</f>
        <v>2</v>
      </c>
      <c r="I30" s="65">
        <f>('Thurs (2)'!I30+Thurs!I30+'Tues '!I30+Wed!I30+Fri!I30+'Mon '!I30+'Wed (2)'!I30+Sun!I30+Sat!I30)</f>
        <v>1</v>
      </c>
      <c r="J30" s="65">
        <f>('Thurs (2)'!J30+Thurs!J30+'Tues '!J30+Wed!J30+Fri!J30+'Mon '!J30+'Wed (2)'!J30+Sun!J30+Sat!J30)</f>
        <v>1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6</v>
      </c>
      <c r="M30" s="65">
        <f>('Thurs (2)'!M30+Thurs!M30+'Tues '!M30+Wed!M30+Fri!M30+'Mon '!M30+'Wed (2)'!M30+Sun!M30+Sat!M30)</f>
        <v>1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1550</v>
      </c>
      <c r="U30" s="66">
        <f t="shared" si="2"/>
        <v>0.5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>
        <f>('Thurs (2)'!G31+Thurs!G31+'Tues '!G31+Wed!G31+Fri!G31+'Mon '!G31+'Wed (2)'!G31+Sun!G31+Sat!G31)</f>
        <v>0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>
        <f>('Thurs (2)'!G33+Thurs!G33+'Tues '!G33+Wed!G33+Fri!G33+'Mon '!G33+'Wed (2)'!G33+Sun!G33+Sat!G33)</f>
        <v>0</v>
      </c>
      <c r="H33" s="65">
        <f>('Thurs (2)'!H33+Thurs!H33+'Tues '!H33+Wed!H33+Fri!H33+'Mon '!H33+'Wed (2)'!H33+Sun!H33+Sat!H33)</f>
        <v>0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>
        <f>('Thurs (2)'!G36+Thurs!G36+'Tues '!G36+Wed!G36+Fri!G36+'Mon '!G36+'Wed (2)'!G36+Sun!G36+Sat!G36)</f>
        <v>0</v>
      </c>
      <c r="H36" s="65">
        <f>('Thurs (2)'!H36+Thurs!H36+'Tues '!H36+Wed!H36+Fri!H36+'Mon '!H36+'Wed (2)'!H36+Sun!H36+Sat!H36)</f>
        <v>0</v>
      </c>
      <c r="I36" s="65">
        <f>('Thurs (2)'!I36+Thurs!I36+'Tues '!I36+Wed!I36+Fri!I36+'Mon '!I36+'Wed (2)'!I36+Sun!I36+Sat!I36)</f>
        <v>0</v>
      </c>
      <c r="J36" s="65">
        <f>('Thurs (2)'!J36+Thurs!J36+'Tues '!J36+Wed!J36+Fri!J36+'Mon '!J36+'Wed (2)'!J36+Sun!J36+Sat!J36)</f>
        <v>0</v>
      </c>
      <c r="K36" s="65">
        <f>('Thurs (2)'!K36+Thurs!K36+'Tues '!K36+Wed!K36+Fri!K36+'Mon '!K36+'Wed (2)'!K36+Sun!K36+Sat!K36)</f>
        <v>0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0</v>
      </c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>
        <f>('Thurs (2)'!G38+Thurs!G38+'Tues '!G38+Wed!G38+Fri!G38+'Mon '!G38+'Wed (2)'!G38+Sun!G38+Sat!G38)</f>
        <v>0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>
        <f>('Thurs (2)'!G39+Thurs!G39+'Tues '!G39+Wed!G39+Fri!G39+'Mon '!G39+'Wed (2)'!G39+Sun!G39+Sat!G39)</f>
        <v>0</v>
      </c>
      <c r="H39" s="65">
        <f>('Thurs (2)'!H39+Thurs!H39+'Tues '!H39+Wed!H39+Fri!H39+'Mon '!H39+'Wed (2)'!H39+Sun!H39+Sat!H39)</f>
        <v>0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0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>
        <f>('Thurs (2)'!G40+Thurs!G40+'Tues '!G40+Wed!G40+Fri!G40+'Mon '!G40+'Wed (2)'!G40+Sun!G40+Sat!G40)</f>
        <v>0</v>
      </c>
      <c r="H40" s="65">
        <f>('Thurs (2)'!H40+Thurs!H40+'Tues '!H40+Wed!H40+Fri!H40+'Mon '!H40+'Wed (2)'!H40+Sun!H40+Sat!H40)</f>
        <v>0</v>
      </c>
      <c r="I40" s="65">
        <f>('Thurs (2)'!I40+Thurs!I40+'Tues '!I40+Wed!I40+Fri!I40+'Mon '!I40+'Wed (2)'!I40+Sun!I40+Sat!I40)</f>
        <v>0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0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>
        <f>('Thurs (2)'!G41+Thurs!G41+'Tues '!G41+Wed!G41+Fri!G41+'Mon '!G41+'Wed (2)'!G41+Sun!G41+Sat!G41)</f>
        <v>0</v>
      </c>
      <c r="H41" s="65">
        <f>('Thurs (2)'!H41+Thurs!H41+'Tues '!H41+Wed!H41+Fri!H41+'Mon '!H41+'Wed (2)'!H41+Sun!H41+Sat!H41)</f>
        <v>0</v>
      </c>
      <c r="I41" s="65">
        <f>('Thurs (2)'!I41+Thurs!I41+'Tues '!I41+Wed!I41+Fri!I41+'Mon '!I41+'Wed (2)'!I41+Sun!I41+Sat!I41)</f>
        <v>0</v>
      </c>
      <c r="J41" s="65">
        <f>('Thurs (2)'!J41+Thurs!J41+'Tues '!J41+Wed!J41+Fri!J41+'Mon '!J41+'Wed (2)'!J41+Sun!J41+Sat!J41)</f>
        <v>0</v>
      </c>
      <c r="K41" s="65">
        <f>('Thurs (2)'!K41+Thurs!K41+'Tues '!K41+Wed!K41+Fri!K41+'Mon '!K41+'Wed (2)'!K41+Sun!K41+Sat!K41)</f>
        <v>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0</v>
      </c>
      <c r="S41" s="65">
        <f>('Thurs (2)'!S41+Thurs!S41+'Tues '!S41+Wed!S41+Fri!S41+'Mon '!S41+'Wed (2)'!S41+Sun!S41+Sat!S41)</f>
        <v>0</v>
      </c>
      <c r="T41" s="65">
        <f>('Thurs (2)'!T41+Thurs!T41+'Tues '!T41+Wed!T41+Fri!T41+'Mon '!T41+'Wed (2)'!T41+Sun!T41+Sat!T41)</f>
        <v>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>
        <f>('Thurs (2)'!G42+Thurs!G42+'Tues '!G42+Wed!G42+Fri!G42+'Mon '!G42+'Wed (2)'!G42+Sun!G42+Sat!G42)</f>
        <v>9</v>
      </c>
      <c r="H42" s="65">
        <f>('Thurs (2)'!H42+Thurs!H42+'Tues '!H42+Wed!H42+Fri!H42+'Mon '!H42+'Wed (2)'!H42+Sun!H42+Sat!H42)</f>
        <v>3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3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0.3333333333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>
        <f>('Thurs (2)'!G43+Thurs!G43+'Tues '!G43+Wed!G43+Fri!G43+'Mon '!G43+'Wed (2)'!G43+Sun!G43+Sat!G43)</f>
        <v>1</v>
      </c>
      <c r="H43" s="65">
        <f>('Thurs (2)'!H43+Thurs!H43+'Tues '!H43+Wed!H43+Fri!H43+'Mon '!H43+'Wed (2)'!H43+Sun!H43+Sat!H43)</f>
        <v>1</v>
      </c>
      <c r="I43" s="65">
        <f>('Thurs (2)'!I43+Thurs!I43+'Tues '!I43+Wed!I43+Fri!I43+'Mon '!I43+'Wed (2)'!I43+Sun!I43+Sat!I43)</f>
        <v>1</v>
      </c>
      <c r="J43" s="65">
        <f>('Thurs (2)'!J43+Thurs!J43+'Tues '!J43+Wed!J43+Fri!J43+'Mon '!J43+'Wed (2)'!J43+Sun!J43+Sat!J43)</f>
        <v>1</v>
      </c>
      <c r="K43" s="65">
        <f>('Thurs (2)'!K43+Thurs!K43+'Tues '!K43+Wed!K43+Fri!K43+'Mon '!K43+'Wed (2)'!K43+Sun!K43+Sat!K43)</f>
        <v>1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1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1</v>
      </c>
      <c r="S43" s="65">
        <f>('Thurs (2)'!S43+Thurs!S43+'Tues '!S43+Wed!S43+Fri!S43+'Mon '!S43+'Wed (2)'!S43+Sun!S43+Sat!S43)</f>
        <v>1</v>
      </c>
      <c r="T43" s="65">
        <f>('Thurs (2)'!T43+Thurs!T43+'Tues '!T43+Wed!T43+Fri!T43+'Mon '!T43+'Wed (2)'!T43+Sun!T43+Sat!T43)</f>
        <v>1439</v>
      </c>
      <c r="U43" s="66">
        <f t="shared" si="4"/>
        <v>1</v>
      </c>
      <c r="V43" s="66">
        <f t="shared" si="5"/>
        <v>1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65">
        <f>('Thurs (2)'!G44+Thurs!G44+'Tues '!G44+Wed!G44+Fri!G44+'Mon '!G44+'Wed (2)'!G44+Sun!G44+Sat!G44)</f>
        <v>13</v>
      </c>
      <c r="H44" s="65">
        <f>('Thurs (2)'!H44+Thurs!H44+'Tues '!H44+Wed!H44+Fri!H44+'Mon '!H44+'Wed (2)'!H44+Sun!H44+Sat!H44)</f>
        <v>4</v>
      </c>
      <c r="I44" s="65">
        <f>('Thurs (2)'!I44+Thurs!I44+'Tues '!I44+Wed!I44+Fri!I44+'Mon '!I44+'Wed (2)'!I44+Sun!I44+Sat!I44)</f>
        <v>2</v>
      </c>
      <c r="J44" s="65">
        <f>('Thurs (2)'!J44+Thurs!J44+'Tues '!J44+Wed!J44+Fri!J44+'Mon '!J44+'Wed (2)'!J44+Sun!J44+Sat!J44)</f>
        <v>4</v>
      </c>
      <c r="K44" s="65">
        <f>('Thurs (2)'!K44+Thurs!K44+'Tues '!K44+Wed!K44+Fri!K44+'Mon '!K44+'Wed (2)'!K44+Sun!K44+Sat!K44)</f>
        <v>2</v>
      </c>
      <c r="L44" s="65">
        <f>('Thurs (2)'!L44+Thurs!L44+'Tues '!L44+Wed!L44+Fri!L44+'Mon '!L44+'Wed (2)'!L44+Sun!L44+Sat!L44)</f>
        <v>2</v>
      </c>
      <c r="M44" s="65">
        <f>('Thurs (2)'!M44+Thurs!M44+'Tues '!M44+Wed!M44+Fri!M44+'Mon '!M44+'Wed (2)'!M44+Sun!M44+Sat!M44)</f>
        <v>4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4</v>
      </c>
      <c r="S44" s="65">
        <f>('Thurs (2)'!S44+Thurs!S44+'Tues '!S44+Wed!S44+Fri!S44+'Mon '!S44+'Wed (2)'!S44+Sun!S44+Sat!S44)</f>
        <v>2</v>
      </c>
      <c r="T44" s="65">
        <f>('Thurs (2)'!T44+Thurs!T44+'Tues '!T44+Wed!T44+Fri!T44+'Mon '!T44+'Wed (2)'!T44+Sun!T44+Sat!T44)</f>
        <v>7058</v>
      </c>
      <c r="U44" s="66">
        <f t="shared" si="4"/>
        <v>0.5</v>
      </c>
      <c r="V44" s="66">
        <f t="shared" si="5"/>
        <v>0.4615384615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>
        <f>('Thurs (2)'!G45+Thurs!G45+'Tues '!G45+Wed!G45+Fri!G45+'Mon '!G45+'Wed (2)'!G45+Sun!G45+Sat!G45)</f>
        <v>14</v>
      </c>
      <c r="H45" s="65">
        <f>('Thurs (2)'!H45+Thurs!H45+'Tues '!H45+Wed!H45+Fri!H45+'Mon '!H45+'Wed (2)'!H45+Sun!H45+Sat!H45)</f>
        <v>6</v>
      </c>
      <c r="I45" s="65">
        <f>('Thurs (2)'!I45+Thurs!I45+'Tues '!I45+Wed!I45+Fri!I45+'Mon '!I45+'Wed (2)'!I45+Sun!I45+Sat!I45)</f>
        <v>3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3</v>
      </c>
      <c r="S45" s="65">
        <f>('Thurs (2)'!S45+Thurs!S45+'Tues '!S45+Wed!S45+Fri!S45+'Mon '!S45+'Wed (2)'!S45+Sun!S45+Sat!S45)</f>
        <v>3</v>
      </c>
      <c r="T45" s="65">
        <f>('Thurs (2)'!T45+Thurs!T45+'Tues '!T45+Wed!T45+Fri!T45+'Mon '!T45+'Wed (2)'!T45+Sun!T45+Sat!T45)</f>
        <v>5915</v>
      </c>
      <c r="U45" s="66">
        <f t="shared" si="4"/>
        <v>0.5</v>
      </c>
      <c r="V45" s="66">
        <f t="shared" si="5"/>
        <v>0.4285714286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>
        <f>('Thurs (2)'!G47+Thurs!G47+'Tues '!G47+Wed!G47+Fri!G47+'Mon '!G47+'Wed (2)'!G47+Sun!G47+Sat!G47)</f>
        <v>1</v>
      </c>
      <c r="H47" s="65">
        <f>('Thurs (2)'!H47+Thurs!H47+'Tues '!H47+Wed!H47+Fri!H47+'Mon '!H47+'Wed (2)'!H47+Sun!H47+Sat!H47)</f>
        <v>1</v>
      </c>
      <c r="I47" s="65">
        <f>('Thurs (2)'!I47+Thurs!I47+'Tues '!I47+Wed!I47+Fri!I47+'Mon '!I47+'Wed (2)'!I47+Sun!I47+Sat!I47)</f>
        <v>1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1</v>
      </c>
      <c r="S47" s="65">
        <f>('Thurs (2)'!S47+Thurs!S47+'Tues '!S47+Wed!S47+Fri!S47+'Mon '!S47+'Wed (2)'!S47+Sun!S47+Sat!S47)</f>
        <v>1</v>
      </c>
      <c r="T47" s="65">
        <f>('Thurs (2)'!T47+Thurs!T47+'Tues '!T47+Wed!T47+Fri!T47+'Mon '!T47+'Wed (2)'!T47+Sun!T47+Sat!T47)</f>
        <v>1032</v>
      </c>
      <c r="U47" s="66">
        <f t="shared" si="4"/>
        <v>1</v>
      </c>
      <c r="V47" s="66">
        <f t="shared" si="5"/>
        <v>1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>
        <f>('Thurs (2)'!G50+Thurs!G50+'Tues '!G50+Wed!G50+Fri!G50+'Mon '!G50+'Wed (2)'!G50+Sun!G50+Sat!G50)</f>
        <v>0</v>
      </c>
      <c r="H50" s="65">
        <f>('Thurs (2)'!H50+Thurs!H50+'Tues '!H50+Wed!H50+Fri!H50+'Mon '!H50+'Wed (2)'!H50+Sun!H50+Sat!H50)</f>
        <v>0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0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65">
        <f>('Thurs (2)'!G51+Thurs!G51+'Tues '!G51+Wed!G51+Fri!G51+'Mon '!G51+'Wed (2)'!G51+Sun!G51+Sat!G51)</f>
        <v>6</v>
      </c>
      <c r="H51" s="65">
        <f>('Thurs (2)'!H51+Thurs!H51+'Tues '!H51+Wed!H51+Fri!H51+'Mon '!H51+'Wed (2)'!H51+Sun!H51+Sat!H51)</f>
        <v>4</v>
      </c>
      <c r="I51" s="65">
        <f>('Thurs (2)'!I51+Thurs!I51+'Tues '!I51+Wed!I51+Fri!I51+'Mon '!I51+'Wed (2)'!I51+Sun!I51+Sat!I51)</f>
        <v>4</v>
      </c>
      <c r="J51" s="65">
        <f>('Thurs (2)'!J51+Thurs!J51+'Tues '!J51+Wed!J51+Fri!J51+'Mon '!J51+'Wed (2)'!J51+Sun!J51+Sat!J51)</f>
        <v>2</v>
      </c>
      <c r="K51" s="65">
        <f>('Thurs (2)'!K51+Thurs!K51+'Tues '!K51+Wed!K51+Fri!K51+'Mon '!K51+'Wed (2)'!K51+Sun!K51+Sat!K51)</f>
        <v>4</v>
      </c>
      <c r="L51" s="65">
        <f>('Thurs (2)'!L51+Thurs!L51+'Tues '!L51+Wed!L51+Fri!L51+'Mon '!L51+'Wed (2)'!L51+Sun!L51+Sat!L51)</f>
        <v>1</v>
      </c>
      <c r="M51" s="65">
        <f>('Thurs (2)'!M51+Thurs!M51+'Tues '!M51+Wed!M51+Fri!M51+'Mon '!M51+'Wed (2)'!M51+Sun!M51+Sat!M51)</f>
        <v>6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4</v>
      </c>
      <c r="S51" s="65">
        <f>('Thurs (2)'!S51+Thurs!S51+'Tues '!S51+Wed!S51+Fri!S51+'Mon '!S51+'Wed (2)'!S51+Sun!S51+Sat!S51)</f>
        <v>2</v>
      </c>
      <c r="T51" s="65">
        <f>('Thurs (2)'!T51+Thurs!T51+'Tues '!T51+Wed!T51+Fri!T51+'Mon '!T51+'Wed (2)'!T51+Sun!T51+Sat!T51)</f>
        <v>3401</v>
      </c>
      <c r="U51" s="66">
        <f t="shared" si="4"/>
        <v>1</v>
      </c>
      <c r="V51" s="66">
        <f t="shared" si="5"/>
        <v>0.8333333333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65">
        <f>('Thurs (2)'!G52+Thurs!G52+'Tues '!G52+Wed!G52+Fri!G52+'Mon '!G52+'Wed (2)'!G52+Sun!G52+Sat!G52)</f>
        <v>1</v>
      </c>
      <c r="H52" s="65">
        <f>('Thurs (2)'!H52+Thurs!H52+'Tues '!H52+Wed!H52+Fri!H52+'Mon '!H52+'Wed (2)'!H52+Sun!H52+Sat!H52)</f>
        <v>1</v>
      </c>
      <c r="I52" s="65">
        <f>('Thurs (2)'!I52+Thurs!I52+'Tues '!I52+Wed!I52+Fri!I52+'Mon '!I52+'Wed (2)'!I52+Sun!I52+Sat!I52)</f>
        <v>0</v>
      </c>
      <c r="J52" s="65">
        <f>('Thurs (2)'!J52+Thurs!J52+'Tues '!J52+Wed!J52+Fri!J52+'Mon '!J52+'Wed (2)'!J52+Sun!J52+Sat!J52)</f>
        <v>1</v>
      </c>
      <c r="K52" s="65">
        <f>('Thurs (2)'!K52+Thurs!K52+'Tues '!K52+Wed!K52+Fri!K52+'Mon '!K52+'Wed (2)'!K52+Sun!K52+Sat!K52)</f>
        <v>0</v>
      </c>
      <c r="L52" s="65">
        <f>('Thurs (2)'!L52+Thurs!L52+'Tues '!L52+Wed!L52+Fri!L52+'Mon '!L52+'Wed (2)'!L52+Sun!L52+Sat!L52)</f>
        <v>0</v>
      </c>
      <c r="M52" s="65">
        <f>('Thurs (2)'!M52+Thurs!M52+'Tues '!M52+Wed!M52+Fri!M52+'Mon '!M52+'Wed (2)'!M52+Sun!M52+Sat!M52)</f>
        <v>1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1</v>
      </c>
      <c r="S52" s="65">
        <f>('Thurs (2)'!S52+Thurs!S52+'Tues '!S52+Wed!S52+Fri!S52+'Mon '!S52+'Wed (2)'!S52+Sun!S52+Sat!S52)</f>
        <v>0</v>
      </c>
      <c r="T52" s="65">
        <f>('Thurs (2)'!T52+Thurs!T52+'Tues '!T52+Wed!T52+Fri!T52+'Mon '!T52+'Wed (2)'!T52+Sun!T52+Sat!T52)</f>
        <v>0</v>
      </c>
      <c r="U52" s="66">
        <f t="shared" si="4"/>
        <v>0</v>
      </c>
      <c r="V52" s="66">
        <f t="shared" si="5"/>
        <v>1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65">
        <f>('Thurs (2)'!G53+Thurs!G53+'Tues '!G53+Wed!G53+Fri!G53+'Mon '!G53+'Wed (2)'!G53+Sun!G53+Sat!G53)</f>
        <v>12</v>
      </c>
      <c r="H53" s="65">
        <f>('Thurs (2)'!H53+Thurs!H53+'Tues '!H53+Wed!H53+Fri!H53+'Mon '!H53+'Wed (2)'!H53+Sun!H53+Sat!H53)</f>
        <v>7</v>
      </c>
      <c r="I53" s="65">
        <f>('Thurs (2)'!I53+Thurs!I53+'Tues '!I53+Wed!I53+Fri!I53+'Mon '!I53+'Wed (2)'!I53+Sun!I53+Sat!I53)</f>
        <v>6</v>
      </c>
      <c r="J53" s="65">
        <f>('Thurs (2)'!J53+Thurs!J53+'Tues '!J53+Wed!J53+Fri!J53+'Mon '!J53+'Wed (2)'!J53+Sun!J53+Sat!J53)</f>
        <v>7</v>
      </c>
      <c r="K53" s="65">
        <f>('Thurs (2)'!K53+Thurs!K53+'Tues '!K53+Wed!K53+Fri!K53+'Mon '!K53+'Wed (2)'!K53+Sun!K53+Sat!K53)</f>
        <v>5</v>
      </c>
      <c r="L53" s="65">
        <f>('Thurs (2)'!L53+Thurs!L53+'Tues '!L53+Wed!L53+Fri!L53+'Mon '!L53+'Wed (2)'!L53+Sun!L53+Sat!L53)</f>
        <v>2</v>
      </c>
      <c r="M53" s="65">
        <f>('Thurs (2)'!M53+Thurs!M53+'Tues '!M53+Wed!M53+Fri!M53+'Mon '!M53+'Wed (2)'!M53+Sun!M53+Sat!M53)</f>
        <v>21</v>
      </c>
      <c r="N53" s="65">
        <f>('Thurs (2)'!N53+Thurs!N53+'Tues '!N53+Wed!N53+Fri!N53+'Mon '!N53+'Wed (2)'!N53+Sun!N53+Sat!N53)</f>
        <v>1</v>
      </c>
      <c r="O53" s="65">
        <f>('Thurs (2)'!O53+Thurs!O53+'Tues '!O53+Wed!O53+Fri!O53+'Mon '!O53+'Wed (2)'!O53+Sun!O53+Sat!O53)</f>
        <v>1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6</v>
      </c>
      <c r="S53" s="65">
        <f>('Thurs (2)'!S53+Thurs!S53+'Tues '!S53+Wed!S53+Fri!S53+'Mon '!S53+'Wed (2)'!S53+Sun!S53+Sat!S53)</f>
        <v>5</v>
      </c>
      <c r="T53" s="65">
        <f>('Thurs (2)'!T53+Thurs!T53+'Tues '!T53+Wed!T53+Fri!T53+'Mon '!T53+'Wed (2)'!T53+Sun!T53+Sat!T53)</f>
        <v>9489</v>
      </c>
      <c r="U53" s="66">
        <f t="shared" si="4"/>
        <v>0.8571428571</v>
      </c>
      <c r="V53" s="66">
        <f t="shared" si="5"/>
        <v>0.75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65">
        <f>('Thurs (2)'!G54+Thurs!G54+'Tues '!G54+Wed!G54+Fri!G54+'Mon '!G54+'Wed (2)'!G54+Sun!G54+Sat!G54)</f>
        <v>0</v>
      </c>
      <c r="H54" s="65">
        <f>('Thurs (2)'!H54+Thurs!H54+'Tues '!H54+Wed!H54+Fri!H54+'Mon '!H54+'Wed (2)'!H54+Sun!H54+Sat!H54)</f>
        <v>0</v>
      </c>
      <c r="I54" s="65">
        <f>('Thurs (2)'!I54+Thurs!I54+'Tues '!I54+Wed!I54+Fri!I54+'Mon '!I54+'Wed (2)'!I54+Sun!I54+Sat!I54)</f>
        <v>0</v>
      </c>
      <c r="J54" s="65">
        <f>('Thurs (2)'!J54+Thurs!J54+'Tues '!J54+Wed!J54+Fri!J54+'Mon '!J54+'Wed (2)'!J54+Sun!J54+Sat!J54)</f>
        <v>0</v>
      </c>
      <c r="K54" s="65">
        <f>('Thurs (2)'!K54+Thurs!K54+'Tues '!K54+Wed!K54+Fri!K54+'Mon '!K54+'Wed (2)'!K54+Sun!K54+Sat!K54)</f>
        <v>0</v>
      </c>
      <c r="L54" s="65">
        <f>('Thurs (2)'!L54+Thurs!L54+'Tues '!L54+Wed!L54+Fri!L54+'Mon '!L54+'Wed (2)'!L54+Sun!L54+Sat!L54)</f>
        <v>0</v>
      </c>
      <c r="M54" s="65">
        <f>('Thurs (2)'!M54+Thurs!M54+'Tues '!M54+Wed!M54+Fri!M54+'Mon '!M54+'Wed (2)'!M54+Sun!M54+Sat!M54)</f>
        <v>0</v>
      </c>
      <c r="N54" s="65">
        <f>('Thurs (2)'!N54+Thurs!N54+'Tues '!N54+Wed!N54+Fri!N54+'Mon '!N54+'Wed (2)'!N54+Sun!N54+Sat!N54)</f>
        <v>0</v>
      </c>
      <c r="O54" s="65">
        <f>('Thurs (2)'!O54+Thurs!O54+'Tues '!O54+Wed!O54+Fri!O54+'Mon '!O54+'Wed (2)'!O54+Sun!O54+Sat!O54)</f>
        <v>0</v>
      </c>
      <c r="P54" s="65">
        <f>('Thurs (2)'!P54+Thurs!P54+'Tues '!P54+Wed!P54+Fri!P54+'Mon '!P54+'Wed (2)'!P54+Sun!P54+Sat!P54)</f>
        <v>0</v>
      </c>
      <c r="Q54" s="65">
        <f>('Thurs (2)'!Q54+Thurs!Q54+'Tues '!Q54+Wed!Q54+Fri!Q54+'Mon '!Q54+'Wed (2)'!Q54+Sun!Q54+Sat!Q54)</f>
        <v>0</v>
      </c>
      <c r="R54" s="65">
        <f>('Thurs (2)'!R54+Thurs!R54+'Tues '!R54+Wed!R54+Fri!R54+'Mon '!R54+'Wed (2)'!R54+Sun!R54+Sat!R54)</f>
        <v>0</v>
      </c>
      <c r="S54" s="65">
        <f>('Thurs (2)'!S54+Thurs!S54+'Tues '!S54+Wed!S54+Fri!S54+'Mon '!S54+'Wed (2)'!S54+Sun!S54+Sat!S54)</f>
        <v>0</v>
      </c>
      <c r="T54" s="65">
        <f>('Thurs (2)'!T54+Thurs!T54+'Tues '!T54+Wed!T54+Fri!T54+'Mon '!T54+'Wed (2)'!T54+Sun!T54+Sat!T54)</f>
        <v>0</v>
      </c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>
        <f>('Thurs (2)'!G55+Thurs!G55+'Tues '!G55+Wed!G55+Fri!G55+'Mon '!G55+'Wed (2)'!G55+Sun!G55+Sat!G55)</f>
        <v>0</v>
      </c>
      <c r="H55" s="65">
        <f>('Thurs (2)'!H55+Thurs!H55+'Tues '!H55+Wed!H55+Fri!H55+'Mon '!H55+'Wed (2)'!H55+Sun!H55+Sat!H55)</f>
        <v>0</v>
      </c>
      <c r="I55" s="65">
        <f>('Thurs (2)'!I55+Thurs!I55+'Tues '!I55+Wed!I55+Fri!I55+'Mon '!I55+'Wed (2)'!I55+Sun!I55+Sat!I55)</f>
        <v>0</v>
      </c>
      <c r="J55" s="65">
        <f>('Thurs (2)'!J55+Thurs!J55+'Tues '!J55+Wed!J55+Fri!J55+'Mon '!J55+'Wed (2)'!J55+Sun!J55+Sat!J55)</f>
        <v>0</v>
      </c>
      <c r="K55" s="65">
        <f>('Thurs (2)'!K55+Thurs!K55+'Tues '!K55+Wed!K55+Fri!K55+'Mon '!K55+'Wed (2)'!K55+Sun!K55+Sat!K55)</f>
        <v>0</v>
      </c>
      <c r="L55" s="65">
        <f>('Thurs (2)'!L55+Thurs!L55+'Tues '!L55+Wed!L55+Fri!L55+'Mon '!L55+'Wed (2)'!L55+Sun!L55+Sat!L55)</f>
        <v>0</v>
      </c>
      <c r="M55" s="65">
        <f>('Thurs (2)'!M55+Thurs!M55+'Tues '!M55+Wed!M55+Fri!M55+'Mon '!M55+'Wed (2)'!M55+Sun!M55+Sat!M55)</f>
        <v>0</v>
      </c>
      <c r="N55" s="65">
        <f>('Thurs (2)'!N55+Thurs!N55+'Tues '!N55+Wed!N55+Fri!N55+'Mon '!N55+'Wed (2)'!N55+Sun!N55+Sat!N55)</f>
        <v>0</v>
      </c>
      <c r="O55" s="65">
        <f>('Thurs (2)'!O55+Thurs!O55+'Tues '!O55+Wed!O55+Fri!O55+'Mon '!O55+'Wed (2)'!O55+Sun!O55+Sat!O55)</f>
        <v>0</v>
      </c>
      <c r="P55" s="65">
        <f>('Thurs (2)'!P55+Thurs!P55+'Tues '!P55+Wed!P55+Fri!P55+'Mon '!P55+'Wed (2)'!P55+Sun!P55+Sat!P55)</f>
        <v>0</v>
      </c>
      <c r="Q55" s="65">
        <f>('Thurs (2)'!Q55+Thurs!Q55+'Tues '!Q55+Wed!Q55+Fri!Q55+'Mon '!Q55+'Wed (2)'!Q55+Sun!Q55+Sat!Q55)</f>
        <v>0</v>
      </c>
      <c r="R55" s="65">
        <f>('Thurs (2)'!R55+Thurs!R55+'Tues '!R55+Wed!R55+Fri!R55+'Mon '!R55+'Wed (2)'!R55+Sun!R55+Sat!R55)</f>
        <v>0</v>
      </c>
      <c r="S55" s="65">
        <f>('Thurs (2)'!S55+Thurs!S55+'Tues '!S55+Wed!S55+Fri!S55+'Mon '!S55+'Wed (2)'!S55+Sun!S55+Sat!S55)</f>
        <v>0</v>
      </c>
      <c r="T55" s="65">
        <f>('Thurs (2)'!T55+Thurs!T55+'Tues '!T55+Wed!T55+Fri!T55+'Mon '!T55+'Wed (2)'!T55+Sun!T55+Sat!T55)</f>
        <v>0</v>
      </c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>
        <f>('Thurs (2)'!G56+Thurs!G56+'Tues '!G56+Wed!G56+Fri!G56+'Mon '!G56+'Wed (2)'!G56+Sun!G56+Sat!G56)</f>
        <v>0</v>
      </c>
      <c r="H56" s="65">
        <f>('Thurs (2)'!H56+Thurs!H56+'Tues '!H56+Wed!H56+Fri!H56+'Mon '!H56+'Wed (2)'!H56+Sun!H56+Sat!H56)</f>
        <v>0</v>
      </c>
      <c r="I56" s="65">
        <f>('Thurs (2)'!I56+Thurs!I56+'Tues '!I56+Wed!I56+Fri!I56+'Mon '!I56+'Wed (2)'!I56+Sun!I56+Sat!I56)</f>
        <v>0</v>
      </c>
      <c r="J56" s="65">
        <f>('Thurs (2)'!J56+Thurs!J56+'Tues '!J56+Wed!J56+Fri!J56+'Mon '!J56+'Wed (2)'!J56+Sun!J56+Sat!J56)</f>
        <v>0</v>
      </c>
      <c r="K56" s="65">
        <f>('Thurs (2)'!K56+Thurs!K56+'Tues '!K56+Wed!K56+Fri!K56+'Mon '!K56+'Wed (2)'!K56+Sun!K56+Sat!K56)</f>
        <v>0</v>
      </c>
      <c r="L56" s="65">
        <f>('Thurs (2)'!L56+Thurs!L56+'Tues '!L56+Wed!L56+Fri!L56+'Mon '!L56+'Wed (2)'!L56+Sun!L56+Sat!L56)</f>
        <v>0</v>
      </c>
      <c r="M56" s="65">
        <f>('Thurs (2)'!M56+Thurs!M56+'Tues '!M56+Wed!M56+Fri!M56+'Mon '!M56+'Wed (2)'!M56+Sun!M56+Sat!M56)</f>
        <v>0</v>
      </c>
      <c r="N56" s="65">
        <f>('Thurs (2)'!N56+Thurs!N56+'Tues '!N56+Wed!N56+Fri!N56+'Mon '!N56+'Wed (2)'!N56+Sun!N56+Sat!N56)</f>
        <v>0</v>
      </c>
      <c r="O56" s="65">
        <f>('Thurs (2)'!O56+Thurs!O56+'Tues '!O56+Wed!O56+Fri!O56+'Mon '!O56+'Wed (2)'!O56+Sun!O56+Sat!O56)</f>
        <v>0</v>
      </c>
      <c r="P56" s="65">
        <f>('Thurs (2)'!P56+Thurs!P56+'Tues '!P56+Wed!P56+Fri!P56+'Mon '!P56+'Wed (2)'!P56+Sun!P56+Sat!P56)</f>
        <v>0</v>
      </c>
      <c r="Q56" s="65">
        <f>('Thurs (2)'!Q56+Thurs!Q56+'Tues '!Q56+Wed!Q56+Fri!Q56+'Mon '!Q56+'Wed (2)'!Q56+Sun!Q56+Sat!Q56)</f>
        <v>0</v>
      </c>
      <c r="R56" s="65">
        <f>('Thurs (2)'!R56+Thurs!R56+'Tues '!R56+Wed!R56+Fri!R56+'Mon '!R56+'Wed (2)'!R56+Sun!R56+Sat!R56)</f>
        <v>0</v>
      </c>
      <c r="S56" s="65">
        <f>('Thurs (2)'!S56+Thurs!S56+'Tues '!S56+Wed!S56+Fri!S56+'Mon '!S56+'Wed (2)'!S56+Sun!S56+Sat!S56)</f>
        <v>0</v>
      </c>
      <c r="T56" s="65">
        <f>('Thurs (2)'!T56+Thurs!T56+'Tues '!T56+Wed!T56+Fri!T56+'Mon '!T56+'Wed (2)'!T56+Sun!T56+Sat!T56)</f>
        <v>0</v>
      </c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1032</v>
      </c>
      <c r="D2" s="9"/>
      <c r="E2" s="8">
        <f t="shared" ref="E2:R2" si="1">SUM(E5,E11)</f>
        <v>0</v>
      </c>
      <c r="F2" s="8">
        <f t="shared" si="1"/>
        <v>2</v>
      </c>
      <c r="G2" s="10">
        <f t="shared" si="1"/>
        <v>1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1032</v>
      </c>
      <c r="F4" s="20">
        <f>IFERROR((G2+R2)/F2,0)</f>
        <v>0.5</v>
      </c>
      <c r="G4" s="20">
        <f>IFERROR(H2/G2,0)</f>
        <v>1</v>
      </c>
      <c r="H4" s="19">
        <f>(C2/C4)</f>
        <v>28.66666667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1032</v>
      </c>
      <c r="D11" s="26"/>
      <c r="E11" s="27">
        <f>SUMIFS(T:T,A:A,B11,D:D,"Y")</f>
        <v>0</v>
      </c>
      <c r="F11" s="8">
        <f>SUMIF(A:A,B11,G:G)</f>
        <v>2</v>
      </c>
      <c r="G11" s="10">
        <f>SUMIF(A:A,B11,H:H)</f>
        <v>1</v>
      </c>
      <c r="H11" s="10">
        <f>SUMIF(A:A,B11,I:I)</f>
        <v>1</v>
      </c>
      <c r="I11" s="10">
        <f>SUMIF(A:A,B11,P:P)</f>
        <v>0</v>
      </c>
      <c r="J11" s="10">
        <f>SUMIF(A:A,B11,Q:Q)</f>
        <v>0</v>
      </c>
      <c r="K11" s="10">
        <f>SUMIF(A:A,B11,R:R)</f>
        <v>1</v>
      </c>
      <c r="L11" s="10">
        <f>SUMIF(A:A,B11,S:S)</f>
        <v>1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1032</v>
      </c>
      <c r="F13" s="20">
        <f>IFERROR((G11+R11)/F11,0)</f>
        <v>0.5</v>
      </c>
      <c r="G13" s="20">
        <f>IFERROR(H11/G11,0)</f>
        <v>1</v>
      </c>
      <c r="H13" s="19">
        <f>(C11/C13)</f>
        <v>54.31578947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0</v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1032</v>
      </c>
      <c r="D14" s="36"/>
      <c r="E14" s="37">
        <f>SUMIFS(T:T,B:B,B14,D:D,"Y")</f>
        <v>0</v>
      </c>
      <c r="F14" s="38">
        <f>SUMIF(B19:B1129,B14,G19:G1129)</f>
        <v>2</v>
      </c>
      <c r="G14" s="39">
        <f>SUMIF(B19:B1129,B14,H19:H1129)</f>
        <v>1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1032</v>
      </c>
      <c r="F16" s="51">
        <f>IFERROR((G14+R14)/F14,0)</f>
        <v>0.5</v>
      </c>
      <c r="G16" s="51">
        <f>IFERROR(H14/G14,0)</f>
        <v>1</v>
      </c>
      <c r="H16" s="50">
        <f>(C14/C16)</f>
        <v>57.33333333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0</v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4">IFERROR(I38/H38,0)</f>
        <v>0</v>
      </c>
      <c r="V38" s="66">
        <f t="shared" ref="V38:V56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105">
        <v>1.0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105">
        <v>1.0</v>
      </c>
      <c r="H47" s="105">
        <v>1.0</v>
      </c>
      <c r="I47" s="105">
        <v>1.0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1.0</v>
      </c>
      <c r="S47" s="105">
        <v>1.0</v>
      </c>
      <c r="T47" s="105">
        <v>1032.0</v>
      </c>
      <c r="U47" s="66">
        <f t="shared" si="4"/>
        <v>1</v>
      </c>
      <c r="V47" s="66">
        <f t="shared" si="5"/>
        <v>1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105">
        <v>0.0</v>
      </c>
      <c r="H54" s="105">
        <v>0.0</v>
      </c>
      <c r="I54" s="105">
        <v>0.0</v>
      </c>
      <c r="J54" s="105">
        <v>0.0</v>
      </c>
      <c r="K54" s="105">
        <v>0.0</v>
      </c>
      <c r="L54" s="105">
        <v>0.0</v>
      </c>
      <c r="M54" s="105">
        <v>0.0</v>
      </c>
      <c r="N54" s="105">
        <v>0.0</v>
      </c>
      <c r="O54" s="105">
        <v>0.0</v>
      </c>
      <c r="P54" s="105">
        <v>0.0</v>
      </c>
      <c r="Q54" s="105">
        <v>0.0</v>
      </c>
      <c r="R54" s="105">
        <v>0.0</v>
      </c>
      <c r="S54" s="105">
        <v>0.0</v>
      </c>
      <c r="T54" s="105">
        <v>0.0</v>
      </c>
      <c r="U54" s="66">
        <f t="shared" si="4"/>
        <v>0</v>
      </c>
      <c r="V54" s="66">
        <f t="shared" si="5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4"/>
        <v>0</v>
      </c>
      <c r="V55" s="66">
        <f t="shared" si="5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4"/>
        <v>0</v>
      </c>
      <c r="V56" s="66">
        <f t="shared" si="5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8401</v>
      </c>
      <c r="D2" s="9"/>
      <c r="E2" s="8">
        <f t="shared" ref="E2:R2" si="1">SUM(E5,E11)</f>
        <v>0</v>
      </c>
      <c r="F2" s="8">
        <f t="shared" si="1"/>
        <v>19</v>
      </c>
      <c r="G2" s="10">
        <f t="shared" si="1"/>
        <v>10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8</v>
      </c>
      <c r="L2" s="10">
        <f t="shared" si="1"/>
        <v>4</v>
      </c>
      <c r="M2" s="10">
        <f t="shared" si="1"/>
        <v>4</v>
      </c>
      <c r="N2" s="10">
        <f t="shared" si="1"/>
        <v>0</v>
      </c>
      <c r="O2" s="10">
        <f t="shared" si="1"/>
        <v>0</v>
      </c>
      <c r="P2" s="10">
        <f t="shared" si="1"/>
        <v>5</v>
      </c>
      <c r="Q2" s="10">
        <f t="shared" si="1"/>
        <v>3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36</v>
      </c>
      <c r="D4" s="14"/>
      <c r="E4" s="19">
        <f>IFERROR(C2/H2,0)</f>
        <v>2100.25</v>
      </c>
      <c r="F4" s="20">
        <f>IFERROR((G2+R2)/F2,0)</f>
        <v>0.5789473684</v>
      </c>
      <c r="G4" s="20">
        <f>IFERROR(H2/G2,0)</f>
        <v>0.4</v>
      </c>
      <c r="H4" s="19">
        <f>(C2/C4)</f>
        <v>233.3611111</v>
      </c>
      <c r="I4" s="21"/>
      <c r="J4" s="20">
        <f>IFERROR(J2/I2,0)</f>
        <v>0</v>
      </c>
      <c r="K4" s="21"/>
      <c r="L4" s="20">
        <f>IFERROR(L2/K2,0)</f>
        <v>0.5</v>
      </c>
      <c r="M4" s="22">
        <f>IFERROR(M2/G2,0)</f>
        <v>0.4</v>
      </c>
      <c r="N4" s="21"/>
      <c r="O4" s="20">
        <f>IFERROR(O2/N2,0)</f>
        <v>0</v>
      </c>
      <c r="P4" s="22"/>
      <c r="Q4" s="20">
        <f>IFERROR(Q2/P2,0)</f>
        <v>0.6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8401</v>
      </c>
      <c r="D11" s="26"/>
      <c r="E11" s="27">
        <f>SUMIFS(T:T,A:A,B11,D:D,"Y")</f>
        <v>0</v>
      </c>
      <c r="F11" s="8">
        <f>SUMIF(A:A,B11,G:G)</f>
        <v>19</v>
      </c>
      <c r="G11" s="10">
        <f>SUMIF(A:A,B11,H:H)</f>
        <v>10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8</v>
      </c>
      <c r="L11" s="10">
        <f>SUMIF(A:A,B11,S:S)</f>
        <v>4</v>
      </c>
      <c r="M11" s="10">
        <f>SUMIF(A:A,B11,M:M)</f>
        <v>4</v>
      </c>
      <c r="N11" s="10">
        <f>SUMIF(A:A,B11,N:N)</f>
        <v>0</v>
      </c>
      <c r="O11" s="10">
        <f>SUMIF(A:A,B11,O:O)</f>
        <v>0</v>
      </c>
      <c r="P11" s="10">
        <f>SUMIF(A:A,B11,J:J)</f>
        <v>5</v>
      </c>
      <c r="Q11" s="10">
        <f>SUMIF(A:A,B11,K:K)</f>
        <v>3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19</v>
      </c>
      <c r="D13" s="30"/>
      <c r="E13" s="19">
        <f>IFERROR(C11/H11,0)</f>
        <v>2100.25</v>
      </c>
      <c r="F13" s="20">
        <f>IFERROR((G11+R11)/F11,0)</f>
        <v>0.5789473684</v>
      </c>
      <c r="G13" s="20">
        <f>IFERROR(H11/G11,0)</f>
        <v>0.4</v>
      </c>
      <c r="H13" s="19">
        <f>(C11/C13)</f>
        <v>442.1578947</v>
      </c>
      <c r="I13" s="21"/>
      <c r="J13" s="20">
        <f>IFERROR(J11/I11,0)</f>
        <v>0</v>
      </c>
      <c r="K13" s="21"/>
      <c r="L13" s="20">
        <f>IFERROR(L11/K11,0)</f>
        <v>0.5</v>
      </c>
      <c r="M13" s="22">
        <f>IFERROR(M11/SUM(R11+G11,0),"")</f>
        <v>0.3636363636</v>
      </c>
      <c r="N13" s="21"/>
      <c r="O13" s="20">
        <f>IFERROR(O11/N11,0)</f>
        <v>0</v>
      </c>
      <c r="P13" s="22"/>
      <c r="Q13" s="20">
        <f>IFERROR(Q11/P11,0)</f>
        <v>0.6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8401</v>
      </c>
      <c r="D14" s="36"/>
      <c r="E14" s="37">
        <f>SUMIFS(T:T,B:B,B14,D:D,"Y")</f>
        <v>0</v>
      </c>
      <c r="F14" s="38">
        <f>SUMIF(B19:B1129,B14,G19:G1129)</f>
        <v>19</v>
      </c>
      <c r="G14" s="39">
        <f>SUMIF(B19:B1129,B14,H19:H1129)</f>
        <v>10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8</v>
      </c>
      <c r="L14" s="39">
        <f>SUMIF(B19:B1129,B14,S19:S1129)</f>
        <v>4</v>
      </c>
      <c r="M14" s="39">
        <f>SUMIF(B19:B1129,B14,M19:M1129)</f>
        <v>4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5</v>
      </c>
      <c r="Q14" s="39">
        <f>SUMIF(B19:B1129,B14,K19:K1129)</f>
        <v>3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2100.25</v>
      </c>
      <c r="F16" s="51">
        <f>IFERROR((G14+R14)/F14,0)</f>
        <v>0.5789473684</v>
      </c>
      <c r="G16" s="51">
        <f>IFERROR(H14/G14,0)</f>
        <v>0.4</v>
      </c>
      <c r="H16" s="50">
        <f>(C14/C16)</f>
        <v>466.7222222</v>
      </c>
      <c r="I16" s="46"/>
      <c r="J16" s="51">
        <f>IFERROR(J14/I14,0)</f>
        <v>0</v>
      </c>
      <c r="K16" s="46"/>
      <c r="L16" s="51">
        <f>IFERROR(L14/K14,0)</f>
        <v>0.5</v>
      </c>
      <c r="M16" s="52">
        <f>IFERROR(M14/SUM(G14+R14,0),"")</f>
        <v>0.3636363636</v>
      </c>
      <c r="N16" s="46"/>
      <c r="O16" s="51">
        <f>IFERROR(O14/N14,0)</f>
        <v>0</v>
      </c>
      <c r="P16" s="53"/>
      <c r="Q16" s="51">
        <f>IFERROR(Q14/P14,0)</f>
        <v>0.6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7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10">
        <v>0.0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10">
        <v>0.0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ref="U30:U36" si="4">IFERROR(I30/H30,0)</f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77" t="s">
        <v>26</v>
      </c>
      <c r="B32" s="78" t="s">
        <v>27</v>
      </c>
      <c r="C32" s="88" t="s">
        <v>60</v>
      </c>
      <c r="D32" s="80" t="s">
        <v>46</v>
      </c>
      <c r="E32" s="78"/>
      <c r="F32" s="88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60</v>
      </c>
      <c r="D33" s="84"/>
      <c r="E33" s="82"/>
      <c r="F33" s="89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60</v>
      </c>
      <c r="D34" s="84"/>
      <c r="E34" s="82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60</v>
      </c>
      <c r="D35" s="84"/>
      <c r="E35" s="82"/>
      <c r="F35" s="89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82" t="s">
        <v>60</v>
      </c>
      <c r="D36" s="84"/>
      <c r="E36" s="82"/>
      <c r="F36" s="89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0" t="s">
        <v>28</v>
      </c>
      <c r="B38" s="90"/>
      <c r="C38" s="90"/>
      <c r="D38" s="91" t="s">
        <v>46</v>
      </c>
      <c r="E38" s="90" t="s">
        <v>47</v>
      </c>
      <c r="F38" s="90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6" si="5">IFERROR(I38/H38,0)</f>
        <v>0</v>
      </c>
      <c r="V38" s="66">
        <f t="shared" ref="V38:V56" si="6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2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3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4" t="s">
        <v>47</v>
      </c>
      <c r="F42" s="83" t="s">
        <v>67</v>
      </c>
      <c r="G42" s="105">
        <v>5.0</v>
      </c>
      <c r="H42" s="105">
        <v>2.0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2.0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0.4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4" t="s">
        <v>47</v>
      </c>
      <c r="F43" s="83" t="s">
        <v>68</v>
      </c>
      <c r="G43" s="105">
        <v>1.0</v>
      </c>
      <c r="H43" s="105">
        <v>1.0</v>
      </c>
      <c r="I43" s="105">
        <v>1.0</v>
      </c>
      <c r="J43" s="105">
        <v>1.0</v>
      </c>
      <c r="K43" s="105">
        <v>1.0</v>
      </c>
      <c r="L43" s="105">
        <v>0.0</v>
      </c>
      <c r="M43" s="105">
        <v>1.0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1439.0</v>
      </c>
      <c r="U43" s="66">
        <f t="shared" si="5"/>
        <v>1</v>
      </c>
      <c r="V43" s="66">
        <f t="shared" si="6"/>
        <v>1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4" t="s">
        <v>47</v>
      </c>
      <c r="F44" s="83" t="s">
        <v>69</v>
      </c>
      <c r="G44" s="105">
        <v>3.0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1920.0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4" t="s">
        <v>47</v>
      </c>
      <c r="F45" s="83" t="s">
        <v>70</v>
      </c>
      <c r="G45" s="105">
        <v>5.0</v>
      </c>
      <c r="H45" s="105">
        <v>3.0</v>
      </c>
      <c r="I45" s="105">
        <v>1.0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1.0</v>
      </c>
      <c r="S45" s="105">
        <v>1.0</v>
      </c>
      <c r="T45" s="105">
        <v>2435.0</v>
      </c>
      <c r="U45" s="66">
        <f t="shared" si="5"/>
        <v>0.3333333333</v>
      </c>
      <c r="V45" s="66">
        <f t="shared" si="6"/>
        <v>0.6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5"/>
      <c r="E48" s="82" t="s">
        <v>47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5"/>
      <c r="E49" s="82" t="s">
        <v>47</v>
      </c>
      <c r="F49" s="8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5"/>
      <c r="E50" s="82" t="s">
        <v>47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5"/>
      <c r="E51" s="82" t="s">
        <v>47</v>
      </c>
      <c r="F51" s="89" t="s">
        <v>76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5"/>
      <c r="E52" s="82" t="s">
        <v>77</v>
      </c>
      <c r="F52" s="89" t="s">
        <v>78</v>
      </c>
      <c r="G52" s="105">
        <v>1.0</v>
      </c>
      <c r="H52" s="105">
        <v>1.0</v>
      </c>
      <c r="I52" s="105">
        <v>0.0</v>
      </c>
      <c r="J52" s="105">
        <v>1.0</v>
      </c>
      <c r="K52" s="105">
        <v>0.0</v>
      </c>
      <c r="L52" s="105">
        <v>0.0</v>
      </c>
      <c r="M52" s="105">
        <v>1.0</v>
      </c>
      <c r="N52" s="105">
        <v>0.0</v>
      </c>
      <c r="O52" s="105">
        <v>0.0</v>
      </c>
      <c r="P52" s="105">
        <v>0.0</v>
      </c>
      <c r="Q52" s="105">
        <v>0.0</v>
      </c>
      <c r="R52" s="105">
        <v>1.0</v>
      </c>
      <c r="S52" s="105">
        <v>0.0</v>
      </c>
      <c r="T52" s="105">
        <v>0.0</v>
      </c>
      <c r="U52" s="66">
        <f t="shared" si="5"/>
        <v>0</v>
      </c>
      <c r="V52" s="66">
        <f t="shared" si="6"/>
        <v>1</v>
      </c>
    </row>
    <row r="53" ht="12.75" customHeight="1">
      <c r="A53" s="81" t="s">
        <v>28</v>
      </c>
      <c r="B53" s="82" t="s">
        <v>29</v>
      </c>
      <c r="C53" s="81" t="s">
        <v>65</v>
      </c>
      <c r="D53" s="95"/>
      <c r="E53" s="82" t="s">
        <v>79</v>
      </c>
      <c r="F53" s="89" t="s">
        <v>80</v>
      </c>
      <c r="G53" s="105">
        <v>4.0</v>
      </c>
      <c r="H53" s="105">
        <v>3.0</v>
      </c>
      <c r="I53" s="105">
        <v>2.0</v>
      </c>
      <c r="J53" s="105">
        <v>3.0</v>
      </c>
      <c r="K53" s="105">
        <v>2.0</v>
      </c>
      <c r="L53" s="105">
        <v>1.0</v>
      </c>
      <c r="M53" s="105">
        <v>2.0</v>
      </c>
      <c r="N53" s="105">
        <v>0.0</v>
      </c>
      <c r="O53" s="105">
        <v>0.0</v>
      </c>
      <c r="P53" s="105">
        <v>0.0</v>
      </c>
      <c r="Q53" s="105">
        <v>0.0</v>
      </c>
      <c r="R53" s="105">
        <v>3.0</v>
      </c>
      <c r="S53" s="105">
        <v>2.0</v>
      </c>
      <c r="T53" s="105">
        <v>2607.0</v>
      </c>
      <c r="U53" s="66">
        <f t="shared" si="5"/>
        <v>0.6666666667</v>
      </c>
      <c r="V53" s="66">
        <f t="shared" si="6"/>
        <v>1</v>
      </c>
    </row>
    <row r="54" ht="12.75" customHeight="1">
      <c r="A54" s="81" t="s">
        <v>28</v>
      </c>
      <c r="B54" s="82" t="s">
        <v>29</v>
      </c>
      <c r="C54" s="81" t="s">
        <v>65</v>
      </c>
      <c r="D54" s="95"/>
      <c r="E54" s="82"/>
      <c r="F54" s="89" t="s">
        <v>81</v>
      </c>
      <c r="G54" s="105">
        <v>0.0</v>
      </c>
      <c r="H54" s="105">
        <v>0.0</v>
      </c>
      <c r="I54" s="105">
        <v>0.0</v>
      </c>
      <c r="J54" s="105">
        <v>0.0</v>
      </c>
      <c r="K54" s="105">
        <v>0.0</v>
      </c>
      <c r="L54" s="105">
        <v>0.0</v>
      </c>
      <c r="M54" s="105">
        <v>0.0</v>
      </c>
      <c r="N54" s="105">
        <v>0.0</v>
      </c>
      <c r="O54" s="105">
        <v>0.0</v>
      </c>
      <c r="P54" s="105">
        <v>0.0</v>
      </c>
      <c r="Q54" s="105">
        <v>0.0</v>
      </c>
      <c r="R54" s="105">
        <v>0.0</v>
      </c>
      <c r="S54" s="105">
        <v>0.0</v>
      </c>
      <c r="T54" s="105">
        <v>0.0</v>
      </c>
      <c r="U54" s="66">
        <f t="shared" si="5"/>
        <v>0</v>
      </c>
      <c r="V54" s="66">
        <f t="shared" si="6"/>
        <v>0</v>
      </c>
    </row>
    <row r="55" ht="12.75" customHeight="1">
      <c r="A55" s="81" t="s">
        <v>28</v>
      </c>
      <c r="B55" s="82" t="s">
        <v>29</v>
      </c>
      <c r="C55" s="81" t="s">
        <v>65</v>
      </c>
      <c r="D55" s="95"/>
      <c r="E55" s="82" t="s">
        <v>47</v>
      </c>
      <c r="F55" s="89" t="s">
        <v>82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6">
        <f t="shared" si="5"/>
        <v>0</v>
      </c>
      <c r="V55" s="66">
        <f t="shared" si="6"/>
        <v>0</v>
      </c>
    </row>
    <row r="56" ht="12.75" customHeight="1">
      <c r="A56" s="81" t="s">
        <v>28</v>
      </c>
      <c r="B56" s="82" t="s">
        <v>29</v>
      </c>
      <c r="C56" s="81" t="s">
        <v>65</v>
      </c>
      <c r="D56" s="95"/>
      <c r="E56" s="82" t="s">
        <v>47</v>
      </c>
      <c r="F56" s="89" t="s">
        <v>83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6">
        <f t="shared" si="5"/>
        <v>0</v>
      </c>
      <c r="V56" s="66">
        <f t="shared" si="6"/>
        <v>0</v>
      </c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96"/>
      <c r="B561" s="96"/>
      <c r="C561" s="96"/>
      <c r="D561" s="1"/>
      <c r="E561" s="96"/>
      <c r="F561" s="97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9"/>
      <c r="V561" s="99"/>
    </row>
    <row r="562" ht="12.75" customHeight="1">
      <c r="A562" s="96"/>
      <c r="B562" s="96"/>
      <c r="C562" s="96"/>
      <c r="D562" s="1"/>
      <c r="E562" s="96"/>
      <c r="F562" s="97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9"/>
      <c r="V562" s="99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1680</v>
      </c>
      <c r="D2" s="117"/>
      <c r="E2" s="116">
        <f t="shared" ref="E2:R2" si="1">SUM(E5,E11)</f>
        <v>0</v>
      </c>
      <c r="F2" s="116">
        <f t="shared" si="1"/>
        <v>5</v>
      </c>
      <c r="G2" s="118">
        <f t="shared" si="1"/>
        <v>2</v>
      </c>
      <c r="H2" s="118">
        <f t="shared" si="1"/>
        <v>1</v>
      </c>
      <c r="I2" s="118">
        <f t="shared" si="1"/>
        <v>0</v>
      </c>
      <c r="J2" s="118">
        <f t="shared" si="1"/>
        <v>0</v>
      </c>
      <c r="K2" s="118">
        <f t="shared" si="1"/>
        <v>1</v>
      </c>
      <c r="L2" s="118">
        <f t="shared" si="1"/>
        <v>1</v>
      </c>
      <c r="M2" s="118">
        <f t="shared" si="1"/>
        <v>0</v>
      </c>
      <c r="N2" s="118">
        <f t="shared" si="1"/>
        <v>0</v>
      </c>
      <c r="O2" s="118">
        <f t="shared" si="1"/>
        <v>0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36</v>
      </c>
      <c r="D4" s="120"/>
      <c r="E4" s="50">
        <f>IFERROR(C2/H2,0)</f>
        <v>1680</v>
      </c>
      <c r="F4" s="51">
        <f>IFERROR((G2+R2)/F2,0)</f>
        <v>0.4</v>
      </c>
      <c r="G4" s="51">
        <f>IFERROR(H2/G2,0)</f>
        <v>0.5</v>
      </c>
      <c r="H4" s="50">
        <f>(C2/C4)</f>
        <v>46.66666667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0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1680</v>
      </c>
      <c r="D11" s="125"/>
      <c r="E11" s="126">
        <f>SUMIFS(T:T,A:A,B11,D:D,"Y")</f>
        <v>0</v>
      </c>
      <c r="F11" s="116">
        <f>SUMIF(A:A,B11,G:G)</f>
        <v>5</v>
      </c>
      <c r="G11" s="118">
        <f>SUMIF(A:A,B11,H:H)</f>
        <v>2</v>
      </c>
      <c r="H11" s="118">
        <f>SUMIF(A:A,B11,I:I)</f>
        <v>1</v>
      </c>
      <c r="I11" s="118">
        <f>SUMIF(A:A,B11,P:P)</f>
        <v>0</v>
      </c>
      <c r="J11" s="118">
        <f>SUMIF(A:A,B11,Q:Q)</f>
        <v>0</v>
      </c>
      <c r="K11" s="118">
        <f>SUMIF(A:A,B11,R:R)</f>
        <v>1</v>
      </c>
      <c r="L11" s="118">
        <f>SUMIF(A:A,B11,S:S)</f>
        <v>1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19</v>
      </c>
      <c r="D13" s="42"/>
      <c r="E13" s="50">
        <f>IFERROR(C11/H11,0)</f>
        <v>1680</v>
      </c>
      <c r="F13" s="51">
        <f>IFERROR((G11+R11)/F11,0)</f>
        <v>0.4</v>
      </c>
      <c r="G13" s="51">
        <f>IFERROR(H11/G11,0)</f>
        <v>0.5</v>
      </c>
      <c r="H13" s="50">
        <f>(C11/C13)</f>
        <v>88.42105263</v>
      </c>
      <c r="I13" s="46"/>
      <c r="J13" s="51">
        <f>IFERROR(J11/I11,0)</f>
        <v>0</v>
      </c>
      <c r="K13" s="46"/>
      <c r="L13" s="51">
        <f>IFERROR(L11/K11,0)</f>
        <v>1</v>
      </c>
      <c r="M13" s="53">
        <f>IFERROR(M11/SUM(R11+G11,0),"")</f>
        <v>0</v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1680</v>
      </c>
      <c r="D14" s="36"/>
      <c r="E14" s="37">
        <f>SUMIFS(T:T,B:B,B14,D:D,"Y")</f>
        <v>0</v>
      </c>
      <c r="F14" s="38">
        <f>SUMIF(B19:B1129,B14,G19:G1129)</f>
        <v>5</v>
      </c>
      <c r="G14" s="39">
        <f>SUMIF(B19:B1129,B14,H19:H1129)</f>
        <v>2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1680</v>
      </c>
      <c r="F16" s="51">
        <f>IFERROR((G14+R14)/F14,0)</f>
        <v>0.4</v>
      </c>
      <c r="G16" s="51">
        <f>IFERROR(H14/G14,0)</f>
        <v>0.5</v>
      </c>
      <c r="H16" s="50">
        <f>(C14/C16)</f>
        <v>93.33333333</v>
      </c>
      <c r="I16" s="46"/>
      <c r="J16" s="51">
        <f>IFERROR(J14/I14,0)</f>
        <v>0</v>
      </c>
      <c r="K16" s="46"/>
      <c r="L16" s="51">
        <f>IFERROR(L14/K14,0)</f>
        <v>1</v>
      </c>
      <c r="M16" s="53">
        <f>IFERROR(M14/SUM(G14+R14,0),"")</f>
        <v>0</v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7" si="2">IFERROR(I20/H20,0)</f>
        <v>0</v>
      </c>
      <c r="V20" s="131">
        <f t="shared" ref="V20:V29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6" t="s">
        <v>26</v>
      </c>
      <c r="B22" s="137" t="s">
        <v>27</v>
      </c>
      <c r="C22" s="137" t="s">
        <v>48</v>
      </c>
      <c r="D22" s="138" t="s">
        <v>46</v>
      </c>
      <c r="E22" s="137" t="s">
        <v>47</v>
      </c>
      <c r="F22" s="137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39" t="s">
        <v>26</v>
      </c>
      <c r="B23" s="140" t="s">
        <v>27</v>
      </c>
      <c r="C23" s="140" t="s">
        <v>48</v>
      </c>
      <c r="D23" s="75"/>
      <c r="E23" s="141"/>
      <c r="F23" s="63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2" t="s">
        <v>26</v>
      </c>
      <c r="B24" s="143" t="s">
        <v>27</v>
      </c>
      <c r="C24" s="144" t="s">
        <v>51</v>
      </c>
      <c r="D24" s="145" t="s">
        <v>46</v>
      </c>
      <c r="E24" s="143" t="s">
        <v>47</v>
      </c>
      <c r="F24" s="144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6" t="s">
        <v>26</v>
      </c>
      <c r="B25" s="147" t="s">
        <v>27</v>
      </c>
      <c r="C25" s="148" t="s">
        <v>51</v>
      </c>
      <c r="D25" s="84"/>
      <c r="E25" s="147" t="s">
        <v>47</v>
      </c>
      <c r="F25" s="148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46" t="s">
        <v>26</v>
      </c>
      <c r="B26" s="147" t="s">
        <v>27</v>
      </c>
      <c r="C26" s="148" t="s">
        <v>51</v>
      </c>
      <c r="D26" s="84"/>
      <c r="E26" s="147" t="s">
        <v>47</v>
      </c>
      <c r="F26" s="148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6" t="s">
        <v>26</v>
      </c>
      <c r="B27" s="147" t="s">
        <v>27</v>
      </c>
      <c r="C27" s="148" t="s">
        <v>51</v>
      </c>
      <c r="D27" s="84"/>
      <c r="E27" s="147" t="s">
        <v>47</v>
      </c>
      <c r="F27" s="148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6" t="s">
        <v>26</v>
      </c>
      <c r="B28" s="137" t="s">
        <v>27</v>
      </c>
      <c r="C28" s="149" t="s">
        <v>55</v>
      </c>
      <c r="D28" s="150" t="s">
        <v>46</v>
      </c>
      <c r="E28" s="151" t="s">
        <v>47</v>
      </c>
      <c r="F28" s="149" t="s">
        <v>55</v>
      </c>
      <c r="G28" s="152">
        <v>0.0</v>
      </c>
      <c r="H28" s="152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3">
        <v>0.0</v>
      </c>
      <c r="V28" s="131">
        <f t="shared" si="3"/>
        <v>0</v>
      </c>
    </row>
    <row r="29" ht="12.75" customHeight="1">
      <c r="A29" s="139" t="s">
        <v>26</v>
      </c>
      <c r="B29" s="140" t="s">
        <v>27</v>
      </c>
      <c r="C29" s="140" t="s">
        <v>55</v>
      </c>
      <c r="D29" s="75"/>
      <c r="E29" s="140" t="s">
        <v>47</v>
      </c>
      <c r="F29" s="63" t="s">
        <v>56</v>
      </c>
      <c r="G29" s="152">
        <v>0.0</v>
      </c>
      <c r="H29" s="152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3">
        <v>0.0</v>
      </c>
      <c r="V29" s="131">
        <f t="shared" si="3"/>
        <v>0</v>
      </c>
    </row>
    <row r="30" ht="12.75" customHeight="1">
      <c r="A30" s="139" t="s">
        <v>26</v>
      </c>
      <c r="B30" s="140" t="s">
        <v>27</v>
      </c>
      <c r="C30" s="140" t="s">
        <v>55</v>
      </c>
      <c r="D30" s="75"/>
      <c r="E30" s="141"/>
      <c r="F30" s="63" t="s">
        <v>57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3">
        <v>0.0</v>
      </c>
      <c r="V30" s="153">
        <v>0.0</v>
      </c>
    </row>
    <row r="31" ht="12.75" customHeight="1">
      <c r="A31" s="139" t="s">
        <v>26</v>
      </c>
      <c r="B31" s="140" t="s">
        <v>27</v>
      </c>
      <c r="C31" s="140" t="s">
        <v>55</v>
      </c>
      <c r="D31" s="75"/>
      <c r="E31" s="140" t="s">
        <v>58</v>
      </c>
      <c r="F31" s="63" t="s">
        <v>59</v>
      </c>
      <c r="G31" s="152">
        <v>0.0</v>
      </c>
      <c r="H31" s="152">
        <v>0.0</v>
      </c>
      <c r="I31" s="152">
        <v>0.0</v>
      </c>
      <c r="J31" s="152">
        <v>0.0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31">
        <f t="shared" ref="U31:U36" si="4">IFERROR(I31/H31,0)</f>
        <v>0</v>
      </c>
      <c r="V31" s="131">
        <f t="shared" ref="V31:V36" si="5">IFERROR(SUM(H31+L31)/G31,0)</f>
        <v>0</v>
      </c>
    </row>
    <row r="32" ht="12.75" customHeight="1">
      <c r="A32" s="142" t="s">
        <v>26</v>
      </c>
      <c r="B32" s="143" t="s">
        <v>27</v>
      </c>
      <c r="C32" s="154" t="s">
        <v>60</v>
      </c>
      <c r="D32" s="145" t="s">
        <v>46</v>
      </c>
      <c r="E32" s="155"/>
      <c r="F32" s="154" t="s">
        <v>60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4"/>
        <v>0</v>
      </c>
      <c r="V32" s="131">
        <f t="shared" si="5"/>
        <v>0</v>
      </c>
    </row>
    <row r="33" ht="12.75" customHeight="1">
      <c r="A33" s="146" t="s">
        <v>26</v>
      </c>
      <c r="B33" s="147" t="s">
        <v>27</v>
      </c>
      <c r="C33" s="147" t="s">
        <v>60</v>
      </c>
      <c r="D33" s="84"/>
      <c r="E33" s="155"/>
      <c r="F33" s="156" t="s">
        <v>61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4"/>
        <v>0</v>
      </c>
      <c r="V33" s="131">
        <f t="shared" si="5"/>
        <v>0</v>
      </c>
    </row>
    <row r="34" ht="12.75" customHeight="1">
      <c r="A34" s="146" t="s">
        <v>26</v>
      </c>
      <c r="B34" s="147" t="s">
        <v>27</v>
      </c>
      <c r="C34" s="147" t="s">
        <v>60</v>
      </c>
      <c r="D34" s="84"/>
      <c r="E34" s="155"/>
      <c r="F34" s="156" t="s">
        <v>62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5"/>
        <v>0</v>
      </c>
    </row>
    <row r="35" ht="12.75" customHeight="1">
      <c r="A35" s="146" t="s">
        <v>26</v>
      </c>
      <c r="B35" s="147" t="s">
        <v>27</v>
      </c>
      <c r="C35" s="147" t="s">
        <v>60</v>
      </c>
      <c r="D35" s="84"/>
      <c r="E35" s="155"/>
      <c r="F35" s="156" t="s">
        <v>63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5"/>
        <v>0</v>
      </c>
    </row>
    <row r="36" ht="12.75" customHeight="1">
      <c r="A36" s="146" t="s">
        <v>26</v>
      </c>
      <c r="B36" s="147" t="s">
        <v>27</v>
      </c>
      <c r="C36" s="147" t="s">
        <v>60</v>
      </c>
      <c r="D36" s="84"/>
      <c r="E36" s="155"/>
      <c r="F36" s="156" t="s">
        <v>64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1">
        <f t="shared" si="4"/>
        <v>0</v>
      </c>
      <c r="V36" s="131">
        <f t="shared" si="5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128" t="s">
        <v>28</v>
      </c>
      <c r="B38" s="129"/>
      <c r="C38" s="129"/>
      <c r="D38" s="157" t="s">
        <v>46</v>
      </c>
      <c r="E38" s="128" t="s">
        <v>47</v>
      </c>
      <c r="F38" s="128" t="s">
        <v>28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ref="U38:U44" si="6">IFERROR(I38/H38,0)</f>
        <v>0</v>
      </c>
      <c r="V38" s="131">
        <f t="shared" ref="V38:V56" si="7">IFERROR(SUM(H38+L38)/G38,0)</f>
        <v>0</v>
      </c>
    </row>
    <row r="39" ht="12.75" customHeight="1">
      <c r="A39" s="132" t="s">
        <v>28</v>
      </c>
      <c r="B39" s="124" t="s">
        <v>29</v>
      </c>
      <c r="C39" s="158"/>
      <c r="D39" s="159" t="s">
        <v>46</v>
      </c>
      <c r="E39" s="135" t="s">
        <v>47</v>
      </c>
      <c r="F39" s="124" t="s">
        <v>29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6"/>
        <v>0</v>
      </c>
      <c r="V39" s="131">
        <f t="shared" si="7"/>
        <v>0</v>
      </c>
    </row>
    <row r="40" ht="12.75" customHeight="1">
      <c r="A40" s="142" t="s">
        <v>28</v>
      </c>
      <c r="B40" s="143" t="s">
        <v>29</v>
      </c>
      <c r="C40" s="144" t="s">
        <v>65</v>
      </c>
      <c r="D40" s="145" t="s">
        <v>46</v>
      </c>
      <c r="E40" s="143" t="s">
        <v>47</v>
      </c>
      <c r="F40" s="144" t="s">
        <v>65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6"/>
        <v>0</v>
      </c>
      <c r="V40" s="131">
        <f t="shared" si="7"/>
        <v>0</v>
      </c>
    </row>
    <row r="41" ht="12.75" customHeight="1">
      <c r="A41" s="146" t="s">
        <v>28</v>
      </c>
      <c r="B41" s="147" t="s">
        <v>29</v>
      </c>
      <c r="C41" s="146" t="s">
        <v>65</v>
      </c>
      <c r="D41" s="155"/>
      <c r="E41" s="147" t="s">
        <v>47</v>
      </c>
      <c r="F41" s="146" t="s">
        <v>66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6"/>
        <v>0</v>
      </c>
      <c r="V41" s="131">
        <f t="shared" si="7"/>
        <v>0</v>
      </c>
    </row>
    <row r="42" ht="12.75" customHeight="1">
      <c r="A42" s="146" t="s">
        <v>28</v>
      </c>
      <c r="B42" s="147" t="s">
        <v>29</v>
      </c>
      <c r="C42" s="146" t="s">
        <v>65</v>
      </c>
      <c r="D42" s="84"/>
      <c r="E42" s="160" t="s">
        <v>47</v>
      </c>
      <c r="F42" s="148" t="s">
        <v>67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6"/>
        <v>0</v>
      </c>
      <c r="V42" s="131">
        <f t="shared" si="7"/>
        <v>0</v>
      </c>
    </row>
    <row r="43" ht="12.75" customHeight="1">
      <c r="A43" s="146" t="s">
        <v>28</v>
      </c>
      <c r="B43" s="147" t="s">
        <v>29</v>
      </c>
      <c r="C43" s="146" t="s">
        <v>65</v>
      </c>
      <c r="D43" s="84"/>
      <c r="E43" s="160" t="s">
        <v>47</v>
      </c>
      <c r="F43" s="148" t="s">
        <v>68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6"/>
        <v>0</v>
      </c>
      <c r="V43" s="131">
        <f t="shared" si="7"/>
        <v>0</v>
      </c>
    </row>
    <row r="44" ht="12.75" customHeight="1">
      <c r="A44" s="146" t="s">
        <v>28</v>
      </c>
      <c r="B44" s="147" t="s">
        <v>29</v>
      </c>
      <c r="C44" s="146" t="s">
        <v>65</v>
      </c>
      <c r="D44" s="84"/>
      <c r="E44" s="160" t="s">
        <v>47</v>
      </c>
      <c r="F44" s="148" t="s">
        <v>69</v>
      </c>
      <c r="G44" s="152">
        <v>0.0</v>
      </c>
      <c r="H44" s="152">
        <v>0.0</v>
      </c>
      <c r="I44" s="152">
        <v>0.0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152">
        <v>0.0</v>
      </c>
      <c r="Q44" s="152">
        <v>0.0</v>
      </c>
      <c r="R44" s="152">
        <v>0.0</v>
      </c>
      <c r="S44" s="152">
        <v>0.0</v>
      </c>
      <c r="T44" s="152">
        <v>0.0</v>
      </c>
      <c r="U44" s="131">
        <f t="shared" si="6"/>
        <v>0</v>
      </c>
      <c r="V44" s="131">
        <f t="shared" si="7"/>
        <v>0</v>
      </c>
    </row>
    <row r="45" ht="12.75" customHeight="1">
      <c r="A45" s="146" t="s">
        <v>28</v>
      </c>
      <c r="B45" s="147" t="s">
        <v>29</v>
      </c>
      <c r="C45" s="146" t="s">
        <v>65</v>
      </c>
      <c r="D45" s="84"/>
      <c r="E45" s="160" t="s">
        <v>47</v>
      </c>
      <c r="F45" s="148" t="s">
        <v>70</v>
      </c>
      <c r="G45" s="152">
        <v>5.0</v>
      </c>
      <c r="H45" s="152">
        <v>2.0</v>
      </c>
      <c r="I45" s="152">
        <v>1.0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1.0</v>
      </c>
      <c r="S45" s="152">
        <v>1.0</v>
      </c>
      <c r="T45" s="152">
        <v>1680.0</v>
      </c>
      <c r="U45" s="131"/>
      <c r="V45" s="131">
        <f t="shared" si="7"/>
        <v>0.4</v>
      </c>
    </row>
    <row r="46" ht="12.75" customHeight="1">
      <c r="A46" s="146" t="s">
        <v>28</v>
      </c>
      <c r="B46" s="147" t="s">
        <v>29</v>
      </c>
      <c r="C46" s="146" t="s">
        <v>65</v>
      </c>
      <c r="D46" s="84"/>
      <c r="E46" s="147" t="s">
        <v>47</v>
      </c>
      <c r="F46" s="148" t="s">
        <v>71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ref="U46:U56" si="8">IFERROR(I46/H46,0)</f>
        <v>0</v>
      </c>
      <c r="V46" s="131">
        <f t="shared" si="7"/>
        <v>0</v>
      </c>
    </row>
    <row r="47" ht="12.75" customHeight="1">
      <c r="A47" s="146" t="s">
        <v>28</v>
      </c>
      <c r="B47" s="147" t="s">
        <v>29</v>
      </c>
      <c r="C47" s="146" t="s">
        <v>65</v>
      </c>
      <c r="D47" s="84"/>
      <c r="E47" s="147" t="s">
        <v>47</v>
      </c>
      <c r="F47" s="148" t="s">
        <v>72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8"/>
        <v>0</v>
      </c>
      <c r="V47" s="131">
        <f t="shared" si="7"/>
        <v>0</v>
      </c>
    </row>
    <row r="48" ht="12.75" customHeight="1">
      <c r="A48" s="146" t="s">
        <v>28</v>
      </c>
      <c r="B48" s="147" t="s">
        <v>29</v>
      </c>
      <c r="C48" s="146" t="s">
        <v>65</v>
      </c>
      <c r="D48" s="161"/>
      <c r="E48" s="147" t="s">
        <v>47</v>
      </c>
      <c r="F48" s="156" t="s">
        <v>73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8"/>
        <v>0</v>
      </c>
      <c r="V48" s="131">
        <f t="shared" si="7"/>
        <v>0</v>
      </c>
    </row>
    <row r="49" ht="12.75" customHeight="1">
      <c r="A49" s="146" t="s">
        <v>28</v>
      </c>
      <c r="B49" s="147" t="s">
        <v>29</v>
      </c>
      <c r="C49" s="146" t="s">
        <v>65</v>
      </c>
      <c r="D49" s="161"/>
      <c r="E49" s="147" t="s">
        <v>47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8"/>
        <v>0</v>
      </c>
      <c r="V49" s="131">
        <f t="shared" si="7"/>
        <v>0</v>
      </c>
    </row>
    <row r="50" ht="12.75" customHeight="1">
      <c r="A50" s="146" t="s">
        <v>28</v>
      </c>
      <c r="B50" s="147" t="s">
        <v>29</v>
      </c>
      <c r="C50" s="146" t="s">
        <v>65</v>
      </c>
      <c r="D50" s="161"/>
      <c r="E50" s="147" t="s">
        <v>47</v>
      </c>
      <c r="F50" s="156" t="s">
        <v>75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8"/>
        <v>0</v>
      </c>
      <c r="V50" s="131">
        <f t="shared" si="7"/>
        <v>0</v>
      </c>
    </row>
    <row r="51" ht="12.75" customHeight="1">
      <c r="A51" s="146" t="s">
        <v>28</v>
      </c>
      <c r="B51" s="147" t="s">
        <v>29</v>
      </c>
      <c r="C51" s="146" t="s">
        <v>65</v>
      </c>
      <c r="D51" s="161"/>
      <c r="E51" s="147" t="s">
        <v>47</v>
      </c>
      <c r="F51" s="156" t="s">
        <v>76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31">
        <f t="shared" si="8"/>
        <v>0</v>
      </c>
      <c r="V51" s="131">
        <f t="shared" si="7"/>
        <v>0</v>
      </c>
    </row>
    <row r="52" ht="12.75" customHeight="1">
      <c r="A52" s="146" t="s">
        <v>28</v>
      </c>
      <c r="B52" s="147" t="s">
        <v>29</v>
      </c>
      <c r="C52" s="146" t="s">
        <v>65</v>
      </c>
      <c r="D52" s="161"/>
      <c r="E52" s="147" t="s">
        <v>77</v>
      </c>
      <c r="F52" s="156" t="s">
        <v>78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31">
        <f t="shared" si="8"/>
        <v>0</v>
      </c>
      <c r="V52" s="131">
        <f t="shared" si="7"/>
        <v>0</v>
      </c>
    </row>
    <row r="53" ht="12.75" customHeight="1">
      <c r="A53" s="146" t="s">
        <v>28</v>
      </c>
      <c r="B53" s="147" t="s">
        <v>29</v>
      </c>
      <c r="C53" s="146" t="s">
        <v>65</v>
      </c>
      <c r="D53" s="161"/>
      <c r="E53" s="147" t="s">
        <v>79</v>
      </c>
      <c r="F53" s="156" t="s">
        <v>80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31">
        <f t="shared" si="8"/>
        <v>0</v>
      </c>
      <c r="V53" s="131">
        <f t="shared" si="7"/>
        <v>0</v>
      </c>
    </row>
    <row r="54" ht="12.75" customHeight="1">
      <c r="A54" s="146" t="s">
        <v>28</v>
      </c>
      <c r="B54" s="147" t="s">
        <v>29</v>
      </c>
      <c r="C54" s="146" t="s">
        <v>65</v>
      </c>
      <c r="D54" s="161"/>
      <c r="E54" s="155"/>
      <c r="F54" s="156" t="s">
        <v>81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152">
        <v>0.0</v>
      </c>
      <c r="Q54" s="152">
        <v>0.0</v>
      </c>
      <c r="R54" s="152">
        <v>0.0</v>
      </c>
      <c r="S54" s="152">
        <v>0.0</v>
      </c>
      <c r="T54" s="152">
        <v>0.0</v>
      </c>
      <c r="U54" s="131">
        <f t="shared" si="8"/>
        <v>0</v>
      </c>
      <c r="V54" s="131">
        <f t="shared" si="7"/>
        <v>0</v>
      </c>
    </row>
    <row r="55" ht="12.75" customHeight="1">
      <c r="A55" s="146" t="s">
        <v>28</v>
      </c>
      <c r="B55" s="147" t="s">
        <v>29</v>
      </c>
      <c r="C55" s="146" t="s">
        <v>65</v>
      </c>
      <c r="D55" s="161"/>
      <c r="E55" s="147" t="s">
        <v>47</v>
      </c>
      <c r="F55" s="156" t="s">
        <v>82</v>
      </c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1">
        <f t="shared" si="8"/>
        <v>0</v>
      </c>
      <c r="V55" s="131">
        <f t="shared" si="7"/>
        <v>0</v>
      </c>
    </row>
    <row r="56" ht="12.75" customHeight="1">
      <c r="A56" s="146" t="s">
        <v>28</v>
      </c>
      <c r="B56" s="147" t="s">
        <v>29</v>
      </c>
      <c r="C56" s="146" t="s">
        <v>65</v>
      </c>
      <c r="D56" s="161"/>
      <c r="E56" s="147" t="s">
        <v>47</v>
      </c>
      <c r="F56" s="156" t="s">
        <v>83</v>
      </c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1">
        <f t="shared" si="8"/>
        <v>0</v>
      </c>
      <c r="V56" s="131">
        <f t="shared" si="7"/>
        <v>0</v>
      </c>
    </row>
    <row r="57" ht="12.75" customHeight="1">
      <c r="A57" s="162"/>
      <c r="B57" s="162"/>
      <c r="C57" s="162"/>
      <c r="D57" s="1"/>
      <c r="E57" s="162"/>
      <c r="F57" s="11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</row>
    <row r="58" ht="12.75" customHeight="1">
      <c r="A58" s="162"/>
      <c r="B58" s="162"/>
      <c r="C58" s="162"/>
      <c r="D58" s="1"/>
      <c r="E58" s="162"/>
      <c r="F58" s="11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</row>
    <row r="59" ht="12.75" customHeight="1">
      <c r="A59" s="162"/>
      <c r="B59" s="162"/>
      <c r="C59" s="162"/>
      <c r="D59" s="1"/>
      <c r="E59" s="162"/>
      <c r="F59" s="11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</row>
    <row r="60" ht="12.75" customHeight="1">
      <c r="A60" s="162"/>
      <c r="B60" s="162"/>
      <c r="C60" s="162"/>
      <c r="D60" s="1"/>
      <c r="E60" s="162"/>
      <c r="F60" s="11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</row>
    <row r="61" ht="12.75" customHeight="1">
      <c r="A61" s="162"/>
      <c r="B61" s="162"/>
      <c r="C61" s="162"/>
      <c r="D61" s="1"/>
      <c r="E61" s="162"/>
      <c r="F61" s="11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</row>
    <row r="62" ht="12.75" customHeight="1">
      <c r="A62" s="162"/>
      <c r="B62" s="162"/>
      <c r="C62" s="162"/>
      <c r="D62" s="1"/>
      <c r="E62" s="162"/>
      <c r="F62" s="11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4"/>
      <c r="V62" s="164"/>
    </row>
    <row r="63" ht="12.75" customHeight="1">
      <c r="A63" s="162"/>
      <c r="B63" s="162"/>
      <c r="C63" s="162"/>
      <c r="D63" s="1"/>
      <c r="E63" s="162"/>
      <c r="F63" s="11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4"/>
      <c r="V63" s="164"/>
    </row>
    <row r="64" ht="12.75" customHeight="1">
      <c r="A64" s="162"/>
      <c r="B64" s="162"/>
      <c r="C64" s="162"/>
      <c r="D64" s="1"/>
      <c r="E64" s="162"/>
      <c r="F64" s="11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4"/>
      <c r="V64" s="164"/>
    </row>
    <row r="65" ht="12.75" customHeight="1">
      <c r="A65" s="162"/>
      <c r="B65" s="162"/>
      <c r="C65" s="162"/>
      <c r="D65" s="1"/>
      <c r="E65" s="162"/>
      <c r="F65" s="11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4"/>
      <c r="V65" s="164"/>
    </row>
    <row r="66" ht="12.75" customHeight="1">
      <c r="A66" s="162"/>
      <c r="B66" s="162"/>
      <c r="C66" s="162"/>
      <c r="D66" s="1"/>
      <c r="E66" s="162"/>
      <c r="F66" s="11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4"/>
      <c r="V66" s="164"/>
    </row>
    <row r="67" ht="12.75" customHeight="1">
      <c r="A67" s="162"/>
      <c r="B67" s="162"/>
      <c r="C67" s="162"/>
      <c r="D67" s="1"/>
      <c r="E67" s="162"/>
      <c r="F67" s="11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4"/>
      <c r="V67" s="164"/>
    </row>
    <row r="68" ht="12.75" customHeight="1">
      <c r="A68" s="162"/>
      <c r="B68" s="162"/>
      <c r="C68" s="162"/>
      <c r="D68" s="1"/>
      <c r="E68" s="162"/>
      <c r="F68" s="11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4"/>
      <c r="V68" s="164"/>
    </row>
    <row r="69" ht="12.75" customHeight="1">
      <c r="A69" s="162"/>
      <c r="B69" s="162"/>
      <c r="C69" s="162"/>
      <c r="D69" s="1"/>
      <c r="E69" s="162"/>
      <c r="F69" s="11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4"/>
      <c r="V69" s="164"/>
    </row>
    <row r="70" ht="12.75" customHeight="1">
      <c r="A70" s="162"/>
      <c r="B70" s="162"/>
      <c r="C70" s="162"/>
      <c r="D70" s="1"/>
      <c r="E70" s="162"/>
      <c r="F70" s="11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4"/>
      <c r="V70" s="164"/>
    </row>
    <row r="71" ht="12.75" customHeight="1">
      <c r="A71" s="162"/>
      <c r="B71" s="162"/>
      <c r="C71" s="162"/>
      <c r="D71" s="1"/>
      <c r="E71" s="162"/>
      <c r="F71" s="11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4"/>
      <c r="V71" s="164"/>
    </row>
    <row r="72" ht="12.75" customHeight="1">
      <c r="A72" s="162"/>
      <c r="B72" s="162"/>
      <c r="C72" s="162"/>
      <c r="D72" s="1"/>
      <c r="E72" s="162"/>
      <c r="F72" s="11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4"/>
      <c r="V72" s="164"/>
    </row>
    <row r="73" ht="12.75" customHeight="1">
      <c r="A73" s="162"/>
      <c r="B73" s="162"/>
      <c r="C73" s="162"/>
      <c r="D73" s="1"/>
      <c r="E73" s="162"/>
      <c r="F73" s="11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164"/>
    </row>
    <row r="74" ht="12.75" customHeight="1">
      <c r="A74" s="162"/>
      <c r="B74" s="162"/>
      <c r="C74" s="162"/>
      <c r="D74" s="1"/>
      <c r="E74" s="162"/>
      <c r="F74" s="11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164"/>
    </row>
    <row r="75" ht="12.75" customHeight="1">
      <c r="A75" s="162"/>
      <c r="B75" s="162"/>
      <c r="C75" s="162"/>
      <c r="D75" s="1"/>
      <c r="E75" s="162"/>
      <c r="F75" s="11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4"/>
      <c r="V75" s="164"/>
    </row>
    <row r="76" ht="12.75" customHeight="1">
      <c r="A76" s="162"/>
      <c r="B76" s="162"/>
      <c r="C76" s="162"/>
      <c r="D76" s="1"/>
      <c r="E76" s="162"/>
      <c r="F76" s="11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4"/>
      <c r="V76" s="164"/>
    </row>
    <row r="77" ht="12.75" customHeight="1">
      <c r="A77" s="162"/>
      <c r="B77" s="162"/>
      <c r="C77" s="162"/>
      <c r="D77" s="1"/>
      <c r="E77" s="162"/>
      <c r="F77" s="11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4"/>
      <c r="V77" s="164"/>
    </row>
    <row r="78" ht="12.75" customHeight="1">
      <c r="A78" s="162"/>
      <c r="B78" s="162"/>
      <c r="C78" s="162"/>
      <c r="D78" s="1"/>
      <c r="E78" s="162"/>
      <c r="F78" s="11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4"/>
      <c r="V78" s="164"/>
    </row>
    <row r="79" ht="12.75" customHeight="1">
      <c r="A79" s="162"/>
      <c r="B79" s="162"/>
      <c r="C79" s="162"/>
      <c r="D79" s="1"/>
      <c r="E79" s="162"/>
      <c r="F79" s="11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4"/>
      <c r="V79" s="164"/>
    </row>
    <row r="80" ht="12.75" customHeight="1">
      <c r="A80" s="162"/>
      <c r="B80" s="162"/>
      <c r="C80" s="162"/>
      <c r="D80" s="1"/>
      <c r="E80" s="162"/>
      <c r="F80" s="11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4"/>
      <c r="V80" s="164"/>
    </row>
    <row r="81" ht="12.75" customHeight="1">
      <c r="A81" s="162"/>
      <c r="B81" s="162"/>
      <c r="C81" s="162"/>
      <c r="D81" s="1"/>
      <c r="E81" s="162"/>
      <c r="F81" s="11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4"/>
      <c r="V81" s="164"/>
    </row>
    <row r="82" ht="12.75" customHeight="1">
      <c r="A82" s="162"/>
      <c r="B82" s="162"/>
      <c r="C82" s="162"/>
      <c r="D82" s="1"/>
      <c r="E82" s="162"/>
      <c r="F82" s="11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4"/>
      <c r="V82" s="164"/>
    </row>
    <row r="83" ht="12.75" customHeight="1">
      <c r="A83" s="162"/>
      <c r="B83" s="162"/>
      <c r="C83" s="162"/>
      <c r="D83" s="1"/>
      <c r="E83" s="162"/>
      <c r="F83" s="11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4"/>
      <c r="V83" s="164"/>
    </row>
    <row r="84" ht="12.75" customHeight="1">
      <c r="A84" s="162"/>
      <c r="B84" s="162"/>
      <c r="C84" s="162"/>
      <c r="D84" s="1"/>
      <c r="E84" s="162"/>
      <c r="F84" s="11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4"/>
      <c r="V84" s="164"/>
    </row>
    <row r="85" ht="12.75" customHeight="1">
      <c r="A85" s="162"/>
      <c r="B85" s="162"/>
      <c r="C85" s="162"/>
      <c r="D85" s="1"/>
      <c r="E85" s="162"/>
      <c r="F85" s="11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4"/>
      <c r="V85" s="164"/>
    </row>
    <row r="86" ht="12.75" customHeight="1">
      <c r="A86" s="162"/>
      <c r="B86" s="162"/>
      <c r="C86" s="162"/>
      <c r="D86" s="1"/>
      <c r="E86" s="162"/>
      <c r="F86" s="11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4"/>
      <c r="V86" s="164"/>
    </row>
    <row r="87" ht="12.75" customHeight="1">
      <c r="A87" s="162"/>
      <c r="B87" s="162"/>
      <c r="C87" s="162"/>
      <c r="D87" s="1"/>
      <c r="E87" s="162"/>
      <c r="F87" s="11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4"/>
      <c r="V87" s="164"/>
    </row>
    <row r="88" ht="12.75" customHeight="1">
      <c r="A88" s="162"/>
      <c r="B88" s="162"/>
      <c r="C88" s="162"/>
      <c r="D88" s="1"/>
      <c r="E88" s="162"/>
      <c r="F88" s="11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4"/>
      <c r="V88" s="164"/>
    </row>
    <row r="89" ht="12.75" customHeight="1">
      <c r="A89" s="162"/>
      <c r="B89" s="162"/>
      <c r="C89" s="162"/>
      <c r="D89" s="1"/>
      <c r="E89" s="162"/>
      <c r="F89" s="11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4"/>
      <c r="V89" s="164"/>
    </row>
    <row r="90" ht="12.75" customHeight="1">
      <c r="A90" s="162"/>
      <c r="B90" s="162"/>
      <c r="C90" s="162"/>
      <c r="D90" s="1"/>
      <c r="E90" s="162"/>
      <c r="F90" s="11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4"/>
      <c r="V90" s="164"/>
    </row>
    <row r="91" ht="12.75" customHeight="1">
      <c r="A91" s="162"/>
      <c r="B91" s="162"/>
      <c r="C91" s="162"/>
      <c r="D91" s="1"/>
      <c r="E91" s="162"/>
      <c r="F91" s="11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4"/>
      <c r="V91" s="164"/>
    </row>
    <row r="92" ht="12.75" customHeight="1">
      <c r="A92" s="162"/>
      <c r="B92" s="162"/>
      <c r="C92" s="162"/>
      <c r="D92" s="1"/>
      <c r="E92" s="162"/>
      <c r="F92" s="11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4"/>
      <c r="V92" s="164"/>
    </row>
    <row r="93" ht="12.75" customHeight="1">
      <c r="A93" s="162"/>
      <c r="B93" s="162"/>
      <c r="C93" s="162"/>
      <c r="D93" s="1"/>
      <c r="E93" s="162"/>
      <c r="F93" s="11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4"/>
      <c r="V93" s="164"/>
    </row>
    <row r="94" ht="12.75" customHeight="1">
      <c r="A94" s="162"/>
      <c r="B94" s="162"/>
      <c r="C94" s="162"/>
      <c r="D94" s="1"/>
      <c r="E94" s="162"/>
      <c r="F94" s="11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4"/>
      <c r="V94" s="164"/>
    </row>
    <row r="95" ht="12.75" customHeight="1">
      <c r="A95" s="162"/>
      <c r="B95" s="162"/>
      <c r="C95" s="162"/>
      <c r="D95" s="1"/>
      <c r="E95" s="162"/>
      <c r="F95" s="11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4"/>
      <c r="V95" s="164"/>
    </row>
    <row r="96" ht="12.75" customHeight="1">
      <c r="A96" s="162"/>
      <c r="B96" s="162"/>
      <c r="C96" s="162"/>
      <c r="D96" s="1"/>
      <c r="E96" s="162"/>
      <c r="F96" s="11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4"/>
      <c r="V96" s="164"/>
    </row>
    <row r="97" ht="12.75" customHeight="1">
      <c r="A97" s="162"/>
      <c r="B97" s="162"/>
      <c r="C97" s="162"/>
      <c r="D97" s="1"/>
      <c r="E97" s="162"/>
      <c r="F97" s="11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4"/>
      <c r="V97" s="164"/>
    </row>
    <row r="98" ht="12.75" customHeight="1">
      <c r="A98" s="162"/>
      <c r="B98" s="162"/>
      <c r="C98" s="162"/>
      <c r="D98" s="1"/>
      <c r="E98" s="162"/>
      <c r="F98" s="11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4"/>
      <c r="V98" s="164"/>
    </row>
    <row r="99" ht="12.75" customHeight="1">
      <c r="A99" s="162"/>
      <c r="B99" s="162"/>
      <c r="C99" s="162"/>
      <c r="D99" s="1"/>
      <c r="E99" s="162"/>
      <c r="F99" s="11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4"/>
      <c r="V99" s="164"/>
    </row>
    <row r="100" ht="12.75" customHeight="1">
      <c r="A100" s="162"/>
      <c r="B100" s="162"/>
      <c r="C100" s="162"/>
      <c r="D100" s="1"/>
      <c r="E100" s="162"/>
      <c r="F100" s="11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4"/>
      <c r="V100" s="164"/>
    </row>
    <row r="101" ht="12.75" customHeight="1">
      <c r="A101" s="162"/>
      <c r="B101" s="162"/>
      <c r="C101" s="162"/>
      <c r="D101" s="1"/>
      <c r="E101" s="162"/>
      <c r="F101" s="11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4"/>
      <c r="V101" s="164"/>
    </row>
    <row r="102" ht="12.75" customHeight="1">
      <c r="A102" s="162"/>
      <c r="B102" s="162"/>
      <c r="C102" s="162"/>
      <c r="D102" s="1"/>
      <c r="E102" s="162"/>
      <c r="F102" s="11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4"/>
      <c r="V102" s="164"/>
    </row>
    <row r="103" ht="12.75" customHeight="1">
      <c r="A103" s="162"/>
      <c r="B103" s="162"/>
      <c r="C103" s="162"/>
      <c r="D103" s="1"/>
      <c r="E103" s="162"/>
      <c r="F103" s="11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4"/>
      <c r="V103" s="164"/>
    </row>
    <row r="104" ht="12.75" customHeight="1">
      <c r="A104" s="162"/>
      <c r="B104" s="162"/>
      <c r="C104" s="162"/>
      <c r="D104" s="1"/>
      <c r="E104" s="162"/>
      <c r="F104" s="11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4"/>
      <c r="V104" s="164"/>
    </row>
    <row r="105" ht="12.75" customHeight="1">
      <c r="A105" s="162"/>
      <c r="B105" s="162"/>
      <c r="C105" s="162"/>
      <c r="D105" s="1"/>
      <c r="E105" s="162"/>
      <c r="F105" s="11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4"/>
      <c r="V105" s="164"/>
    </row>
    <row r="106" ht="12.75" customHeight="1">
      <c r="A106" s="162"/>
      <c r="B106" s="162"/>
      <c r="C106" s="162"/>
      <c r="D106" s="1"/>
      <c r="E106" s="162"/>
      <c r="F106" s="11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4"/>
      <c r="V106" s="164"/>
    </row>
    <row r="107" ht="12.75" customHeight="1">
      <c r="A107" s="162"/>
      <c r="B107" s="162"/>
      <c r="C107" s="162"/>
      <c r="D107" s="1"/>
      <c r="E107" s="162"/>
      <c r="F107" s="11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4"/>
      <c r="V107" s="164"/>
    </row>
    <row r="108" ht="12.75" customHeight="1">
      <c r="A108" s="162"/>
      <c r="B108" s="162"/>
      <c r="C108" s="162"/>
      <c r="D108" s="1"/>
      <c r="E108" s="162"/>
      <c r="F108" s="11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4"/>
      <c r="V108" s="164"/>
    </row>
    <row r="109" ht="12.75" customHeight="1">
      <c r="A109" s="162"/>
      <c r="B109" s="162"/>
      <c r="C109" s="162"/>
      <c r="D109" s="1"/>
      <c r="E109" s="162"/>
      <c r="F109" s="11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4"/>
      <c r="V109" s="164"/>
    </row>
    <row r="110" ht="12.75" customHeight="1">
      <c r="A110" s="162"/>
      <c r="B110" s="162"/>
      <c r="C110" s="162"/>
      <c r="D110" s="1"/>
      <c r="E110" s="162"/>
      <c r="F110" s="11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4"/>
      <c r="V110" s="164"/>
    </row>
    <row r="111" ht="12.75" customHeight="1">
      <c r="A111" s="162"/>
      <c r="B111" s="162"/>
      <c r="C111" s="162"/>
      <c r="D111" s="1"/>
      <c r="E111" s="162"/>
      <c r="F111" s="11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4"/>
      <c r="V111" s="164"/>
    </row>
    <row r="112" ht="12.75" customHeight="1">
      <c r="A112" s="162"/>
      <c r="B112" s="162"/>
      <c r="C112" s="162"/>
      <c r="D112" s="1"/>
      <c r="E112" s="162"/>
      <c r="F112" s="11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4"/>
      <c r="V112" s="164"/>
    </row>
    <row r="113" ht="12.75" customHeight="1">
      <c r="A113" s="162"/>
      <c r="B113" s="162"/>
      <c r="C113" s="162"/>
      <c r="D113" s="1"/>
      <c r="E113" s="162"/>
      <c r="F113" s="11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4"/>
      <c r="V113" s="164"/>
    </row>
    <row r="114" ht="12.75" customHeight="1">
      <c r="A114" s="162"/>
      <c r="B114" s="162"/>
      <c r="C114" s="162"/>
      <c r="D114" s="1"/>
      <c r="E114" s="162"/>
      <c r="F114" s="11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4"/>
      <c r="V114" s="164"/>
    </row>
    <row r="115" ht="12.75" customHeight="1">
      <c r="A115" s="162"/>
      <c r="B115" s="162"/>
      <c r="C115" s="162"/>
      <c r="D115" s="1"/>
      <c r="E115" s="162"/>
      <c r="F115" s="11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4"/>
      <c r="V115" s="164"/>
    </row>
    <row r="116" ht="12.75" customHeight="1">
      <c r="A116" s="162"/>
      <c r="B116" s="162"/>
      <c r="C116" s="162"/>
      <c r="D116" s="1"/>
      <c r="E116" s="162"/>
      <c r="F116" s="11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4"/>
      <c r="V116" s="164"/>
    </row>
    <row r="117" ht="12.75" customHeight="1">
      <c r="A117" s="162"/>
      <c r="B117" s="162"/>
      <c r="C117" s="162"/>
      <c r="D117" s="1"/>
      <c r="E117" s="162"/>
      <c r="F117" s="11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4"/>
      <c r="V117" s="164"/>
    </row>
    <row r="118" ht="12.75" customHeight="1">
      <c r="A118" s="162"/>
      <c r="B118" s="162"/>
      <c r="C118" s="162"/>
      <c r="D118" s="1"/>
      <c r="E118" s="162"/>
      <c r="F118" s="11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4"/>
      <c r="V118" s="164"/>
    </row>
    <row r="119" ht="12.75" customHeight="1">
      <c r="A119" s="162"/>
      <c r="B119" s="162"/>
      <c r="C119" s="162"/>
      <c r="D119" s="1"/>
      <c r="E119" s="162"/>
      <c r="F119" s="11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4"/>
      <c r="V119" s="164"/>
    </row>
    <row r="120" ht="12.75" customHeight="1">
      <c r="A120" s="162"/>
      <c r="B120" s="162"/>
      <c r="C120" s="162"/>
      <c r="D120" s="1"/>
      <c r="E120" s="162"/>
      <c r="F120" s="11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4"/>
      <c r="V120" s="164"/>
    </row>
    <row r="121" ht="12.75" customHeight="1">
      <c r="A121" s="162"/>
      <c r="B121" s="162"/>
      <c r="C121" s="162"/>
      <c r="D121" s="1"/>
      <c r="E121" s="162"/>
      <c r="F121" s="11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4"/>
      <c r="V121" s="164"/>
    </row>
    <row r="122" ht="12.75" customHeight="1">
      <c r="A122" s="162"/>
      <c r="B122" s="162"/>
      <c r="C122" s="162"/>
      <c r="D122" s="1"/>
      <c r="E122" s="162"/>
      <c r="F122" s="11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4"/>
      <c r="V122" s="164"/>
    </row>
    <row r="123" ht="12.75" customHeight="1">
      <c r="A123" s="162"/>
      <c r="B123" s="162"/>
      <c r="C123" s="162"/>
      <c r="D123" s="1"/>
      <c r="E123" s="162"/>
      <c r="F123" s="11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4"/>
      <c r="V123" s="164"/>
    </row>
    <row r="124" ht="12.75" customHeight="1">
      <c r="A124" s="162"/>
      <c r="B124" s="162"/>
      <c r="C124" s="162"/>
      <c r="D124" s="1"/>
      <c r="E124" s="162"/>
      <c r="F124" s="11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4"/>
      <c r="V124" s="164"/>
    </row>
    <row r="125" ht="12.75" customHeight="1">
      <c r="A125" s="162"/>
      <c r="B125" s="162"/>
      <c r="C125" s="162"/>
      <c r="D125" s="1"/>
      <c r="E125" s="162"/>
      <c r="F125" s="11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4"/>
      <c r="V125" s="164"/>
    </row>
    <row r="126" ht="12.75" customHeight="1">
      <c r="A126" s="162"/>
      <c r="B126" s="162"/>
      <c r="C126" s="162"/>
      <c r="D126" s="1"/>
      <c r="E126" s="162"/>
      <c r="F126" s="11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4"/>
      <c r="V126" s="164"/>
    </row>
    <row r="127" ht="12.75" customHeight="1">
      <c r="A127" s="162"/>
      <c r="B127" s="162"/>
      <c r="C127" s="162"/>
      <c r="D127" s="1"/>
      <c r="E127" s="162"/>
      <c r="F127" s="11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4"/>
      <c r="V127" s="164"/>
    </row>
    <row r="128" ht="12.75" customHeight="1">
      <c r="A128" s="162"/>
      <c r="B128" s="162"/>
      <c r="C128" s="162"/>
      <c r="D128" s="1"/>
      <c r="E128" s="162"/>
      <c r="F128" s="11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4"/>
      <c r="V128" s="164"/>
    </row>
    <row r="129" ht="12.75" customHeight="1">
      <c r="A129" s="162"/>
      <c r="B129" s="162"/>
      <c r="C129" s="162"/>
      <c r="D129" s="1"/>
      <c r="E129" s="162"/>
      <c r="F129" s="11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4"/>
      <c r="V129" s="164"/>
    </row>
    <row r="130" ht="12.75" customHeight="1">
      <c r="A130" s="162"/>
      <c r="B130" s="162"/>
      <c r="C130" s="162"/>
      <c r="D130" s="1"/>
      <c r="E130" s="162"/>
      <c r="F130" s="11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4"/>
      <c r="V130" s="164"/>
    </row>
    <row r="131" ht="12.75" customHeight="1">
      <c r="A131" s="162"/>
      <c r="B131" s="162"/>
      <c r="C131" s="162"/>
      <c r="D131" s="1"/>
      <c r="E131" s="162"/>
      <c r="F131" s="11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4"/>
      <c r="V131" s="164"/>
    </row>
    <row r="132" ht="12.75" customHeight="1">
      <c r="A132" s="162"/>
      <c r="B132" s="162"/>
      <c r="C132" s="162"/>
      <c r="D132" s="1"/>
      <c r="E132" s="162"/>
      <c r="F132" s="11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4"/>
      <c r="V132" s="164"/>
    </row>
    <row r="133" ht="12.75" customHeight="1">
      <c r="A133" s="162"/>
      <c r="B133" s="162"/>
      <c r="C133" s="162"/>
      <c r="D133" s="1"/>
      <c r="E133" s="162"/>
      <c r="F133" s="11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4"/>
      <c r="V133" s="164"/>
    </row>
    <row r="134" ht="12.75" customHeight="1">
      <c r="A134" s="162"/>
      <c r="B134" s="162"/>
      <c r="C134" s="162"/>
      <c r="D134" s="1"/>
      <c r="E134" s="162"/>
      <c r="F134" s="11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4"/>
      <c r="V134" s="164"/>
    </row>
    <row r="135" ht="12.75" customHeight="1">
      <c r="A135" s="162"/>
      <c r="B135" s="162"/>
      <c r="C135" s="162"/>
      <c r="D135" s="1"/>
      <c r="E135" s="162"/>
      <c r="F135" s="11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4"/>
      <c r="V135" s="164"/>
    </row>
    <row r="136" ht="12.75" customHeight="1">
      <c r="A136" s="162"/>
      <c r="B136" s="162"/>
      <c r="C136" s="162"/>
      <c r="D136" s="1"/>
      <c r="E136" s="162"/>
      <c r="F136" s="11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4"/>
      <c r="V136" s="164"/>
    </row>
    <row r="137" ht="12.75" customHeight="1">
      <c r="A137" s="162"/>
      <c r="B137" s="162"/>
      <c r="C137" s="162"/>
      <c r="D137" s="1"/>
      <c r="E137" s="162"/>
      <c r="F137" s="11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4"/>
      <c r="V137" s="164"/>
    </row>
    <row r="138" ht="12.75" customHeight="1">
      <c r="A138" s="162"/>
      <c r="B138" s="162"/>
      <c r="C138" s="162"/>
      <c r="D138" s="1"/>
      <c r="E138" s="162"/>
      <c r="F138" s="11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4"/>
      <c r="V138" s="164"/>
    </row>
    <row r="139" ht="12.75" customHeight="1">
      <c r="A139" s="162"/>
      <c r="B139" s="162"/>
      <c r="C139" s="162"/>
      <c r="D139" s="1"/>
      <c r="E139" s="162"/>
      <c r="F139" s="11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4"/>
      <c r="V139" s="164"/>
    </row>
    <row r="140" ht="12.75" customHeight="1">
      <c r="A140" s="162"/>
      <c r="B140" s="162"/>
      <c r="C140" s="162"/>
      <c r="D140" s="1"/>
      <c r="E140" s="162"/>
      <c r="F140" s="11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4"/>
      <c r="V140" s="164"/>
    </row>
    <row r="141" ht="12.75" customHeight="1">
      <c r="A141" s="162"/>
      <c r="B141" s="162"/>
      <c r="C141" s="162"/>
      <c r="D141" s="1"/>
      <c r="E141" s="162"/>
      <c r="F141" s="11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4"/>
      <c r="V141" s="164"/>
    </row>
    <row r="142" ht="12.75" customHeight="1">
      <c r="A142" s="162"/>
      <c r="B142" s="162"/>
      <c r="C142" s="162"/>
      <c r="D142" s="1"/>
      <c r="E142" s="162"/>
      <c r="F142" s="11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4"/>
      <c r="V142" s="164"/>
    </row>
    <row r="143" ht="12.75" customHeight="1">
      <c r="A143" s="162"/>
      <c r="B143" s="162"/>
      <c r="C143" s="162"/>
      <c r="D143" s="1"/>
      <c r="E143" s="162"/>
      <c r="F143" s="11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4"/>
      <c r="V143" s="164"/>
    </row>
    <row r="144" ht="12.75" customHeight="1">
      <c r="A144" s="162"/>
      <c r="B144" s="162"/>
      <c r="C144" s="162"/>
      <c r="D144" s="1"/>
      <c r="E144" s="162"/>
      <c r="F144" s="11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4"/>
      <c r="V144" s="164"/>
    </row>
    <row r="145" ht="12.75" customHeight="1">
      <c r="A145" s="162"/>
      <c r="B145" s="162"/>
      <c r="C145" s="162"/>
      <c r="D145" s="1"/>
      <c r="E145" s="162"/>
      <c r="F145" s="11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4"/>
      <c r="V145" s="164"/>
    </row>
    <row r="146" ht="12.75" customHeight="1">
      <c r="A146" s="162"/>
      <c r="B146" s="162"/>
      <c r="C146" s="162"/>
      <c r="D146" s="1"/>
      <c r="E146" s="162"/>
      <c r="F146" s="11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4"/>
      <c r="V146" s="164"/>
    </row>
    <row r="147" ht="12.75" customHeight="1">
      <c r="A147" s="162"/>
      <c r="B147" s="162"/>
      <c r="C147" s="162"/>
      <c r="D147" s="1"/>
      <c r="E147" s="162"/>
      <c r="F147" s="11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4"/>
      <c r="V147" s="164"/>
    </row>
    <row r="148" ht="12.75" customHeight="1">
      <c r="A148" s="162"/>
      <c r="B148" s="162"/>
      <c r="C148" s="162"/>
      <c r="D148" s="1"/>
      <c r="E148" s="162"/>
      <c r="F148" s="11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4"/>
      <c r="V148" s="164"/>
    </row>
    <row r="149" ht="12.75" customHeight="1">
      <c r="A149" s="162"/>
      <c r="B149" s="162"/>
      <c r="C149" s="162"/>
      <c r="D149" s="1"/>
      <c r="E149" s="162"/>
      <c r="F149" s="11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4"/>
      <c r="V149" s="164"/>
    </row>
    <row r="150" ht="12.75" customHeight="1">
      <c r="A150" s="162"/>
      <c r="B150" s="162"/>
      <c r="C150" s="162"/>
      <c r="D150" s="1"/>
      <c r="E150" s="162"/>
      <c r="F150" s="11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4"/>
      <c r="V150" s="164"/>
    </row>
    <row r="151" ht="12.75" customHeight="1">
      <c r="A151" s="162"/>
      <c r="B151" s="162"/>
      <c r="C151" s="162"/>
      <c r="D151" s="1"/>
      <c r="E151" s="162"/>
      <c r="F151" s="11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4"/>
      <c r="V151" s="164"/>
    </row>
    <row r="152" ht="12.75" customHeight="1">
      <c r="A152" s="162"/>
      <c r="B152" s="162"/>
      <c r="C152" s="162"/>
      <c r="D152" s="1"/>
      <c r="E152" s="162"/>
      <c r="F152" s="11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4"/>
      <c r="V152" s="164"/>
    </row>
    <row r="153" ht="12.75" customHeight="1">
      <c r="A153" s="162"/>
      <c r="B153" s="162"/>
      <c r="C153" s="162"/>
      <c r="D153" s="1"/>
      <c r="E153" s="162"/>
      <c r="F153" s="11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4"/>
      <c r="V153" s="164"/>
    </row>
    <row r="154" ht="12.75" customHeight="1">
      <c r="A154" s="162"/>
      <c r="B154" s="162"/>
      <c r="C154" s="162"/>
      <c r="D154" s="1"/>
      <c r="E154" s="162"/>
      <c r="F154" s="11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4"/>
      <c r="V154" s="164"/>
    </row>
    <row r="155" ht="12.75" customHeight="1">
      <c r="A155" s="162"/>
      <c r="B155" s="162"/>
      <c r="C155" s="162"/>
      <c r="D155" s="1"/>
      <c r="E155" s="162"/>
      <c r="F155" s="11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4"/>
      <c r="V155" s="164"/>
    </row>
    <row r="156" ht="12.75" customHeight="1">
      <c r="A156" s="162"/>
      <c r="B156" s="162"/>
      <c r="C156" s="162"/>
      <c r="D156" s="1"/>
      <c r="E156" s="162"/>
      <c r="F156" s="11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4"/>
      <c r="V156" s="164"/>
    </row>
    <row r="157" ht="12.75" customHeight="1">
      <c r="A157" s="162"/>
      <c r="B157" s="162"/>
      <c r="C157" s="162"/>
      <c r="D157" s="1"/>
      <c r="E157" s="162"/>
      <c r="F157" s="11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4"/>
      <c r="V157" s="164"/>
    </row>
    <row r="158" ht="12.75" customHeight="1">
      <c r="A158" s="162"/>
      <c r="B158" s="162"/>
      <c r="C158" s="162"/>
      <c r="D158" s="1"/>
      <c r="E158" s="162"/>
      <c r="F158" s="11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4"/>
      <c r="V158" s="164"/>
    </row>
    <row r="159" ht="12.75" customHeight="1">
      <c r="A159" s="162"/>
      <c r="B159" s="162"/>
      <c r="C159" s="162"/>
      <c r="D159" s="1"/>
      <c r="E159" s="162"/>
      <c r="F159" s="11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4"/>
      <c r="V159" s="164"/>
    </row>
    <row r="160" ht="12.75" customHeight="1">
      <c r="A160" s="162"/>
      <c r="B160" s="162"/>
      <c r="C160" s="162"/>
      <c r="D160" s="1"/>
      <c r="E160" s="162"/>
      <c r="F160" s="11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4"/>
      <c r="V160" s="164"/>
    </row>
    <row r="161" ht="12.75" customHeight="1">
      <c r="A161" s="162"/>
      <c r="B161" s="162"/>
      <c r="C161" s="162"/>
      <c r="D161" s="1"/>
      <c r="E161" s="162"/>
      <c r="F161" s="11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4"/>
      <c r="V161" s="164"/>
    </row>
    <row r="162" ht="12.75" customHeight="1">
      <c r="A162" s="162"/>
      <c r="B162" s="162"/>
      <c r="C162" s="162"/>
      <c r="D162" s="1"/>
      <c r="E162" s="162"/>
      <c r="F162" s="11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4"/>
      <c r="V162" s="164"/>
    </row>
    <row r="163" ht="12.75" customHeight="1">
      <c r="A163" s="162"/>
      <c r="B163" s="162"/>
      <c r="C163" s="162"/>
      <c r="D163" s="1"/>
      <c r="E163" s="162"/>
      <c r="F163" s="11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4"/>
      <c r="V163" s="164"/>
    </row>
    <row r="164" ht="12.75" customHeight="1">
      <c r="A164" s="162"/>
      <c r="B164" s="162"/>
      <c r="C164" s="162"/>
      <c r="D164" s="1"/>
      <c r="E164" s="162"/>
      <c r="F164" s="11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4"/>
      <c r="V164" s="164"/>
    </row>
    <row r="165" ht="12.75" customHeight="1">
      <c r="A165" s="162"/>
      <c r="B165" s="162"/>
      <c r="C165" s="162"/>
      <c r="D165" s="1"/>
      <c r="E165" s="162"/>
      <c r="F165" s="11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4"/>
      <c r="V165" s="164"/>
    </row>
    <row r="166" ht="12.75" customHeight="1">
      <c r="A166" s="162"/>
      <c r="B166" s="162"/>
      <c r="C166" s="162"/>
      <c r="D166" s="1"/>
      <c r="E166" s="162"/>
      <c r="F166" s="11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4"/>
      <c r="V166" s="164"/>
    </row>
    <row r="167" ht="12.75" customHeight="1">
      <c r="A167" s="162"/>
      <c r="B167" s="162"/>
      <c r="C167" s="162"/>
      <c r="D167" s="1"/>
      <c r="E167" s="162"/>
      <c r="F167" s="11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4"/>
      <c r="V167" s="164"/>
    </row>
    <row r="168" ht="12.75" customHeight="1">
      <c r="A168" s="162"/>
      <c r="B168" s="162"/>
      <c r="C168" s="162"/>
      <c r="D168" s="1"/>
      <c r="E168" s="162"/>
      <c r="F168" s="11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4"/>
      <c r="V168" s="164"/>
    </row>
    <row r="169" ht="12.75" customHeight="1">
      <c r="A169" s="162"/>
      <c r="B169" s="162"/>
      <c r="C169" s="162"/>
      <c r="D169" s="1"/>
      <c r="E169" s="162"/>
      <c r="F169" s="11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4"/>
      <c r="V169" s="164"/>
    </row>
    <row r="170" ht="12.75" customHeight="1">
      <c r="A170" s="162"/>
      <c r="B170" s="162"/>
      <c r="C170" s="162"/>
      <c r="D170" s="1"/>
      <c r="E170" s="162"/>
      <c r="F170" s="11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4"/>
      <c r="V170" s="164"/>
    </row>
    <row r="171" ht="12.75" customHeight="1">
      <c r="A171" s="162"/>
      <c r="B171" s="162"/>
      <c r="C171" s="162"/>
      <c r="D171" s="1"/>
      <c r="E171" s="162"/>
      <c r="F171" s="11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4"/>
      <c r="V171" s="164"/>
    </row>
    <row r="172" ht="12.75" customHeight="1">
      <c r="A172" s="162"/>
      <c r="B172" s="162"/>
      <c r="C172" s="162"/>
      <c r="D172" s="1"/>
      <c r="E172" s="162"/>
      <c r="F172" s="11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4"/>
      <c r="V172" s="164"/>
    </row>
    <row r="173" ht="12.75" customHeight="1">
      <c r="A173" s="162"/>
      <c r="B173" s="162"/>
      <c r="C173" s="162"/>
      <c r="D173" s="1"/>
      <c r="E173" s="162"/>
      <c r="F173" s="11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4"/>
      <c r="V173" s="164"/>
    </row>
    <row r="174" ht="12.75" customHeight="1">
      <c r="A174" s="162"/>
      <c r="B174" s="162"/>
      <c r="C174" s="162"/>
      <c r="D174" s="1"/>
      <c r="E174" s="162"/>
      <c r="F174" s="11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4"/>
      <c r="V174" s="164"/>
    </row>
    <row r="175" ht="12.75" customHeight="1">
      <c r="A175" s="162"/>
      <c r="B175" s="162"/>
      <c r="C175" s="162"/>
      <c r="D175" s="1"/>
      <c r="E175" s="162"/>
      <c r="F175" s="11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4"/>
      <c r="V175" s="164"/>
    </row>
    <row r="176" ht="12.75" customHeight="1">
      <c r="A176" s="162"/>
      <c r="B176" s="162"/>
      <c r="C176" s="162"/>
      <c r="D176" s="1"/>
      <c r="E176" s="162"/>
      <c r="F176" s="11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4"/>
      <c r="V176" s="164"/>
    </row>
    <row r="177" ht="12.75" customHeight="1">
      <c r="A177" s="162"/>
      <c r="B177" s="162"/>
      <c r="C177" s="162"/>
      <c r="D177" s="1"/>
      <c r="E177" s="162"/>
      <c r="F177" s="11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4"/>
      <c r="V177" s="164"/>
    </row>
    <row r="178" ht="12.75" customHeight="1">
      <c r="A178" s="162"/>
      <c r="B178" s="162"/>
      <c r="C178" s="162"/>
      <c r="D178" s="1"/>
      <c r="E178" s="162"/>
      <c r="F178" s="11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4"/>
      <c r="V178" s="164"/>
    </row>
    <row r="179" ht="12.75" customHeight="1">
      <c r="A179" s="162"/>
      <c r="B179" s="162"/>
      <c r="C179" s="162"/>
      <c r="D179" s="1"/>
      <c r="E179" s="162"/>
      <c r="F179" s="11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4"/>
      <c r="V179" s="164"/>
    </row>
    <row r="180" ht="12.75" customHeight="1">
      <c r="A180" s="162"/>
      <c r="B180" s="162"/>
      <c r="C180" s="162"/>
      <c r="D180" s="1"/>
      <c r="E180" s="162"/>
      <c r="F180" s="11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4"/>
      <c r="V180" s="164"/>
    </row>
    <row r="181" ht="12.75" customHeight="1">
      <c r="A181" s="162"/>
      <c r="B181" s="162"/>
      <c r="C181" s="162"/>
      <c r="D181" s="1"/>
      <c r="E181" s="162"/>
      <c r="F181" s="11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4"/>
      <c r="V181" s="164"/>
    </row>
    <row r="182" ht="12.75" customHeight="1">
      <c r="A182" s="162"/>
      <c r="B182" s="162"/>
      <c r="C182" s="162"/>
      <c r="D182" s="1"/>
      <c r="E182" s="162"/>
      <c r="F182" s="11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4"/>
      <c r="V182" s="164"/>
    </row>
    <row r="183" ht="12.75" customHeight="1">
      <c r="A183" s="162"/>
      <c r="B183" s="162"/>
      <c r="C183" s="162"/>
      <c r="D183" s="1"/>
      <c r="E183" s="162"/>
      <c r="F183" s="11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4"/>
      <c r="V183" s="164"/>
    </row>
    <row r="184" ht="12.75" customHeight="1">
      <c r="A184" s="162"/>
      <c r="B184" s="162"/>
      <c r="C184" s="162"/>
      <c r="D184" s="1"/>
      <c r="E184" s="162"/>
      <c r="F184" s="11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4"/>
      <c r="V184" s="164"/>
    </row>
    <row r="185" ht="12.75" customHeight="1">
      <c r="A185" s="162"/>
      <c r="B185" s="162"/>
      <c r="C185" s="162"/>
      <c r="D185" s="1"/>
      <c r="E185" s="162"/>
      <c r="F185" s="11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4"/>
      <c r="V185" s="164"/>
    </row>
    <row r="186" ht="12.75" customHeight="1">
      <c r="A186" s="162"/>
      <c r="B186" s="162"/>
      <c r="C186" s="162"/>
      <c r="D186" s="1"/>
      <c r="E186" s="162"/>
      <c r="F186" s="11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4"/>
      <c r="V186" s="164"/>
    </row>
    <row r="187" ht="12.75" customHeight="1">
      <c r="A187" s="162"/>
      <c r="B187" s="162"/>
      <c r="C187" s="162"/>
      <c r="D187" s="1"/>
      <c r="E187" s="162"/>
      <c r="F187" s="11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4"/>
      <c r="V187" s="164"/>
    </row>
    <row r="188" ht="12.75" customHeight="1">
      <c r="A188" s="162"/>
      <c r="B188" s="162"/>
      <c r="C188" s="162"/>
      <c r="D188" s="1"/>
      <c r="E188" s="162"/>
      <c r="F188" s="11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4"/>
      <c r="V188" s="164"/>
    </row>
    <row r="189" ht="12.75" customHeight="1">
      <c r="A189" s="162"/>
      <c r="B189" s="162"/>
      <c r="C189" s="162"/>
      <c r="D189" s="1"/>
      <c r="E189" s="162"/>
      <c r="F189" s="11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4"/>
      <c r="V189" s="164"/>
    </row>
    <row r="190" ht="12.75" customHeight="1">
      <c r="A190" s="162"/>
      <c r="B190" s="162"/>
      <c r="C190" s="162"/>
      <c r="D190" s="1"/>
      <c r="E190" s="162"/>
      <c r="F190" s="11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4"/>
      <c r="V190" s="164"/>
    </row>
    <row r="191" ht="12.75" customHeight="1">
      <c r="A191" s="162"/>
      <c r="B191" s="162"/>
      <c r="C191" s="162"/>
      <c r="D191" s="1"/>
      <c r="E191" s="162"/>
      <c r="F191" s="11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4"/>
      <c r="V191" s="164"/>
    </row>
    <row r="192" ht="12.75" customHeight="1">
      <c r="A192" s="162"/>
      <c r="B192" s="162"/>
      <c r="C192" s="162"/>
      <c r="D192" s="1"/>
      <c r="E192" s="162"/>
      <c r="F192" s="11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4"/>
      <c r="V192" s="164"/>
    </row>
    <row r="193" ht="12.75" customHeight="1">
      <c r="A193" s="162"/>
      <c r="B193" s="162"/>
      <c r="C193" s="162"/>
      <c r="D193" s="1"/>
      <c r="E193" s="162"/>
      <c r="F193" s="11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4"/>
      <c r="V193" s="164"/>
    </row>
    <row r="194" ht="12.75" customHeight="1">
      <c r="A194" s="162"/>
      <c r="B194" s="162"/>
      <c r="C194" s="162"/>
      <c r="D194" s="1"/>
      <c r="E194" s="162"/>
      <c r="F194" s="11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4"/>
      <c r="V194" s="164"/>
    </row>
    <row r="195" ht="12.75" customHeight="1">
      <c r="A195" s="162"/>
      <c r="B195" s="162"/>
      <c r="C195" s="162"/>
      <c r="D195" s="1"/>
      <c r="E195" s="162"/>
      <c r="F195" s="11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4"/>
      <c r="V195" s="164"/>
    </row>
    <row r="196" ht="12.75" customHeight="1">
      <c r="A196" s="162"/>
      <c r="B196" s="162"/>
      <c r="C196" s="162"/>
      <c r="D196" s="1"/>
      <c r="E196" s="162"/>
      <c r="F196" s="11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4"/>
      <c r="V196" s="164"/>
    </row>
    <row r="197" ht="12.75" customHeight="1">
      <c r="A197" s="162"/>
      <c r="B197" s="162"/>
      <c r="C197" s="162"/>
      <c r="D197" s="1"/>
      <c r="E197" s="162"/>
      <c r="F197" s="11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4"/>
      <c r="V197" s="164"/>
    </row>
    <row r="198" ht="12.75" customHeight="1">
      <c r="A198" s="162"/>
      <c r="B198" s="162"/>
      <c r="C198" s="162"/>
      <c r="D198" s="1"/>
      <c r="E198" s="162"/>
      <c r="F198" s="11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4"/>
      <c r="V198" s="164"/>
    </row>
    <row r="199" ht="12.75" customHeight="1">
      <c r="A199" s="162"/>
      <c r="B199" s="162"/>
      <c r="C199" s="162"/>
      <c r="D199" s="1"/>
      <c r="E199" s="162"/>
      <c r="F199" s="11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4"/>
      <c r="V199" s="164"/>
    </row>
    <row r="200" ht="12.75" customHeight="1">
      <c r="A200" s="162"/>
      <c r="B200" s="162"/>
      <c r="C200" s="162"/>
      <c r="D200" s="1"/>
      <c r="E200" s="162"/>
      <c r="F200" s="11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4"/>
      <c r="V200" s="164"/>
    </row>
    <row r="201" ht="12.75" customHeight="1">
      <c r="A201" s="162"/>
      <c r="B201" s="162"/>
      <c r="C201" s="162"/>
      <c r="D201" s="1"/>
      <c r="E201" s="162"/>
      <c r="F201" s="11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4"/>
      <c r="V201" s="164"/>
    </row>
    <row r="202" ht="12.75" customHeight="1">
      <c r="A202" s="162"/>
      <c r="B202" s="162"/>
      <c r="C202" s="162"/>
      <c r="D202" s="1"/>
      <c r="E202" s="162"/>
      <c r="F202" s="11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4"/>
      <c r="V202" s="164"/>
    </row>
    <row r="203" ht="12.75" customHeight="1">
      <c r="A203" s="162"/>
      <c r="B203" s="162"/>
      <c r="C203" s="162"/>
      <c r="D203" s="1"/>
      <c r="E203" s="162"/>
      <c r="F203" s="11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4"/>
      <c r="V203" s="164"/>
    </row>
    <row r="204" ht="12.75" customHeight="1">
      <c r="A204" s="162"/>
      <c r="B204" s="162"/>
      <c r="C204" s="162"/>
      <c r="D204" s="1"/>
      <c r="E204" s="162"/>
      <c r="F204" s="11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4"/>
      <c r="V204" s="164"/>
    </row>
    <row r="205" ht="12.75" customHeight="1">
      <c r="A205" s="162"/>
      <c r="B205" s="162"/>
      <c r="C205" s="162"/>
      <c r="D205" s="1"/>
      <c r="E205" s="162"/>
      <c r="F205" s="11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4"/>
      <c r="V205" s="164"/>
    </row>
    <row r="206" ht="12.75" customHeight="1">
      <c r="A206" s="162"/>
      <c r="B206" s="162"/>
      <c r="C206" s="162"/>
      <c r="D206" s="1"/>
      <c r="E206" s="162"/>
      <c r="F206" s="11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4"/>
      <c r="V206" s="164"/>
    </row>
    <row r="207" ht="12.75" customHeight="1">
      <c r="A207" s="162"/>
      <c r="B207" s="162"/>
      <c r="C207" s="162"/>
      <c r="D207" s="1"/>
      <c r="E207" s="162"/>
      <c r="F207" s="11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4"/>
      <c r="V207" s="164"/>
    </row>
    <row r="208" ht="12.75" customHeight="1">
      <c r="A208" s="162"/>
      <c r="B208" s="162"/>
      <c r="C208" s="162"/>
      <c r="D208" s="1"/>
      <c r="E208" s="162"/>
      <c r="F208" s="11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4"/>
      <c r="V208" s="164"/>
    </row>
    <row r="209" ht="12.75" customHeight="1">
      <c r="A209" s="162"/>
      <c r="B209" s="162"/>
      <c r="C209" s="162"/>
      <c r="D209" s="1"/>
      <c r="E209" s="162"/>
      <c r="F209" s="11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4"/>
      <c r="V209" s="164"/>
    </row>
    <row r="210" ht="12.75" customHeight="1">
      <c r="A210" s="162"/>
      <c r="B210" s="162"/>
      <c r="C210" s="162"/>
      <c r="D210" s="1"/>
      <c r="E210" s="162"/>
      <c r="F210" s="11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4"/>
      <c r="V210" s="164"/>
    </row>
    <row r="211" ht="12.75" customHeight="1">
      <c r="A211" s="162"/>
      <c r="B211" s="162"/>
      <c r="C211" s="162"/>
      <c r="D211" s="1"/>
      <c r="E211" s="162"/>
      <c r="F211" s="11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4"/>
      <c r="V211" s="164"/>
    </row>
    <row r="212" ht="12.75" customHeight="1">
      <c r="A212" s="162"/>
      <c r="B212" s="162"/>
      <c r="C212" s="162"/>
      <c r="D212" s="1"/>
      <c r="E212" s="162"/>
      <c r="F212" s="11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4"/>
      <c r="V212" s="164"/>
    </row>
    <row r="213" ht="12.75" customHeight="1">
      <c r="A213" s="162"/>
      <c r="B213" s="162"/>
      <c r="C213" s="162"/>
      <c r="D213" s="1"/>
      <c r="E213" s="162"/>
      <c r="F213" s="11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4"/>
      <c r="V213" s="164"/>
    </row>
    <row r="214" ht="12.75" customHeight="1">
      <c r="A214" s="162"/>
      <c r="B214" s="162"/>
      <c r="C214" s="162"/>
      <c r="D214" s="1"/>
      <c r="E214" s="162"/>
      <c r="F214" s="11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4"/>
      <c r="V214" s="164"/>
    </row>
    <row r="215" ht="12.75" customHeight="1">
      <c r="A215" s="162"/>
      <c r="B215" s="162"/>
      <c r="C215" s="162"/>
      <c r="D215" s="1"/>
      <c r="E215" s="162"/>
      <c r="F215" s="11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4"/>
      <c r="V215" s="164"/>
    </row>
    <row r="216" ht="12.75" customHeight="1">
      <c r="A216" s="162"/>
      <c r="B216" s="162"/>
      <c r="C216" s="162"/>
      <c r="D216" s="1"/>
      <c r="E216" s="162"/>
      <c r="F216" s="11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4"/>
      <c r="V216" s="164"/>
    </row>
    <row r="217" ht="12.75" customHeight="1">
      <c r="A217" s="162"/>
      <c r="B217" s="162"/>
      <c r="C217" s="162"/>
      <c r="D217" s="1"/>
      <c r="E217" s="162"/>
      <c r="F217" s="11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4"/>
      <c r="V217" s="164"/>
    </row>
    <row r="218" ht="12.75" customHeight="1">
      <c r="A218" s="162"/>
      <c r="B218" s="162"/>
      <c r="C218" s="162"/>
      <c r="D218" s="1"/>
      <c r="E218" s="162"/>
      <c r="F218" s="11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4"/>
      <c r="V218" s="164"/>
    </row>
    <row r="219" ht="12.75" customHeight="1">
      <c r="A219" s="162"/>
      <c r="B219" s="162"/>
      <c r="C219" s="162"/>
      <c r="D219" s="1"/>
      <c r="E219" s="162"/>
      <c r="F219" s="11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4"/>
      <c r="V219" s="164"/>
    </row>
    <row r="220" ht="12.75" customHeight="1">
      <c r="A220" s="162"/>
      <c r="B220" s="162"/>
      <c r="C220" s="162"/>
      <c r="D220" s="1"/>
      <c r="E220" s="162"/>
      <c r="F220" s="11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4"/>
      <c r="V220" s="164"/>
    </row>
    <row r="221" ht="12.75" customHeight="1">
      <c r="A221" s="162"/>
      <c r="B221" s="162"/>
      <c r="C221" s="162"/>
      <c r="D221" s="1"/>
      <c r="E221" s="162"/>
      <c r="F221" s="11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4"/>
      <c r="V221" s="164"/>
    </row>
    <row r="222" ht="12.75" customHeight="1">
      <c r="A222" s="162"/>
      <c r="B222" s="162"/>
      <c r="C222" s="162"/>
      <c r="D222" s="1"/>
      <c r="E222" s="162"/>
      <c r="F222" s="11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4"/>
      <c r="V222" s="164"/>
    </row>
    <row r="223" ht="12.75" customHeight="1">
      <c r="A223" s="162"/>
      <c r="B223" s="162"/>
      <c r="C223" s="162"/>
      <c r="D223" s="1"/>
      <c r="E223" s="162"/>
      <c r="F223" s="11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4"/>
      <c r="V223" s="164"/>
    </row>
    <row r="224" ht="12.75" customHeight="1">
      <c r="A224" s="162"/>
      <c r="B224" s="162"/>
      <c r="C224" s="162"/>
      <c r="D224" s="1"/>
      <c r="E224" s="162"/>
      <c r="F224" s="11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4"/>
      <c r="V224" s="164"/>
    </row>
    <row r="225" ht="12.75" customHeight="1">
      <c r="A225" s="162"/>
      <c r="B225" s="162"/>
      <c r="C225" s="162"/>
      <c r="D225" s="1"/>
      <c r="E225" s="162"/>
      <c r="F225" s="11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4"/>
      <c r="V225" s="164"/>
    </row>
    <row r="226" ht="12.75" customHeight="1">
      <c r="A226" s="162"/>
      <c r="B226" s="162"/>
      <c r="C226" s="162"/>
      <c r="D226" s="1"/>
      <c r="E226" s="162"/>
      <c r="F226" s="11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4"/>
      <c r="V226" s="164"/>
    </row>
    <row r="227" ht="12.75" customHeight="1">
      <c r="A227" s="162"/>
      <c r="B227" s="162"/>
      <c r="C227" s="162"/>
      <c r="D227" s="1"/>
      <c r="E227" s="162"/>
      <c r="F227" s="11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4"/>
      <c r="V227" s="164"/>
    </row>
    <row r="228" ht="12.75" customHeight="1">
      <c r="A228" s="162"/>
      <c r="B228" s="162"/>
      <c r="C228" s="162"/>
      <c r="D228" s="1"/>
      <c r="E228" s="162"/>
      <c r="F228" s="11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4"/>
      <c r="V228" s="164"/>
    </row>
    <row r="229" ht="12.75" customHeight="1">
      <c r="A229" s="162"/>
      <c r="B229" s="162"/>
      <c r="C229" s="162"/>
      <c r="D229" s="1"/>
      <c r="E229" s="162"/>
      <c r="F229" s="11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4"/>
      <c r="V229" s="164"/>
    </row>
    <row r="230" ht="12.75" customHeight="1">
      <c r="A230" s="162"/>
      <c r="B230" s="162"/>
      <c r="C230" s="162"/>
      <c r="D230" s="1"/>
      <c r="E230" s="162"/>
      <c r="F230" s="11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4"/>
      <c r="V230" s="164"/>
    </row>
    <row r="231" ht="12.75" customHeight="1">
      <c r="A231" s="162"/>
      <c r="B231" s="162"/>
      <c r="C231" s="162"/>
      <c r="D231" s="1"/>
      <c r="E231" s="162"/>
      <c r="F231" s="11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4"/>
      <c r="V231" s="164"/>
    </row>
    <row r="232" ht="12.75" customHeight="1">
      <c r="A232" s="162"/>
      <c r="B232" s="162"/>
      <c r="C232" s="162"/>
      <c r="D232" s="1"/>
      <c r="E232" s="162"/>
      <c r="F232" s="11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4"/>
      <c r="V232" s="164"/>
    </row>
    <row r="233" ht="12.75" customHeight="1">
      <c r="A233" s="162"/>
      <c r="B233" s="162"/>
      <c r="C233" s="162"/>
      <c r="D233" s="1"/>
      <c r="E233" s="162"/>
      <c r="F233" s="11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4"/>
      <c r="V233" s="164"/>
    </row>
    <row r="234" ht="12.75" customHeight="1">
      <c r="A234" s="162"/>
      <c r="B234" s="162"/>
      <c r="C234" s="162"/>
      <c r="D234" s="1"/>
      <c r="E234" s="162"/>
      <c r="F234" s="11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4"/>
      <c r="V234" s="164"/>
    </row>
    <row r="235" ht="12.75" customHeight="1">
      <c r="A235" s="162"/>
      <c r="B235" s="162"/>
      <c r="C235" s="162"/>
      <c r="D235" s="1"/>
      <c r="E235" s="162"/>
      <c r="F235" s="11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4"/>
      <c r="V235" s="164"/>
    </row>
    <row r="236" ht="12.75" customHeight="1">
      <c r="A236" s="162"/>
      <c r="B236" s="162"/>
      <c r="C236" s="162"/>
      <c r="D236" s="1"/>
      <c r="E236" s="162"/>
      <c r="F236" s="11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4"/>
      <c r="V236" s="164"/>
    </row>
    <row r="237" ht="12.75" customHeight="1">
      <c r="A237" s="162"/>
      <c r="B237" s="162"/>
      <c r="C237" s="162"/>
      <c r="D237" s="1"/>
      <c r="E237" s="162"/>
      <c r="F237" s="11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4"/>
      <c r="V237" s="164"/>
    </row>
    <row r="238" ht="12.75" customHeight="1">
      <c r="A238" s="162"/>
      <c r="B238" s="162"/>
      <c r="C238" s="162"/>
      <c r="D238" s="1"/>
      <c r="E238" s="162"/>
      <c r="F238" s="11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4"/>
      <c r="V238" s="164"/>
    </row>
    <row r="239" ht="12.75" customHeight="1">
      <c r="A239" s="162"/>
      <c r="B239" s="162"/>
      <c r="C239" s="162"/>
      <c r="D239" s="1"/>
      <c r="E239" s="162"/>
      <c r="F239" s="11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4"/>
      <c r="V239" s="164"/>
    </row>
    <row r="240" ht="12.75" customHeight="1">
      <c r="A240" s="162"/>
      <c r="B240" s="162"/>
      <c r="C240" s="162"/>
      <c r="D240" s="1"/>
      <c r="E240" s="162"/>
      <c r="F240" s="11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4"/>
      <c r="V240" s="164"/>
    </row>
    <row r="241" ht="12.75" customHeight="1">
      <c r="A241" s="162"/>
      <c r="B241" s="162"/>
      <c r="C241" s="162"/>
      <c r="D241" s="1"/>
      <c r="E241" s="162"/>
      <c r="F241" s="11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4"/>
      <c r="V241" s="164"/>
    </row>
    <row r="242" ht="12.75" customHeight="1">
      <c r="A242" s="162"/>
      <c r="B242" s="162"/>
      <c r="C242" s="162"/>
      <c r="D242" s="1"/>
      <c r="E242" s="162"/>
      <c r="F242" s="11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4"/>
      <c r="V242" s="164"/>
    </row>
    <row r="243" ht="12.75" customHeight="1">
      <c r="A243" s="162"/>
      <c r="B243" s="162"/>
      <c r="C243" s="162"/>
      <c r="D243" s="1"/>
      <c r="E243" s="162"/>
      <c r="F243" s="11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4"/>
      <c r="V243" s="164"/>
    </row>
    <row r="244" ht="12.75" customHeight="1">
      <c r="A244" s="162"/>
      <c r="B244" s="162"/>
      <c r="C244" s="162"/>
      <c r="D244" s="1"/>
      <c r="E244" s="162"/>
      <c r="F244" s="11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4"/>
      <c r="V244" s="164"/>
    </row>
    <row r="245" ht="12.75" customHeight="1">
      <c r="A245" s="162"/>
      <c r="B245" s="162"/>
      <c r="C245" s="162"/>
      <c r="D245" s="1"/>
      <c r="E245" s="162"/>
      <c r="F245" s="11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4"/>
      <c r="V245" s="164"/>
    </row>
    <row r="246" ht="12.75" customHeight="1">
      <c r="A246" s="162"/>
      <c r="B246" s="162"/>
      <c r="C246" s="162"/>
      <c r="D246" s="1"/>
      <c r="E246" s="162"/>
      <c r="F246" s="11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4"/>
      <c r="V246" s="164"/>
    </row>
    <row r="247" ht="12.75" customHeight="1">
      <c r="A247" s="162"/>
      <c r="B247" s="162"/>
      <c r="C247" s="162"/>
      <c r="D247" s="1"/>
      <c r="E247" s="162"/>
      <c r="F247" s="11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4"/>
      <c r="V247" s="164"/>
    </row>
    <row r="248" ht="12.75" customHeight="1">
      <c r="A248" s="162"/>
      <c r="B248" s="162"/>
      <c r="C248" s="162"/>
      <c r="D248" s="1"/>
      <c r="E248" s="162"/>
      <c r="F248" s="11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4"/>
      <c r="V248" s="164"/>
    </row>
    <row r="249" ht="12.75" customHeight="1">
      <c r="A249" s="162"/>
      <c r="B249" s="162"/>
      <c r="C249" s="162"/>
      <c r="D249" s="1"/>
      <c r="E249" s="162"/>
      <c r="F249" s="11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4"/>
      <c r="V249" s="164"/>
    </row>
    <row r="250" ht="12.75" customHeight="1">
      <c r="A250" s="162"/>
      <c r="B250" s="162"/>
      <c r="C250" s="162"/>
      <c r="D250" s="1"/>
      <c r="E250" s="162"/>
      <c r="F250" s="11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4"/>
      <c r="V250" s="164"/>
    </row>
    <row r="251" ht="12.75" customHeight="1">
      <c r="A251" s="162"/>
      <c r="B251" s="162"/>
      <c r="C251" s="162"/>
      <c r="D251" s="1"/>
      <c r="E251" s="162"/>
      <c r="F251" s="11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4"/>
      <c r="V251" s="164"/>
    </row>
    <row r="252" ht="12.75" customHeight="1">
      <c r="A252" s="162"/>
      <c r="B252" s="162"/>
      <c r="C252" s="162"/>
      <c r="D252" s="1"/>
      <c r="E252" s="162"/>
      <c r="F252" s="11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4"/>
      <c r="V252" s="164"/>
    </row>
    <row r="253" ht="12.75" customHeight="1">
      <c r="A253" s="162"/>
      <c r="B253" s="162"/>
      <c r="C253" s="162"/>
      <c r="D253" s="1"/>
      <c r="E253" s="162"/>
      <c r="F253" s="11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4"/>
      <c r="V253" s="164"/>
    </row>
    <row r="254" ht="12.75" customHeight="1">
      <c r="A254" s="162"/>
      <c r="B254" s="162"/>
      <c r="C254" s="162"/>
      <c r="D254" s="1"/>
      <c r="E254" s="162"/>
      <c r="F254" s="11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4"/>
      <c r="V254" s="164"/>
    </row>
    <row r="255" ht="12.75" customHeight="1">
      <c r="A255" s="162"/>
      <c r="B255" s="162"/>
      <c r="C255" s="162"/>
      <c r="D255" s="1"/>
      <c r="E255" s="162"/>
      <c r="F255" s="11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4"/>
      <c r="V255" s="164"/>
    </row>
    <row r="256" ht="12.75" customHeight="1">
      <c r="A256" s="162"/>
      <c r="B256" s="162"/>
      <c r="C256" s="162"/>
      <c r="D256" s="1"/>
      <c r="E256" s="162"/>
      <c r="F256" s="1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4"/>
      <c r="V256" s="164"/>
    </row>
    <row r="257" ht="12.75" customHeight="1">
      <c r="A257" s="162"/>
      <c r="B257" s="162"/>
      <c r="C257" s="162"/>
      <c r="D257" s="1"/>
      <c r="E257" s="162"/>
      <c r="F257" s="11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4"/>
      <c r="V257" s="164"/>
    </row>
    <row r="258" ht="12.75" customHeight="1">
      <c r="A258" s="162"/>
      <c r="B258" s="162"/>
      <c r="C258" s="162"/>
      <c r="D258" s="1"/>
      <c r="E258" s="162"/>
      <c r="F258" s="11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4"/>
      <c r="V258" s="164"/>
    </row>
    <row r="259" ht="12.75" customHeight="1">
      <c r="A259" s="162"/>
      <c r="B259" s="162"/>
      <c r="C259" s="162"/>
      <c r="D259" s="1"/>
      <c r="E259" s="162"/>
      <c r="F259" s="11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4"/>
      <c r="V259" s="164"/>
    </row>
    <row r="260" ht="12.75" customHeight="1">
      <c r="A260" s="162"/>
      <c r="B260" s="162"/>
      <c r="C260" s="162"/>
      <c r="D260" s="1"/>
      <c r="E260" s="162"/>
      <c r="F260" s="11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4"/>
      <c r="V260" s="164"/>
    </row>
    <row r="261" ht="12.75" customHeight="1">
      <c r="A261" s="162"/>
      <c r="B261" s="162"/>
      <c r="C261" s="162"/>
      <c r="D261" s="1"/>
      <c r="E261" s="162"/>
      <c r="F261" s="11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4"/>
      <c r="V261" s="164"/>
    </row>
    <row r="262" ht="12.75" customHeight="1">
      <c r="A262" s="162"/>
      <c r="B262" s="162"/>
      <c r="C262" s="162"/>
      <c r="D262" s="1"/>
      <c r="E262" s="162"/>
      <c r="F262" s="11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4"/>
      <c r="V262" s="164"/>
    </row>
    <row r="263" ht="12.75" customHeight="1">
      <c r="A263" s="162"/>
      <c r="B263" s="162"/>
      <c r="C263" s="162"/>
      <c r="D263" s="1"/>
      <c r="E263" s="162"/>
      <c r="F263" s="11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4"/>
      <c r="V263" s="164"/>
    </row>
    <row r="264" ht="12.75" customHeight="1">
      <c r="A264" s="162"/>
      <c r="B264" s="162"/>
      <c r="C264" s="162"/>
      <c r="D264" s="1"/>
      <c r="E264" s="162"/>
      <c r="F264" s="11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4"/>
      <c r="V264" s="164"/>
    </row>
    <row r="265" ht="12.75" customHeight="1">
      <c r="A265" s="162"/>
      <c r="B265" s="162"/>
      <c r="C265" s="162"/>
      <c r="D265" s="1"/>
      <c r="E265" s="162"/>
      <c r="F265" s="11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4"/>
      <c r="V265" s="164"/>
    </row>
    <row r="266" ht="12.75" customHeight="1">
      <c r="A266" s="162"/>
      <c r="B266" s="162"/>
      <c r="C266" s="162"/>
      <c r="D266" s="1"/>
      <c r="E266" s="162"/>
      <c r="F266" s="11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4"/>
      <c r="V266" s="164"/>
    </row>
    <row r="267" ht="12.75" customHeight="1">
      <c r="A267" s="162"/>
      <c r="B267" s="162"/>
      <c r="C267" s="162"/>
      <c r="D267" s="1"/>
      <c r="E267" s="162"/>
      <c r="F267" s="11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4"/>
      <c r="V267" s="164"/>
    </row>
    <row r="268" ht="12.75" customHeight="1">
      <c r="A268" s="162"/>
      <c r="B268" s="162"/>
      <c r="C268" s="162"/>
      <c r="D268" s="1"/>
      <c r="E268" s="162"/>
      <c r="F268" s="11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4"/>
      <c r="V268" s="164"/>
    </row>
    <row r="269" ht="12.75" customHeight="1">
      <c r="A269" s="162"/>
      <c r="B269" s="162"/>
      <c r="C269" s="162"/>
      <c r="D269" s="1"/>
      <c r="E269" s="162"/>
      <c r="F269" s="11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4"/>
      <c r="V269" s="164"/>
    </row>
    <row r="270" ht="12.75" customHeight="1">
      <c r="A270" s="162"/>
      <c r="B270" s="162"/>
      <c r="C270" s="162"/>
      <c r="D270" s="1"/>
      <c r="E270" s="162"/>
      <c r="F270" s="11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4"/>
      <c r="V270" s="164"/>
    </row>
    <row r="271" ht="12.75" customHeight="1">
      <c r="A271" s="162"/>
      <c r="B271" s="162"/>
      <c r="C271" s="162"/>
      <c r="D271" s="1"/>
      <c r="E271" s="162"/>
      <c r="F271" s="11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4"/>
      <c r="V271" s="164"/>
    </row>
    <row r="272" ht="12.75" customHeight="1">
      <c r="A272" s="162"/>
      <c r="B272" s="162"/>
      <c r="C272" s="162"/>
      <c r="D272" s="1"/>
      <c r="E272" s="162"/>
      <c r="F272" s="11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4"/>
      <c r="V272" s="164"/>
    </row>
    <row r="273" ht="12.75" customHeight="1">
      <c r="A273" s="162"/>
      <c r="B273" s="162"/>
      <c r="C273" s="162"/>
      <c r="D273" s="1"/>
      <c r="E273" s="162"/>
      <c r="F273" s="11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4"/>
      <c r="V273" s="164"/>
    </row>
    <row r="274" ht="12.75" customHeight="1">
      <c r="A274" s="162"/>
      <c r="B274" s="162"/>
      <c r="C274" s="162"/>
      <c r="D274" s="1"/>
      <c r="E274" s="162"/>
      <c r="F274" s="11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4"/>
      <c r="V274" s="164"/>
    </row>
    <row r="275" ht="12.75" customHeight="1">
      <c r="A275" s="162"/>
      <c r="B275" s="162"/>
      <c r="C275" s="162"/>
      <c r="D275" s="1"/>
      <c r="E275" s="162"/>
      <c r="F275" s="11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4"/>
      <c r="V275" s="164"/>
    </row>
    <row r="276" ht="12.75" customHeight="1">
      <c r="A276" s="162"/>
      <c r="B276" s="162"/>
      <c r="C276" s="162"/>
      <c r="D276" s="1"/>
      <c r="E276" s="162"/>
      <c r="F276" s="11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4"/>
      <c r="V276" s="164"/>
    </row>
    <row r="277" ht="12.75" customHeight="1">
      <c r="A277" s="162"/>
      <c r="B277" s="162"/>
      <c r="C277" s="162"/>
      <c r="D277" s="1"/>
      <c r="E277" s="162"/>
      <c r="F277" s="11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4"/>
      <c r="V277" s="164"/>
    </row>
    <row r="278" ht="12.75" customHeight="1">
      <c r="A278" s="162"/>
      <c r="B278" s="162"/>
      <c r="C278" s="162"/>
      <c r="D278" s="1"/>
      <c r="E278" s="162"/>
      <c r="F278" s="11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4"/>
      <c r="V278" s="164"/>
    </row>
    <row r="279" ht="12.75" customHeight="1">
      <c r="A279" s="162"/>
      <c r="B279" s="162"/>
      <c r="C279" s="162"/>
      <c r="D279" s="1"/>
      <c r="E279" s="162"/>
      <c r="F279" s="11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4"/>
      <c r="V279" s="164"/>
    </row>
    <row r="280" ht="12.75" customHeight="1">
      <c r="A280" s="162"/>
      <c r="B280" s="162"/>
      <c r="C280" s="162"/>
      <c r="D280" s="1"/>
      <c r="E280" s="162"/>
      <c r="F280" s="11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4"/>
      <c r="V280" s="164"/>
    </row>
    <row r="281" ht="12.75" customHeight="1">
      <c r="A281" s="162"/>
      <c r="B281" s="162"/>
      <c r="C281" s="162"/>
      <c r="D281" s="1"/>
      <c r="E281" s="162"/>
      <c r="F281" s="11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4"/>
      <c r="V281" s="164"/>
    </row>
    <row r="282" ht="12.75" customHeight="1">
      <c r="A282" s="162"/>
      <c r="B282" s="162"/>
      <c r="C282" s="162"/>
      <c r="D282" s="1"/>
      <c r="E282" s="162"/>
      <c r="F282" s="11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4"/>
      <c r="V282" s="164"/>
    </row>
    <row r="283" ht="12.75" customHeight="1">
      <c r="A283" s="162"/>
      <c r="B283" s="162"/>
      <c r="C283" s="162"/>
      <c r="D283" s="1"/>
      <c r="E283" s="162"/>
      <c r="F283" s="11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4"/>
      <c r="V283" s="164"/>
    </row>
    <row r="284" ht="12.75" customHeight="1">
      <c r="A284" s="162"/>
      <c r="B284" s="162"/>
      <c r="C284" s="162"/>
      <c r="D284" s="1"/>
      <c r="E284" s="162"/>
      <c r="F284" s="11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4"/>
      <c r="V284" s="164"/>
    </row>
    <row r="285" ht="12.75" customHeight="1">
      <c r="A285" s="162"/>
      <c r="B285" s="162"/>
      <c r="C285" s="162"/>
      <c r="D285" s="1"/>
      <c r="E285" s="162"/>
      <c r="F285" s="11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4"/>
      <c r="V285" s="164"/>
    </row>
    <row r="286" ht="12.75" customHeight="1">
      <c r="A286" s="162"/>
      <c r="B286" s="162"/>
      <c r="C286" s="162"/>
      <c r="D286" s="1"/>
      <c r="E286" s="162"/>
      <c r="F286" s="11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4"/>
      <c r="V286" s="164"/>
    </row>
    <row r="287" ht="12.75" customHeight="1">
      <c r="A287" s="162"/>
      <c r="B287" s="162"/>
      <c r="C287" s="162"/>
      <c r="D287" s="1"/>
      <c r="E287" s="162"/>
      <c r="F287" s="11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4"/>
      <c r="V287" s="164"/>
    </row>
    <row r="288" ht="12.75" customHeight="1">
      <c r="A288" s="162"/>
      <c r="B288" s="162"/>
      <c r="C288" s="162"/>
      <c r="D288" s="1"/>
      <c r="E288" s="162"/>
      <c r="F288" s="11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4"/>
      <c r="V288" s="164"/>
    </row>
    <row r="289" ht="12.75" customHeight="1">
      <c r="A289" s="162"/>
      <c r="B289" s="162"/>
      <c r="C289" s="162"/>
      <c r="D289" s="1"/>
      <c r="E289" s="162"/>
      <c r="F289" s="11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4"/>
      <c r="V289" s="164"/>
    </row>
    <row r="290" ht="12.75" customHeight="1">
      <c r="A290" s="162"/>
      <c r="B290" s="162"/>
      <c r="C290" s="162"/>
      <c r="D290" s="1"/>
      <c r="E290" s="162"/>
      <c r="F290" s="11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4"/>
      <c r="V290" s="164"/>
    </row>
    <row r="291" ht="12.75" customHeight="1">
      <c r="A291" s="162"/>
      <c r="B291" s="162"/>
      <c r="C291" s="162"/>
      <c r="D291" s="1"/>
      <c r="E291" s="162"/>
      <c r="F291" s="11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4"/>
      <c r="V291" s="164"/>
    </row>
    <row r="292" ht="12.75" customHeight="1">
      <c r="A292" s="162"/>
      <c r="B292" s="162"/>
      <c r="C292" s="162"/>
      <c r="D292" s="1"/>
      <c r="E292" s="162"/>
      <c r="F292" s="11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4"/>
      <c r="V292" s="164"/>
    </row>
    <row r="293" ht="12.75" customHeight="1">
      <c r="A293" s="162"/>
      <c r="B293" s="162"/>
      <c r="C293" s="162"/>
      <c r="D293" s="1"/>
      <c r="E293" s="162"/>
      <c r="F293" s="11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4"/>
      <c r="V293" s="164"/>
    </row>
    <row r="294" ht="12.75" customHeight="1">
      <c r="A294" s="162"/>
      <c r="B294" s="162"/>
      <c r="C294" s="162"/>
      <c r="D294" s="1"/>
      <c r="E294" s="162"/>
      <c r="F294" s="11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4"/>
      <c r="V294" s="164"/>
    </row>
    <row r="295" ht="12.75" customHeight="1">
      <c r="A295" s="162"/>
      <c r="B295" s="162"/>
      <c r="C295" s="162"/>
      <c r="D295" s="1"/>
      <c r="E295" s="162"/>
      <c r="F295" s="11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4"/>
      <c r="V295" s="164"/>
    </row>
    <row r="296" ht="12.75" customHeight="1">
      <c r="A296" s="162"/>
      <c r="B296" s="162"/>
      <c r="C296" s="162"/>
      <c r="D296" s="1"/>
      <c r="E296" s="162"/>
      <c r="F296" s="11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4"/>
      <c r="V296" s="164"/>
    </row>
    <row r="297" ht="12.75" customHeight="1">
      <c r="A297" s="162"/>
      <c r="B297" s="162"/>
      <c r="C297" s="162"/>
      <c r="D297" s="1"/>
      <c r="E297" s="162"/>
      <c r="F297" s="11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4"/>
      <c r="V297" s="164"/>
    </row>
    <row r="298" ht="12.75" customHeight="1">
      <c r="A298" s="162"/>
      <c r="B298" s="162"/>
      <c r="C298" s="162"/>
      <c r="D298" s="1"/>
      <c r="E298" s="162"/>
      <c r="F298" s="11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4"/>
      <c r="V298" s="164"/>
    </row>
    <row r="299" ht="12.75" customHeight="1">
      <c r="A299" s="162"/>
      <c r="B299" s="162"/>
      <c r="C299" s="162"/>
      <c r="D299" s="1"/>
      <c r="E299" s="162"/>
      <c r="F299" s="11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4"/>
      <c r="V299" s="164"/>
    </row>
    <row r="300" ht="12.75" customHeight="1">
      <c r="A300" s="162"/>
      <c r="B300" s="162"/>
      <c r="C300" s="162"/>
      <c r="D300" s="1"/>
      <c r="E300" s="162"/>
      <c r="F300" s="11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4"/>
      <c r="V300" s="164"/>
    </row>
    <row r="301" ht="12.75" customHeight="1">
      <c r="A301" s="162"/>
      <c r="B301" s="162"/>
      <c r="C301" s="162"/>
      <c r="D301" s="1"/>
      <c r="E301" s="162"/>
      <c r="F301" s="11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4"/>
      <c r="V301" s="164"/>
    </row>
    <row r="302" ht="12.75" customHeight="1">
      <c r="A302" s="162"/>
      <c r="B302" s="162"/>
      <c r="C302" s="162"/>
      <c r="D302" s="1"/>
      <c r="E302" s="162"/>
      <c r="F302" s="11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4"/>
      <c r="V302" s="164"/>
    </row>
    <row r="303" ht="12.75" customHeight="1">
      <c r="A303" s="162"/>
      <c r="B303" s="162"/>
      <c r="C303" s="162"/>
      <c r="D303" s="1"/>
      <c r="E303" s="162"/>
      <c r="F303" s="11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4"/>
      <c r="V303" s="164"/>
    </row>
    <row r="304" ht="12.75" customHeight="1">
      <c r="A304" s="162"/>
      <c r="B304" s="162"/>
      <c r="C304" s="162"/>
      <c r="D304" s="1"/>
      <c r="E304" s="162"/>
      <c r="F304" s="11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4"/>
      <c r="V304" s="164"/>
    </row>
    <row r="305" ht="12.75" customHeight="1">
      <c r="A305" s="162"/>
      <c r="B305" s="162"/>
      <c r="C305" s="162"/>
      <c r="D305" s="1"/>
      <c r="E305" s="162"/>
      <c r="F305" s="11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4"/>
      <c r="V305" s="164"/>
    </row>
    <row r="306" ht="12.75" customHeight="1">
      <c r="A306" s="162"/>
      <c r="B306" s="162"/>
      <c r="C306" s="162"/>
      <c r="D306" s="1"/>
      <c r="E306" s="162"/>
      <c r="F306" s="11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4"/>
      <c r="V306" s="164"/>
    </row>
    <row r="307" ht="12.75" customHeight="1">
      <c r="A307" s="162"/>
      <c r="B307" s="162"/>
      <c r="C307" s="162"/>
      <c r="D307" s="1"/>
      <c r="E307" s="162"/>
      <c r="F307" s="11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4"/>
      <c r="V307" s="164"/>
    </row>
    <row r="308" ht="12.75" customHeight="1">
      <c r="A308" s="162"/>
      <c r="B308" s="162"/>
      <c r="C308" s="162"/>
      <c r="D308" s="1"/>
      <c r="E308" s="162"/>
      <c r="F308" s="11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4"/>
      <c r="V308" s="164"/>
    </row>
    <row r="309" ht="12.75" customHeight="1">
      <c r="A309" s="162"/>
      <c r="B309" s="162"/>
      <c r="C309" s="162"/>
      <c r="D309" s="1"/>
      <c r="E309" s="162"/>
      <c r="F309" s="11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4"/>
      <c r="V309" s="164"/>
    </row>
    <row r="310" ht="12.75" customHeight="1">
      <c r="A310" s="162"/>
      <c r="B310" s="162"/>
      <c r="C310" s="162"/>
      <c r="D310" s="1"/>
      <c r="E310" s="162"/>
      <c r="F310" s="11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4"/>
      <c r="V310" s="164"/>
    </row>
    <row r="311" ht="12.75" customHeight="1">
      <c r="A311" s="162"/>
      <c r="B311" s="162"/>
      <c r="C311" s="162"/>
      <c r="D311" s="1"/>
      <c r="E311" s="162"/>
      <c r="F311" s="11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4"/>
      <c r="V311" s="164"/>
    </row>
    <row r="312" ht="12.75" customHeight="1">
      <c r="A312" s="162"/>
      <c r="B312" s="162"/>
      <c r="C312" s="162"/>
      <c r="D312" s="1"/>
      <c r="E312" s="162"/>
      <c r="F312" s="11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4"/>
      <c r="V312" s="164"/>
    </row>
    <row r="313" ht="12.75" customHeight="1">
      <c r="A313" s="162"/>
      <c r="B313" s="162"/>
      <c r="C313" s="162"/>
      <c r="D313" s="1"/>
      <c r="E313" s="162"/>
      <c r="F313" s="11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4"/>
      <c r="V313" s="164"/>
    </row>
    <row r="314" ht="12.75" customHeight="1">
      <c r="A314" s="162"/>
      <c r="B314" s="162"/>
      <c r="C314" s="162"/>
      <c r="D314" s="1"/>
      <c r="E314" s="162"/>
      <c r="F314" s="11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4"/>
      <c r="V314" s="164"/>
    </row>
    <row r="315" ht="12.75" customHeight="1">
      <c r="A315" s="162"/>
      <c r="B315" s="162"/>
      <c r="C315" s="162"/>
      <c r="D315" s="1"/>
      <c r="E315" s="162"/>
      <c r="F315" s="11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4"/>
      <c r="V315" s="164"/>
    </row>
    <row r="316" ht="12.75" customHeight="1">
      <c r="A316" s="162"/>
      <c r="B316" s="162"/>
      <c r="C316" s="162"/>
      <c r="D316" s="1"/>
      <c r="E316" s="162"/>
      <c r="F316" s="11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4"/>
      <c r="V316" s="164"/>
    </row>
    <row r="317" ht="12.75" customHeight="1">
      <c r="A317" s="162"/>
      <c r="B317" s="162"/>
      <c r="C317" s="162"/>
      <c r="D317" s="1"/>
      <c r="E317" s="162"/>
      <c r="F317" s="11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4"/>
      <c r="V317" s="164"/>
    </row>
    <row r="318" ht="12.75" customHeight="1">
      <c r="A318" s="162"/>
      <c r="B318" s="162"/>
      <c r="C318" s="162"/>
      <c r="D318" s="1"/>
      <c r="E318" s="162"/>
      <c r="F318" s="11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4"/>
      <c r="V318" s="164"/>
    </row>
    <row r="319" ht="12.75" customHeight="1">
      <c r="A319" s="162"/>
      <c r="B319" s="162"/>
      <c r="C319" s="162"/>
      <c r="D319" s="1"/>
      <c r="E319" s="162"/>
      <c r="F319" s="11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4"/>
      <c r="V319" s="164"/>
    </row>
    <row r="320" ht="12.75" customHeight="1">
      <c r="A320" s="162"/>
      <c r="B320" s="162"/>
      <c r="C320" s="162"/>
      <c r="D320" s="1"/>
      <c r="E320" s="162"/>
      <c r="F320" s="11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4"/>
      <c r="V320" s="164"/>
    </row>
    <row r="321" ht="12.75" customHeight="1">
      <c r="A321" s="162"/>
      <c r="B321" s="162"/>
      <c r="C321" s="162"/>
      <c r="D321" s="1"/>
      <c r="E321" s="162"/>
      <c r="F321" s="11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4"/>
      <c r="V321" s="164"/>
    </row>
    <row r="322" ht="12.75" customHeight="1">
      <c r="A322" s="162"/>
      <c r="B322" s="162"/>
      <c r="C322" s="162"/>
      <c r="D322" s="1"/>
      <c r="E322" s="162"/>
      <c r="F322" s="11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4"/>
      <c r="V322" s="164"/>
    </row>
    <row r="323" ht="12.75" customHeight="1">
      <c r="A323" s="162"/>
      <c r="B323" s="162"/>
      <c r="C323" s="162"/>
      <c r="D323" s="1"/>
      <c r="E323" s="162"/>
      <c r="F323" s="11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4"/>
      <c r="V323" s="164"/>
    </row>
    <row r="324" ht="12.75" customHeight="1">
      <c r="A324" s="162"/>
      <c r="B324" s="162"/>
      <c r="C324" s="162"/>
      <c r="D324" s="1"/>
      <c r="E324" s="162"/>
      <c r="F324" s="11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4"/>
      <c r="V324" s="164"/>
    </row>
    <row r="325" ht="12.75" customHeight="1">
      <c r="A325" s="162"/>
      <c r="B325" s="162"/>
      <c r="C325" s="162"/>
      <c r="D325" s="1"/>
      <c r="E325" s="162"/>
      <c r="F325" s="11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4"/>
      <c r="V325" s="164"/>
    </row>
    <row r="326" ht="12.75" customHeight="1">
      <c r="A326" s="162"/>
      <c r="B326" s="162"/>
      <c r="C326" s="162"/>
      <c r="D326" s="1"/>
      <c r="E326" s="162"/>
      <c r="F326" s="11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4"/>
      <c r="V326" s="164"/>
    </row>
    <row r="327" ht="12.75" customHeight="1">
      <c r="A327" s="162"/>
      <c r="B327" s="162"/>
      <c r="C327" s="162"/>
      <c r="D327" s="1"/>
      <c r="E327" s="162"/>
      <c r="F327" s="11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4"/>
      <c r="V327" s="164"/>
    </row>
    <row r="328" ht="12.75" customHeight="1">
      <c r="A328" s="162"/>
      <c r="B328" s="162"/>
      <c r="C328" s="162"/>
      <c r="D328" s="1"/>
      <c r="E328" s="162"/>
      <c r="F328" s="11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4"/>
      <c r="V328" s="164"/>
    </row>
    <row r="329" ht="12.75" customHeight="1">
      <c r="A329" s="162"/>
      <c r="B329" s="162"/>
      <c r="C329" s="162"/>
      <c r="D329" s="1"/>
      <c r="E329" s="162"/>
      <c r="F329" s="11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4"/>
      <c r="V329" s="164"/>
    </row>
    <row r="330" ht="12.75" customHeight="1">
      <c r="A330" s="162"/>
      <c r="B330" s="162"/>
      <c r="C330" s="162"/>
      <c r="D330" s="1"/>
      <c r="E330" s="162"/>
      <c r="F330" s="11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4"/>
      <c r="V330" s="164"/>
    </row>
    <row r="331" ht="12.75" customHeight="1">
      <c r="A331" s="162"/>
      <c r="B331" s="162"/>
      <c r="C331" s="162"/>
      <c r="D331" s="1"/>
      <c r="E331" s="162"/>
      <c r="F331" s="11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4"/>
      <c r="V331" s="164"/>
    </row>
    <row r="332" ht="12.75" customHeight="1">
      <c r="A332" s="162"/>
      <c r="B332" s="162"/>
      <c r="C332" s="162"/>
      <c r="D332" s="1"/>
      <c r="E332" s="162"/>
      <c r="F332" s="11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4"/>
      <c r="V332" s="164"/>
    </row>
    <row r="333" ht="12.75" customHeight="1">
      <c r="A333" s="162"/>
      <c r="B333" s="162"/>
      <c r="C333" s="162"/>
      <c r="D333" s="1"/>
      <c r="E333" s="162"/>
      <c r="F333" s="11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4"/>
      <c r="V333" s="164"/>
    </row>
    <row r="334" ht="12.75" customHeight="1">
      <c r="A334" s="162"/>
      <c r="B334" s="162"/>
      <c r="C334" s="162"/>
      <c r="D334" s="1"/>
      <c r="E334" s="162"/>
      <c r="F334" s="11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4"/>
      <c r="V334" s="164"/>
    </row>
    <row r="335" ht="12.75" customHeight="1">
      <c r="A335" s="162"/>
      <c r="B335" s="162"/>
      <c r="C335" s="162"/>
      <c r="D335" s="1"/>
      <c r="E335" s="162"/>
      <c r="F335" s="11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4"/>
      <c r="V335" s="164"/>
    </row>
    <row r="336" ht="12.75" customHeight="1">
      <c r="A336" s="162"/>
      <c r="B336" s="162"/>
      <c r="C336" s="162"/>
      <c r="D336" s="1"/>
      <c r="E336" s="162"/>
      <c r="F336" s="11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4"/>
      <c r="V336" s="164"/>
    </row>
    <row r="337" ht="12.75" customHeight="1">
      <c r="A337" s="162"/>
      <c r="B337" s="162"/>
      <c r="C337" s="162"/>
      <c r="D337" s="1"/>
      <c r="E337" s="162"/>
      <c r="F337" s="11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4"/>
      <c r="V337" s="164"/>
    </row>
    <row r="338" ht="12.75" customHeight="1">
      <c r="A338" s="162"/>
      <c r="B338" s="162"/>
      <c r="C338" s="162"/>
      <c r="D338" s="1"/>
      <c r="E338" s="162"/>
      <c r="F338" s="11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4"/>
      <c r="V338" s="164"/>
    </row>
    <row r="339" ht="12.75" customHeight="1">
      <c r="A339" s="162"/>
      <c r="B339" s="162"/>
      <c r="C339" s="162"/>
      <c r="D339" s="1"/>
      <c r="E339" s="162"/>
      <c r="F339" s="11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4"/>
      <c r="V339" s="164"/>
    </row>
    <row r="340" ht="12.75" customHeight="1">
      <c r="A340" s="162"/>
      <c r="B340" s="162"/>
      <c r="C340" s="162"/>
      <c r="D340" s="1"/>
      <c r="E340" s="162"/>
      <c r="F340" s="11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4"/>
      <c r="V340" s="164"/>
    </row>
    <row r="341" ht="12.75" customHeight="1">
      <c r="A341" s="162"/>
      <c r="B341" s="162"/>
      <c r="C341" s="162"/>
      <c r="D341" s="1"/>
      <c r="E341" s="162"/>
      <c r="F341" s="11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4"/>
      <c r="V341" s="164"/>
    </row>
    <row r="342" ht="12.75" customHeight="1">
      <c r="A342" s="162"/>
      <c r="B342" s="162"/>
      <c r="C342" s="162"/>
      <c r="D342" s="1"/>
      <c r="E342" s="162"/>
      <c r="F342" s="11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4"/>
      <c r="V342" s="164"/>
    </row>
    <row r="343" ht="12.75" customHeight="1">
      <c r="A343" s="162"/>
      <c r="B343" s="162"/>
      <c r="C343" s="162"/>
      <c r="D343" s="1"/>
      <c r="E343" s="162"/>
      <c r="F343" s="11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4"/>
      <c r="V343" s="164"/>
    </row>
    <row r="344" ht="12.75" customHeight="1">
      <c r="A344" s="162"/>
      <c r="B344" s="162"/>
      <c r="C344" s="162"/>
      <c r="D344" s="1"/>
      <c r="E344" s="162"/>
      <c r="F344" s="11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4"/>
      <c r="V344" s="164"/>
    </row>
    <row r="345" ht="12.75" customHeight="1">
      <c r="A345" s="162"/>
      <c r="B345" s="162"/>
      <c r="C345" s="162"/>
      <c r="D345" s="1"/>
      <c r="E345" s="162"/>
      <c r="F345" s="11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4"/>
      <c r="V345" s="164"/>
    </row>
    <row r="346" ht="12.75" customHeight="1">
      <c r="A346" s="162"/>
      <c r="B346" s="162"/>
      <c r="C346" s="162"/>
      <c r="D346" s="1"/>
      <c r="E346" s="162"/>
      <c r="F346" s="11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4"/>
      <c r="V346" s="164"/>
    </row>
    <row r="347" ht="12.75" customHeight="1">
      <c r="A347" s="162"/>
      <c r="B347" s="162"/>
      <c r="C347" s="162"/>
      <c r="D347" s="1"/>
      <c r="E347" s="162"/>
      <c r="F347" s="11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4"/>
      <c r="V347" s="164"/>
    </row>
    <row r="348" ht="12.75" customHeight="1">
      <c r="A348" s="162"/>
      <c r="B348" s="162"/>
      <c r="C348" s="162"/>
      <c r="D348" s="1"/>
      <c r="E348" s="162"/>
      <c r="F348" s="11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4"/>
      <c r="V348" s="164"/>
    </row>
    <row r="349" ht="12.75" customHeight="1">
      <c r="A349" s="162"/>
      <c r="B349" s="162"/>
      <c r="C349" s="162"/>
      <c r="D349" s="1"/>
      <c r="E349" s="162"/>
      <c r="F349" s="11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4"/>
      <c r="V349" s="164"/>
    </row>
    <row r="350" ht="12.75" customHeight="1">
      <c r="A350" s="162"/>
      <c r="B350" s="162"/>
      <c r="C350" s="162"/>
      <c r="D350" s="1"/>
      <c r="E350" s="162"/>
      <c r="F350" s="11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4"/>
      <c r="V350" s="164"/>
    </row>
    <row r="351" ht="12.75" customHeight="1">
      <c r="A351" s="162"/>
      <c r="B351" s="162"/>
      <c r="C351" s="162"/>
      <c r="D351" s="1"/>
      <c r="E351" s="162"/>
      <c r="F351" s="11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4"/>
      <c r="V351" s="164"/>
    </row>
    <row r="352" ht="12.75" customHeight="1">
      <c r="A352" s="162"/>
      <c r="B352" s="162"/>
      <c r="C352" s="162"/>
      <c r="D352" s="1"/>
      <c r="E352" s="162"/>
      <c r="F352" s="11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4"/>
      <c r="V352" s="164"/>
    </row>
    <row r="353" ht="12.75" customHeight="1">
      <c r="A353" s="162"/>
      <c r="B353" s="162"/>
      <c r="C353" s="162"/>
      <c r="D353" s="1"/>
      <c r="E353" s="162"/>
      <c r="F353" s="11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4"/>
      <c r="V353" s="164"/>
    </row>
    <row r="354" ht="12.75" customHeight="1">
      <c r="A354" s="162"/>
      <c r="B354" s="162"/>
      <c r="C354" s="162"/>
      <c r="D354" s="1"/>
      <c r="E354" s="162"/>
      <c r="F354" s="11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4"/>
      <c r="V354" s="164"/>
    </row>
    <row r="355" ht="12.75" customHeight="1">
      <c r="A355" s="162"/>
      <c r="B355" s="162"/>
      <c r="C355" s="162"/>
      <c r="D355" s="1"/>
      <c r="E355" s="162"/>
      <c r="F355" s="11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4"/>
      <c r="V355" s="164"/>
    </row>
    <row r="356" ht="12.75" customHeight="1">
      <c r="A356" s="162"/>
      <c r="B356" s="162"/>
      <c r="C356" s="162"/>
      <c r="D356" s="1"/>
      <c r="E356" s="162"/>
      <c r="F356" s="11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4"/>
      <c r="V356" s="164"/>
    </row>
    <row r="357" ht="12.75" customHeight="1">
      <c r="A357" s="162"/>
      <c r="B357" s="162"/>
      <c r="C357" s="162"/>
      <c r="D357" s="1"/>
      <c r="E357" s="162"/>
      <c r="F357" s="11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4"/>
      <c r="V357" s="164"/>
    </row>
    <row r="358" ht="12.75" customHeight="1">
      <c r="A358" s="162"/>
      <c r="B358" s="162"/>
      <c r="C358" s="162"/>
      <c r="D358" s="1"/>
      <c r="E358" s="162"/>
      <c r="F358" s="11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4"/>
      <c r="V358" s="164"/>
    </row>
    <row r="359" ht="12.75" customHeight="1">
      <c r="A359" s="162"/>
      <c r="B359" s="162"/>
      <c r="C359" s="162"/>
      <c r="D359" s="1"/>
      <c r="E359" s="162"/>
      <c r="F359" s="11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4"/>
      <c r="V359" s="164"/>
    </row>
    <row r="360" ht="12.75" customHeight="1">
      <c r="A360" s="162"/>
      <c r="B360" s="162"/>
      <c r="C360" s="162"/>
      <c r="D360" s="1"/>
      <c r="E360" s="162"/>
      <c r="F360" s="11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4"/>
      <c r="V360" s="164"/>
    </row>
    <row r="361" ht="12.75" customHeight="1">
      <c r="A361" s="162"/>
      <c r="B361" s="162"/>
      <c r="C361" s="162"/>
      <c r="D361" s="1"/>
      <c r="E361" s="162"/>
      <c r="F361" s="11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4"/>
      <c r="V361" s="164"/>
    </row>
    <row r="362" ht="12.75" customHeight="1">
      <c r="A362" s="162"/>
      <c r="B362" s="162"/>
      <c r="C362" s="162"/>
      <c r="D362" s="1"/>
      <c r="E362" s="162"/>
      <c r="F362" s="11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4"/>
      <c r="V362" s="164"/>
    </row>
    <row r="363" ht="12.75" customHeight="1">
      <c r="A363" s="162"/>
      <c r="B363" s="162"/>
      <c r="C363" s="162"/>
      <c r="D363" s="1"/>
      <c r="E363" s="162"/>
      <c r="F363" s="11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4"/>
      <c r="V363" s="164"/>
    </row>
    <row r="364" ht="12.75" customHeight="1">
      <c r="A364" s="162"/>
      <c r="B364" s="162"/>
      <c r="C364" s="162"/>
      <c r="D364" s="1"/>
      <c r="E364" s="162"/>
      <c r="F364" s="11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4"/>
      <c r="V364" s="164"/>
    </row>
    <row r="365" ht="12.75" customHeight="1">
      <c r="A365" s="162"/>
      <c r="B365" s="162"/>
      <c r="C365" s="162"/>
      <c r="D365" s="1"/>
      <c r="E365" s="162"/>
      <c r="F365" s="11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4"/>
      <c r="V365" s="164"/>
    </row>
    <row r="366" ht="12.75" customHeight="1">
      <c r="A366" s="162"/>
      <c r="B366" s="162"/>
      <c r="C366" s="162"/>
      <c r="D366" s="1"/>
      <c r="E366" s="162"/>
      <c r="F366" s="11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4"/>
      <c r="V366" s="164"/>
    </row>
    <row r="367" ht="12.75" customHeight="1">
      <c r="A367" s="162"/>
      <c r="B367" s="162"/>
      <c r="C367" s="162"/>
      <c r="D367" s="1"/>
      <c r="E367" s="162"/>
      <c r="F367" s="11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4"/>
      <c r="V367" s="164"/>
    </row>
    <row r="368" ht="12.75" customHeight="1">
      <c r="A368" s="162"/>
      <c r="B368" s="162"/>
      <c r="C368" s="162"/>
      <c r="D368" s="1"/>
      <c r="E368" s="162"/>
      <c r="F368" s="11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4"/>
      <c r="V368" s="164"/>
    </row>
    <row r="369" ht="12.75" customHeight="1">
      <c r="A369" s="162"/>
      <c r="B369" s="162"/>
      <c r="C369" s="162"/>
      <c r="D369" s="1"/>
      <c r="E369" s="162"/>
      <c r="F369" s="11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4"/>
      <c r="V369" s="164"/>
    </row>
    <row r="370" ht="12.75" customHeight="1">
      <c r="A370" s="162"/>
      <c r="B370" s="162"/>
      <c r="C370" s="162"/>
      <c r="D370" s="1"/>
      <c r="E370" s="162"/>
      <c r="F370" s="11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4"/>
      <c r="V370" s="164"/>
    </row>
    <row r="371" ht="12.75" customHeight="1">
      <c r="A371" s="162"/>
      <c r="B371" s="162"/>
      <c r="C371" s="162"/>
      <c r="D371" s="1"/>
      <c r="E371" s="162"/>
      <c r="F371" s="11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4"/>
      <c r="V371" s="164"/>
    </row>
    <row r="372" ht="12.75" customHeight="1">
      <c r="A372" s="162"/>
      <c r="B372" s="162"/>
      <c r="C372" s="162"/>
      <c r="D372" s="1"/>
      <c r="E372" s="162"/>
      <c r="F372" s="11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4"/>
      <c r="V372" s="164"/>
    </row>
    <row r="373" ht="12.75" customHeight="1">
      <c r="A373" s="162"/>
      <c r="B373" s="162"/>
      <c r="C373" s="162"/>
      <c r="D373" s="1"/>
      <c r="E373" s="162"/>
      <c r="F373" s="11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4"/>
      <c r="V373" s="164"/>
    </row>
    <row r="374" ht="12.75" customHeight="1">
      <c r="A374" s="162"/>
      <c r="B374" s="162"/>
      <c r="C374" s="162"/>
      <c r="D374" s="1"/>
      <c r="E374" s="162"/>
      <c r="F374" s="11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4"/>
      <c r="V374" s="164"/>
    </row>
    <row r="375" ht="12.75" customHeight="1">
      <c r="A375" s="162"/>
      <c r="B375" s="162"/>
      <c r="C375" s="162"/>
      <c r="D375" s="1"/>
      <c r="E375" s="162"/>
      <c r="F375" s="11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4"/>
      <c r="V375" s="164"/>
    </row>
    <row r="376" ht="12.75" customHeight="1">
      <c r="A376" s="162"/>
      <c r="B376" s="162"/>
      <c r="C376" s="162"/>
      <c r="D376" s="1"/>
      <c r="E376" s="162"/>
      <c r="F376" s="11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4"/>
      <c r="V376" s="164"/>
    </row>
    <row r="377" ht="12.75" customHeight="1">
      <c r="A377" s="162"/>
      <c r="B377" s="162"/>
      <c r="C377" s="162"/>
      <c r="D377" s="1"/>
      <c r="E377" s="162"/>
      <c r="F377" s="11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4"/>
      <c r="V377" s="164"/>
    </row>
    <row r="378" ht="12.75" customHeight="1">
      <c r="A378" s="162"/>
      <c r="B378" s="162"/>
      <c r="C378" s="162"/>
      <c r="D378" s="1"/>
      <c r="E378" s="162"/>
      <c r="F378" s="11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4"/>
      <c r="V378" s="164"/>
    </row>
    <row r="379" ht="12.75" customHeight="1">
      <c r="A379" s="162"/>
      <c r="B379" s="162"/>
      <c r="C379" s="162"/>
      <c r="D379" s="1"/>
      <c r="E379" s="162"/>
      <c r="F379" s="11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4"/>
      <c r="V379" s="164"/>
    </row>
    <row r="380" ht="12.75" customHeight="1">
      <c r="A380" s="162"/>
      <c r="B380" s="162"/>
      <c r="C380" s="162"/>
      <c r="D380" s="1"/>
      <c r="E380" s="162"/>
      <c r="F380" s="11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4"/>
      <c r="V380" s="164"/>
    </row>
    <row r="381" ht="12.75" customHeight="1">
      <c r="A381" s="162"/>
      <c r="B381" s="162"/>
      <c r="C381" s="162"/>
      <c r="D381" s="1"/>
      <c r="E381" s="162"/>
      <c r="F381" s="11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4"/>
      <c r="V381" s="164"/>
    </row>
    <row r="382" ht="12.75" customHeight="1">
      <c r="A382" s="162"/>
      <c r="B382" s="162"/>
      <c r="C382" s="162"/>
      <c r="D382" s="1"/>
      <c r="E382" s="162"/>
      <c r="F382" s="11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4"/>
      <c r="V382" s="164"/>
    </row>
    <row r="383" ht="12.75" customHeight="1">
      <c r="A383" s="162"/>
      <c r="B383" s="162"/>
      <c r="C383" s="162"/>
      <c r="D383" s="1"/>
      <c r="E383" s="162"/>
      <c r="F383" s="11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4"/>
      <c r="V383" s="164"/>
    </row>
    <row r="384" ht="12.75" customHeight="1">
      <c r="A384" s="162"/>
      <c r="B384" s="162"/>
      <c r="C384" s="162"/>
      <c r="D384" s="1"/>
      <c r="E384" s="162"/>
      <c r="F384" s="11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4"/>
      <c r="V384" s="164"/>
    </row>
    <row r="385" ht="12.75" customHeight="1">
      <c r="A385" s="162"/>
      <c r="B385" s="162"/>
      <c r="C385" s="162"/>
      <c r="D385" s="1"/>
      <c r="E385" s="162"/>
      <c r="F385" s="11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4"/>
      <c r="V385" s="164"/>
    </row>
    <row r="386" ht="12.75" customHeight="1">
      <c r="A386" s="162"/>
      <c r="B386" s="162"/>
      <c r="C386" s="162"/>
      <c r="D386" s="1"/>
      <c r="E386" s="162"/>
      <c r="F386" s="11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4"/>
      <c r="V386" s="164"/>
    </row>
    <row r="387" ht="12.75" customHeight="1">
      <c r="A387" s="162"/>
      <c r="B387" s="162"/>
      <c r="C387" s="162"/>
      <c r="D387" s="1"/>
      <c r="E387" s="162"/>
      <c r="F387" s="11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4"/>
      <c r="V387" s="164"/>
    </row>
    <row r="388" ht="12.75" customHeight="1">
      <c r="A388" s="162"/>
      <c r="B388" s="162"/>
      <c r="C388" s="162"/>
      <c r="D388" s="1"/>
      <c r="E388" s="162"/>
      <c r="F388" s="11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4"/>
      <c r="V388" s="164"/>
    </row>
    <row r="389" ht="12.75" customHeight="1">
      <c r="A389" s="162"/>
      <c r="B389" s="162"/>
      <c r="C389" s="162"/>
      <c r="D389" s="1"/>
      <c r="E389" s="162"/>
      <c r="F389" s="11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4"/>
      <c r="V389" s="164"/>
    </row>
    <row r="390" ht="12.75" customHeight="1">
      <c r="A390" s="162"/>
      <c r="B390" s="162"/>
      <c r="C390" s="162"/>
      <c r="D390" s="1"/>
      <c r="E390" s="162"/>
      <c r="F390" s="11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4"/>
      <c r="V390" s="164"/>
    </row>
    <row r="391" ht="12.75" customHeight="1">
      <c r="A391" s="162"/>
      <c r="B391" s="162"/>
      <c r="C391" s="162"/>
      <c r="D391" s="1"/>
      <c r="E391" s="162"/>
      <c r="F391" s="11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4"/>
      <c r="V391" s="164"/>
    </row>
    <row r="392" ht="12.75" customHeight="1">
      <c r="A392" s="162"/>
      <c r="B392" s="162"/>
      <c r="C392" s="162"/>
      <c r="D392" s="1"/>
      <c r="E392" s="162"/>
      <c r="F392" s="11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4"/>
      <c r="V392" s="164"/>
    </row>
    <row r="393" ht="12.75" customHeight="1">
      <c r="A393" s="162"/>
      <c r="B393" s="162"/>
      <c r="C393" s="162"/>
      <c r="D393" s="1"/>
      <c r="E393" s="162"/>
      <c r="F393" s="11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4"/>
      <c r="V393" s="164"/>
    </row>
    <row r="394" ht="12.75" customHeight="1">
      <c r="A394" s="162"/>
      <c r="B394" s="162"/>
      <c r="C394" s="162"/>
      <c r="D394" s="1"/>
      <c r="E394" s="162"/>
      <c r="F394" s="11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4"/>
      <c r="V394" s="164"/>
    </row>
    <row r="395" ht="12.75" customHeight="1">
      <c r="A395" s="162"/>
      <c r="B395" s="162"/>
      <c r="C395" s="162"/>
      <c r="D395" s="1"/>
      <c r="E395" s="162"/>
      <c r="F395" s="11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4"/>
      <c r="V395" s="164"/>
    </row>
    <row r="396" ht="12.75" customHeight="1">
      <c r="A396" s="162"/>
      <c r="B396" s="162"/>
      <c r="C396" s="162"/>
      <c r="D396" s="1"/>
      <c r="E396" s="162"/>
      <c r="F396" s="11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4"/>
      <c r="V396" s="164"/>
    </row>
    <row r="397" ht="12.75" customHeight="1">
      <c r="A397" s="162"/>
      <c r="B397" s="162"/>
      <c r="C397" s="162"/>
      <c r="D397" s="1"/>
      <c r="E397" s="162"/>
      <c r="F397" s="11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4"/>
      <c r="V397" s="164"/>
    </row>
    <row r="398" ht="12.75" customHeight="1">
      <c r="A398" s="162"/>
      <c r="B398" s="162"/>
      <c r="C398" s="162"/>
      <c r="D398" s="1"/>
      <c r="E398" s="162"/>
      <c r="F398" s="11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4"/>
      <c r="V398" s="164"/>
    </row>
    <row r="399" ht="12.75" customHeight="1">
      <c r="A399" s="162"/>
      <c r="B399" s="162"/>
      <c r="C399" s="162"/>
      <c r="D399" s="1"/>
      <c r="E399" s="162"/>
      <c r="F399" s="11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4"/>
      <c r="V399" s="164"/>
    </row>
    <row r="400" ht="12.75" customHeight="1">
      <c r="A400" s="162"/>
      <c r="B400" s="162"/>
      <c r="C400" s="162"/>
      <c r="D400" s="1"/>
      <c r="E400" s="162"/>
      <c r="F400" s="11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4"/>
      <c r="V400" s="164"/>
    </row>
    <row r="401" ht="12.75" customHeight="1">
      <c r="A401" s="162"/>
      <c r="B401" s="162"/>
      <c r="C401" s="162"/>
      <c r="D401" s="1"/>
      <c r="E401" s="162"/>
      <c r="F401" s="11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4"/>
      <c r="V401" s="164"/>
    </row>
    <row r="402" ht="12.75" customHeight="1">
      <c r="A402" s="162"/>
      <c r="B402" s="162"/>
      <c r="C402" s="162"/>
      <c r="D402" s="1"/>
      <c r="E402" s="162"/>
      <c r="F402" s="11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4"/>
      <c r="V402" s="164"/>
    </row>
    <row r="403" ht="12.75" customHeight="1">
      <c r="A403" s="162"/>
      <c r="B403" s="162"/>
      <c r="C403" s="162"/>
      <c r="D403" s="1"/>
      <c r="E403" s="162"/>
      <c r="F403" s="11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4"/>
      <c r="V403" s="164"/>
    </row>
    <row r="404" ht="12.75" customHeight="1">
      <c r="A404" s="162"/>
      <c r="B404" s="162"/>
      <c r="C404" s="162"/>
      <c r="D404" s="1"/>
      <c r="E404" s="162"/>
      <c r="F404" s="11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4"/>
      <c r="V404" s="164"/>
    </row>
    <row r="405" ht="12.75" customHeight="1">
      <c r="A405" s="162"/>
      <c r="B405" s="162"/>
      <c r="C405" s="162"/>
      <c r="D405" s="1"/>
      <c r="E405" s="162"/>
      <c r="F405" s="11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4"/>
      <c r="V405" s="164"/>
    </row>
    <row r="406" ht="12.75" customHeight="1">
      <c r="A406" s="162"/>
      <c r="B406" s="162"/>
      <c r="C406" s="162"/>
      <c r="D406" s="1"/>
      <c r="E406" s="162"/>
      <c r="F406" s="11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4"/>
      <c r="V406" s="164"/>
    </row>
    <row r="407" ht="12.75" customHeight="1">
      <c r="A407" s="162"/>
      <c r="B407" s="162"/>
      <c r="C407" s="162"/>
      <c r="D407" s="1"/>
      <c r="E407" s="162"/>
      <c r="F407" s="11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4"/>
      <c r="V407" s="164"/>
    </row>
    <row r="408" ht="12.75" customHeight="1">
      <c r="A408" s="162"/>
      <c r="B408" s="162"/>
      <c r="C408" s="162"/>
      <c r="D408" s="1"/>
      <c r="E408" s="162"/>
      <c r="F408" s="11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4"/>
      <c r="V408" s="164"/>
    </row>
    <row r="409" ht="12.75" customHeight="1">
      <c r="A409" s="162"/>
      <c r="B409" s="162"/>
      <c r="C409" s="162"/>
      <c r="D409" s="1"/>
      <c r="E409" s="162"/>
      <c r="F409" s="11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4"/>
      <c r="V409" s="164"/>
    </row>
    <row r="410" ht="12.75" customHeight="1">
      <c r="A410" s="162"/>
      <c r="B410" s="162"/>
      <c r="C410" s="162"/>
      <c r="D410" s="1"/>
      <c r="E410" s="162"/>
      <c r="F410" s="11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4"/>
      <c r="V410" s="164"/>
    </row>
    <row r="411" ht="12.75" customHeight="1">
      <c r="A411" s="162"/>
      <c r="B411" s="162"/>
      <c r="C411" s="162"/>
      <c r="D411" s="1"/>
      <c r="E411" s="162"/>
      <c r="F411" s="11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4"/>
      <c r="V411" s="164"/>
    </row>
    <row r="412" ht="12.75" customHeight="1">
      <c r="A412" s="162"/>
      <c r="B412" s="162"/>
      <c r="C412" s="162"/>
      <c r="D412" s="1"/>
      <c r="E412" s="162"/>
      <c r="F412" s="11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4"/>
      <c r="V412" s="164"/>
    </row>
    <row r="413" ht="12.75" customHeight="1">
      <c r="A413" s="162"/>
      <c r="B413" s="162"/>
      <c r="C413" s="162"/>
      <c r="D413" s="1"/>
      <c r="E413" s="162"/>
      <c r="F413" s="11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4"/>
      <c r="V413" s="164"/>
    </row>
    <row r="414" ht="12.75" customHeight="1">
      <c r="A414" s="162"/>
      <c r="B414" s="162"/>
      <c r="C414" s="162"/>
      <c r="D414" s="1"/>
      <c r="E414" s="162"/>
      <c r="F414" s="11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4"/>
      <c r="V414" s="164"/>
    </row>
    <row r="415" ht="12.75" customHeight="1">
      <c r="A415" s="162"/>
      <c r="B415" s="162"/>
      <c r="C415" s="162"/>
      <c r="D415" s="1"/>
      <c r="E415" s="162"/>
      <c r="F415" s="11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4"/>
      <c r="V415" s="164"/>
    </row>
    <row r="416" ht="12.75" customHeight="1">
      <c r="A416" s="162"/>
      <c r="B416" s="162"/>
      <c r="C416" s="162"/>
      <c r="D416" s="1"/>
      <c r="E416" s="162"/>
      <c r="F416" s="11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4"/>
      <c r="V416" s="164"/>
    </row>
    <row r="417" ht="12.75" customHeight="1">
      <c r="A417" s="162"/>
      <c r="B417" s="162"/>
      <c r="C417" s="162"/>
      <c r="D417" s="1"/>
      <c r="E417" s="162"/>
      <c r="F417" s="11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4"/>
      <c r="V417" s="164"/>
    </row>
    <row r="418" ht="12.75" customHeight="1">
      <c r="A418" s="162"/>
      <c r="B418" s="162"/>
      <c r="C418" s="162"/>
      <c r="D418" s="1"/>
      <c r="E418" s="162"/>
      <c r="F418" s="11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4"/>
      <c r="V418" s="164"/>
    </row>
    <row r="419" ht="12.75" customHeight="1">
      <c r="A419" s="162"/>
      <c r="B419" s="162"/>
      <c r="C419" s="162"/>
      <c r="D419" s="1"/>
      <c r="E419" s="162"/>
      <c r="F419" s="11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4"/>
      <c r="V419" s="164"/>
    </row>
    <row r="420" ht="12.75" customHeight="1">
      <c r="A420" s="162"/>
      <c r="B420" s="162"/>
      <c r="C420" s="162"/>
      <c r="D420" s="1"/>
      <c r="E420" s="162"/>
      <c r="F420" s="11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4"/>
      <c r="V420" s="164"/>
    </row>
    <row r="421" ht="12.75" customHeight="1">
      <c r="A421" s="162"/>
      <c r="B421" s="162"/>
      <c r="C421" s="162"/>
      <c r="D421" s="1"/>
      <c r="E421" s="162"/>
      <c r="F421" s="11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4"/>
      <c r="V421" s="164"/>
    </row>
    <row r="422" ht="12.75" customHeight="1">
      <c r="A422" s="162"/>
      <c r="B422" s="162"/>
      <c r="C422" s="162"/>
      <c r="D422" s="1"/>
      <c r="E422" s="162"/>
      <c r="F422" s="11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4"/>
      <c r="V422" s="164"/>
    </row>
    <row r="423" ht="12.75" customHeight="1">
      <c r="A423" s="162"/>
      <c r="B423" s="162"/>
      <c r="C423" s="162"/>
      <c r="D423" s="1"/>
      <c r="E423" s="162"/>
      <c r="F423" s="11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4"/>
      <c r="V423" s="164"/>
    </row>
    <row r="424" ht="12.75" customHeight="1">
      <c r="A424" s="162"/>
      <c r="B424" s="162"/>
      <c r="C424" s="162"/>
      <c r="D424" s="1"/>
      <c r="E424" s="162"/>
      <c r="F424" s="11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4"/>
      <c r="V424" s="164"/>
    </row>
    <row r="425" ht="12.75" customHeight="1">
      <c r="A425" s="162"/>
      <c r="B425" s="162"/>
      <c r="C425" s="162"/>
      <c r="D425" s="1"/>
      <c r="E425" s="162"/>
      <c r="F425" s="11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4"/>
      <c r="V425" s="164"/>
    </row>
    <row r="426" ht="12.75" customHeight="1">
      <c r="A426" s="162"/>
      <c r="B426" s="162"/>
      <c r="C426" s="162"/>
      <c r="D426" s="1"/>
      <c r="E426" s="162"/>
      <c r="F426" s="11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4"/>
      <c r="V426" s="164"/>
    </row>
    <row r="427" ht="12.75" customHeight="1">
      <c r="A427" s="162"/>
      <c r="B427" s="162"/>
      <c r="C427" s="162"/>
      <c r="D427" s="1"/>
      <c r="E427" s="162"/>
      <c r="F427" s="11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4"/>
      <c r="V427" s="164"/>
    </row>
    <row r="428" ht="12.75" customHeight="1">
      <c r="A428" s="162"/>
      <c r="B428" s="162"/>
      <c r="C428" s="162"/>
      <c r="D428" s="1"/>
      <c r="E428" s="162"/>
      <c r="F428" s="11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4"/>
      <c r="V428" s="164"/>
    </row>
    <row r="429" ht="12.75" customHeight="1">
      <c r="A429" s="162"/>
      <c r="B429" s="162"/>
      <c r="C429" s="162"/>
      <c r="D429" s="1"/>
      <c r="E429" s="162"/>
      <c r="F429" s="11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4"/>
      <c r="V429" s="164"/>
    </row>
    <row r="430" ht="12.75" customHeight="1">
      <c r="A430" s="162"/>
      <c r="B430" s="162"/>
      <c r="C430" s="162"/>
      <c r="D430" s="1"/>
      <c r="E430" s="162"/>
      <c r="F430" s="11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4"/>
      <c r="V430" s="164"/>
    </row>
    <row r="431" ht="12.75" customHeight="1">
      <c r="A431" s="162"/>
      <c r="B431" s="162"/>
      <c r="C431" s="162"/>
      <c r="D431" s="1"/>
      <c r="E431" s="162"/>
      <c r="F431" s="11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4"/>
      <c r="V431" s="164"/>
    </row>
    <row r="432" ht="12.75" customHeight="1">
      <c r="A432" s="162"/>
      <c r="B432" s="162"/>
      <c r="C432" s="162"/>
      <c r="D432" s="1"/>
      <c r="E432" s="162"/>
      <c r="F432" s="11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4"/>
      <c r="V432" s="164"/>
    </row>
    <row r="433" ht="12.75" customHeight="1">
      <c r="A433" s="162"/>
      <c r="B433" s="162"/>
      <c r="C433" s="162"/>
      <c r="D433" s="1"/>
      <c r="E433" s="162"/>
      <c r="F433" s="11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4"/>
      <c r="V433" s="164"/>
    </row>
    <row r="434" ht="12.75" customHeight="1">
      <c r="A434" s="162"/>
      <c r="B434" s="162"/>
      <c r="C434" s="162"/>
      <c r="D434" s="1"/>
      <c r="E434" s="162"/>
      <c r="F434" s="11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4"/>
      <c r="V434" s="164"/>
    </row>
    <row r="435" ht="12.75" customHeight="1">
      <c r="A435" s="162"/>
      <c r="B435" s="162"/>
      <c r="C435" s="162"/>
      <c r="D435" s="1"/>
      <c r="E435" s="162"/>
      <c r="F435" s="11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4"/>
      <c r="V435" s="164"/>
    </row>
    <row r="436" ht="12.75" customHeight="1">
      <c r="A436" s="162"/>
      <c r="B436" s="162"/>
      <c r="C436" s="162"/>
      <c r="D436" s="1"/>
      <c r="E436" s="162"/>
      <c r="F436" s="11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4"/>
      <c r="V436" s="164"/>
    </row>
    <row r="437" ht="12.75" customHeight="1">
      <c r="A437" s="162"/>
      <c r="B437" s="162"/>
      <c r="C437" s="162"/>
      <c r="D437" s="1"/>
      <c r="E437" s="162"/>
      <c r="F437" s="11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4"/>
      <c r="V437" s="164"/>
    </row>
    <row r="438" ht="12.75" customHeight="1">
      <c r="A438" s="162"/>
      <c r="B438" s="162"/>
      <c r="C438" s="162"/>
      <c r="D438" s="1"/>
      <c r="E438" s="162"/>
      <c r="F438" s="11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4"/>
      <c r="V438" s="164"/>
    </row>
    <row r="439" ht="12.75" customHeight="1">
      <c r="A439" s="162"/>
      <c r="B439" s="162"/>
      <c r="C439" s="162"/>
      <c r="D439" s="1"/>
      <c r="E439" s="162"/>
      <c r="F439" s="11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4"/>
      <c r="V439" s="164"/>
    </row>
    <row r="440" ht="12.75" customHeight="1">
      <c r="A440" s="162"/>
      <c r="B440" s="162"/>
      <c r="C440" s="162"/>
      <c r="D440" s="1"/>
      <c r="E440" s="162"/>
      <c r="F440" s="11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4"/>
      <c r="V440" s="164"/>
    </row>
    <row r="441" ht="12.75" customHeight="1">
      <c r="A441" s="162"/>
      <c r="B441" s="162"/>
      <c r="C441" s="162"/>
      <c r="D441" s="1"/>
      <c r="E441" s="162"/>
      <c r="F441" s="11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4"/>
      <c r="V441" s="164"/>
    </row>
    <row r="442" ht="12.75" customHeight="1">
      <c r="A442" s="162"/>
      <c r="B442" s="162"/>
      <c r="C442" s="162"/>
      <c r="D442" s="1"/>
      <c r="E442" s="162"/>
      <c r="F442" s="11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4"/>
      <c r="V442" s="164"/>
    </row>
    <row r="443" ht="12.75" customHeight="1">
      <c r="A443" s="162"/>
      <c r="B443" s="162"/>
      <c r="C443" s="162"/>
      <c r="D443" s="1"/>
      <c r="E443" s="162"/>
      <c r="F443" s="11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4"/>
      <c r="V443" s="164"/>
    </row>
    <row r="444" ht="12.75" customHeight="1">
      <c r="A444" s="162"/>
      <c r="B444" s="162"/>
      <c r="C444" s="162"/>
      <c r="D444" s="1"/>
      <c r="E444" s="162"/>
      <c r="F444" s="11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4"/>
      <c r="V444" s="164"/>
    </row>
    <row r="445" ht="12.75" customHeight="1">
      <c r="A445" s="162"/>
      <c r="B445" s="162"/>
      <c r="C445" s="162"/>
      <c r="D445" s="1"/>
      <c r="E445" s="162"/>
      <c r="F445" s="11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4"/>
      <c r="V445" s="164"/>
    </row>
    <row r="446" ht="12.75" customHeight="1">
      <c r="A446" s="162"/>
      <c r="B446" s="162"/>
      <c r="C446" s="162"/>
      <c r="D446" s="1"/>
      <c r="E446" s="162"/>
      <c r="F446" s="11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4"/>
      <c r="V446" s="164"/>
    </row>
    <row r="447" ht="12.75" customHeight="1">
      <c r="A447" s="162"/>
      <c r="B447" s="162"/>
      <c r="C447" s="162"/>
      <c r="D447" s="1"/>
      <c r="E447" s="162"/>
      <c r="F447" s="11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4"/>
      <c r="V447" s="164"/>
    </row>
    <row r="448" ht="12.75" customHeight="1">
      <c r="A448" s="162"/>
      <c r="B448" s="162"/>
      <c r="C448" s="162"/>
      <c r="D448" s="1"/>
      <c r="E448" s="162"/>
      <c r="F448" s="11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4"/>
      <c r="V448" s="164"/>
    </row>
    <row r="449" ht="12.75" customHeight="1">
      <c r="A449" s="162"/>
      <c r="B449" s="162"/>
      <c r="C449" s="162"/>
      <c r="D449" s="1"/>
      <c r="E449" s="162"/>
      <c r="F449" s="11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4"/>
      <c r="V449" s="164"/>
    </row>
    <row r="450" ht="12.75" customHeight="1">
      <c r="A450" s="162"/>
      <c r="B450" s="162"/>
      <c r="C450" s="162"/>
      <c r="D450" s="1"/>
      <c r="E450" s="162"/>
      <c r="F450" s="11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4"/>
      <c r="V450" s="164"/>
    </row>
    <row r="451" ht="12.75" customHeight="1">
      <c r="A451" s="162"/>
      <c r="B451" s="162"/>
      <c r="C451" s="162"/>
      <c r="D451" s="1"/>
      <c r="E451" s="162"/>
      <c r="F451" s="11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4"/>
      <c r="V451" s="164"/>
    </row>
    <row r="452" ht="12.75" customHeight="1">
      <c r="A452" s="162"/>
      <c r="B452" s="162"/>
      <c r="C452" s="162"/>
      <c r="D452" s="1"/>
      <c r="E452" s="162"/>
      <c r="F452" s="11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4"/>
      <c r="V452" s="164"/>
    </row>
    <row r="453" ht="12.75" customHeight="1">
      <c r="A453" s="162"/>
      <c r="B453" s="162"/>
      <c r="C453" s="162"/>
      <c r="D453" s="1"/>
      <c r="E453" s="162"/>
      <c r="F453" s="11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4"/>
      <c r="V453" s="164"/>
    </row>
    <row r="454" ht="12.75" customHeight="1">
      <c r="A454" s="162"/>
      <c r="B454" s="162"/>
      <c r="C454" s="162"/>
      <c r="D454" s="1"/>
      <c r="E454" s="162"/>
      <c r="F454" s="11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4"/>
      <c r="V454" s="164"/>
    </row>
    <row r="455" ht="12.75" customHeight="1">
      <c r="A455" s="162"/>
      <c r="B455" s="162"/>
      <c r="C455" s="162"/>
      <c r="D455" s="1"/>
      <c r="E455" s="162"/>
      <c r="F455" s="11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4"/>
      <c r="V455" s="164"/>
    </row>
    <row r="456" ht="12.75" customHeight="1">
      <c r="A456" s="162"/>
      <c r="B456" s="162"/>
      <c r="C456" s="162"/>
      <c r="D456" s="1"/>
      <c r="E456" s="162"/>
      <c r="F456" s="11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4"/>
      <c r="V456" s="164"/>
    </row>
    <row r="457" ht="12.75" customHeight="1">
      <c r="A457" s="162"/>
      <c r="B457" s="162"/>
      <c r="C457" s="162"/>
      <c r="D457" s="1"/>
      <c r="E457" s="162"/>
      <c r="F457" s="11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4"/>
      <c r="V457" s="164"/>
    </row>
    <row r="458" ht="12.75" customHeight="1">
      <c r="A458" s="162"/>
      <c r="B458" s="162"/>
      <c r="C458" s="162"/>
      <c r="D458" s="1"/>
      <c r="E458" s="162"/>
      <c r="F458" s="11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4"/>
      <c r="V458" s="164"/>
    </row>
    <row r="459" ht="12.75" customHeight="1">
      <c r="A459" s="162"/>
      <c r="B459" s="162"/>
      <c r="C459" s="162"/>
      <c r="D459" s="1"/>
      <c r="E459" s="162"/>
      <c r="F459" s="11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4"/>
      <c r="V459" s="164"/>
    </row>
    <row r="460" ht="12.75" customHeight="1">
      <c r="A460" s="162"/>
      <c r="B460" s="162"/>
      <c r="C460" s="162"/>
      <c r="D460" s="1"/>
      <c r="E460" s="162"/>
      <c r="F460" s="11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4"/>
      <c r="V460" s="164"/>
    </row>
    <row r="461" ht="12.75" customHeight="1">
      <c r="A461" s="162"/>
      <c r="B461" s="162"/>
      <c r="C461" s="162"/>
      <c r="D461" s="1"/>
      <c r="E461" s="162"/>
      <c r="F461" s="11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4"/>
      <c r="V461" s="164"/>
    </row>
    <row r="462" ht="12.75" customHeight="1">
      <c r="A462" s="162"/>
      <c r="B462" s="162"/>
      <c r="C462" s="162"/>
      <c r="D462" s="1"/>
      <c r="E462" s="162"/>
      <c r="F462" s="11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4"/>
      <c r="V462" s="164"/>
    </row>
    <row r="463" ht="12.75" customHeight="1">
      <c r="A463" s="162"/>
      <c r="B463" s="162"/>
      <c r="C463" s="162"/>
      <c r="D463" s="1"/>
      <c r="E463" s="162"/>
      <c r="F463" s="11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4"/>
      <c r="V463" s="164"/>
    </row>
    <row r="464" ht="12.75" customHeight="1">
      <c r="A464" s="162"/>
      <c r="B464" s="162"/>
      <c r="C464" s="162"/>
      <c r="D464" s="1"/>
      <c r="E464" s="162"/>
      <c r="F464" s="11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4"/>
      <c r="V464" s="164"/>
    </row>
    <row r="465" ht="12.75" customHeight="1">
      <c r="A465" s="162"/>
      <c r="B465" s="162"/>
      <c r="C465" s="162"/>
      <c r="D465" s="1"/>
      <c r="E465" s="162"/>
      <c r="F465" s="11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4"/>
      <c r="V465" s="164"/>
    </row>
    <row r="466" ht="12.75" customHeight="1">
      <c r="A466" s="162"/>
      <c r="B466" s="162"/>
      <c r="C466" s="162"/>
      <c r="D466" s="1"/>
      <c r="E466" s="162"/>
      <c r="F466" s="11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4"/>
      <c r="V466" s="164"/>
    </row>
    <row r="467" ht="12.75" customHeight="1">
      <c r="A467" s="162"/>
      <c r="B467" s="162"/>
      <c r="C467" s="162"/>
      <c r="D467" s="1"/>
      <c r="E467" s="162"/>
      <c r="F467" s="11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4"/>
      <c r="V467" s="164"/>
    </row>
    <row r="468" ht="12.75" customHeight="1">
      <c r="A468" s="162"/>
      <c r="B468" s="162"/>
      <c r="C468" s="162"/>
      <c r="D468" s="1"/>
      <c r="E468" s="162"/>
      <c r="F468" s="11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4"/>
      <c r="V468" s="164"/>
    </row>
    <row r="469" ht="12.75" customHeight="1">
      <c r="A469" s="162"/>
      <c r="B469" s="162"/>
      <c r="C469" s="162"/>
      <c r="D469" s="1"/>
      <c r="E469" s="162"/>
      <c r="F469" s="11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4"/>
      <c r="V469" s="164"/>
    </row>
    <row r="470" ht="12.75" customHeight="1">
      <c r="A470" s="162"/>
      <c r="B470" s="162"/>
      <c r="C470" s="162"/>
      <c r="D470" s="1"/>
      <c r="E470" s="162"/>
      <c r="F470" s="11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4"/>
      <c r="V470" s="164"/>
    </row>
    <row r="471" ht="12.75" customHeight="1">
      <c r="A471" s="162"/>
      <c r="B471" s="162"/>
      <c r="C471" s="162"/>
      <c r="D471" s="1"/>
      <c r="E471" s="162"/>
      <c r="F471" s="11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4"/>
      <c r="V471" s="164"/>
    </row>
    <row r="472" ht="12.75" customHeight="1">
      <c r="A472" s="162"/>
      <c r="B472" s="162"/>
      <c r="C472" s="162"/>
      <c r="D472" s="1"/>
      <c r="E472" s="162"/>
      <c r="F472" s="11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4"/>
      <c r="V472" s="164"/>
    </row>
    <row r="473" ht="12.75" customHeight="1">
      <c r="A473" s="162"/>
      <c r="B473" s="162"/>
      <c r="C473" s="162"/>
      <c r="D473" s="1"/>
      <c r="E473" s="162"/>
      <c r="F473" s="11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4"/>
      <c r="V473" s="164"/>
    </row>
    <row r="474" ht="12.75" customHeight="1">
      <c r="A474" s="162"/>
      <c r="B474" s="162"/>
      <c r="C474" s="162"/>
      <c r="D474" s="1"/>
      <c r="E474" s="162"/>
      <c r="F474" s="11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4"/>
      <c r="V474" s="164"/>
    </row>
    <row r="475" ht="12.75" customHeight="1">
      <c r="A475" s="162"/>
      <c r="B475" s="162"/>
      <c r="C475" s="162"/>
      <c r="D475" s="1"/>
      <c r="E475" s="162"/>
      <c r="F475" s="11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4"/>
      <c r="V475" s="164"/>
    </row>
    <row r="476" ht="12.75" customHeight="1">
      <c r="A476" s="162"/>
      <c r="B476" s="162"/>
      <c r="C476" s="162"/>
      <c r="D476" s="1"/>
      <c r="E476" s="162"/>
      <c r="F476" s="11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4"/>
      <c r="V476" s="164"/>
    </row>
    <row r="477" ht="12.75" customHeight="1">
      <c r="A477" s="162"/>
      <c r="B477" s="162"/>
      <c r="C477" s="162"/>
      <c r="D477" s="1"/>
      <c r="E477" s="162"/>
      <c r="F477" s="11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4"/>
      <c r="V477" s="164"/>
    </row>
    <row r="478" ht="12.75" customHeight="1">
      <c r="A478" s="162"/>
      <c r="B478" s="162"/>
      <c r="C478" s="162"/>
      <c r="D478" s="1"/>
      <c r="E478" s="162"/>
      <c r="F478" s="11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4"/>
      <c r="V478" s="164"/>
    </row>
    <row r="479" ht="12.75" customHeight="1">
      <c r="A479" s="162"/>
      <c r="B479" s="162"/>
      <c r="C479" s="162"/>
      <c r="D479" s="1"/>
      <c r="E479" s="162"/>
      <c r="F479" s="11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4"/>
      <c r="V479" s="164"/>
    </row>
    <row r="480" ht="12.75" customHeight="1">
      <c r="A480" s="162"/>
      <c r="B480" s="162"/>
      <c r="C480" s="162"/>
      <c r="D480" s="1"/>
      <c r="E480" s="162"/>
      <c r="F480" s="11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4"/>
      <c r="V480" s="164"/>
    </row>
    <row r="481" ht="12.75" customHeight="1">
      <c r="A481" s="162"/>
      <c r="B481" s="162"/>
      <c r="C481" s="162"/>
      <c r="D481" s="1"/>
      <c r="E481" s="162"/>
      <c r="F481" s="11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4"/>
      <c r="V481" s="164"/>
    </row>
    <row r="482" ht="12.75" customHeight="1">
      <c r="A482" s="162"/>
      <c r="B482" s="162"/>
      <c r="C482" s="162"/>
      <c r="D482" s="1"/>
      <c r="E482" s="162"/>
      <c r="F482" s="11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4"/>
      <c r="V482" s="164"/>
    </row>
    <row r="483" ht="12.75" customHeight="1">
      <c r="A483" s="162"/>
      <c r="B483" s="162"/>
      <c r="C483" s="162"/>
      <c r="D483" s="1"/>
      <c r="E483" s="162"/>
      <c r="F483" s="11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4"/>
      <c r="V483" s="164"/>
    </row>
    <row r="484" ht="12.75" customHeight="1">
      <c r="A484" s="162"/>
      <c r="B484" s="162"/>
      <c r="C484" s="162"/>
      <c r="D484" s="1"/>
      <c r="E484" s="162"/>
      <c r="F484" s="11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4"/>
      <c r="V484" s="164"/>
    </row>
    <row r="485" ht="12.75" customHeight="1">
      <c r="A485" s="162"/>
      <c r="B485" s="162"/>
      <c r="C485" s="162"/>
      <c r="D485" s="1"/>
      <c r="E485" s="162"/>
      <c r="F485" s="11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4"/>
      <c r="V485" s="164"/>
    </row>
    <row r="486" ht="12.75" customHeight="1">
      <c r="A486" s="162"/>
      <c r="B486" s="162"/>
      <c r="C486" s="162"/>
      <c r="D486" s="1"/>
      <c r="E486" s="162"/>
      <c r="F486" s="11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4"/>
      <c r="V486" s="164"/>
    </row>
    <row r="487" ht="12.75" customHeight="1">
      <c r="A487" s="162"/>
      <c r="B487" s="162"/>
      <c r="C487" s="162"/>
      <c r="D487" s="1"/>
      <c r="E487" s="162"/>
      <c r="F487" s="11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4"/>
      <c r="V487" s="164"/>
    </row>
    <row r="488" ht="12.75" customHeight="1">
      <c r="A488" s="162"/>
      <c r="B488" s="162"/>
      <c r="C488" s="162"/>
      <c r="D488" s="1"/>
      <c r="E488" s="162"/>
      <c r="F488" s="11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4"/>
      <c r="V488" s="164"/>
    </row>
    <row r="489" ht="12.75" customHeight="1">
      <c r="A489" s="162"/>
      <c r="B489" s="162"/>
      <c r="C489" s="162"/>
      <c r="D489" s="1"/>
      <c r="E489" s="162"/>
      <c r="F489" s="11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4"/>
      <c r="V489" s="164"/>
    </row>
    <row r="490" ht="12.75" customHeight="1">
      <c r="A490" s="162"/>
      <c r="B490" s="162"/>
      <c r="C490" s="162"/>
      <c r="D490" s="1"/>
      <c r="E490" s="162"/>
      <c r="F490" s="11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4"/>
      <c r="V490" s="164"/>
    </row>
    <row r="491" ht="12.75" customHeight="1">
      <c r="A491" s="162"/>
      <c r="B491" s="162"/>
      <c r="C491" s="162"/>
      <c r="D491" s="1"/>
      <c r="E491" s="162"/>
      <c r="F491" s="11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4"/>
      <c r="V491" s="164"/>
    </row>
    <row r="492" ht="12.75" customHeight="1">
      <c r="A492" s="162"/>
      <c r="B492" s="162"/>
      <c r="C492" s="162"/>
      <c r="D492" s="1"/>
      <c r="E492" s="162"/>
      <c r="F492" s="11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4"/>
      <c r="V492" s="164"/>
    </row>
    <row r="493" ht="12.75" customHeight="1">
      <c r="A493" s="162"/>
      <c r="B493" s="162"/>
      <c r="C493" s="162"/>
      <c r="D493" s="1"/>
      <c r="E493" s="162"/>
      <c r="F493" s="11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4"/>
      <c r="V493" s="164"/>
    </row>
    <row r="494" ht="12.75" customHeight="1">
      <c r="A494" s="162"/>
      <c r="B494" s="162"/>
      <c r="C494" s="162"/>
      <c r="D494" s="1"/>
      <c r="E494" s="162"/>
      <c r="F494" s="11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4"/>
      <c r="V494" s="164"/>
    </row>
    <row r="495" ht="12.75" customHeight="1">
      <c r="A495" s="162"/>
      <c r="B495" s="162"/>
      <c r="C495" s="162"/>
      <c r="D495" s="1"/>
      <c r="E495" s="162"/>
      <c r="F495" s="11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4"/>
      <c r="V495" s="164"/>
    </row>
    <row r="496" ht="12.75" customHeight="1">
      <c r="A496" s="162"/>
      <c r="B496" s="162"/>
      <c r="C496" s="162"/>
      <c r="D496" s="1"/>
      <c r="E496" s="162"/>
      <c r="F496" s="11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4"/>
      <c r="V496" s="164"/>
    </row>
    <row r="497" ht="12.75" customHeight="1">
      <c r="A497" s="162"/>
      <c r="B497" s="162"/>
      <c r="C497" s="162"/>
      <c r="D497" s="1"/>
      <c r="E497" s="162"/>
      <c r="F497" s="11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4"/>
      <c r="V497" s="164"/>
    </row>
    <row r="498" ht="12.75" customHeight="1">
      <c r="A498" s="162"/>
      <c r="B498" s="162"/>
      <c r="C498" s="162"/>
      <c r="D498" s="1"/>
      <c r="E498" s="162"/>
      <c r="F498" s="11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4"/>
      <c r="V498" s="164"/>
    </row>
    <row r="499" ht="12.75" customHeight="1">
      <c r="A499" s="162"/>
      <c r="B499" s="162"/>
      <c r="C499" s="162"/>
      <c r="D499" s="1"/>
      <c r="E499" s="162"/>
      <c r="F499" s="11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4"/>
      <c r="V499" s="164"/>
    </row>
    <row r="500" ht="12.75" customHeight="1">
      <c r="A500" s="162"/>
      <c r="B500" s="162"/>
      <c r="C500" s="162"/>
      <c r="D500" s="1"/>
      <c r="E500" s="162"/>
      <c r="F500" s="11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4"/>
      <c r="V500" s="164"/>
    </row>
    <row r="501" ht="12.75" customHeight="1">
      <c r="A501" s="162"/>
      <c r="B501" s="162"/>
      <c r="C501" s="162"/>
      <c r="D501" s="1"/>
      <c r="E501" s="162"/>
      <c r="F501" s="11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4"/>
      <c r="V501" s="164"/>
    </row>
    <row r="502" ht="12.75" customHeight="1">
      <c r="A502" s="162"/>
      <c r="B502" s="162"/>
      <c r="C502" s="162"/>
      <c r="D502" s="1"/>
      <c r="E502" s="162"/>
      <c r="F502" s="11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4"/>
      <c r="V502" s="164"/>
    </row>
    <row r="503" ht="12.75" customHeight="1">
      <c r="A503" s="162"/>
      <c r="B503" s="162"/>
      <c r="C503" s="162"/>
      <c r="D503" s="1"/>
      <c r="E503" s="162"/>
      <c r="F503" s="11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4"/>
      <c r="V503" s="164"/>
    </row>
    <row r="504" ht="12.75" customHeight="1">
      <c r="A504" s="162"/>
      <c r="B504" s="162"/>
      <c r="C504" s="162"/>
      <c r="D504" s="1"/>
      <c r="E504" s="162"/>
      <c r="F504" s="11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4"/>
      <c r="V504" s="164"/>
    </row>
    <row r="505" ht="12.75" customHeight="1">
      <c r="A505" s="162"/>
      <c r="B505" s="162"/>
      <c r="C505" s="162"/>
      <c r="D505" s="1"/>
      <c r="E505" s="162"/>
      <c r="F505" s="11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4"/>
      <c r="V505" s="164"/>
    </row>
    <row r="506" ht="12.75" customHeight="1">
      <c r="A506" s="162"/>
      <c r="B506" s="162"/>
      <c r="C506" s="162"/>
      <c r="D506" s="1"/>
      <c r="E506" s="162"/>
      <c r="F506" s="11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4"/>
      <c r="V506" s="164"/>
    </row>
    <row r="507" ht="12.75" customHeight="1">
      <c r="A507" s="162"/>
      <c r="B507" s="162"/>
      <c r="C507" s="162"/>
      <c r="D507" s="1"/>
      <c r="E507" s="162"/>
      <c r="F507" s="11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4"/>
      <c r="V507" s="164"/>
    </row>
    <row r="508" ht="12.75" customHeight="1">
      <c r="A508" s="162"/>
      <c r="B508" s="162"/>
      <c r="C508" s="162"/>
      <c r="D508" s="1"/>
      <c r="E508" s="162"/>
      <c r="F508" s="11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4"/>
      <c r="V508" s="164"/>
    </row>
    <row r="509" ht="12.75" customHeight="1">
      <c r="A509" s="162"/>
      <c r="B509" s="162"/>
      <c r="C509" s="162"/>
      <c r="D509" s="1"/>
      <c r="E509" s="162"/>
      <c r="F509" s="11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4"/>
      <c r="V509" s="164"/>
    </row>
    <row r="510" ht="12.75" customHeight="1">
      <c r="A510" s="162"/>
      <c r="B510" s="162"/>
      <c r="C510" s="162"/>
      <c r="D510" s="1"/>
      <c r="E510" s="162"/>
      <c r="F510" s="11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4"/>
      <c r="V510" s="164"/>
    </row>
    <row r="511" ht="12.75" customHeight="1">
      <c r="A511" s="162"/>
      <c r="B511" s="162"/>
      <c r="C511" s="162"/>
      <c r="D511" s="1"/>
      <c r="E511" s="162"/>
      <c r="F511" s="11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4"/>
      <c r="V511" s="164"/>
    </row>
    <row r="512" ht="12.75" customHeight="1">
      <c r="A512" s="162"/>
      <c r="B512" s="162"/>
      <c r="C512" s="162"/>
      <c r="D512" s="1"/>
      <c r="E512" s="162"/>
      <c r="F512" s="11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4"/>
      <c r="V512" s="164"/>
    </row>
    <row r="513" ht="12.75" customHeight="1">
      <c r="A513" s="162"/>
      <c r="B513" s="162"/>
      <c r="C513" s="162"/>
      <c r="D513" s="1"/>
      <c r="E513" s="162"/>
      <c r="F513" s="11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4"/>
      <c r="V513" s="164"/>
    </row>
    <row r="514" ht="12.75" customHeight="1">
      <c r="A514" s="162"/>
      <c r="B514" s="162"/>
      <c r="C514" s="162"/>
      <c r="D514" s="1"/>
      <c r="E514" s="162"/>
      <c r="F514" s="11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4"/>
      <c r="V514" s="164"/>
    </row>
    <row r="515" ht="12.75" customHeight="1">
      <c r="A515" s="162"/>
      <c r="B515" s="162"/>
      <c r="C515" s="162"/>
      <c r="D515" s="1"/>
      <c r="E515" s="162"/>
      <c r="F515" s="11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4"/>
      <c r="V515" s="164"/>
    </row>
    <row r="516" ht="12.75" customHeight="1">
      <c r="A516" s="162"/>
      <c r="B516" s="162"/>
      <c r="C516" s="162"/>
      <c r="D516" s="1"/>
      <c r="E516" s="162"/>
      <c r="F516" s="11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4"/>
      <c r="V516" s="164"/>
    </row>
    <row r="517" ht="12.75" customHeight="1">
      <c r="A517" s="162"/>
      <c r="B517" s="162"/>
      <c r="C517" s="162"/>
      <c r="D517" s="1"/>
      <c r="E517" s="162"/>
      <c r="F517" s="11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4"/>
      <c r="V517" s="164"/>
    </row>
    <row r="518" ht="12.75" customHeight="1">
      <c r="A518" s="162"/>
      <c r="B518" s="162"/>
      <c r="C518" s="162"/>
      <c r="D518" s="1"/>
      <c r="E518" s="162"/>
      <c r="F518" s="11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4"/>
      <c r="V518" s="164"/>
    </row>
    <row r="519" ht="12.75" customHeight="1">
      <c r="A519" s="162"/>
      <c r="B519" s="162"/>
      <c r="C519" s="162"/>
      <c r="D519" s="1"/>
      <c r="E519" s="162"/>
      <c r="F519" s="11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4"/>
      <c r="V519" s="164"/>
    </row>
    <row r="520" ht="12.75" customHeight="1">
      <c r="A520" s="162"/>
      <c r="B520" s="162"/>
      <c r="C520" s="162"/>
      <c r="D520" s="1"/>
      <c r="E520" s="162"/>
      <c r="F520" s="11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4"/>
      <c r="V520" s="164"/>
    </row>
    <row r="521" ht="12.75" customHeight="1">
      <c r="A521" s="162"/>
      <c r="B521" s="162"/>
      <c r="C521" s="162"/>
      <c r="D521" s="1"/>
      <c r="E521" s="162"/>
      <c r="F521" s="11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4"/>
      <c r="V521" s="164"/>
    </row>
    <row r="522" ht="12.75" customHeight="1">
      <c r="A522" s="162"/>
      <c r="B522" s="162"/>
      <c r="C522" s="162"/>
      <c r="D522" s="1"/>
      <c r="E522" s="162"/>
      <c r="F522" s="11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4"/>
      <c r="V522" s="164"/>
    </row>
    <row r="523" ht="12.75" customHeight="1">
      <c r="A523" s="162"/>
      <c r="B523" s="162"/>
      <c r="C523" s="162"/>
      <c r="D523" s="1"/>
      <c r="E523" s="162"/>
      <c r="F523" s="11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4"/>
      <c r="V523" s="164"/>
    </row>
    <row r="524" ht="12.75" customHeight="1">
      <c r="A524" s="162"/>
      <c r="B524" s="162"/>
      <c r="C524" s="162"/>
      <c r="D524" s="1"/>
      <c r="E524" s="162"/>
      <c r="F524" s="11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4"/>
      <c r="V524" s="164"/>
    </row>
    <row r="525" ht="12.75" customHeight="1">
      <c r="A525" s="162"/>
      <c r="B525" s="162"/>
      <c r="C525" s="162"/>
      <c r="D525" s="1"/>
      <c r="E525" s="162"/>
      <c r="F525" s="11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4"/>
      <c r="V525" s="164"/>
    </row>
    <row r="526" ht="12.75" customHeight="1">
      <c r="A526" s="162"/>
      <c r="B526" s="162"/>
      <c r="C526" s="162"/>
      <c r="D526" s="1"/>
      <c r="E526" s="162"/>
      <c r="F526" s="11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4"/>
      <c r="V526" s="164"/>
    </row>
    <row r="527" ht="12.75" customHeight="1">
      <c r="A527" s="162"/>
      <c r="B527" s="162"/>
      <c r="C527" s="162"/>
      <c r="D527" s="1"/>
      <c r="E527" s="162"/>
      <c r="F527" s="11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4"/>
      <c r="V527" s="164"/>
    </row>
    <row r="528" ht="12.75" customHeight="1">
      <c r="A528" s="162"/>
      <c r="B528" s="162"/>
      <c r="C528" s="162"/>
      <c r="D528" s="1"/>
      <c r="E528" s="162"/>
      <c r="F528" s="11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4"/>
      <c r="V528" s="164"/>
    </row>
    <row r="529" ht="12.75" customHeight="1">
      <c r="A529" s="162"/>
      <c r="B529" s="162"/>
      <c r="C529" s="162"/>
      <c r="D529" s="1"/>
      <c r="E529" s="162"/>
      <c r="F529" s="11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4"/>
      <c r="V529" s="164"/>
    </row>
    <row r="530" ht="12.75" customHeight="1">
      <c r="A530" s="162"/>
      <c r="B530" s="162"/>
      <c r="C530" s="162"/>
      <c r="D530" s="1"/>
      <c r="E530" s="162"/>
      <c r="F530" s="11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4"/>
      <c r="V530" s="164"/>
    </row>
    <row r="531" ht="12.75" customHeight="1">
      <c r="A531" s="162"/>
      <c r="B531" s="162"/>
      <c r="C531" s="162"/>
      <c r="D531" s="1"/>
      <c r="E531" s="162"/>
      <c r="F531" s="11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4"/>
      <c r="V531" s="164"/>
    </row>
    <row r="532" ht="12.75" customHeight="1">
      <c r="A532" s="162"/>
      <c r="B532" s="162"/>
      <c r="C532" s="162"/>
      <c r="D532" s="1"/>
      <c r="E532" s="162"/>
      <c r="F532" s="11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4"/>
      <c r="V532" s="164"/>
    </row>
    <row r="533" ht="12.75" customHeight="1">
      <c r="A533" s="162"/>
      <c r="B533" s="162"/>
      <c r="C533" s="162"/>
      <c r="D533" s="1"/>
      <c r="E533" s="162"/>
      <c r="F533" s="11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4"/>
      <c r="V533" s="164"/>
    </row>
    <row r="534" ht="12.75" customHeight="1">
      <c r="A534" s="162"/>
      <c r="B534" s="162"/>
      <c r="C534" s="162"/>
      <c r="D534" s="1"/>
      <c r="E534" s="162"/>
      <c r="F534" s="11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4"/>
      <c r="V534" s="164"/>
    </row>
    <row r="535" ht="12.75" customHeight="1">
      <c r="A535" s="162"/>
      <c r="B535" s="162"/>
      <c r="C535" s="162"/>
      <c r="D535" s="1"/>
      <c r="E535" s="162"/>
      <c r="F535" s="11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4"/>
      <c r="V535" s="164"/>
    </row>
    <row r="536" ht="12.75" customHeight="1">
      <c r="A536" s="162"/>
      <c r="B536" s="162"/>
      <c r="C536" s="162"/>
      <c r="D536" s="1"/>
      <c r="E536" s="162"/>
      <c r="F536" s="11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4"/>
      <c r="V536" s="164"/>
    </row>
    <row r="537" ht="12.75" customHeight="1">
      <c r="A537" s="162"/>
      <c r="B537" s="162"/>
      <c r="C537" s="162"/>
      <c r="D537" s="1"/>
      <c r="E537" s="162"/>
      <c r="F537" s="11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4"/>
      <c r="V537" s="164"/>
    </row>
    <row r="538" ht="12.75" customHeight="1">
      <c r="A538" s="162"/>
      <c r="B538" s="162"/>
      <c r="C538" s="162"/>
      <c r="D538" s="1"/>
      <c r="E538" s="162"/>
      <c r="F538" s="11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4"/>
      <c r="V538" s="164"/>
    </row>
    <row r="539" ht="12.75" customHeight="1">
      <c r="A539" s="162"/>
      <c r="B539" s="162"/>
      <c r="C539" s="162"/>
      <c r="D539" s="1"/>
      <c r="E539" s="162"/>
      <c r="F539" s="11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4"/>
      <c r="V539" s="164"/>
    </row>
    <row r="540" ht="12.75" customHeight="1">
      <c r="A540" s="162"/>
      <c r="B540" s="162"/>
      <c r="C540" s="162"/>
      <c r="D540" s="1"/>
      <c r="E540" s="162"/>
      <c r="F540" s="11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4"/>
      <c r="V540" s="164"/>
    </row>
    <row r="541" ht="12.75" customHeight="1">
      <c r="A541" s="162"/>
      <c r="B541" s="162"/>
      <c r="C541" s="162"/>
      <c r="D541" s="1"/>
      <c r="E541" s="162"/>
      <c r="F541" s="11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4"/>
      <c r="V541" s="164"/>
    </row>
    <row r="542" ht="12.75" customHeight="1">
      <c r="A542" s="162"/>
      <c r="B542" s="162"/>
      <c r="C542" s="162"/>
      <c r="D542" s="1"/>
      <c r="E542" s="162"/>
      <c r="F542" s="11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4"/>
      <c r="V542" s="164"/>
    </row>
    <row r="543" ht="12.75" customHeight="1">
      <c r="A543" s="162"/>
      <c r="B543" s="162"/>
      <c r="C543" s="162"/>
      <c r="D543" s="1"/>
      <c r="E543" s="162"/>
      <c r="F543" s="11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4"/>
      <c r="V543" s="164"/>
    </row>
    <row r="544" ht="12.75" customHeight="1">
      <c r="A544" s="162"/>
      <c r="B544" s="162"/>
      <c r="C544" s="162"/>
      <c r="D544" s="1"/>
      <c r="E544" s="162"/>
      <c r="F544" s="11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4"/>
      <c r="V544" s="164"/>
    </row>
    <row r="545" ht="12.75" customHeight="1">
      <c r="A545" s="162"/>
      <c r="B545" s="162"/>
      <c r="C545" s="162"/>
      <c r="D545" s="1"/>
      <c r="E545" s="162"/>
      <c r="F545" s="11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4"/>
      <c r="V545" s="164"/>
    </row>
    <row r="546" ht="12.75" customHeight="1">
      <c r="A546" s="162"/>
      <c r="B546" s="162"/>
      <c r="C546" s="162"/>
      <c r="D546" s="1"/>
      <c r="E546" s="162"/>
      <c r="F546" s="11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4"/>
      <c r="V546" s="164"/>
    </row>
    <row r="547" ht="12.75" customHeight="1">
      <c r="A547" s="162"/>
      <c r="B547" s="162"/>
      <c r="C547" s="162"/>
      <c r="D547" s="1"/>
      <c r="E547" s="162"/>
      <c r="F547" s="11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4"/>
      <c r="V547" s="164"/>
    </row>
    <row r="548" ht="12.75" customHeight="1">
      <c r="A548" s="162"/>
      <c r="B548" s="162"/>
      <c r="C548" s="162"/>
      <c r="D548" s="1"/>
      <c r="E548" s="162"/>
      <c r="F548" s="11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4"/>
      <c r="V548" s="164"/>
    </row>
    <row r="549" ht="12.75" customHeight="1">
      <c r="A549" s="162"/>
      <c r="B549" s="162"/>
      <c r="C549" s="162"/>
      <c r="D549" s="1"/>
      <c r="E549" s="162"/>
      <c r="F549" s="11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4"/>
      <c r="V549" s="164"/>
    </row>
    <row r="550" ht="12.75" customHeight="1">
      <c r="A550" s="162"/>
      <c r="B550" s="162"/>
      <c r="C550" s="162"/>
      <c r="D550" s="1"/>
      <c r="E550" s="162"/>
      <c r="F550" s="11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4"/>
      <c r="V550" s="164"/>
    </row>
    <row r="551" ht="12.75" customHeight="1">
      <c r="A551" s="162"/>
      <c r="B551" s="162"/>
      <c r="C551" s="162"/>
      <c r="D551" s="1"/>
      <c r="E551" s="162"/>
      <c r="F551" s="11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4"/>
      <c r="V551" s="164"/>
    </row>
    <row r="552" ht="12.75" customHeight="1">
      <c r="A552" s="162"/>
      <c r="B552" s="162"/>
      <c r="C552" s="162"/>
      <c r="D552" s="1"/>
      <c r="E552" s="162"/>
      <c r="F552" s="11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4"/>
      <c r="V552" s="164"/>
    </row>
    <row r="553" ht="12.75" customHeight="1">
      <c r="A553" s="162"/>
      <c r="B553" s="162"/>
      <c r="C553" s="162"/>
      <c r="D553" s="1"/>
      <c r="E553" s="162"/>
      <c r="F553" s="11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4"/>
      <c r="V553" s="164"/>
    </row>
    <row r="554" ht="12.75" customHeight="1">
      <c r="A554" s="162"/>
      <c r="B554" s="162"/>
      <c r="C554" s="162"/>
      <c r="D554" s="1"/>
      <c r="E554" s="162"/>
      <c r="F554" s="11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4"/>
      <c r="V554" s="164"/>
    </row>
    <row r="555" ht="12.75" customHeight="1">
      <c r="A555" s="162"/>
      <c r="B555" s="162"/>
      <c r="C555" s="162"/>
      <c r="D555" s="1"/>
      <c r="E555" s="162"/>
      <c r="F555" s="11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4"/>
      <c r="V555" s="164"/>
    </row>
    <row r="556" ht="12.75" customHeight="1">
      <c r="A556" s="162"/>
      <c r="B556" s="162"/>
      <c r="C556" s="162"/>
      <c r="D556" s="1"/>
      <c r="E556" s="162"/>
      <c r="F556" s="11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4"/>
      <c r="V556" s="164"/>
    </row>
    <row r="557" ht="12.75" customHeight="1">
      <c r="A557" s="162"/>
      <c r="B557" s="162"/>
      <c r="C557" s="162"/>
      <c r="D557" s="1"/>
      <c r="E557" s="162"/>
      <c r="F557" s="11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4"/>
      <c r="V557" s="164"/>
    </row>
    <row r="558" ht="12.75" customHeight="1">
      <c r="A558" s="162"/>
      <c r="B558" s="162"/>
      <c r="C558" s="162"/>
      <c r="D558" s="1"/>
      <c r="E558" s="162"/>
      <c r="F558" s="11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2"/>
      <c r="B559" s="162"/>
      <c r="C559" s="162"/>
      <c r="D559" s="1"/>
      <c r="E559" s="162"/>
      <c r="F559" s="11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2"/>
      <c r="B560" s="162"/>
      <c r="C560" s="162"/>
      <c r="D560" s="1"/>
      <c r="E560" s="162"/>
      <c r="F560" s="11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2"/>
      <c r="B561" s="162"/>
      <c r="C561" s="162"/>
      <c r="D561" s="1"/>
      <c r="E561" s="162"/>
      <c r="F561" s="11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2"/>
      <c r="B562" s="162"/>
      <c r="C562" s="162"/>
      <c r="D562" s="1"/>
      <c r="E562" s="162"/>
      <c r="F562" s="11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06"/>
      <c r="B563" s="106"/>
      <c r="C563" s="106"/>
      <c r="D563" s="101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9"/>
      <c r="V563" s="109"/>
    </row>
    <row r="564" ht="12.75" customHeight="1">
      <c r="A564" s="106"/>
      <c r="B564" s="106"/>
      <c r="C564" s="106"/>
      <c r="D564" s="101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9"/>
      <c r="V564" s="109"/>
    </row>
    <row r="565" ht="12.75" customHeight="1">
      <c r="A565" s="106"/>
      <c r="B565" s="106"/>
      <c r="C565" s="106"/>
      <c r="D565" s="101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9"/>
      <c r="V565" s="109"/>
    </row>
    <row r="566" ht="12.75" customHeight="1">
      <c r="A566" s="106"/>
      <c r="B566" s="106"/>
      <c r="C566" s="106"/>
      <c r="D566" s="101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9"/>
      <c r="V566" s="109"/>
    </row>
    <row r="567" ht="12.75" customHeight="1">
      <c r="A567" s="106"/>
      <c r="B567" s="106"/>
      <c r="C567" s="106"/>
      <c r="D567" s="101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9"/>
      <c r="V567" s="109"/>
    </row>
    <row r="568" ht="12.75" customHeight="1">
      <c r="A568" s="106"/>
      <c r="B568" s="106"/>
      <c r="C568" s="106"/>
      <c r="D568" s="101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9"/>
      <c r="V568" s="109"/>
    </row>
    <row r="569" ht="12.75" customHeight="1">
      <c r="A569" s="106"/>
      <c r="B569" s="106"/>
      <c r="C569" s="106"/>
      <c r="D569" s="101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9"/>
      <c r="V569" s="109"/>
    </row>
    <row r="570" ht="12.75" customHeight="1">
      <c r="A570" s="106"/>
      <c r="B570" s="106"/>
      <c r="C570" s="106"/>
      <c r="D570" s="101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9"/>
      <c r="V570" s="109"/>
    </row>
    <row r="571" ht="12.75" customHeight="1">
      <c r="A571" s="106"/>
      <c r="B571" s="106"/>
      <c r="C571" s="106"/>
      <c r="D571" s="101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9"/>
      <c r="V571" s="109"/>
    </row>
    <row r="572" ht="12.75" customHeight="1">
      <c r="A572" s="106"/>
      <c r="B572" s="106"/>
      <c r="C572" s="106"/>
      <c r="D572" s="101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9"/>
      <c r="V572" s="109"/>
    </row>
    <row r="573" ht="12.75" customHeight="1">
      <c r="A573" s="106"/>
      <c r="B573" s="106"/>
      <c r="C573" s="106"/>
      <c r="D573" s="101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9"/>
      <c r="V573" s="109"/>
    </row>
    <row r="574" ht="12.75" customHeight="1">
      <c r="A574" s="106"/>
      <c r="B574" s="106"/>
      <c r="C574" s="106"/>
      <c r="D574" s="101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9"/>
      <c r="V574" s="109"/>
    </row>
    <row r="575" ht="12.75" customHeight="1">
      <c r="A575" s="106"/>
      <c r="B575" s="106"/>
      <c r="C575" s="106"/>
      <c r="D575" s="101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9"/>
      <c r="V575" s="109"/>
    </row>
    <row r="576" ht="12.75" customHeight="1">
      <c r="A576" s="106"/>
      <c r="B576" s="106"/>
      <c r="C576" s="106"/>
      <c r="D576" s="101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9"/>
      <c r="V576" s="109"/>
    </row>
    <row r="577" ht="12.75" customHeight="1">
      <c r="A577" s="106"/>
      <c r="B577" s="106"/>
      <c r="C577" s="106"/>
      <c r="D577" s="101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9"/>
      <c r="V577" s="109"/>
    </row>
    <row r="578" ht="12.75" customHeight="1">
      <c r="A578" s="106"/>
      <c r="B578" s="106"/>
      <c r="C578" s="106"/>
      <c r="D578" s="101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9"/>
      <c r="V578" s="109"/>
    </row>
    <row r="579" ht="12.75" customHeight="1">
      <c r="A579" s="106"/>
      <c r="B579" s="106"/>
      <c r="C579" s="106"/>
      <c r="D579" s="101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9"/>
      <c r="V579" s="109"/>
    </row>
    <row r="580" ht="12.75" customHeight="1">
      <c r="A580" s="106"/>
      <c r="B580" s="106"/>
      <c r="C580" s="106"/>
      <c r="D580" s="101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9"/>
      <c r="V580" s="109"/>
    </row>
    <row r="581" ht="12.75" customHeight="1">
      <c r="A581" s="106"/>
      <c r="B581" s="106"/>
      <c r="C581" s="106"/>
      <c r="D581" s="101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9"/>
      <c r="V581" s="109"/>
    </row>
    <row r="582" ht="12.75" customHeight="1">
      <c r="A582" s="106"/>
      <c r="B582" s="106"/>
      <c r="C582" s="106"/>
      <c r="D582" s="101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9"/>
      <c r="V582" s="109"/>
    </row>
    <row r="583" ht="12.75" customHeight="1">
      <c r="A583" s="106"/>
      <c r="B583" s="106"/>
      <c r="C583" s="106"/>
      <c r="D583" s="101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9"/>
      <c r="V583" s="109"/>
    </row>
    <row r="584" ht="12.75" customHeight="1">
      <c r="A584" s="106"/>
      <c r="B584" s="106"/>
      <c r="C584" s="106"/>
      <c r="D584" s="101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9"/>
      <c r="V584" s="109"/>
    </row>
    <row r="585" ht="12.75" customHeight="1">
      <c r="A585" s="106"/>
      <c r="B585" s="106"/>
      <c r="C585" s="106"/>
      <c r="D585" s="101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9"/>
      <c r="V585" s="109"/>
    </row>
    <row r="586" ht="12.75" customHeight="1">
      <c r="A586" s="106"/>
      <c r="B586" s="106"/>
      <c r="C586" s="106"/>
      <c r="D586" s="101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9"/>
      <c r="V586" s="109"/>
    </row>
    <row r="587" ht="12.75" customHeight="1">
      <c r="A587" s="106"/>
      <c r="B587" s="106"/>
      <c r="C587" s="106"/>
      <c r="D587" s="101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9"/>
      <c r="V587" s="109"/>
    </row>
    <row r="588" ht="12.75" customHeight="1">
      <c r="A588" s="106"/>
      <c r="B588" s="106"/>
      <c r="C588" s="106"/>
      <c r="D588" s="101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9"/>
      <c r="V588" s="109"/>
    </row>
    <row r="589" ht="12.75" customHeight="1">
      <c r="A589" s="106"/>
      <c r="B589" s="106"/>
      <c r="C589" s="106"/>
      <c r="D589" s="101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9"/>
      <c r="V589" s="109"/>
    </row>
    <row r="590" ht="12.75" customHeight="1">
      <c r="A590" s="106"/>
      <c r="B590" s="106"/>
      <c r="C590" s="106"/>
      <c r="D590" s="101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9"/>
      <c r="V590" s="109"/>
    </row>
    <row r="591" ht="12.75" customHeight="1">
      <c r="A591" s="106"/>
      <c r="B591" s="106"/>
      <c r="C591" s="106"/>
      <c r="D591" s="101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9"/>
      <c r="V591" s="109"/>
    </row>
    <row r="592" ht="12.75" customHeight="1">
      <c r="A592" s="106"/>
      <c r="B592" s="106"/>
      <c r="C592" s="106"/>
      <c r="D592" s="101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9"/>
      <c r="V592" s="109"/>
    </row>
    <row r="593" ht="12.75" customHeight="1">
      <c r="A593" s="106"/>
      <c r="B593" s="106"/>
      <c r="C593" s="106"/>
      <c r="D593" s="101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9"/>
      <c r="V593" s="109"/>
    </row>
    <row r="594" ht="12.75" customHeight="1">
      <c r="A594" s="106"/>
      <c r="B594" s="106"/>
      <c r="C594" s="106"/>
      <c r="D594" s="101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9"/>
      <c r="V594" s="109"/>
    </row>
    <row r="595" ht="12.75" customHeight="1">
      <c r="A595" s="106"/>
      <c r="B595" s="106"/>
      <c r="C595" s="106"/>
      <c r="D595" s="101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9"/>
      <c r="V595" s="109"/>
    </row>
    <row r="596" ht="12.75" customHeight="1">
      <c r="A596" s="106"/>
      <c r="B596" s="106"/>
      <c r="C596" s="106"/>
      <c r="D596" s="101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9"/>
      <c r="V596" s="109"/>
    </row>
    <row r="597" ht="12.75" customHeight="1">
      <c r="A597" s="106"/>
      <c r="B597" s="106"/>
      <c r="C597" s="106"/>
      <c r="D597" s="101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9"/>
      <c r="V597" s="109"/>
    </row>
    <row r="598" ht="12.75" customHeight="1">
      <c r="A598" s="106"/>
      <c r="B598" s="106"/>
      <c r="C598" s="106"/>
      <c r="D598" s="101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9"/>
      <c r="V598" s="109"/>
    </row>
    <row r="599" ht="12.75" customHeight="1">
      <c r="A599" s="106"/>
      <c r="B599" s="106"/>
      <c r="C599" s="106"/>
      <c r="D599" s="101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9"/>
      <c r="V599" s="109"/>
    </row>
    <row r="600" ht="12.75" customHeight="1">
      <c r="A600" s="106"/>
      <c r="B600" s="106"/>
      <c r="C600" s="106"/>
      <c r="D600" s="101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9"/>
      <c r="V600" s="109"/>
    </row>
    <row r="601" ht="12.75" customHeight="1">
      <c r="A601" s="106"/>
      <c r="B601" s="106"/>
      <c r="C601" s="106"/>
      <c r="D601" s="101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9"/>
      <c r="V601" s="109"/>
    </row>
    <row r="602" ht="12.75" customHeight="1">
      <c r="A602" s="106"/>
      <c r="B602" s="106"/>
      <c r="C602" s="106"/>
      <c r="D602" s="101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9"/>
      <c r="V602" s="109"/>
    </row>
    <row r="603" ht="12.75" customHeight="1">
      <c r="A603" s="106"/>
      <c r="B603" s="106"/>
      <c r="C603" s="106"/>
      <c r="D603" s="101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9"/>
      <c r="V603" s="109"/>
    </row>
    <row r="604" ht="12.75" customHeight="1">
      <c r="A604" s="106"/>
      <c r="B604" s="106"/>
      <c r="C604" s="106"/>
      <c r="D604" s="101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9"/>
      <c r="V604" s="109"/>
    </row>
    <row r="605" ht="12.75" customHeight="1">
      <c r="A605" s="106"/>
      <c r="B605" s="106"/>
      <c r="C605" s="106"/>
      <c r="D605" s="101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9"/>
      <c r="V605" s="109"/>
    </row>
    <row r="606" ht="12.75" customHeight="1">
      <c r="A606" s="106"/>
      <c r="B606" s="106"/>
      <c r="C606" s="106"/>
      <c r="D606" s="101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9"/>
      <c r="V606" s="109"/>
    </row>
    <row r="607" ht="12.75" customHeight="1">
      <c r="A607" s="106"/>
      <c r="B607" s="106"/>
      <c r="C607" s="106"/>
      <c r="D607" s="101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9"/>
      <c r="V607" s="109"/>
    </row>
    <row r="608" ht="12.75" customHeight="1">
      <c r="A608" s="106"/>
      <c r="B608" s="106"/>
      <c r="C608" s="106"/>
      <c r="D608" s="101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9"/>
      <c r="V608" s="109"/>
    </row>
    <row r="609" ht="12.75" customHeight="1">
      <c r="A609" s="106"/>
      <c r="B609" s="106"/>
      <c r="C609" s="106"/>
      <c r="D609" s="101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9"/>
      <c r="V609" s="109"/>
    </row>
    <row r="610" ht="12.75" customHeight="1">
      <c r="A610" s="106"/>
      <c r="B610" s="106"/>
      <c r="C610" s="106"/>
      <c r="D610" s="101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9"/>
      <c r="V610" s="109"/>
    </row>
    <row r="611" ht="12.75" customHeight="1">
      <c r="A611" s="106"/>
      <c r="B611" s="106"/>
      <c r="C611" s="106"/>
      <c r="D611" s="101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9"/>
      <c r="V611" s="109"/>
    </row>
    <row r="612" ht="12.75" customHeight="1">
      <c r="A612" s="106"/>
      <c r="B612" s="106"/>
      <c r="C612" s="106"/>
      <c r="D612" s="101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9"/>
      <c r="V612" s="109"/>
    </row>
    <row r="613" ht="12.75" customHeight="1">
      <c r="A613" s="106"/>
      <c r="B613" s="106"/>
      <c r="C613" s="106"/>
      <c r="D613" s="101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9"/>
      <c r="V613" s="109"/>
    </row>
    <row r="614" ht="12.75" customHeight="1">
      <c r="A614" s="106"/>
      <c r="B614" s="106"/>
      <c r="C614" s="106"/>
      <c r="D614" s="101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9"/>
      <c r="V614" s="109"/>
    </row>
    <row r="615" ht="12.75" customHeight="1">
      <c r="A615" s="106"/>
      <c r="B615" s="106"/>
      <c r="C615" s="106"/>
      <c r="D615" s="101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9"/>
      <c r="V615" s="109"/>
    </row>
    <row r="616" ht="12.75" customHeight="1">
      <c r="A616" s="106"/>
      <c r="B616" s="106"/>
      <c r="C616" s="106"/>
      <c r="D616" s="101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9"/>
      <c r="V616" s="109"/>
    </row>
    <row r="617" ht="12.75" customHeight="1">
      <c r="A617" s="106"/>
      <c r="B617" s="106"/>
      <c r="C617" s="106"/>
      <c r="D617" s="101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9"/>
      <c r="V617" s="109"/>
    </row>
    <row r="618" ht="12.75" customHeight="1">
      <c r="A618" s="106"/>
      <c r="B618" s="106"/>
      <c r="C618" s="106"/>
      <c r="D618" s="101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9"/>
      <c r="V618" s="109"/>
    </row>
    <row r="619" ht="12.75" customHeight="1">
      <c r="A619" s="106"/>
      <c r="B619" s="106"/>
      <c r="C619" s="106"/>
      <c r="D619" s="101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9"/>
      <c r="V619" s="109"/>
    </row>
    <row r="620" ht="12.75" customHeight="1">
      <c r="A620" s="106"/>
      <c r="B620" s="106"/>
      <c r="C620" s="106"/>
      <c r="D620" s="101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9"/>
      <c r="V620" s="109"/>
    </row>
    <row r="621" ht="12.75" customHeight="1">
      <c r="A621" s="106"/>
      <c r="B621" s="106"/>
      <c r="C621" s="106"/>
      <c r="D621" s="101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9"/>
      <c r="V621" s="109"/>
    </row>
    <row r="622" ht="12.75" customHeight="1">
      <c r="A622" s="106"/>
      <c r="B622" s="106"/>
      <c r="C622" s="106"/>
      <c r="D622" s="101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9"/>
      <c r="V622" s="109"/>
    </row>
    <row r="623" ht="12.75" customHeight="1">
      <c r="A623" s="106"/>
      <c r="B623" s="106"/>
      <c r="C623" s="106"/>
      <c r="D623" s="101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9"/>
      <c r="V623" s="109"/>
    </row>
    <row r="624" ht="12.75" customHeight="1">
      <c r="A624" s="106"/>
      <c r="B624" s="106"/>
      <c r="C624" s="106"/>
      <c r="D624" s="101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9"/>
      <c r="V624" s="109"/>
    </row>
    <row r="625" ht="12.75" customHeight="1">
      <c r="A625" s="106"/>
      <c r="B625" s="106"/>
      <c r="C625" s="106"/>
      <c r="D625" s="101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9"/>
      <c r="V625" s="109"/>
    </row>
    <row r="626" ht="12.75" customHeight="1">
      <c r="A626" s="106"/>
      <c r="B626" s="106"/>
      <c r="C626" s="106"/>
      <c r="D626" s="101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9"/>
      <c r="V626" s="109"/>
    </row>
    <row r="627" ht="12.75" customHeight="1">
      <c r="A627" s="106"/>
      <c r="B627" s="106"/>
      <c r="C627" s="106"/>
      <c r="D627" s="101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9"/>
      <c r="V627" s="109"/>
    </row>
    <row r="628" ht="12.75" customHeight="1">
      <c r="A628" s="106"/>
      <c r="B628" s="106"/>
      <c r="C628" s="106"/>
      <c r="D628" s="101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9"/>
      <c r="V628" s="109"/>
    </row>
    <row r="629" ht="12.75" customHeight="1">
      <c r="A629" s="106"/>
      <c r="B629" s="106"/>
      <c r="C629" s="106"/>
      <c r="D629" s="101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9"/>
      <c r="V629" s="109"/>
    </row>
    <row r="630" ht="12.75" customHeight="1">
      <c r="A630" s="106"/>
      <c r="B630" s="106"/>
      <c r="C630" s="106"/>
      <c r="D630" s="101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9"/>
      <c r="V630" s="109"/>
    </row>
    <row r="631" ht="12.75" customHeight="1">
      <c r="A631" s="106"/>
      <c r="B631" s="106"/>
      <c r="C631" s="106"/>
      <c r="D631" s="101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9"/>
      <c r="V631" s="109"/>
    </row>
    <row r="632" ht="12.75" customHeight="1">
      <c r="A632" s="106"/>
      <c r="B632" s="106"/>
      <c r="C632" s="106"/>
      <c r="D632" s="101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9"/>
      <c r="V632" s="109"/>
    </row>
    <row r="633" ht="12.75" customHeight="1">
      <c r="A633" s="106"/>
      <c r="B633" s="106"/>
      <c r="C633" s="106"/>
      <c r="D633" s="101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9"/>
      <c r="V633" s="109"/>
    </row>
    <row r="634" ht="12.75" customHeight="1">
      <c r="A634" s="106"/>
      <c r="B634" s="106"/>
      <c r="C634" s="106"/>
      <c r="D634" s="101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9"/>
      <c r="V634" s="109"/>
    </row>
    <row r="635" ht="12.75" customHeight="1">
      <c r="A635" s="106"/>
      <c r="B635" s="106"/>
      <c r="C635" s="106"/>
      <c r="D635" s="101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9"/>
      <c r="V635" s="109"/>
    </row>
    <row r="636" ht="12.75" customHeight="1">
      <c r="A636" s="106"/>
      <c r="B636" s="106"/>
      <c r="C636" s="106"/>
      <c r="D636" s="101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9"/>
      <c r="V636" s="109"/>
    </row>
    <row r="637" ht="12.75" customHeight="1">
      <c r="A637" s="106"/>
      <c r="B637" s="106"/>
      <c r="C637" s="106"/>
      <c r="D637" s="101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9"/>
      <c r="V637" s="109"/>
    </row>
    <row r="638" ht="12.75" customHeight="1">
      <c r="A638" s="106"/>
      <c r="B638" s="106"/>
      <c r="C638" s="106"/>
      <c r="D638" s="101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9"/>
      <c r="V638" s="109"/>
    </row>
    <row r="639" ht="12.75" customHeight="1">
      <c r="A639" s="106"/>
      <c r="B639" s="106"/>
      <c r="C639" s="106"/>
      <c r="D639" s="101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9"/>
      <c r="V639" s="109"/>
    </row>
    <row r="640" ht="12.75" customHeight="1">
      <c r="A640" s="106"/>
      <c r="B640" s="106"/>
      <c r="C640" s="106"/>
      <c r="D640" s="101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9"/>
      <c r="V640" s="109"/>
    </row>
    <row r="641" ht="12.75" customHeight="1">
      <c r="A641" s="106"/>
      <c r="B641" s="106"/>
      <c r="C641" s="106"/>
      <c r="D641" s="101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9"/>
      <c r="V641" s="109"/>
    </row>
    <row r="642" ht="12.75" customHeight="1">
      <c r="A642" s="106"/>
      <c r="B642" s="106"/>
      <c r="C642" s="106"/>
      <c r="D642" s="101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9"/>
      <c r="V642" s="109"/>
    </row>
    <row r="643" ht="12.75" customHeight="1">
      <c r="A643" s="106"/>
      <c r="B643" s="106"/>
      <c r="C643" s="106"/>
      <c r="D643" s="101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9"/>
      <c r="V643" s="109"/>
    </row>
    <row r="644" ht="12.75" customHeight="1">
      <c r="A644" s="106"/>
      <c r="B644" s="106"/>
      <c r="C644" s="106"/>
      <c r="D644" s="101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9"/>
      <c r="V644" s="109"/>
    </row>
    <row r="645" ht="12.75" customHeight="1">
      <c r="A645" s="106"/>
      <c r="B645" s="106"/>
      <c r="C645" s="106"/>
      <c r="D645" s="101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9"/>
      <c r="V645" s="109"/>
    </row>
    <row r="646" ht="12.75" customHeight="1">
      <c r="A646" s="106"/>
      <c r="B646" s="106"/>
      <c r="C646" s="106"/>
      <c r="D646" s="101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9"/>
      <c r="V646" s="109"/>
    </row>
    <row r="647" ht="12.75" customHeight="1">
      <c r="A647" s="106"/>
      <c r="B647" s="106"/>
      <c r="C647" s="106"/>
      <c r="D647" s="101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9"/>
      <c r="V647" s="109"/>
    </row>
    <row r="648" ht="12.75" customHeight="1">
      <c r="A648" s="106"/>
      <c r="B648" s="106"/>
      <c r="C648" s="106"/>
      <c r="D648" s="101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9"/>
      <c r="V648" s="109"/>
    </row>
    <row r="649" ht="12.75" customHeight="1">
      <c r="A649" s="106"/>
      <c r="B649" s="106"/>
      <c r="C649" s="106"/>
      <c r="D649" s="101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9"/>
      <c r="V649" s="109"/>
    </row>
    <row r="650" ht="12.75" customHeight="1">
      <c r="A650" s="106"/>
      <c r="B650" s="106"/>
      <c r="C650" s="106"/>
      <c r="D650" s="101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9"/>
      <c r="V650" s="109"/>
    </row>
    <row r="651" ht="12.75" customHeight="1">
      <c r="A651" s="106"/>
      <c r="B651" s="106"/>
      <c r="C651" s="106"/>
      <c r="D651" s="101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9"/>
      <c r="V651" s="109"/>
    </row>
    <row r="652" ht="12.75" customHeight="1">
      <c r="A652" s="106"/>
      <c r="B652" s="106"/>
      <c r="C652" s="106"/>
      <c r="D652" s="101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9"/>
      <c r="V652" s="109"/>
    </row>
    <row r="653" ht="12.75" customHeight="1">
      <c r="A653" s="106"/>
      <c r="B653" s="106"/>
      <c r="C653" s="106"/>
      <c r="D653" s="101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9"/>
      <c r="V653" s="109"/>
    </row>
    <row r="654" ht="12.75" customHeight="1">
      <c r="A654" s="106"/>
      <c r="B654" s="106"/>
      <c r="C654" s="106"/>
      <c r="D654" s="101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9"/>
      <c r="V654" s="109"/>
    </row>
    <row r="655" ht="12.75" customHeight="1">
      <c r="A655" s="106"/>
      <c r="B655" s="106"/>
      <c r="C655" s="106"/>
      <c r="D655" s="101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9"/>
      <c r="V655" s="109"/>
    </row>
    <row r="656" ht="12.75" customHeight="1">
      <c r="A656" s="106"/>
      <c r="B656" s="106"/>
      <c r="C656" s="106"/>
      <c r="D656" s="101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9"/>
      <c r="V656" s="109"/>
    </row>
    <row r="657" ht="12.75" customHeight="1">
      <c r="A657" s="106"/>
      <c r="B657" s="106"/>
      <c r="C657" s="106"/>
      <c r="D657" s="101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9"/>
      <c r="V657" s="109"/>
    </row>
    <row r="658" ht="12.75" customHeight="1">
      <c r="A658" s="106"/>
      <c r="B658" s="106"/>
      <c r="C658" s="106"/>
      <c r="D658" s="101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9"/>
      <c r="V658" s="109"/>
    </row>
    <row r="659" ht="12.75" customHeight="1">
      <c r="A659" s="106"/>
      <c r="B659" s="106"/>
      <c r="C659" s="106"/>
      <c r="D659" s="101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9"/>
      <c r="V659" s="109"/>
    </row>
    <row r="660" ht="12.75" customHeight="1">
      <c r="A660" s="106"/>
      <c r="B660" s="106"/>
      <c r="C660" s="106"/>
      <c r="D660" s="101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9"/>
      <c r="V660" s="109"/>
    </row>
    <row r="661" ht="12.75" customHeight="1">
      <c r="A661" s="106"/>
      <c r="B661" s="106"/>
      <c r="C661" s="106"/>
      <c r="D661" s="101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9"/>
      <c r="V661" s="109"/>
    </row>
    <row r="662" ht="12.75" customHeight="1">
      <c r="A662" s="106"/>
      <c r="B662" s="106"/>
      <c r="C662" s="106"/>
      <c r="D662" s="101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9"/>
      <c r="V662" s="109"/>
    </row>
    <row r="663" ht="12.75" customHeight="1">
      <c r="A663" s="106"/>
      <c r="B663" s="106"/>
      <c r="C663" s="106"/>
      <c r="D663" s="101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9"/>
      <c r="V663" s="109"/>
    </row>
    <row r="664" ht="12.75" customHeight="1">
      <c r="A664" s="106"/>
      <c r="B664" s="106"/>
      <c r="C664" s="106"/>
      <c r="D664" s="101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9"/>
      <c r="V664" s="109"/>
    </row>
    <row r="665" ht="12.75" customHeight="1">
      <c r="A665" s="106"/>
      <c r="B665" s="106"/>
      <c r="C665" s="106"/>
      <c r="D665" s="101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9"/>
      <c r="V665" s="109"/>
    </row>
    <row r="666" ht="12.75" customHeight="1">
      <c r="A666" s="106"/>
      <c r="B666" s="106"/>
      <c r="C666" s="106"/>
      <c r="D666" s="101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9"/>
      <c r="V666" s="109"/>
    </row>
    <row r="667" ht="12.75" customHeight="1">
      <c r="A667" s="106"/>
      <c r="B667" s="106"/>
      <c r="C667" s="106"/>
      <c r="D667" s="101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9"/>
      <c r="V667" s="109"/>
    </row>
    <row r="668" ht="12.75" customHeight="1">
      <c r="A668" s="106"/>
      <c r="B668" s="106"/>
      <c r="C668" s="106"/>
      <c r="D668" s="101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9"/>
      <c r="V668" s="109"/>
    </row>
    <row r="669" ht="12.75" customHeight="1">
      <c r="A669" s="106"/>
      <c r="B669" s="106"/>
      <c r="C669" s="106"/>
      <c r="D669" s="101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9"/>
      <c r="V669" s="109"/>
    </row>
    <row r="670" ht="12.75" customHeight="1">
      <c r="A670" s="106"/>
      <c r="B670" s="106"/>
      <c r="C670" s="106"/>
      <c r="D670" s="101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9"/>
      <c r="V670" s="109"/>
    </row>
    <row r="671" ht="12.75" customHeight="1">
      <c r="A671" s="106"/>
      <c r="B671" s="106"/>
      <c r="C671" s="106"/>
      <c r="D671" s="101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9"/>
      <c r="V671" s="109"/>
    </row>
    <row r="672" ht="12.75" customHeight="1">
      <c r="A672" s="106"/>
      <c r="B672" s="106"/>
      <c r="C672" s="106"/>
      <c r="D672" s="101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9"/>
      <c r="V672" s="109"/>
    </row>
    <row r="673" ht="12.75" customHeight="1">
      <c r="A673" s="106"/>
      <c r="B673" s="106"/>
      <c r="C673" s="106"/>
      <c r="D673" s="101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9"/>
      <c r="V673" s="109"/>
    </row>
    <row r="674" ht="12.75" customHeight="1">
      <c r="A674" s="106"/>
      <c r="B674" s="106"/>
      <c r="C674" s="106"/>
      <c r="D674" s="101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9"/>
      <c r="V674" s="109"/>
    </row>
    <row r="675" ht="12.75" customHeight="1">
      <c r="A675" s="106"/>
      <c r="B675" s="106"/>
      <c r="C675" s="106"/>
      <c r="D675" s="101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9"/>
      <c r="V675" s="109"/>
    </row>
    <row r="676" ht="12.75" customHeight="1">
      <c r="A676" s="106"/>
      <c r="B676" s="106"/>
      <c r="C676" s="106"/>
      <c r="D676" s="101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9"/>
      <c r="V676" s="109"/>
    </row>
    <row r="677" ht="12.75" customHeight="1">
      <c r="A677" s="106"/>
      <c r="B677" s="106"/>
      <c r="C677" s="106"/>
      <c r="D677" s="101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9"/>
      <c r="V677" s="109"/>
    </row>
    <row r="678" ht="12.75" customHeight="1">
      <c r="A678" s="106"/>
      <c r="B678" s="106"/>
      <c r="C678" s="106"/>
      <c r="D678" s="101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9"/>
      <c r="V678" s="109"/>
    </row>
    <row r="679" ht="12.75" customHeight="1">
      <c r="A679" s="106"/>
      <c r="B679" s="106"/>
      <c r="C679" s="106"/>
      <c r="D679" s="101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9"/>
      <c r="V679" s="109"/>
    </row>
    <row r="680" ht="12.75" customHeight="1">
      <c r="A680" s="106"/>
      <c r="B680" s="106"/>
      <c r="C680" s="106"/>
      <c r="D680" s="101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9"/>
      <c r="V680" s="109"/>
    </row>
    <row r="681" ht="12.75" customHeight="1">
      <c r="A681" s="106"/>
      <c r="B681" s="106"/>
      <c r="C681" s="106"/>
      <c r="D681" s="101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9"/>
      <c r="V681" s="109"/>
    </row>
    <row r="682" ht="12.75" customHeight="1">
      <c r="A682" s="106"/>
      <c r="B682" s="106"/>
      <c r="C682" s="106"/>
      <c r="D682" s="101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9"/>
      <c r="V682" s="109"/>
    </row>
    <row r="683" ht="12.75" customHeight="1">
      <c r="A683" s="106"/>
      <c r="B683" s="106"/>
      <c r="C683" s="106"/>
      <c r="D683" s="101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9"/>
      <c r="V683" s="109"/>
    </row>
    <row r="684" ht="12.75" customHeight="1">
      <c r="A684" s="106"/>
      <c r="B684" s="106"/>
      <c r="C684" s="106"/>
      <c r="D684" s="101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9"/>
      <c r="V684" s="109"/>
    </row>
    <row r="685" ht="12.75" customHeight="1">
      <c r="A685" s="106"/>
      <c r="B685" s="106"/>
      <c r="C685" s="106"/>
      <c r="D685" s="101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9"/>
      <c r="V685" s="109"/>
    </row>
    <row r="686" ht="12.75" customHeight="1">
      <c r="A686" s="106"/>
      <c r="B686" s="106"/>
      <c r="C686" s="106"/>
      <c r="D686" s="101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9"/>
      <c r="V686" s="109"/>
    </row>
    <row r="687" ht="12.75" customHeight="1">
      <c r="A687" s="106"/>
      <c r="B687" s="106"/>
      <c r="C687" s="106"/>
      <c r="D687" s="101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9"/>
      <c r="V687" s="109"/>
    </row>
    <row r="688" ht="12.75" customHeight="1">
      <c r="A688" s="106"/>
      <c r="B688" s="106"/>
      <c r="C688" s="106"/>
      <c r="D688" s="101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9"/>
      <c r="V688" s="109"/>
    </row>
    <row r="689" ht="12.75" customHeight="1">
      <c r="A689" s="106"/>
      <c r="B689" s="106"/>
      <c r="C689" s="106"/>
      <c r="D689" s="101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9"/>
      <c r="V689" s="109"/>
    </row>
    <row r="690" ht="12.75" customHeight="1">
      <c r="A690" s="106"/>
      <c r="B690" s="106"/>
      <c r="C690" s="106"/>
      <c r="D690" s="101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9"/>
      <c r="V690" s="109"/>
    </row>
    <row r="691" ht="12.75" customHeight="1">
      <c r="A691" s="106"/>
      <c r="B691" s="106"/>
      <c r="C691" s="106"/>
      <c r="D691" s="101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9"/>
      <c r="V691" s="109"/>
    </row>
    <row r="692" ht="12.75" customHeight="1">
      <c r="A692" s="106"/>
      <c r="B692" s="106"/>
      <c r="C692" s="106"/>
      <c r="D692" s="101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9"/>
      <c r="V692" s="109"/>
    </row>
    <row r="693" ht="12.75" customHeight="1">
      <c r="A693" s="106"/>
      <c r="B693" s="106"/>
      <c r="C693" s="106"/>
      <c r="D693" s="101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9"/>
      <c r="V693" s="109"/>
    </row>
    <row r="694" ht="12.75" customHeight="1">
      <c r="A694" s="106"/>
      <c r="B694" s="106"/>
      <c r="C694" s="106"/>
      <c r="D694" s="101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9"/>
      <c r="V694" s="109"/>
    </row>
    <row r="695" ht="12.75" customHeight="1">
      <c r="A695" s="106"/>
      <c r="B695" s="106"/>
      <c r="C695" s="106"/>
      <c r="D695" s="101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9"/>
      <c r="V695" s="109"/>
    </row>
    <row r="696" ht="12.75" customHeight="1">
      <c r="A696" s="106"/>
      <c r="B696" s="106"/>
      <c r="C696" s="106"/>
      <c r="D696" s="101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9"/>
      <c r="V696" s="109"/>
    </row>
    <row r="697" ht="12.75" customHeight="1">
      <c r="A697" s="106"/>
      <c r="B697" s="106"/>
      <c r="C697" s="106"/>
      <c r="D697" s="101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9"/>
      <c r="V697" s="109"/>
    </row>
    <row r="698" ht="12.75" customHeight="1">
      <c r="A698" s="106"/>
      <c r="B698" s="106"/>
      <c r="C698" s="106"/>
      <c r="D698" s="101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9"/>
      <c r="V698" s="109"/>
    </row>
    <row r="699" ht="12.75" customHeight="1">
      <c r="A699" s="106"/>
      <c r="B699" s="106"/>
      <c r="C699" s="106"/>
      <c r="D699" s="101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9"/>
      <c r="V699" s="109"/>
    </row>
    <row r="700" ht="12.75" customHeight="1">
      <c r="A700" s="106"/>
      <c r="B700" s="106"/>
      <c r="C700" s="106"/>
      <c r="D700" s="101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9"/>
      <c r="V700" s="109"/>
    </row>
    <row r="701" ht="12.75" customHeight="1">
      <c r="A701" s="106"/>
      <c r="B701" s="106"/>
      <c r="C701" s="106"/>
      <c r="D701" s="101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9"/>
      <c r="V701" s="109"/>
    </row>
    <row r="702" ht="12.75" customHeight="1">
      <c r="A702" s="106"/>
      <c r="B702" s="106"/>
      <c r="C702" s="106"/>
      <c r="D702" s="101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9"/>
      <c r="V702" s="109"/>
    </row>
    <row r="703" ht="12.75" customHeight="1">
      <c r="A703" s="106"/>
      <c r="B703" s="106"/>
      <c r="C703" s="106"/>
      <c r="D703" s="101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9"/>
      <c r="V703" s="109"/>
    </row>
    <row r="704" ht="12.75" customHeight="1">
      <c r="A704" s="106"/>
      <c r="B704" s="106"/>
      <c r="C704" s="106"/>
      <c r="D704" s="101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9"/>
      <c r="V704" s="109"/>
    </row>
    <row r="705" ht="12.75" customHeight="1">
      <c r="A705" s="106"/>
      <c r="B705" s="106"/>
      <c r="C705" s="106"/>
      <c r="D705" s="101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9"/>
      <c r="V705" s="109"/>
    </row>
    <row r="706" ht="12.75" customHeight="1">
      <c r="A706" s="106"/>
      <c r="B706" s="106"/>
      <c r="C706" s="106"/>
      <c r="D706" s="101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9"/>
      <c r="V706" s="109"/>
    </row>
    <row r="707" ht="12.75" customHeight="1">
      <c r="A707" s="106"/>
      <c r="B707" s="106"/>
      <c r="C707" s="106"/>
      <c r="D707" s="101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9"/>
      <c r="V707" s="109"/>
    </row>
    <row r="708" ht="12.75" customHeight="1">
      <c r="A708" s="106"/>
      <c r="B708" s="106"/>
      <c r="C708" s="106"/>
      <c r="D708" s="101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9"/>
      <c r="V708" s="109"/>
    </row>
    <row r="709" ht="12.75" customHeight="1">
      <c r="A709" s="106"/>
      <c r="B709" s="106"/>
      <c r="C709" s="106"/>
      <c r="D709" s="101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9"/>
      <c r="V709" s="109"/>
    </row>
    <row r="710" ht="12.75" customHeight="1">
      <c r="A710" s="106"/>
      <c r="B710" s="106"/>
      <c r="C710" s="106"/>
      <c r="D710" s="101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9"/>
      <c r="V710" s="109"/>
    </row>
    <row r="711" ht="12.75" customHeight="1">
      <c r="A711" s="106"/>
      <c r="B711" s="106"/>
      <c r="C711" s="106"/>
      <c r="D711" s="101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9"/>
      <c r="V711" s="109"/>
    </row>
    <row r="712" ht="12.75" customHeight="1">
      <c r="A712" s="106"/>
      <c r="B712" s="106"/>
      <c r="C712" s="106"/>
      <c r="D712" s="101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9"/>
      <c r="V712" s="109"/>
    </row>
    <row r="713" ht="12.75" customHeight="1">
      <c r="A713" s="106"/>
      <c r="B713" s="106"/>
      <c r="C713" s="106"/>
      <c r="D713" s="101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9"/>
      <c r="V713" s="109"/>
    </row>
    <row r="714" ht="12.75" customHeight="1">
      <c r="A714" s="106"/>
      <c r="B714" s="106"/>
      <c r="C714" s="106"/>
      <c r="D714" s="101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9"/>
      <c r="V714" s="109"/>
    </row>
    <row r="715" ht="12.75" customHeight="1">
      <c r="A715" s="106"/>
      <c r="B715" s="106"/>
      <c r="C715" s="106"/>
      <c r="D715" s="101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9"/>
      <c r="V715" s="109"/>
    </row>
    <row r="716" ht="12.75" customHeight="1">
      <c r="A716" s="106"/>
      <c r="B716" s="106"/>
      <c r="C716" s="106"/>
      <c r="D716" s="101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9"/>
      <c r="V716" s="109"/>
    </row>
    <row r="717" ht="12.75" customHeight="1">
      <c r="A717" s="106"/>
      <c r="B717" s="106"/>
      <c r="C717" s="106"/>
      <c r="D717" s="101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9"/>
      <c r="V717" s="109"/>
    </row>
    <row r="718" ht="12.75" customHeight="1">
      <c r="A718" s="106"/>
      <c r="B718" s="106"/>
      <c r="C718" s="106"/>
      <c r="D718" s="101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9"/>
      <c r="V718" s="109"/>
    </row>
    <row r="719" ht="12.75" customHeight="1">
      <c r="A719" s="106"/>
      <c r="B719" s="106"/>
      <c r="C719" s="106"/>
      <c r="D719" s="101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9"/>
      <c r="V719" s="109"/>
    </row>
    <row r="720" ht="12.75" customHeight="1">
      <c r="A720" s="106"/>
      <c r="B720" s="106"/>
      <c r="C720" s="106"/>
      <c r="D720" s="101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9"/>
      <c r="V720" s="109"/>
    </row>
    <row r="721" ht="12.75" customHeight="1">
      <c r="A721" s="106"/>
      <c r="B721" s="106"/>
      <c r="C721" s="106"/>
      <c r="D721" s="101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9"/>
      <c r="V721" s="109"/>
    </row>
    <row r="722" ht="12.75" customHeight="1">
      <c r="A722" s="106"/>
      <c r="B722" s="106"/>
      <c r="C722" s="106"/>
      <c r="D722" s="101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9"/>
      <c r="V722" s="109"/>
    </row>
    <row r="723" ht="12.75" customHeight="1">
      <c r="A723" s="106"/>
      <c r="B723" s="106"/>
      <c r="C723" s="106"/>
      <c r="D723" s="101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9"/>
      <c r="V723" s="109"/>
    </row>
    <row r="724" ht="12.75" customHeight="1">
      <c r="A724" s="106"/>
      <c r="B724" s="106"/>
      <c r="C724" s="106"/>
      <c r="D724" s="101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9"/>
      <c r="V724" s="109"/>
    </row>
    <row r="725" ht="12.75" customHeight="1">
      <c r="A725" s="106"/>
      <c r="B725" s="106"/>
      <c r="C725" s="106"/>
      <c r="D725" s="101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9"/>
      <c r="V725" s="109"/>
    </row>
    <row r="726" ht="12.75" customHeight="1">
      <c r="A726" s="106"/>
      <c r="B726" s="106"/>
      <c r="C726" s="106"/>
      <c r="D726" s="101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9"/>
      <c r="V726" s="109"/>
    </row>
    <row r="727" ht="12.75" customHeight="1">
      <c r="A727" s="106"/>
      <c r="B727" s="106"/>
      <c r="C727" s="106"/>
      <c r="D727" s="101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9"/>
      <c r="V727" s="109"/>
    </row>
    <row r="728" ht="12.75" customHeight="1">
      <c r="A728" s="106"/>
      <c r="B728" s="106"/>
      <c r="C728" s="106"/>
      <c r="D728" s="101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9"/>
      <c r="V728" s="109"/>
    </row>
    <row r="729" ht="12.75" customHeight="1">
      <c r="A729" s="106"/>
      <c r="B729" s="106"/>
      <c r="C729" s="106"/>
      <c r="D729" s="101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9"/>
      <c r="V729" s="109"/>
    </row>
    <row r="730" ht="12.75" customHeight="1">
      <c r="A730" s="106"/>
      <c r="B730" s="106"/>
      <c r="C730" s="106"/>
      <c r="D730" s="101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9"/>
      <c r="V730" s="109"/>
    </row>
    <row r="731" ht="12.75" customHeight="1">
      <c r="A731" s="106"/>
      <c r="B731" s="106"/>
      <c r="C731" s="106"/>
      <c r="D731" s="101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9"/>
      <c r="V731" s="109"/>
    </row>
    <row r="732" ht="12.75" customHeight="1">
      <c r="A732" s="106"/>
      <c r="B732" s="106"/>
      <c r="C732" s="106"/>
      <c r="D732" s="101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9"/>
      <c r="V732" s="109"/>
    </row>
    <row r="733" ht="12.75" customHeight="1">
      <c r="A733" s="106"/>
      <c r="B733" s="106"/>
      <c r="C733" s="106"/>
      <c r="D733" s="101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9"/>
      <c r="V733" s="109"/>
    </row>
    <row r="734" ht="12.75" customHeight="1">
      <c r="A734" s="106"/>
      <c r="B734" s="106"/>
      <c r="C734" s="106"/>
      <c r="D734" s="101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9"/>
      <c r="V734" s="109"/>
    </row>
    <row r="735" ht="12.75" customHeight="1">
      <c r="A735" s="106"/>
      <c r="B735" s="106"/>
      <c r="C735" s="106"/>
      <c r="D735" s="101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9"/>
      <c r="V735" s="109"/>
    </row>
    <row r="736" ht="12.75" customHeight="1">
      <c r="A736" s="106"/>
      <c r="B736" s="106"/>
      <c r="C736" s="106"/>
      <c r="D736" s="101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9"/>
      <c r="V736" s="109"/>
    </row>
    <row r="737" ht="12.75" customHeight="1">
      <c r="A737" s="106"/>
      <c r="B737" s="106"/>
      <c r="C737" s="106"/>
      <c r="D737" s="101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9"/>
      <c r="V737" s="109"/>
    </row>
    <row r="738" ht="12.75" customHeight="1">
      <c r="A738" s="106"/>
      <c r="B738" s="106"/>
      <c r="C738" s="106"/>
      <c r="D738" s="101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9"/>
      <c r="V738" s="109"/>
    </row>
    <row r="739" ht="12.75" customHeight="1">
      <c r="A739" s="106"/>
      <c r="B739" s="106"/>
      <c r="C739" s="106"/>
      <c r="D739" s="101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9"/>
      <c r="V739" s="109"/>
    </row>
    <row r="740" ht="12.75" customHeight="1">
      <c r="A740" s="106"/>
      <c r="B740" s="106"/>
      <c r="C740" s="106"/>
      <c r="D740" s="101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9"/>
      <c r="V740" s="109"/>
    </row>
    <row r="741" ht="12.75" customHeight="1">
      <c r="A741" s="106"/>
      <c r="B741" s="106"/>
      <c r="C741" s="106"/>
      <c r="D741" s="101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9"/>
      <c r="V741" s="109"/>
    </row>
    <row r="742" ht="12.75" customHeight="1">
      <c r="A742" s="106"/>
      <c r="B742" s="106"/>
      <c r="C742" s="106"/>
      <c r="D742" s="101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9"/>
      <c r="V742" s="109"/>
    </row>
    <row r="743" ht="12.75" customHeight="1">
      <c r="A743" s="106"/>
      <c r="B743" s="106"/>
      <c r="C743" s="106"/>
      <c r="D743" s="101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9"/>
      <c r="V743" s="109"/>
    </row>
    <row r="744" ht="12.75" customHeight="1">
      <c r="A744" s="106"/>
      <c r="B744" s="106"/>
      <c r="C744" s="106"/>
      <c r="D744" s="101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9"/>
      <c r="V744" s="109"/>
    </row>
    <row r="745" ht="12.75" customHeight="1">
      <c r="A745" s="106"/>
      <c r="B745" s="106"/>
      <c r="C745" s="106"/>
      <c r="D745" s="101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9"/>
      <c r="V745" s="109"/>
    </row>
    <row r="746" ht="12.75" customHeight="1">
      <c r="A746" s="106"/>
      <c r="B746" s="106"/>
      <c r="C746" s="106"/>
      <c r="D746" s="101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9"/>
      <c r="V746" s="109"/>
    </row>
    <row r="747" ht="12.75" customHeight="1">
      <c r="A747" s="106"/>
      <c r="B747" s="106"/>
      <c r="C747" s="106"/>
      <c r="D747" s="101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9"/>
      <c r="V747" s="109"/>
    </row>
    <row r="748" ht="12.75" customHeight="1">
      <c r="A748" s="106"/>
      <c r="B748" s="106"/>
      <c r="C748" s="106"/>
      <c r="D748" s="101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9"/>
      <c r="V748" s="109"/>
    </row>
    <row r="749" ht="12.75" customHeight="1">
      <c r="A749" s="106"/>
      <c r="B749" s="106"/>
      <c r="C749" s="106"/>
      <c r="D749" s="101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9"/>
      <c r="V749" s="109"/>
    </row>
    <row r="750" ht="12.75" customHeight="1">
      <c r="A750" s="106"/>
      <c r="B750" s="106"/>
      <c r="C750" s="106"/>
      <c r="D750" s="101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9"/>
      <c r="V750" s="109"/>
    </row>
    <row r="751" ht="12.75" customHeight="1">
      <c r="A751" s="106"/>
      <c r="B751" s="106"/>
      <c r="C751" s="106"/>
      <c r="D751" s="101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9"/>
      <c r="V751" s="109"/>
    </row>
    <row r="752" ht="12.75" customHeight="1">
      <c r="A752" s="106"/>
      <c r="B752" s="106"/>
      <c r="C752" s="106"/>
      <c r="D752" s="101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9"/>
      <c r="V752" s="109"/>
    </row>
    <row r="753" ht="12.75" customHeight="1">
      <c r="A753" s="106"/>
      <c r="B753" s="106"/>
      <c r="C753" s="106"/>
      <c r="D753" s="101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9"/>
      <c r="V753" s="109"/>
    </row>
    <row r="754" ht="12.75" customHeight="1">
      <c r="A754" s="106"/>
      <c r="B754" s="106"/>
      <c r="C754" s="106"/>
      <c r="D754" s="101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9"/>
      <c r="V754" s="109"/>
    </row>
    <row r="755" ht="12.75" customHeight="1">
      <c r="A755" s="106"/>
      <c r="B755" s="106"/>
      <c r="C755" s="106"/>
      <c r="D755" s="101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9"/>
      <c r="V755" s="109"/>
    </row>
    <row r="756" ht="12.75" customHeight="1">
      <c r="A756" s="106"/>
      <c r="B756" s="106"/>
      <c r="C756" s="106"/>
      <c r="D756" s="101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9"/>
      <c r="V756" s="109"/>
    </row>
    <row r="757" ht="12.75" customHeight="1">
      <c r="A757" s="106"/>
      <c r="B757" s="106"/>
      <c r="C757" s="106"/>
      <c r="D757" s="101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9"/>
      <c r="V757" s="109"/>
    </row>
    <row r="758" ht="12.75" customHeight="1">
      <c r="A758" s="106"/>
      <c r="B758" s="106"/>
      <c r="C758" s="106"/>
      <c r="D758" s="101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9"/>
      <c r="V758" s="109"/>
    </row>
    <row r="759" ht="12.75" customHeight="1">
      <c r="A759" s="106"/>
      <c r="B759" s="106"/>
      <c r="C759" s="106"/>
      <c r="D759" s="101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9"/>
      <c r="V759" s="109"/>
    </row>
    <row r="760" ht="12.75" customHeight="1">
      <c r="A760" s="106"/>
      <c r="B760" s="106"/>
      <c r="C760" s="106"/>
      <c r="D760" s="101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9"/>
      <c r="V760" s="109"/>
    </row>
    <row r="761" ht="12.75" customHeight="1">
      <c r="A761" s="106"/>
      <c r="B761" s="106"/>
      <c r="C761" s="106"/>
      <c r="D761" s="101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9"/>
      <c r="V761" s="109"/>
    </row>
    <row r="762" ht="12.75" customHeight="1">
      <c r="A762" s="106"/>
      <c r="B762" s="106"/>
      <c r="C762" s="106"/>
      <c r="D762" s="101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9"/>
      <c r="V762" s="109"/>
    </row>
    <row r="763" ht="12.75" customHeight="1">
      <c r="A763" s="106"/>
      <c r="B763" s="106"/>
      <c r="C763" s="106"/>
      <c r="D763" s="101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9"/>
      <c r="V763" s="109"/>
    </row>
    <row r="764" ht="12.75" customHeight="1">
      <c r="A764" s="106"/>
      <c r="B764" s="106"/>
      <c r="C764" s="106"/>
      <c r="D764" s="101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9"/>
      <c r="V764" s="109"/>
    </row>
    <row r="765" ht="12.75" customHeight="1">
      <c r="A765" s="106"/>
      <c r="B765" s="106"/>
      <c r="C765" s="106"/>
      <c r="D765" s="101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9"/>
      <c r="V765" s="109"/>
    </row>
    <row r="766" ht="12.75" customHeight="1">
      <c r="A766" s="106"/>
      <c r="B766" s="106"/>
      <c r="C766" s="106"/>
      <c r="D766" s="101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9"/>
      <c r="V766" s="109"/>
    </row>
    <row r="767" ht="12.75" customHeight="1">
      <c r="A767" s="106"/>
      <c r="B767" s="106"/>
      <c r="C767" s="106"/>
      <c r="D767" s="101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9"/>
      <c r="V767" s="109"/>
    </row>
    <row r="768" ht="12.75" customHeight="1">
      <c r="A768" s="106"/>
      <c r="B768" s="106"/>
      <c r="C768" s="106"/>
      <c r="D768" s="101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9"/>
      <c r="V768" s="109"/>
    </row>
    <row r="769" ht="12.75" customHeight="1">
      <c r="A769" s="106"/>
      <c r="B769" s="106"/>
      <c r="C769" s="106"/>
      <c r="D769" s="101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9"/>
      <c r="V769" s="109"/>
    </row>
    <row r="770" ht="12.75" customHeight="1">
      <c r="A770" s="106"/>
      <c r="B770" s="106"/>
      <c r="C770" s="106"/>
      <c r="D770" s="101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9"/>
      <c r="V770" s="109"/>
    </row>
    <row r="771" ht="12.75" customHeight="1">
      <c r="A771" s="106"/>
      <c r="B771" s="106"/>
      <c r="C771" s="106"/>
      <c r="D771" s="101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9"/>
      <c r="V771" s="109"/>
    </row>
    <row r="772" ht="12.75" customHeight="1">
      <c r="A772" s="106"/>
      <c r="B772" s="106"/>
      <c r="C772" s="106"/>
      <c r="D772" s="101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9"/>
      <c r="V772" s="109"/>
    </row>
    <row r="773" ht="12.75" customHeight="1">
      <c r="A773" s="106"/>
      <c r="B773" s="106"/>
      <c r="C773" s="106"/>
      <c r="D773" s="101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9"/>
      <c r="V773" s="109"/>
    </row>
    <row r="774" ht="12.75" customHeight="1">
      <c r="A774" s="106"/>
      <c r="B774" s="106"/>
      <c r="C774" s="106"/>
      <c r="D774" s="101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9"/>
      <c r="V774" s="109"/>
    </row>
    <row r="775" ht="12.75" customHeight="1">
      <c r="A775" s="106"/>
      <c r="B775" s="106"/>
      <c r="C775" s="106"/>
      <c r="D775" s="101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9"/>
      <c r="V775" s="109"/>
    </row>
    <row r="776" ht="12.75" customHeight="1">
      <c r="A776" s="106"/>
      <c r="B776" s="106"/>
      <c r="C776" s="106"/>
      <c r="D776" s="101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9"/>
      <c r="V776" s="109"/>
    </row>
    <row r="777" ht="12.75" customHeight="1">
      <c r="A777" s="106"/>
      <c r="B777" s="106"/>
      <c r="C777" s="106"/>
      <c r="D777" s="101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9"/>
      <c r="V777" s="109"/>
    </row>
    <row r="778" ht="12.75" customHeight="1">
      <c r="A778" s="106"/>
      <c r="B778" s="106"/>
      <c r="C778" s="106"/>
      <c r="D778" s="101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9"/>
      <c r="V778" s="109"/>
    </row>
    <row r="779" ht="12.75" customHeight="1">
      <c r="A779" s="106"/>
      <c r="B779" s="106"/>
      <c r="C779" s="106"/>
      <c r="D779" s="101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9"/>
      <c r="V779" s="109"/>
    </row>
    <row r="780" ht="12.75" customHeight="1">
      <c r="A780" s="106"/>
      <c r="B780" s="106"/>
      <c r="C780" s="106"/>
      <c r="D780" s="101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9"/>
      <c r="V780" s="109"/>
    </row>
    <row r="781" ht="12.75" customHeight="1">
      <c r="A781" s="106"/>
      <c r="B781" s="106"/>
      <c r="C781" s="106"/>
      <c r="D781" s="101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9"/>
      <c r="V781" s="109"/>
    </row>
    <row r="782" ht="12.75" customHeight="1">
      <c r="A782" s="106"/>
      <c r="B782" s="106"/>
      <c r="C782" s="106"/>
      <c r="D782" s="101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9"/>
      <c r="V782" s="109"/>
    </row>
    <row r="783" ht="12.75" customHeight="1">
      <c r="A783" s="106"/>
      <c r="B783" s="106"/>
      <c r="C783" s="106"/>
      <c r="D783" s="101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9"/>
      <c r="V783" s="109"/>
    </row>
    <row r="784" ht="12.75" customHeight="1">
      <c r="A784" s="106"/>
      <c r="B784" s="106"/>
      <c r="C784" s="106"/>
      <c r="D784" s="101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9"/>
      <c r="V784" s="109"/>
    </row>
    <row r="785" ht="12.75" customHeight="1">
      <c r="A785" s="106"/>
      <c r="B785" s="106"/>
      <c r="C785" s="106"/>
      <c r="D785" s="101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9"/>
      <c r="V785" s="109"/>
    </row>
    <row r="786" ht="12.75" customHeight="1">
      <c r="A786" s="106"/>
      <c r="B786" s="106"/>
      <c r="C786" s="106"/>
      <c r="D786" s="101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9"/>
      <c r="V786" s="109"/>
    </row>
    <row r="787" ht="12.75" customHeight="1">
      <c r="A787" s="106"/>
      <c r="B787" s="106"/>
      <c r="C787" s="106"/>
      <c r="D787" s="101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9"/>
      <c r="V787" s="109"/>
    </row>
    <row r="788" ht="12.75" customHeight="1">
      <c r="A788" s="106"/>
      <c r="B788" s="106"/>
      <c r="C788" s="106"/>
      <c r="D788" s="101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9"/>
      <c r="V788" s="109"/>
    </row>
    <row r="789" ht="12.75" customHeight="1">
      <c r="A789" s="106"/>
      <c r="B789" s="106"/>
      <c r="C789" s="106"/>
      <c r="D789" s="101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9"/>
      <c r="V789" s="109"/>
    </row>
    <row r="790" ht="12.75" customHeight="1">
      <c r="A790" s="106"/>
      <c r="B790" s="106"/>
      <c r="C790" s="106"/>
      <c r="D790" s="101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9"/>
      <c r="V790" s="109"/>
    </row>
    <row r="791" ht="12.75" customHeight="1">
      <c r="A791" s="106"/>
      <c r="B791" s="106"/>
      <c r="C791" s="106"/>
      <c r="D791" s="101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9"/>
      <c r="V791" s="109"/>
    </row>
    <row r="792" ht="12.75" customHeight="1">
      <c r="A792" s="106"/>
      <c r="B792" s="106"/>
      <c r="C792" s="106"/>
      <c r="D792" s="101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9"/>
      <c r="V792" s="109"/>
    </row>
    <row r="793" ht="12.75" customHeight="1">
      <c r="A793" s="106"/>
      <c r="B793" s="106"/>
      <c r="C793" s="106"/>
      <c r="D793" s="101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9"/>
      <c r="V793" s="109"/>
    </row>
    <row r="794" ht="12.75" customHeight="1">
      <c r="A794" s="106"/>
      <c r="B794" s="106"/>
      <c r="C794" s="106"/>
      <c r="D794" s="101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9"/>
      <c r="V794" s="109"/>
    </row>
    <row r="795" ht="12.75" customHeight="1">
      <c r="A795" s="106"/>
      <c r="B795" s="106"/>
      <c r="C795" s="106"/>
      <c r="D795" s="101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9"/>
      <c r="V795" s="109"/>
    </row>
    <row r="796" ht="12.75" customHeight="1">
      <c r="A796" s="106"/>
      <c r="B796" s="106"/>
      <c r="C796" s="106"/>
      <c r="D796" s="101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9"/>
      <c r="V796" s="109"/>
    </row>
    <row r="797" ht="12.75" customHeight="1">
      <c r="A797" s="106"/>
      <c r="B797" s="106"/>
      <c r="C797" s="106"/>
      <c r="D797" s="101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9"/>
      <c r="V797" s="109"/>
    </row>
    <row r="798" ht="12.75" customHeight="1">
      <c r="A798" s="106"/>
      <c r="B798" s="106"/>
      <c r="C798" s="106"/>
      <c r="D798" s="101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9"/>
      <c r="V798" s="109"/>
    </row>
    <row r="799" ht="12.75" customHeight="1">
      <c r="A799" s="106"/>
      <c r="B799" s="106"/>
      <c r="C799" s="106"/>
      <c r="D799" s="101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9"/>
      <c r="V799" s="109"/>
    </row>
    <row r="800" ht="12.75" customHeight="1">
      <c r="A800" s="106"/>
      <c r="B800" s="106"/>
      <c r="C800" s="106"/>
      <c r="D800" s="101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9"/>
      <c r="V800" s="109"/>
    </row>
    <row r="801" ht="12.75" customHeight="1">
      <c r="A801" s="106"/>
      <c r="B801" s="106"/>
      <c r="C801" s="106"/>
      <c r="D801" s="101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9"/>
      <c r="V801" s="109"/>
    </row>
    <row r="802" ht="12.75" customHeight="1">
      <c r="A802" s="106"/>
      <c r="B802" s="106"/>
      <c r="C802" s="106"/>
      <c r="D802" s="101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9"/>
      <c r="V802" s="109"/>
    </row>
    <row r="803" ht="12.75" customHeight="1">
      <c r="A803" s="106"/>
      <c r="B803" s="106"/>
      <c r="C803" s="106"/>
      <c r="D803" s="101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9"/>
      <c r="V803" s="109"/>
    </row>
    <row r="804" ht="12.75" customHeight="1">
      <c r="A804" s="106"/>
      <c r="B804" s="106"/>
      <c r="C804" s="106"/>
      <c r="D804" s="101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9"/>
      <c r="V804" s="109"/>
    </row>
    <row r="805" ht="12.75" customHeight="1">
      <c r="A805" s="106"/>
      <c r="B805" s="106"/>
      <c r="C805" s="106"/>
      <c r="D805" s="101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9"/>
      <c r="V805" s="109"/>
    </row>
    <row r="806" ht="12.75" customHeight="1">
      <c r="A806" s="106"/>
      <c r="B806" s="106"/>
      <c r="C806" s="106"/>
      <c r="D806" s="101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9"/>
      <c r="V806" s="109"/>
    </row>
    <row r="807" ht="12.75" customHeight="1">
      <c r="A807" s="106"/>
      <c r="B807" s="106"/>
      <c r="C807" s="106"/>
      <c r="D807" s="101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9"/>
      <c r="V807" s="109"/>
    </row>
    <row r="808" ht="12.75" customHeight="1">
      <c r="A808" s="106"/>
      <c r="B808" s="106"/>
      <c r="C808" s="106"/>
      <c r="D808" s="101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9"/>
      <c r="V808" s="109"/>
    </row>
    <row r="809" ht="12.75" customHeight="1">
      <c r="A809" s="106"/>
      <c r="B809" s="106"/>
      <c r="C809" s="106"/>
      <c r="D809" s="101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9"/>
      <c r="V809" s="109"/>
    </row>
    <row r="810" ht="12.75" customHeight="1">
      <c r="A810" s="106"/>
      <c r="B810" s="106"/>
      <c r="C810" s="106"/>
      <c r="D810" s="101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9"/>
      <c r="V810" s="109"/>
    </row>
    <row r="811" ht="12.75" customHeight="1">
      <c r="A811" s="106"/>
      <c r="B811" s="106"/>
      <c r="C811" s="106"/>
      <c r="D811" s="101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9"/>
      <c r="V811" s="109"/>
    </row>
    <row r="812" ht="12.75" customHeight="1">
      <c r="A812" s="106"/>
      <c r="B812" s="106"/>
      <c r="C812" s="106"/>
      <c r="D812" s="101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9"/>
      <c r="V812" s="109"/>
    </row>
    <row r="813" ht="12.75" customHeight="1">
      <c r="A813" s="106"/>
      <c r="B813" s="106"/>
      <c r="C813" s="106"/>
      <c r="D813" s="101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9"/>
      <c r="V813" s="109"/>
    </row>
    <row r="814" ht="12.75" customHeight="1">
      <c r="A814" s="106"/>
      <c r="B814" s="106"/>
      <c r="C814" s="106"/>
      <c r="D814" s="101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9"/>
      <c r="V814" s="109"/>
    </row>
    <row r="815" ht="12.75" customHeight="1">
      <c r="A815" s="106"/>
      <c r="B815" s="106"/>
      <c r="C815" s="106"/>
      <c r="D815" s="101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9"/>
      <c r="V815" s="109"/>
    </row>
    <row r="816" ht="12.75" customHeight="1">
      <c r="A816" s="106"/>
      <c r="B816" s="106"/>
      <c r="C816" s="106"/>
      <c r="D816" s="101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9"/>
      <c r="V816" s="109"/>
    </row>
    <row r="817" ht="12.75" customHeight="1">
      <c r="A817" s="106"/>
      <c r="B817" s="106"/>
      <c r="C817" s="106"/>
      <c r="D817" s="101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9"/>
      <c r="V817" s="109"/>
    </row>
    <row r="818" ht="12.75" customHeight="1">
      <c r="A818" s="106"/>
      <c r="B818" s="106"/>
      <c r="C818" s="106"/>
      <c r="D818" s="101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9"/>
      <c r="V818" s="109"/>
    </row>
    <row r="819" ht="12.75" customHeight="1">
      <c r="A819" s="106"/>
      <c r="B819" s="106"/>
      <c r="C819" s="106"/>
      <c r="D819" s="101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9"/>
      <c r="V819" s="109"/>
    </row>
    <row r="820" ht="12.75" customHeight="1">
      <c r="A820" s="106"/>
      <c r="B820" s="106"/>
      <c r="C820" s="106"/>
      <c r="D820" s="101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9"/>
      <c r="V820" s="109"/>
    </row>
    <row r="821" ht="12.75" customHeight="1">
      <c r="A821" s="106"/>
      <c r="B821" s="106"/>
      <c r="C821" s="106"/>
      <c r="D821" s="101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9"/>
      <c r="V821" s="109"/>
    </row>
    <row r="822" ht="12.75" customHeight="1">
      <c r="A822" s="106"/>
      <c r="B822" s="106"/>
      <c r="C822" s="106"/>
      <c r="D822" s="101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9"/>
      <c r="V822" s="109"/>
    </row>
    <row r="823" ht="12.75" customHeight="1">
      <c r="A823" s="106"/>
      <c r="B823" s="106"/>
      <c r="C823" s="106"/>
      <c r="D823" s="101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9"/>
      <c r="V823" s="109"/>
    </row>
    <row r="824" ht="12.75" customHeight="1">
      <c r="A824" s="106"/>
      <c r="B824" s="106"/>
      <c r="C824" s="106"/>
      <c r="D824" s="101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9"/>
      <c r="V824" s="109"/>
    </row>
    <row r="825" ht="12.75" customHeight="1">
      <c r="A825" s="106"/>
      <c r="B825" s="106"/>
      <c r="C825" s="106"/>
      <c r="D825" s="101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9"/>
      <c r="V825" s="109"/>
    </row>
    <row r="826" ht="12.75" customHeight="1">
      <c r="A826" s="106"/>
      <c r="B826" s="106"/>
      <c r="C826" s="106"/>
      <c r="D826" s="101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9"/>
      <c r="V826" s="109"/>
    </row>
    <row r="827" ht="12.75" customHeight="1">
      <c r="A827" s="106"/>
      <c r="B827" s="106"/>
      <c r="C827" s="106"/>
      <c r="D827" s="101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9"/>
      <c r="V827" s="109"/>
    </row>
    <row r="828" ht="12.75" customHeight="1">
      <c r="A828" s="106"/>
      <c r="B828" s="106"/>
      <c r="C828" s="106"/>
      <c r="D828" s="101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9"/>
      <c r="V828" s="109"/>
    </row>
    <row r="829" ht="12.75" customHeight="1">
      <c r="A829" s="106"/>
      <c r="B829" s="106"/>
      <c r="C829" s="106"/>
      <c r="D829" s="101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9"/>
      <c r="V829" s="109"/>
    </row>
    <row r="830" ht="12.75" customHeight="1">
      <c r="A830" s="106"/>
      <c r="B830" s="106"/>
      <c r="C830" s="106"/>
      <c r="D830" s="101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9"/>
      <c r="V830" s="109"/>
    </row>
    <row r="831" ht="12.75" customHeight="1">
      <c r="A831" s="106"/>
      <c r="B831" s="106"/>
      <c r="C831" s="106"/>
      <c r="D831" s="101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9"/>
      <c r="V831" s="109"/>
    </row>
    <row r="832" ht="12.75" customHeight="1">
      <c r="A832" s="106"/>
      <c r="B832" s="106"/>
      <c r="C832" s="106"/>
      <c r="D832" s="101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9"/>
      <c r="V832" s="109"/>
    </row>
    <row r="833" ht="12.75" customHeight="1">
      <c r="A833" s="106"/>
      <c r="B833" s="106"/>
      <c r="C833" s="106"/>
      <c r="D833" s="101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9"/>
      <c r="V833" s="109"/>
    </row>
    <row r="834" ht="12.75" customHeight="1">
      <c r="A834" s="106"/>
      <c r="B834" s="106"/>
      <c r="C834" s="106"/>
      <c r="D834" s="101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9"/>
      <c r="V834" s="109"/>
    </row>
    <row r="835" ht="12.75" customHeight="1">
      <c r="A835" s="106"/>
      <c r="B835" s="106"/>
      <c r="C835" s="106"/>
      <c r="D835" s="101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9"/>
      <c r="V835" s="109"/>
    </row>
    <row r="836" ht="12.75" customHeight="1">
      <c r="A836" s="106"/>
      <c r="B836" s="106"/>
      <c r="C836" s="106"/>
      <c r="D836" s="101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9"/>
      <c r="V836" s="109"/>
    </row>
    <row r="837" ht="12.75" customHeight="1">
      <c r="A837" s="106"/>
      <c r="B837" s="106"/>
      <c r="C837" s="106"/>
      <c r="D837" s="101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9"/>
      <c r="V837" s="109"/>
    </row>
    <row r="838" ht="12.75" customHeight="1">
      <c r="A838" s="106"/>
      <c r="B838" s="106"/>
      <c r="C838" s="106"/>
      <c r="D838" s="101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9"/>
      <c r="V838" s="109"/>
    </row>
    <row r="839" ht="12.75" customHeight="1">
      <c r="A839" s="106"/>
      <c r="B839" s="106"/>
      <c r="C839" s="106"/>
      <c r="D839" s="101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9"/>
      <c r="V839" s="109"/>
    </row>
    <row r="840" ht="12.75" customHeight="1">
      <c r="A840" s="106"/>
      <c r="B840" s="106"/>
      <c r="C840" s="106"/>
      <c r="D840" s="101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9"/>
      <c r="V840" s="109"/>
    </row>
    <row r="841" ht="12.75" customHeight="1">
      <c r="A841" s="106"/>
      <c r="B841" s="106"/>
      <c r="C841" s="106"/>
      <c r="D841" s="101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9"/>
      <c r="V841" s="109"/>
    </row>
    <row r="842" ht="12.75" customHeight="1">
      <c r="A842" s="106"/>
      <c r="B842" s="106"/>
      <c r="C842" s="106"/>
      <c r="D842" s="101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9"/>
      <c r="V842" s="109"/>
    </row>
    <row r="843" ht="12.75" customHeight="1">
      <c r="A843" s="106"/>
      <c r="B843" s="106"/>
      <c r="C843" s="106"/>
      <c r="D843" s="101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9"/>
      <c r="V843" s="109"/>
    </row>
    <row r="844" ht="12.75" customHeight="1">
      <c r="A844" s="106"/>
      <c r="B844" s="106"/>
      <c r="C844" s="106"/>
      <c r="D844" s="101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9"/>
      <c r="V844" s="109"/>
    </row>
    <row r="845" ht="12.75" customHeight="1">
      <c r="A845" s="106"/>
      <c r="B845" s="106"/>
      <c r="C845" s="106"/>
      <c r="D845" s="101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9"/>
      <c r="V845" s="109"/>
    </row>
    <row r="846" ht="12.75" customHeight="1">
      <c r="A846" s="106"/>
      <c r="B846" s="106"/>
      <c r="C846" s="106"/>
      <c r="D846" s="101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9"/>
      <c r="V846" s="109"/>
    </row>
    <row r="847" ht="12.75" customHeight="1">
      <c r="A847" s="106"/>
      <c r="B847" s="106"/>
      <c r="C847" s="106"/>
      <c r="D847" s="101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9"/>
      <c r="V847" s="109"/>
    </row>
    <row r="848" ht="12.75" customHeight="1">
      <c r="A848" s="106"/>
      <c r="B848" s="106"/>
      <c r="C848" s="106"/>
      <c r="D848" s="101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9"/>
      <c r="V848" s="109"/>
    </row>
    <row r="849" ht="12.75" customHeight="1">
      <c r="A849" s="106"/>
      <c r="B849" s="106"/>
      <c r="C849" s="106"/>
      <c r="D849" s="101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9"/>
      <c r="V849" s="109"/>
    </row>
    <row r="850" ht="12.75" customHeight="1">
      <c r="A850" s="106"/>
      <c r="B850" s="106"/>
      <c r="C850" s="106"/>
      <c r="D850" s="101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9"/>
      <c r="V850" s="109"/>
    </row>
    <row r="851" ht="12.75" customHeight="1">
      <c r="A851" s="106"/>
      <c r="B851" s="106"/>
      <c r="C851" s="106"/>
      <c r="D851" s="101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9"/>
      <c r="V851" s="109"/>
    </row>
    <row r="852" ht="12.75" customHeight="1">
      <c r="A852" s="106"/>
      <c r="B852" s="106"/>
      <c r="C852" s="106"/>
      <c r="D852" s="101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9"/>
      <c r="V852" s="109"/>
    </row>
    <row r="853" ht="12.75" customHeight="1">
      <c r="A853" s="106"/>
      <c r="B853" s="106"/>
      <c r="C853" s="106"/>
      <c r="D853" s="101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9"/>
      <c r="V853" s="109"/>
    </row>
    <row r="854" ht="12.75" customHeight="1">
      <c r="A854" s="106"/>
      <c r="B854" s="106"/>
      <c r="C854" s="106"/>
      <c r="D854" s="101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9"/>
      <c r="V854" s="109"/>
    </row>
    <row r="855" ht="12.75" customHeight="1">
      <c r="A855" s="106"/>
      <c r="B855" s="106"/>
      <c r="C855" s="106"/>
      <c r="D855" s="101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9"/>
      <c r="V855" s="109"/>
    </row>
    <row r="856" ht="12.75" customHeight="1">
      <c r="A856" s="106"/>
      <c r="B856" s="106"/>
      <c r="C856" s="106"/>
      <c r="D856" s="101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9"/>
      <c r="V856" s="109"/>
    </row>
    <row r="857" ht="12.75" customHeight="1">
      <c r="A857" s="106"/>
      <c r="B857" s="106"/>
      <c r="C857" s="106"/>
      <c r="D857" s="101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9"/>
      <c r="V857" s="109"/>
    </row>
    <row r="858" ht="12.75" customHeight="1">
      <c r="A858" s="106"/>
      <c r="B858" s="106"/>
      <c r="C858" s="106"/>
      <c r="D858" s="101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9"/>
      <c r="V858" s="109"/>
    </row>
    <row r="859" ht="12.75" customHeight="1">
      <c r="A859" s="106"/>
      <c r="B859" s="106"/>
      <c r="C859" s="106"/>
      <c r="D859" s="101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9"/>
      <c r="V859" s="109"/>
    </row>
    <row r="860" ht="12.75" customHeight="1">
      <c r="A860" s="106"/>
      <c r="B860" s="106"/>
      <c r="C860" s="106"/>
      <c r="D860" s="101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9"/>
      <c r="V860" s="109"/>
    </row>
    <row r="861" ht="12.75" customHeight="1">
      <c r="A861" s="106"/>
      <c r="B861" s="106"/>
      <c r="C861" s="106"/>
      <c r="D861" s="101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9"/>
      <c r="V861" s="109"/>
    </row>
    <row r="862" ht="12.75" customHeight="1">
      <c r="A862" s="106"/>
      <c r="B862" s="106"/>
      <c r="C862" s="106"/>
      <c r="D862" s="101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9"/>
      <c r="V862" s="109"/>
    </row>
    <row r="863" ht="12.75" customHeight="1">
      <c r="A863" s="106"/>
      <c r="B863" s="106"/>
      <c r="C863" s="106"/>
      <c r="D863" s="101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9"/>
      <c r="V863" s="109"/>
    </row>
    <row r="864" ht="12.75" customHeight="1">
      <c r="A864" s="106"/>
      <c r="B864" s="106"/>
      <c r="C864" s="106"/>
      <c r="D864" s="101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9"/>
      <c r="V864" s="109"/>
    </row>
    <row r="865" ht="12.75" customHeight="1">
      <c r="A865" s="106"/>
      <c r="B865" s="106"/>
      <c r="C865" s="106"/>
      <c r="D865" s="101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9"/>
      <c r="V865" s="109"/>
    </row>
    <row r="866" ht="12.75" customHeight="1">
      <c r="A866" s="106"/>
      <c r="B866" s="106"/>
      <c r="C866" s="106"/>
      <c r="D866" s="101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9"/>
      <c r="V866" s="109"/>
    </row>
    <row r="867" ht="12.75" customHeight="1">
      <c r="A867" s="106"/>
      <c r="B867" s="106"/>
      <c r="C867" s="106"/>
      <c r="D867" s="101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9"/>
      <c r="V867" s="109"/>
    </row>
    <row r="868" ht="12.75" customHeight="1">
      <c r="A868" s="106"/>
      <c r="B868" s="106"/>
      <c r="C868" s="106"/>
      <c r="D868" s="101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9"/>
      <c r="V868" s="109"/>
    </row>
    <row r="869" ht="12.75" customHeight="1">
      <c r="A869" s="106"/>
      <c r="B869" s="106"/>
      <c r="C869" s="106"/>
      <c r="D869" s="101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9"/>
      <c r="V869" s="109"/>
    </row>
    <row r="870" ht="12.75" customHeight="1">
      <c r="A870" s="106"/>
      <c r="B870" s="106"/>
      <c r="C870" s="106"/>
      <c r="D870" s="101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9"/>
      <c r="V870" s="109"/>
    </row>
    <row r="871" ht="12.75" customHeight="1">
      <c r="A871" s="106"/>
      <c r="B871" s="106"/>
      <c r="C871" s="106"/>
      <c r="D871" s="101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9"/>
      <c r="V871" s="109"/>
    </row>
    <row r="872" ht="12.75" customHeight="1">
      <c r="A872" s="106"/>
      <c r="B872" s="106"/>
      <c r="C872" s="106"/>
      <c r="D872" s="101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9"/>
      <c r="V872" s="109"/>
    </row>
    <row r="873" ht="12.75" customHeight="1">
      <c r="A873" s="106"/>
      <c r="B873" s="106"/>
      <c r="C873" s="106"/>
      <c r="D873" s="101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9"/>
      <c r="V873" s="109"/>
    </row>
    <row r="874" ht="12.75" customHeight="1">
      <c r="A874" s="106"/>
      <c r="B874" s="106"/>
      <c r="C874" s="106"/>
      <c r="D874" s="101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9"/>
      <c r="V874" s="109"/>
    </row>
    <row r="875" ht="12.75" customHeight="1">
      <c r="A875" s="106"/>
      <c r="B875" s="106"/>
      <c r="C875" s="106"/>
      <c r="D875" s="101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9"/>
      <c r="V875" s="109"/>
    </row>
    <row r="876" ht="12.75" customHeight="1">
      <c r="A876" s="106"/>
      <c r="B876" s="106"/>
      <c r="C876" s="106"/>
      <c r="D876" s="101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9"/>
      <c r="V876" s="109"/>
    </row>
    <row r="877" ht="12.75" customHeight="1">
      <c r="A877" s="106"/>
      <c r="B877" s="106"/>
      <c r="C877" s="106"/>
      <c r="D877" s="101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9"/>
      <c r="V877" s="109"/>
    </row>
    <row r="878" ht="12.75" customHeight="1">
      <c r="A878" s="106"/>
      <c r="B878" s="106"/>
      <c r="C878" s="106"/>
      <c r="D878" s="101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9"/>
      <c r="V878" s="109"/>
    </row>
    <row r="879" ht="12.75" customHeight="1">
      <c r="A879" s="106"/>
      <c r="B879" s="106"/>
      <c r="C879" s="106"/>
      <c r="D879" s="101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9"/>
      <c r="V879" s="109"/>
    </row>
    <row r="880" ht="12.75" customHeight="1">
      <c r="A880" s="106"/>
      <c r="B880" s="106"/>
      <c r="C880" s="106"/>
      <c r="D880" s="101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9"/>
      <c r="V880" s="109"/>
    </row>
    <row r="881" ht="12.75" customHeight="1">
      <c r="A881" s="106"/>
      <c r="B881" s="106"/>
      <c r="C881" s="106"/>
      <c r="D881" s="101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9"/>
      <c r="V881" s="109"/>
    </row>
    <row r="882" ht="12.75" customHeight="1">
      <c r="A882" s="106"/>
      <c r="B882" s="106"/>
      <c r="C882" s="106"/>
      <c r="D882" s="101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9"/>
      <c r="V882" s="109"/>
    </row>
    <row r="883" ht="12.75" customHeight="1">
      <c r="A883" s="106"/>
      <c r="B883" s="106"/>
      <c r="C883" s="106"/>
      <c r="D883" s="101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9"/>
      <c r="V883" s="109"/>
    </row>
    <row r="884" ht="12.75" customHeight="1">
      <c r="A884" s="106"/>
      <c r="B884" s="106"/>
      <c r="C884" s="106"/>
      <c r="D884" s="101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9"/>
      <c r="V884" s="109"/>
    </row>
    <row r="885" ht="12.75" customHeight="1">
      <c r="A885" s="106"/>
      <c r="B885" s="106"/>
      <c r="C885" s="106"/>
      <c r="D885" s="101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9"/>
      <c r="V885" s="109"/>
    </row>
    <row r="886" ht="12.75" customHeight="1">
      <c r="A886" s="106"/>
      <c r="B886" s="106"/>
      <c r="C886" s="106"/>
      <c r="D886" s="101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9"/>
      <c r="V886" s="109"/>
    </row>
    <row r="887" ht="12.75" customHeight="1">
      <c r="A887" s="106"/>
      <c r="B887" s="106"/>
      <c r="C887" s="106"/>
      <c r="D887" s="101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9"/>
      <c r="V887" s="109"/>
    </row>
    <row r="888" ht="12.75" customHeight="1">
      <c r="A888" s="106"/>
      <c r="B888" s="106"/>
      <c r="C888" s="106"/>
      <c r="D888" s="101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9"/>
      <c r="V888" s="109"/>
    </row>
    <row r="889" ht="12.75" customHeight="1">
      <c r="A889" s="106"/>
      <c r="B889" s="106"/>
      <c r="C889" s="106"/>
      <c r="D889" s="101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9"/>
      <c r="V889" s="109"/>
    </row>
    <row r="890" ht="12.75" customHeight="1">
      <c r="A890" s="106"/>
      <c r="B890" s="106"/>
      <c r="C890" s="106"/>
      <c r="D890" s="101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9"/>
      <c r="V890" s="109"/>
    </row>
    <row r="891" ht="12.75" customHeight="1">
      <c r="A891" s="106"/>
      <c r="B891" s="106"/>
      <c r="C891" s="106"/>
      <c r="D891" s="101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9"/>
      <c r="V891" s="109"/>
    </row>
    <row r="892" ht="12.75" customHeight="1">
      <c r="A892" s="106"/>
      <c r="B892" s="106"/>
      <c r="C892" s="106"/>
      <c r="D892" s="101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9"/>
      <c r="V892" s="109"/>
    </row>
    <row r="893" ht="12.75" customHeight="1">
      <c r="A893" s="106"/>
      <c r="B893" s="106"/>
      <c r="C893" s="106"/>
      <c r="D893" s="101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9"/>
      <c r="V893" s="109"/>
    </row>
    <row r="894" ht="12.75" customHeight="1">
      <c r="A894" s="106"/>
      <c r="B894" s="106"/>
      <c r="C894" s="106"/>
      <c r="D894" s="101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9"/>
      <c r="V894" s="109"/>
    </row>
    <row r="895" ht="12.75" customHeight="1">
      <c r="A895" s="106"/>
      <c r="B895" s="106"/>
      <c r="C895" s="106"/>
      <c r="D895" s="101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9"/>
      <c r="V895" s="109"/>
    </row>
    <row r="896" ht="12.75" customHeight="1">
      <c r="A896" s="106"/>
      <c r="B896" s="106"/>
      <c r="C896" s="106"/>
      <c r="D896" s="101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9"/>
      <c r="V896" s="109"/>
    </row>
    <row r="897" ht="12.75" customHeight="1">
      <c r="A897" s="106"/>
      <c r="B897" s="106"/>
      <c r="C897" s="106"/>
      <c r="D897" s="101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9"/>
      <c r="V897" s="109"/>
    </row>
    <row r="898" ht="12.75" customHeight="1">
      <c r="A898" s="106"/>
      <c r="B898" s="106"/>
      <c r="C898" s="106"/>
      <c r="D898" s="101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9"/>
      <c r="V898" s="109"/>
    </row>
    <row r="899" ht="12.75" customHeight="1">
      <c r="A899" s="106"/>
      <c r="B899" s="106"/>
      <c r="C899" s="106"/>
      <c r="D899" s="101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9"/>
      <c r="V899" s="109"/>
    </row>
    <row r="900" ht="12.75" customHeight="1">
      <c r="A900" s="106"/>
      <c r="B900" s="106"/>
      <c r="C900" s="106"/>
      <c r="D900" s="101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9"/>
      <c r="V900" s="109"/>
    </row>
    <row r="901" ht="12.75" customHeight="1">
      <c r="A901" s="106"/>
      <c r="B901" s="106"/>
      <c r="C901" s="106"/>
      <c r="D901" s="101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9"/>
      <c r="V901" s="109"/>
    </row>
    <row r="902" ht="12.75" customHeight="1">
      <c r="A902" s="106"/>
      <c r="B902" s="106"/>
      <c r="C902" s="106"/>
      <c r="D902" s="101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9"/>
      <c r="V902" s="109"/>
    </row>
    <row r="903" ht="12.75" customHeight="1">
      <c r="A903" s="106"/>
      <c r="B903" s="106"/>
      <c r="C903" s="106"/>
      <c r="D903" s="101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9"/>
      <c r="V903" s="109"/>
    </row>
    <row r="904" ht="12.75" customHeight="1">
      <c r="A904" s="106"/>
      <c r="B904" s="106"/>
      <c r="C904" s="106"/>
      <c r="D904" s="101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9"/>
      <c r="V904" s="109"/>
    </row>
    <row r="905" ht="12.75" customHeight="1">
      <c r="A905" s="106"/>
      <c r="B905" s="106"/>
      <c r="C905" s="106"/>
      <c r="D905" s="101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9"/>
      <c r="V905" s="109"/>
    </row>
    <row r="906" ht="12.75" customHeight="1">
      <c r="A906" s="106"/>
      <c r="B906" s="106"/>
      <c r="C906" s="106"/>
      <c r="D906" s="101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9"/>
      <c r="V906" s="109"/>
    </row>
    <row r="907" ht="12.75" customHeight="1">
      <c r="A907" s="106"/>
      <c r="B907" s="106"/>
      <c r="C907" s="106"/>
      <c r="D907" s="101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9"/>
      <c r="V907" s="109"/>
    </row>
    <row r="908" ht="12.75" customHeight="1">
      <c r="A908" s="106"/>
      <c r="B908" s="106"/>
      <c r="C908" s="106"/>
      <c r="D908" s="101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9"/>
      <c r="V908" s="109"/>
    </row>
    <row r="909" ht="12.75" customHeight="1">
      <c r="A909" s="106"/>
      <c r="B909" s="106"/>
      <c r="C909" s="106"/>
      <c r="D909" s="101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9"/>
      <c r="V909" s="109"/>
    </row>
    <row r="910" ht="12.75" customHeight="1">
      <c r="A910" s="106"/>
      <c r="B910" s="106"/>
      <c r="C910" s="106"/>
      <c r="D910" s="101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9"/>
      <c r="V910" s="109"/>
    </row>
    <row r="911" ht="12.75" customHeight="1">
      <c r="A911" s="106"/>
      <c r="B911" s="106"/>
      <c r="C911" s="106"/>
      <c r="D911" s="101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9"/>
      <c r="V911" s="109"/>
    </row>
    <row r="912" ht="12.75" customHeight="1">
      <c r="A912" s="106"/>
      <c r="B912" s="106"/>
      <c r="C912" s="106"/>
      <c r="D912" s="101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9"/>
      <c r="V912" s="109"/>
    </row>
    <row r="913" ht="12.75" customHeight="1">
      <c r="A913" s="106"/>
      <c r="B913" s="106"/>
      <c r="C913" s="106"/>
      <c r="D913" s="101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9"/>
      <c r="V913" s="109"/>
    </row>
    <row r="914" ht="12.75" customHeight="1">
      <c r="A914" s="106"/>
      <c r="B914" s="106"/>
      <c r="C914" s="106"/>
      <c r="D914" s="101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9"/>
      <c r="V914" s="109"/>
    </row>
    <row r="915" ht="12.75" customHeight="1">
      <c r="A915" s="106"/>
      <c r="B915" s="106"/>
      <c r="C915" s="106"/>
      <c r="D915" s="101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9"/>
      <c r="V915" s="109"/>
    </row>
    <row r="916" ht="12.75" customHeight="1">
      <c r="A916" s="106"/>
      <c r="B916" s="106"/>
      <c r="C916" s="106"/>
      <c r="D916" s="101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9"/>
      <c r="V916" s="109"/>
    </row>
    <row r="917" ht="12.75" customHeight="1">
      <c r="A917" s="106"/>
      <c r="B917" s="106"/>
      <c r="C917" s="106"/>
      <c r="D917" s="101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9"/>
      <c r="V917" s="109"/>
    </row>
    <row r="918" ht="12.75" customHeight="1">
      <c r="A918" s="106"/>
      <c r="B918" s="106"/>
      <c r="C918" s="106"/>
      <c r="D918" s="101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9"/>
      <c r="V918" s="109"/>
    </row>
    <row r="919" ht="12.75" customHeight="1">
      <c r="A919" s="106"/>
      <c r="B919" s="106"/>
      <c r="C919" s="106"/>
      <c r="D919" s="101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9"/>
      <c r="V919" s="109"/>
    </row>
    <row r="920" ht="12.75" customHeight="1">
      <c r="A920" s="106"/>
      <c r="B920" s="106"/>
      <c r="C920" s="106"/>
      <c r="D920" s="101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9"/>
      <c r="V920" s="109"/>
    </row>
    <row r="921" ht="12.75" customHeight="1">
      <c r="A921" s="106"/>
      <c r="B921" s="106"/>
      <c r="C921" s="106"/>
      <c r="D921" s="101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9"/>
      <c r="V921" s="109"/>
    </row>
    <row r="922" ht="12.75" customHeight="1">
      <c r="A922" s="106"/>
      <c r="B922" s="106"/>
      <c r="C922" s="106"/>
      <c r="D922" s="101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9"/>
      <c r="V922" s="109"/>
    </row>
    <row r="923" ht="12.75" customHeight="1">
      <c r="A923" s="106"/>
      <c r="B923" s="106"/>
      <c r="C923" s="106"/>
      <c r="D923" s="101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9"/>
      <c r="V923" s="109"/>
    </row>
    <row r="924" ht="12.75" customHeight="1">
      <c r="A924" s="106"/>
      <c r="B924" s="106"/>
      <c r="C924" s="106"/>
      <c r="D924" s="101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9"/>
      <c r="V924" s="109"/>
    </row>
    <row r="925" ht="12.75" customHeight="1">
      <c r="A925" s="106"/>
      <c r="B925" s="106"/>
      <c r="C925" s="106"/>
      <c r="D925" s="101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9"/>
      <c r="V925" s="109"/>
    </row>
    <row r="926" ht="12.75" customHeight="1">
      <c r="A926" s="106"/>
      <c r="B926" s="106"/>
      <c r="C926" s="106"/>
      <c r="D926" s="101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9"/>
      <c r="V926" s="109"/>
    </row>
    <row r="927" ht="12.75" customHeight="1">
      <c r="A927" s="106"/>
      <c r="B927" s="106"/>
      <c r="C927" s="106"/>
      <c r="D927" s="101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9"/>
      <c r="V927" s="109"/>
    </row>
    <row r="928" ht="12.75" customHeight="1">
      <c r="A928" s="106"/>
      <c r="B928" s="106"/>
      <c r="C928" s="106"/>
      <c r="D928" s="101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9"/>
      <c r="V928" s="109"/>
    </row>
    <row r="929" ht="12.75" customHeight="1">
      <c r="A929" s="106"/>
      <c r="B929" s="106"/>
      <c r="C929" s="106"/>
      <c r="D929" s="101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9"/>
      <c r="V929" s="109"/>
    </row>
    <row r="930" ht="12.75" customHeight="1">
      <c r="A930" s="106"/>
      <c r="B930" s="106"/>
      <c r="C930" s="106"/>
      <c r="D930" s="101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9"/>
      <c r="V930" s="109"/>
    </row>
    <row r="931" ht="12.75" customHeight="1">
      <c r="A931" s="106"/>
      <c r="B931" s="106"/>
      <c r="C931" s="106"/>
      <c r="D931" s="101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9"/>
      <c r="V931" s="109"/>
    </row>
    <row r="932" ht="12.75" customHeight="1">
      <c r="A932" s="106"/>
      <c r="B932" s="106"/>
      <c r="C932" s="106"/>
      <c r="D932" s="101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9"/>
      <c r="V932" s="109"/>
    </row>
    <row r="933" ht="12.75" customHeight="1">
      <c r="A933" s="106"/>
      <c r="B933" s="106"/>
      <c r="C933" s="106"/>
      <c r="D933" s="101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9"/>
      <c r="V933" s="109"/>
    </row>
    <row r="934" ht="12.75" customHeight="1">
      <c r="A934" s="106"/>
      <c r="B934" s="106"/>
      <c r="C934" s="106"/>
      <c r="D934" s="101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9"/>
      <c r="V934" s="109"/>
    </row>
    <row r="935" ht="12.75" customHeight="1">
      <c r="A935" s="106"/>
      <c r="B935" s="106"/>
      <c r="C935" s="106"/>
      <c r="D935" s="101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9"/>
      <c r="V935" s="109"/>
    </row>
    <row r="936" ht="12.75" customHeight="1">
      <c r="A936" s="106"/>
      <c r="B936" s="106"/>
      <c r="C936" s="106"/>
      <c r="D936" s="101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9"/>
      <c r="V936" s="109"/>
    </row>
    <row r="937" ht="12.75" customHeight="1">
      <c r="A937" s="106"/>
      <c r="B937" s="106"/>
      <c r="C937" s="106"/>
      <c r="D937" s="101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9"/>
      <c r="V937" s="109"/>
    </row>
    <row r="938" ht="12.75" customHeight="1">
      <c r="A938" s="106"/>
      <c r="B938" s="106"/>
      <c r="C938" s="106"/>
      <c r="D938" s="101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9"/>
      <c r="V938" s="109"/>
    </row>
    <row r="939" ht="12.75" customHeight="1">
      <c r="A939" s="106"/>
      <c r="B939" s="106"/>
      <c r="C939" s="106"/>
      <c r="D939" s="101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9"/>
      <c r="V939" s="109"/>
    </row>
    <row r="940" ht="12.75" customHeight="1">
      <c r="A940" s="106"/>
      <c r="B940" s="106"/>
      <c r="C940" s="106"/>
      <c r="D940" s="101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9"/>
      <c r="V940" s="109"/>
    </row>
    <row r="941" ht="12.75" customHeight="1">
      <c r="A941" s="106"/>
      <c r="B941" s="106"/>
      <c r="C941" s="106"/>
      <c r="D941" s="101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9"/>
      <c r="V941" s="109"/>
    </row>
    <row r="942" ht="12.75" customHeight="1">
      <c r="A942" s="106"/>
      <c r="B942" s="106"/>
      <c r="C942" s="106"/>
      <c r="D942" s="101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9"/>
      <c r="V942" s="109"/>
    </row>
    <row r="943" ht="12.75" customHeight="1">
      <c r="A943" s="106"/>
      <c r="B943" s="106"/>
      <c r="C943" s="106"/>
      <c r="D943" s="101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9"/>
      <c r="V943" s="109"/>
    </row>
    <row r="944" ht="12.75" customHeight="1">
      <c r="A944" s="106"/>
      <c r="B944" s="106"/>
      <c r="C944" s="106"/>
      <c r="D944" s="101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9"/>
      <c r="V944" s="109"/>
    </row>
    <row r="945" ht="12.75" customHeight="1">
      <c r="A945" s="106"/>
      <c r="B945" s="106"/>
      <c r="C945" s="106"/>
      <c r="D945" s="101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9"/>
      <c r="V945" s="109"/>
    </row>
    <row r="946" ht="12.75" customHeight="1">
      <c r="A946" s="106"/>
      <c r="B946" s="106"/>
      <c r="C946" s="106"/>
      <c r="D946" s="101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9"/>
      <c r="V946" s="109"/>
    </row>
    <row r="947" ht="12.75" customHeight="1">
      <c r="A947" s="106"/>
      <c r="B947" s="106"/>
      <c r="C947" s="106"/>
      <c r="D947" s="101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9"/>
      <c r="V947" s="109"/>
    </row>
    <row r="948" ht="12.75" customHeight="1">
      <c r="A948" s="106"/>
      <c r="B948" s="106"/>
      <c r="C948" s="106"/>
      <c r="D948" s="101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9"/>
      <c r="V948" s="109"/>
    </row>
    <row r="949" ht="12.75" customHeight="1">
      <c r="A949" s="106"/>
      <c r="B949" s="106"/>
      <c r="C949" s="106"/>
      <c r="D949" s="101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9"/>
      <c r="V949" s="109"/>
    </row>
    <row r="950" ht="12.75" customHeight="1">
      <c r="A950" s="106"/>
      <c r="B950" s="106"/>
      <c r="C950" s="106"/>
      <c r="D950" s="101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9"/>
      <c r="V950" s="109"/>
    </row>
    <row r="951" ht="12.75" customHeight="1">
      <c r="A951" s="106"/>
      <c r="B951" s="106"/>
      <c r="C951" s="106"/>
      <c r="D951" s="101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9"/>
      <c r="V951" s="109"/>
    </row>
    <row r="952" ht="12.75" customHeight="1">
      <c r="A952" s="106"/>
      <c r="B952" s="106"/>
      <c r="C952" s="106"/>
      <c r="D952" s="101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9"/>
      <c r="V952" s="109"/>
    </row>
    <row r="953" ht="12.75" customHeight="1">
      <c r="A953" s="106"/>
      <c r="B953" s="106"/>
      <c r="C953" s="106"/>
      <c r="D953" s="101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9"/>
      <c r="V953" s="109"/>
    </row>
    <row r="954" ht="12.75" customHeight="1">
      <c r="A954" s="106"/>
      <c r="B954" s="106"/>
      <c r="C954" s="106"/>
      <c r="D954" s="101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9"/>
      <c r="V954" s="109"/>
    </row>
    <row r="955" ht="12.75" customHeight="1">
      <c r="A955" s="106"/>
      <c r="B955" s="106"/>
      <c r="C955" s="106"/>
      <c r="D955" s="101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9"/>
      <c r="V955" s="109"/>
    </row>
    <row r="956" ht="12.75" customHeight="1">
      <c r="A956" s="106"/>
      <c r="B956" s="106"/>
      <c r="C956" s="106"/>
      <c r="D956" s="101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9"/>
      <c r="V956" s="109"/>
    </row>
    <row r="957" ht="12.75" customHeight="1">
      <c r="A957" s="106"/>
      <c r="B957" s="106"/>
      <c r="C957" s="106"/>
      <c r="D957" s="101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9"/>
      <c r="V957" s="109"/>
    </row>
    <row r="958" ht="12.75" customHeight="1">
      <c r="A958" s="106"/>
      <c r="B958" s="106"/>
      <c r="C958" s="106"/>
      <c r="D958" s="101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9"/>
      <c r="V958" s="109"/>
    </row>
    <row r="959" ht="12.75" customHeight="1">
      <c r="A959" s="106"/>
      <c r="B959" s="106"/>
      <c r="C959" s="106"/>
      <c r="D959" s="101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9"/>
      <c r="V959" s="109"/>
    </row>
    <row r="960" ht="12.75" customHeight="1">
      <c r="A960" s="106"/>
      <c r="B960" s="106"/>
      <c r="C960" s="106"/>
      <c r="D960" s="101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9"/>
      <c r="V960" s="109"/>
    </row>
    <row r="961" ht="12.75" customHeight="1">
      <c r="A961" s="106"/>
      <c r="B961" s="106"/>
      <c r="C961" s="106"/>
      <c r="D961" s="101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9"/>
      <c r="V961" s="109"/>
    </row>
    <row r="962" ht="12.75" customHeight="1">
      <c r="A962" s="106"/>
      <c r="B962" s="106"/>
      <c r="C962" s="106"/>
      <c r="D962" s="101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9"/>
      <c r="V962" s="109"/>
    </row>
    <row r="963" ht="12.75" customHeight="1">
      <c r="A963" s="106"/>
      <c r="B963" s="106"/>
      <c r="C963" s="106"/>
      <c r="D963" s="101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9"/>
      <c r="V963" s="109"/>
    </row>
    <row r="964" ht="12.75" customHeight="1">
      <c r="A964" s="106"/>
      <c r="B964" s="106"/>
      <c r="C964" s="106"/>
      <c r="D964" s="101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9"/>
      <c r="V964" s="109"/>
    </row>
    <row r="965" ht="12.75" customHeight="1">
      <c r="A965" s="106"/>
      <c r="B965" s="106"/>
      <c r="C965" s="106"/>
      <c r="D965" s="101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9"/>
      <c r="V965" s="109"/>
    </row>
    <row r="966" ht="12.75" customHeight="1">
      <c r="A966" s="106"/>
      <c r="B966" s="106"/>
      <c r="C966" s="106"/>
      <c r="D966" s="101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9"/>
      <c r="V966" s="109"/>
    </row>
    <row r="967" ht="12.75" customHeight="1">
      <c r="A967" s="106"/>
      <c r="B967" s="106"/>
      <c r="C967" s="106"/>
      <c r="D967" s="101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9"/>
      <c r="V967" s="109"/>
    </row>
    <row r="968" ht="12.75" customHeight="1">
      <c r="A968" s="106"/>
      <c r="B968" s="106"/>
      <c r="C968" s="106"/>
      <c r="D968" s="101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9"/>
      <c r="V968" s="109"/>
    </row>
    <row r="969" ht="12.75" customHeight="1">
      <c r="A969" s="106"/>
      <c r="B969" s="106"/>
      <c r="C969" s="106"/>
      <c r="D969" s="101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9"/>
      <c r="V969" s="109"/>
    </row>
    <row r="970" ht="12.75" customHeight="1">
      <c r="A970" s="106"/>
      <c r="B970" s="106"/>
      <c r="C970" s="106"/>
      <c r="D970" s="101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9"/>
      <c r="V970" s="109"/>
    </row>
    <row r="971" ht="12.75" customHeight="1">
      <c r="A971" s="106"/>
      <c r="B971" s="106"/>
      <c r="C971" s="106"/>
      <c r="D971" s="101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9"/>
      <c r="V971" s="109"/>
    </row>
    <row r="972" ht="12.75" customHeight="1">
      <c r="A972" s="106"/>
      <c r="B972" s="106"/>
      <c r="C972" s="106"/>
      <c r="D972" s="101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9"/>
      <c r="V972" s="109"/>
    </row>
    <row r="973" ht="12.75" customHeight="1">
      <c r="A973" s="106"/>
      <c r="B973" s="106"/>
      <c r="C973" s="106"/>
      <c r="D973" s="101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9"/>
      <c r="V973" s="109"/>
    </row>
    <row r="974" ht="12.75" customHeight="1">
      <c r="A974" s="106"/>
      <c r="B974" s="106"/>
      <c r="C974" s="106"/>
      <c r="D974" s="101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9"/>
      <c r="V974" s="109"/>
    </row>
    <row r="975" ht="12.75" customHeight="1">
      <c r="A975" s="106"/>
      <c r="B975" s="106"/>
      <c r="C975" s="106"/>
      <c r="D975" s="101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9"/>
      <c r="V975" s="109"/>
    </row>
    <row r="976" ht="12.75" customHeight="1">
      <c r="A976" s="106"/>
      <c r="B976" s="106"/>
      <c r="C976" s="106"/>
      <c r="D976" s="101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9"/>
      <c r="V976" s="109"/>
    </row>
    <row r="977" ht="12.75" customHeight="1">
      <c r="A977" s="106"/>
      <c r="B977" s="106"/>
      <c r="C977" s="106"/>
      <c r="D977" s="101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9"/>
      <c r="V977" s="109"/>
    </row>
    <row r="978" ht="12.75" customHeight="1">
      <c r="A978" s="106"/>
      <c r="B978" s="106"/>
      <c r="C978" s="106"/>
      <c r="D978" s="101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9"/>
      <c r="V978" s="109"/>
    </row>
    <row r="979" ht="12.75" customHeight="1">
      <c r="A979" s="106"/>
      <c r="B979" s="106"/>
      <c r="C979" s="106"/>
      <c r="D979" s="101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9"/>
      <c r="V979" s="109"/>
    </row>
    <row r="980" ht="12.75" customHeight="1">
      <c r="A980" s="106"/>
      <c r="B980" s="106"/>
      <c r="C980" s="106"/>
      <c r="D980" s="101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9"/>
      <c r="V980" s="109"/>
    </row>
    <row r="981" ht="12.75" customHeight="1">
      <c r="A981" s="106"/>
      <c r="B981" s="106"/>
      <c r="C981" s="106"/>
      <c r="D981" s="101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9"/>
      <c r="V981" s="109"/>
    </row>
    <row r="982" ht="12.75" customHeight="1">
      <c r="A982" s="106"/>
      <c r="B982" s="106"/>
      <c r="C982" s="106"/>
      <c r="D982" s="101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9"/>
      <c r="V982" s="109"/>
    </row>
    <row r="983" ht="12.75" customHeight="1">
      <c r="A983" s="106"/>
      <c r="B983" s="106"/>
      <c r="C983" s="106"/>
      <c r="D983" s="101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9"/>
      <c r="V983" s="109"/>
    </row>
    <row r="984" ht="12.75" customHeight="1">
      <c r="A984" s="106"/>
      <c r="B984" s="106"/>
      <c r="C984" s="106"/>
      <c r="D984" s="101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9"/>
      <c r="V984" s="109"/>
    </row>
    <row r="985" ht="12.75" customHeight="1">
      <c r="A985" s="106"/>
      <c r="B985" s="106"/>
      <c r="C985" s="106"/>
      <c r="D985" s="101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9"/>
      <c r="V985" s="109"/>
    </row>
    <row r="986" ht="12.75" customHeight="1">
      <c r="A986" s="106"/>
      <c r="B986" s="106"/>
      <c r="C986" s="106"/>
      <c r="D986" s="101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9"/>
      <c r="V986" s="109"/>
    </row>
    <row r="987" ht="12.75" customHeight="1">
      <c r="A987" s="106"/>
      <c r="B987" s="106"/>
      <c r="C987" s="106"/>
      <c r="D987" s="101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9"/>
      <c r="V987" s="109"/>
    </row>
    <row r="988" ht="12.75" customHeight="1">
      <c r="A988" s="106"/>
      <c r="B988" s="106"/>
      <c r="C988" s="106"/>
      <c r="D988" s="101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9"/>
      <c r="V988" s="109"/>
    </row>
    <row r="989" ht="12.75" customHeight="1">
      <c r="A989" s="106"/>
      <c r="B989" s="106"/>
      <c r="C989" s="106"/>
      <c r="D989" s="101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9"/>
      <c r="V989" s="109"/>
    </row>
    <row r="990" ht="12.75" customHeight="1">
      <c r="A990" s="106"/>
      <c r="B990" s="106"/>
      <c r="C990" s="106"/>
      <c r="D990" s="101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9"/>
      <c r="V990" s="109"/>
    </row>
    <row r="991" ht="12.75" customHeight="1">
      <c r="A991" s="106"/>
      <c r="B991" s="106"/>
      <c r="C991" s="106"/>
      <c r="D991" s="101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9"/>
      <c r="V991" s="109"/>
    </row>
    <row r="992" ht="12.75" customHeight="1">
      <c r="A992" s="106"/>
      <c r="B992" s="106"/>
      <c r="C992" s="106"/>
      <c r="D992" s="101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9"/>
      <c r="V992" s="109"/>
    </row>
    <row r="993" ht="12.75" customHeight="1">
      <c r="A993" s="106"/>
      <c r="B993" s="106"/>
      <c r="C993" s="106"/>
      <c r="D993" s="101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9"/>
      <c r="V993" s="109"/>
    </row>
    <row r="994" ht="12.75" customHeight="1">
      <c r="A994" s="106"/>
      <c r="B994" s="106"/>
      <c r="C994" s="106"/>
      <c r="D994" s="101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9"/>
      <c r="V994" s="109"/>
    </row>
    <row r="995" ht="12.75" customHeight="1">
      <c r="A995" s="106"/>
      <c r="B995" s="106"/>
      <c r="C995" s="106"/>
      <c r="D995" s="101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9"/>
      <c r="V995" s="109"/>
    </row>
    <row r="996" ht="12.75" customHeight="1">
      <c r="A996" s="106"/>
      <c r="B996" s="106"/>
      <c r="C996" s="106"/>
      <c r="D996" s="101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9"/>
      <c r="V996" s="109"/>
    </row>
    <row r="997" ht="12.75" customHeight="1">
      <c r="A997" s="106"/>
      <c r="B997" s="106"/>
      <c r="C997" s="106"/>
      <c r="D997" s="101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9"/>
      <c r="V997" s="109"/>
    </row>
    <row r="998" ht="12.75" customHeight="1">
      <c r="A998" s="106"/>
      <c r="B998" s="106"/>
      <c r="C998" s="106"/>
      <c r="D998" s="101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9"/>
      <c r="V998" s="109"/>
    </row>
    <row r="999" ht="12.75" customHeight="1">
      <c r="A999" s="106"/>
      <c r="B999" s="106"/>
      <c r="C999" s="106"/>
      <c r="D999" s="101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9"/>
      <c r="V999" s="109"/>
    </row>
    <row r="1000" ht="12.75" customHeight="1">
      <c r="A1000" s="106"/>
      <c r="B1000" s="106"/>
      <c r="C1000" s="106"/>
      <c r="D1000" s="101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9"/>
      <c r="V1000" s="109"/>
    </row>
    <row r="1001" ht="12.75" customHeight="1">
      <c r="A1001" s="106"/>
      <c r="B1001" s="106"/>
      <c r="C1001" s="106"/>
      <c r="D1001" s="101"/>
      <c r="E1001" s="106"/>
      <c r="F1001" s="107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9"/>
      <c r="V1001" s="109"/>
    </row>
    <row r="1002" ht="12.75" customHeight="1">
      <c r="A1002" s="106"/>
      <c r="B1002" s="106"/>
      <c r="C1002" s="106"/>
      <c r="D1002" s="101"/>
      <c r="E1002" s="106"/>
      <c r="F1002" s="107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9"/>
      <c r="V1002" s="109"/>
    </row>
    <row r="1003" ht="12.75" customHeight="1">
      <c r="A1003" s="106"/>
      <c r="B1003" s="106"/>
      <c r="C1003" s="106"/>
      <c r="D1003" s="101"/>
      <c r="E1003" s="106"/>
      <c r="F1003" s="107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9"/>
      <c r="V1003" s="109"/>
    </row>
    <row r="1004" ht="12.75" customHeight="1">
      <c r="A1004" s="106"/>
      <c r="B1004" s="106"/>
      <c r="C1004" s="106"/>
      <c r="D1004" s="101"/>
      <c r="E1004" s="106"/>
      <c r="F1004" s="107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9"/>
      <c r="V1004" s="109"/>
    </row>
    <row r="1005" ht="12.75" customHeight="1">
      <c r="A1005" s="106"/>
      <c r="B1005" s="106"/>
      <c r="C1005" s="106"/>
      <c r="D1005" s="101"/>
      <c r="E1005" s="106"/>
      <c r="F1005" s="107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9"/>
      <c r="V1005" s="109"/>
    </row>
    <row r="1006" ht="12.75" customHeight="1">
      <c r="A1006" s="106"/>
      <c r="B1006" s="106"/>
      <c r="C1006" s="106"/>
      <c r="D1006" s="101"/>
      <c r="E1006" s="106"/>
      <c r="F1006" s="107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9"/>
      <c r="V1006" s="109"/>
    </row>
    <row r="1007" ht="12.75" customHeight="1">
      <c r="A1007" s="106"/>
      <c r="B1007" s="106"/>
      <c r="C1007" s="106"/>
      <c r="D1007" s="101"/>
      <c r="E1007" s="106"/>
      <c r="F1007" s="107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9"/>
      <c r="V1007" s="109"/>
    </row>
    <row r="1008" ht="12.75" customHeight="1">
      <c r="A1008" s="106"/>
      <c r="B1008" s="106"/>
      <c r="C1008" s="106"/>
      <c r="D1008" s="101"/>
      <c r="E1008" s="106"/>
      <c r="F1008" s="107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9"/>
      <c r="V1008" s="109"/>
    </row>
    <row r="1009" ht="12.75" customHeight="1">
      <c r="A1009" s="106"/>
      <c r="B1009" s="106"/>
      <c r="C1009" s="106"/>
      <c r="D1009" s="101"/>
      <c r="E1009" s="106"/>
      <c r="F1009" s="107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9"/>
      <c r="V1009" s="109"/>
    </row>
    <row r="1010" ht="12.75" customHeight="1">
      <c r="A1010" s="106"/>
      <c r="B1010" s="106"/>
      <c r="C1010" s="106"/>
      <c r="D1010" s="101"/>
      <c r="E1010" s="106"/>
      <c r="F1010" s="107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9"/>
      <c r="V1010" s="109"/>
    </row>
    <row r="1011" ht="12.75" customHeight="1">
      <c r="A1011" s="106"/>
      <c r="B1011" s="106"/>
      <c r="C1011" s="106"/>
      <c r="D1011" s="101"/>
      <c r="E1011" s="106"/>
      <c r="F1011" s="107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9"/>
      <c r="V1011" s="109"/>
    </row>
    <row r="1012" ht="12.75" customHeight="1">
      <c r="A1012" s="106"/>
      <c r="B1012" s="106"/>
      <c r="C1012" s="106"/>
      <c r="D1012" s="101"/>
      <c r="E1012" s="106"/>
      <c r="F1012" s="107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9"/>
      <c r="V1012" s="109"/>
    </row>
    <row r="1013" ht="12.75" customHeight="1">
      <c r="A1013" s="106"/>
      <c r="B1013" s="106"/>
      <c r="C1013" s="106"/>
      <c r="D1013" s="101"/>
      <c r="E1013" s="106"/>
      <c r="F1013" s="107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9"/>
      <c r="V1013" s="109"/>
    </row>
    <row r="1014" ht="12.75" customHeight="1">
      <c r="A1014" s="106"/>
      <c r="B1014" s="106"/>
      <c r="C1014" s="106"/>
      <c r="D1014" s="101"/>
      <c r="E1014" s="106"/>
      <c r="F1014" s="107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9"/>
      <c r="V1014" s="109"/>
    </row>
    <row r="1015" ht="12.75" customHeight="1">
      <c r="A1015" s="106"/>
      <c r="B1015" s="106"/>
      <c r="C1015" s="106"/>
      <c r="D1015" s="101"/>
      <c r="E1015" s="106"/>
      <c r="F1015" s="107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9"/>
      <c r="V1015" s="109"/>
    </row>
    <row r="1016" ht="12.75" customHeight="1">
      <c r="A1016" s="106"/>
      <c r="B1016" s="106"/>
      <c r="C1016" s="106"/>
      <c r="D1016" s="101"/>
      <c r="E1016" s="106"/>
      <c r="F1016" s="107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9"/>
      <c r="V1016" s="109"/>
    </row>
    <row r="1017" ht="12.75" customHeight="1">
      <c r="A1017" s="106"/>
      <c r="B1017" s="106"/>
      <c r="C1017" s="106"/>
      <c r="D1017" s="101"/>
      <c r="E1017" s="106"/>
      <c r="F1017" s="107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9"/>
      <c r="V1017" s="109"/>
    </row>
    <row r="1018" ht="12.75" customHeight="1">
      <c r="A1018" s="106"/>
      <c r="B1018" s="106"/>
      <c r="C1018" s="106"/>
      <c r="D1018" s="101"/>
      <c r="E1018" s="106"/>
      <c r="F1018" s="107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9"/>
      <c r="V1018" s="109"/>
    </row>
    <row r="1019" ht="12.75" customHeight="1">
      <c r="A1019" s="106"/>
      <c r="B1019" s="106"/>
      <c r="C1019" s="106"/>
      <c r="D1019" s="101"/>
      <c r="E1019" s="106"/>
      <c r="F1019" s="107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9"/>
      <c r="V1019" s="109"/>
    </row>
    <row r="1020" ht="12.75" customHeight="1">
      <c r="A1020" s="106"/>
      <c r="B1020" s="106"/>
      <c r="C1020" s="106"/>
      <c r="D1020" s="101"/>
      <c r="E1020" s="106"/>
      <c r="F1020" s="107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9"/>
      <c r="V1020" s="109"/>
    </row>
    <row r="1021" ht="12.75" customHeight="1">
      <c r="A1021" s="106"/>
      <c r="B1021" s="106"/>
      <c r="C1021" s="106"/>
      <c r="D1021" s="101"/>
      <c r="E1021" s="106"/>
      <c r="F1021" s="107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9"/>
      <c r="V1021" s="109"/>
    </row>
    <row r="1022" ht="12.75" customHeight="1">
      <c r="A1022" s="106"/>
      <c r="B1022" s="106"/>
      <c r="C1022" s="106"/>
      <c r="D1022" s="101"/>
      <c r="E1022" s="106"/>
      <c r="F1022" s="107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9"/>
      <c r="V1022" s="109"/>
    </row>
    <row r="1023" ht="12.75" customHeight="1">
      <c r="A1023" s="106"/>
      <c r="B1023" s="106"/>
      <c r="C1023" s="106"/>
      <c r="D1023" s="101"/>
      <c r="E1023" s="106"/>
      <c r="F1023" s="107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9"/>
      <c r="V1023" s="109"/>
    </row>
    <row r="1024" ht="12.75" customHeight="1">
      <c r="A1024" s="106"/>
      <c r="B1024" s="106"/>
      <c r="C1024" s="106"/>
      <c r="D1024" s="101"/>
      <c r="E1024" s="106"/>
      <c r="F1024" s="107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9"/>
      <c r="V1024" s="109"/>
    </row>
    <row r="1025" ht="12.75" customHeight="1">
      <c r="A1025" s="106"/>
      <c r="B1025" s="106"/>
      <c r="C1025" s="106"/>
      <c r="D1025" s="101"/>
      <c r="E1025" s="106"/>
      <c r="F1025" s="107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9"/>
      <c r="V1025" s="109"/>
    </row>
    <row r="1026" ht="12.75" customHeight="1">
      <c r="A1026" s="106"/>
      <c r="B1026" s="106"/>
      <c r="C1026" s="106"/>
      <c r="D1026" s="101"/>
      <c r="E1026" s="106"/>
      <c r="F1026" s="107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9"/>
      <c r="V1026" s="109"/>
    </row>
    <row r="1027" ht="12.75" customHeight="1">
      <c r="A1027" s="106"/>
      <c r="B1027" s="106"/>
      <c r="C1027" s="106"/>
      <c r="D1027" s="101"/>
      <c r="E1027" s="106"/>
      <c r="F1027" s="107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9"/>
      <c r="V1027" s="109"/>
    </row>
    <row r="1028" ht="12.75" customHeight="1">
      <c r="A1028" s="106"/>
      <c r="B1028" s="106"/>
      <c r="C1028" s="106"/>
      <c r="D1028" s="101"/>
      <c r="E1028" s="106"/>
      <c r="F1028" s="107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9"/>
      <c r="V1028" s="109"/>
    </row>
    <row r="1029" ht="12.75" customHeight="1">
      <c r="A1029" s="106"/>
      <c r="B1029" s="106"/>
      <c r="C1029" s="106"/>
      <c r="D1029" s="101"/>
      <c r="E1029" s="106"/>
      <c r="F1029" s="107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9"/>
      <c r="V1029" s="109"/>
    </row>
    <row r="1030" ht="12.75" customHeight="1">
      <c r="A1030" s="106"/>
      <c r="B1030" s="106"/>
      <c r="C1030" s="106"/>
      <c r="D1030" s="101"/>
      <c r="E1030" s="106"/>
      <c r="F1030" s="107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9"/>
      <c r="V1030" s="109"/>
    </row>
    <row r="1031" ht="12.75" customHeight="1">
      <c r="A1031" s="106"/>
      <c r="B1031" s="106"/>
      <c r="C1031" s="106"/>
      <c r="D1031" s="101"/>
      <c r="E1031" s="106"/>
      <c r="F1031" s="107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9"/>
      <c r="V1031" s="109"/>
    </row>
    <row r="1032" ht="12.75" customHeight="1">
      <c r="A1032" s="106"/>
      <c r="B1032" s="106"/>
      <c r="C1032" s="106"/>
      <c r="D1032" s="101"/>
      <c r="E1032" s="106"/>
      <c r="F1032" s="107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9"/>
      <c r="V1032" s="109"/>
    </row>
    <row r="1033" ht="12.75" customHeight="1">
      <c r="A1033" s="106"/>
      <c r="B1033" s="106"/>
      <c r="C1033" s="106"/>
      <c r="D1033" s="101"/>
      <c r="E1033" s="106"/>
      <c r="F1033" s="107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9"/>
      <c r="V1033" s="109"/>
    </row>
    <row r="1034" ht="12.75" customHeight="1">
      <c r="A1034" s="106"/>
      <c r="B1034" s="106"/>
      <c r="C1034" s="106"/>
      <c r="D1034" s="101"/>
      <c r="E1034" s="106"/>
      <c r="F1034" s="107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9"/>
      <c r="V1034" s="109"/>
    </row>
    <row r="1035" ht="12.75" customHeight="1">
      <c r="A1035" s="106"/>
      <c r="B1035" s="106"/>
      <c r="C1035" s="106"/>
      <c r="D1035" s="101"/>
      <c r="E1035" s="106"/>
      <c r="F1035" s="107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9"/>
      <c r="V1035" s="109"/>
    </row>
    <row r="1036" ht="12.75" customHeight="1">
      <c r="A1036" s="106"/>
      <c r="B1036" s="106"/>
      <c r="C1036" s="106"/>
      <c r="D1036" s="101"/>
      <c r="E1036" s="106"/>
      <c r="F1036" s="107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9"/>
      <c r="V1036" s="109"/>
    </row>
    <row r="1037" ht="12.75" customHeight="1">
      <c r="A1037" s="106"/>
      <c r="B1037" s="106"/>
      <c r="C1037" s="106"/>
      <c r="D1037" s="101"/>
      <c r="E1037" s="106"/>
      <c r="F1037" s="107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9"/>
      <c r="V1037" s="109"/>
    </row>
    <row r="1038" ht="12.75" customHeight="1">
      <c r="A1038" s="106"/>
      <c r="B1038" s="106"/>
      <c r="C1038" s="106"/>
      <c r="D1038" s="101"/>
      <c r="E1038" s="106"/>
      <c r="F1038" s="107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9"/>
      <c r="V1038" s="109"/>
    </row>
    <row r="1039" ht="12.75" customHeight="1">
      <c r="A1039" s="106"/>
      <c r="B1039" s="106"/>
      <c r="C1039" s="106"/>
      <c r="D1039" s="101"/>
      <c r="E1039" s="106"/>
      <c r="F1039" s="107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9"/>
      <c r="V1039" s="109"/>
    </row>
    <row r="1040" ht="12.75" customHeight="1">
      <c r="A1040" s="106"/>
      <c r="B1040" s="106"/>
      <c r="C1040" s="106"/>
      <c r="D1040" s="101"/>
      <c r="E1040" s="106"/>
      <c r="F1040" s="107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9"/>
      <c r="V1040" s="109"/>
    </row>
    <row r="1041" ht="12.75" customHeight="1">
      <c r="A1041" s="106"/>
      <c r="B1041" s="106"/>
      <c r="C1041" s="106"/>
      <c r="D1041" s="101"/>
      <c r="E1041" s="106"/>
      <c r="F1041" s="107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9"/>
      <c r="V1041" s="109"/>
    </row>
    <row r="1042" ht="12.75" customHeight="1">
      <c r="A1042" s="106"/>
      <c r="B1042" s="106"/>
      <c r="C1042" s="106"/>
      <c r="D1042" s="101"/>
      <c r="E1042" s="106"/>
      <c r="F1042" s="107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9"/>
      <c r="V1042" s="109"/>
    </row>
    <row r="1043" ht="12.75" customHeight="1">
      <c r="A1043" s="106"/>
      <c r="B1043" s="106"/>
      <c r="C1043" s="106"/>
      <c r="D1043" s="101"/>
      <c r="E1043" s="106"/>
      <c r="F1043" s="107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9"/>
      <c r="V1043" s="109"/>
    </row>
    <row r="1044" ht="12.75" customHeight="1">
      <c r="A1044" s="106"/>
      <c r="B1044" s="106"/>
      <c r="C1044" s="106"/>
      <c r="D1044" s="101"/>
      <c r="E1044" s="106"/>
      <c r="F1044" s="107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9"/>
      <c r="V1044" s="109"/>
    </row>
    <row r="1045" ht="12.75" customHeight="1">
      <c r="A1045" s="106"/>
      <c r="B1045" s="106"/>
      <c r="C1045" s="106"/>
      <c r="D1045" s="101"/>
      <c r="E1045" s="106"/>
      <c r="F1045" s="107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9"/>
      <c r="V1045" s="109"/>
    </row>
    <row r="1046" ht="12.75" customHeight="1">
      <c r="A1046" s="106"/>
      <c r="B1046" s="106"/>
      <c r="C1046" s="106"/>
      <c r="D1046" s="101"/>
      <c r="E1046" s="106"/>
      <c r="F1046" s="107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9"/>
      <c r="V1046" s="109"/>
    </row>
    <row r="1047" ht="12.75" customHeight="1">
      <c r="A1047" s="106"/>
      <c r="B1047" s="106"/>
      <c r="C1047" s="106"/>
      <c r="D1047" s="101"/>
      <c r="E1047" s="106"/>
      <c r="F1047" s="107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9"/>
      <c r="V1047" s="109"/>
    </row>
    <row r="1048" ht="12.75" customHeight="1">
      <c r="A1048" s="106"/>
      <c r="B1048" s="106"/>
      <c r="C1048" s="106"/>
      <c r="D1048" s="101"/>
      <c r="E1048" s="106"/>
      <c r="F1048" s="107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9"/>
      <c r="V1048" s="109"/>
    </row>
    <row r="1049" ht="12.75" customHeight="1">
      <c r="A1049" s="106"/>
      <c r="B1049" s="106"/>
      <c r="C1049" s="106"/>
      <c r="D1049" s="101"/>
      <c r="E1049" s="106"/>
      <c r="F1049" s="107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9"/>
      <c r="V1049" s="109"/>
    </row>
    <row r="1050" ht="12.75" customHeight="1">
      <c r="A1050" s="106"/>
      <c r="B1050" s="106"/>
      <c r="C1050" s="106"/>
      <c r="D1050" s="101"/>
      <c r="E1050" s="106"/>
      <c r="F1050" s="107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9"/>
      <c r="V1050" s="109"/>
    </row>
    <row r="1051" ht="12.75" customHeight="1">
      <c r="A1051" s="106"/>
      <c r="B1051" s="106"/>
      <c r="C1051" s="106"/>
      <c r="D1051" s="101"/>
      <c r="E1051" s="106"/>
      <c r="F1051" s="107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9"/>
      <c r="V1051" s="109"/>
    </row>
    <row r="1052" ht="12.75" customHeight="1">
      <c r="A1052" s="106"/>
      <c r="B1052" s="106"/>
      <c r="C1052" s="106"/>
      <c r="D1052" s="101"/>
      <c r="E1052" s="106"/>
      <c r="F1052" s="107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9"/>
      <c r="V1052" s="109"/>
    </row>
    <row r="1053" ht="12.75" customHeight="1">
      <c r="A1053" s="106"/>
      <c r="B1053" s="106"/>
      <c r="C1053" s="106"/>
      <c r="D1053" s="101"/>
      <c r="E1053" s="106"/>
      <c r="F1053" s="107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9"/>
      <c r="V1053" s="109"/>
    </row>
    <row r="1054" ht="12.75" customHeight="1">
      <c r="A1054" s="106"/>
      <c r="B1054" s="106"/>
      <c r="C1054" s="106"/>
      <c r="D1054" s="101"/>
      <c r="E1054" s="106"/>
      <c r="F1054" s="107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9"/>
      <c r="V1054" s="109"/>
    </row>
    <row r="1055" ht="12.75" customHeight="1">
      <c r="A1055" s="106"/>
      <c r="B1055" s="106"/>
      <c r="C1055" s="106"/>
      <c r="D1055" s="101"/>
      <c r="E1055" s="106"/>
      <c r="F1055" s="107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9"/>
      <c r="V1055" s="109"/>
    </row>
    <row r="1056" ht="12.75" customHeight="1">
      <c r="A1056" s="106"/>
      <c r="B1056" s="106"/>
      <c r="C1056" s="106"/>
      <c r="D1056" s="101"/>
      <c r="E1056" s="106"/>
      <c r="F1056" s="107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9"/>
      <c r="V1056" s="109"/>
    </row>
    <row r="1057" ht="12.75" customHeight="1">
      <c r="A1057" s="106"/>
      <c r="B1057" s="106"/>
      <c r="C1057" s="106"/>
      <c r="D1057" s="101"/>
      <c r="E1057" s="106"/>
      <c r="F1057" s="107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9"/>
      <c r="V1057" s="109"/>
    </row>
    <row r="1058" ht="12.75" customHeight="1">
      <c r="A1058" s="106"/>
      <c r="B1058" s="106"/>
      <c r="C1058" s="106"/>
      <c r="D1058" s="101"/>
      <c r="E1058" s="106"/>
      <c r="F1058" s="107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9"/>
      <c r="V1058" s="109"/>
    </row>
    <row r="1059" ht="12.75" customHeight="1">
      <c r="A1059" s="106"/>
      <c r="B1059" s="106"/>
      <c r="C1059" s="106"/>
      <c r="D1059" s="101"/>
      <c r="E1059" s="106"/>
      <c r="F1059" s="107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9"/>
      <c r="V1059" s="109"/>
    </row>
    <row r="1060" ht="12.75" customHeight="1">
      <c r="A1060" s="106"/>
      <c r="B1060" s="106"/>
      <c r="C1060" s="106"/>
      <c r="D1060" s="101"/>
      <c r="E1060" s="106"/>
      <c r="F1060" s="107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9"/>
      <c r="V1060" s="109"/>
    </row>
    <row r="1061" ht="12.75" customHeight="1">
      <c r="A1061" s="106"/>
      <c r="B1061" s="106"/>
      <c r="C1061" s="106"/>
      <c r="D1061" s="101"/>
      <c r="E1061" s="106"/>
      <c r="F1061" s="107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9"/>
      <c r="V1061" s="109"/>
    </row>
    <row r="1062" ht="12.75" customHeight="1">
      <c r="A1062" s="106"/>
      <c r="B1062" s="106"/>
      <c r="C1062" s="106"/>
      <c r="D1062" s="101"/>
      <c r="E1062" s="106"/>
      <c r="F1062" s="107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9"/>
      <c r="V1062" s="109"/>
    </row>
    <row r="1063" ht="12.75" customHeight="1">
      <c r="A1063" s="106"/>
      <c r="B1063" s="106"/>
      <c r="C1063" s="106"/>
      <c r="D1063" s="101"/>
      <c r="E1063" s="106"/>
      <c r="F1063" s="107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9"/>
      <c r="V1063" s="109"/>
    </row>
    <row r="1064" ht="12.75" customHeight="1">
      <c r="A1064" s="106"/>
      <c r="B1064" s="106"/>
      <c r="C1064" s="106"/>
      <c r="D1064" s="101"/>
      <c r="E1064" s="106"/>
      <c r="F1064" s="107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9"/>
      <c r="V1064" s="109"/>
    </row>
    <row r="1065" ht="12.75" customHeight="1">
      <c r="A1065" s="106"/>
      <c r="B1065" s="106"/>
      <c r="C1065" s="106"/>
      <c r="D1065" s="101"/>
      <c r="E1065" s="106"/>
      <c r="F1065" s="107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9"/>
      <c r="V1065" s="109"/>
    </row>
    <row r="1066" ht="12.75" customHeight="1">
      <c r="A1066" s="106"/>
      <c r="B1066" s="106"/>
      <c r="C1066" s="106"/>
      <c r="D1066" s="101"/>
      <c r="E1066" s="106"/>
      <c r="F1066" s="107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9"/>
      <c r="V1066" s="109"/>
    </row>
    <row r="1067" ht="12.75" customHeight="1">
      <c r="A1067" s="106"/>
      <c r="B1067" s="106"/>
      <c r="C1067" s="106"/>
      <c r="D1067" s="101"/>
      <c r="E1067" s="106"/>
      <c r="F1067" s="107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9"/>
      <c r="V1067" s="109"/>
    </row>
    <row r="1068" ht="12.75" customHeight="1">
      <c r="A1068" s="106"/>
      <c r="B1068" s="106"/>
      <c r="C1068" s="106"/>
      <c r="D1068" s="101"/>
      <c r="E1068" s="106"/>
      <c r="F1068" s="107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9"/>
      <c r="V1068" s="109"/>
    </row>
    <row r="1069" ht="12.75" customHeight="1">
      <c r="A1069" s="106"/>
      <c r="B1069" s="106"/>
      <c r="C1069" s="106"/>
      <c r="D1069" s="101"/>
      <c r="E1069" s="106"/>
      <c r="F1069" s="107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9"/>
      <c r="V1069" s="109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818</v>
      </c>
      <c r="D2" s="117"/>
      <c r="E2" s="116">
        <f t="shared" ref="E2:R2" si="1">SUM(E5,E11)</f>
        <v>0</v>
      </c>
      <c r="F2" s="116">
        <f t="shared" si="1"/>
        <v>2</v>
      </c>
      <c r="G2" s="118">
        <f t="shared" si="1"/>
        <v>1</v>
      </c>
      <c r="H2" s="118">
        <f t="shared" si="1"/>
        <v>1</v>
      </c>
      <c r="I2" s="118">
        <f t="shared" si="1"/>
        <v>0</v>
      </c>
      <c r="J2" s="118">
        <f t="shared" si="1"/>
        <v>0</v>
      </c>
      <c r="K2" s="118">
        <f t="shared" si="1"/>
        <v>1</v>
      </c>
      <c r="L2" s="118">
        <f t="shared" si="1"/>
        <v>1</v>
      </c>
      <c r="M2" s="118">
        <f t="shared" si="1"/>
        <v>5</v>
      </c>
      <c r="N2" s="118">
        <f t="shared" si="1"/>
        <v>0</v>
      </c>
      <c r="O2" s="118">
        <f t="shared" si="1"/>
        <v>0</v>
      </c>
      <c r="P2" s="118">
        <f t="shared" si="1"/>
        <v>1</v>
      </c>
      <c r="Q2" s="118">
        <f t="shared" si="1"/>
        <v>1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36</v>
      </c>
      <c r="D4" s="120"/>
      <c r="E4" s="50">
        <f>IFERROR(C2/H2,0)</f>
        <v>818</v>
      </c>
      <c r="F4" s="51">
        <f>IFERROR((G2+R2)/F2,0)</f>
        <v>0.5</v>
      </c>
      <c r="G4" s="51">
        <f>IFERROR(H2/G2,0)</f>
        <v>1</v>
      </c>
      <c r="H4" s="50">
        <f>(C2/C4)</f>
        <v>22.72222222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5</v>
      </c>
      <c r="N4" s="46"/>
      <c r="O4" s="51">
        <f>IFERROR(O2/N2,0)</f>
        <v>0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0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818</v>
      </c>
      <c r="D11" s="125"/>
      <c r="E11" s="126">
        <f>SUMIFS(T:T,A:A,B11,D:D,"Y")</f>
        <v>0</v>
      </c>
      <c r="F11" s="116">
        <f>SUMIF(A:A,B11,G:G)</f>
        <v>2</v>
      </c>
      <c r="G11" s="118">
        <f>SUMIF(A:A,B11,H:H)</f>
        <v>1</v>
      </c>
      <c r="H11" s="118">
        <f>SUMIF(A:A,B11,I:I)</f>
        <v>1</v>
      </c>
      <c r="I11" s="118">
        <f>SUMIF(A:A,B11,P:P)</f>
        <v>0</v>
      </c>
      <c r="J11" s="118">
        <f>SUMIF(A:A,B11,Q:Q)</f>
        <v>0</v>
      </c>
      <c r="K11" s="118">
        <f>SUMIF(A:A,B11,R:R)</f>
        <v>1</v>
      </c>
      <c r="L11" s="118">
        <f>SUMIF(A:A,B11,S:S)</f>
        <v>1</v>
      </c>
      <c r="M11" s="118">
        <f>SUMIF(A:A,B11,M:M)</f>
        <v>5</v>
      </c>
      <c r="N11" s="118">
        <f>SUMIF(A:A,B11,N:N)</f>
        <v>0</v>
      </c>
      <c r="O11" s="118">
        <f>SUMIF(A:A,B11,O:O)</f>
        <v>0</v>
      </c>
      <c r="P11" s="118">
        <f>SUMIF(A:A,B11,J:J)</f>
        <v>1</v>
      </c>
      <c r="Q11" s="118">
        <f>SUMIF(A:A,B11,K:K)</f>
        <v>1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19</v>
      </c>
      <c r="D13" s="42"/>
      <c r="E13" s="50">
        <f>IFERROR(C11/H11,0)</f>
        <v>818</v>
      </c>
      <c r="F13" s="51">
        <f>IFERROR((G11+R11)/F11,0)</f>
        <v>0.5</v>
      </c>
      <c r="G13" s="51">
        <f>IFERROR(H11/G11,0)</f>
        <v>1</v>
      </c>
      <c r="H13" s="50">
        <f>(C11/C13)</f>
        <v>43.05263158</v>
      </c>
      <c r="I13" s="46"/>
      <c r="J13" s="51">
        <f>IFERROR(J11/I11,0)</f>
        <v>0</v>
      </c>
      <c r="K13" s="46"/>
      <c r="L13" s="51">
        <f>IFERROR(L11/K11,0)</f>
        <v>1</v>
      </c>
      <c r="M13" s="53">
        <f>IFERROR(M11/SUM(R11+G11,0),"")</f>
        <v>5</v>
      </c>
      <c r="N13" s="46"/>
      <c r="O13" s="51">
        <f>IFERROR(O11/N11,0)</f>
        <v>0</v>
      </c>
      <c r="P13" s="53"/>
      <c r="Q13" s="51">
        <f>IFERROR(Q11/P11,0)</f>
        <v>1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818</v>
      </c>
      <c r="D14" s="36"/>
      <c r="E14" s="37">
        <f>SUMIFS(T:T,B:B,B14,D:D,"Y")</f>
        <v>0</v>
      </c>
      <c r="F14" s="38">
        <f>SUMIF(B19:B1129,B14,G19:G1129)</f>
        <v>2</v>
      </c>
      <c r="G14" s="39">
        <f>SUMIF(B19:B1129,B14,H19:H1129)</f>
        <v>1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5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1</v>
      </c>
      <c r="Q14" s="39">
        <f>SUMIF(B19:B1129,B14,K19:K1129)</f>
        <v>1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818</v>
      </c>
      <c r="F16" s="51">
        <f>IFERROR((G14+R14)/F14,0)</f>
        <v>0.5</v>
      </c>
      <c r="G16" s="51">
        <f>IFERROR(H14/G14,0)</f>
        <v>1</v>
      </c>
      <c r="H16" s="50">
        <f>(C14/C16)</f>
        <v>45.44444444</v>
      </c>
      <c r="I16" s="46"/>
      <c r="J16" s="51">
        <f>IFERROR(J14/I14,0)</f>
        <v>0</v>
      </c>
      <c r="K16" s="46"/>
      <c r="L16" s="51">
        <f>IFERROR(L14/K14,0)</f>
        <v>1</v>
      </c>
      <c r="M16" s="53">
        <f>IFERROR(M14/SUM(G14+R14,0),"")</f>
        <v>5</v>
      </c>
      <c r="N16" s="46"/>
      <c r="O16" s="51">
        <f>IFERROR(O14/N14,0)</f>
        <v>0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7" si="2">IFERROR(I20/H20,0)</f>
        <v>0</v>
      </c>
      <c r="V20" s="131">
        <f t="shared" ref="V20:V36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6" t="s">
        <v>26</v>
      </c>
      <c r="B22" s="137" t="s">
        <v>27</v>
      </c>
      <c r="C22" s="137" t="s">
        <v>48</v>
      </c>
      <c r="D22" s="138" t="s">
        <v>46</v>
      </c>
      <c r="E22" s="137" t="s">
        <v>47</v>
      </c>
      <c r="F22" s="137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39" t="s">
        <v>26</v>
      </c>
      <c r="B23" s="140" t="s">
        <v>27</v>
      </c>
      <c r="C23" s="140" t="s">
        <v>48</v>
      </c>
      <c r="D23" s="75"/>
      <c r="E23" s="141"/>
      <c r="F23" s="63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2" t="s">
        <v>26</v>
      </c>
      <c r="B24" s="143" t="s">
        <v>27</v>
      </c>
      <c r="C24" s="144" t="s">
        <v>51</v>
      </c>
      <c r="D24" s="145" t="s">
        <v>46</v>
      </c>
      <c r="E24" s="143" t="s">
        <v>47</v>
      </c>
      <c r="F24" s="144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6" t="s">
        <v>26</v>
      </c>
      <c r="B25" s="147" t="s">
        <v>27</v>
      </c>
      <c r="C25" s="148" t="s">
        <v>51</v>
      </c>
      <c r="D25" s="84"/>
      <c r="E25" s="147" t="s">
        <v>47</v>
      </c>
      <c r="F25" s="148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46" t="s">
        <v>26</v>
      </c>
      <c r="B26" s="147" t="s">
        <v>27</v>
      </c>
      <c r="C26" s="148" t="s">
        <v>51</v>
      </c>
      <c r="D26" s="84"/>
      <c r="E26" s="147" t="s">
        <v>47</v>
      </c>
      <c r="F26" s="148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6" t="s">
        <v>26</v>
      </c>
      <c r="B27" s="147" t="s">
        <v>27</v>
      </c>
      <c r="C27" s="148" t="s">
        <v>51</v>
      </c>
      <c r="D27" s="84"/>
      <c r="E27" s="147" t="s">
        <v>47</v>
      </c>
      <c r="F27" s="148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6" t="s">
        <v>26</v>
      </c>
      <c r="B28" s="137" t="s">
        <v>27</v>
      </c>
      <c r="C28" s="149" t="s">
        <v>55</v>
      </c>
      <c r="D28" s="150" t="s">
        <v>46</v>
      </c>
      <c r="E28" s="151" t="s">
        <v>47</v>
      </c>
      <c r="F28" s="149" t="s">
        <v>55</v>
      </c>
      <c r="G28" s="152">
        <v>0.0</v>
      </c>
      <c r="H28" s="152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3">
        <v>0.0</v>
      </c>
      <c r="V28" s="131">
        <f t="shared" si="3"/>
        <v>0</v>
      </c>
    </row>
    <row r="29" ht="12.75" customHeight="1">
      <c r="A29" s="139" t="s">
        <v>26</v>
      </c>
      <c r="B29" s="140" t="s">
        <v>27</v>
      </c>
      <c r="C29" s="140" t="s">
        <v>55</v>
      </c>
      <c r="D29" s="75"/>
      <c r="E29" s="140" t="s">
        <v>47</v>
      </c>
      <c r="F29" s="63" t="s">
        <v>56</v>
      </c>
      <c r="G29" s="152">
        <v>0.0</v>
      </c>
      <c r="H29" s="152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31">
        <f t="shared" ref="U29:U36" si="4">IFERROR(I29/H29,0)</f>
        <v>0</v>
      </c>
      <c r="V29" s="131">
        <f t="shared" si="3"/>
        <v>0</v>
      </c>
    </row>
    <row r="30" ht="12.75" customHeight="1">
      <c r="A30" s="139" t="s">
        <v>26</v>
      </c>
      <c r="B30" s="140" t="s">
        <v>27</v>
      </c>
      <c r="C30" s="140" t="s">
        <v>55</v>
      </c>
      <c r="D30" s="75"/>
      <c r="E30" s="141"/>
      <c r="F30" s="63" t="s">
        <v>57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31">
        <f t="shared" si="4"/>
        <v>0</v>
      </c>
      <c r="V30" s="131">
        <f t="shared" si="3"/>
        <v>0</v>
      </c>
    </row>
    <row r="31" ht="12.75" customHeight="1">
      <c r="A31" s="139" t="s">
        <v>26</v>
      </c>
      <c r="B31" s="140" t="s">
        <v>27</v>
      </c>
      <c r="C31" s="140" t="s">
        <v>55</v>
      </c>
      <c r="D31" s="75"/>
      <c r="E31" s="140" t="s">
        <v>58</v>
      </c>
      <c r="F31" s="63" t="s">
        <v>59</v>
      </c>
      <c r="G31" s="152">
        <v>0.0</v>
      </c>
      <c r="H31" s="152">
        <v>0.0</v>
      </c>
      <c r="I31" s="152">
        <v>0.0</v>
      </c>
      <c r="J31" s="152">
        <v>0.0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31">
        <f t="shared" si="4"/>
        <v>0</v>
      </c>
      <c r="V31" s="131">
        <f t="shared" si="3"/>
        <v>0</v>
      </c>
    </row>
    <row r="32" ht="12.75" customHeight="1">
      <c r="A32" s="142" t="s">
        <v>26</v>
      </c>
      <c r="B32" s="143" t="s">
        <v>27</v>
      </c>
      <c r="C32" s="154" t="s">
        <v>60</v>
      </c>
      <c r="D32" s="145" t="s">
        <v>46</v>
      </c>
      <c r="E32" s="155"/>
      <c r="F32" s="154" t="s">
        <v>60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4"/>
        <v>0</v>
      </c>
      <c r="V32" s="131">
        <f t="shared" si="3"/>
        <v>0</v>
      </c>
    </row>
    <row r="33" ht="12.75" customHeight="1">
      <c r="A33" s="146" t="s">
        <v>26</v>
      </c>
      <c r="B33" s="147" t="s">
        <v>27</v>
      </c>
      <c r="C33" s="147" t="s">
        <v>60</v>
      </c>
      <c r="D33" s="84"/>
      <c r="E33" s="155"/>
      <c r="F33" s="156" t="s">
        <v>61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4"/>
        <v>0</v>
      </c>
      <c r="V33" s="131">
        <f t="shared" si="3"/>
        <v>0</v>
      </c>
    </row>
    <row r="34" ht="12.75" customHeight="1">
      <c r="A34" s="146" t="s">
        <v>26</v>
      </c>
      <c r="B34" s="147" t="s">
        <v>27</v>
      </c>
      <c r="C34" s="147" t="s">
        <v>60</v>
      </c>
      <c r="D34" s="84"/>
      <c r="E34" s="155"/>
      <c r="F34" s="156" t="s">
        <v>62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3"/>
        <v>0</v>
      </c>
    </row>
    <row r="35" ht="12.75" customHeight="1">
      <c r="A35" s="146" t="s">
        <v>26</v>
      </c>
      <c r="B35" s="147" t="s">
        <v>27</v>
      </c>
      <c r="C35" s="147" t="s">
        <v>60</v>
      </c>
      <c r="D35" s="84"/>
      <c r="E35" s="155"/>
      <c r="F35" s="156" t="s">
        <v>63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3"/>
        <v>0</v>
      </c>
    </row>
    <row r="36" ht="12.75" customHeight="1">
      <c r="A36" s="146" t="s">
        <v>26</v>
      </c>
      <c r="B36" s="147" t="s">
        <v>27</v>
      </c>
      <c r="C36" s="147" t="s">
        <v>60</v>
      </c>
      <c r="D36" s="84"/>
      <c r="E36" s="155"/>
      <c r="F36" s="156" t="s">
        <v>64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1">
        <f t="shared" si="4"/>
        <v>0</v>
      </c>
      <c r="V36" s="131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128" t="s">
        <v>28</v>
      </c>
      <c r="B38" s="129"/>
      <c r="C38" s="129"/>
      <c r="D38" s="157" t="s">
        <v>46</v>
      </c>
      <c r="E38" s="128" t="s">
        <v>47</v>
      </c>
      <c r="F38" s="128" t="s">
        <v>28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ref="U38:U56" si="5">IFERROR(I38/H38,0)</f>
        <v>0</v>
      </c>
      <c r="V38" s="131">
        <f t="shared" ref="V38:V56" si="6">IFERROR(SUM(H38+L38)/G38,0)</f>
        <v>0</v>
      </c>
    </row>
    <row r="39" ht="12.75" customHeight="1">
      <c r="A39" s="132" t="s">
        <v>28</v>
      </c>
      <c r="B39" s="124" t="s">
        <v>29</v>
      </c>
      <c r="C39" s="158"/>
      <c r="D39" s="159" t="s">
        <v>46</v>
      </c>
      <c r="E39" s="135" t="s">
        <v>47</v>
      </c>
      <c r="F39" s="124" t="s">
        <v>29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5"/>
        <v>0</v>
      </c>
      <c r="V39" s="131">
        <f t="shared" si="6"/>
        <v>0</v>
      </c>
    </row>
    <row r="40" ht="12.75" customHeight="1">
      <c r="A40" s="142" t="s">
        <v>28</v>
      </c>
      <c r="B40" s="143" t="s">
        <v>29</v>
      </c>
      <c r="C40" s="144" t="s">
        <v>65</v>
      </c>
      <c r="D40" s="145" t="s">
        <v>46</v>
      </c>
      <c r="E40" s="143" t="s">
        <v>47</v>
      </c>
      <c r="F40" s="144" t="s">
        <v>65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5"/>
        <v>0</v>
      </c>
      <c r="V40" s="131">
        <f t="shared" si="6"/>
        <v>0</v>
      </c>
    </row>
    <row r="41" ht="12.75" customHeight="1">
      <c r="A41" s="146" t="s">
        <v>28</v>
      </c>
      <c r="B41" s="147" t="s">
        <v>29</v>
      </c>
      <c r="C41" s="146" t="s">
        <v>65</v>
      </c>
      <c r="D41" s="155"/>
      <c r="E41" s="147" t="s">
        <v>47</v>
      </c>
      <c r="F41" s="146" t="s">
        <v>66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5"/>
        <v>0</v>
      </c>
      <c r="V41" s="131">
        <f t="shared" si="6"/>
        <v>0</v>
      </c>
    </row>
    <row r="42" ht="12.75" customHeight="1">
      <c r="A42" s="146" t="s">
        <v>28</v>
      </c>
      <c r="B42" s="147" t="s">
        <v>29</v>
      </c>
      <c r="C42" s="146" t="s">
        <v>65</v>
      </c>
      <c r="D42" s="84"/>
      <c r="E42" s="160" t="s">
        <v>47</v>
      </c>
      <c r="F42" s="148" t="s">
        <v>67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5"/>
        <v>0</v>
      </c>
      <c r="V42" s="131">
        <f t="shared" si="6"/>
        <v>0</v>
      </c>
    </row>
    <row r="43" ht="12.75" customHeight="1">
      <c r="A43" s="146" t="s">
        <v>28</v>
      </c>
      <c r="B43" s="147" t="s">
        <v>29</v>
      </c>
      <c r="C43" s="146" t="s">
        <v>65</v>
      </c>
      <c r="D43" s="84"/>
      <c r="E43" s="160" t="s">
        <v>47</v>
      </c>
      <c r="F43" s="148" t="s">
        <v>68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5"/>
        <v>0</v>
      </c>
      <c r="V43" s="131">
        <f t="shared" si="6"/>
        <v>0</v>
      </c>
    </row>
    <row r="44" ht="12.75" customHeight="1">
      <c r="A44" s="146" t="s">
        <v>28</v>
      </c>
      <c r="B44" s="147" t="s">
        <v>29</v>
      </c>
      <c r="C44" s="146" t="s">
        <v>65</v>
      </c>
      <c r="D44" s="84"/>
      <c r="E44" s="160" t="s">
        <v>47</v>
      </c>
      <c r="F44" s="148" t="s">
        <v>69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5"/>
        <v>0</v>
      </c>
      <c r="V44" s="131">
        <f t="shared" si="6"/>
        <v>0</v>
      </c>
    </row>
    <row r="45" ht="12.75" customHeight="1">
      <c r="A45" s="146" t="s">
        <v>28</v>
      </c>
      <c r="B45" s="147" t="s">
        <v>29</v>
      </c>
      <c r="C45" s="146" t="s">
        <v>65</v>
      </c>
      <c r="D45" s="84"/>
      <c r="E45" s="160" t="s">
        <v>47</v>
      </c>
      <c r="F45" s="148" t="s">
        <v>70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5"/>
        <v>0</v>
      </c>
      <c r="V45" s="131">
        <f t="shared" si="6"/>
        <v>0</v>
      </c>
    </row>
    <row r="46" ht="12.75" customHeight="1">
      <c r="A46" s="146" t="s">
        <v>28</v>
      </c>
      <c r="B46" s="147" t="s">
        <v>29</v>
      </c>
      <c r="C46" s="146" t="s">
        <v>65</v>
      </c>
      <c r="D46" s="84"/>
      <c r="E46" s="147" t="s">
        <v>47</v>
      </c>
      <c r="F46" s="148" t="s">
        <v>71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5"/>
        <v>0</v>
      </c>
      <c r="V46" s="131">
        <f t="shared" si="6"/>
        <v>0</v>
      </c>
    </row>
    <row r="47" ht="12.75" customHeight="1">
      <c r="A47" s="146" t="s">
        <v>28</v>
      </c>
      <c r="B47" s="147" t="s">
        <v>29</v>
      </c>
      <c r="C47" s="146" t="s">
        <v>65</v>
      </c>
      <c r="D47" s="84"/>
      <c r="E47" s="147" t="s">
        <v>47</v>
      </c>
      <c r="F47" s="148" t="s">
        <v>72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5"/>
        <v>0</v>
      </c>
      <c r="V47" s="131">
        <f t="shared" si="6"/>
        <v>0</v>
      </c>
    </row>
    <row r="48" ht="12.75" customHeight="1">
      <c r="A48" s="146" t="s">
        <v>28</v>
      </c>
      <c r="B48" s="147" t="s">
        <v>29</v>
      </c>
      <c r="C48" s="146" t="s">
        <v>65</v>
      </c>
      <c r="D48" s="161"/>
      <c r="E48" s="147" t="s">
        <v>47</v>
      </c>
      <c r="F48" s="156" t="s">
        <v>73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5"/>
        <v>0</v>
      </c>
      <c r="V48" s="131">
        <f t="shared" si="6"/>
        <v>0</v>
      </c>
    </row>
    <row r="49" ht="12.75" customHeight="1">
      <c r="A49" s="146" t="s">
        <v>28</v>
      </c>
      <c r="B49" s="147" t="s">
        <v>29</v>
      </c>
      <c r="C49" s="146" t="s">
        <v>65</v>
      </c>
      <c r="D49" s="161"/>
      <c r="E49" s="147" t="s">
        <v>47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5"/>
        <v>0</v>
      </c>
      <c r="V49" s="131">
        <f t="shared" si="6"/>
        <v>0</v>
      </c>
    </row>
    <row r="50" ht="12.75" customHeight="1">
      <c r="A50" s="146" t="s">
        <v>28</v>
      </c>
      <c r="B50" s="147" t="s">
        <v>29</v>
      </c>
      <c r="C50" s="146" t="s">
        <v>65</v>
      </c>
      <c r="D50" s="161"/>
      <c r="E50" s="147" t="s">
        <v>47</v>
      </c>
      <c r="F50" s="156" t="s">
        <v>75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5"/>
        <v>0</v>
      </c>
      <c r="V50" s="131">
        <f t="shared" si="6"/>
        <v>0</v>
      </c>
    </row>
    <row r="51" ht="12.75" customHeight="1">
      <c r="A51" s="146" t="s">
        <v>28</v>
      </c>
      <c r="B51" s="147" t="s">
        <v>29</v>
      </c>
      <c r="C51" s="146" t="s">
        <v>65</v>
      </c>
      <c r="D51" s="161"/>
      <c r="E51" s="147" t="s">
        <v>47</v>
      </c>
      <c r="F51" s="156" t="s">
        <v>76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31">
        <f t="shared" si="5"/>
        <v>0</v>
      </c>
      <c r="V51" s="131">
        <f t="shared" si="6"/>
        <v>0</v>
      </c>
    </row>
    <row r="52" ht="12.75" customHeight="1">
      <c r="A52" s="146" t="s">
        <v>28</v>
      </c>
      <c r="B52" s="147" t="s">
        <v>29</v>
      </c>
      <c r="C52" s="146" t="s">
        <v>65</v>
      </c>
      <c r="D52" s="161"/>
      <c r="E52" s="147" t="s">
        <v>77</v>
      </c>
      <c r="F52" s="156" t="s">
        <v>78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31">
        <f t="shared" si="5"/>
        <v>0</v>
      </c>
      <c r="V52" s="131">
        <f t="shared" si="6"/>
        <v>0</v>
      </c>
    </row>
    <row r="53" ht="12.75" customHeight="1">
      <c r="A53" s="146" t="s">
        <v>28</v>
      </c>
      <c r="B53" s="147" t="s">
        <v>29</v>
      </c>
      <c r="C53" s="146" t="s">
        <v>65</v>
      </c>
      <c r="D53" s="161"/>
      <c r="E53" s="147" t="s">
        <v>79</v>
      </c>
      <c r="F53" s="156" t="s">
        <v>80</v>
      </c>
      <c r="G53" s="152">
        <v>2.0</v>
      </c>
      <c r="H53" s="152">
        <v>1.0</v>
      </c>
      <c r="I53" s="152">
        <v>1.0</v>
      </c>
      <c r="J53" s="152">
        <v>1.0</v>
      </c>
      <c r="K53" s="152">
        <v>1.0</v>
      </c>
      <c r="L53" s="152">
        <v>0.0</v>
      </c>
      <c r="M53" s="152">
        <v>5.0</v>
      </c>
      <c r="N53" s="152">
        <v>0.0</v>
      </c>
      <c r="O53" s="152">
        <v>0.0</v>
      </c>
      <c r="P53" s="152">
        <v>0.0</v>
      </c>
      <c r="Q53" s="152">
        <v>0.0</v>
      </c>
      <c r="R53" s="152">
        <v>1.0</v>
      </c>
      <c r="S53" s="152">
        <v>1.0</v>
      </c>
      <c r="T53" s="152">
        <v>818.0</v>
      </c>
      <c r="U53" s="131">
        <f t="shared" si="5"/>
        <v>1</v>
      </c>
      <c r="V53" s="131">
        <f t="shared" si="6"/>
        <v>0.5</v>
      </c>
    </row>
    <row r="54" ht="12.75" customHeight="1">
      <c r="A54" s="146" t="s">
        <v>28</v>
      </c>
      <c r="B54" s="147" t="s">
        <v>29</v>
      </c>
      <c r="C54" s="146" t="s">
        <v>65</v>
      </c>
      <c r="D54" s="161"/>
      <c r="E54" s="155"/>
      <c r="F54" s="156" t="s">
        <v>81</v>
      </c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1">
        <f t="shared" si="5"/>
        <v>0</v>
      </c>
      <c r="V54" s="131">
        <f t="shared" si="6"/>
        <v>0</v>
      </c>
    </row>
    <row r="55" ht="12.75" customHeight="1">
      <c r="A55" s="146" t="s">
        <v>28</v>
      </c>
      <c r="B55" s="147" t="s">
        <v>29</v>
      </c>
      <c r="C55" s="146" t="s">
        <v>65</v>
      </c>
      <c r="D55" s="161"/>
      <c r="E55" s="147" t="s">
        <v>47</v>
      </c>
      <c r="F55" s="156" t="s">
        <v>82</v>
      </c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1">
        <f t="shared" si="5"/>
        <v>0</v>
      </c>
      <c r="V55" s="131">
        <f t="shared" si="6"/>
        <v>0</v>
      </c>
    </row>
    <row r="56" ht="12.75" customHeight="1">
      <c r="A56" s="146" t="s">
        <v>28</v>
      </c>
      <c r="B56" s="147" t="s">
        <v>29</v>
      </c>
      <c r="C56" s="146" t="s">
        <v>65</v>
      </c>
      <c r="D56" s="161"/>
      <c r="E56" s="147" t="s">
        <v>47</v>
      </c>
      <c r="F56" s="156" t="s">
        <v>83</v>
      </c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1">
        <f t="shared" si="5"/>
        <v>0</v>
      </c>
      <c r="V56" s="131">
        <f t="shared" si="6"/>
        <v>0</v>
      </c>
    </row>
    <row r="57" ht="12.75" customHeight="1">
      <c r="A57" s="162"/>
      <c r="B57" s="162"/>
      <c r="C57" s="162"/>
      <c r="D57" s="1"/>
      <c r="E57" s="162"/>
      <c r="F57" s="11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</row>
    <row r="58" ht="12.75" customHeight="1">
      <c r="A58" s="162"/>
      <c r="B58" s="162"/>
      <c r="C58" s="162"/>
      <c r="D58" s="1"/>
      <c r="E58" s="162"/>
      <c r="F58" s="11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</row>
    <row r="59" ht="12.75" customHeight="1">
      <c r="A59" s="162"/>
      <c r="B59" s="162"/>
      <c r="C59" s="162"/>
      <c r="D59" s="1"/>
      <c r="E59" s="162"/>
      <c r="F59" s="11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</row>
    <row r="60" ht="12.75" customHeight="1">
      <c r="A60" s="162"/>
      <c r="B60" s="162"/>
      <c r="C60" s="162"/>
      <c r="D60" s="1"/>
      <c r="E60" s="162"/>
      <c r="F60" s="11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</row>
    <row r="61" ht="12.75" customHeight="1">
      <c r="A61" s="162"/>
      <c r="B61" s="162"/>
      <c r="C61" s="162"/>
      <c r="D61" s="1"/>
      <c r="E61" s="162"/>
      <c r="F61" s="11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</row>
    <row r="62" ht="12.75" customHeight="1">
      <c r="A62" s="162"/>
      <c r="B62" s="162"/>
      <c r="C62" s="162"/>
      <c r="D62" s="1"/>
      <c r="E62" s="162"/>
      <c r="F62" s="11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4"/>
      <c r="V62" s="164"/>
    </row>
    <row r="63" ht="12.75" customHeight="1">
      <c r="A63" s="162"/>
      <c r="B63" s="162"/>
      <c r="C63" s="162"/>
      <c r="D63" s="1"/>
      <c r="E63" s="162"/>
      <c r="F63" s="11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4"/>
      <c r="V63" s="164"/>
    </row>
    <row r="64" ht="12.75" customHeight="1">
      <c r="A64" s="162"/>
      <c r="B64" s="162"/>
      <c r="C64" s="162"/>
      <c r="D64" s="1"/>
      <c r="E64" s="162"/>
      <c r="F64" s="11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4"/>
      <c r="V64" s="164"/>
    </row>
    <row r="65" ht="12.75" customHeight="1">
      <c r="A65" s="162"/>
      <c r="B65" s="162"/>
      <c r="C65" s="162"/>
      <c r="D65" s="1"/>
      <c r="E65" s="162"/>
      <c r="F65" s="11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4"/>
      <c r="V65" s="164"/>
    </row>
    <row r="66" ht="12.75" customHeight="1">
      <c r="A66" s="162"/>
      <c r="B66" s="162"/>
      <c r="C66" s="162"/>
      <c r="D66" s="1"/>
      <c r="E66" s="162"/>
      <c r="F66" s="11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4"/>
      <c r="V66" s="164"/>
    </row>
    <row r="67" ht="12.75" customHeight="1">
      <c r="A67" s="162"/>
      <c r="B67" s="162"/>
      <c r="C67" s="162"/>
      <c r="D67" s="1"/>
      <c r="E67" s="162"/>
      <c r="F67" s="11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4"/>
      <c r="V67" s="164"/>
    </row>
    <row r="68" ht="12.75" customHeight="1">
      <c r="A68" s="162"/>
      <c r="B68" s="162"/>
      <c r="C68" s="162"/>
      <c r="D68" s="1"/>
      <c r="E68" s="162"/>
      <c r="F68" s="11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4"/>
      <c r="V68" s="164"/>
    </row>
    <row r="69" ht="12.75" customHeight="1">
      <c r="A69" s="162"/>
      <c r="B69" s="162"/>
      <c r="C69" s="162"/>
      <c r="D69" s="1"/>
      <c r="E69" s="162"/>
      <c r="F69" s="11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4"/>
      <c r="V69" s="164"/>
    </row>
    <row r="70" ht="12.75" customHeight="1">
      <c r="A70" s="162"/>
      <c r="B70" s="162"/>
      <c r="C70" s="162"/>
      <c r="D70" s="1"/>
      <c r="E70" s="162"/>
      <c r="F70" s="11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4"/>
      <c r="V70" s="164"/>
    </row>
    <row r="71" ht="12.75" customHeight="1">
      <c r="A71" s="162"/>
      <c r="B71" s="162"/>
      <c r="C71" s="162"/>
      <c r="D71" s="1"/>
      <c r="E71" s="162"/>
      <c r="F71" s="11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4"/>
      <c r="V71" s="164"/>
    </row>
    <row r="72" ht="12.75" customHeight="1">
      <c r="A72" s="162"/>
      <c r="B72" s="162"/>
      <c r="C72" s="162"/>
      <c r="D72" s="1"/>
      <c r="E72" s="162"/>
      <c r="F72" s="11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4"/>
      <c r="V72" s="164"/>
    </row>
    <row r="73" ht="12.75" customHeight="1">
      <c r="A73" s="162"/>
      <c r="B73" s="162"/>
      <c r="C73" s="162"/>
      <c r="D73" s="1"/>
      <c r="E73" s="162"/>
      <c r="F73" s="11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164"/>
    </row>
    <row r="74" ht="12.75" customHeight="1">
      <c r="A74" s="162"/>
      <c r="B74" s="162"/>
      <c r="C74" s="162"/>
      <c r="D74" s="1"/>
      <c r="E74" s="162"/>
      <c r="F74" s="11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164"/>
    </row>
    <row r="75" ht="12.75" customHeight="1">
      <c r="A75" s="162"/>
      <c r="B75" s="162"/>
      <c r="C75" s="162"/>
      <c r="D75" s="1"/>
      <c r="E75" s="162"/>
      <c r="F75" s="11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4"/>
      <c r="V75" s="164"/>
    </row>
    <row r="76" ht="12.75" customHeight="1">
      <c r="A76" s="162"/>
      <c r="B76" s="162"/>
      <c r="C76" s="162"/>
      <c r="D76" s="1"/>
      <c r="E76" s="162"/>
      <c r="F76" s="11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4"/>
      <c r="V76" s="164"/>
    </row>
    <row r="77" ht="12.75" customHeight="1">
      <c r="A77" s="162"/>
      <c r="B77" s="162"/>
      <c r="C77" s="162"/>
      <c r="D77" s="1"/>
      <c r="E77" s="162"/>
      <c r="F77" s="11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4"/>
      <c r="V77" s="164"/>
    </row>
    <row r="78" ht="12.75" customHeight="1">
      <c r="A78" s="162"/>
      <c r="B78" s="162"/>
      <c r="C78" s="162"/>
      <c r="D78" s="1"/>
      <c r="E78" s="162"/>
      <c r="F78" s="11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4"/>
      <c r="V78" s="164"/>
    </row>
    <row r="79" ht="12.75" customHeight="1">
      <c r="A79" s="162"/>
      <c r="B79" s="162"/>
      <c r="C79" s="162"/>
      <c r="D79" s="1"/>
      <c r="E79" s="162"/>
      <c r="F79" s="11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4"/>
      <c r="V79" s="164"/>
    </row>
    <row r="80" ht="12.75" customHeight="1">
      <c r="A80" s="162"/>
      <c r="B80" s="162"/>
      <c r="C80" s="162"/>
      <c r="D80" s="1"/>
      <c r="E80" s="162"/>
      <c r="F80" s="11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4"/>
      <c r="V80" s="164"/>
    </row>
    <row r="81" ht="12.75" customHeight="1">
      <c r="A81" s="162"/>
      <c r="B81" s="162"/>
      <c r="C81" s="162"/>
      <c r="D81" s="1"/>
      <c r="E81" s="162"/>
      <c r="F81" s="11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4"/>
      <c r="V81" s="164"/>
    </row>
    <row r="82" ht="12.75" customHeight="1">
      <c r="A82" s="162"/>
      <c r="B82" s="162"/>
      <c r="C82" s="162"/>
      <c r="D82" s="1"/>
      <c r="E82" s="162"/>
      <c r="F82" s="11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4"/>
      <c r="V82" s="164"/>
    </row>
    <row r="83" ht="12.75" customHeight="1">
      <c r="A83" s="162"/>
      <c r="B83" s="162"/>
      <c r="C83" s="162"/>
      <c r="D83" s="1"/>
      <c r="E83" s="162"/>
      <c r="F83" s="11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4"/>
      <c r="V83" s="164"/>
    </row>
    <row r="84" ht="12.75" customHeight="1">
      <c r="A84" s="162"/>
      <c r="B84" s="162"/>
      <c r="C84" s="162"/>
      <c r="D84" s="1"/>
      <c r="E84" s="162"/>
      <c r="F84" s="11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4"/>
      <c r="V84" s="164"/>
    </row>
    <row r="85" ht="12.75" customHeight="1">
      <c r="A85" s="162"/>
      <c r="B85" s="162"/>
      <c r="C85" s="162"/>
      <c r="D85" s="1"/>
      <c r="E85" s="162"/>
      <c r="F85" s="11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4"/>
      <c r="V85" s="164"/>
    </row>
    <row r="86" ht="12.75" customHeight="1">
      <c r="A86" s="162"/>
      <c r="B86" s="162"/>
      <c r="C86" s="162"/>
      <c r="D86" s="1"/>
      <c r="E86" s="162"/>
      <c r="F86" s="11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4"/>
      <c r="V86" s="164"/>
    </row>
    <row r="87" ht="12.75" customHeight="1">
      <c r="A87" s="162"/>
      <c r="B87" s="162"/>
      <c r="C87" s="162"/>
      <c r="D87" s="1"/>
      <c r="E87" s="162"/>
      <c r="F87" s="11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4"/>
      <c r="V87" s="164"/>
    </row>
    <row r="88" ht="12.75" customHeight="1">
      <c r="A88" s="162"/>
      <c r="B88" s="162"/>
      <c r="C88" s="162"/>
      <c r="D88" s="1"/>
      <c r="E88" s="162"/>
      <c r="F88" s="11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4"/>
      <c r="V88" s="164"/>
    </row>
    <row r="89" ht="12.75" customHeight="1">
      <c r="A89" s="162"/>
      <c r="B89" s="162"/>
      <c r="C89" s="162"/>
      <c r="D89" s="1"/>
      <c r="E89" s="162"/>
      <c r="F89" s="11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4"/>
      <c r="V89" s="164"/>
    </row>
    <row r="90" ht="12.75" customHeight="1">
      <c r="A90" s="162"/>
      <c r="B90" s="162"/>
      <c r="C90" s="162"/>
      <c r="D90" s="1"/>
      <c r="E90" s="162"/>
      <c r="F90" s="11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4"/>
      <c r="V90" s="164"/>
    </row>
    <row r="91" ht="12.75" customHeight="1">
      <c r="A91" s="162"/>
      <c r="B91" s="162"/>
      <c r="C91" s="162"/>
      <c r="D91" s="1"/>
      <c r="E91" s="162"/>
      <c r="F91" s="11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4"/>
      <c r="V91" s="164"/>
    </row>
    <row r="92" ht="12.75" customHeight="1">
      <c r="A92" s="162"/>
      <c r="B92" s="162"/>
      <c r="C92" s="162"/>
      <c r="D92" s="1"/>
      <c r="E92" s="162"/>
      <c r="F92" s="11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4"/>
      <c r="V92" s="164"/>
    </row>
    <row r="93" ht="12.75" customHeight="1">
      <c r="A93" s="162"/>
      <c r="B93" s="162"/>
      <c r="C93" s="162"/>
      <c r="D93" s="1"/>
      <c r="E93" s="162"/>
      <c r="F93" s="11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4"/>
      <c r="V93" s="164"/>
    </row>
    <row r="94" ht="12.75" customHeight="1">
      <c r="A94" s="162"/>
      <c r="B94" s="162"/>
      <c r="C94" s="162"/>
      <c r="D94" s="1"/>
      <c r="E94" s="162"/>
      <c r="F94" s="11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4"/>
      <c r="V94" s="164"/>
    </row>
    <row r="95" ht="12.75" customHeight="1">
      <c r="A95" s="162"/>
      <c r="B95" s="162"/>
      <c r="C95" s="162"/>
      <c r="D95" s="1"/>
      <c r="E95" s="162"/>
      <c r="F95" s="11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4"/>
      <c r="V95" s="164"/>
    </row>
    <row r="96" ht="12.75" customHeight="1">
      <c r="A96" s="162"/>
      <c r="B96" s="162"/>
      <c r="C96" s="162"/>
      <c r="D96" s="1"/>
      <c r="E96" s="162"/>
      <c r="F96" s="11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4"/>
      <c r="V96" s="164"/>
    </row>
    <row r="97" ht="12.75" customHeight="1">
      <c r="A97" s="162"/>
      <c r="B97" s="162"/>
      <c r="C97" s="162"/>
      <c r="D97" s="1"/>
      <c r="E97" s="162"/>
      <c r="F97" s="11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4"/>
      <c r="V97" s="164"/>
    </row>
    <row r="98" ht="12.75" customHeight="1">
      <c r="A98" s="162"/>
      <c r="B98" s="162"/>
      <c r="C98" s="162"/>
      <c r="D98" s="1"/>
      <c r="E98" s="162"/>
      <c r="F98" s="11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4"/>
      <c r="V98" s="164"/>
    </row>
    <row r="99" ht="12.75" customHeight="1">
      <c r="A99" s="162"/>
      <c r="B99" s="162"/>
      <c r="C99" s="162"/>
      <c r="D99" s="1"/>
      <c r="E99" s="162"/>
      <c r="F99" s="11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4"/>
      <c r="V99" s="164"/>
    </row>
    <row r="100" ht="12.75" customHeight="1">
      <c r="A100" s="162"/>
      <c r="B100" s="162"/>
      <c r="C100" s="162"/>
      <c r="D100" s="1"/>
      <c r="E100" s="162"/>
      <c r="F100" s="11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4"/>
      <c r="V100" s="164"/>
    </row>
    <row r="101" ht="12.75" customHeight="1">
      <c r="A101" s="162"/>
      <c r="B101" s="162"/>
      <c r="C101" s="162"/>
      <c r="D101" s="1"/>
      <c r="E101" s="162"/>
      <c r="F101" s="11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4"/>
      <c r="V101" s="164"/>
    </row>
    <row r="102" ht="12.75" customHeight="1">
      <c r="A102" s="162"/>
      <c r="B102" s="162"/>
      <c r="C102" s="162"/>
      <c r="D102" s="1"/>
      <c r="E102" s="162"/>
      <c r="F102" s="11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4"/>
      <c r="V102" s="164"/>
    </row>
    <row r="103" ht="12.75" customHeight="1">
      <c r="A103" s="162"/>
      <c r="B103" s="162"/>
      <c r="C103" s="162"/>
      <c r="D103" s="1"/>
      <c r="E103" s="162"/>
      <c r="F103" s="11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4"/>
      <c r="V103" s="164"/>
    </row>
    <row r="104" ht="12.75" customHeight="1">
      <c r="A104" s="162"/>
      <c r="B104" s="162"/>
      <c r="C104" s="162"/>
      <c r="D104" s="1"/>
      <c r="E104" s="162"/>
      <c r="F104" s="11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4"/>
      <c r="V104" s="164"/>
    </row>
    <row r="105" ht="12.75" customHeight="1">
      <c r="A105" s="162"/>
      <c r="B105" s="162"/>
      <c r="C105" s="162"/>
      <c r="D105" s="1"/>
      <c r="E105" s="162"/>
      <c r="F105" s="11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4"/>
      <c r="V105" s="164"/>
    </row>
    <row r="106" ht="12.75" customHeight="1">
      <c r="A106" s="162"/>
      <c r="B106" s="162"/>
      <c r="C106" s="162"/>
      <c r="D106" s="1"/>
      <c r="E106" s="162"/>
      <c r="F106" s="11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4"/>
      <c r="V106" s="164"/>
    </row>
    <row r="107" ht="12.75" customHeight="1">
      <c r="A107" s="162"/>
      <c r="B107" s="162"/>
      <c r="C107" s="162"/>
      <c r="D107" s="1"/>
      <c r="E107" s="162"/>
      <c r="F107" s="11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4"/>
      <c r="V107" s="164"/>
    </row>
    <row r="108" ht="12.75" customHeight="1">
      <c r="A108" s="162"/>
      <c r="B108" s="162"/>
      <c r="C108" s="162"/>
      <c r="D108" s="1"/>
      <c r="E108" s="162"/>
      <c r="F108" s="11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4"/>
      <c r="V108" s="164"/>
    </row>
    <row r="109" ht="12.75" customHeight="1">
      <c r="A109" s="162"/>
      <c r="B109" s="162"/>
      <c r="C109" s="162"/>
      <c r="D109" s="1"/>
      <c r="E109" s="162"/>
      <c r="F109" s="11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4"/>
      <c r="V109" s="164"/>
    </row>
    <row r="110" ht="12.75" customHeight="1">
      <c r="A110" s="162"/>
      <c r="B110" s="162"/>
      <c r="C110" s="162"/>
      <c r="D110" s="1"/>
      <c r="E110" s="162"/>
      <c r="F110" s="11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4"/>
      <c r="V110" s="164"/>
    </row>
    <row r="111" ht="12.75" customHeight="1">
      <c r="A111" s="162"/>
      <c r="B111" s="162"/>
      <c r="C111" s="162"/>
      <c r="D111" s="1"/>
      <c r="E111" s="162"/>
      <c r="F111" s="11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4"/>
      <c r="V111" s="164"/>
    </row>
    <row r="112" ht="12.75" customHeight="1">
      <c r="A112" s="162"/>
      <c r="B112" s="162"/>
      <c r="C112" s="162"/>
      <c r="D112" s="1"/>
      <c r="E112" s="162"/>
      <c r="F112" s="11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4"/>
      <c r="V112" s="164"/>
    </row>
    <row r="113" ht="12.75" customHeight="1">
      <c r="A113" s="162"/>
      <c r="B113" s="162"/>
      <c r="C113" s="162"/>
      <c r="D113" s="1"/>
      <c r="E113" s="162"/>
      <c r="F113" s="11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4"/>
      <c r="V113" s="164"/>
    </row>
    <row r="114" ht="12.75" customHeight="1">
      <c r="A114" s="162"/>
      <c r="B114" s="162"/>
      <c r="C114" s="162"/>
      <c r="D114" s="1"/>
      <c r="E114" s="162"/>
      <c r="F114" s="11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4"/>
      <c r="V114" s="164"/>
    </row>
    <row r="115" ht="12.75" customHeight="1">
      <c r="A115" s="162"/>
      <c r="B115" s="162"/>
      <c r="C115" s="162"/>
      <c r="D115" s="1"/>
      <c r="E115" s="162"/>
      <c r="F115" s="11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4"/>
      <c r="V115" s="164"/>
    </row>
    <row r="116" ht="12.75" customHeight="1">
      <c r="A116" s="162"/>
      <c r="B116" s="162"/>
      <c r="C116" s="162"/>
      <c r="D116" s="1"/>
      <c r="E116" s="162"/>
      <c r="F116" s="11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4"/>
      <c r="V116" s="164"/>
    </row>
    <row r="117" ht="12.75" customHeight="1">
      <c r="A117" s="162"/>
      <c r="B117" s="162"/>
      <c r="C117" s="162"/>
      <c r="D117" s="1"/>
      <c r="E117" s="162"/>
      <c r="F117" s="11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4"/>
      <c r="V117" s="164"/>
    </row>
    <row r="118" ht="12.75" customHeight="1">
      <c r="A118" s="162"/>
      <c r="B118" s="162"/>
      <c r="C118" s="162"/>
      <c r="D118" s="1"/>
      <c r="E118" s="162"/>
      <c r="F118" s="11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4"/>
      <c r="V118" s="164"/>
    </row>
    <row r="119" ht="12.75" customHeight="1">
      <c r="A119" s="162"/>
      <c r="B119" s="162"/>
      <c r="C119" s="162"/>
      <c r="D119" s="1"/>
      <c r="E119" s="162"/>
      <c r="F119" s="11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4"/>
      <c r="V119" s="164"/>
    </row>
    <row r="120" ht="12.75" customHeight="1">
      <c r="A120" s="162"/>
      <c r="B120" s="162"/>
      <c r="C120" s="162"/>
      <c r="D120" s="1"/>
      <c r="E120" s="162"/>
      <c r="F120" s="11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4"/>
      <c r="V120" s="164"/>
    </row>
    <row r="121" ht="12.75" customHeight="1">
      <c r="A121" s="162"/>
      <c r="B121" s="162"/>
      <c r="C121" s="162"/>
      <c r="D121" s="1"/>
      <c r="E121" s="162"/>
      <c r="F121" s="11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4"/>
      <c r="V121" s="164"/>
    </row>
    <row r="122" ht="12.75" customHeight="1">
      <c r="A122" s="162"/>
      <c r="B122" s="162"/>
      <c r="C122" s="162"/>
      <c r="D122" s="1"/>
      <c r="E122" s="162"/>
      <c r="F122" s="11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4"/>
      <c r="V122" s="164"/>
    </row>
    <row r="123" ht="12.75" customHeight="1">
      <c r="A123" s="162"/>
      <c r="B123" s="162"/>
      <c r="C123" s="162"/>
      <c r="D123" s="1"/>
      <c r="E123" s="162"/>
      <c r="F123" s="11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4"/>
      <c r="V123" s="164"/>
    </row>
    <row r="124" ht="12.75" customHeight="1">
      <c r="A124" s="162"/>
      <c r="B124" s="162"/>
      <c r="C124" s="162"/>
      <c r="D124" s="1"/>
      <c r="E124" s="162"/>
      <c r="F124" s="11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4"/>
      <c r="V124" s="164"/>
    </row>
    <row r="125" ht="12.75" customHeight="1">
      <c r="A125" s="162"/>
      <c r="B125" s="162"/>
      <c r="C125" s="162"/>
      <c r="D125" s="1"/>
      <c r="E125" s="162"/>
      <c r="F125" s="11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4"/>
      <c r="V125" s="164"/>
    </row>
    <row r="126" ht="12.75" customHeight="1">
      <c r="A126" s="162"/>
      <c r="B126" s="162"/>
      <c r="C126" s="162"/>
      <c r="D126" s="1"/>
      <c r="E126" s="162"/>
      <c r="F126" s="11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4"/>
      <c r="V126" s="164"/>
    </row>
    <row r="127" ht="12.75" customHeight="1">
      <c r="A127" s="162"/>
      <c r="B127" s="162"/>
      <c r="C127" s="162"/>
      <c r="D127" s="1"/>
      <c r="E127" s="162"/>
      <c r="F127" s="11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4"/>
      <c r="V127" s="164"/>
    </row>
    <row r="128" ht="12.75" customHeight="1">
      <c r="A128" s="162"/>
      <c r="B128" s="162"/>
      <c r="C128" s="162"/>
      <c r="D128" s="1"/>
      <c r="E128" s="162"/>
      <c r="F128" s="11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4"/>
      <c r="V128" s="164"/>
    </row>
    <row r="129" ht="12.75" customHeight="1">
      <c r="A129" s="162"/>
      <c r="B129" s="162"/>
      <c r="C129" s="162"/>
      <c r="D129" s="1"/>
      <c r="E129" s="162"/>
      <c r="F129" s="11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4"/>
      <c r="V129" s="164"/>
    </row>
    <row r="130" ht="12.75" customHeight="1">
      <c r="A130" s="162"/>
      <c r="B130" s="162"/>
      <c r="C130" s="162"/>
      <c r="D130" s="1"/>
      <c r="E130" s="162"/>
      <c r="F130" s="11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4"/>
      <c r="V130" s="164"/>
    </row>
    <row r="131" ht="12.75" customHeight="1">
      <c r="A131" s="162"/>
      <c r="B131" s="162"/>
      <c r="C131" s="162"/>
      <c r="D131" s="1"/>
      <c r="E131" s="162"/>
      <c r="F131" s="11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4"/>
      <c r="V131" s="164"/>
    </row>
    <row r="132" ht="12.75" customHeight="1">
      <c r="A132" s="162"/>
      <c r="B132" s="162"/>
      <c r="C132" s="162"/>
      <c r="D132" s="1"/>
      <c r="E132" s="162"/>
      <c r="F132" s="11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4"/>
      <c r="V132" s="164"/>
    </row>
    <row r="133" ht="12.75" customHeight="1">
      <c r="A133" s="162"/>
      <c r="B133" s="162"/>
      <c r="C133" s="162"/>
      <c r="D133" s="1"/>
      <c r="E133" s="162"/>
      <c r="F133" s="11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4"/>
      <c r="V133" s="164"/>
    </row>
    <row r="134" ht="12.75" customHeight="1">
      <c r="A134" s="162"/>
      <c r="B134" s="162"/>
      <c r="C134" s="162"/>
      <c r="D134" s="1"/>
      <c r="E134" s="162"/>
      <c r="F134" s="11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4"/>
      <c r="V134" s="164"/>
    </row>
    <row r="135" ht="12.75" customHeight="1">
      <c r="A135" s="162"/>
      <c r="B135" s="162"/>
      <c r="C135" s="162"/>
      <c r="D135" s="1"/>
      <c r="E135" s="162"/>
      <c r="F135" s="11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4"/>
      <c r="V135" s="164"/>
    </row>
    <row r="136" ht="12.75" customHeight="1">
      <c r="A136" s="162"/>
      <c r="B136" s="162"/>
      <c r="C136" s="162"/>
      <c r="D136" s="1"/>
      <c r="E136" s="162"/>
      <c r="F136" s="11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4"/>
      <c r="V136" s="164"/>
    </row>
    <row r="137" ht="12.75" customHeight="1">
      <c r="A137" s="162"/>
      <c r="B137" s="162"/>
      <c r="C137" s="162"/>
      <c r="D137" s="1"/>
      <c r="E137" s="162"/>
      <c r="F137" s="11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4"/>
      <c r="V137" s="164"/>
    </row>
    <row r="138" ht="12.75" customHeight="1">
      <c r="A138" s="162"/>
      <c r="B138" s="162"/>
      <c r="C138" s="162"/>
      <c r="D138" s="1"/>
      <c r="E138" s="162"/>
      <c r="F138" s="11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4"/>
      <c r="V138" s="164"/>
    </row>
    <row r="139" ht="12.75" customHeight="1">
      <c r="A139" s="162"/>
      <c r="B139" s="162"/>
      <c r="C139" s="162"/>
      <c r="D139" s="1"/>
      <c r="E139" s="162"/>
      <c r="F139" s="11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4"/>
      <c r="V139" s="164"/>
    </row>
    <row r="140" ht="12.75" customHeight="1">
      <c r="A140" s="162"/>
      <c r="B140" s="162"/>
      <c r="C140" s="162"/>
      <c r="D140" s="1"/>
      <c r="E140" s="162"/>
      <c r="F140" s="11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4"/>
      <c r="V140" s="164"/>
    </row>
    <row r="141" ht="12.75" customHeight="1">
      <c r="A141" s="162"/>
      <c r="B141" s="162"/>
      <c r="C141" s="162"/>
      <c r="D141" s="1"/>
      <c r="E141" s="162"/>
      <c r="F141" s="11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4"/>
      <c r="V141" s="164"/>
    </row>
    <row r="142" ht="12.75" customHeight="1">
      <c r="A142" s="162"/>
      <c r="B142" s="162"/>
      <c r="C142" s="162"/>
      <c r="D142" s="1"/>
      <c r="E142" s="162"/>
      <c r="F142" s="11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4"/>
      <c r="V142" s="164"/>
    </row>
    <row r="143" ht="12.75" customHeight="1">
      <c r="A143" s="162"/>
      <c r="B143" s="162"/>
      <c r="C143" s="162"/>
      <c r="D143" s="1"/>
      <c r="E143" s="162"/>
      <c r="F143" s="11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4"/>
      <c r="V143" s="164"/>
    </row>
    <row r="144" ht="12.75" customHeight="1">
      <c r="A144" s="162"/>
      <c r="B144" s="162"/>
      <c r="C144" s="162"/>
      <c r="D144" s="1"/>
      <c r="E144" s="162"/>
      <c r="F144" s="11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4"/>
      <c r="V144" s="164"/>
    </row>
    <row r="145" ht="12.75" customHeight="1">
      <c r="A145" s="162"/>
      <c r="B145" s="162"/>
      <c r="C145" s="162"/>
      <c r="D145" s="1"/>
      <c r="E145" s="162"/>
      <c r="F145" s="11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4"/>
      <c r="V145" s="164"/>
    </row>
    <row r="146" ht="12.75" customHeight="1">
      <c r="A146" s="162"/>
      <c r="B146" s="162"/>
      <c r="C146" s="162"/>
      <c r="D146" s="1"/>
      <c r="E146" s="162"/>
      <c r="F146" s="11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4"/>
      <c r="V146" s="164"/>
    </row>
    <row r="147" ht="12.75" customHeight="1">
      <c r="A147" s="162"/>
      <c r="B147" s="162"/>
      <c r="C147" s="162"/>
      <c r="D147" s="1"/>
      <c r="E147" s="162"/>
      <c r="F147" s="11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4"/>
      <c r="V147" s="164"/>
    </row>
    <row r="148" ht="12.75" customHeight="1">
      <c r="A148" s="162"/>
      <c r="B148" s="162"/>
      <c r="C148" s="162"/>
      <c r="D148" s="1"/>
      <c r="E148" s="162"/>
      <c r="F148" s="11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4"/>
      <c r="V148" s="164"/>
    </row>
    <row r="149" ht="12.75" customHeight="1">
      <c r="A149" s="162"/>
      <c r="B149" s="162"/>
      <c r="C149" s="162"/>
      <c r="D149" s="1"/>
      <c r="E149" s="162"/>
      <c r="F149" s="11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4"/>
      <c r="V149" s="164"/>
    </row>
    <row r="150" ht="12.75" customHeight="1">
      <c r="A150" s="162"/>
      <c r="B150" s="162"/>
      <c r="C150" s="162"/>
      <c r="D150" s="1"/>
      <c r="E150" s="162"/>
      <c r="F150" s="11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4"/>
      <c r="V150" s="164"/>
    </row>
    <row r="151" ht="12.75" customHeight="1">
      <c r="A151" s="162"/>
      <c r="B151" s="162"/>
      <c r="C151" s="162"/>
      <c r="D151" s="1"/>
      <c r="E151" s="162"/>
      <c r="F151" s="11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4"/>
      <c r="V151" s="164"/>
    </row>
    <row r="152" ht="12.75" customHeight="1">
      <c r="A152" s="162"/>
      <c r="B152" s="162"/>
      <c r="C152" s="162"/>
      <c r="D152" s="1"/>
      <c r="E152" s="162"/>
      <c r="F152" s="11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4"/>
      <c r="V152" s="164"/>
    </row>
    <row r="153" ht="12.75" customHeight="1">
      <c r="A153" s="162"/>
      <c r="B153" s="162"/>
      <c r="C153" s="162"/>
      <c r="D153" s="1"/>
      <c r="E153" s="162"/>
      <c r="F153" s="11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4"/>
      <c r="V153" s="164"/>
    </row>
    <row r="154" ht="12.75" customHeight="1">
      <c r="A154" s="162"/>
      <c r="B154" s="162"/>
      <c r="C154" s="162"/>
      <c r="D154" s="1"/>
      <c r="E154" s="162"/>
      <c r="F154" s="11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4"/>
      <c r="V154" s="164"/>
    </row>
    <row r="155" ht="12.75" customHeight="1">
      <c r="A155" s="162"/>
      <c r="B155" s="162"/>
      <c r="C155" s="162"/>
      <c r="D155" s="1"/>
      <c r="E155" s="162"/>
      <c r="F155" s="11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4"/>
      <c r="V155" s="164"/>
    </row>
    <row r="156" ht="12.75" customHeight="1">
      <c r="A156" s="162"/>
      <c r="B156" s="162"/>
      <c r="C156" s="162"/>
      <c r="D156" s="1"/>
      <c r="E156" s="162"/>
      <c r="F156" s="11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4"/>
      <c r="V156" s="164"/>
    </row>
    <row r="157" ht="12.75" customHeight="1">
      <c r="A157" s="162"/>
      <c r="B157" s="162"/>
      <c r="C157" s="162"/>
      <c r="D157" s="1"/>
      <c r="E157" s="162"/>
      <c r="F157" s="11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4"/>
      <c r="V157" s="164"/>
    </row>
    <row r="158" ht="12.75" customHeight="1">
      <c r="A158" s="162"/>
      <c r="B158" s="162"/>
      <c r="C158" s="162"/>
      <c r="D158" s="1"/>
      <c r="E158" s="162"/>
      <c r="F158" s="11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4"/>
      <c r="V158" s="164"/>
    </row>
    <row r="159" ht="12.75" customHeight="1">
      <c r="A159" s="162"/>
      <c r="B159" s="162"/>
      <c r="C159" s="162"/>
      <c r="D159" s="1"/>
      <c r="E159" s="162"/>
      <c r="F159" s="11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4"/>
      <c r="V159" s="164"/>
    </row>
    <row r="160" ht="12.75" customHeight="1">
      <c r="A160" s="162"/>
      <c r="B160" s="162"/>
      <c r="C160" s="162"/>
      <c r="D160" s="1"/>
      <c r="E160" s="162"/>
      <c r="F160" s="11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4"/>
      <c r="V160" s="164"/>
    </row>
    <row r="161" ht="12.75" customHeight="1">
      <c r="A161" s="162"/>
      <c r="B161" s="162"/>
      <c r="C161" s="162"/>
      <c r="D161" s="1"/>
      <c r="E161" s="162"/>
      <c r="F161" s="11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4"/>
      <c r="V161" s="164"/>
    </row>
    <row r="162" ht="12.75" customHeight="1">
      <c r="A162" s="162"/>
      <c r="B162" s="162"/>
      <c r="C162" s="162"/>
      <c r="D162" s="1"/>
      <c r="E162" s="162"/>
      <c r="F162" s="11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4"/>
      <c r="V162" s="164"/>
    </row>
    <row r="163" ht="12.75" customHeight="1">
      <c r="A163" s="162"/>
      <c r="B163" s="162"/>
      <c r="C163" s="162"/>
      <c r="D163" s="1"/>
      <c r="E163" s="162"/>
      <c r="F163" s="11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4"/>
      <c r="V163" s="164"/>
    </row>
    <row r="164" ht="12.75" customHeight="1">
      <c r="A164" s="162"/>
      <c r="B164" s="162"/>
      <c r="C164" s="162"/>
      <c r="D164" s="1"/>
      <c r="E164" s="162"/>
      <c r="F164" s="11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4"/>
      <c r="V164" s="164"/>
    </row>
    <row r="165" ht="12.75" customHeight="1">
      <c r="A165" s="162"/>
      <c r="B165" s="162"/>
      <c r="C165" s="162"/>
      <c r="D165" s="1"/>
      <c r="E165" s="162"/>
      <c r="F165" s="11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4"/>
      <c r="V165" s="164"/>
    </row>
    <row r="166" ht="12.75" customHeight="1">
      <c r="A166" s="162"/>
      <c r="B166" s="162"/>
      <c r="C166" s="162"/>
      <c r="D166" s="1"/>
      <c r="E166" s="162"/>
      <c r="F166" s="11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4"/>
      <c r="V166" s="164"/>
    </row>
    <row r="167" ht="12.75" customHeight="1">
      <c r="A167" s="162"/>
      <c r="B167" s="162"/>
      <c r="C167" s="162"/>
      <c r="D167" s="1"/>
      <c r="E167" s="162"/>
      <c r="F167" s="11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4"/>
      <c r="V167" s="164"/>
    </row>
    <row r="168" ht="12.75" customHeight="1">
      <c r="A168" s="162"/>
      <c r="B168" s="162"/>
      <c r="C168" s="162"/>
      <c r="D168" s="1"/>
      <c r="E168" s="162"/>
      <c r="F168" s="11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4"/>
      <c r="V168" s="164"/>
    </row>
    <row r="169" ht="12.75" customHeight="1">
      <c r="A169" s="162"/>
      <c r="B169" s="162"/>
      <c r="C169" s="162"/>
      <c r="D169" s="1"/>
      <c r="E169" s="162"/>
      <c r="F169" s="11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4"/>
      <c r="V169" s="164"/>
    </row>
    <row r="170" ht="12.75" customHeight="1">
      <c r="A170" s="162"/>
      <c r="B170" s="162"/>
      <c r="C170" s="162"/>
      <c r="D170" s="1"/>
      <c r="E170" s="162"/>
      <c r="F170" s="11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4"/>
      <c r="V170" s="164"/>
    </row>
    <row r="171" ht="12.75" customHeight="1">
      <c r="A171" s="162"/>
      <c r="B171" s="162"/>
      <c r="C171" s="162"/>
      <c r="D171" s="1"/>
      <c r="E171" s="162"/>
      <c r="F171" s="11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4"/>
      <c r="V171" s="164"/>
    </row>
    <row r="172" ht="12.75" customHeight="1">
      <c r="A172" s="162"/>
      <c r="B172" s="162"/>
      <c r="C172" s="162"/>
      <c r="D172" s="1"/>
      <c r="E172" s="162"/>
      <c r="F172" s="11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4"/>
      <c r="V172" s="164"/>
    </row>
    <row r="173" ht="12.75" customHeight="1">
      <c r="A173" s="162"/>
      <c r="B173" s="162"/>
      <c r="C173" s="162"/>
      <c r="D173" s="1"/>
      <c r="E173" s="162"/>
      <c r="F173" s="11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4"/>
      <c r="V173" s="164"/>
    </row>
    <row r="174" ht="12.75" customHeight="1">
      <c r="A174" s="162"/>
      <c r="B174" s="162"/>
      <c r="C174" s="162"/>
      <c r="D174" s="1"/>
      <c r="E174" s="162"/>
      <c r="F174" s="11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4"/>
      <c r="V174" s="164"/>
    </row>
    <row r="175" ht="12.75" customHeight="1">
      <c r="A175" s="162"/>
      <c r="B175" s="162"/>
      <c r="C175" s="162"/>
      <c r="D175" s="1"/>
      <c r="E175" s="162"/>
      <c r="F175" s="11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4"/>
      <c r="V175" s="164"/>
    </row>
    <row r="176" ht="12.75" customHeight="1">
      <c r="A176" s="162"/>
      <c r="B176" s="162"/>
      <c r="C176" s="162"/>
      <c r="D176" s="1"/>
      <c r="E176" s="162"/>
      <c r="F176" s="11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4"/>
      <c r="V176" s="164"/>
    </row>
    <row r="177" ht="12.75" customHeight="1">
      <c r="A177" s="162"/>
      <c r="B177" s="162"/>
      <c r="C177" s="162"/>
      <c r="D177" s="1"/>
      <c r="E177" s="162"/>
      <c r="F177" s="11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4"/>
      <c r="V177" s="164"/>
    </row>
    <row r="178" ht="12.75" customHeight="1">
      <c r="A178" s="162"/>
      <c r="B178" s="162"/>
      <c r="C178" s="162"/>
      <c r="D178" s="1"/>
      <c r="E178" s="162"/>
      <c r="F178" s="11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4"/>
      <c r="V178" s="164"/>
    </row>
    <row r="179" ht="12.75" customHeight="1">
      <c r="A179" s="162"/>
      <c r="B179" s="162"/>
      <c r="C179" s="162"/>
      <c r="D179" s="1"/>
      <c r="E179" s="162"/>
      <c r="F179" s="11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4"/>
      <c r="V179" s="164"/>
    </row>
    <row r="180" ht="12.75" customHeight="1">
      <c r="A180" s="162"/>
      <c r="B180" s="162"/>
      <c r="C180" s="162"/>
      <c r="D180" s="1"/>
      <c r="E180" s="162"/>
      <c r="F180" s="11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4"/>
      <c r="V180" s="164"/>
    </row>
    <row r="181" ht="12.75" customHeight="1">
      <c r="A181" s="162"/>
      <c r="B181" s="162"/>
      <c r="C181" s="162"/>
      <c r="D181" s="1"/>
      <c r="E181" s="162"/>
      <c r="F181" s="11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4"/>
      <c r="V181" s="164"/>
    </row>
    <row r="182" ht="12.75" customHeight="1">
      <c r="A182" s="162"/>
      <c r="B182" s="162"/>
      <c r="C182" s="162"/>
      <c r="D182" s="1"/>
      <c r="E182" s="162"/>
      <c r="F182" s="11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4"/>
      <c r="V182" s="164"/>
    </row>
    <row r="183" ht="12.75" customHeight="1">
      <c r="A183" s="162"/>
      <c r="B183" s="162"/>
      <c r="C183" s="162"/>
      <c r="D183" s="1"/>
      <c r="E183" s="162"/>
      <c r="F183" s="11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4"/>
      <c r="V183" s="164"/>
    </row>
    <row r="184" ht="12.75" customHeight="1">
      <c r="A184" s="162"/>
      <c r="B184" s="162"/>
      <c r="C184" s="162"/>
      <c r="D184" s="1"/>
      <c r="E184" s="162"/>
      <c r="F184" s="11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4"/>
      <c r="V184" s="164"/>
    </row>
    <row r="185" ht="12.75" customHeight="1">
      <c r="A185" s="162"/>
      <c r="B185" s="162"/>
      <c r="C185" s="162"/>
      <c r="D185" s="1"/>
      <c r="E185" s="162"/>
      <c r="F185" s="11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4"/>
      <c r="V185" s="164"/>
    </row>
    <row r="186" ht="12.75" customHeight="1">
      <c r="A186" s="162"/>
      <c r="B186" s="162"/>
      <c r="C186" s="162"/>
      <c r="D186" s="1"/>
      <c r="E186" s="162"/>
      <c r="F186" s="11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4"/>
      <c r="V186" s="164"/>
    </row>
    <row r="187" ht="12.75" customHeight="1">
      <c r="A187" s="162"/>
      <c r="B187" s="162"/>
      <c r="C187" s="162"/>
      <c r="D187" s="1"/>
      <c r="E187" s="162"/>
      <c r="F187" s="11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4"/>
      <c r="V187" s="164"/>
    </row>
    <row r="188" ht="12.75" customHeight="1">
      <c r="A188" s="162"/>
      <c r="B188" s="162"/>
      <c r="C188" s="162"/>
      <c r="D188" s="1"/>
      <c r="E188" s="162"/>
      <c r="F188" s="11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4"/>
      <c r="V188" s="164"/>
    </row>
    <row r="189" ht="12.75" customHeight="1">
      <c r="A189" s="162"/>
      <c r="B189" s="162"/>
      <c r="C189" s="162"/>
      <c r="D189" s="1"/>
      <c r="E189" s="162"/>
      <c r="F189" s="11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4"/>
      <c r="V189" s="164"/>
    </row>
    <row r="190" ht="12.75" customHeight="1">
      <c r="A190" s="162"/>
      <c r="B190" s="162"/>
      <c r="C190" s="162"/>
      <c r="D190" s="1"/>
      <c r="E190" s="162"/>
      <c r="F190" s="11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4"/>
      <c r="V190" s="164"/>
    </row>
    <row r="191" ht="12.75" customHeight="1">
      <c r="A191" s="162"/>
      <c r="B191" s="162"/>
      <c r="C191" s="162"/>
      <c r="D191" s="1"/>
      <c r="E191" s="162"/>
      <c r="F191" s="11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4"/>
      <c r="V191" s="164"/>
    </row>
    <row r="192" ht="12.75" customHeight="1">
      <c r="A192" s="162"/>
      <c r="B192" s="162"/>
      <c r="C192" s="162"/>
      <c r="D192" s="1"/>
      <c r="E192" s="162"/>
      <c r="F192" s="11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4"/>
      <c r="V192" s="164"/>
    </row>
    <row r="193" ht="12.75" customHeight="1">
      <c r="A193" s="162"/>
      <c r="B193" s="162"/>
      <c r="C193" s="162"/>
      <c r="D193" s="1"/>
      <c r="E193" s="162"/>
      <c r="F193" s="11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4"/>
      <c r="V193" s="164"/>
    </row>
    <row r="194" ht="12.75" customHeight="1">
      <c r="A194" s="162"/>
      <c r="B194" s="162"/>
      <c r="C194" s="162"/>
      <c r="D194" s="1"/>
      <c r="E194" s="162"/>
      <c r="F194" s="11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4"/>
      <c r="V194" s="164"/>
    </row>
    <row r="195" ht="12.75" customHeight="1">
      <c r="A195" s="162"/>
      <c r="B195" s="162"/>
      <c r="C195" s="162"/>
      <c r="D195" s="1"/>
      <c r="E195" s="162"/>
      <c r="F195" s="11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4"/>
      <c r="V195" s="164"/>
    </row>
    <row r="196" ht="12.75" customHeight="1">
      <c r="A196" s="162"/>
      <c r="B196" s="162"/>
      <c r="C196" s="162"/>
      <c r="D196" s="1"/>
      <c r="E196" s="162"/>
      <c r="F196" s="11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4"/>
      <c r="V196" s="164"/>
    </row>
    <row r="197" ht="12.75" customHeight="1">
      <c r="A197" s="162"/>
      <c r="B197" s="162"/>
      <c r="C197" s="162"/>
      <c r="D197" s="1"/>
      <c r="E197" s="162"/>
      <c r="F197" s="11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4"/>
      <c r="V197" s="164"/>
    </row>
    <row r="198" ht="12.75" customHeight="1">
      <c r="A198" s="162"/>
      <c r="B198" s="162"/>
      <c r="C198" s="162"/>
      <c r="D198" s="1"/>
      <c r="E198" s="162"/>
      <c r="F198" s="11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4"/>
      <c r="V198" s="164"/>
    </row>
    <row r="199" ht="12.75" customHeight="1">
      <c r="A199" s="162"/>
      <c r="B199" s="162"/>
      <c r="C199" s="162"/>
      <c r="D199" s="1"/>
      <c r="E199" s="162"/>
      <c r="F199" s="11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4"/>
      <c r="V199" s="164"/>
    </row>
    <row r="200" ht="12.75" customHeight="1">
      <c r="A200" s="162"/>
      <c r="B200" s="162"/>
      <c r="C200" s="162"/>
      <c r="D200" s="1"/>
      <c r="E200" s="162"/>
      <c r="F200" s="11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4"/>
      <c r="V200" s="164"/>
    </row>
    <row r="201" ht="12.75" customHeight="1">
      <c r="A201" s="162"/>
      <c r="B201" s="162"/>
      <c r="C201" s="162"/>
      <c r="D201" s="1"/>
      <c r="E201" s="162"/>
      <c r="F201" s="11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4"/>
      <c r="V201" s="164"/>
    </row>
    <row r="202" ht="12.75" customHeight="1">
      <c r="A202" s="162"/>
      <c r="B202" s="162"/>
      <c r="C202" s="162"/>
      <c r="D202" s="1"/>
      <c r="E202" s="162"/>
      <c r="F202" s="11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4"/>
      <c r="V202" s="164"/>
    </row>
    <row r="203" ht="12.75" customHeight="1">
      <c r="A203" s="162"/>
      <c r="B203" s="162"/>
      <c r="C203" s="162"/>
      <c r="D203" s="1"/>
      <c r="E203" s="162"/>
      <c r="F203" s="11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4"/>
      <c r="V203" s="164"/>
    </row>
    <row r="204" ht="12.75" customHeight="1">
      <c r="A204" s="162"/>
      <c r="B204" s="162"/>
      <c r="C204" s="162"/>
      <c r="D204" s="1"/>
      <c r="E204" s="162"/>
      <c r="F204" s="11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4"/>
      <c r="V204" s="164"/>
    </row>
    <row r="205" ht="12.75" customHeight="1">
      <c r="A205" s="162"/>
      <c r="B205" s="162"/>
      <c r="C205" s="162"/>
      <c r="D205" s="1"/>
      <c r="E205" s="162"/>
      <c r="F205" s="11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4"/>
      <c r="V205" s="164"/>
    </row>
    <row r="206" ht="12.75" customHeight="1">
      <c r="A206" s="162"/>
      <c r="B206" s="162"/>
      <c r="C206" s="162"/>
      <c r="D206" s="1"/>
      <c r="E206" s="162"/>
      <c r="F206" s="11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4"/>
      <c r="V206" s="164"/>
    </row>
    <row r="207" ht="12.75" customHeight="1">
      <c r="A207" s="162"/>
      <c r="B207" s="162"/>
      <c r="C207" s="162"/>
      <c r="D207" s="1"/>
      <c r="E207" s="162"/>
      <c r="F207" s="11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4"/>
      <c r="V207" s="164"/>
    </row>
    <row r="208" ht="12.75" customHeight="1">
      <c r="A208" s="162"/>
      <c r="B208" s="162"/>
      <c r="C208" s="162"/>
      <c r="D208" s="1"/>
      <c r="E208" s="162"/>
      <c r="F208" s="11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4"/>
      <c r="V208" s="164"/>
    </row>
    <row r="209" ht="12.75" customHeight="1">
      <c r="A209" s="162"/>
      <c r="B209" s="162"/>
      <c r="C209" s="162"/>
      <c r="D209" s="1"/>
      <c r="E209" s="162"/>
      <c r="F209" s="11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4"/>
      <c r="V209" s="164"/>
    </row>
    <row r="210" ht="12.75" customHeight="1">
      <c r="A210" s="162"/>
      <c r="B210" s="162"/>
      <c r="C210" s="162"/>
      <c r="D210" s="1"/>
      <c r="E210" s="162"/>
      <c r="F210" s="11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4"/>
      <c r="V210" s="164"/>
    </row>
    <row r="211" ht="12.75" customHeight="1">
      <c r="A211" s="162"/>
      <c r="B211" s="162"/>
      <c r="C211" s="162"/>
      <c r="D211" s="1"/>
      <c r="E211" s="162"/>
      <c r="F211" s="11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4"/>
      <c r="V211" s="164"/>
    </row>
    <row r="212" ht="12.75" customHeight="1">
      <c r="A212" s="162"/>
      <c r="B212" s="162"/>
      <c r="C212" s="162"/>
      <c r="D212" s="1"/>
      <c r="E212" s="162"/>
      <c r="F212" s="11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4"/>
      <c r="V212" s="164"/>
    </row>
    <row r="213" ht="12.75" customHeight="1">
      <c r="A213" s="162"/>
      <c r="B213" s="162"/>
      <c r="C213" s="162"/>
      <c r="D213" s="1"/>
      <c r="E213" s="162"/>
      <c r="F213" s="11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4"/>
      <c r="V213" s="164"/>
    </row>
    <row r="214" ht="12.75" customHeight="1">
      <c r="A214" s="162"/>
      <c r="B214" s="162"/>
      <c r="C214" s="162"/>
      <c r="D214" s="1"/>
      <c r="E214" s="162"/>
      <c r="F214" s="11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4"/>
      <c r="V214" s="164"/>
    </row>
    <row r="215" ht="12.75" customHeight="1">
      <c r="A215" s="162"/>
      <c r="B215" s="162"/>
      <c r="C215" s="162"/>
      <c r="D215" s="1"/>
      <c r="E215" s="162"/>
      <c r="F215" s="11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4"/>
      <c r="V215" s="164"/>
    </row>
    <row r="216" ht="12.75" customHeight="1">
      <c r="A216" s="162"/>
      <c r="B216" s="162"/>
      <c r="C216" s="162"/>
      <c r="D216" s="1"/>
      <c r="E216" s="162"/>
      <c r="F216" s="11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4"/>
      <c r="V216" s="164"/>
    </row>
    <row r="217" ht="12.75" customHeight="1">
      <c r="A217" s="162"/>
      <c r="B217" s="162"/>
      <c r="C217" s="162"/>
      <c r="D217" s="1"/>
      <c r="E217" s="162"/>
      <c r="F217" s="11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4"/>
      <c r="V217" s="164"/>
    </row>
    <row r="218" ht="12.75" customHeight="1">
      <c r="A218" s="162"/>
      <c r="B218" s="162"/>
      <c r="C218" s="162"/>
      <c r="D218" s="1"/>
      <c r="E218" s="162"/>
      <c r="F218" s="11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4"/>
      <c r="V218" s="164"/>
    </row>
    <row r="219" ht="12.75" customHeight="1">
      <c r="A219" s="162"/>
      <c r="B219" s="162"/>
      <c r="C219" s="162"/>
      <c r="D219" s="1"/>
      <c r="E219" s="162"/>
      <c r="F219" s="11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4"/>
      <c r="V219" s="164"/>
    </row>
    <row r="220" ht="12.75" customHeight="1">
      <c r="A220" s="162"/>
      <c r="B220" s="162"/>
      <c r="C220" s="162"/>
      <c r="D220" s="1"/>
      <c r="E220" s="162"/>
      <c r="F220" s="11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4"/>
      <c r="V220" s="164"/>
    </row>
    <row r="221" ht="12.75" customHeight="1">
      <c r="A221" s="162"/>
      <c r="B221" s="162"/>
      <c r="C221" s="162"/>
      <c r="D221" s="1"/>
      <c r="E221" s="162"/>
      <c r="F221" s="11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4"/>
      <c r="V221" s="164"/>
    </row>
    <row r="222" ht="12.75" customHeight="1">
      <c r="A222" s="162"/>
      <c r="B222" s="162"/>
      <c r="C222" s="162"/>
      <c r="D222" s="1"/>
      <c r="E222" s="162"/>
      <c r="F222" s="11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4"/>
      <c r="V222" s="164"/>
    </row>
    <row r="223" ht="12.75" customHeight="1">
      <c r="A223" s="162"/>
      <c r="B223" s="162"/>
      <c r="C223" s="162"/>
      <c r="D223" s="1"/>
      <c r="E223" s="162"/>
      <c r="F223" s="11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4"/>
      <c r="V223" s="164"/>
    </row>
    <row r="224" ht="12.75" customHeight="1">
      <c r="A224" s="162"/>
      <c r="B224" s="162"/>
      <c r="C224" s="162"/>
      <c r="D224" s="1"/>
      <c r="E224" s="162"/>
      <c r="F224" s="11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4"/>
      <c r="V224" s="164"/>
    </row>
    <row r="225" ht="12.75" customHeight="1">
      <c r="A225" s="162"/>
      <c r="B225" s="162"/>
      <c r="C225" s="162"/>
      <c r="D225" s="1"/>
      <c r="E225" s="162"/>
      <c r="F225" s="11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4"/>
      <c r="V225" s="164"/>
    </row>
    <row r="226" ht="12.75" customHeight="1">
      <c r="A226" s="162"/>
      <c r="B226" s="162"/>
      <c r="C226" s="162"/>
      <c r="D226" s="1"/>
      <c r="E226" s="162"/>
      <c r="F226" s="11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4"/>
      <c r="V226" s="164"/>
    </row>
    <row r="227" ht="12.75" customHeight="1">
      <c r="A227" s="162"/>
      <c r="B227" s="162"/>
      <c r="C227" s="162"/>
      <c r="D227" s="1"/>
      <c r="E227" s="162"/>
      <c r="F227" s="11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4"/>
      <c r="V227" s="164"/>
    </row>
    <row r="228" ht="12.75" customHeight="1">
      <c r="A228" s="162"/>
      <c r="B228" s="162"/>
      <c r="C228" s="162"/>
      <c r="D228" s="1"/>
      <c r="E228" s="162"/>
      <c r="F228" s="11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4"/>
      <c r="V228" s="164"/>
    </row>
    <row r="229" ht="12.75" customHeight="1">
      <c r="A229" s="162"/>
      <c r="B229" s="162"/>
      <c r="C229" s="162"/>
      <c r="D229" s="1"/>
      <c r="E229" s="162"/>
      <c r="F229" s="11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4"/>
      <c r="V229" s="164"/>
    </row>
    <row r="230" ht="12.75" customHeight="1">
      <c r="A230" s="162"/>
      <c r="B230" s="162"/>
      <c r="C230" s="162"/>
      <c r="D230" s="1"/>
      <c r="E230" s="162"/>
      <c r="F230" s="11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4"/>
      <c r="V230" s="164"/>
    </row>
    <row r="231" ht="12.75" customHeight="1">
      <c r="A231" s="162"/>
      <c r="B231" s="162"/>
      <c r="C231" s="162"/>
      <c r="D231" s="1"/>
      <c r="E231" s="162"/>
      <c r="F231" s="11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4"/>
      <c r="V231" s="164"/>
    </row>
    <row r="232" ht="12.75" customHeight="1">
      <c r="A232" s="162"/>
      <c r="B232" s="162"/>
      <c r="C232" s="162"/>
      <c r="D232" s="1"/>
      <c r="E232" s="162"/>
      <c r="F232" s="11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4"/>
      <c r="V232" s="164"/>
    </row>
    <row r="233" ht="12.75" customHeight="1">
      <c r="A233" s="162"/>
      <c r="B233" s="162"/>
      <c r="C233" s="162"/>
      <c r="D233" s="1"/>
      <c r="E233" s="162"/>
      <c r="F233" s="11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4"/>
      <c r="V233" s="164"/>
    </row>
    <row r="234" ht="12.75" customHeight="1">
      <c r="A234" s="162"/>
      <c r="B234" s="162"/>
      <c r="C234" s="162"/>
      <c r="D234" s="1"/>
      <c r="E234" s="162"/>
      <c r="F234" s="11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4"/>
      <c r="V234" s="164"/>
    </row>
    <row r="235" ht="12.75" customHeight="1">
      <c r="A235" s="162"/>
      <c r="B235" s="162"/>
      <c r="C235" s="162"/>
      <c r="D235" s="1"/>
      <c r="E235" s="162"/>
      <c r="F235" s="11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4"/>
      <c r="V235" s="164"/>
    </row>
    <row r="236" ht="12.75" customHeight="1">
      <c r="A236" s="162"/>
      <c r="B236" s="162"/>
      <c r="C236" s="162"/>
      <c r="D236" s="1"/>
      <c r="E236" s="162"/>
      <c r="F236" s="11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4"/>
      <c r="V236" s="164"/>
    </row>
    <row r="237" ht="12.75" customHeight="1">
      <c r="A237" s="162"/>
      <c r="B237" s="162"/>
      <c r="C237" s="162"/>
      <c r="D237" s="1"/>
      <c r="E237" s="162"/>
      <c r="F237" s="11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4"/>
      <c r="V237" s="164"/>
    </row>
    <row r="238" ht="12.75" customHeight="1">
      <c r="A238" s="162"/>
      <c r="B238" s="162"/>
      <c r="C238" s="162"/>
      <c r="D238" s="1"/>
      <c r="E238" s="162"/>
      <c r="F238" s="11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4"/>
      <c r="V238" s="164"/>
    </row>
    <row r="239" ht="12.75" customHeight="1">
      <c r="A239" s="162"/>
      <c r="B239" s="162"/>
      <c r="C239" s="162"/>
      <c r="D239" s="1"/>
      <c r="E239" s="162"/>
      <c r="F239" s="11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4"/>
      <c r="V239" s="164"/>
    </row>
    <row r="240" ht="12.75" customHeight="1">
      <c r="A240" s="162"/>
      <c r="B240" s="162"/>
      <c r="C240" s="162"/>
      <c r="D240" s="1"/>
      <c r="E240" s="162"/>
      <c r="F240" s="11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4"/>
      <c r="V240" s="164"/>
    </row>
    <row r="241" ht="12.75" customHeight="1">
      <c r="A241" s="162"/>
      <c r="B241" s="162"/>
      <c r="C241" s="162"/>
      <c r="D241" s="1"/>
      <c r="E241" s="162"/>
      <c r="F241" s="11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4"/>
      <c r="V241" s="164"/>
    </row>
    <row r="242" ht="12.75" customHeight="1">
      <c r="A242" s="162"/>
      <c r="B242" s="162"/>
      <c r="C242" s="162"/>
      <c r="D242" s="1"/>
      <c r="E242" s="162"/>
      <c r="F242" s="11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4"/>
      <c r="V242" s="164"/>
    </row>
    <row r="243" ht="12.75" customHeight="1">
      <c r="A243" s="162"/>
      <c r="B243" s="162"/>
      <c r="C243" s="162"/>
      <c r="D243" s="1"/>
      <c r="E243" s="162"/>
      <c r="F243" s="11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4"/>
      <c r="V243" s="164"/>
    </row>
    <row r="244" ht="12.75" customHeight="1">
      <c r="A244" s="162"/>
      <c r="B244" s="162"/>
      <c r="C244" s="162"/>
      <c r="D244" s="1"/>
      <c r="E244" s="162"/>
      <c r="F244" s="11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4"/>
      <c r="V244" s="164"/>
    </row>
    <row r="245" ht="12.75" customHeight="1">
      <c r="A245" s="162"/>
      <c r="B245" s="162"/>
      <c r="C245" s="162"/>
      <c r="D245" s="1"/>
      <c r="E245" s="162"/>
      <c r="F245" s="11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4"/>
      <c r="V245" s="164"/>
    </row>
    <row r="246" ht="12.75" customHeight="1">
      <c r="A246" s="162"/>
      <c r="B246" s="162"/>
      <c r="C246" s="162"/>
      <c r="D246" s="1"/>
      <c r="E246" s="162"/>
      <c r="F246" s="11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4"/>
      <c r="V246" s="164"/>
    </row>
    <row r="247" ht="12.75" customHeight="1">
      <c r="A247" s="162"/>
      <c r="B247" s="162"/>
      <c r="C247" s="162"/>
      <c r="D247" s="1"/>
      <c r="E247" s="162"/>
      <c r="F247" s="11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4"/>
      <c r="V247" s="164"/>
    </row>
    <row r="248" ht="12.75" customHeight="1">
      <c r="A248" s="162"/>
      <c r="B248" s="162"/>
      <c r="C248" s="162"/>
      <c r="D248" s="1"/>
      <c r="E248" s="162"/>
      <c r="F248" s="11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4"/>
      <c r="V248" s="164"/>
    </row>
    <row r="249" ht="12.75" customHeight="1">
      <c r="A249" s="162"/>
      <c r="B249" s="162"/>
      <c r="C249" s="162"/>
      <c r="D249" s="1"/>
      <c r="E249" s="162"/>
      <c r="F249" s="11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4"/>
      <c r="V249" s="164"/>
    </row>
    <row r="250" ht="12.75" customHeight="1">
      <c r="A250" s="162"/>
      <c r="B250" s="162"/>
      <c r="C250" s="162"/>
      <c r="D250" s="1"/>
      <c r="E250" s="162"/>
      <c r="F250" s="11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4"/>
      <c r="V250" s="164"/>
    </row>
    <row r="251" ht="12.75" customHeight="1">
      <c r="A251" s="162"/>
      <c r="B251" s="162"/>
      <c r="C251" s="162"/>
      <c r="D251" s="1"/>
      <c r="E251" s="162"/>
      <c r="F251" s="11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4"/>
      <c r="V251" s="164"/>
    </row>
    <row r="252" ht="12.75" customHeight="1">
      <c r="A252" s="162"/>
      <c r="B252" s="162"/>
      <c r="C252" s="162"/>
      <c r="D252" s="1"/>
      <c r="E252" s="162"/>
      <c r="F252" s="11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4"/>
      <c r="V252" s="164"/>
    </row>
    <row r="253" ht="12.75" customHeight="1">
      <c r="A253" s="162"/>
      <c r="B253" s="162"/>
      <c r="C253" s="162"/>
      <c r="D253" s="1"/>
      <c r="E253" s="162"/>
      <c r="F253" s="11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4"/>
      <c r="V253" s="164"/>
    </row>
    <row r="254" ht="12.75" customHeight="1">
      <c r="A254" s="162"/>
      <c r="B254" s="162"/>
      <c r="C254" s="162"/>
      <c r="D254" s="1"/>
      <c r="E254" s="162"/>
      <c r="F254" s="11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4"/>
      <c r="V254" s="164"/>
    </row>
    <row r="255" ht="12.75" customHeight="1">
      <c r="A255" s="162"/>
      <c r="B255" s="162"/>
      <c r="C255" s="162"/>
      <c r="D255" s="1"/>
      <c r="E255" s="162"/>
      <c r="F255" s="11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4"/>
      <c r="V255" s="164"/>
    </row>
    <row r="256" ht="12.75" customHeight="1">
      <c r="A256" s="162"/>
      <c r="B256" s="162"/>
      <c r="C256" s="162"/>
      <c r="D256" s="1"/>
      <c r="E256" s="162"/>
      <c r="F256" s="1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4"/>
      <c r="V256" s="164"/>
    </row>
    <row r="257" ht="12.75" customHeight="1">
      <c r="A257" s="162"/>
      <c r="B257" s="162"/>
      <c r="C257" s="162"/>
      <c r="D257" s="1"/>
      <c r="E257" s="162"/>
      <c r="F257" s="11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4"/>
      <c r="V257" s="164"/>
    </row>
    <row r="258" ht="12.75" customHeight="1">
      <c r="A258" s="162"/>
      <c r="B258" s="162"/>
      <c r="C258" s="162"/>
      <c r="D258" s="1"/>
      <c r="E258" s="162"/>
      <c r="F258" s="11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4"/>
      <c r="V258" s="164"/>
    </row>
    <row r="259" ht="12.75" customHeight="1">
      <c r="A259" s="162"/>
      <c r="B259" s="162"/>
      <c r="C259" s="162"/>
      <c r="D259" s="1"/>
      <c r="E259" s="162"/>
      <c r="F259" s="11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4"/>
      <c r="V259" s="164"/>
    </row>
    <row r="260" ht="12.75" customHeight="1">
      <c r="A260" s="162"/>
      <c r="B260" s="162"/>
      <c r="C260" s="162"/>
      <c r="D260" s="1"/>
      <c r="E260" s="162"/>
      <c r="F260" s="11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4"/>
      <c r="V260" s="164"/>
    </row>
    <row r="261" ht="12.75" customHeight="1">
      <c r="A261" s="162"/>
      <c r="B261" s="162"/>
      <c r="C261" s="162"/>
      <c r="D261" s="1"/>
      <c r="E261" s="162"/>
      <c r="F261" s="11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4"/>
      <c r="V261" s="164"/>
    </row>
    <row r="262" ht="12.75" customHeight="1">
      <c r="A262" s="162"/>
      <c r="B262" s="162"/>
      <c r="C262" s="162"/>
      <c r="D262" s="1"/>
      <c r="E262" s="162"/>
      <c r="F262" s="11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4"/>
      <c r="V262" s="164"/>
    </row>
    <row r="263" ht="12.75" customHeight="1">
      <c r="A263" s="162"/>
      <c r="B263" s="162"/>
      <c r="C263" s="162"/>
      <c r="D263" s="1"/>
      <c r="E263" s="162"/>
      <c r="F263" s="11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4"/>
      <c r="V263" s="164"/>
    </row>
    <row r="264" ht="12.75" customHeight="1">
      <c r="A264" s="162"/>
      <c r="B264" s="162"/>
      <c r="C264" s="162"/>
      <c r="D264" s="1"/>
      <c r="E264" s="162"/>
      <c r="F264" s="11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4"/>
      <c r="V264" s="164"/>
    </row>
    <row r="265" ht="12.75" customHeight="1">
      <c r="A265" s="162"/>
      <c r="B265" s="162"/>
      <c r="C265" s="162"/>
      <c r="D265" s="1"/>
      <c r="E265" s="162"/>
      <c r="F265" s="11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4"/>
      <c r="V265" s="164"/>
    </row>
    <row r="266" ht="12.75" customHeight="1">
      <c r="A266" s="162"/>
      <c r="B266" s="162"/>
      <c r="C266" s="162"/>
      <c r="D266" s="1"/>
      <c r="E266" s="162"/>
      <c r="F266" s="11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4"/>
      <c r="V266" s="164"/>
    </row>
    <row r="267" ht="12.75" customHeight="1">
      <c r="A267" s="162"/>
      <c r="B267" s="162"/>
      <c r="C267" s="162"/>
      <c r="D267" s="1"/>
      <c r="E267" s="162"/>
      <c r="F267" s="11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4"/>
      <c r="V267" s="164"/>
    </row>
    <row r="268" ht="12.75" customHeight="1">
      <c r="A268" s="162"/>
      <c r="B268" s="162"/>
      <c r="C268" s="162"/>
      <c r="D268" s="1"/>
      <c r="E268" s="162"/>
      <c r="F268" s="11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4"/>
      <c r="V268" s="164"/>
    </row>
    <row r="269" ht="12.75" customHeight="1">
      <c r="A269" s="162"/>
      <c r="B269" s="162"/>
      <c r="C269" s="162"/>
      <c r="D269" s="1"/>
      <c r="E269" s="162"/>
      <c r="F269" s="11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4"/>
      <c r="V269" s="164"/>
    </row>
    <row r="270" ht="12.75" customHeight="1">
      <c r="A270" s="162"/>
      <c r="B270" s="162"/>
      <c r="C270" s="162"/>
      <c r="D270" s="1"/>
      <c r="E270" s="162"/>
      <c r="F270" s="11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4"/>
      <c r="V270" s="164"/>
    </row>
    <row r="271" ht="12.75" customHeight="1">
      <c r="A271" s="162"/>
      <c r="B271" s="162"/>
      <c r="C271" s="162"/>
      <c r="D271" s="1"/>
      <c r="E271" s="162"/>
      <c r="F271" s="11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4"/>
      <c r="V271" s="164"/>
    </row>
    <row r="272" ht="12.75" customHeight="1">
      <c r="A272" s="162"/>
      <c r="B272" s="162"/>
      <c r="C272" s="162"/>
      <c r="D272" s="1"/>
      <c r="E272" s="162"/>
      <c r="F272" s="11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4"/>
      <c r="V272" s="164"/>
    </row>
    <row r="273" ht="12.75" customHeight="1">
      <c r="A273" s="162"/>
      <c r="B273" s="162"/>
      <c r="C273" s="162"/>
      <c r="D273" s="1"/>
      <c r="E273" s="162"/>
      <c r="F273" s="11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4"/>
      <c r="V273" s="164"/>
    </row>
    <row r="274" ht="12.75" customHeight="1">
      <c r="A274" s="162"/>
      <c r="B274" s="162"/>
      <c r="C274" s="162"/>
      <c r="D274" s="1"/>
      <c r="E274" s="162"/>
      <c r="F274" s="11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4"/>
      <c r="V274" s="164"/>
    </row>
    <row r="275" ht="12.75" customHeight="1">
      <c r="A275" s="162"/>
      <c r="B275" s="162"/>
      <c r="C275" s="162"/>
      <c r="D275" s="1"/>
      <c r="E275" s="162"/>
      <c r="F275" s="11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4"/>
      <c r="V275" s="164"/>
    </row>
    <row r="276" ht="12.75" customHeight="1">
      <c r="A276" s="162"/>
      <c r="B276" s="162"/>
      <c r="C276" s="162"/>
      <c r="D276" s="1"/>
      <c r="E276" s="162"/>
      <c r="F276" s="11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4"/>
      <c r="V276" s="164"/>
    </row>
    <row r="277" ht="12.75" customHeight="1">
      <c r="A277" s="162"/>
      <c r="B277" s="162"/>
      <c r="C277" s="162"/>
      <c r="D277" s="1"/>
      <c r="E277" s="162"/>
      <c r="F277" s="11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4"/>
      <c r="V277" s="164"/>
    </row>
    <row r="278" ht="12.75" customHeight="1">
      <c r="A278" s="162"/>
      <c r="B278" s="162"/>
      <c r="C278" s="162"/>
      <c r="D278" s="1"/>
      <c r="E278" s="162"/>
      <c r="F278" s="11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4"/>
      <c r="V278" s="164"/>
    </row>
    <row r="279" ht="12.75" customHeight="1">
      <c r="A279" s="162"/>
      <c r="B279" s="162"/>
      <c r="C279" s="162"/>
      <c r="D279" s="1"/>
      <c r="E279" s="162"/>
      <c r="F279" s="11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4"/>
      <c r="V279" s="164"/>
    </row>
    <row r="280" ht="12.75" customHeight="1">
      <c r="A280" s="162"/>
      <c r="B280" s="162"/>
      <c r="C280" s="162"/>
      <c r="D280" s="1"/>
      <c r="E280" s="162"/>
      <c r="F280" s="11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4"/>
      <c r="V280" s="164"/>
    </row>
    <row r="281" ht="12.75" customHeight="1">
      <c r="A281" s="162"/>
      <c r="B281" s="162"/>
      <c r="C281" s="162"/>
      <c r="D281" s="1"/>
      <c r="E281" s="162"/>
      <c r="F281" s="11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4"/>
      <c r="V281" s="164"/>
    </row>
    <row r="282" ht="12.75" customHeight="1">
      <c r="A282" s="162"/>
      <c r="B282" s="162"/>
      <c r="C282" s="162"/>
      <c r="D282" s="1"/>
      <c r="E282" s="162"/>
      <c r="F282" s="11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4"/>
      <c r="V282" s="164"/>
    </row>
    <row r="283" ht="12.75" customHeight="1">
      <c r="A283" s="162"/>
      <c r="B283" s="162"/>
      <c r="C283" s="162"/>
      <c r="D283" s="1"/>
      <c r="E283" s="162"/>
      <c r="F283" s="11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4"/>
      <c r="V283" s="164"/>
    </row>
    <row r="284" ht="12.75" customHeight="1">
      <c r="A284" s="162"/>
      <c r="B284" s="162"/>
      <c r="C284" s="162"/>
      <c r="D284" s="1"/>
      <c r="E284" s="162"/>
      <c r="F284" s="11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4"/>
      <c r="V284" s="164"/>
    </row>
    <row r="285" ht="12.75" customHeight="1">
      <c r="A285" s="162"/>
      <c r="B285" s="162"/>
      <c r="C285" s="162"/>
      <c r="D285" s="1"/>
      <c r="E285" s="162"/>
      <c r="F285" s="11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4"/>
      <c r="V285" s="164"/>
    </row>
    <row r="286" ht="12.75" customHeight="1">
      <c r="A286" s="162"/>
      <c r="B286" s="162"/>
      <c r="C286" s="162"/>
      <c r="D286" s="1"/>
      <c r="E286" s="162"/>
      <c r="F286" s="11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4"/>
      <c r="V286" s="164"/>
    </row>
    <row r="287" ht="12.75" customHeight="1">
      <c r="A287" s="162"/>
      <c r="B287" s="162"/>
      <c r="C287" s="162"/>
      <c r="D287" s="1"/>
      <c r="E287" s="162"/>
      <c r="F287" s="11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4"/>
      <c r="V287" s="164"/>
    </row>
    <row r="288" ht="12.75" customHeight="1">
      <c r="A288" s="162"/>
      <c r="B288" s="162"/>
      <c r="C288" s="162"/>
      <c r="D288" s="1"/>
      <c r="E288" s="162"/>
      <c r="F288" s="11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4"/>
      <c r="V288" s="164"/>
    </row>
    <row r="289" ht="12.75" customHeight="1">
      <c r="A289" s="162"/>
      <c r="B289" s="162"/>
      <c r="C289" s="162"/>
      <c r="D289" s="1"/>
      <c r="E289" s="162"/>
      <c r="F289" s="11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4"/>
      <c r="V289" s="164"/>
    </row>
    <row r="290" ht="12.75" customHeight="1">
      <c r="A290" s="162"/>
      <c r="B290" s="162"/>
      <c r="C290" s="162"/>
      <c r="D290" s="1"/>
      <c r="E290" s="162"/>
      <c r="F290" s="11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4"/>
      <c r="V290" s="164"/>
    </row>
    <row r="291" ht="12.75" customHeight="1">
      <c r="A291" s="162"/>
      <c r="B291" s="162"/>
      <c r="C291" s="162"/>
      <c r="D291" s="1"/>
      <c r="E291" s="162"/>
      <c r="F291" s="11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4"/>
      <c r="V291" s="164"/>
    </row>
    <row r="292" ht="12.75" customHeight="1">
      <c r="A292" s="162"/>
      <c r="B292" s="162"/>
      <c r="C292" s="162"/>
      <c r="D292" s="1"/>
      <c r="E292" s="162"/>
      <c r="F292" s="11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4"/>
      <c r="V292" s="164"/>
    </row>
    <row r="293" ht="12.75" customHeight="1">
      <c r="A293" s="162"/>
      <c r="B293" s="162"/>
      <c r="C293" s="162"/>
      <c r="D293" s="1"/>
      <c r="E293" s="162"/>
      <c r="F293" s="11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4"/>
      <c r="V293" s="164"/>
    </row>
    <row r="294" ht="12.75" customHeight="1">
      <c r="A294" s="162"/>
      <c r="B294" s="162"/>
      <c r="C294" s="162"/>
      <c r="D294" s="1"/>
      <c r="E294" s="162"/>
      <c r="F294" s="11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4"/>
      <c r="V294" s="164"/>
    </row>
    <row r="295" ht="12.75" customHeight="1">
      <c r="A295" s="162"/>
      <c r="B295" s="162"/>
      <c r="C295" s="162"/>
      <c r="D295" s="1"/>
      <c r="E295" s="162"/>
      <c r="F295" s="11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4"/>
      <c r="V295" s="164"/>
    </row>
    <row r="296" ht="12.75" customHeight="1">
      <c r="A296" s="162"/>
      <c r="B296" s="162"/>
      <c r="C296" s="162"/>
      <c r="D296" s="1"/>
      <c r="E296" s="162"/>
      <c r="F296" s="11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4"/>
      <c r="V296" s="164"/>
    </row>
    <row r="297" ht="12.75" customHeight="1">
      <c r="A297" s="162"/>
      <c r="B297" s="162"/>
      <c r="C297" s="162"/>
      <c r="D297" s="1"/>
      <c r="E297" s="162"/>
      <c r="F297" s="11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4"/>
      <c r="V297" s="164"/>
    </row>
    <row r="298" ht="12.75" customHeight="1">
      <c r="A298" s="162"/>
      <c r="B298" s="162"/>
      <c r="C298" s="162"/>
      <c r="D298" s="1"/>
      <c r="E298" s="162"/>
      <c r="F298" s="11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4"/>
      <c r="V298" s="164"/>
    </row>
    <row r="299" ht="12.75" customHeight="1">
      <c r="A299" s="162"/>
      <c r="B299" s="162"/>
      <c r="C299" s="162"/>
      <c r="D299" s="1"/>
      <c r="E299" s="162"/>
      <c r="F299" s="11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4"/>
      <c r="V299" s="164"/>
    </row>
    <row r="300" ht="12.75" customHeight="1">
      <c r="A300" s="162"/>
      <c r="B300" s="162"/>
      <c r="C300" s="162"/>
      <c r="D300" s="1"/>
      <c r="E300" s="162"/>
      <c r="F300" s="11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4"/>
      <c r="V300" s="164"/>
    </row>
    <row r="301" ht="12.75" customHeight="1">
      <c r="A301" s="162"/>
      <c r="B301" s="162"/>
      <c r="C301" s="162"/>
      <c r="D301" s="1"/>
      <c r="E301" s="162"/>
      <c r="F301" s="11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4"/>
      <c r="V301" s="164"/>
    </row>
    <row r="302" ht="12.75" customHeight="1">
      <c r="A302" s="162"/>
      <c r="B302" s="162"/>
      <c r="C302" s="162"/>
      <c r="D302" s="1"/>
      <c r="E302" s="162"/>
      <c r="F302" s="11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4"/>
      <c r="V302" s="164"/>
    </row>
    <row r="303" ht="12.75" customHeight="1">
      <c r="A303" s="162"/>
      <c r="B303" s="162"/>
      <c r="C303" s="162"/>
      <c r="D303" s="1"/>
      <c r="E303" s="162"/>
      <c r="F303" s="11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4"/>
      <c r="V303" s="164"/>
    </row>
    <row r="304" ht="12.75" customHeight="1">
      <c r="A304" s="162"/>
      <c r="B304" s="162"/>
      <c r="C304" s="162"/>
      <c r="D304" s="1"/>
      <c r="E304" s="162"/>
      <c r="F304" s="11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4"/>
      <c r="V304" s="164"/>
    </row>
    <row r="305" ht="12.75" customHeight="1">
      <c r="A305" s="162"/>
      <c r="B305" s="162"/>
      <c r="C305" s="162"/>
      <c r="D305" s="1"/>
      <c r="E305" s="162"/>
      <c r="F305" s="11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4"/>
      <c r="V305" s="164"/>
    </row>
    <row r="306" ht="12.75" customHeight="1">
      <c r="A306" s="162"/>
      <c r="B306" s="162"/>
      <c r="C306" s="162"/>
      <c r="D306" s="1"/>
      <c r="E306" s="162"/>
      <c r="F306" s="11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4"/>
      <c r="V306" s="164"/>
    </row>
    <row r="307" ht="12.75" customHeight="1">
      <c r="A307" s="162"/>
      <c r="B307" s="162"/>
      <c r="C307" s="162"/>
      <c r="D307" s="1"/>
      <c r="E307" s="162"/>
      <c r="F307" s="11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4"/>
      <c r="V307" s="164"/>
    </row>
    <row r="308" ht="12.75" customHeight="1">
      <c r="A308" s="162"/>
      <c r="B308" s="162"/>
      <c r="C308" s="162"/>
      <c r="D308" s="1"/>
      <c r="E308" s="162"/>
      <c r="F308" s="11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4"/>
      <c r="V308" s="164"/>
    </row>
    <row r="309" ht="12.75" customHeight="1">
      <c r="A309" s="162"/>
      <c r="B309" s="162"/>
      <c r="C309" s="162"/>
      <c r="D309" s="1"/>
      <c r="E309" s="162"/>
      <c r="F309" s="11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4"/>
      <c r="V309" s="164"/>
    </row>
    <row r="310" ht="12.75" customHeight="1">
      <c r="A310" s="162"/>
      <c r="B310" s="162"/>
      <c r="C310" s="162"/>
      <c r="D310" s="1"/>
      <c r="E310" s="162"/>
      <c r="F310" s="11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4"/>
      <c r="V310" s="164"/>
    </row>
    <row r="311" ht="12.75" customHeight="1">
      <c r="A311" s="162"/>
      <c r="B311" s="162"/>
      <c r="C311" s="162"/>
      <c r="D311" s="1"/>
      <c r="E311" s="162"/>
      <c r="F311" s="11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4"/>
      <c r="V311" s="164"/>
    </row>
    <row r="312" ht="12.75" customHeight="1">
      <c r="A312" s="162"/>
      <c r="B312" s="162"/>
      <c r="C312" s="162"/>
      <c r="D312" s="1"/>
      <c r="E312" s="162"/>
      <c r="F312" s="11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4"/>
      <c r="V312" s="164"/>
    </row>
    <row r="313" ht="12.75" customHeight="1">
      <c r="A313" s="162"/>
      <c r="B313" s="162"/>
      <c r="C313" s="162"/>
      <c r="D313" s="1"/>
      <c r="E313" s="162"/>
      <c r="F313" s="11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4"/>
      <c r="V313" s="164"/>
    </row>
    <row r="314" ht="12.75" customHeight="1">
      <c r="A314" s="162"/>
      <c r="B314" s="162"/>
      <c r="C314" s="162"/>
      <c r="D314" s="1"/>
      <c r="E314" s="162"/>
      <c r="F314" s="11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4"/>
      <c r="V314" s="164"/>
    </row>
    <row r="315" ht="12.75" customHeight="1">
      <c r="A315" s="162"/>
      <c r="B315" s="162"/>
      <c r="C315" s="162"/>
      <c r="D315" s="1"/>
      <c r="E315" s="162"/>
      <c r="F315" s="11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4"/>
      <c r="V315" s="164"/>
    </row>
    <row r="316" ht="12.75" customHeight="1">
      <c r="A316" s="162"/>
      <c r="B316" s="162"/>
      <c r="C316" s="162"/>
      <c r="D316" s="1"/>
      <c r="E316" s="162"/>
      <c r="F316" s="11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4"/>
      <c r="V316" s="164"/>
    </row>
    <row r="317" ht="12.75" customHeight="1">
      <c r="A317" s="162"/>
      <c r="B317" s="162"/>
      <c r="C317" s="162"/>
      <c r="D317" s="1"/>
      <c r="E317" s="162"/>
      <c r="F317" s="11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4"/>
      <c r="V317" s="164"/>
    </row>
    <row r="318" ht="12.75" customHeight="1">
      <c r="A318" s="162"/>
      <c r="B318" s="162"/>
      <c r="C318" s="162"/>
      <c r="D318" s="1"/>
      <c r="E318" s="162"/>
      <c r="F318" s="11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4"/>
      <c r="V318" s="164"/>
    </row>
    <row r="319" ht="12.75" customHeight="1">
      <c r="A319" s="162"/>
      <c r="B319" s="162"/>
      <c r="C319" s="162"/>
      <c r="D319" s="1"/>
      <c r="E319" s="162"/>
      <c r="F319" s="11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4"/>
      <c r="V319" s="164"/>
    </row>
    <row r="320" ht="12.75" customHeight="1">
      <c r="A320" s="162"/>
      <c r="B320" s="162"/>
      <c r="C320" s="162"/>
      <c r="D320" s="1"/>
      <c r="E320" s="162"/>
      <c r="F320" s="11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4"/>
      <c r="V320" s="164"/>
    </row>
    <row r="321" ht="12.75" customHeight="1">
      <c r="A321" s="162"/>
      <c r="B321" s="162"/>
      <c r="C321" s="162"/>
      <c r="D321" s="1"/>
      <c r="E321" s="162"/>
      <c r="F321" s="11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4"/>
      <c r="V321" s="164"/>
    </row>
    <row r="322" ht="12.75" customHeight="1">
      <c r="A322" s="162"/>
      <c r="B322" s="162"/>
      <c r="C322" s="162"/>
      <c r="D322" s="1"/>
      <c r="E322" s="162"/>
      <c r="F322" s="11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4"/>
      <c r="V322" s="164"/>
    </row>
    <row r="323" ht="12.75" customHeight="1">
      <c r="A323" s="162"/>
      <c r="B323" s="162"/>
      <c r="C323" s="162"/>
      <c r="D323" s="1"/>
      <c r="E323" s="162"/>
      <c r="F323" s="11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4"/>
      <c r="V323" s="164"/>
    </row>
    <row r="324" ht="12.75" customHeight="1">
      <c r="A324" s="162"/>
      <c r="B324" s="162"/>
      <c r="C324" s="162"/>
      <c r="D324" s="1"/>
      <c r="E324" s="162"/>
      <c r="F324" s="11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4"/>
      <c r="V324" s="164"/>
    </row>
    <row r="325" ht="12.75" customHeight="1">
      <c r="A325" s="162"/>
      <c r="B325" s="162"/>
      <c r="C325" s="162"/>
      <c r="D325" s="1"/>
      <c r="E325" s="162"/>
      <c r="F325" s="11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4"/>
      <c r="V325" s="164"/>
    </row>
    <row r="326" ht="12.75" customHeight="1">
      <c r="A326" s="162"/>
      <c r="B326" s="162"/>
      <c r="C326" s="162"/>
      <c r="D326" s="1"/>
      <c r="E326" s="162"/>
      <c r="F326" s="11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4"/>
      <c r="V326" s="164"/>
    </row>
    <row r="327" ht="12.75" customHeight="1">
      <c r="A327" s="162"/>
      <c r="B327" s="162"/>
      <c r="C327" s="162"/>
      <c r="D327" s="1"/>
      <c r="E327" s="162"/>
      <c r="F327" s="11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4"/>
      <c r="V327" s="164"/>
    </row>
    <row r="328" ht="12.75" customHeight="1">
      <c r="A328" s="162"/>
      <c r="B328" s="162"/>
      <c r="C328" s="162"/>
      <c r="D328" s="1"/>
      <c r="E328" s="162"/>
      <c r="F328" s="11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4"/>
      <c r="V328" s="164"/>
    </row>
    <row r="329" ht="12.75" customHeight="1">
      <c r="A329" s="162"/>
      <c r="B329" s="162"/>
      <c r="C329" s="162"/>
      <c r="D329" s="1"/>
      <c r="E329" s="162"/>
      <c r="F329" s="11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4"/>
      <c r="V329" s="164"/>
    </row>
    <row r="330" ht="12.75" customHeight="1">
      <c r="A330" s="162"/>
      <c r="B330" s="162"/>
      <c r="C330" s="162"/>
      <c r="D330" s="1"/>
      <c r="E330" s="162"/>
      <c r="F330" s="11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4"/>
      <c r="V330" s="164"/>
    </row>
    <row r="331" ht="12.75" customHeight="1">
      <c r="A331" s="162"/>
      <c r="B331" s="162"/>
      <c r="C331" s="162"/>
      <c r="D331" s="1"/>
      <c r="E331" s="162"/>
      <c r="F331" s="11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4"/>
      <c r="V331" s="164"/>
    </row>
    <row r="332" ht="12.75" customHeight="1">
      <c r="A332" s="162"/>
      <c r="B332" s="162"/>
      <c r="C332" s="162"/>
      <c r="D332" s="1"/>
      <c r="E332" s="162"/>
      <c r="F332" s="11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4"/>
      <c r="V332" s="164"/>
    </row>
    <row r="333" ht="12.75" customHeight="1">
      <c r="A333" s="162"/>
      <c r="B333" s="162"/>
      <c r="C333" s="162"/>
      <c r="D333" s="1"/>
      <c r="E333" s="162"/>
      <c r="F333" s="11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4"/>
      <c r="V333" s="164"/>
    </row>
    <row r="334" ht="12.75" customHeight="1">
      <c r="A334" s="162"/>
      <c r="B334" s="162"/>
      <c r="C334" s="162"/>
      <c r="D334" s="1"/>
      <c r="E334" s="162"/>
      <c r="F334" s="11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4"/>
      <c r="V334" s="164"/>
    </row>
    <row r="335" ht="12.75" customHeight="1">
      <c r="A335" s="162"/>
      <c r="B335" s="162"/>
      <c r="C335" s="162"/>
      <c r="D335" s="1"/>
      <c r="E335" s="162"/>
      <c r="F335" s="11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4"/>
      <c r="V335" s="164"/>
    </row>
    <row r="336" ht="12.75" customHeight="1">
      <c r="A336" s="162"/>
      <c r="B336" s="162"/>
      <c r="C336" s="162"/>
      <c r="D336" s="1"/>
      <c r="E336" s="162"/>
      <c r="F336" s="11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4"/>
      <c r="V336" s="164"/>
    </row>
    <row r="337" ht="12.75" customHeight="1">
      <c r="A337" s="162"/>
      <c r="B337" s="162"/>
      <c r="C337" s="162"/>
      <c r="D337" s="1"/>
      <c r="E337" s="162"/>
      <c r="F337" s="11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4"/>
      <c r="V337" s="164"/>
    </row>
    <row r="338" ht="12.75" customHeight="1">
      <c r="A338" s="162"/>
      <c r="B338" s="162"/>
      <c r="C338" s="162"/>
      <c r="D338" s="1"/>
      <c r="E338" s="162"/>
      <c r="F338" s="11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4"/>
      <c r="V338" s="164"/>
    </row>
    <row r="339" ht="12.75" customHeight="1">
      <c r="A339" s="162"/>
      <c r="B339" s="162"/>
      <c r="C339" s="162"/>
      <c r="D339" s="1"/>
      <c r="E339" s="162"/>
      <c r="F339" s="11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4"/>
      <c r="V339" s="164"/>
    </row>
    <row r="340" ht="12.75" customHeight="1">
      <c r="A340" s="162"/>
      <c r="B340" s="162"/>
      <c r="C340" s="162"/>
      <c r="D340" s="1"/>
      <c r="E340" s="162"/>
      <c r="F340" s="11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4"/>
      <c r="V340" s="164"/>
    </row>
    <row r="341" ht="12.75" customHeight="1">
      <c r="A341" s="162"/>
      <c r="B341" s="162"/>
      <c r="C341" s="162"/>
      <c r="D341" s="1"/>
      <c r="E341" s="162"/>
      <c r="F341" s="11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4"/>
      <c r="V341" s="164"/>
    </row>
    <row r="342" ht="12.75" customHeight="1">
      <c r="A342" s="162"/>
      <c r="B342" s="162"/>
      <c r="C342" s="162"/>
      <c r="D342" s="1"/>
      <c r="E342" s="162"/>
      <c r="F342" s="11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4"/>
      <c r="V342" s="164"/>
    </row>
    <row r="343" ht="12.75" customHeight="1">
      <c r="A343" s="162"/>
      <c r="B343" s="162"/>
      <c r="C343" s="162"/>
      <c r="D343" s="1"/>
      <c r="E343" s="162"/>
      <c r="F343" s="11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4"/>
      <c r="V343" s="164"/>
    </row>
    <row r="344" ht="12.75" customHeight="1">
      <c r="A344" s="162"/>
      <c r="B344" s="162"/>
      <c r="C344" s="162"/>
      <c r="D344" s="1"/>
      <c r="E344" s="162"/>
      <c r="F344" s="11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4"/>
      <c r="V344" s="164"/>
    </row>
    <row r="345" ht="12.75" customHeight="1">
      <c r="A345" s="162"/>
      <c r="B345" s="162"/>
      <c r="C345" s="162"/>
      <c r="D345" s="1"/>
      <c r="E345" s="162"/>
      <c r="F345" s="11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4"/>
      <c r="V345" s="164"/>
    </row>
    <row r="346" ht="12.75" customHeight="1">
      <c r="A346" s="162"/>
      <c r="B346" s="162"/>
      <c r="C346" s="162"/>
      <c r="D346" s="1"/>
      <c r="E346" s="162"/>
      <c r="F346" s="11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4"/>
      <c r="V346" s="164"/>
    </row>
    <row r="347" ht="12.75" customHeight="1">
      <c r="A347" s="162"/>
      <c r="B347" s="162"/>
      <c r="C347" s="162"/>
      <c r="D347" s="1"/>
      <c r="E347" s="162"/>
      <c r="F347" s="11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4"/>
      <c r="V347" s="164"/>
    </row>
    <row r="348" ht="12.75" customHeight="1">
      <c r="A348" s="162"/>
      <c r="B348" s="162"/>
      <c r="C348" s="162"/>
      <c r="D348" s="1"/>
      <c r="E348" s="162"/>
      <c r="F348" s="11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4"/>
      <c r="V348" s="164"/>
    </row>
    <row r="349" ht="12.75" customHeight="1">
      <c r="A349" s="162"/>
      <c r="B349" s="162"/>
      <c r="C349" s="162"/>
      <c r="D349" s="1"/>
      <c r="E349" s="162"/>
      <c r="F349" s="11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4"/>
      <c r="V349" s="164"/>
    </row>
    <row r="350" ht="12.75" customHeight="1">
      <c r="A350" s="162"/>
      <c r="B350" s="162"/>
      <c r="C350" s="162"/>
      <c r="D350" s="1"/>
      <c r="E350" s="162"/>
      <c r="F350" s="11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4"/>
      <c r="V350" s="164"/>
    </row>
    <row r="351" ht="12.75" customHeight="1">
      <c r="A351" s="162"/>
      <c r="B351" s="162"/>
      <c r="C351" s="162"/>
      <c r="D351" s="1"/>
      <c r="E351" s="162"/>
      <c r="F351" s="11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4"/>
      <c r="V351" s="164"/>
    </row>
    <row r="352" ht="12.75" customHeight="1">
      <c r="A352" s="162"/>
      <c r="B352" s="162"/>
      <c r="C352" s="162"/>
      <c r="D352" s="1"/>
      <c r="E352" s="162"/>
      <c r="F352" s="11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4"/>
      <c r="V352" s="164"/>
    </row>
    <row r="353" ht="12.75" customHeight="1">
      <c r="A353" s="162"/>
      <c r="B353" s="162"/>
      <c r="C353" s="162"/>
      <c r="D353" s="1"/>
      <c r="E353" s="162"/>
      <c r="F353" s="11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4"/>
      <c r="V353" s="164"/>
    </row>
    <row r="354" ht="12.75" customHeight="1">
      <c r="A354" s="162"/>
      <c r="B354" s="162"/>
      <c r="C354" s="162"/>
      <c r="D354" s="1"/>
      <c r="E354" s="162"/>
      <c r="F354" s="11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4"/>
      <c r="V354" s="164"/>
    </row>
    <row r="355" ht="12.75" customHeight="1">
      <c r="A355" s="162"/>
      <c r="B355" s="162"/>
      <c r="C355" s="162"/>
      <c r="D355" s="1"/>
      <c r="E355" s="162"/>
      <c r="F355" s="11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4"/>
      <c r="V355" s="164"/>
    </row>
    <row r="356" ht="12.75" customHeight="1">
      <c r="A356" s="162"/>
      <c r="B356" s="162"/>
      <c r="C356" s="162"/>
      <c r="D356" s="1"/>
      <c r="E356" s="162"/>
      <c r="F356" s="11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4"/>
      <c r="V356" s="164"/>
    </row>
    <row r="357" ht="12.75" customHeight="1">
      <c r="A357" s="162"/>
      <c r="B357" s="162"/>
      <c r="C357" s="162"/>
      <c r="D357" s="1"/>
      <c r="E357" s="162"/>
      <c r="F357" s="11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4"/>
      <c r="V357" s="164"/>
    </row>
    <row r="358" ht="12.75" customHeight="1">
      <c r="A358" s="162"/>
      <c r="B358" s="162"/>
      <c r="C358" s="162"/>
      <c r="D358" s="1"/>
      <c r="E358" s="162"/>
      <c r="F358" s="11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4"/>
      <c r="V358" s="164"/>
    </row>
    <row r="359" ht="12.75" customHeight="1">
      <c r="A359" s="162"/>
      <c r="B359" s="162"/>
      <c r="C359" s="162"/>
      <c r="D359" s="1"/>
      <c r="E359" s="162"/>
      <c r="F359" s="11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4"/>
      <c r="V359" s="164"/>
    </row>
    <row r="360" ht="12.75" customHeight="1">
      <c r="A360" s="162"/>
      <c r="B360" s="162"/>
      <c r="C360" s="162"/>
      <c r="D360" s="1"/>
      <c r="E360" s="162"/>
      <c r="F360" s="11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4"/>
      <c r="V360" s="164"/>
    </row>
    <row r="361" ht="12.75" customHeight="1">
      <c r="A361" s="162"/>
      <c r="B361" s="162"/>
      <c r="C361" s="162"/>
      <c r="D361" s="1"/>
      <c r="E361" s="162"/>
      <c r="F361" s="11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4"/>
      <c r="V361" s="164"/>
    </row>
    <row r="362" ht="12.75" customHeight="1">
      <c r="A362" s="162"/>
      <c r="B362" s="162"/>
      <c r="C362" s="162"/>
      <c r="D362" s="1"/>
      <c r="E362" s="162"/>
      <c r="F362" s="11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4"/>
      <c r="V362" s="164"/>
    </row>
    <row r="363" ht="12.75" customHeight="1">
      <c r="A363" s="162"/>
      <c r="B363" s="162"/>
      <c r="C363" s="162"/>
      <c r="D363" s="1"/>
      <c r="E363" s="162"/>
      <c r="F363" s="11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4"/>
      <c r="V363" s="164"/>
    </row>
    <row r="364" ht="12.75" customHeight="1">
      <c r="A364" s="162"/>
      <c r="B364" s="162"/>
      <c r="C364" s="162"/>
      <c r="D364" s="1"/>
      <c r="E364" s="162"/>
      <c r="F364" s="11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4"/>
      <c r="V364" s="164"/>
    </row>
    <row r="365" ht="12.75" customHeight="1">
      <c r="A365" s="162"/>
      <c r="B365" s="162"/>
      <c r="C365" s="162"/>
      <c r="D365" s="1"/>
      <c r="E365" s="162"/>
      <c r="F365" s="11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4"/>
      <c r="V365" s="164"/>
    </row>
    <row r="366" ht="12.75" customHeight="1">
      <c r="A366" s="162"/>
      <c r="B366" s="162"/>
      <c r="C366" s="162"/>
      <c r="D366" s="1"/>
      <c r="E366" s="162"/>
      <c r="F366" s="11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4"/>
      <c r="V366" s="164"/>
    </row>
    <row r="367" ht="12.75" customHeight="1">
      <c r="A367" s="162"/>
      <c r="B367" s="162"/>
      <c r="C367" s="162"/>
      <c r="D367" s="1"/>
      <c r="E367" s="162"/>
      <c r="F367" s="11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4"/>
      <c r="V367" s="164"/>
    </row>
    <row r="368" ht="12.75" customHeight="1">
      <c r="A368" s="162"/>
      <c r="B368" s="162"/>
      <c r="C368" s="162"/>
      <c r="D368" s="1"/>
      <c r="E368" s="162"/>
      <c r="F368" s="11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4"/>
      <c r="V368" s="164"/>
    </row>
    <row r="369" ht="12.75" customHeight="1">
      <c r="A369" s="162"/>
      <c r="B369" s="162"/>
      <c r="C369" s="162"/>
      <c r="D369" s="1"/>
      <c r="E369" s="162"/>
      <c r="F369" s="11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4"/>
      <c r="V369" s="164"/>
    </row>
    <row r="370" ht="12.75" customHeight="1">
      <c r="A370" s="162"/>
      <c r="B370" s="162"/>
      <c r="C370" s="162"/>
      <c r="D370" s="1"/>
      <c r="E370" s="162"/>
      <c r="F370" s="11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4"/>
      <c r="V370" s="164"/>
    </row>
    <row r="371" ht="12.75" customHeight="1">
      <c r="A371" s="162"/>
      <c r="B371" s="162"/>
      <c r="C371" s="162"/>
      <c r="D371" s="1"/>
      <c r="E371" s="162"/>
      <c r="F371" s="11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4"/>
      <c r="V371" s="164"/>
    </row>
    <row r="372" ht="12.75" customHeight="1">
      <c r="A372" s="162"/>
      <c r="B372" s="162"/>
      <c r="C372" s="162"/>
      <c r="D372" s="1"/>
      <c r="E372" s="162"/>
      <c r="F372" s="11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4"/>
      <c r="V372" s="164"/>
    </row>
    <row r="373" ht="12.75" customHeight="1">
      <c r="A373" s="162"/>
      <c r="B373" s="162"/>
      <c r="C373" s="162"/>
      <c r="D373" s="1"/>
      <c r="E373" s="162"/>
      <c r="F373" s="11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4"/>
      <c r="V373" s="164"/>
    </row>
    <row r="374" ht="12.75" customHeight="1">
      <c r="A374" s="162"/>
      <c r="B374" s="162"/>
      <c r="C374" s="162"/>
      <c r="D374" s="1"/>
      <c r="E374" s="162"/>
      <c r="F374" s="11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4"/>
      <c r="V374" s="164"/>
    </row>
    <row r="375" ht="12.75" customHeight="1">
      <c r="A375" s="162"/>
      <c r="B375" s="162"/>
      <c r="C375" s="162"/>
      <c r="D375" s="1"/>
      <c r="E375" s="162"/>
      <c r="F375" s="11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4"/>
      <c r="V375" s="164"/>
    </row>
    <row r="376" ht="12.75" customHeight="1">
      <c r="A376" s="162"/>
      <c r="B376" s="162"/>
      <c r="C376" s="162"/>
      <c r="D376" s="1"/>
      <c r="E376" s="162"/>
      <c r="F376" s="11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4"/>
      <c r="V376" s="164"/>
    </row>
    <row r="377" ht="12.75" customHeight="1">
      <c r="A377" s="162"/>
      <c r="B377" s="162"/>
      <c r="C377" s="162"/>
      <c r="D377" s="1"/>
      <c r="E377" s="162"/>
      <c r="F377" s="11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4"/>
      <c r="V377" s="164"/>
    </row>
    <row r="378" ht="12.75" customHeight="1">
      <c r="A378" s="162"/>
      <c r="B378" s="162"/>
      <c r="C378" s="162"/>
      <c r="D378" s="1"/>
      <c r="E378" s="162"/>
      <c r="F378" s="11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4"/>
      <c r="V378" s="164"/>
    </row>
    <row r="379" ht="12.75" customHeight="1">
      <c r="A379" s="162"/>
      <c r="B379" s="162"/>
      <c r="C379" s="162"/>
      <c r="D379" s="1"/>
      <c r="E379" s="162"/>
      <c r="F379" s="11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4"/>
      <c r="V379" s="164"/>
    </row>
    <row r="380" ht="12.75" customHeight="1">
      <c r="A380" s="162"/>
      <c r="B380" s="162"/>
      <c r="C380" s="162"/>
      <c r="D380" s="1"/>
      <c r="E380" s="162"/>
      <c r="F380" s="11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4"/>
      <c r="V380" s="164"/>
    </row>
    <row r="381" ht="12.75" customHeight="1">
      <c r="A381" s="162"/>
      <c r="B381" s="162"/>
      <c r="C381" s="162"/>
      <c r="D381" s="1"/>
      <c r="E381" s="162"/>
      <c r="F381" s="11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4"/>
      <c r="V381" s="164"/>
    </row>
    <row r="382" ht="12.75" customHeight="1">
      <c r="A382" s="162"/>
      <c r="B382" s="162"/>
      <c r="C382" s="162"/>
      <c r="D382" s="1"/>
      <c r="E382" s="162"/>
      <c r="F382" s="11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4"/>
      <c r="V382" s="164"/>
    </row>
    <row r="383" ht="12.75" customHeight="1">
      <c r="A383" s="162"/>
      <c r="B383" s="162"/>
      <c r="C383" s="162"/>
      <c r="D383" s="1"/>
      <c r="E383" s="162"/>
      <c r="F383" s="11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4"/>
      <c r="V383" s="164"/>
    </row>
    <row r="384" ht="12.75" customHeight="1">
      <c r="A384" s="162"/>
      <c r="B384" s="162"/>
      <c r="C384" s="162"/>
      <c r="D384" s="1"/>
      <c r="E384" s="162"/>
      <c r="F384" s="11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4"/>
      <c r="V384" s="164"/>
    </row>
    <row r="385" ht="12.75" customHeight="1">
      <c r="A385" s="162"/>
      <c r="B385" s="162"/>
      <c r="C385" s="162"/>
      <c r="D385" s="1"/>
      <c r="E385" s="162"/>
      <c r="F385" s="11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4"/>
      <c r="V385" s="164"/>
    </row>
    <row r="386" ht="12.75" customHeight="1">
      <c r="A386" s="162"/>
      <c r="B386" s="162"/>
      <c r="C386" s="162"/>
      <c r="D386" s="1"/>
      <c r="E386" s="162"/>
      <c r="F386" s="11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4"/>
      <c r="V386" s="164"/>
    </row>
    <row r="387" ht="12.75" customHeight="1">
      <c r="A387" s="162"/>
      <c r="B387" s="162"/>
      <c r="C387" s="162"/>
      <c r="D387" s="1"/>
      <c r="E387" s="162"/>
      <c r="F387" s="11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4"/>
      <c r="V387" s="164"/>
    </row>
    <row r="388" ht="12.75" customHeight="1">
      <c r="A388" s="162"/>
      <c r="B388" s="162"/>
      <c r="C388" s="162"/>
      <c r="D388" s="1"/>
      <c r="E388" s="162"/>
      <c r="F388" s="11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4"/>
      <c r="V388" s="164"/>
    </row>
    <row r="389" ht="12.75" customHeight="1">
      <c r="A389" s="162"/>
      <c r="B389" s="162"/>
      <c r="C389" s="162"/>
      <c r="D389" s="1"/>
      <c r="E389" s="162"/>
      <c r="F389" s="11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4"/>
      <c r="V389" s="164"/>
    </row>
    <row r="390" ht="12.75" customHeight="1">
      <c r="A390" s="162"/>
      <c r="B390" s="162"/>
      <c r="C390" s="162"/>
      <c r="D390" s="1"/>
      <c r="E390" s="162"/>
      <c r="F390" s="11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4"/>
      <c r="V390" s="164"/>
    </row>
    <row r="391" ht="12.75" customHeight="1">
      <c r="A391" s="162"/>
      <c r="B391" s="162"/>
      <c r="C391" s="162"/>
      <c r="D391" s="1"/>
      <c r="E391" s="162"/>
      <c r="F391" s="11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4"/>
      <c r="V391" s="164"/>
    </row>
    <row r="392" ht="12.75" customHeight="1">
      <c r="A392" s="162"/>
      <c r="B392" s="162"/>
      <c r="C392" s="162"/>
      <c r="D392" s="1"/>
      <c r="E392" s="162"/>
      <c r="F392" s="11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4"/>
      <c r="V392" s="164"/>
    </row>
    <row r="393" ht="12.75" customHeight="1">
      <c r="A393" s="162"/>
      <c r="B393" s="162"/>
      <c r="C393" s="162"/>
      <c r="D393" s="1"/>
      <c r="E393" s="162"/>
      <c r="F393" s="11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4"/>
      <c r="V393" s="164"/>
    </row>
    <row r="394" ht="12.75" customHeight="1">
      <c r="A394" s="162"/>
      <c r="B394" s="162"/>
      <c r="C394" s="162"/>
      <c r="D394" s="1"/>
      <c r="E394" s="162"/>
      <c r="F394" s="11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4"/>
      <c r="V394" s="164"/>
    </row>
    <row r="395" ht="12.75" customHeight="1">
      <c r="A395" s="162"/>
      <c r="B395" s="162"/>
      <c r="C395" s="162"/>
      <c r="D395" s="1"/>
      <c r="E395" s="162"/>
      <c r="F395" s="11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4"/>
      <c r="V395" s="164"/>
    </row>
    <row r="396" ht="12.75" customHeight="1">
      <c r="A396" s="162"/>
      <c r="B396" s="162"/>
      <c r="C396" s="162"/>
      <c r="D396" s="1"/>
      <c r="E396" s="162"/>
      <c r="F396" s="11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4"/>
      <c r="V396" s="164"/>
    </row>
    <row r="397" ht="12.75" customHeight="1">
      <c r="A397" s="162"/>
      <c r="B397" s="162"/>
      <c r="C397" s="162"/>
      <c r="D397" s="1"/>
      <c r="E397" s="162"/>
      <c r="F397" s="11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4"/>
      <c r="V397" s="164"/>
    </row>
    <row r="398" ht="12.75" customHeight="1">
      <c r="A398" s="162"/>
      <c r="B398" s="162"/>
      <c r="C398" s="162"/>
      <c r="D398" s="1"/>
      <c r="E398" s="162"/>
      <c r="F398" s="11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4"/>
      <c r="V398" s="164"/>
    </row>
    <row r="399" ht="12.75" customHeight="1">
      <c r="A399" s="162"/>
      <c r="B399" s="162"/>
      <c r="C399" s="162"/>
      <c r="D399" s="1"/>
      <c r="E399" s="162"/>
      <c r="F399" s="11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4"/>
      <c r="V399" s="164"/>
    </row>
    <row r="400" ht="12.75" customHeight="1">
      <c r="A400" s="162"/>
      <c r="B400" s="162"/>
      <c r="C400" s="162"/>
      <c r="D400" s="1"/>
      <c r="E400" s="162"/>
      <c r="F400" s="11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4"/>
      <c r="V400" s="164"/>
    </row>
    <row r="401" ht="12.75" customHeight="1">
      <c r="A401" s="162"/>
      <c r="B401" s="162"/>
      <c r="C401" s="162"/>
      <c r="D401" s="1"/>
      <c r="E401" s="162"/>
      <c r="F401" s="11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4"/>
      <c r="V401" s="164"/>
    </row>
    <row r="402" ht="12.75" customHeight="1">
      <c r="A402" s="162"/>
      <c r="B402" s="162"/>
      <c r="C402" s="162"/>
      <c r="D402" s="1"/>
      <c r="E402" s="162"/>
      <c r="F402" s="11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4"/>
      <c r="V402" s="164"/>
    </row>
    <row r="403" ht="12.75" customHeight="1">
      <c r="A403" s="162"/>
      <c r="B403" s="162"/>
      <c r="C403" s="162"/>
      <c r="D403" s="1"/>
      <c r="E403" s="162"/>
      <c r="F403" s="11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4"/>
      <c r="V403" s="164"/>
    </row>
    <row r="404" ht="12.75" customHeight="1">
      <c r="A404" s="162"/>
      <c r="B404" s="162"/>
      <c r="C404" s="162"/>
      <c r="D404" s="1"/>
      <c r="E404" s="162"/>
      <c r="F404" s="11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4"/>
      <c r="V404" s="164"/>
    </row>
    <row r="405" ht="12.75" customHeight="1">
      <c r="A405" s="162"/>
      <c r="B405" s="162"/>
      <c r="C405" s="162"/>
      <c r="D405" s="1"/>
      <c r="E405" s="162"/>
      <c r="F405" s="11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4"/>
      <c r="V405" s="164"/>
    </row>
    <row r="406" ht="12.75" customHeight="1">
      <c r="A406" s="162"/>
      <c r="B406" s="162"/>
      <c r="C406" s="162"/>
      <c r="D406" s="1"/>
      <c r="E406" s="162"/>
      <c r="F406" s="11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4"/>
      <c r="V406" s="164"/>
    </row>
    <row r="407" ht="12.75" customHeight="1">
      <c r="A407" s="162"/>
      <c r="B407" s="162"/>
      <c r="C407" s="162"/>
      <c r="D407" s="1"/>
      <c r="E407" s="162"/>
      <c r="F407" s="11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4"/>
      <c r="V407" s="164"/>
    </row>
    <row r="408" ht="12.75" customHeight="1">
      <c r="A408" s="162"/>
      <c r="B408" s="162"/>
      <c r="C408" s="162"/>
      <c r="D408" s="1"/>
      <c r="E408" s="162"/>
      <c r="F408" s="11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4"/>
      <c r="V408" s="164"/>
    </row>
    <row r="409" ht="12.75" customHeight="1">
      <c r="A409" s="162"/>
      <c r="B409" s="162"/>
      <c r="C409" s="162"/>
      <c r="D409" s="1"/>
      <c r="E409" s="162"/>
      <c r="F409" s="11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4"/>
      <c r="V409" s="164"/>
    </row>
    <row r="410" ht="12.75" customHeight="1">
      <c r="A410" s="162"/>
      <c r="B410" s="162"/>
      <c r="C410" s="162"/>
      <c r="D410" s="1"/>
      <c r="E410" s="162"/>
      <c r="F410" s="11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4"/>
      <c r="V410" s="164"/>
    </row>
    <row r="411" ht="12.75" customHeight="1">
      <c r="A411" s="162"/>
      <c r="B411" s="162"/>
      <c r="C411" s="162"/>
      <c r="D411" s="1"/>
      <c r="E411" s="162"/>
      <c r="F411" s="11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4"/>
      <c r="V411" s="164"/>
    </row>
    <row r="412" ht="12.75" customHeight="1">
      <c r="A412" s="162"/>
      <c r="B412" s="162"/>
      <c r="C412" s="162"/>
      <c r="D412" s="1"/>
      <c r="E412" s="162"/>
      <c r="F412" s="11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4"/>
      <c r="V412" s="164"/>
    </row>
    <row r="413" ht="12.75" customHeight="1">
      <c r="A413" s="162"/>
      <c r="B413" s="162"/>
      <c r="C413" s="162"/>
      <c r="D413" s="1"/>
      <c r="E413" s="162"/>
      <c r="F413" s="11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4"/>
      <c r="V413" s="164"/>
    </row>
    <row r="414" ht="12.75" customHeight="1">
      <c r="A414" s="162"/>
      <c r="B414" s="162"/>
      <c r="C414" s="162"/>
      <c r="D414" s="1"/>
      <c r="E414" s="162"/>
      <c r="F414" s="11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4"/>
      <c r="V414" s="164"/>
    </row>
    <row r="415" ht="12.75" customHeight="1">
      <c r="A415" s="162"/>
      <c r="B415" s="162"/>
      <c r="C415" s="162"/>
      <c r="D415" s="1"/>
      <c r="E415" s="162"/>
      <c r="F415" s="11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4"/>
      <c r="V415" s="164"/>
    </row>
    <row r="416" ht="12.75" customHeight="1">
      <c r="A416" s="162"/>
      <c r="B416" s="162"/>
      <c r="C416" s="162"/>
      <c r="D416" s="1"/>
      <c r="E416" s="162"/>
      <c r="F416" s="11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4"/>
      <c r="V416" s="164"/>
    </row>
    <row r="417" ht="12.75" customHeight="1">
      <c r="A417" s="162"/>
      <c r="B417" s="162"/>
      <c r="C417" s="162"/>
      <c r="D417" s="1"/>
      <c r="E417" s="162"/>
      <c r="F417" s="11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4"/>
      <c r="V417" s="164"/>
    </row>
    <row r="418" ht="12.75" customHeight="1">
      <c r="A418" s="162"/>
      <c r="B418" s="162"/>
      <c r="C418" s="162"/>
      <c r="D418" s="1"/>
      <c r="E418" s="162"/>
      <c r="F418" s="11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4"/>
      <c r="V418" s="164"/>
    </row>
    <row r="419" ht="12.75" customHeight="1">
      <c r="A419" s="162"/>
      <c r="B419" s="162"/>
      <c r="C419" s="162"/>
      <c r="D419" s="1"/>
      <c r="E419" s="162"/>
      <c r="F419" s="11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4"/>
      <c r="V419" s="164"/>
    </row>
    <row r="420" ht="12.75" customHeight="1">
      <c r="A420" s="162"/>
      <c r="B420" s="162"/>
      <c r="C420" s="162"/>
      <c r="D420" s="1"/>
      <c r="E420" s="162"/>
      <c r="F420" s="11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4"/>
      <c r="V420" s="164"/>
    </row>
    <row r="421" ht="12.75" customHeight="1">
      <c r="A421" s="162"/>
      <c r="B421" s="162"/>
      <c r="C421" s="162"/>
      <c r="D421" s="1"/>
      <c r="E421" s="162"/>
      <c r="F421" s="11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4"/>
      <c r="V421" s="164"/>
    </row>
    <row r="422" ht="12.75" customHeight="1">
      <c r="A422" s="162"/>
      <c r="B422" s="162"/>
      <c r="C422" s="162"/>
      <c r="D422" s="1"/>
      <c r="E422" s="162"/>
      <c r="F422" s="11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4"/>
      <c r="V422" s="164"/>
    </row>
    <row r="423" ht="12.75" customHeight="1">
      <c r="A423" s="162"/>
      <c r="B423" s="162"/>
      <c r="C423" s="162"/>
      <c r="D423" s="1"/>
      <c r="E423" s="162"/>
      <c r="F423" s="11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4"/>
      <c r="V423" s="164"/>
    </row>
    <row r="424" ht="12.75" customHeight="1">
      <c r="A424" s="162"/>
      <c r="B424" s="162"/>
      <c r="C424" s="162"/>
      <c r="D424" s="1"/>
      <c r="E424" s="162"/>
      <c r="F424" s="11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4"/>
      <c r="V424" s="164"/>
    </row>
    <row r="425" ht="12.75" customHeight="1">
      <c r="A425" s="162"/>
      <c r="B425" s="162"/>
      <c r="C425" s="162"/>
      <c r="D425" s="1"/>
      <c r="E425" s="162"/>
      <c r="F425" s="11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4"/>
      <c r="V425" s="164"/>
    </row>
    <row r="426" ht="12.75" customHeight="1">
      <c r="A426" s="162"/>
      <c r="B426" s="162"/>
      <c r="C426" s="162"/>
      <c r="D426" s="1"/>
      <c r="E426" s="162"/>
      <c r="F426" s="11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4"/>
      <c r="V426" s="164"/>
    </row>
    <row r="427" ht="12.75" customHeight="1">
      <c r="A427" s="162"/>
      <c r="B427" s="162"/>
      <c r="C427" s="162"/>
      <c r="D427" s="1"/>
      <c r="E427" s="162"/>
      <c r="F427" s="11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4"/>
      <c r="V427" s="164"/>
    </row>
    <row r="428" ht="12.75" customHeight="1">
      <c r="A428" s="162"/>
      <c r="B428" s="162"/>
      <c r="C428" s="162"/>
      <c r="D428" s="1"/>
      <c r="E428" s="162"/>
      <c r="F428" s="11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4"/>
      <c r="V428" s="164"/>
    </row>
    <row r="429" ht="12.75" customHeight="1">
      <c r="A429" s="162"/>
      <c r="B429" s="162"/>
      <c r="C429" s="162"/>
      <c r="D429" s="1"/>
      <c r="E429" s="162"/>
      <c r="F429" s="11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4"/>
      <c r="V429" s="164"/>
    </row>
    <row r="430" ht="12.75" customHeight="1">
      <c r="A430" s="162"/>
      <c r="B430" s="162"/>
      <c r="C430" s="162"/>
      <c r="D430" s="1"/>
      <c r="E430" s="162"/>
      <c r="F430" s="11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4"/>
      <c r="V430" s="164"/>
    </row>
    <row r="431" ht="12.75" customHeight="1">
      <c r="A431" s="162"/>
      <c r="B431" s="162"/>
      <c r="C431" s="162"/>
      <c r="D431" s="1"/>
      <c r="E431" s="162"/>
      <c r="F431" s="11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4"/>
      <c r="V431" s="164"/>
    </row>
    <row r="432" ht="12.75" customHeight="1">
      <c r="A432" s="162"/>
      <c r="B432" s="162"/>
      <c r="C432" s="162"/>
      <c r="D432" s="1"/>
      <c r="E432" s="162"/>
      <c r="F432" s="11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4"/>
      <c r="V432" s="164"/>
    </row>
    <row r="433" ht="12.75" customHeight="1">
      <c r="A433" s="162"/>
      <c r="B433" s="162"/>
      <c r="C433" s="162"/>
      <c r="D433" s="1"/>
      <c r="E433" s="162"/>
      <c r="F433" s="11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4"/>
      <c r="V433" s="164"/>
    </row>
    <row r="434" ht="12.75" customHeight="1">
      <c r="A434" s="162"/>
      <c r="B434" s="162"/>
      <c r="C434" s="162"/>
      <c r="D434" s="1"/>
      <c r="E434" s="162"/>
      <c r="F434" s="11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4"/>
      <c r="V434" s="164"/>
    </row>
    <row r="435" ht="12.75" customHeight="1">
      <c r="A435" s="162"/>
      <c r="B435" s="162"/>
      <c r="C435" s="162"/>
      <c r="D435" s="1"/>
      <c r="E435" s="162"/>
      <c r="F435" s="11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4"/>
      <c r="V435" s="164"/>
    </row>
    <row r="436" ht="12.75" customHeight="1">
      <c r="A436" s="162"/>
      <c r="B436" s="162"/>
      <c r="C436" s="162"/>
      <c r="D436" s="1"/>
      <c r="E436" s="162"/>
      <c r="F436" s="11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4"/>
      <c r="V436" s="164"/>
    </row>
    <row r="437" ht="12.75" customHeight="1">
      <c r="A437" s="162"/>
      <c r="B437" s="162"/>
      <c r="C437" s="162"/>
      <c r="D437" s="1"/>
      <c r="E437" s="162"/>
      <c r="F437" s="11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4"/>
      <c r="V437" s="164"/>
    </row>
    <row r="438" ht="12.75" customHeight="1">
      <c r="A438" s="162"/>
      <c r="B438" s="162"/>
      <c r="C438" s="162"/>
      <c r="D438" s="1"/>
      <c r="E438" s="162"/>
      <c r="F438" s="11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4"/>
      <c r="V438" s="164"/>
    </row>
    <row r="439" ht="12.75" customHeight="1">
      <c r="A439" s="162"/>
      <c r="B439" s="162"/>
      <c r="C439" s="162"/>
      <c r="D439" s="1"/>
      <c r="E439" s="162"/>
      <c r="F439" s="11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4"/>
      <c r="V439" s="164"/>
    </row>
    <row r="440" ht="12.75" customHeight="1">
      <c r="A440" s="162"/>
      <c r="B440" s="162"/>
      <c r="C440" s="162"/>
      <c r="D440" s="1"/>
      <c r="E440" s="162"/>
      <c r="F440" s="11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4"/>
      <c r="V440" s="164"/>
    </row>
    <row r="441" ht="12.75" customHeight="1">
      <c r="A441" s="162"/>
      <c r="B441" s="162"/>
      <c r="C441" s="162"/>
      <c r="D441" s="1"/>
      <c r="E441" s="162"/>
      <c r="F441" s="11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4"/>
      <c r="V441" s="164"/>
    </row>
    <row r="442" ht="12.75" customHeight="1">
      <c r="A442" s="162"/>
      <c r="B442" s="162"/>
      <c r="C442" s="162"/>
      <c r="D442" s="1"/>
      <c r="E442" s="162"/>
      <c r="F442" s="11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4"/>
      <c r="V442" s="164"/>
    </row>
    <row r="443" ht="12.75" customHeight="1">
      <c r="A443" s="162"/>
      <c r="B443" s="162"/>
      <c r="C443" s="162"/>
      <c r="D443" s="1"/>
      <c r="E443" s="162"/>
      <c r="F443" s="11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4"/>
      <c r="V443" s="164"/>
    </row>
    <row r="444" ht="12.75" customHeight="1">
      <c r="A444" s="162"/>
      <c r="B444" s="162"/>
      <c r="C444" s="162"/>
      <c r="D444" s="1"/>
      <c r="E444" s="162"/>
      <c r="F444" s="11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4"/>
      <c r="V444" s="164"/>
    </row>
    <row r="445" ht="12.75" customHeight="1">
      <c r="A445" s="162"/>
      <c r="B445" s="162"/>
      <c r="C445" s="162"/>
      <c r="D445" s="1"/>
      <c r="E445" s="162"/>
      <c r="F445" s="11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4"/>
      <c r="V445" s="164"/>
    </row>
    <row r="446" ht="12.75" customHeight="1">
      <c r="A446" s="162"/>
      <c r="B446" s="162"/>
      <c r="C446" s="162"/>
      <c r="D446" s="1"/>
      <c r="E446" s="162"/>
      <c r="F446" s="11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4"/>
      <c r="V446" s="164"/>
    </row>
    <row r="447" ht="12.75" customHeight="1">
      <c r="A447" s="162"/>
      <c r="B447" s="162"/>
      <c r="C447" s="162"/>
      <c r="D447" s="1"/>
      <c r="E447" s="162"/>
      <c r="F447" s="11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4"/>
      <c r="V447" s="164"/>
    </row>
    <row r="448" ht="12.75" customHeight="1">
      <c r="A448" s="162"/>
      <c r="B448" s="162"/>
      <c r="C448" s="162"/>
      <c r="D448" s="1"/>
      <c r="E448" s="162"/>
      <c r="F448" s="11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4"/>
      <c r="V448" s="164"/>
    </row>
    <row r="449" ht="12.75" customHeight="1">
      <c r="A449" s="162"/>
      <c r="B449" s="162"/>
      <c r="C449" s="162"/>
      <c r="D449" s="1"/>
      <c r="E449" s="162"/>
      <c r="F449" s="11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4"/>
      <c r="V449" s="164"/>
    </row>
    <row r="450" ht="12.75" customHeight="1">
      <c r="A450" s="162"/>
      <c r="B450" s="162"/>
      <c r="C450" s="162"/>
      <c r="D450" s="1"/>
      <c r="E450" s="162"/>
      <c r="F450" s="11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4"/>
      <c r="V450" s="164"/>
    </row>
    <row r="451" ht="12.75" customHeight="1">
      <c r="A451" s="162"/>
      <c r="B451" s="162"/>
      <c r="C451" s="162"/>
      <c r="D451" s="1"/>
      <c r="E451" s="162"/>
      <c r="F451" s="11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4"/>
      <c r="V451" s="164"/>
    </row>
    <row r="452" ht="12.75" customHeight="1">
      <c r="A452" s="162"/>
      <c r="B452" s="162"/>
      <c r="C452" s="162"/>
      <c r="D452" s="1"/>
      <c r="E452" s="162"/>
      <c r="F452" s="11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4"/>
      <c r="V452" s="164"/>
    </row>
    <row r="453" ht="12.75" customHeight="1">
      <c r="A453" s="162"/>
      <c r="B453" s="162"/>
      <c r="C453" s="162"/>
      <c r="D453" s="1"/>
      <c r="E453" s="162"/>
      <c r="F453" s="11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4"/>
      <c r="V453" s="164"/>
    </row>
    <row r="454" ht="12.75" customHeight="1">
      <c r="A454" s="162"/>
      <c r="B454" s="162"/>
      <c r="C454" s="162"/>
      <c r="D454" s="1"/>
      <c r="E454" s="162"/>
      <c r="F454" s="11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4"/>
      <c r="V454" s="164"/>
    </row>
    <row r="455" ht="12.75" customHeight="1">
      <c r="A455" s="162"/>
      <c r="B455" s="162"/>
      <c r="C455" s="162"/>
      <c r="D455" s="1"/>
      <c r="E455" s="162"/>
      <c r="F455" s="11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4"/>
      <c r="V455" s="164"/>
    </row>
    <row r="456" ht="12.75" customHeight="1">
      <c r="A456" s="162"/>
      <c r="B456" s="162"/>
      <c r="C456" s="162"/>
      <c r="D456" s="1"/>
      <c r="E456" s="162"/>
      <c r="F456" s="11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4"/>
      <c r="V456" s="164"/>
    </row>
    <row r="457" ht="12.75" customHeight="1">
      <c r="A457" s="162"/>
      <c r="B457" s="162"/>
      <c r="C457" s="162"/>
      <c r="D457" s="1"/>
      <c r="E457" s="162"/>
      <c r="F457" s="11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4"/>
      <c r="V457" s="164"/>
    </row>
    <row r="458" ht="12.75" customHeight="1">
      <c r="A458" s="162"/>
      <c r="B458" s="162"/>
      <c r="C458" s="162"/>
      <c r="D458" s="1"/>
      <c r="E458" s="162"/>
      <c r="F458" s="11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4"/>
      <c r="V458" s="164"/>
    </row>
    <row r="459" ht="12.75" customHeight="1">
      <c r="A459" s="162"/>
      <c r="B459" s="162"/>
      <c r="C459" s="162"/>
      <c r="D459" s="1"/>
      <c r="E459" s="162"/>
      <c r="F459" s="11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4"/>
      <c r="V459" s="164"/>
    </row>
    <row r="460" ht="12.75" customHeight="1">
      <c r="A460" s="162"/>
      <c r="B460" s="162"/>
      <c r="C460" s="162"/>
      <c r="D460" s="1"/>
      <c r="E460" s="162"/>
      <c r="F460" s="11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4"/>
      <c r="V460" s="164"/>
    </row>
    <row r="461" ht="12.75" customHeight="1">
      <c r="A461" s="162"/>
      <c r="B461" s="162"/>
      <c r="C461" s="162"/>
      <c r="D461" s="1"/>
      <c r="E461" s="162"/>
      <c r="F461" s="11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4"/>
      <c r="V461" s="164"/>
    </row>
    <row r="462" ht="12.75" customHeight="1">
      <c r="A462" s="162"/>
      <c r="B462" s="162"/>
      <c r="C462" s="162"/>
      <c r="D462" s="1"/>
      <c r="E462" s="162"/>
      <c r="F462" s="11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4"/>
      <c r="V462" s="164"/>
    </row>
    <row r="463" ht="12.75" customHeight="1">
      <c r="A463" s="162"/>
      <c r="B463" s="162"/>
      <c r="C463" s="162"/>
      <c r="D463" s="1"/>
      <c r="E463" s="162"/>
      <c r="F463" s="11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4"/>
      <c r="V463" s="164"/>
    </row>
    <row r="464" ht="12.75" customHeight="1">
      <c r="A464" s="162"/>
      <c r="B464" s="162"/>
      <c r="C464" s="162"/>
      <c r="D464" s="1"/>
      <c r="E464" s="162"/>
      <c r="F464" s="11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4"/>
      <c r="V464" s="164"/>
    </row>
    <row r="465" ht="12.75" customHeight="1">
      <c r="A465" s="162"/>
      <c r="B465" s="162"/>
      <c r="C465" s="162"/>
      <c r="D465" s="1"/>
      <c r="E465" s="162"/>
      <c r="F465" s="11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4"/>
      <c r="V465" s="164"/>
    </row>
    <row r="466" ht="12.75" customHeight="1">
      <c r="A466" s="162"/>
      <c r="B466" s="162"/>
      <c r="C466" s="162"/>
      <c r="D466" s="1"/>
      <c r="E466" s="162"/>
      <c r="F466" s="11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4"/>
      <c r="V466" s="164"/>
    </row>
    <row r="467" ht="12.75" customHeight="1">
      <c r="A467" s="162"/>
      <c r="B467" s="162"/>
      <c r="C467" s="162"/>
      <c r="D467" s="1"/>
      <c r="E467" s="162"/>
      <c r="F467" s="11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4"/>
      <c r="V467" s="164"/>
    </row>
    <row r="468" ht="12.75" customHeight="1">
      <c r="A468" s="162"/>
      <c r="B468" s="162"/>
      <c r="C468" s="162"/>
      <c r="D468" s="1"/>
      <c r="E468" s="162"/>
      <c r="F468" s="11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4"/>
      <c r="V468" s="164"/>
    </row>
    <row r="469" ht="12.75" customHeight="1">
      <c r="A469" s="162"/>
      <c r="B469" s="162"/>
      <c r="C469" s="162"/>
      <c r="D469" s="1"/>
      <c r="E469" s="162"/>
      <c r="F469" s="11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4"/>
      <c r="V469" s="164"/>
    </row>
    <row r="470" ht="12.75" customHeight="1">
      <c r="A470" s="162"/>
      <c r="B470" s="162"/>
      <c r="C470" s="162"/>
      <c r="D470" s="1"/>
      <c r="E470" s="162"/>
      <c r="F470" s="11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4"/>
      <c r="V470" s="164"/>
    </row>
    <row r="471" ht="12.75" customHeight="1">
      <c r="A471" s="162"/>
      <c r="B471" s="162"/>
      <c r="C471" s="162"/>
      <c r="D471" s="1"/>
      <c r="E471" s="162"/>
      <c r="F471" s="11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4"/>
      <c r="V471" s="164"/>
    </row>
    <row r="472" ht="12.75" customHeight="1">
      <c r="A472" s="162"/>
      <c r="B472" s="162"/>
      <c r="C472" s="162"/>
      <c r="D472" s="1"/>
      <c r="E472" s="162"/>
      <c r="F472" s="11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4"/>
      <c r="V472" s="164"/>
    </row>
    <row r="473" ht="12.75" customHeight="1">
      <c r="A473" s="162"/>
      <c r="B473" s="162"/>
      <c r="C473" s="162"/>
      <c r="D473" s="1"/>
      <c r="E473" s="162"/>
      <c r="F473" s="11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4"/>
      <c r="V473" s="164"/>
    </row>
    <row r="474" ht="12.75" customHeight="1">
      <c r="A474" s="162"/>
      <c r="B474" s="162"/>
      <c r="C474" s="162"/>
      <c r="D474" s="1"/>
      <c r="E474" s="162"/>
      <c r="F474" s="11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4"/>
      <c r="V474" s="164"/>
    </row>
    <row r="475" ht="12.75" customHeight="1">
      <c r="A475" s="162"/>
      <c r="B475" s="162"/>
      <c r="C475" s="162"/>
      <c r="D475" s="1"/>
      <c r="E475" s="162"/>
      <c r="F475" s="11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4"/>
      <c r="V475" s="164"/>
    </row>
    <row r="476" ht="12.75" customHeight="1">
      <c r="A476" s="162"/>
      <c r="B476" s="162"/>
      <c r="C476" s="162"/>
      <c r="D476" s="1"/>
      <c r="E476" s="162"/>
      <c r="F476" s="11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4"/>
      <c r="V476" s="164"/>
    </row>
    <row r="477" ht="12.75" customHeight="1">
      <c r="A477" s="162"/>
      <c r="B477" s="162"/>
      <c r="C477" s="162"/>
      <c r="D477" s="1"/>
      <c r="E477" s="162"/>
      <c r="F477" s="11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4"/>
      <c r="V477" s="164"/>
    </row>
    <row r="478" ht="12.75" customHeight="1">
      <c r="A478" s="162"/>
      <c r="B478" s="162"/>
      <c r="C478" s="162"/>
      <c r="D478" s="1"/>
      <c r="E478" s="162"/>
      <c r="F478" s="11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4"/>
      <c r="V478" s="164"/>
    </row>
    <row r="479" ht="12.75" customHeight="1">
      <c r="A479" s="162"/>
      <c r="B479" s="162"/>
      <c r="C479" s="162"/>
      <c r="D479" s="1"/>
      <c r="E479" s="162"/>
      <c r="F479" s="11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4"/>
      <c r="V479" s="164"/>
    </row>
    <row r="480" ht="12.75" customHeight="1">
      <c r="A480" s="162"/>
      <c r="B480" s="162"/>
      <c r="C480" s="162"/>
      <c r="D480" s="1"/>
      <c r="E480" s="162"/>
      <c r="F480" s="11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4"/>
      <c r="V480" s="164"/>
    </row>
    <row r="481" ht="12.75" customHeight="1">
      <c r="A481" s="162"/>
      <c r="B481" s="162"/>
      <c r="C481" s="162"/>
      <c r="D481" s="1"/>
      <c r="E481" s="162"/>
      <c r="F481" s="11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4"/>
      <c r="V481" s="164"/>
    </row>
    <row r="482" ht="12.75" customHeight="1">
      <c r="A482" s="162"/>
      <c r="B482" s="162"/>
      <c r="C482" s="162"/>
      <c r="D482" s="1"/>
      <c r="E482" s="162"/>
      <c r="F482" s="11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4"/>
      <c r="V482" s="164"/>
    </row>
    <row r="483" ht="12.75" customHeight="1">
      <c r="A483" s="162"/>
      <c r="B483" s="162"/>
      <c r="C483" s="162"/>
      <c r="D483" s="1"/>
      <c r="E483" s="162"/>
      <c r="F483" s="11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4"/>
      <c r="V483" s="164"/>
    </row>
    <row r="484" ht="12.75" customHeight="1">
      <c r="A484" s="162"/>
      <c r="B484" s="162"/>
      <c r="C484" s="162"/>
      <c r="D484" s="1"/>
      <c r="E484" s="162"/>
      <c r="F484" s="11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4"/>
      <c r="V484" s="164"/>
    </row>
    <row r="485" ht="12.75" customHeight="1">
      <c r="A485" s="162"/>
      <c r="B485" s="162"/>
      <c r="C485" s="162"/>
      <c r="D485" s="1"/>
      <c r="E485" s="162"/>
      <c r="F485" s="11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4"/>
      <c r="V485" s="164"/>
    </row>
    <row r="486" ht="12.75" customHeight="1">
      <c r="A486" s="162"/>
      <c r="B486" s="162"/>
      <c r="C486" s="162"/>
      <c r="D486" s="1"/>
      <c r="E486" s="162"/>
      <c r="F486" s="11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4"/>
      <c r="V486" s="164"/>
    </row>
    <row r="487" ht="12.75" customHeight="1">
      <c r="A487" s="162"/>
      <c r="B487" s="162"/>
      <c r="C487" s="162"/>
      <c r="D487" s="1"/>
      <c r="E487" s="162"/>
      <c r="F487" s="11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4"/>
      <c r="V487" s="164"/>
    </row>
    <row r="488" ht="12.75" customHeight="1">
      <c r="A488" s="162"/>
      <c r="B488" s="162"/>
      <c r="C488" s="162"/>
      <c r="D488" s="1"/>
      <c r="E488" s="162"/>
      <c r="F488" s="11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4"/>
      <c r="V488" s="164"/>
    </row>
    <row r="489" ht="12.75" customHeight="1">
      <c r="A489" s="162"/>
      <c r="B489" s="162"/>
      <c r="C489" s="162"/>
      <c r="D489" s="1"/>
      <c r="E489" s="162"/>
      <c r="F489" s="11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4"/>
      <c r="V489" s="164"/>
    </row>
    <row r="490" ht="12.75" customHeight="1">
      <c r="A490" s="162"/>
      <c r="B490" s="162"/>
      <c r="C490" s="162"/>
      <c r="D490" s="1"/>
      <c r="E490" s="162"/>
      <c r="F490" s="11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4"/>
      <c r="V490" s="164"/>
    </row>
    <row r="491" ht="12.75" customHeight="1">
      <c r="A491" s="162"/>
      <c r="B491" s="162"/>
      <c r="C491" s="162"/>
      <c r="D491" s="1"/>
      <c r="E491" s="162"/>
      <c r="F491" s="11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4"/>
      <c r="V491" s="164"/>
    </row>
    <row r="492" ht="12.75" customHeight="1">
      <c r="A492" s="162"/>
      <c r="B492" s="162"/>
      <c r="C492" s="162"/>
      <c r="D492" s="1"/>
      <c r="E492" s="162"/>
      <c r="F492" s="11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4"/>
      <c r="V492" s="164"/>
    </row>
    <row r="493" ht="12.75" customHeight="1">
      <c r="A493" s="162"/>
      <c r="B493" s="162"/>
      <c r="C493" s="162"/>
      <c r="D493" s="1"/>
      <c r="E493" s="162"/>
      <c r="F493" s="11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4"/>
      <c r="V493" s="164"/>
    </row>
    <row r="494" ht="12.75" customHeight="1">
      <c r="A494" s="162"/>
      <c r="B494" s="162"/>
      <c r="C494" s="162"/>
      <c r="D494" s="1"/>
      <c r="E494" s="162"/>
      <c r="F494" s="11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4"/>
      <c r="V494" s="164"/>
    </row>
    <row r="495" ht="12.75" customHeight="1">
      <c r="A495" s="162"/>
      <c r="B495" s="162"/>
      <c r="C495" s="162"/>
      <c r="D495" s="1"/>
      <c r="E495" s="162"/>
      <c r="F495" s="11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4"/>
      <c r="V495" s="164"/>
    </row>
    <row r="496" ht="12.75" customHeight="1">
      <c r="A496" s="162"/>
      <c r="B496" s="162"/>
      <c r="C496" s="162"/>
      <c r="D496" s="1"/>
      <c r="E496" s="162"/>
      <c r="F496" s="11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4"/>
      <c r="V496" s="164"/>
    </row>
    <row r="497" ht="12.75" customHeight="1">
      <c r="A497" s="162"/>
      <c r="B497" s="162"/>
      <c r="C497" s="162"/>
      <c r="D497" s="1"/>
      <c r="E497" s="162"/>
      <c r="F497" s="11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4"/>
      <c r="V497" s="164"/>
    </row>
    <row r="498" ht="12.75" customHeight="1">
      <c r="A498" s="162"/>
      <c r="B498" s="162"/>
      <c r="C498" s="162"/>
      <c r="D498" s="1"/>
      <c r="E498" s="162"/>
      <c r="F498" s="11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4"/>
      <c r="V498" s="164"/>
    </row>
    <row r="499" ht="12.75" customHeight="1">
      <c r="A499" s="162"/>
      <c r="B499" s="162"/>
      <c r="C499" s="162"/>
      <c r="D499" s="1"/>
      <c r="E499" s="162"/>
      <c r="F499" s="11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4"/>
      <c r="V499" s="164"/>
    </row>
    <row r="500" ht="12.75" customHeight="1">
      <c r="A500" s="162"/>
      <c r="B500" s="162"/>
      <c r="C500" s="162"/>
      <c r="D500" s="1"/>
      <c r="E500" s="162"/>
      <c r="F500" s="11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4"/>
      <c r="V500" s="164"/>
    </row>
    <row r="501" ht="12.75" customHeight="1">
      <c r="A501" s="162"/>
      <c r="B501" s="162"/>
      <c r="C501" s="162"/>
      <c r="D501" s="1"/>
      <c r="E501" s="162"/>
      <c r="F501" s="11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4"/>
      <c r="V501" s="164"/>
    </row>
    <row r="502" ht="12.75" customHeight="1">
      <c r="A502" s="162"/>
      <c r="B502" s="162"/>
      <c r="C502" s="162"/>
      <c r="D502" s="1"/>
      <c r="E502" s="162"/>
      <c r="F502" s="11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4"/>
      <c r="V502" s="164"/>
    </row>
    <row r="503" ht="12.75" customHeight="1">
      <c r="A503" s="162"/>
      <c r="B503" s="162"/>
      <c r="C503" s="162"/>
      <c r="D503" s="1"/>
      <c r="E503" s="162"/>
      <c r="F503" s="11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4"/>
      <c r="V503" s="164"/>
    </row>
    <row r="504" ht="12.75" customHeight="1">
      <c r="A504" s="162"/>
      <c r="B504" s="162"/>
      <c r="C504" s="162"/>
      <c r="D504" s="1"/>
      <c r="E504" s="162"/>
      <c r="F504" s="11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4"/>
      <c r="V504" s="164"/>
    </row>
    <row r="505" ht="12.75" customHeight="1">
      <c r="A505" s="162"/>
      <c r="B505" s="162"/>
      <c r="C505" s="162"/>
      <c r="D505" s="1"/>
      <c r="E505" s="162"/>
      <c r="F505" s="11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4"/>
      <c r="V505" s="164"/>
    </row>
    <row r="506" ht="12.75" customHeight="1">
      <c r="A506" s="162"/>
      <c r="B506" s="162"/>
      <c r="C506" s="162"/>
      <c r="D506" s="1"/>
      <c r="E506" s="162"/>
      <c r="F506" s="11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4"/>
      <c r="V506" s="164"/>
    </row>
    <row r="507" ht="12.75" customHeight="1">
      <c r="A507" s="162"/>
      <c r="B507" s="162"/>
      <c r="C507" s="162"/>
      <c r="D507" s="1"/>
      <c r="E507" s="162"/>
      <c r="F507" s="11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4"/>
      <c r="V507" s="164"/>
    </row>
    <row r="508" ht="12.75" customHeight="1">
      <c r="A508" s="162"/>
      <c r="B508" s="162"/>
      <c r="C508" s="162"/>
      <c r="D508" s="1"/>
      <c r="E508" s="162"/>
      <c r="F508" s="11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4"/>
      <c r="V508" s="164"/>
    </row>
    <row r="509" ht="12.75" customHeight="1">
      <c r="A509" s="162"/>
      <c r="B509" s="162"/>
      <c r="C509" s="162"/>
      <c r="D509" s="1"/>
      <c r="E509" s="162"/>
      <c r="F509" s="11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4"/>
      <c r="V509" s="164"/>
    </row>
    <row r="510" ht="12.75" customHeight="1">
      <c r="A510" s="162"/>
      <c r="B510" s="162"/>
      <c r="C510" s="162"/>
      <c r="D510" s="1"/>
      <c r="E510" s="162"/>
      <c r="F510" s="11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4"/>
      <c r="V510" s="164"/>
    </row>
    <row r="511" ht="12.75" customHeight="1">
      <c r="A511" s="162"/>
      <c r="B511" s="162"/>
      <c r="C511" s="162"/>
      <c r="D511" s="1"/>
      <c r="E511" s="162"/>
      <c r="F511" s="11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4"/>
      <c r="V511" s="164"/>
    </row>
    <row r="512" ht="12.75" customHeight="1">
      <c r="A512" s="162"/>
      <c r="B512" s="162"/>
      <c r="C512" s="162"/>
      <c r="D512" s="1"/>
      <c r="E512" s="162"/>
      <c r="F512" s="11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4"/>
      <c r="V512" s="164"/>
    </row>
    <row r="513" ht="12.75" customHeight="1">
      <c r="A513" s="162"/>
      <c r="B513" s="162"/>
      <c r="C513" s="162"/>
      <c r="D513" s="1"/>
      <c r="E513" s="162"/>
      <c r="F513" s="11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4"/>
      <c r="V513" s="164"/>
    </row>
    <row r="514" ht="12.75" customHeight="1">
      <c r="A514" s="162"/>
      <c r="B514" s="162"/>
      <c r="C514" s="162"/>
      <c r="D514" s="1"/>
      <c r="E514" s="162"/>
      <c r="F514" s="11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4"/>
      <c r="V514" s="164"/>
    </row>
    <row r="515" ht="12.75" customHeight="1">
      <c r="A515" s="162"/>
      <c r="B515" s="162"/>
      <c r="C515" s="162"/>
      <c r="D515" s="1"/>
      <c r="E515" s="162"/>
      <c r="F515" s="11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4"/>
      <c r="V515" s="164"/>
    </row>
    <row r="516" ht="12.75" customHeight="1">
      <c r="A516" s="162"/>
      <c r="B516" s="162"/>
      <c r="C516" s="162"/>
      <c r="D516" s="1"/>
      <c r="E516" s="162"/>
      <c r="F516" s="11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4"/>
      <c r="V516" s="164"/>
    </row>
    <row r="517" ht="12.75" customHeight="1">
      <c r="A517" s="162"/>
      <c r="B517" s="162"/>
      <c r="C517" s="162"/>
      <c r="D517" s="1"/>
      <c r="E517" s="162"/>
      <c r="F517" s="11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4"/>
      <c r="V517" s="164"/>
    </row>
    <row r="518" ht="12.75" customHeight="1">
      <c r="A518" s="162"/>
      <c r="B518" s="162"/>
      <c r="C518" s="162"/>
      <c r="D518" s="1"/>
      <c r="E518" s="162"/>
      <c r="F518" s="11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4"/>
      <c r="V518" s="164"/>
    </row>
    <row r="519" ht="12.75" customHeight="1">
      <c r="A519" s="162"/>
      <c r="B519" s="162"/>
      <c r="C519" s="162"/>
      <c r="D519" s="1"/>
      <c r="E519" s="162"/>
      <c r="F519" s="11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4"/>
      <c r="V519" s="164"/>
    </row>
    <row r="520" ht="12.75" customHeight="1">
      <c r="A520" s="162"/>
      <c r="B520" s="162"/>
      <c r="C520" s="162"/>
      <c r="D520" s="1"/>
      <c r="E520" s="162"/>
      <c r="F520" s="11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4"/>
      <c r="V520" s="164"/>
    </row>
    <row r="521" ht="12.75" customHeight="1">
      <c r="A521" s="162"/>
      <c r="B521" s="162"/>
      <c r="C521" s="162"/>
      <c r="D521" s="1"/>
      <c r="E521" s="162"/>
      <c r="F521" s="11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4"/>
      <c r="V521" s="164"/>
    </row>
    <row r="522" ht="12.75" customHeight="1">
      <c r="A522" s="162"/>
      <c r="B522" s="162"/>
      <c r="C522" s="162"/>
      <c r="D522" s="1"/>
      <c r="E522" s="162"/>
      <c r="F522" s="11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4"/>
      <c r="V522" s="164"/>
    </row>
    <row r="523" ht="12.75" customHeight="1">
      <c r="A523" s="162"/>
      <c r="B523" s="162"/>
      <c r="C523" s="162"/>
      <c r="D523" s="1"/>
      <c r="E523" s="162"/>
      <c r="F523" s="11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4"/>
      <c r="V523" s="164"/>
    </row>
    <row r="524" ht="12.75" customHeight="1">
      <c r="A524" s="162"/>
      <c r="B524" s="162"/>
      <c r="C524" s="162"/>
      <c r="D524" s="1"/>
      <c r="E524" s="162"/>
      <c r="F524" s="11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4"/>
      <c r="V524" s="164"/>
    </row>
    <row r="525" ht="12.75" customHeight="1">
      <c r="A525" s="162"/>
      <c r="B525" s="162"/>
      <c r="C525" s="162"/>
      <c r="D525" s="1"/>
      <c r="E525" s="162"/>
      <c r="F525" s="11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4"/>
      <c r="V525" s="164"/>
    </row>
    <row r="526" ht="12.75" customHeight="1">
      <c r="A526" s="162"/>
      <c r="B526" s="162"/>
      <c r="C526" s="162"/>
      <c r="D526" s="1"/>
      <c r="E526" s="162"/>
      <c r="F526" s="11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4"/>
      <c r="V526" s="164"/>
    </row>
    <row r="527" ht="12.75" customHeight="1">
      <c r="A527" s="162"/>
      <c r="B527" s="162"/>
      <c r="C527" s="162"/>
      <c r="D527" s="1"/>
      <c r="E527" s="162"/>
      <c r="F527" s="11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4"/>
      <c r="V527" s="164"/>
    </row>
    <row r="528" ht="12.75" customHeight="1">
      <c r="A528" s="162"/>
      <c r="B528" s="162"/>
      <c r="C528" s="162"/>
      <c r="D528" s="1"/>
      <c r="E528" s="162"/>
      <c r="F528" s="11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4"/>
      <c r="V528" s="164"/>
    </row>
    <row r="529" ht="12.75" customHeight="1">
      <c r="A529" s="162"/>
      <c r="B529" s="162"/>
      <c r="C529" s="162"/>
      <c r="D529" s="1"/>
      <c r="E529" s="162"/>
      <c r="F529" s="11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4"/>
      <c r="V529" s="164"/>
    </row>
    <row r="530" ht="12.75" customHeight="1">
      <c r="A530" s="162"/>
      <c r="B530" s="162"/>
      <c r="C530" s="162"/>
      <c r="D530" s="1"/>
      <c r="E530" s="162"/>
      <c r="F530" s="11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4"/>
      <c r="V530" s="164"/>
    </row>
    <row r="531" ht="12.75" customHeight="1">
      <c r="A531" s="162"/>
      <c r="B531" s="162"/>
      <c r="C531" s="162"/>
      <c r="D531" s="1"/>
      <c r="E531" s="162"/>
      <c r="F531" s="11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4"/>
      <c r="V531" s="164"/>
    </row>
    <row r="532" ht="12.75" customHeight="1">
      <c r="A532" s="162"/>
      <c r="B532" s="162"/>
      <c r="C532" s="162"/>
      <c r="D532" s="1"/>
      <c r="E532" s="162"/>
      <c r="F532" s="11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4"/>
      <c r="V532" s="164"/>
    </row>
    <row r="533" ht="12.75" customHeight="1">
      <c r="A533" s="162"/>
      <c r="B533" s="162"/>
      <c r="C533" s="162"/>
      <c r="D533" s="1"/>
      <c r="E533" s="162"/>
      <c r="F533" s="11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4"/>
      <c r="V533" s="164"/>
    </row>
    <row r="534" ht="12.75" customHeight="1">
      <c r="A534" s="162"/>
      <c r="B534" s="162"/>
      <c r="C534" s="162"/>
      <c r="D534" s="1"/>
      <c r="E534" s="162"/>
      <c r="F534" s="11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4"/>
      <c r="V534" s="164"/>
    </row>
    <row r="535" ht="12.75" customHeight="1">
      <c r="A535" s="162"/>
      <c r="B535" s="162"/>
      <c r="C535" s="162"/>
      <c r="D535" s="1"/>
      <c r="E535" s="162"/>
      <c r="F535" s="11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4"/>
      <c r="V535" s="164"/>
    </row>
    <row r="536" ht="12.75" customHeight="1">
      <c r="A536" s="162"/>
      <c r="B536" s="162"/>
      <c r="C536" s="162"/>
      <c r="D536" s="1"/>
      <c r="E536" s="162"/>
      <c r="F536" s="11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4"/>
      <c r="V536" s="164"/>
    </row>
    <row r="537" ht="12.75" customHeight="1">
      <c r="A537" s="162"/>
      <c r="B537" s="162"/>
      <c r="C537" s="162"/>
      <c r="D537" s="1"/>
      <c r="E537" s="162"/>
      <c r="F537" s="11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4"/>
      <c r="V537" s="164"/>
    </row>
    <row r="538" ht="12.75" customHeight="1">
      <c r="A538" s="162"/>
      <c r="B538" s="162"/>
      <c r="C538" s="162"/>
      <c r="D538" s="1"/>
      <c r="E538" s="162"/>
      <c r="F538" s="11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4"/>
      <c r="V538" s="164"/>
    </row>
    <row r="539" ht="12.75" customHeight="1">
      <c r="A539" s="162"/>
      <c r="B539" s="162"/>
      <c r="C539" s="162"/>
      <c r="D539" s="1"/>
      <c r="E539" s="162"/>
      <c r="F539" s="11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4"/>
      <c r="V539" s="164"/>
    </row>
    <row r="540" ht="12.75" customHeight="1">
      <c r="A540" s="162"/>
      <c r="B540" s="162"/>
      <c r="C540" s="162"/>
      <c r="D540" s="1"/>
      <c r="E540" s="162"/>
      <c r="F540" s="11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4"/>
      <c r="V540" s="164"/>
    </row>
    <row r="541" ht="12.75" customHeight="1">
      <c r="A541" s="162"/>
      <c r="B541" s="162"/>
      <c r="C541" s="162"/>
      <c r="D541" s="1"/>
      <c r="E541" s="162"/>
      <c r="F541" s="11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4"/>
      <c r="V541" s="164"/>
    </row>
    <row r="542" ht="12.75" customHeight="1">
      <c r="A542" s="162"/>
      <c r="B542" s="162"/>
      <c r="C542" s="162"/>
      <c r="D542" s="1"/>
      <c r="E542" s="162"/>
      <c r="F542" s="11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4"/>
      <c r="V542" s="164"/>
    </row>
    <row r="543" ht="12.75" customHeight="1">
      <c r="A543" s="162"/>
      <c r="B543" s="162"/>
      <c r="C543" s="162"/>
      <c r="D543" s="1"/>
      <c r="E543" s="162"/>
      <c r="F543" s="11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4"/>
      <c r="V543" s="164"/>
    </row>
    <row r="544" ht="12.75" customHeight="1">
      <c r="A544" s="162"/>
      <c r="B544" s="162"/>
      <c r="C544" s="162"/>
      <c r="D544" s="1"/>
      <c r="E544" s="162"/>
      <c r="F544" s="11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4"/>
      <c r="V544" s="164"/>
    </row>
    <row r="545" ht="12.75" customHeight="1">
      <c r="A545" s="162"/>
      <c r="B545" s="162"/>
      <c r="C545" s="162"/>
      <c r="D545" s="1"/>
      <c r="E545" s="162"/>
      <c r="F545" s="11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4"/>
      <c r="V545" s="164"/>
    </row>
    <row r="546" ht="12.75" customHeight="1">
      <c r="A546" s="162"/>
      <c r="B546" s="162"/>
      <c r="C546" s="162"/>
      <c r="D546" s="1"/>
      <c r="E546" s="162"/>
      <c r="F546" s="11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4"/>
      <c r="V546" s="164"/>
    </row>
    <row r="547" ht="12.75" customHeight="1">
      <c r="A547" s="162"/>
      <c r="B547" s="162"/>
      <c r="C547" s="162"/>
      <c r="D547" s="1"/>
      <c r="E547" s="162"/>
      <c r="F547" s="11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4"/>
      <c r="V547" s="164"/>
    </row>
    <row r="548" ht="12.75" customHeight="1">
      <c r="A548" s="162"/>
      <c r="B548" s="162"/>
      <c r="C548" s="162"/>
      <c r="D548" s="1"/>
      <c r="E548" s="162"/>
      <c r="F548" s="11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4"/>
      <c r="V548" s="164"/>
    </row>
    <row r="549" ht="12.75" customHeight="1">
      <c r="A549" s="162"/>
      <c r="B549" s="162"/>
      <c r="C549" s="162"/>
      <c r="D549" s="1"/>
      <c r="E549" s="162"/>
      <c r="F549" s="11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4"/>
      <c r="V549" s="164"/>
    </row>
    <row r="550" ht="12.75" customHeight="1">
      <c r="A550" s="162"/>
      <c r="B550" s="162"/>
      <c r="C550" s="162"/>
      <c r="D550" s="1"/>
      <c r="E550" s="162"/>
      <c r="F550" s="11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4"/>
      <c r="V550" s="164"/>
    </row>
    <row r="551" ht="12.75" customHeight="1">
      <c r="A551" s="162"/>
      <c r="B551" s="162"/>
      <c r="C551" s="162"/>
      <c r="D551" s="1"/>
      <c r="E551" s="162"/>
      <c r="F551" s="11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4"/>
      <c r="V551" s="164"/>
    </row>
    <row r="552" ht="12.75" customHeight="1">
      <c r="A552" s="162"/>
      <c r="B552" s="162"/>
      <c r="C552" s="162"/>
      <c r="D552" s="1"/>
      <c r="E552" s="162"/>
      <c r="F552" s="11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4"/>
      <c r="V552" s="164"/>
    </row>
    <row r="553" ht="12.75" customHeight="1">
      <c r="A553" s="162"/>
      <c r="B553" s="162"/>
      <c r="C553" s="162"/>
      <c r="D553" s="1"/>
      <c r="E553" s="162"/>
      <c r="F553" s="11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4"/>
      <c r="V553" s="164"/>
    </row>
    <row r="554" ht="12.75" customHeight="1">
      <c r="A554" s="162"/>
      <c r="B554" s="162"/>
      <c r="C554" s="162"/>
      <c r="D554" s="1"/>
      <c r="E554" s="162"/>
      <c r="F554" s="11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4"/>
      <c r="V554" s="164"/>
    </row>
    <row r="555" ht="12.75" customHeight="1">
      <c r="A555" s="162"/>
      <c r="B555" s="162"/>
      <c r="C555" s="162"/>
      <c r="D555" s="1"/>
      <c r="E555" s="162"/>
      <c r="F555" s="11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4"/>
      <c r="V555" s="164"/>
    </row>
    <row r="556" ht="12.75" customHeight="1">
      <c r="A556" s="162"/>
      <c r="B556" s="162"/>
      <c r="C556" s="162"/>
      <c r="D556" s="1"/>
      <c r="E556" s="162"/>
      <c r="F556" s="11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4"/>
      <c r="V556" s="164"/>
    </row>
    <row r="557" ht="12.75" customHeight="1">
      <c r="A557" s="162"/>
      <c r="B557" s="162"/>
      <c r="C557" s="162"/>
      <c r="D557" s="1"/>
      <c r="E557" s="162"/>
      <c r="F557" s="11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4"/>
      <c r="V557" s="164"/>
    </row>
    <row r="558" ht="12.75" customHeight="1">
      <c r="A558" s="162"/>
      <c r="B558" s="162"/>
      <c r="C558" s="162"/>
      <c r="D558" s="1"/>
      <c r="E558" s="162"/>
      <c r="F558" s="11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2"/>
      <c r="B559" s="162"/>
      <c r="C559" s="162"/>
      <c r="D559" s="1"/>
      <c r="E559" s="162"/>
      <c r="F559" s="11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2"/>
      <c r="B560" s="162"/>
      <c r="C560" s="162"/>
      <c r="D560" s="1"/>
      <c r="E560" s="162"/>
      <c r="F560" s="11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2"/>
      <c r="B561" s="162"/>
      <c r="C561" s="162"/>
      <c r="D561" s="1"/>
      <c r="E561" s="162"/>
      <c r="F561" s="11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2"/>
      <c r="B562" s="162"/>
      <c r="C562" s="162"/>
      <c r="D562" s="1"/>
      <c r="E562" s="162"/>
      <c r="F562" s="11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06"/>
      <c r="B563" s="106"/>
      <c r="C563" s="106"/>
      <c r="D563" s="101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9"/>
      <c r="V563" s="109"/>
    </row>
    <row r="564" ht="12.75" customHeight="1">
      <c r="A564" s="106"/>
      <c r="B564" s="106"/>
      <c r="C564" s="106"/>
      <c r="D564" s="101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9"/>
      <c r="V564" s="109"/>
    </row>
    <row r="565" ht="12.75" customHeight="1">
      <c r="A565" s="106"/>
      <c r="B565" s="106"/>
      <c r="C565" s="106"/>
      <c r="D565" s="101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9"/>
      <c r="V565" s="109"/>
    </row>
    <row r="566" ht="12.75" customHeight="1">
      <c r="A566" s="106"/>
      <c r="B566" s="106"/>
      <c r="C566" s="106"/>
      <c r="D566" s="101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9"/>
      <c r="V566" s="109"/>
    </row>
    <row r="567" ht="12.75" customHeight="1">
      <c r="A567" s="106"/>
      <c r="B567" s="106"/>
      <c r="C567" s="106"/>
      <c r="D567" s="101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9"/>
      <c r="V567" s="109"/>
    </row>
    <row r="568" ht="12.75" customHeight="1">
      <c r="A568" s="106"/>
      <c r="B568" s="106"/>
      <c r="C568" s="106"/>
      <c r="D568" s="101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9"/>
      <c r="V568" s="109"/>
    </row>
    <row r="569" ht="12.75" customHeight="1">
      <c r="A569" s="106"/>
      <c r="B569" s="106"/>
      <c r="C569" s="106"/>
      <c r="D569" s="101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9"/>
      <c r="V569" s="109"/>
    </row>
    <row r="570" ht="12.75" customHeight="1">
      <c r="A570" s="106"/>
      <c r="B570" s="106"/>
      <c r="C570" s="106"/>
      <c r="D570" s="101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9"/>
      <c r="V570" s="109"/>
    </row>
    <row r="571" ht="12.75" customHeight="1">
      <c r="A571" s="106"/>
      <c r="B571" s="106"/>
      <c r="C571" s="106"/>
      <c r="D571" s="101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9"/>
      <c r="V571" s="109"/>
    </row>
    <row r="572" ht="12.75" customHeight="1">
      <c r="A572" s="106"/>
      <c r="B572" s="106"/>
      <c r="C572" s="106"/>
      <c r="D572" s="101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9"/>
      <c r="V572" s="109"/>
    </row>
    <row r="573" ht="12.75" customHeight="1">
      <c r="A573" s="106"/>
      <c r="B573" s="106"/>
      <c r="C573" s="106"/>
      <c r="D573" s="101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9"/>
      <c r="V573" s="109"/>
    </row>
    <row r="574" ht="12.75" customHeight="1">
      <c r="A574" s="106"/>
      <c r="B574" s="106"/>
      <c r="C574" s="106"/>
      <c r="D574" s="101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9"/>
      <c r="V574" s="109"/>
    </row>
    <row r="575" ht="12.75" customHeight="1">
      <c r="A575" s="106"/>
      <c r="B575" s="106"/>
      <c r="C575" s="106"/>
      <c r="D575" s="101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9"/>
      <c r="V575" s="109"/>
    </row>
    <row r="576" ht="12.75" customHeight="1">
      <c r="A576" s="106"/>
      <c r="B576" s="106"/>
      <c r="C576" s="106"/>
      <c r="D576" s="101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9"/>
      <c r="V576" s="109"/>
    </row>
    <row r="577" ht="12.75" customHeight="1">
      <c r="A577" s="106"/>
      <c r="B577" s="106"/>
      <c r="C577" s="106"/>
      <c r="D577" s="101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9"/>
      <c r="V577" s="109"/>
    </row>
    <row r="578" ht="12.75" customHeight="1">
      <c r="A578" s="106"/>
      <c r="B578" s="106"/>
      <c r="C578" s="106"/>
      <c r="D578" s="101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9"/>
      <c r="V578" s="109"/>
    </row>
    <row r="579" ht="12.75" customHeight="1">
      <c r="A579" s="106"/>
      <c r="B579" s="106"/>
      <c r="C579" s="106"/>
      <c r="D579" s="101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9"/>
      <c r="V579" s="109"/>
    </row>
    <row r="580" ht="12.75" customHeight="1">
      <c r="A580" s="106"/>
      <c r="B580" s="106"/>
      <c r="C580" s="106"/>
      <c r="D580" s="101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9"/>
      <c r="V580" s="109"/>
    </row>
    <row r="581" ht="12.75" customHeight="1">
      <c r="A581" s="106"/>
      <c r="B581" s="106"/>
      <c r="C581" s="106"/>
      <c r="D581" s="101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9"/>
      <c r="V581" s="109"/>
    </row>
    <row r="582" ht="12.75" customHeight="1">
      <c r="A582" s="106"/>
      <c r="B582" s="106"/>
      <c r="C582" s="106"/>
      <c r="D582" s="101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9"/>
      <c r="V582" s="109"/>
    </row>
    <row r="583" ht="12.75" customHeight="1">
      <c r="A583" s="106"/>
      <c r="B583" s="106"/>
      <c r="C583" s="106"/>
      <c r="D583" s="101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9"/>
      <c r="V583" s="109"/>
    </row>
    <row r="584" ht="12.75" customHeight="1">
      <c r="A584" s="106"/>
      <c r="B584" s="106"/>
      <c r="C584" s="106"/>
      <c r="D584" s="101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9"/>
      <c r="V584" s="109"/>
    </row>
    <row r="585" ht="12.75" customHeight="1">
      <c r="A585" s="106"/>
      <c r="B585" s="106"/>
      <c r="C585" s="106"/>
      <c r="D585" s="101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9"/>
      <c r="V585" s="109"/>
    </row>
    <row r="586" ht="12.75" customHeight="1">
      <c r="A586" s="106"/>
      <c r="B586" s="106"/>
      <c r="C586" s="106"/>
      <c r="D586" s="101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9"/>
      <c r="V586" s="109"/>
    </row>
    <row r="587" ht="12.75" customHeight="1">
      <c r="A587" s="106"/>
      <c r="B587" s="106"/>
      <c r="C587" s="106"/>
      <c r="D587" s="101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9"/>
      <c r="V587" s="109"/>
    </row>
    <row r="588" ht="12.75" customHeight="1">
      <c r="A588" s="106"/>
      <c r="B588" s="106"/>
      <c r="C588" s="106"/>
      <c r="D588" s="101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9"/>
      <c r="V588" s="109"/>
    </row>
    <row r="589" ht="12.75" customHeight="1">
      <c r="A589" s="106"/>
      <c r="B589" s="106"/>
      <c r="C589" s="106"/>
      <c r="D589" s="101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9"/>
      <c r="V589" s="109"/>
    </row>
    <row r="590" ht="12.75" customHeight="1">
      <c r="A590" s="106"/>
      <c r="B590" s="106"/>
      <c r="C590" s="106"/>
      <c r="D590" s="101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9"/>
      <c r="V590" s="109"/>
    </row>
    <row r="591" ht="12.75" customHeight="1">
      <c r="A591" s="106"/>
      <c r="B591" s="106"/>
      <c r="C591" s="106"/>
      <c r="D591" s="101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9"/>
      <c r="V591" s="109"/>
    </row>
    <row r="592" ht="12.75" customHeight="1">
      <c r="A592" s="106"/>
      <c r="B592" s="106"/>
      <c r="C592" s="106"/>
      <c r="D592" s="101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9"/>
      <c r="V592" s="109"/>
    </row>
    <row r="593" ht="12.75" customHeight="1">
      <c r="A593" s="106"/>
      <c r="B593" s="106"/>
      <c r="C593" s="106"/>
      <c r="D593" s="101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9"/>
      <c r="V593" s="109"/>
    </row>
    <row r="594" ht="12.75" customHeight="1">
      <c r="A594" s="106"/>
      <c r="B594" s="106"/>
      <c r="C594" s="106"/>
      <c r="D594" s="101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9"/>
      <c r="V594" s="109"/>
    </row>
    <row r="595" ht="12.75" customHeight="1">
      <c r="A595" s="106"/>
      <c r="B595" s="106"/>
      <c r="C595" s="106"/>
      <c r="D595" s="101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9"/>
      <c r="V595" s="109"/>
    </row>
    <row r="596" ht="12.75" customHeight="1">
      <c r="A596" s="106"/>
      <c r="B596" s="106"/>
      <c r="C596" s="106"/>
      <c r="D596" s="101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9"/>
      <c r="V596" s="109"/>
    </row>
    <row r="597" ht="12.75" customHeight="1">
      <c r="A597" s="106"/>
      <c r="B597" s="106"/>
      <c r="C597" s="106"/>
      <c r="D597" s="101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9"/>
      <c r="V597" s="109"/>
    </row>
    <row r="598" ht="12.75" customHeight="1">
      <c r="A598" s="106"/>
      <c r="B598" s="106"/>
      <c r="C598" s="106"/>
      <c r="D598" s="101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9"/>
      <c r="V598" s="109"/>
    </row>
    <row r="599" ht="12.75" customHeight="1">
      <c r="A599" s="106"/>
      <c r="B599" s="106"/>
      <c r="C599" s="106"/>
      <c r="D599" s="101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9"/>
      <c r="V599" s="109"/>
    </row>
    <row r="600" ht="12.75" customHeight="1">
      <c r="A600" s="106"/>
      <c r="B600" s="106"/>
      <c r="C600" s="106"/>
      <c r="D600" s="101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9"/>
      <c r="V600" s="109"/>
    </row>
    <row r="601" ht="12.75" customHeight="1">
      <c r="A601" s="106"/>
      <c r="B601" s="106"/>
      <c r="C601" s="106"/>
      <c r="D601" s="101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9"/>
      <c r="V601" s="109"/>
    </row>
    <row r="602" ht="12.75" customHeight="1">
      <c r="A602" s="106"/>
      <c r="B602" s="106"/>
      <c r="C602" s="106"/>
      <c r="D602" s="101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9"/>
      <c r="V602" s="109"/>
    </row>
    <row r="603" ht="12.75" customHeight="1">
      <c r="A603" s="106"/>
      <c r="B603" s="106"/>
      <c r="C603" s="106"/>
      <c r="D603" s="101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9"/>
      <c r="V603" s="109"/>
    </row>
    <row r="604" ht="12.75" customHeight="1">
      <c r="A604" s="106"/>
      <c r="B604" s="106"/>
      <c r="C604" s="106"/>
      <c r="D604" s="101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9"/>
      <c r="V604" s="109"/>
    </row>
    <row r="605" ht="12.75" customHeight="1">
      <c r="A605" s="106"/>
      <c r="B605" s="106"/>
      <c r="C605" s="106"/>
      <c r="D605" s="101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9"/>
      <c r="V605" s="109"/>
    </row>
    <row r="606" ht="12.75" customHeight="1">
      <c r="A606" s="106"/>
      <c r="B606" s="106"/>
      <c r="C606" s="106"/>
      <c r="D606" s="101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9"/>
      <c r="V606" s="109"/>
    </row>
    <row r="607" ht="12.75" customHeight="1">
      <c r="A607" s="106"/>
      <c r="B607" s="106"/>
      <c r="C607" s="106"/>
      <c r="D607" s="101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9"/>
      <c r="V607" s="109"/>
    </row>
    <row r="608" ht="12.75" customHeight="1">
      <c r="A608" s="106"/>
      <c r="B608" s="106"/>
      <c r="C608" s="106"/>
      <c r="D608" s="101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9"/>
      <c r="V608" s="109"/>
    </row>
    <row r="609" ht="12.75" customHeight="1">
      <c r="A609" s="106"/>
      <c r="B609" s="106"/>
      <c r="C609" s="106"/>
      <c r="D609" s="101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9"/>
      <c r="V609" s="109"/>
    </row>
    <row r="610" ht="12.75" customHeight="1">
      <c r="A610" s="106"/>
      <c r="B610" s="106"/>
      <c r="C610" s="106"/>
      <c r="D610" s="101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9"/>
      <c r="V610" s="109"/>
    </row>
    <row r="611" ht="12.75" customHeight="1">
      <c r="A611" s="106"/>
      <c r="B611" s="106"/>
      <c r="C611" s="106"/>
      <c r="D611" s="101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9"/>
      <c r="V611" s="109"/>
    </row>
    <row r="612" ht="12.75" customHeight="1">
      <c r="A612" s="106"/>
      <c r="B612" s="106"/>
      <c r="C612" s="106"/>
      <c r="D612" s="101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9"/>
      <c r="V612" s="109"/>
    </row>
    <row r="613" ht="12.75" customHeight="1">
      <c r="A613" s="106"/>
      <c r="B613" s="106"/>
      <c r="C613" s="106"/>
      <c r="D613" s="101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9"/>
      <c r="V613" s="109"/>
    </row>
    <row r="614" ht="12.75" customHeight="1">
      <c r="A614" s="106"/>
      <c r="B614" s="106"/>
      <c r="C614" s="106"/>
      <c r="D614" s="101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9"/>
      <c r="V614" s="109"/>
    </row>
    <row r="615" ht="12.75" customHeight="1">
      <c r="A615" s="106"/>
      <c r="B615" s="106"/>
      <c r="C615" s="106"/>
      <c r="D615" s="101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9"/>
      <c r="V615" s="109"/>
    </row>
    <row r="616" ht="12.75" customHeight="1">
      <c r="A616" s="106"/>
      <c r="B616" s="106"/>
      <c r="C616" s="106"/>
      <c r="D616" s="101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9"/>
      <c r="V616" s="109"/>
    </row>
    <row r="617" ht="12.75" customHeight="1">
      <c r="A617" s="106"/>
      <c r="B617" s="106"/>
      <c r="C617" s="106"/>
      <c r="D617" s="101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9"/>
      <c r="V617" s="109"/>
    </row>
    <row r="618" ht="12.75" customHeight="1">
      <c r="A618" s="106"/>
      <c r="B618" s="106"/>
      <c r="C618" s="106"/>
      <c r="D618" s="101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9"/>
      <c r="V618" s="109"/>
    </row>
    <row r="619" ht="12.75" customHeight="1">
      <c r="A619" s="106"/>
      <c r="B619" s="106"/>
      <c r="C619" s="106"/>
      <c r="D619" s="101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9"/>
      <c r="V619" s="109"/>
    </row>
    <row r="620" ht="12.75" customHeight="1">
      <c r="A620" s="106"/>
      <c r="B620" s="106"/>
      <c r="C620" s="106"/>
      <c r="D620" s="101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9"/>
      <c r="V620" s="109"/>
    </row>
    <row r="621" ht="12.75" customHeight="1">
      <c r="A621" s="106"/>
      <c r="B621" s="106"/>
      <c r="C621" s="106"/>
      <c r="D621" s="101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9"/>
      <c r="V621" s="109"/>
    </row>
    <row r="622" ht="12.75" customHeight="1">
      <c r="A622" s="106"/>
      <c r="B622" s="106"/>
      <c r="C622" s="106"/>
      <c r="D622" s="101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9"/>
      <c r="V622" s="109"/>
    </row>
    <row r="623" ht="12.75" customHeight="1">
      <c r="A623" s="106"/>
      <c r="B623" s="106"/>
      <c r="C623" s="106"/>
      <c r="D623" s="101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9"/>
      <c r="V623" s="109"/>
    </row>
    <row r="624" ht="12.75" customHeight="1">
      <c r="A624" s="106"/>
      <c r="B624" s="106"/>
      <c r="C624" s="106"/>
      <c r="D624" s="101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9"/>
      <c r="V624" s="109"/>
    </row>
    <row r="625" ht="12.75" customHeight="1">
      <c r="A625" s="106"/>
      <c r="B625" s="106"/>
      <c r="C625" s="106"/>
      <c r="D625" s="101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9"/>
      <c r="V625" s="109"/>
    </row>
    <row r="626" ht="12.75" customHeight="1">
      <c r="A626" s="106"/>
      <c r="B626" s="106"/>
      <c r="C626" s="106"/>
      <c r="D626" s="101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9"/>
      <c r="V626" s="109"/>
    </row>
    <row r="627" ht="12.75" customHeight="1">
      <c r="A627" s="106"/>
      <c r="B627" s="106"/>
      <c r="C627" s="106"/>
      <c r="D627" s="101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9"/>
      <c r="V627" s="109"/>
    </row>
    <row r="628" ht="12.75" customHeight="1">
      <c r="A628" s="106"/>
      <c r="B628" s="106"/>
      <c r="C628" s="106"/>
      <c r="D628" s="101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9"/>
      <c r="V628" s="109"/>
    </row>
    <row r="629" ht="12.75" customHeight="1">
      <c r="A629" s="106"/>
      <c r="B629" s="106"/>
      <c r="C629" s="106"/>
      <c r="D629" s="101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9"/>
      <c r="V629" s="109"/>
    </row>
    <row r="630" ht="12.75" customHeight="1">
      <c r="A630" s="106"/>
      <c r="B630" s="106"/>
      <c r="C630" s="106"/>
      <c r="D630" s="101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9"/>
      <c r="V630" s="109"/>
    </row>
    <row r="631" ht="12.75" customHeight="1">
      <c r="A631" s="106"/>
      <c r="B631" s="106"/>
      <c r="C631" s="106"/>
      <c r="D631" s="101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9"/>
      <c r="V631" s="109"/>
    </row>
    <row r="632" ht="12.75" customHeight="1">
      <c r="A632" s="106"/>
      <c r="B632" s="106"/>
      <c r="C632" s="106"/>
      <c r="D632" s="101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9"/>
      <c r="V632" s="109"/>
    </row>
    <row r="633" ht="12.75" customHeight="1">
      <c r="A633" s="106"/>
      <c r="B633" s="106"/>
      <c r="C633" s="106"/>
      <c r="D633" s="101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9"/>
      <c r="V633" s="109"/>
    </row>
    <row r="634" ht="12.75" customHeight="1">
      <c r="A634" s="106"/>
      <c r="B634" s="106"/>
      <c r="C634" s="106"/>
      <c r="D634" s="101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9"/>
      <c r="V634" s="109"/>
    </row>
    <row r="635" ht="12.75" customHeight="1">
      <c r="A635" s="106"/>
      <c r="B635" s="106"/>
      <c r="C635" s="106"/>
      <c r="D635" s="101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9"/>
      <c r="V635" s="109"/>
    </row>
    <row r="636" ht="12.75" customHeight="1">
      <c r="A636" s="106"/>
      <c r="B636" s="106"/>
      <c r="C636" s="106"/>
      <c r="D636" s="101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9"/>
      <c r="V636" s="109"/>
    </row>
    <row r="637" ht="12.75" customHeight="1">
      <c r="A637" s="106"/>
      <c r="B637" s="106"/>
      <c r="C637" s="106"/>
      <c r="D637" s="101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9"/>
      <c r="V637" s="109"/>
    </row>
    <row r="638" ht="12.75" customHeight="1">
      <c r="A638" s="106"/>
      <c r="B638" s="106"/>
      <c r="C638" s="106"/>
      <c r="D638" s="101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9"/>
      <c r="V638" s="109"/>
    </row>
    <row r="639" ht="12.75" customHeight="1">
      <c r="A639" s="106"/>
      <c r="B639" s="106"/>
      <c r="C639" s="106"/>
      <c r="D639" s="101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9"/>
      <c r="V639" s="109"/>
    </row>
    <row r="640" ht="12.75" customHeight="1">
      <c r="A640" s="106"/>
      <c r="B640" s="106"/>
      <c r="C640" s="106"/>
      <c r="D640" s="101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9"/>
      <c r="V640" s="109"/>
    </row>
    <row r="641" ht="12.75" customHeight="1">
      <c r="A641" s="106"/>
      <c r="B641" s="106"/>
      <c r="C641" s="106"/>
      <c r="D641" s="101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9"/>
      <c r="V641" s="109"/>
    </row>
    <row r="642" ht="12.75" customHeight="1">
      <c r="A642" s="106"/>
      <c r="B642" s="106"/>
      <c r="C642" s="106"/>
      <c r="D642" s="101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9"/>
      <c r="V642" s="109"/>
    </row>
    <row r="643" ht="12.75" customHeight="1">
      <c r="A643" s="106"/>
      <c r="B643" s="106"/>
      <c r="C643" s="106"/>
      <c r="D643" s="101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9"/>
      <c r="V643" s="109"/>
    </row>
    <row r="644" ht="12.75" customHeight="1">
      <c r="A644" s="106"/>
      <c r="B644" s="106"/>
      <c r="C644" s="106"/>
      <c r="D644" s="101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9"/>
      <c r="V644" s="109"/>
    </row>
    <row r="645" ht="12.75" customHeight="1">
      <c r="A645" s="106"/>
      <c r="B645" s="106"/>
      <c r="C645" s="106"/>
      <c r="D645" s="101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9"/>
      <c r="V645" s="109"/>
    </row>
    <row r="646" ht="12.75" customHeight="1">
      <c r="A646" s="106"/>
      <c r="B646" s="106"/>
      <c r="C646" s="106"/>
      <c r="D646" s="101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9"/>
      <c r="V646" s="109"/>
    </row>
    <row r="647" ht="12.75" customHeight="1">
      <c r="A647" s="106"/>
      <c r="B647" s="106"/>
      <c r="C647" s="106"/>
      <c r="D647" s="101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9"/>
      <c r="V647" s="109"/>
    </row>
    <row r="648" ht="12.75" customHeight="1">
      <c r="A648" s="106"/>
      <c r="B648" s="106"/>
      <c r="C648" s="106"/>
      <c r="D648" s="101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9"/>
      <c r="V648" s="109"/>
    </row>
    <row r="649" ht="12.75" customHeight="1">
      <c r="A649" s="106"/>
      <c r="B649" s="106"/>
      <c r="C649" s="106"/>
      <c r="D649" s="101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9"/>
      <c r="V649" s="109"/>
    </row>
    <row r="650" ht="12.75" customHeight="1">
      <c r="A650" s="106"/>
      <c r="B650" s="106"/>
      <c r="C650" s="106"/>
      <c r="D650" s="101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9"/>
      <c r="V650" s="109"/>
    </row>
    <row r="651" ht="12.75" customHeight="1">
      <c r="A651" s="106"/>
      <c r="B651" s="106"/>
      <c r="C651" s="106"/>
      <c r="D651" s="101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9"/>
      <c r="V651" s="109"/>
    </row>
    <row r="652" ht="12.75" customHeight="1">
      <c r="A652" s="106"/>
      <c r="B652" s="106"/>
      <c r="C652" s="106"/>
      <c r="D652" s="101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9"/>
      <c r="V652" s="109"/>
    </row>
    <row r="653" ht="12.75" customHeight="1">
      <c r="A653" s="106"/>
      <c r="B653" s="106"/>
      <c r="C653" s="106"/>
      <c r="D653" s="101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9"/>
      <c r="V653" s="109"/>
    </row>
    <row r="654" ht="12.75" customHeight="1">
      <c r="A654" s="106"/>
      <c r="B654" s="106"/>
      <c r="C654" s="106"/>
      <c r="D654" s="101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9"/>
      <c r="V654" s="109"/>
    </row>
    <row r="655" ht="12.75" customHeight="1">
      <c r="A655" s="106"/>
      <c r="B655" s="106"/>
      <c r="C655" s="106"/>
      <c r="D655" s="101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9"/>
      <c r="V655" s="109"/>
    </row>
    <row r="656" ht="12.75" customHeight="1">
      <c r="A656" s="106"/>
      <c r="B656" s="106"/>
      <c r="C656" s="106"/>
      <c r="D656" s="101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9"/>
      <c r="V656" s="109"/>
    </row>
    <row r="657" ht="12.75" customHeight="1">
      <c r="A657" s="106"/>
      <c r="B657" s="106"/>
      <c r="C657" s="106"/>
      <c r="D657" s="101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9"/>
      <c r="V657" s="109"/>
    </row>
    <row r="658" ht="12.75" customHeight="1">
      <c r="A658" s="106"/>
      <c r="B658" s="106"/>
      <c r="C658" s="106"/>
      <c r="D658" s="101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9"/>
      <c r="V658" s="109"/>
    </row>
    <row r="659" ht="12.75" customHeight="1">
      <c r="A659" s="106"/>
      <c r="B659" s="106"/>
      <c r="C659" s="106"/>
      <c r="D659" s="101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9"/>
      <c r="V659" s="109"/>
    </row>
    <row r="660" ht="12.75" customHeight="1">
      <c r="A660" s="106"/>
      <c r="B660" s="106"/>
      <c r="C660" s="106"/>
      <c r="D660" s="101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9"/>
      <c r="V660" s="109"/>
    </row>
    <row r="661" ht="12.75" customHeight="1">
      <c r="A661" s="106"/>
      <c r="B661" s="106"/>
      <c r="C661" s="106"/>
      <c r="D661" s="101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9"/>
      <c r="V661" s="109"/>
    </row>
    <row r="662" ht="12.75" customHeight="1">
      <c r="A662" s="106"/>
      <c r="B662" s="106"/>
      <c r="C662" s="106"/>
      <c r="D662" s="101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9"/>
      <c r="V662" s="109"/>
    </row>
    <row r="663" ht="12.75" customHeight="1">
      <c r="A663" s="106"/>
      <c r="B663" s="106"/>
      <c r="C663" s="106"/>
      <c r="D663" s="101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9"/>
      <c r="V663" s="109"/>
    </row>
    <row r="664" ht="12.75" customHeight="1">
      <c r="A664" s="106"/>
      <c r="B664" s="106"/>
      <c r="C664" s="106"/>
      <c r="D664" s="101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9"/>
      <c r="V664" s="109"/>
    </row>
    <row r="665" ht="12.75" customHeight="1">
      <c r="A665" s="106"/>
      <c r="B665" s="106"/>
      <c r="C665" s="106"/>
      <c r="D665" s="101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9"/>
      <c r="V665" s="109"/>
    </row>
    <row r="666" ht="12.75" customHeight="1">
      <c r="A666" s="106"/>
      <c r="B666" s="106"/>
      <c r="C666" s="106"/>
      <c r="D666" s="101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9"/>
      <c r="V666" s="109"/>
    </row>
    <row r="667" ht="12.75" customHeight="1">
      <c r="A667" s="106"/>
      <c r="B667" s="106"/>
      <c r="C667" s="106"/>
      <c r="D667" s="101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9"/>
      <c r="V667" s="109"/>
    </row>
    <row r="668" ht="12.75" customHeight="1">
      <c r="A668" s="106"/>
      <c r="B668" s="106"/>
      <c r="C668" s="106"/>
      <c r="D668" s="101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9"/>
      <c r="V668" s="109"/>
    </row>
    <row r="669" ht="12.75" customHeight="1">
      <c r="A669" s="106"/>
      <c r="B669" s="106"/>
      <c r="C669" s="106"/>
      <c r="D669" s="101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9"/>
      <c r="V669" s="109"/>
    </row>
    <row r="670" ht="12.75" customHeight="1">
      <c r="A670" s="106"/>
      <c r="B670" s="106"/>
      <c r="C670" s="106"/>
      <c r="D670" s="101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9"/>
      <c r="V670" s="109"/>
    </row>
    <row r="671" ht="12.75" customHeight="1">
      <c r="A671" s="106"/>
      <c r="B671" s="106"/>
      <c r="C671" s="106"/>
      <c r="D671" s="101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9"/>
      <c r="V671" s="109"/>
    </row>
    <row r="672" ht="12.75" customHeight="1">
      <c r="A672" s="106"/>
      <c r="B672" s="106"/>
      <c r="C672" s="106"/>
      <c r="D672" s="101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9"/>
      <c r="V672" s="109"/>
    </row>
    <row r="673" ht="12.75" customHeight="1">
      <c r="A673" s="106"/>
      <c r="B673" s="106"/>
      <c r="C673" s="106"/>
      <c r="D673" s="101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9"/>
      <c r="V673" s="109"/>
    </row>
    <row r="674" ht="12.75" customHeight="1">
      <c r="A674" s="106"/>
      <c r="B674" s="106"/>
      <c r="C674" s="106"/>
      <c r="D674" s="101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9"/>
      <c r="V674" s="109"/>
    </row>
    <row r="675" ht="12.75" customHeight="1">
      <c r="A675" s="106"/>
      <c r="B675" s="106"/>
      <c r="C675" s="106"/>
      <c r="D675" s="101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9"/>
      <c r="V675" s="109"/>
    </row>
    <row r="676" ht="12.75" customHeight="1">
      <c r="A676" s="106"/>
      <c r="B676" s="106"/>
      <c r="C676" s="106"/>
      <c r="D676" s="101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9"/>
      <c r="V676" s="109"/>
    </row>
    <row r="677" ht="12.75" customHeight="1">
      <c r="A677" s="106"/>
      <c r="B677" s="106"/>
      <c r="C677" s="106"/>
      <c r="D677" s="101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9"/>
      <c r="V677" s="109"/>
    </row>
    <row r="678" ht="12.75" customHeight="1">
      <c r="A678" s="106"/>
      <c r="B678" s="106"/>
      <c r="C678" s="106"/>
      <c r="D678" s="101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9"/>
      <c r="V678" s="109"/>
    </row>
    <row r="679" ht="12.75" customHeight="1">
      <c r="A679" s="106"/>
      <c r="B679" s="106"/>
      <c r="C679" s="106"/>
      <c r="D679" s="101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9"/>
      <c r="V679" s="109"/>
    </row>
    <row r="680" ht="12.75" customHeight="1">
      <c r="A680" s="106"/>
      <c r="B680" s="106"/>
      <c r="C680" s="106"/>
      <c r="D680" s="101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9"/>
      <c r="V680" s="109"/>
    </row>
    <row r="681" ht="12.75" customHeight="1">
      <c r="A681" s="106"/>
      <c r="B681" s="106"/>
      <c r="C681" s="106"/>
      <c r="D681" s="101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9"/>
      <c r="V681" s="109"/>
    </row>
    <row r="682" ht="12.75" customHeight="1">
      <c r="A682" s="106"/>
      <c r="B682" s="106"/>
      <c r="C682" s="106"/>
      <c r="D682" s="101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9"/>
      <c r="V682" s="109"/>
    </row>
    <row r="683" ht="12.75" customHeight="1">
      <c r="A683" s="106"/>
      <c r="B683" s="106"/>
      <c r="C683" s="106"/>
      <c r="D683" s="101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9"/>
      <c r="V683" s="109"/>
    </row>
    <row r="684" ht="12.75" customHeight="1">
      <c r="A684" s="106"/>
      <c r="B684" s="106"/>
      <c r="C684" s="106"/>
      <c r="D684" s="101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9"/>
      <c r="V684" s="109"/>
    </row>
    <row r="685" ht="12.75" customHeight="1">
      <c r="A685" s="106"/>
      <c r="B685" s="106"/>
      <c r="C685" s="106"/>
      <c r="D685" s="101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9"/>
      <c r="V685" s="109"/>
    </row>
    <row r="686" ht="12.75" customHeight="1">
      <c r="A686" s="106"/>
      <c r="B686" s="106"/>
      <c r="C686" s="106"/>
      <c r="D686" s="101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9"/>
      <c r="V686" s="109"/>
    </row>
    <row r="687" ht="12.75" customHeight="1">
      <c r="A687" s="106"/>
      <c r="B687" s="106"/>
      <c r="C687" s="106"/>
      <c r="D687" s="101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9"/>
      <c r="V687" s="109"/>
    </row>
    <row r="688" ht="12.75" customHeight="1">
      <c r="A688" s="106"/>
      <c r="B688" s="106"/>
      <c r="C688" s="106"/>
      <c r="D688" s="101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9"/>
      <c r="V688" s="109"/>
    </row>
    <row r="689" ht="12.75" customHeight="1">
      <c r="A689" s="106"/>
      <c r="B689" s="106"/>
      <c r="C689" s="106"/>
      <c r="D689" s="101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9"/>
      <c r="V689" s="109"/>
    </row>
    <row r="690" ht="12.75" customHeight="1">
      <c r="A690" s="106"/>
      <c r="B690" s="106"/>
      <c r="C690" s="106"/>
      <c r="D690" s="101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9"/>
      <c r="V690" s="109"/>
    </row>
    <row r="691" ht="12.75" customHeight="1">
      <c r="A691" s="106"/>
      <c r="B691" s="106"/>
      <c r="C691" s="106"/>
      <c r="D691" s="101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9"/>
      <c r="V691" s="109"/>
    </row>
    <row r="692" ht="12.75" customHeight="1">
      <c r="A692" s="106"/>
      <c r="B692" s="106"/>
      <c r="C692" s="106"/>
      <c r="D692" s="101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9"/>
      <c r="V692" s="109"/>
    </row>
    <row r="693" ht="12.75" customHeight="1">
      <c r="A693" s="106"/>
      <c r="B693" s="106"/>
      <c r="C693" s="106"/>
      <c r="D693" s="101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9"/>
      <c r="V693" s="109"/>
    </row>
    <row r="694" ht="12.75" customHeight="1">
      <c r="A694" s="106"/>
      <c r="B694" s="106"/>
      <c r="C694" s="106"/>
      <c r="D694" s="101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9"/>
      <c r="V694" s="109"/>
    </row>
    <row r="695" ht="12.75" customHeight="1">
      <c r="A695" s="106"/>
      <c r="B695" s="106"/>
      <c r="C695" s="106"/>
      <c r="D695" s="101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9"/>
      <c r="V695" s="109"/>
    </row>
    <row r="696" ht="12.75" customHeight="1">
      <c r="A696" s="106"/>
      <c r="B696" s="106"/>
      <c r="C696" s="106"/>
      <c r="D696" s="101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9"/>
      <c r="V696" s="109"/>
    </row>
    <row r="697" ht="12.75" customHeight="1">
      <c r="A697" s="106"/>
      <c r="B697" s="106"/>
      <c r="C697" s="106"/>
      <c r="D697" s="101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9"/>
      <c r="V697" s="109"/>
    </row>
    <row r="698" ht="12.75" customHeight="1">
      <c r="A698" s="106"/>
      <c r="B698" s="106"/>
      <c r="C698" s="106"/>
      <c r="D698" s="101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9"/>
      <c r="V698" s="109"/>
    </row>
    <row r="699" ht="12.75" customHeight="1">
      <c r="A699" s="106"/>
      <c r="B699" s="106"/>
      <c r="C699" s="106"/>
      <c r="D699" s="101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9"/>
      <c r="V699" s="109"/>
    </row>
    <row r="700" ht="12.75" customHeight="1">
      <c r="A700" s="106"/>
      <c r="B700" s="106"/>
      <c r="C700" s="106"/>
      <c r="D700" s="101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9"/>
      <c r="V700" s="109"/>
    </row>
    <row r="701" ht="12.75" customHeight="1">
      <c r="A701" s="106"/>
      <c r="B701" s="106"/>
      <c r="C701" s="106"/>
      <c r="D701" s="101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9"/>
      <c r="V701" s="109"/>
    </row>
    <row r="702" ht="12.75" customHeight="1">
      <c r="A702" s="106"/>
      <c r="B702" s="106"/>
      <c r="C702" s="106"/>
      <c r="D702" s="101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9"/>
      <c r="V702" s="109"/>
    </row>
    <row r="703" ht="12.75" customHeight="1">
      <c r="A703" s="106"/>
      <c r="B703" s="106"/>
      <c r="C703" s="106"/>
      <c r="D703" s="101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9"/>
      <c r="V703" s="109"/>
    </row>
    <row r="704" ht="12.75" customHeight="1">
      <c r="A704" s="106"/>
      <c r="B704" s="106"/>
      <c r="C704" s="106"/>
      <c r="D704" s="101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9"/>
      <c r="V704" s="109"/>
    </row>
    <row r="705" ht="12.75" customHeight="1">
      <c r="A705" s="106"/>
      <c r="B705" s="106"/>
      <c r="C705" s="106"/>
      <c r="D705" s="101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9"/>
      <c r="V705" s="109"/>
    </row>
    <row r="706" ht="12.75" customHeight="1">
      <c r="A706" s="106"/>
      <c r="B706" s="106"/>
      <c r="C706" s="106"/>
      <c r="D706" s="101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9"/>
      <c r="V706" s="109"/>
    </row>
    <row r="707" ht="12.75" customHeight="1">
      <c r="A707" s="106"/>
      <c r="B707" s="106"/>
      <c r="C707" s="106"/>
      <c r="D707" s="101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9"/>
      <c r="V707" s="109"/>
    </row>
    <row r="708" ht="12.75" customHeight="1">
      <c r="A708" s="106"/>
      <c r="B708" s="106"/>
      <c r="C708" s="106"/>
      <c r="D708" s="101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9"/>
      <c r="V708" s="109"/>
    </row>
    <row r="709" ht="12.75" customHeight="1">
      <c r="A709" s="106"/>
      <c r="B709" s="106"/>
      <c r="C709" s="106"/>
      <c r="D709" s="101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9"/>
      <c r="V709" s="109"/>
    </row>
    <row r="710" ht="12.75" customHeight="1">
      <c r="A710" s="106"/>
      <c r="B710" s="106"/>
      <c r="C710" s="106"/>
      <c r="D710" s="101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9"/>
      <c r="V710" s="109"/>
    </row>
    <row r="711" ht="12.75" customHeight="1">
      <c r="A711" s="106"/>
      <c r="B711" s="106"/>
      <c r="C711" s="106"/>
      <c r="D711" s="101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9"/>
      <c r="V711" s="109"/>
    </row>
    <row r="712" ht="12.75" customHeight="1">
      <c r="A712" s="106"/>
      <c r="B712" s="106"/>
      <c r="C712" s="106"/>
      <c r="D712" s="101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9"/>
      <c r="V712" s="109"/>
    </row>
    <row r="713" ht="12.75" customHeight="1">
      <c r="A713" s="106"/>
      <c r="B713" s="106"/>
      <c r="C713" s="106"/>
      <c r="D713" s="101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9"/>
      <c r="V713" s="109"/>
    </row>
    <row r="714" ht="12.75" customHeight="1">
      <c r="A714" s="106"/>
      <c r="B714" s="106"/>
      <c r="C714" s="106"/>
      <c r="D714" s="101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9"/>
      <c r="V714" s="109"/>
    </row>
    <row r="715" ht="12.75" customHeight="1">
      <c r="A715" s="106"/>
      <c r="B715" s="106"/>
      <c r="C715" s="106"/>
      <c r="D715" s="101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9"/>
      <c r="V715" s="109"/>
    </row>
    <row r="716" ht="12.75" customHeight="1">
      <c r="A716" s="106"/>
      <c r="B716" s="106"/>
      <c r="C716" s="106"/>
      <c r="D716" s="101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9"/>
      <c r="V716" s="109"/>
    </row>
    <row r="717" ht="12.75" customHeight="1">
      <c r="A717" s="106"/>
      <c r="B717" s="106"/>
      <c r="C717" s="106"/>
      <c r="D717" s="101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9"/>
      <c r="V717" s="109"/>
    </row>
    <row r="718" ht="12.75" customHeight="1">
      <c r="A718" s="106"/>
      <c r="B718" s="106"/>
      <c r="C718" s="106"/>
      <c r="D718" s="101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9"/>
      <c r="V718" s="109"/>
    </row>
    <row r="719" ht="12.75" customHeight="1">
      <c r="A719" s="106"/>
      <c r="B719" s="106"/>
      <c r="C719" s="106"/>
      <c r="D719" s="101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9"/>
      <c r="V719" s="109"/>
    </row>
    <row r="720" ht="12.75" customHeight="1">
      <c r="A720" s="106"/>
      <c r="B720" s="106"/>
      <c r="C720" s="106"/>
      <c r="D720" s="101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9"/>
      <c r="V720" s="109"/>
    </row>
    <row r="721" ht="12.75" customHeight="1">
      <c r="A721" s="106"/>
      <c r="B721" s="106"/>
      <c r="C721" s="106"/>
      <c r="D721" s="101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9"/>
      <c r="V721" s="109"/>
    </row>
    <row r="722" ht="12.75" customHeight="1">
      <c r="A722" s="106"/>
      <c r="B722" s="106"/>
      <c r="C722" s="106"/>
      <c r="D722" s="101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9"/>
      <c r="V722" s="109"/>
    </row>
    <row r="723" ht="12.75" customHeight="1">
      <c r="A723" s="106"/>
      <c r="B723" s="106"/>
      <c r="C723" s="106"/>
      <c r="D723" s="101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9"/>
      <c r="V723" s="109"/>
    </row>
    <row r="724" ht="12.75" customHeight="1">
      <c r="A724" s="106"/>
      <c r="B724" s="106"/>
      <c r="C724" s="106"/>
      <c r="D724" s="101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9"/>
      <c r="V724" s="109"/>
    </row>
    <row r="725" ht="12.75" customHeight="1">
      <c r="A725" s="106"/>
      <c r="B725" s="106"/>
      <c r="C725" s="106"/>
      <c r="D725" s="101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9"/>
      <c r="V725" s="109"/>
    </row>
    <row r="726" ht="12.75" customHeight="1">
      <c r="A726" s="106"/>
      <c r="B726" s="106"/>
      <c r="C726" s="106"/>
      <c r="D726" s="101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9"/>
      <c r="V726" s="109"/>
    </row>
    <row r="727" ht="12.75" customHeight="1">
      <c r="A727" s="106"/>
      <c r="B727" s="106"/>
      <c r="C727" s="106"/>
      <c r="D727" s="101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9"/>
      <c r="V727" s="109"/>
    </row>
    <row r="728" ht="12.75" customHeight="1">
      <c r="A728" s="106"/>
      <c r="B728" s="106"/>
      <c r="C728" s="106"/>
      <c r="D728" s="101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9"/>
      <c r="V728" s="109"/>
    </row>
    <row r="729" ht="12.75" customHeight="1">
      <c r="A729" s="106"/>
      <c r="B729" s="106"/>
      <c r="C729" s="106"/>
      <c r="D729" s="101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9"/>
      <c r="V729" s="109"/>
    </row>
    <row r="730" ht="12.75" customHeight="1">
      <c r="A730" s="106"/>
      <c r="B730" s="106"/>
      <c r="C730" s="106"/>
      <c r="D730" s="101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9"/>
      <c r="V730" s="109"/>
    </row>
    <row r="731" ht="12.75" customHeight="1">
      <c r="A731" s="106"/>
      <c r="B731" s="106"/>
      <c r="C731" s="106"/>
      <c r="D731" s="101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9"/>
      <c r="V731" s="109"/>
    </row>
    <row r="732" ht="12.75" customHeight="1">
      <c r="A732" s="106"/>
      <c r="B732" s="106"/>
      <c r="C732" s="106"/>
      <c r="D732" s="101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9"/>
      <c r="V732" s="109"/>
    </row>
    <row r="733" ht="12.75" customHeight="1">
      <c r="A733" s="106"/>
      <c r="B733" s="106"/>
      <c r="C733" s="106"/>
      <c r="D733" s="101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9"/>
      <c r="V733" s="109"/>
    </row>
    <row r="734" ht="12.75" customHeight="1">
      <c r="A734" s="106"/>
      <c r="B734" s="106"/>
      <c r="C734" s="106"/>
      <c r="D734" s="101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9"/>
      <c r="V734" s="109"/>
    </row>
    <row r="735" ht="12.75" customHeight="1">
      <c r="A735" s="106"/>
      <c r="B735" s="106"/>
      <c r="C735" s="106"/>
      <c r="D735" s="101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9"/>
      <c r="V735" s="109"/>
    </row>
    <row r="736" ht="12.75" customHeight="1">
      <c r="A736" s="106"/>
      <c r="B736" s="106"/>
      <c r="C736" s="106"/>
      <c r="D736" s="101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9"/>
      <c r="V736" s="109"/>
    </row>
    <row r="737" ht="12.75" customHeight="1">
      <c r="A737" s="106"/>
      <c r="B737" s="106"/>
      <c r="C737" s="106"/>
      <c r="D737" s="101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9"/>
      <c r="V737" s="109"/>
    </row>
    <row r="738" ht="12.75" customHeight="1">
      <c r="A738" s="106"/>
      <c r="B738" s="106"/>
      <c r="C738" s="106"/>
      <c r="D738" s="101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9"/>
      <c r="V738" s="109"/>
    </row>
    <row r="739" ht="12.75" customHeight="1">
      <c r="A739" s="106"/>
      <c r="B739" s="106"/>
      <c r="C739" s="106"/>
      <c r="D739" s="101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9"/>
      <c r="V739" s="109"/>
    </row>
    <row r="740" ht="12.75" customHeight="1">
      <c r="A740" s="106"/>
      <c r="B740" s="106"/>
      <c r="C740" s="106"/>
      <c r="D740" s="101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9"/>
      <c r="V740" s="109"/>
    </row>
    <row r="741" ht="12.75" customHeight="1">
      <c r="A741" s="106"/>
      <c r="B741" s="106"/>
      <c r="C741" s="106"/>
      <c r="D741" s="101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9"/>
      <c r="V741" s="109"/>
    </row>
    <row r="742" ht="12.75" customHeight="1">
      <c r="A742" s="106"/>
      <c r="B742" s="106"/>
      <c r="C742" s="106"/>
      <c r="D742" s="101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9"/>
      <c r="V742" s="109"/>
    </row>
    <row r="743" ht="12.75" customHeight="1">
      <c r="A743" s="106"/>
      <c r="B743" s="106"/>
      <c r="C743" s="106"/>
      <c r="D743" s="101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9"/>
      <c r="V743" s="109"/>
    </row>
    <row r="744" ht="12.75" customHeight="1">
      <c r="A744" s="106"/>
      <c r="B744" s="106"/>
      <c r="C744" s="106"/>
      <c r="D744" s="101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9"/>
      <c r="V744" s="109"/>
    </row>
    <row r="745" ht="12.75" customHeight="1">
      <c r="A745" s="106"/>
      <c r="B745" s="106"/>
      <c r="C745" s="106"/>
      <c r="D745" s="101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9"/>
      <c r="V745" s="109"/>
    </row>
    <row r="746" ht="12.75" customHeight="1">
      <c r="A746" s="106"/>
      <c r="B746" s="106"/>
      <c r="C746" s="106"/>
      <c r="D746" s="101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9"/>
      <c r="V746" s="109"/>
    </row>
    <row r="747" ht="12.75" customHeight="1">
      <c r="A747" s="106"/>
      <c r="B747" s="106"/>
      <c r="C747" s="106"/>
      <c r="D747" s="101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9"/>
      <c r="V747" s="109"/>
    </row>
    <row r="748" ht="12.75" customHeight="1">
      <c r="A748" s="106"/>
      <c r="B748" s="106"/>
      <c r="C748" s="106"/>
      <c r="D748" s="101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9"/>
      <c r="V748" s="109"/>
    </row>
    <row r="749" ht="12.75" customHeight="1">
      <c r="A749" s="106"/>
      <c r="B749" s="106"/>
      <c r="C749" s="106"/>
      <c r="D749" s="101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9"/>
      <c r="V749" s="109"/>
    </row>
    <row r="750" ht="12.75" customHeight="1">
      <c r="A750" s="106"/>
      <c r="B750" s="106"/>
      <c r="C750" s="106"/>
      <c r="D750" s="101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9"/>
      <c r="V750" s="109"/>
    </row>
    <row r="751" ht="12.75" customHeight="1">
      <c r="A751" s="106"/>
      <c r="B751" s="106"/>
      <c r="C751" s="106"/>
      <c r="D751" s="101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9"/>
      <c r="V751" s="109"/>
    </row>
    <row r="752" ht="12.75" customHeight="1">
      <c r="A752" s="106"/>
      <c r="B752" s="106"/>
      <c r="C752" s="106"/>
      <c r="D752" s="101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9"/>
      <c r="V752" s="109"/>
    </row>
    <row r="753" ht="12.75" customHeight="1">
      <c r="A753" s="106"/>
      <c r="B753" s="106"/>
      <c r="C753" s="106"/>
      <c r="D753" s="101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9"/>
      <c r="V753" s="109"/>
    </row>
    <row r="754" ht="12.75" customHeight="1">
      <c r="A754" s="106"/>
      <c r="B754" s="106"/>
      <c r="C754" s="106"/>
      <c r="D754" s="101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9"/>
      <c r="V754" s="109"/>
    </row>
    <row r="755" ht="12.75" customHeight="1">
      <c r="A755" s="106"/>
      <c r="B755" s="106"/>
      <c r="C755" s="106"/>
      <c r="D755" s="101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9"/>
      <c r="V755" s="109"/>
    </row>
    <row r="756" ht="12.75" customHeight="1">
      <c r="A756" s="106"/>
      <c r="B756" s="106"/>
      <c r="C756" s="106"/>
      <c r="D756" s="101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9"/>
      <c r="V756" s="109"/>
    </row>
    <row r="757" ht="12.75" customHeight="1">
      <c r="A757" s="106"/>
      <c r="B757" s="106"/>
      <c r="C757" s="106"/>
      <c r="D757" s="101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9"/>
      <c r="V757" s="109"/>
    </row>
    <row r="758" ht="12.75" customHeight="1">
      <c r="A758" s="106"/>
      <c r="B758" s="106"/>
      <c r="C758" s="106"/>
      <c r="D758" s="101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9"/>
      <c r="V758" s="109"/>
    </row>
    <row r="759" ht="12.75" customHeight="1">
      <c r="A759" s="106"/>
      <c r="B759" s="106"/>
      <c r="C759" s="106"/>
      <c r="D759" s="101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9"/>
      <c r="V759" s="109"/>
    </row>
    <row r="760" ht="12.75" customHeight="1">
      <c r="A760" s="106"/>
      <c r="B760" s="106"/>
      <c r="C760" s="106"/>
      <c r="D760" s="101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9"/>
      <c r="V760" s="109"/>
    </row>
    <row r="761" ht="12.75" customHeight="1">
      <c r="A761" s="106"/>
      <c r="B761" s="106"/>
      <c r="C761" s="106"/>
      <c r="D761" s="101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9"/>
      <c r="V761" s="109"/>
    </row>
    <row r="762" ht="12.75" customHeight="1">
      <c r="A762" s="106"/>
      <c r="B762" s="106"/>
      <c r="C762" s="106"/>
      <c r="D762" s="101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9"/>
      <c r="V762" s="109"/>
    </row>
    <row r="763" ht="12.75" customHeight="1">
      <c r="A763" s="106"/>
      <c r="B763" s="106"/>
      <c r="C763" s="106"/>
      <c r="D763" s="101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9"/>
      <c r="V763" s="109"/>
    </row>
    <row r="764" ht="12.75" customHeight="1">
      <c r="A764" s="106"/>
      <c r="B764" s="106"/>
      <c r="C764" s="106"/>
      <c r="D764" s="101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9"/>
      <c r="V764" s="109"/>
    </row>
    <row r="765" ht="12.75" customHeight="1">
      <c r="A765" s="106"/>
      <c r="B765" s="106"/>
      <c r="C765" s="106"/>
      <c r="D765" s="101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9"/>
      <c r="V765" s="109"/>
    </row>
    <row r="766" ht="12.75" customHeight="1">
      <c r="A766" s="106"/>
      <c r="B766" s="106"/>
      <c r="C766" s="106"/>
      <c r="D766" s="101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9"/>
      <c r="V766" s="109"/>
    </row>
    <row r="767" ht="12.75" customHeight="1">
      <c r="A767" s="106"/>
      <c r="B767" s="106"/>
      <c r="C767" s="106"/>
      <c r="D767" s="101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9"/>
      <c r="V767" s="109"/>
    </row>
    <row r="768" ht="12.75" customHeight="1">
      <c r="A768" s="106"/>
      <c r="B768" s="106"/>
      <c r="C768" s="106"/>
      <c r="D768" s="101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9"/>
      <c r="V768" s="109"/>
    </row>
    <row r="769" ht="12.75" customHeight="1">
      <c r="A769" s="106"/>
      <c r="B769" s="106"/>
      <c r="C769" s="106"/>
      <c r="D769" s="101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9"/>
      <c r="V769" s="109"/>
    </row>
    <row r="770" ht="12.75" customHeight="1">
      <c r="A770" s="106"/>
      <c r="B770" s="106"/>
      <c r="C770" s="106"/>
      <c r="D770" s="101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9"/>
      <c r="V770" s="109"/>
    </row>
    <row r="771" ht="12.75" customHeight="1">
      <c r="A771" s="106"/>
      <c r="B771" s="106"/>
      <c r="C771" s="106"/>
      <c r="D771" s="101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9"/>
      <c r="V771" s="109"/>
    </row>
    <row r="772" ht="12.75" customHeight="1">
      <c r="A772" s="106"/>
      <c r="B772" s="106"/>
      <c r="C772" s="106"/>
      <c r="D772" s="101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9"/>
      <c r="V772" s="109"/>
    </row>
    <row r="773" ht="12.75" customHeight="1">
      <c r="A773" s="106"/>
      <c r="B773" s="106"/>
      <c r="C773" s="106"/>
      <c r="D773" s="101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9"/>
      <c r="V773" s="109"/>
    </row>
    <row r="774" ht="12.75" customHeight="1">
      <c r="A774" s="106"/>
      <c r="B774" s="106"/>
      <c r="C774" s="106"/>
      <c r="D774" s="101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9"/>
      <c r="V774" s="109"/>
    </row>
    <row r="775" ht="12.75" customHeight="1">
      <c r="A775" s="106"/>
      <c r="B775" s="106"/>
      <c r="C775" s="106"/>
      <c r="D775" s="101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9"/>
      <c r="V775" s="109"/>
    </row>
    <row r="776" ht="12.75" customHeight="1">
      <c r="A776" s="106"/>
      <c r="B776" s="106"/>
      <c r="C776" s="106"/>
      <c r="D776" s="101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9"/>
      <c r="V776" s="109"/>
    </row>
    <row r="777" ht="12.75" customHeight="1">
      <c r="A777" s="106"/>
      <c r="B777" s="106"/>
      <c r="C777" s="106"/>
      <c r="D777" s="101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9"/>
      <c r="V777" s="109"/>
    </row>
    <row r="778" ht="12.75" customHeight="1">
      <c r="A778" s="106"/>
      <c r="B778" s="106"/>
      <c r="C778" s="106"/>
      <c r="D778" s="101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9"/>
      <c r="V778" s="109"/>
    </row>
    <row r="779" ht="12.75" customHeight="1">
      <c r="A779" s="106"/>
      <c r="B779" s="106"/>
      <c r="C779" s="106"/>
      <c r="D779" s="101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9"/>
      <c r="V779" s="109"/>
    </row>
    <row r="780" ht="12.75" customHeight="1">
      <c r="A780" s="106"/>
      <c r="B780" s="106"/>
      <c r="C780" s="106"/>
      <c r="D780" s="101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9"/>
      <c r="V780" s="109"/>
    </row>
    <row r="781" ht="12.75" customHeight="1">
      <c r="A781" s="106"/>
      <c r="B781" s="106"/>
      <c r="C781" s="106"/>
      <c r="D781" s="101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9"/>
      <c r="V781" s="109"/>
    </row>
    <row r="782" ht="12.75" customHeight="1">
      <c r="A782" s="106"/>
      <c r="B782" s="106"/>
      <c r="C782" s="106"/>
      <c r="D782" s="101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9"/>
      <c r="V782" s="109"/>
    </row>
    <row r="783" ht="12.75" customHeight="1">
      <c r="A783" s="106"/>
      <c r="B783" s="106"/>
      <c r="C783" s="106"/>
      <c r="D783" s="101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9"/>
      <c r="V783" s="109"/>
    </row>
    <row r="784" ht="12.75" customHeight="1">
      <c r="A784" s="106"/>
      <c r="B784" s="106"/>
      <c r="C784" s="106"/>
      <c r="D784" s="101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9"/>
      <c r="V784" s="109"/>
    </row>
    <row r="785" ht="12.75" customHeight="1">
      <c r="A785" s="106"/>
      <c r="B785" s="106"/>
      <c r="C785" s="106"/>
      <c r="D785" s="101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9"/>
      <c r="V785" s="109"/>
    </row>
    <row r="786" ht="12.75" customHeight="1">
      <c r="A786" s="106"/>
      <c r="B786" s="106"/>
      <c r="C786" s="106"/>
      <c r="D786" s="101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9"/>
      <c r="V786" s="109"/>
    </row>
    <row r="787" ht="12.75" customHeight="1">
      <c r="A787" s="106"/>
      <c r="B787" s="106"/>
      <c r="C787" s="106"/>
      <c r="D787" s="101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9"/>
      <c r="V787" s="109"/>
    </row>
    <row r="788" ht="12.75" customHeight="1">
      <c r="A788" s="106"/>
      <c r="B788" s="106"/>
      <c r="C788" s="106"/>
      <c r="D788" s="101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9"/>
      <c r="V788" s="109"/>
    </row>
    <row r="789" ht="12.75" customHeight="1">
      <c r="A789" s="106"/>
      <c r="B789" s="106"/>
      <c r="C789" s="106"/>
      <c r="D789" s="101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9"/>
      <c r="V789" s="109"/>
    </row>
    <row r="790" ht="12.75" customHeight="1">
      <c r="A790" s="106"/>
      <c r="B790" s="106"/>
      <c r="C790" s="106"/>
      <c r="D790" s="101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9"/>
      <c r="V790" s="109"/>
    </row>
    <row r="791" ht="12.75" customHeight="1">
      <c r="A791" s="106"/>
      <c r="B791" s="106"/>
      <c r="C791" s="106"/>
      <c r="D791" s="101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9"/>
      <c r="V791" s="109"/>
    </row>
    <row r="792" ht="12.75" customHeight="1">
      <c r="A792" s="106"/>
      <c r="B792" s="106"/>
      <c r="C792" s="106"/>
      <c r="D792" s="101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9"/>
      <c r="V792" s="109"/>
    </row>
    <row r="793" ht="12.75" customHeight="1">
      <c r="A793" s="106"/>
      <c r="B793" s="106"/>
      <c r="C793" s="106"/>
      <c r="D793" s="101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9"/>
      <c r="V793" s="109"/>
    </row>
    <row r="794" ht="12.75" customHeight="1">
      <c r="A794" s="106"/>
      <c r="B794" s="106"/>
      <c r="C794" s="106"/>
      <c r="D794" s="101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9"/>
      <c r="V794" s="109"/>
    </row>
    <row r="795" ht="12.75" customHeight="1">
      <c r="A795" s="106"/>
      <c r="B795" s="106"/>
      <c r="C795" s="106"/>
      <c r="D795" s="101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9"/>
      <c r="V795" s="109"/>
    </row>
    <row r="796" ht="12.75" customHeight="1">
      <c r="A796" s="106"/>
      <c r="B796" s="106"/>
      <c r="C796" s="106"/>
      <c r="D796" s="101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9"/>
      <c r="V796" s="109"/>
    </row>
    <row r="797" ht="12.75" customHeight="1">
      <c r="A797" s="106"/>
      <c r="B797" s="106"/>
      <c r="C797" s="106"/>
      <c r="D797" s="101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9"/>
      <c r="V797" s="109"/>
    </row>
    <row r="798" ht="12.75" customHeight="1">
      <c r="A798" s="106"/>
      <c r="B798" s="106"/>
      <c r="C798" s="106"/>
      <c r="D798" s="101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9"/>
      <c r="V798" s="109"/>
    </row>
    <row r="799" ht="12.75" customHeight="1">
      <c r="A799" s="106"/>
      <c r="B799" s="106"/>
      <c r="C799" s="106"/>
      <c r="D799" s="101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9"/>
      <c r="V799" s="109"/>
    </row>
    <row r="800" ht="12.75" customHeight="1">
      <c r="A800" s="106"/>
      <c r="B800" s="106"/>
      <c r="C800" s="106"/>
      <c r="D800" s="101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9"/>
      <c r="V800" s="109"/>
    </row>
    <row r="801" ht="12.75" customHeight="1">
      <c r="A801" s="106"/>
      <c r="B801" s="106"/>
      <c r="C801" s="106"/>
      <c r="D801" s="101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9"/>
      <c r="V801" s="109"/>
    </row>
    <row r="802" ht="12.75" customHeight="1">
      <c r="A802" s="106"/>
      <c r="B802" s="106"/>
      <c r="C802" s="106"/>
      <c r="D802" s="101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9"/>
      <c r="V802" s="109"/>
    </row>
    <row r="803" ht="12.75" customHeight="1">
      <c r="A803" s="106"/>
      <c r="B803" s="106"/>
      <c r="C803" s="106"/>
      <c r="D803" s="101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9"/>
      <c r="V803" s="109"/>
    </row>
    <row r="804" ht="12.75" customHeight="1">
      <c r="A804" s="106"/>
      <c r="B804" s="106"/>
      <c r="C804" s="106"/>
      <c r="D804" s="101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9"/>
      <c r="V804" s="109"/>
    </row>
    <row r="805" ht="12.75" customHeight="1">
      <c r="A805" s="106"/>
      <c r="B805" s="106"/>
      <c r="C805" s="106"/>
      <c r="D805" s="101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9"/>
      <c r="V805" s="109"/>
    </row>
    <row r="806" ht="12.75" customHeight="1">
      <c r="A806" s="106"/>
      <c r="B806" s="106"/>
      <c r="C806" s="106"/>
      <c r="D806" s="101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9"/>
      <c r="V806" s="109"/>
    </row>
    <row r="807" ht="12.75" customHeight="1">
      <c r="A807" s="106"/>
      <c r="B807" s="106"/>
      <c r="C807" s="106"/>
      <c r="D807" s="101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9"/>
      <c r="V807" s="109"/>
    </row>
    <row r="808" ht="12.75" customHeight="1">
      <c r="A808" s="106"/>
      <c r="B808" s="106"/>
      <c r="C808" s="106"/>
      <c r="D808" s="101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9"/>
      <c r="V808" s="109"/>
    </row>
    <row r="809" ht="12.75" customHeight="1">
      <c r="A809" s="106"/>
      <c r="B809" s="106"/>
      <c r="C809" s="106"/>
      <c r="D809" s="101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9"/>
      <c r="V809" s="109"/>
    </row>
    <row r="810" ht="12.75" customHeight="1">
      <c r="A810" s="106"/>
      <c r="B810" s="106"/>
      <c r="C810" s="106"/>
      <c r="D810" s="101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9"/>
      <c r="V810" s="109"/>
    </row>
    <row r="811" ht="12.75" customHeight="1">
      <c r="A811" s="106"/>
      <c r="B811" s="106"/>
      <c r="C811" s="106"/>
      <c r="D811" s="101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9"/>
      <c r="V811" s="109"/>
    </row>
    <row r="812" ht="12.75" customHeight="1">
      <c r="A812" s="106"/>
      <c r="B812" s="106"/>
      <c r="C812" s="106"/>
      <c r="D812" s="101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9"/>
      <c r="V812" s="109"/>
    </row>
    <row r="813" ht="12.75" customHeight="1">
      <c r="A813" s="106"/>
      <c r="B813" s="106"/>
      <c r="C813" s="106"/>
      <c r="D813" s="101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9"/>
      <c r="V813" s="109"/>
    </row>
    <row r="814" ht="12.75" customHeight="1">
      <c r="A814" s="106"/>
      <c r="B814" s="106"/>
      <c r="C814" s="106"/>
      <c r="D814" s="101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9"/>
      <c r="V814" s="109"/>
    </row>
    <row r="815" ht="12.75" customHeight="1">
      <c r="A815" s="106"/>
      <c r="B815" s="106"/>
      <c r="C815" s="106"/>
      <c r="D815" s="101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9"/>
      <c r="V815" s="109"/>
    </row>
    <row r="816" ht="12.75" customHeight="1">
      <c r="A816" s="106"/>
      <c r="B816" s="106"/>
      <c r="C816" s="106"/>
      <c r="D816" s="101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9"/>
      <c r="V816" s="109"/>
    </row>
    <row r="817" ht="12.75" customHeight="1">
      <c r="A817" s="106"/>
      <c r="B817" s="106"/>
      <c r="C817" s="106"/>
      <c r="D817" s="101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9"/>
      <c r="V817" s="109"/>
    </row>
    <row r="818" ht="12.75" customHeight="1">
      <c r="A818" s="106"/>
      <c r="B818" s="106"/>
      <c r="C818" s="106"/>
      <c r="D818" s="101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9"/>
      <c r="V818" s="109"/>
    </row>
    <row r="819" ht="12.75" customHeight="1">
      <c r="A819" s="106"/>
      <c r="B819" s="106"/>
      <c r="C819" s="106"/>
      <c r="D819" s="101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9"/>
      <c r="V819" s="109"/>
    </row>
    <row r="820" ht="12.75" customHeight="1">
      <c r="A820" s="106"/>
      <c r="B820" s="106"/>
      <c r="C820" s="106"/>
      <c r="D820" s="101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9"/>
      <c r="V820" s="109"/>
    </row>
    <row r="821" ht="12.75" customHeight="1">
      <c r="A821" s="106"/>
      <c r="B821" s="106"/>
      <c r="C821" s="106"/>
      <c r="D821" s="101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9"/>
      <c r="V821" s="109"/>
    </row>
    <row r="822" ht="12.75" customHeight="1">
      <c r="A822" s="106"/>
      <c r="B822" s="106"/>
      <c r="C822" s="106"/>
      <c r="D822" s="101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9"/>
      <c r="V822" s="109"/>
    </row>
    <row r="823" ht="12.75" customHeight="1">
      <c r="A823" s="106"/>
      <c r="B823" s="106"/>
      <c r="C823" s="106"/>
      <c r="D823" s="101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9"/>
      <c r="V823" s="109"/>
    </row>
    <row r="824" ht="12.75" customHeight="1">
      <c r="A824" s="106"/>
      <c r="B824" s="106"/>
      <c r="C824" s="106"/>
      <c r="D824" s="101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9"/>
      <c r="V824" s="109"/>
    </row>
    <row r="825" ht="12.75" customHeight="1">
      <c r="A825" s="106"/>
      <c r="B825" s="106"/>
      <c r="C825" s="106"/>
      <c r="D825" s="101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9"/>
      <c r="V825" s="109"/>
    </row>
    <row r="826" ht="12.75" customHeight="1">
      <c r="A826" s="106"/>
      <c r="B826" s="106"/>
      <c r="C826" s="106"/>
      <c r="D826" s="101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9"/>
      <c r="V826" s="109"/>
    </row>
    <row r="827" ht="12.75" customHeight="1">
      <c r="A827" s="106"/>
      <c r="B827" s="106"/>
      <c r="C827" s="106"/>
      <c r="D827" s="101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9"/>
      <c r="V827" s="109"/>
    </row>
    <row r="828" ht="12.75" customHeight="1">
      <c r="A828" s="106"/>
      <c r="B828" s="106"/>
      <c r="C828" s="106"/>
      <c r="D828" s="101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9"/>
      <c r="V828" s="109"/>
    </row>
    <row r="829" ht="12.75" customHeight="1">
      <c r="A829" s="106"/>
      <c r="B829" s="106"/>
      <c r="C829" s="106"/>
      <c r="D829" s="101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9"/>
      <c r="V829" s="109"/>
    </row>
    <row r="830" ht="12.75" customHeight="1">
      <c r="A830" s="106"/>
      <c r="B830" s="106"/>
      <c r="C830" s="106"/>
      <c r="D830" s="101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9"/>
      <c r="V830" s="109"/>
    </row>
    <row r="831" ht="12.75" customHeight="1">
      <c r="A831" s="106"/>
      <c r="B831" s="106"/>
      <c r="C831" s="106"/>
      <c r="D831" s="101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9"/>
      <c r="V831" s="109"/>
    </row>
    <row r="832" ht="12.75" customHeight="1">
      <c r="A832" s="106"/>
      <c r="B832" s="106"/>
      <c r="C832" s="106"/>
      <c r="D832" s="101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9"/>
      <c r="V832" s="109"/>
    </row>
    <row r="833" ht="12.75" customHeight="1">
      <c r="A833" s="106"/>
      <c r="B833" s="106"/>
      <c r="C833" s="106"/>
      <c r="D833" s="101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9"/>
      <c r="V833" s="109"/>
    </row>
    <row r="834" ht="12.75" customHeight="1">
      <c r="A834" s="106"/>
      <c r="B834" s="106"/>
      <c r="C834" s="106"/>
      <c r="D834" s="101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9"/>
      <c r="V834" s="109"/>
    </row>
    <row r="835" ht="12.75" customHeight="1">
      <c r="A835" s="106"/>
      <c r="B835" s="106"/>
      <c r="C835" s="106"/>
      <c r="D835" s="101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9"/>
      <c r="V835" s="109"/>
    </row>
    <row r="836" ht="12.75" customHeight="1">
      <c r="A836" s="106"/>
      <c r="B836" s="106"/>
      <c r="C836" s="106"/>
      <c r="D836" s="101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9"/>
      <c r="V836" s="109"/>
    </row>
    <row r="837" ht="12.75" customHeight="1">
      <c r="A837" s="106"/>
      <c r="B837" s="106"/>
      <c r="C837" s="106"/>
      <c r="D837" s="101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9"/>
      <c r="V837" s="109"/>
    </row>
    <row r="838" ht="12.75" customHeight="1">
      <c r="A838" s="106"/>
      <c r="B838" s="106"/>
      <c r="C838" s="106"/>
      <c r="D838" s="101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9"/>
      <c r="V838" s="109"/>
    </row>
    <row r="839" ht="12.75" customHeight="1">
      <c r="A839" s="106"/>
      <c r="B839" s="106"/>
      <c r="C839" s="106"/>
      <c r="D839" s="101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9"/>
      <c r="V839" s="109"/>
    </row>
    <row r="840" ht="12.75" customHeight="1">
      <c r="A840" s="106"/>
      <c r="B840" s="106"/>
      <c r="C840" s="106"/>
      <c r="D840" s="101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9"/>
      <c r="V840" s="109"/>
    </row>
    <row r="841" ht="12.75" customHeight="1">
      <c r="A841" s="106"/>
      <c r="B841" s="106"/>
      <c r="C841" s="106"/>
      <c r="D841" s="101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9"/>
      <c r="V841" s="109"/>
    </row>
    <row r="842" ht="12.75" customHeight="1">
      <c r="A842" s="106"/>
      <c r="B842" s="106"/>
      <c r="C842" s="106"/>
      <c r="D842" s="101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9"/>
      <c r="V842" s="109"/>
    </row>
    <row r="843" ht="12.75" customHeight="1">
      <c r="A843" s="106"/>
      <c r="B843" s="106"/>
      <c r="C843" s="106"/>
      <c r="D843" s="101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9"/>
      <c r="V843" s="109"/>
    </row>
    <row r="844" ht="12.75" customHeight="1">
      <c r="A844" s="106"/>
      <c r="B844" s="106"/>
      <c r="C844" s="106"/>
      <c r="D844" s="101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9"/>
      <c r="V844" s="109"/>
    </row>
    <row r="845" ht="12.75" customHeight="1">
      <c r="A845" s="106"/>
      <c r="B845" s="106"/>
      <c r="C845" s="106"/>
      <c r="D845" s="101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9"/>
      <c r="V845" s="109"/>
    </row>
    <row r="846" ht="12.75" customHeight="1">
      <c r="A846" s="106"/>
      <c r="B846" s="106"/>
      <c r="C846" s="106"/>
      <c r="D846" s="101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9"/>
      <c r="V846" s="109"/>
    </row>
    <row r="847" ht="12.75" customHeight="1">
      <c r="A847" s="106"/>
      <c r="B847" s="106"/>
      <c r="C847" s="106"/>
      <c r="D847" s="101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9"/>
      <c r="V847" s="109"/>
    </row>
    <row r="848" ht="12.75" customHeight="1">
      <c r="A848" s="106"/>
      <c r="B848" s="106"/>
      <c r="C848" s="106"/>
      <c r="D848" s="101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9"/>
      <c r="V848" s="109"/>
    </row>
    <row r="849" ht="12.75" customHeight="1">
      <c r="A849" s="106"/>
      <c r="B849" s="106"/>
      <c r="C849" s="106"/>
      <c r="D849" s="101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9"/>
      <c r="V849" s="109"/>
    </row>
    <row r="850" ht="12.75" customHeight="1">
      <c r="A850" s="106"/>
      <c r="B850" s="106"/>
      <c r="C850" s="106"/>
      <c r="D850" s="101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9"/>
      <c r="V850" s="109"/>
    </row>
    <row r="851" ht="12.75" customHeight="1">
      <c r="A851" s="106"/>
      <c r="B851" s="106"/>
      <c r="C851" s="106"/>
      <c r="D851" s="101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9"/>
      <c r="V851" s="109"/>
    </row>
    <row r="852" ht="12.75" customHeight="1">
      <c r="A852" s="106"/>
      <c r="B852" s="106"/>
      <c r="C852" s="106"/>
      <c r="D852" s="101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9"/>
      <c r="V852" s="109"/>
    </row>
    <row r="853" ht="12.75" customHeight="1">
      <c r="A853" s="106"/>
      <c r="B853" s="106"/>
      <c r="C853" s="106"/>
      <c r="D853" s="101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9"/>
      <c r="V853" s="109"/>
    </row>
    <row r="854" ht="12.75" customHeight="1">
      <c r="A854" s="106"/>
      <c r="B854" s="106"/>
      <c r="C854" s="106"/>
      <c r="D854" s="101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9"/>
      <c r="V854" s="109"/>
    </row>
    <row r="855" ht="12.75" customHeight="1">
      <c r="A855" s="106"/>
      <c r="B855" s="106"/>
      <c r="C855" s="106"/>
      <c r="D855" s="101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9"/>
      <c r="V855" s="109"/>
    </row>
    <row r="856" ht="12.75" customHeight="1">
      <c r="A856" s="106"/>
      <c r="B856" s="106"/>
      <c r="C856" s="106"/>
      <c r="D856" s="101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9"/>
      <c r="V856" s="109"/>
    </row>
    <row r="857" ht="12.75" customHeight="1">
      <c r="A857" s="106"/>
      <c r="B857" s="106"/>
      <c r="C857" s="106"/>
      <c r="D857" s="101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9"/>
      <c r="V857" s="109"/>
    </row>
    <row r="858" ht="12.75" customHeight="1">
      <c r="A858" s="106"/>
      <c r="B858" s="106"/>
      <c r="C858" s="106"/>
      <c r="D858" s="101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9"/>
      <c r="V858" s="109"/>
    </row>
    <row r="859" ht="12.75" customHeight="1">
      <c r="A859" s="106"/>
      <c r="B859" s="106"/>
      <c r="C859" s="106"/>
      <c r="D859" s="101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9"/>
      <c r="V859" s="109"/>
    </row>
    <row r="860" ht="12.75" customHeight="1">
      <c r="A860" s="106"/>
      <c r="B860" s="106"/>
      <c r="C860" s="106"/>
      <c r="D860" s="101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9"/>
      <c r="V860" s="109"/>
    </row>
    <row r="861" ht="12.75" customHeight="1">
      <c r="A861" s="106"/>
      <c r="B861" s="106"/>
      <c r="C861" s="106"/>
      <c r="D861" s="101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9"/>
      <c r="V861" s="109"/>
    </row>
    <row r="862" ht="12.75" customHeight="1">
      <c r="A862" s="106"/>
      <c r="B862" s="106"/>
      <c r="C862" s="106"/>
      <c r="D862" s="101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9"/>
      <c r="V862" s="109"/>
    </row>
    <row r="863" ht="12.75" customHeight="1">
      <c r="A863" s="106"/>
      <c r="B863" s="106"/>
      <c r="C863" s="106"/>
      <c r="D863" s="101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9"/>
      <c r="V863" s="109"/>
    </row>
    <row r="864" ht="12.75" customHeight="1">
      <c r="A864" s="106"/>
      <c r="B864" s="106"/>
      <c r="C864" s="106"/>
      <c r="D864" s="101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9"/>
      <c r="V864" s="109"/>
    </row>
    <row r="865" ht="12.75" customHeight="1">
      <c r="A865" s="106"/>
      <c r="B865" s="106"/>
      <c r="C865" s="106"/>
      <c r="D865" s="101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9"/>
      <c r="V865" s="109"/>
    </row>
    <row r="866" ht="12.75" customHeight="1">
      <c r="A866" s="106"/>
      <c r="B866" s="106"/>
      <c r="C866" s="106"/>
      <c r="D866" s="101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9"/>
      <c r="V866" s="109"/>
    </row>
    <row r="867" ht="12.75" customHeight="1">
      <c r="A867" s="106"/>
      <c r="B867" s="106"/>
      <c r="C867" s="106"/>
      <c r="D867" s="101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9"/>
      <c r="V867" s="109"/>
    </row>
    <row r="868" ht="12.75" customHeight="1">
      <c r="A868" s="106"/>
      <c r="B868" s="106"/>
      <c r="C868" s="106"/>
      <c r="D868" s="101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9"/>
      <c r="V868" s="109"/>
    </row>
    <row r="869" ht="12.75" customHeight="1">
      <c r="A869" s="106"/>
      <c r="B869" s="106"/>
      <c r="C869" s="106"/>
      <c r="D869" s="101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9"/>
      <c r="V869" s="109"/>
    </row>
    <row r="870" ht="12.75" customHeight="1">
      <c r="A870" s="106"/>
      <c r="B870" s="106"/>
      <c r="C870" s="106"/>
      <c r="D870" s="101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9"/>
      <c r="V870" s="109"/>
    </row>
    <row r="871" ht="12.75" customHeight="1">
      <c r="A871" s="106"/>
      <c r="B871" s="106"/>
      <c r="C871" s="106"/>
      <c r="D871" s="101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9"/>
      <c r="V871" s="109"/>
    </row>
    <row r="872" ht="12.75" customHeight="1">
      <c r="A872" s="106"/>
      <c r="B872" s="106"/>
      <c r="C872" s="106"/>
      <c r="D872" s="101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9"/>
      <c r="V872" s="109"/>
    </row>
    <row r="873" ht="12.75" customHeight="1">
      <c r="A873" s="106"/>
      <c r="B873" s="106"/>
      <c r="C873" s="106"/>
      <c r="D873" s="101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9"/>
      <c r="V873" s="109"/>
    </row>
    <row r="874" ht="12.75" customHeight="1">
      <c r="A874" s="106"/>
      <c r="B874" s="106"/>
      <c r="C874" s="106"/>
      <c r="D874" s="101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9"/>
      <c r="V874" s="109"/>
    </row>
    <row r="875" ht="12.75" customHeight="1">
      <c r="A875" s="106"/>
      <c r="B875" s="106"/>
      <c r="C875" s="106"/>
      <c r="D875" s="101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9"/>
      <c r="V875" s="109"/>
    </row>
    <row r="876" ht="12.75" customHeight="1">
      <c r="A876" s="106"/>
      <c r="B876" s="106"/>
      <c r="C876" s="106"/>
      <c r="D876" s="101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9"/>
      <c r="V876" s="109"/>
    </row>
    <row r="877" ht="12.75" customHeight="1">
      <c r="A877" s="106"/>
      <c r="B877" s="106"/>
      <c r="C877" s="106"/>
      <c r="D877" s="101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9"/>
      <c r="V877" s="109"/>
    </row>
    <row r="878" ht="12.75" customHeight="1">
      <c r="A878" s="106"/>
      <c r="B878" s="106"/>
      <c r="C878" s="106"/>
      <c r="D878" s="101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9"/>
      <c r="V878" s="109"/>
    </row>
    <row r="879" ht="12.75" customHeight="1">
      <c r="A879" s="106"/>
      <c r="B879" s="106"/>
      <c r="C879" s="106"/>
      <c r="D879" s="101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9"/>
      <c r="V879" s="109"/>
    </row>
    <row r="880" ht="12.75" customHeight="1">
      <c r="A880" s="106"/>
      <c r="B880" s="106"/>
      <c r="C880" s="106"/>
      <c r="D880" s="101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9"/>
      <c r="V880" s="109"/>
    </row>
    <row r="881" ht="12.75" customHeight="1">
      <c r="A881" s="106"/>
      <c r="B881" s="106"/>
      <c r="C881" s="106"/>
      <c r="D881" s="101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9"/>
      <c r="V881" s="109"/>
    </row>
    <row r="882" ht="12.75" customHeight="1">
      <c r="A882" s="106"/>
      <c r="B882" s="106"/>
      <c r="C882" s="106"/>
      <c r="D882" s="101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9"/>
      <c r="V882" s="109"/>
    </row>
    <row r="883" ht="12.75" customHeight="1">
      <c r="A883" s="106"/>
      <c r="B883" s="106"/>
      <c r="C883" s="106"/>
      <c r="D883" s="101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9"/>
      <c r="V883" s="109"/>
    </row>
    <row r="884" ht="12.75" customHeight="1">
      <c r="A884" s="106"/>
      <c r="B884" s="106"/>
      <c r="C884" s="106"/>
      <c r="D884" s="101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9"/>
      <c r="V884" s="109"/>
    </row>
    <row r="885" ht="12.75" customHeight="1">
      <c r="A885" s="106"/>
      <c r="B885" s="106"/>
      <c r="C885" s="106"/>
      <c r="D885" s="101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9"/>
      <c r="V885" s="109"/>
    </row>
    <row r="886" ht="12.75" customHeight="1">
      <c r="A886" s="106"/>
      <c r="B886" s="106"/>
      <c r="C886" s="106"/>
      <c r="D886" s="101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9"/>
      <c r="V886" s="109"/>
    </row>
    <row r="887" ht="12.75" customHeight="1">
      <c r="A887" s="106"/>
      <c r="B887" s="106"/>
      <c r="C887" s="106"/>
      <c r="D887" s="101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9"/>
      <c r="V887" s="109"/>
    </row>
    <row r="888" ht="12.75" customHeight="1">
      <c r="A888" s="106"/>
      <c r="B888" s="106"/>
      <c r="C888" s="106"/>
      <c r="D888" s="101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9"/>
      <c r="V888" s="109"/>
    </row>
    <row r="889" ht="12.75" customHeight="1">
      <c r="A889" s="106"/>
      <c r="B889" s="106"/>
      <c r="C889" s="106"/>
      <c r="D889" s="101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9"/>
      <c r="V889" s="109"/>
    </row>
    <row r="890" ht="12.75" customHeight="1">
      <c r="A890" s="106"/>
      <c r="B890" s="106"/>
      <c r="C890" s="106"/>
      <c r="D890" s="101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9"/>
      <c r="V890" s="109"/>
    </row>
    <row r="891" ht="12.75" customHeight="1">
      <c r="A891" s="106"/>
      <c r="B891" s="106"/>
      <c r="C891" s="106"/>
      <c r="D891" s="101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9"/>
      <c r="V891" s="109"/>
    </row>
    <row r="892" ht="12.75" customHeight="1">
      <c r="A892" s="106"/>
      <c r="B892" s="106"/>
      <c r="C892" s="106"/>
      <c r="D892" s="101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9"/>
      <c r="V892" s="109"/>
    </row>
    <row r="893" ht="12.75" customHeight="1">
      <c r="A893" s="106"/>
      <c r="B893" s="106"/>
      <c r="C893" s="106"/>
      <c r="D893" s="101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9"/>
      <c r="V893" s="109"/>
    </row>
    <row r="894" ht="12.75" customHeight="1">
      <c r="A894" s="106"/>
      <c r="B894" s="106"/>
      <c r="C894" s="106"/>
      <c r="D894" s="101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9"/>
      <c r="V894" s="109"/>
    </row>
    <row r="895" ht="12.75" customHeight="1">
      <c r="A895" s="106"/>
      <c r="B895" s="106"/>
      <c r="C895" s="106"/>
      <c r="D895" s="101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9"/>
      <c r="V895" s="109"/>
    </row>
    <row r="896" ht="12.75" customHeight="1">
      <c r="A896" s="106"/>
      <c r="B896" s="106"/>
      <c r="C896" s="106"/>
      <c r="D896" s="101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9"/>
      <c r="V896" s="109"/>
    </row>
    <row r="897" ht="12.75" customHeight="1">
      <c r="A897" s="106"/>
      <c r="B897" s="106"/>
      <c r="C897" s="106"/>
      <c r="D897" s="101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9"/>
      <c r="V897" s="109"/>
    </row>
    <row r="898" ht="12.75" customHeight="1">
      <c r="A898" s="106"/>
      <c r="B898" s="106"/>
      <c r="C898" s="106"/>
      <c r="D898" s="101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9"/>
      <c r="V898" s="109"/>
    </row>
    <row r="899" ht="12.75" customHeight="1">
      <c r="A899" s="106"/>
      <c r="B899" s="106"/>
      <c r="C899" s="106"/>
      <c r="D899" s="101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9"/>
      <c r="V899" s="109"/>
    </row>
    <row r="900" ht="12.75" customHeight="1">
      <c r="A900" s="106"/>
      <c r="B900" s="106"/>
      <c r="C900" s="106"/>
      <c r="D900" s="101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9"/>
      <c r="V900" s="109"/>
    </row>
    <row r="901" ht="12.75" customHeight="1">
      <c r="A901" s="106"/>
      <c r="B901" s="106"/>
      <c r="C901" s="106"/>
      <c r="D901" s="101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9"/>
      <c r="V901" s="109"/>
    </row>
    <row r="902" ht="12.75" customHeight="1">
      <c r="A902" s="106"/>
      <c r="B902" s="106"/>
      <c r="C902" s="106"/>
      <c r="D902" s="101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9"/>
      <c r="V902" s="109"/>
    </row>
    <row r="903" ht="12.75" customHeight="1">
      <c r="A903" s="106"/>
      <c r="B903" s="106"/>
      <c r="C903" s="106"/>
      <c r="D903" s="101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9"/>
      <c r="V903" s="109"/>
    </row>
    <row r="904" ht="12.75" customHeight="1">
      <c r="A904" s="106"/>
      <c r="B904" s="106"/>
      <c r="C904" s="106"/>
      <c r="D904" s="101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9"/>
      <c r="V904" s="109"/>
    </row>
    <row r="905" ht="12.75" customHeight="1">
      <c r="A905" s="106"/>
      <c r="B905" s="106"/>
      <c r="C905" s="106"/>
      <c r="D905" s="101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9"/>
      <c r="V905" s="109"/>
    </row>
    <row r="906" ht="12.75" customHeight="1">
      <c r="A906" s="106"/>
      <c r="B906" s="106"/>
      <c r="C906" s="106"/>
      <c r="D906" s="101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9"/>
      <c r="V906" s="109"/>
    </row>
    <row r="907" ht="12.75" customHeight="1">
      <c r="A907" s="106"/>
      <c r="B907" s="106"/>
      <c r="C907" s="106"/>
      <c r="D907" s="101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9"/>
      <c r="V907" s="109"/>
    </row>
    <row r="908" ht="12.75" customHeight="1">
      <c r="A908" s="106"/>
      <c r="B908" s="106"/>
      <c r="C908" s="106"/>
      <c r="D908" s="101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9"/>
      <c r="V908" s="109"/>
    </row>
    <row r="909" ht="12.75" customHeight="1">
      <c r="A909" s="106"/>
      <c r="B909" s="106"/>
      <c r="C909" s="106"/>
      <c r="D909" s="101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9"/>
      <c r="V909" s="109"/>
    </row>
    <row r="910" ht="12.75" customHeight="1">
      <c r="A910" s="106"/>
      <c r="B910" s="106"/>
      <c r="C910" s="106"/>
      <c r="D910" s="101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9"/>
      <c r="V910" s="109"/>
    </row>
    <row r="911" ht="12.75" customHeight="1">
      <c r="A911" s="106"/>
      <c r="B911" s="106"/>
      <c r="C911" s="106"/>
      <c r="D911" s="101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9"/>
      <c r="V911" s="109"/>
    </row>
    <row r="912" ht="12.75" customHeight="1">
      <c r="A912" s="106"/>
      <c r="B912" s="106"/>
      <c r="C912" s="106"/>
      <c r="D912" s="101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9"/>
      <c r="V912" s="109"/>
    </row>
    <row r="913" ht="12.75" customHeight="1">
      <c r="A913" s="106"/>
      <c r="B913" s="106"/>
      <c r="C913" s="106"/>
      <c r="D913" s="101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9"/>
      <c r="V913" s="109"/>
    </row>
    <row r="914" ht="12.75" customHeight="1">
      <c r="A914" s="106"/>
      <c r="B914" s="106"/>
      <c r="C914" s="106"/>
      <c r="D914" s="101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9"/>
      <c r="V914" s="109"/>
    </row>
    <row r="915" ht="12.75" customHeight="1">
      <c r="A915" s="106"/>
      <c r="B915" s="106"/>
      <c r="C915" s="106"/>
      <c r="D915" s="101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9"/>
      <c r="V915" s="109"/>
    </row>
    <row r="916" ht="12.75" customHeight="1">
      <c r="A916" s="106"/>
      <c r="B916" s="106"/>
      <c r="C916" s="106"/>
      <c r="D916" s="101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9"/>
      <c r="V916" s="109"/>
    </row>
    <row r="917" ht="12.75" customHeight="1">
      <c r="A917" s="106"/>
      <c r="B917" s="106"/>
      <c r="C917" s="106"/>
      <c r="D917" s="101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9"/>
      <c r="V917" s="109"/>
    </row>
    <row r="918" ht="12.75" customHeight="1">
      <c r="A918" s="106"/>
      <c r="B918" s="106"/>
      <c r="C918" s="106"/>
      <c r="D918" s="101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9"/>
      <c r="V918" s="109"/>
    </row>
    <row r="919" ht="12.75" customHeight="1">
      <c r="A919" s="106"/>
      <c r="B919" s="106"/>
      <c r="C919" s="106"/>
      <c r="D919" s="101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9"/>
      <c r="V919" s="109"/>
    </row>
    <row r="920" ht="12.75" customHeight="1">
      <c r="A920" s="106"/>
      <c r="B920" s="106"/>
      <c r="C920" s="106"/>
      <c r="D920" s="101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9"/>
      <c r="V920" s="109"/>
    </row>
    <row r="921" ht="12.75" customHeight="1">
      <c r="A921" s="106"/>
      <c r="B921" s="106"/>
      <c r="C921" s="106"/>
      <c r="D921" s="101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9"/>
      <c r="V921" s="109"/>
    </row>
    <row r="922" ht="12.75" customHeight="1">
      <c r="A922" s="106"/>
      <c r="B922" s="106"/>
      <c r="C922" s="106"/>
      <c r="D922" s="101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9"/>
      <c r="V922" s="109"/>
    </row>
    <row r="923" ht="12.75" customHeight="1">
      <c r="A923" s="106"/>
      <c r="B923" s="106"/>
      <c r="C923" s="106"/>
      <c r="D923" s="101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9"/>
      <c r="V923" s="109"/>
    </row>
    <row r="924" ht="12.75" customHeight="1">
      <c r="A924" s="106"/>
      <c r="B924" s="106"/>
      <c r="C924" s="106"/>
      <c r="D924" s="101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9"/>
      <c r="V924" s="109"/>
    </row>
    <row r="925" ht="12.75" customHeight="1">
      <c r="A925" s="106"/>
      <c r="B925" s="106"/>
      <c r="C925" s="106"/>
      <c r="D925" s="101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9"/>
      <c r="V925" s="109"/>
    </row>
    <row r="926" ht="12.75" customHeight="1">
      <c r="A926" s="106"/>
      <c r="B926" s="106"/>
      <c r="C926" s="106"/>
      <c r="D926" s="101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9"/>
      <c r="V926" s="109"/>
    </row>
    <row r="927" ht="12.75" customHeight="1">
      <c r="A927" s="106"/>
      <c r="B927" s="106"/>
      <c r="C927" s="106"/>
      <c r="D927" s="101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9"/>
      <c r="V927" s="109"/>
    </row>
    <row r="928" ht="12.75" customHeight="1">
      <c r="A928" s="106"/>
      <c r="B928" s="106"/>
      <c r="C928" s="106"/>
      <c r="D928" s="101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9"/>
      <c r="V928" s="109"/>
    </row>
    <row r="929" ht="12.75" customHeight="1">
      <c r="A929" s="106"/>
      <c r="B929" s="106"/>
      <c r="C929" s="106"/>
      <c r="D929" s="101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9"/>
      <c r="V929" s="109"/>
    </row>
    <row r="930" ht="12.75" customHeight="1">
      <c r="A930" s="106"/>
      <c r="B930" s="106"/>
      <c r="C930" s="106"/>
      <c r="D930" s="101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9"/>
      <c r="V930" s="109"/>
    </row>
    <row r="931" ht="12.75" customHeight="1">
      <c r="A931" s="106"/>
      <c r="B931" s="106"/>
      <c r="C931" s="106"/>
      <c r="D931" s="101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9"/>
      <c r="V931" s="109"/>
    </row>
    <row r="932" ht="12.75" customHeight="1">
      <c r="A932" s="106"/>
      <c r="B932" s="106"/>
      <c r="C932" s="106"/>
      <c r="D932" s="101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9"/>
      <c r="V932" s="109"/>
    </row>
    <row r="933" ht="12.75" customHeight="1">
      <c r="A933" s="106"/>
      <c r="B933" s="106"/>
      <c r="C933" s="106"/>
      <c r="D933" s="101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9"/>
      <c r="V933" s="109"/>
    </row>
    <row r="934" ht="12.75" customHeight="1">
      <c r="A934" s="106"/>
      <c r="B934" s="106"/>
      <c r="C934" s="106"/>
      <c r="D934" s="101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9"/>
      <c r="V934" s="109"/>
    </row>
    <row r="935" ht="12.75" customHeight="1">
      <c r="A935" s="106"/>
      <c r="B935" s="106"/>
      <c r="C935" s="106"/>
      <c r="D935" s="101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9"/>
      <c r="V935" s="109"/>
    </row>
    <row r="936" ht="12.75" customHeight="1">
      <c r="A936" s="106"/>
      <c r="B936" s="106"/>
      <c r="C936" s="106"/>
      <c r="D936" s="101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9"/>
      <c r="V936" s="109"/>
    </row>
    <row r="937" ht="12.75" customHeight="1">
      <c r="A937" s="106"/>
      <c r="B937" s="106"/>
      <c r="C937" s="106"/>
      <c r="D937" s="101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9"/>
      <c r="V937" s="109"/>
    </row>
    <row r="938" ht="12.75" customHeight="1">
      <c r="A938" s="106"/>
      <c r="B938" s="106"/>
      <c r="C938" s="106"/>
      <c r="D938" s="101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9"/>
      <c r="V938" s="109"/>
    </row>
    <row r="939" ht="12.75" customHeight="1">
      <c r="A939" s="106"/>
      <c r="B939" s="106"/>
      <c r="C939" s="106"/>
      <c r="D939" s="101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9"/>
      <c r="V939" s="109"/>
    </row>
    <row r="940" ht="12.75" customHeight="1">
      <c r="A940" s="106"/>
      <c r="B940" s="106"/>
      <c r="C940" s="106"/>
      <c r="D940" s="101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9"/>
      <c r="V940" s="109"/>
    </row>
    <row r="941" ht="12.75" customHeight="1">
      <c r="A941" s="106"/>
      <c r="B941" s="106"/>
      <c r="C941" s="106"/>
      <c r="D941" s="101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9"/>
      <c r="V941" s="109"/>
    </row>
    <row r="942" ht="12.75" customHeight="1">
      <c r="A942" s="106"/>
      <c r="B942" s="106"/>
      <c r="C942" s="106"/>
      <c r="D942" s="101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9"/>
      <c r="V942" s="109"/>
    </row>
    <row r="943" ht="12.75" customHeight="1">
      <c r="A943" s="106"/>
      <c r="B943" s="106"/>
      <c r="C943" s="106"/>
      <c r="D943" s="101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9"/>
      <c r="V943" s="109"/>
    </row>
    <row r="944" ht="12.75" customHeight="1">
      <c r="A944" s="106"/>
      <c r="B944" s="106"/>
      <c r="C944" s="106"/>
      <c r="D944" s="101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9"/>
      <c r="V944" s="109"/>
    </row>
    <row r="945" ht="12.75" customHeight="1">
      <c r="A945" s="106"/>
      <c r="B945" s="106"/>
      <c r="C945" s="106"/>
      <c r="D945" s="101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9"/>
      <c r="V945" s="109"/>
    </row>
    <row r="946" ht="12.75" customHeight="1">
      <c r="A946" s="106"/>
      <c r="B946" s="106"/>
      <c r="C946" s="106"/>
      <c r="D946" s="101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9"/>
      <c r="V946" s="109"/>
    </row>
    <row r="947" ht="12.75" customHeight="1">
      <c r="A947" s="106"/>
      <c r="B947" s="106"/>
      <c r="C947" s="106"/>
      <c r="D947" s="101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9"/>
      <c r="V947" s="109"/>
    </row>
    <row r="948" ht="12.75" customHeight="1">
      <c r="A948" s="106"/>
      <c r="B948" s="106"/>
      <c r="C948" s="106"/>
      <c r="D948" s="101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9"/>
      <c r="V948" s="109"/>
    </row>
    <row r="949" ht="12.75" customHeight="1">
      <c r="A949" s="106"/>
      <c r="B949" s="106"/>
      <c r="C949" s="106"/>
      <c r="D949" s="101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9"/>
      <c r="V949" s="109"/>
    </row>
    <row r="950" ht="12.75" customHeight="1">
      <c r="A950" s="106"/>
      <c r="B950" s="106"/>
      <c r="C950" s="106"/>
      <c r="D950" s="101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9"/>
      <c r="V950" s="109"/>
    </row>
    <row r="951" ht="12.75" customHeight="1">
      <c r="A951" s="106"/>
      <c r="B951" s="106"/>
      <c r="C951" s="106"/>
      <c r="D951" s="101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9"/>
      <c r="V951" s="109"/>
    </row>
    <row r="952" ht="12.75" customHeight="1">
      <c r="A952" s="106"/>
      <c r="B952" s="106"/>
      <c r="C952" s="106"/>
      <c r="D952" s="101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9"/>
      <c r="V952" s="109"/>
    </row>
    <row r="953" ht="12.75" customHeight="1">
      <c r="A953" s="106"/>
      <c r="B953" s="106"/>
      <c r="C953" s="106"/>
      <c r="D953" s="101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9"/>
      <c r="V953" s="109"/>
    </row>
    <row r="954" ht="12.75" customHeight="1">
      <c r="A954" s="106"/>
      <c r="B954" s="106"/>
      <c r="C954" s="106"/>
      <c r="D954" s="101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9"/>
      <c r="V954" s="109"/>
    </row>
    <row r="955" ht="12.75" customHeight="1">
      <c r="A955" s="106"/>
      <c r="B955" s="106"/>
      <c r="C955" s="106"/>
      <c r="D955" s="101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9"/>
      <c r="V955" s="109"/>
    </row>
    <row r="956" ht="12.75" customHeight="1">
      <c r="A956" s="106"/>
      <c r="B956" s="106"/>
      <c r="C956" s="106"/>
      <c r="D956" s="101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9"/>
      <c r="V956" s="109"/>
    </row>
    <row r="957" ht="12.75" customHeight="1">
      <c r="A957" s="106"/>
      <c r="B957" s="106"/>
      <c r="C957" s="106"/>
      <c r="D957" s="101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9"/>
      <c r="V957" s="109"/>
    </row>
    <row r="958" ht="12.75" customHeight="1">
      <c r="A958" s="106"/>
      <c r="B958" s="106"/>
      <c r="C958" s="106"/>
      <c r="D958" s="101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9"/>
      <c r="V958" s="109"/>
    </row>
    <row r="959" ht="12.75" customHeight="1">
      <c r="A959" s="106"/>
      <c r="B959" s="106"/>
      <c r="C959" s="106"/>
      <c r="D959" s="101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9"/>
      <c r="V959" s="109"/>
    </row>
    <row r="960" ht="12.75" customHeight="1">
      <c r="A960" s="106"/>
      <c r="B960" s="106"/>
      <c r="C960" s="106"/>
      <c r="D960" s="101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9"/>
      <c r="V960" s="109"/>
    </row>
    <row r="961" ht="12.75" customHeight="1">
      <c r="A961" s="106"/>
      <c r="B961" s="106"/>
      <c r="C961" s="106"/>
      <c r="D961" s="101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9"/>
      <c r="V961" s="109"/>
    </row>
    <row r="962" ht="12.75" customHeight="1">
      <c r="A962" s="106"/>
      <c r="B962" s="106"/>
      <c r="C962" s="106"/>
      <c r="D962" s="101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9"/>
      <c r="V962" s="109"/>
    </row>
    <row r="963" ht="12.75" customHeight="1">
      <c r="A963" s="106"/>
      <c r="B963" s="106"/>
      <c r="C963" s="106"/>
      <c r="D963" s="101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9"/>
      <c r="V963" s="109"/>
    </row>
    <row r="964" ht="12.75" customHeight="1">
      <c r="A964" s="106"/>
      <c r="B964" s="106"/>
      <c r="C964" s="106"/>
      <c r="D964" s="101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9"/>
      <c r="V964" s="109"/>
    </row>
    <row r="965" ht="12.75" customHeight="1">
      <c r="A965" s="106"/>
      <c r="B965" s="106"/>
      <c r="C965" s="106"/>
      <c r="D965" s="101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9"/>
      <c r="V965" s="109"/>
    </row>
    <row r="966" ht="12.75" customHeight="1">
      <c r="A966" s="106"/>
      <c r="B966" s="106"/>
      <c r="C966" s="106"/>
      <c r="D966" s="101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9"/>
      <c r="V966" s="109"/>
    </row>
    <row r="967" ht="12.75" customHeight="1">
      <c r="A967" s="106"/>
      <c r="B967" s="106"/>
      <c r="C967" s="106"/>
      <c r="D967" s="101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9"/>
      <c r="V967" s="109"/>
    </row>
    <row r="968" ht="12.75" customHeight="1">
      <c r="A968" s="106"/>
      <c r="B968" s="106"/>
      <c r="C968" s="106"/>
      <c r="D968" s="101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9"/>
      <c r="V968" s="109"/>
    </row>
    <row r="969" ht="12.75" customHeight="1">
      <c r="A969" s="106"/>
      <c r="B969" s="106"/>
      <c r="C969" s="106"/>
      <c r="D969" s="101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9"/>
      <c r="V969" s="109"/>
    </row>
    <row r="970" ht="12.75" customHeight="1">
      <c r="A970" s="106"/>
      <c r="B970" s="106"/>
      <c r="C970" s="106"/>
      <c r="D970" s="101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9"/>
      <c r="V970" s="109"/>
    </row>
    <row r="971" ht="12.75" customHeight="1">
      <c r="A971" s="106"/>
      <c r="B971" s="106"/>
      <c r="C971" s="106"/>
      <c r="D971" s="101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9"/>
      <c r="V971" s="109"/>
    </row>
    <row r="972" ht="12.75" customHeight="1">
      <c r="A972" s="106"/>
      <c r="B972" s="106"/>
      <c r="C972" s="106"/>
      <c r="D972" s="101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9"/>
      <c r="V972" s="109"/>
    </row>
    <row r="973" ht="12.75" customHeight="1">
      <c r="A973" s="106"/>
      <c r="B973" s="106"/>
      <c r="C973" s="106"/>
      <c r="D973" s="101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9"/>
      <c r="V973" s="109"/>
    </row>
    <row r="974" ht="12.75" customHeight="1">
      <c r="A974" s="106"/>
      <c r="B974" s="106"/>
      <c r="C974" s="106"/>
      <c r="D974" s="101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9"/>
      <c r="V974" s="109"/>
    </row>
    <row r="975" ht="12.75" customHeight="1">
      <c r="A975" s="106"/>
      <c r="B975" s="106"/>
      <c r="C975" s="106"/>
      <c r="D975" s="101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9"/>
      <c r="V975" s="109"/>
    </row>
    <row r="976" ht="12.75" customHeight="1">
      <c r="A976" s="106"/>
      <c r="B976" s="106"/>
      <c r="C976" s="106"/>
      <c r="D976" s="101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9"/>
      <c r="V976" s="109"/>
    </row>
    <row r="977" ht="12.75" customHeight="1">
      <c r="A977" s="106"/>
      <c r="B977" s="106"/>
      <c r="C977" s="106"/>
      <c r="D977" s="101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9"/>
      <c r="V977" s="109"/>
    </row>
    <row r="978" ht="12.75" customHeight="1">
      <c r="A978" s="106"/>
      <c r="B978" s="106"/>
      <c r="C978" s="106"/>
      <c r="D978" s="101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9"/>
      <c r="V978" s="109"/>
    </row>
    <row r="979" ht="12.75" customHeight="1">
      <c r="A979" s="106"/>
      <c r="B979" s="106"/>
      <c r="C979" s="106"/>
      <c r="D979" s="101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9"/>
      <c r="V979" s="109"/>
    </row>
    <row r="980" ht="12.75" customHeight="1">
      <c r="A980" s="106"/>
      <c r="B980" s="106"/>
      <c r="C980" s="106"/>
      <c r="D980" s="101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9"/>
      <c r="V980" s="109"/>
    </row>
    <row r="981" ht="12.75" customHeight="1">
      <c r="A981" s="106"/>
      <c r="B981" s="106"/>
      <c r="C981" s="106"/>
      <c r="D981" s="101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9"/>
      <c r="V981" s="109"/>
    </row>
    <row r="982" ht="12.75" customHeight="1">
      <c r="A982" s="106"/>
      <c r="B982" s="106"/>
      <c r="C982" s="106"/>
      <c r="D982" s="101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9"/>
      <c r="V982" s="109"/>
    </row>
    <row r="983" ht="12.75" customHeight="1">
      <c r="A983" s="106"/>
      <c r="B983" s="106"/>
      <c r="C983" s="106"/>
      <c r="D983" s="101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9"/>
      <c r="V983" s="109"/>
    </row>
    <row r="984" ht="12.75" customHeight="1">
      <c r="A984" s="106"/>
      <c r="B984" s="106"/>
      <c r="C984" s="106"/>
      <c r="D984" s="101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9"/>
      <c r="V984" s="109"/>
    </row>
    <row r="985" ht="12.75" customHeight="1">
      <c r="A985" s="106"/>
      <c r="B985" s="106"/>
      <c r="C985" s="106"/>
      <c r="D985" s="101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9"/>
      <c r="V985" s="109"/>
    </row>
    <row r="986" ht="12.75" customHeight="1">
      <c r="A986" s="106"/>
      <c r="B986" s="106"/>
      <c r="C986" s="106"/>
      <c r="D986" s="101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9"/>
      <c r="V986" s="109"/>
    </row>
    <row r="987" ht="12.75" customHeight="1">
      <c r="A987" s="106"/>
      <c r="B987" s="106"/>
      <c r="C987" s="106"/>
      <c r="D987" s="101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9"/>
      <c r="V987" s="109"/>
    </row>
    <row r="988" ht="12.75" customHeight="1">
      <c r="A988" s="106"/>
      <c r="B988" s="106"/>
      <c r="C988" s="106"/>
      <c r="D988" s="101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9"/>
      <c r="V988" s="109"/>
    </row>
    <row r="989" ht="12.75" customHeight="1">
      <c r="A989" s="106"/>
      <c r="B989" s="106"/>
      <c r="C989" s="106"/>
      <c r="D989" s="101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9"/>
      <c r="V989" s="109"/>
    </row>
    <row r="990" ht="12.75" customHeight="1">
      <c r="A990" s="106"/>
      <c r="B990" s="106"/>
      <c r="C990" s="106"/>
      <c r="D990" s="101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9"/>
      <c r="V990" s="109"/>
    </row>
    <row r="991" ht="12.75" customHeight="1">
      <c r="A991" s="106"/>
      <c r="B991" s="106"/>
      <c r="C991" s="106"/>
      <c r="D991" s="101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9"/>
      <c r="V991" s="109"/>
    </row>
    <row r="992" ht="12.75" customHeight="1">
      <c r="A992" s="106"/>
      <c r="B992" s="106"/>
      <c r="C992" s="106"/>
      <c r="D992" s="101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9"/>
      <c r="V992" s="109"/>
    </row>
    <row r="993" ht="12.75" customHeight="1">
      <c r="A993" s="106"/>
      <c r="B993" s="106"/>
      <c r="C993" s="106"/>
      <c r="D993" s="101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9"/>
      <c r="V993" s="109"/>
    </row>
    <row r="994" ht="12.75" customHeight="1">
      <c r="A994" s="106"/>
      <c r="B994" s="106"/>
      <c r="C994" s="106"/>
      <c r="D994" s="101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9"/>
      <c r="V994" s="109"/>
    </row>
    <row r="995" ht="12.75" customHeight="1">
      <c r="A995" s="106"/>
      <c r="B995" s="106"/>
      <c r="C995" s="106"/>
      <c r="D995" s="101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9"/>
      <c r="V995" s="109"/>
    </row>
    <row r="996" ht="12.75" customHeight="1">
      <c r="A996" s="106"/>
      <c r="B996" s="106"/>
      <c r="C996" s="106"/>
      <c r="D996" s="101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9"/>
      <c r="V996" s="109"/>
    </row>
    <row r="997" ht="12.75" customHeight="1">
      <c r="A997" s="106"/>
      <c r="B997" s="106"/>
      <c r="C997" s="106"/>
      <c r="D997" s="101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9"/>
      <c r="V997" s="109"/>
    </row>
    <row r="998" ht="12.75" customHeight="1">
      <c r="A998" s="106"/>
      <c r="B998" s="106"/>
      <c r="C998" s="106"/>
      <c r="D998" s="101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9"/>
      <c r="V998" s="109"/>
    </row>
    <row r="999" ht="12.75" customHeight="1">
      <c r="A999" s="106"/>
      <c r="B999" s="106"/>
      <c r="C999" s="106"/>
      <c r="D999" s="101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9"/>
      <c r="V999" s="109"/>
    </row>
    <row r="1000" ht="12.75" customHeight="1">
      <c r="A1000" s="106"/>
      <c r="B1000" s="106"/>
      <c r="C1000" s="106"/>
      <c r="D1000" s="101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9"/>
      <c r="V1000" s="109"/>
    </row>
    <row r="1001" ht="12.75" customHeight="1">
      <c r="A1001" s="106"/>
      <c r="B1001" s="106"/>
      <c r="C1001" s="106"/>
      <c r="D1001" s="101"/>
      <c r="E1001" s="106"/>
      <c r="F1001" s="107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9"/>
      <c r="V1001" s="109"/>
    </row>
    <row r="1002" ht="12.75" customHeight="1">
      <c r="A1002" s="106"/>
      <c r="B1002" s="106"/>
      <c r="C1002" s="106"/>
      <c r="D1002" s="101"/>
      <c r="E1002" s="106"/>
      <c r="F1002" s="107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9"/>
      <c r="V1002" s="109"/>
    </row>
    <row r="1003" ht="12.75" customHeight="1">
      <c r="A1003" s="106"/>
      <c r="B1003" s="106"/>
      <c r="C1003" s="106"/>
      <c r="D1003" s="101"/>
      <c r="E1003" s="106"/>
      <c r="F1003" s="107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9"/>
      <c r="V1003" s="109"/>
    </row>
    <row r="1004" ht="12.75" customHeight="1">
      <c r="A1004" s="106"/>
      <c r="B1004" s="106"/>
      <c r="C1004" s="106"/>
      <c r="D1004" s="101"/>
      <c r="E1004" s="106"/>
      <c r="F1004" s="107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9"/>
      <c r="V1004" s="109"/>
    </row>
    <row r="1005" ht="12.75" customHeight="1">
      <c r="A1005" s="106"/>
      <c r="B1005" s="106"/>
      <c r="C1005" s="106"/>
      <c r="D1005" s="101"/>
      <c r="E1005" s="106"/>
      <c r="F1005" s="107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9"/>
      <c r="V1005" s="109"/>
    </row>
    <row r="1006" ht="12.75" customHeight="1">
      <c r="A1006" s="106"/>
      <c r="B1006" s="106"/>
      <c r="C1006" s="106"/>
      <c r="D1006" s="101"/>
      <c r="E1006" s="106"/>
      <c r="F1006" s="107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9"/>
      <c r="V1006" s="109"/>
    </row>
    <row r="1007" ht="12.75" customHeight="1">
      <c r="A1007" s="106"/>
      <c r="B1007" s="106"/>
      <c r="C1007" s="106"/>
      <c r="D1007" s="101"/>
      <c r="E1007" s="106"/>
      <c r="F1007" s="107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9"/>
      <c r="V1007" s="109"/>
    </row>
    <row r="1008" ht="12.75" customHeight="1">
      <c r="A1008" s="106"/>
      <c r="B1008" s="106"/>
      <c r="C1008" s="106"/>
      <c r="D1008" s="101"/>
      <c r="E1008" s="106"/>
      <c r="F1008" s="107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9"/>
      <c r="V1008" s="109"/>
    </row>
    <row r="1009" ht="12.75" customHeight="1">
      <c r="A1009" s="106"/>
      <c r="B1009" s="106"/>
      <c r="C1009" s="106"/>
      <c r="D1009" s="101"/>
      <c r="E1009" s="106"/>
      <c r="F1009" s="107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9"/>
      <c r="V1009" s="109"/>
    </row>
    <row r="1010" ht="12.75" customHeight="1">
      <c r="A1010" s="106"/>
      <c r="B1010" s="106"/>
      <c r="C1010" s="106"/>
      <c r="D1010" s="101"/>
      <c r="E1010" s="106"/>
      <c r="F1010" s="107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9"/>
      <c r="V1010" s="109"/>
    </row>
    <row r="1011" ht="12.75" customHeight="1">
      <c r="A1011" s="106"/>
      <c r="B1011" s="106"/>
      <c r="C1011" s="106"/>
      <c r="D1011" s="101"/>
      <c r="E1011" s="106"/>
      <c r="F1011" s="107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9"/>
      <c r="V1011" s="109"/>
    </row>
    <row r="1012" ht="12.75" customHeight="1">
      <c r="A1012" s="106"/>
      <c r="B1012" s="106"/>
      <c r="C1012" s="106"/>
      <c r="D1012" s="101"/>
      <c r="E1012" s="106"/>
      <c r="F1012" s="107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9"/>
      <c r="V1012" s="109"/>
    </row>
    <row r="1013" ht="12.75" customHeight="1">
      <c r="A1013" s="106"/>
      <c r="B1013" s="106"/>
      <c r="C1013" s="106"/>
      <c r="D1013" s="101"/>
      <c r="E1013" s="106"/>
      <c r="F1013" s="107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9"/>
      <c r="V1013" s="109"/>
    </row>
    <row r="1014" ht="12.75" customHeight="1">
      <c r="A1014" s="106"/>
      <c r="B1014" s="106"/>
      <c r="C1014" s="106"/>
      <c r="D1014" s="101"/>
      <c r="E1014" s="106"/>
      <c r="F1014" s="107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9"/>
      <c r="V1014" s="109"/>
    </row>
    <row r="1015" ht="12.75" customHeight="1">
      <c r="A1015" s="106"/>
      <c r="B1015" s="106"/>
      <c r="C1015" s="106"/>
      <c r="D1015" s="101"/>
      <c r="E1015" s="106"/>
      <c r="F1015" s="107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9"/>
      <c r="V1015" s="109"/>
    </row>
    <row r="1016" ht="12.75" customHeight="1">
      <c r="A1016" s="106"/>
      <c r="B1016" s="106"/>
      <c r="C1016" s="106"/>
      <c r="D1016" s="101"/>
      <c r="E1016" s="106"/>
      <c r="F1016" s="107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9"/>
      <c r="V1016" s="109"/>
    </row>
    <row r="1017" ht="12.75" customHeight="1">
      <c r="A1017" s="106"/>
      <c r="B1017" s="106"/>
      <c r="C1017" s="106"/>
      <c r="D1017" s="101"/>
      <c r="E1017" s="106"/>
      <c r="F1017" s="107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9"/>
      <c r="V1017" s="109"/>
    </row>
    <row r="1018" ht="12.75" customHeight="1">
      <c r="A1018" s="106"/>
      <c r="B1018" s="106"/>
      <c r="C1018" s="106"/>
      <c r="D1018" s="101"/>
      <c r="E1018" s="106"/>
      <c r="F1018" s="107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9"/>
      <c r="V1018" s="109"/>
    </row>
    <row r="1019" ht="12.75" customHeight="1">
      <c r="A1019" s="106"/>
      <c r="B1019" s="106"/>
      <c r="C1019" s="106"/>
      <c r="D1019" s="101"/>
      <c r="E1019" s="106"/>
      <c r="F1019" s="107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9"/>
      <c r="V1019" s="109"/>
    </row>
    <row r="1020" ht="12.75" customHeight="1">
      <c r="A1020" s="106"/>
      <c r="B1020" s="106"/>
      <c r="C1020" s="106"/>
      <c r="D1020" s="101"/>
      <c r="E1020" s="106"/>
      <c r="F1020" s="107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9"/>
      <c r="V1020" s="109"/>
    </row>
    <row r="1021" ht="12.75" customHeight="1">
      <c r="A1021" s="106"/>
      <c r="B1021" s="106"/>
      <c r="C1021" s="106"/>
      <c r="D1021" s="101"/>
      <c r="E1021" s="106"/>
      <c r="F1021" s="107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9"/>
      <c r="V1021" s="109"/>
    </row>
    <row r="1022" ht="12.75" customHeight="1">
      <c r="A1022" s="106"/>
      <c r="B1022" s="106"/>
      <c r="C1022" s="106"/>
      <c r="D1022" s="101"/>
      <c r="E1022" s="106"/>
      <c r="F1022" s="107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9"/>
      <c r="V1022" s="109"/>
    </row>
    <row r="1023" ht="12.75" customHeight="1">
      <c r="A1023" s="106"/>
      <c r="B1023" s="106"/>
      <c r="C1023" s="106"/>
      <c r="D1023" s="101"/>
      <c r="E1023" s="106"/>
      <c r="F1023" s="107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9"/>
      <c r="V1023" s="109"/>
    </row>
    <row r="1024" ht="12.75" customHeight="1">
      <c r="A1024" s="106"/>
      <c r="B1024" s="106"/>
      <c r="C1024" s="106"/>
      <c r="D1024" s="101"/>
      <c r="E1024" s="106"/>
      <c r="F1024" s="107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9"/>
      <c r="V1024" s="109"/>
    </row>
    <row r="1025" ht="12.75" customHeight="1">
      <c r="A1025" s="106"/>
      <c r="B1025" s="106"/>
      <c r="C1025" s="106"/>
      <c r="D1025" s="101"/>
      <c r="E1025" s="106"/>
      <c r="F1025" s="107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9"/>
      <c r="V1025" s="109"/>
    </row>
    <row r="1026" ht="12.75" customHeight="1">
      <c r="A1026" s="106"/>
      <c r="B1026" s="106"/>
      <c r="C1026" s="106"/>
      <c r="D1026" s="101"/>
      <c r="E1026" s="106"/>
      <c r="F1026" s="107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9"/>
      <c r="V1026" s="109"/>
    </row>
    <row r="1027" ht="12.75" customHeight="1">
      <c r="A1027" s="106"/>
      <c r="B1027" s="106"/>
      <c r="C1027" s="106"/>
      <c r="D1027" s="101"/>
      <c r="E1027" s="106"/>
      <c r="F1027" s="107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9"/>
      <c r="V1027" s="109"/>
    </row>
    <row r="1028" ht="12.75" customHeight="1">
      <c r="A1028" s="106"/>
      <c r="B1028" s="106"/>
      <c r="C1028" s="106"/>
      <c r="D1028" s="101"/>
      <c r="E1028" s="106"/>
      <c r="F1028" s="107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9"/>
      <c r="V1028" s="109"/>
    </row>
    <row r="1029" ht="12.75" customHeight="1">
      <c r="A1029" s="106"/>
      <c r="B1029" s="106"/>
      <c r="C1029" s="106"/>
      <c r="D1029" s="101"/>
      <c r="E1029" s="106"/>
      <c r="F1029" s="107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9"/>
      <c r="V1029" s="109"/>
    </row>
    <row r="1030" ht="12.75" customHeight="1">
      <c r="A1030" s="106"/>
      <c r="B1030" s="106"/>
      <c r="C1030" s="106"/>
      <c r="D1030" s="101"/>
      <c r="E1030" s="106"/>
      <c r="F1030" s="107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9"/>
      <c r="V1030" s="109"/>
    </row>
    <row r="1031" ht="12.75" customHeight="1">
      <c r="A1031" s="106"/>
      <c r="B1031" s="106"/>
      <c r="C1031" s="106"/>
      <c r="D1031" s="101"/>
      <c r="E1031" s="106"/>
      <c r="F1031" s="107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9"/>
      <c r="V1031" s="109"/>
    </row>
    <row r="1032" ht="12.75" customHeight="1">
      <c r="A1032" s="106"/>
      <c r="B1032" s="106"/>
      <c r="C1032" s="106"/>
      <c r="D1032" s="101"/>
      <c r="E1032" s="106"/>
      <c r="F1032" s="107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9"/>
      <c r="V1032" s="109"/>
    </row>
    <row r="1033" ht="12.75" customHeight="1">
      <c r="A1033" s="106"/>
      <c r="B1033" s="106"/>
      <c r="C1033" s="106"/>
      <c r="D1033" s="101"/>
      <c r="E1033" s="106"/>
      <c r="F1033" s="107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9"/>
      <c r="V1033" s="109"/>
    </row>
    <row r="1034" ht="12.75" customHeight="1">
      <c r="A1034" s="106"/>
      <c r="B1034" s="106"/>
      <c r="C1034" s="106"/>
      <c r="D1034" s="101"/>
      <c r="E1034" s="106"/>
      <c r="F1034" s="107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9"/>
      <c r="V1034" s="109"/>
    </row>
    <row r="1035" ht="12.75" customHeight="1">
      <c r="A1035" s="106"/>
      <c r="B1035" s="106"/>
      <c r="C1035" s="106"/>
      <c r="D1035" s="101"/>
      <c r="E1035" s="106"/>
      <c r="F1035" s="107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9"/>
      <c r="V1035" s="109"/>
    </row>
    <row r="1036" ht="12.75" customHeight="1">
      <c r="A1036" s="106"/>
      <c r="B1036" s="106"/>
      <c r="C1036" s="106"/>
      <c r="D1036" s="101"/>
      <c r="E1036" s="106"/>
      <c r="F1036" s="107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9"/>
      <c r="V1036" s="109"/>
    </row>
    <row r="1037" ht="12.75" customHeight="1">
      <c r="A1037" s="106"/>
      <c r="B1037" s="106"/>
      <c r="C1037" s="106"/>
      <c r="D1037" s="101"/>
      <c r="E1037" s="106"/>
      <c r="F1037" s="107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9"/>
      <c r="V1037" s="109"/>
    </row>
    <row r="1038" ht="12.75" customHeight="1">
      <c r="A1038" s="106"/>
      <c r="B1038" s="106"/>
      <c r="C1038" s="106"/>
      <c r="D1038" s="101"/>
      <c r="E1038" s="106"/>
      <c r="F1038" s="107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9"/>
      <c r="V1038" s="109"/>
    </row>
    <row r="1039" ht="12.75" customHeight="1">
      <c r="A1039" s="106"/>
      <c r="B1039" s="106"/>
      <c r="C1039" s="106"/>
      <c r="D1039" s="101"/>
      <c r="E1039" s="106"/>
      <c r="F1039" s="107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9"/>
      <c r="V1039" s="109"/>
    </row>
    <row r="1040" ht="12.75" customHeight="1">
      <c r="A1040" s="106"/>
      <c r="B1040" s="106"/>
      <c r="C1040" s="106"/>
      <c r="D1040" s="101"/>
      <c r="E1040" s="106"/>
      <c r="F1040" s="107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9"/>
      <c r="V1040" s="109"/>
    </row>
    <row r="1041" ht="12.75" customHeight="1">
      <c r="A1041" s="106"/>
      <c r="B1041" s="106"/>
      <c r="C1041" s="106"/>
      <c r="D1041" s="101"/>
      <c r="E1041" s="106"/>
      <c r="F1041" s="107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9"/>
      <c r="V1041" s="109"/>
    </row>
    <row r="1042" ht="12.75" customHeight="1">
      <c r="A1042" s="106"/>
      <c r="B1042" s="106"/>
      <c r="C1042" s="106"/>
      <c r="D1042" s="101"/>
      <c r="E1042" s="106"/>
      <c r="F1042" s="107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9"/>
      <c r="V1042" s="109"/>
    </row>
    <row r="1043" ht="12.75" customHeight="1">
      <c r="A1043" s="106"/>
      <c r="B1043" s="106"/>
      <c r="C1043" s="106"/>
      <c r="D1043" s="101"/>
      <c r="E1043" s="106"/>
      <c r="F1043" s="107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9"/>
      <c r="V1043" s="109"/>
    </row>
    <row r="1044" ht="12.75" customHeight="1">
      <c r="A1044" s="106"/>
      <c r="B1044" s="106"/>
      <c r="C1044" s="106"/>
      <c r="D1044" s="101"/>
      <c r="E1044" s="106"/>
      <c r="F1044" s="107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9"/>
      <c r="V1044" s="109"/>
    </row>
    <row r="1045" ht="12.75" customHeight="1">
      <c r="A1045" s="106"/>
      <c r="B1045" s="106"/>
      <c r="C1045" s="106"/>
      <c r="D1045" s="101"/>
      <c r="E1045" s="106"/>
      <c r="F1045" s="107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9"/>
      <c r="V1045" s="109"/>
    </row>
    <row r="1046" ht="12.75" customHeight="1">
      <c r="A1046" s="106"/>
      <c r="B1046" s="106"/>
      <c r="C1046" s="106"/>
      <c r="D1046" s="101"/>
      <c r="E1046" s="106"/>
      <c r="F1046" s="107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9"/>
      <c r="V1046" s="109"/>
    </row>
    <row r="1047" ht="12.75" customHeight="1">
      <c r="A1047" s="106"/>
      <c r="B1047" s="106"/>
      <c r="C1047" s="106"/>
      <c r="D1047" s="101"/>
      <c r="E1047" s="106"/>
      <c r="F1047" s="107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9"/>
      <c r="V1047" s="109"/>
    </row>
    <row r="1048" ht="12.75" customHeight="1">
      <c r="A1048" s="106"/>
      <c r="B1048" s="106"/>
      <c r="C1048" s="106"/>
      <c r="D1048" s="101"/>
      <c r="E1048" s="106"/>
      <c r="F1048" s="107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9"/>
      <c r="V1048" s="109"/>
    </row>
    <row r="1049" ht="12.75" customHeight="1">
      <c r="A1049" s="106"/>
      <c r="B1049" s="106"/>
      <c r="C1049" s="106"/>
      <c r="D1049" s="101"/>
      <c r="E1049" s="106"/>
      <c r="F1049" s="107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9"/>
      <c r="V1049" s="109"/>
    </row>
    <row r="1050" ht="12.75" customHeight="1">
      <c r="A1050" s="106"/>
      <c r="B1050" s="106"/>
      <c r="C1050" s="106"/>
      <c r="D1050" s="101"/>
      <c r="E1050" s="106"/>
      <c r="F1050" s="107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9"/>
      <c r="V1050" s="109"/>
    </row>
    <row r="1051" ht="12.75" customHeight="1">
      <c r="A1051" s="106"/>
      <c r="B1051" s="106"/>
      <c r="C1051" s="106"/>
      <c r="D1051" s="101"/>
      <c r="E1051" s="106"/>
      <c r="F1051" s="107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9"/>
      <c r="V1051" s="109"/>
    </row>
    <row r="1052" ht="12.75" customHeight="1">
      <c r="A1052" s="106"/>
      <c r="B1052" s="106"/>
      <c r="C1052" s="106"/>
      <c r="D1052" s="101"/>
      <c r="E1052" s="106"/>
      <c r="F1052" s="107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9"/>
      <c r="V1052" s="109"/>
    </row>
    <row r="1053" ht="12.75" customHeight="1">
      <c r="A1053" s="106"/>
      <c r="B1053" s="106"/>
      <c r="C1053" s="106"/>
      <c r="D1053" s="101"/>
      <c r="E1053" s="106"/>
      <c r="F1053" s="107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9"/>
      <c r="V1053" s="109"/>
    </row>
    <row r="1054" ht="12.75" customHeight="1">
      <c r="A1054" s="106"/>
      <c r="B1054" s="106"/>
      <c r="C1054" s="106"/>
      <c r="D1054" s="101"/>
      <c r="E1054" s="106"/>
      <c r="F1054" s="107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9"/>
      <c r="V1054" s="109"/>
    </row>
    <row r="1055" ht="12.75" customHeight="1">
      <c r="A1055" s="106"/>
      <c r="B1055" s="106"/>
      <c r="C1055" s="106"/>
      <c r="D1055" s="101"/>
      <c r="E1055" s="106"/>
      <c r="F1055" s="107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9"/>
      <c r="V1055" s="109"/>
    </row>
    <row r="1056" ht="12.75" customHeight="1">
      <c r="A1056" s="106"/>
      <c r="B1056" s="106"/>
      <c r="C1056" s="106"/>
      <c r="D1056" s="101"/>
      <c r="E1056" s="106"/>
      <c r="F1056" s="107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9"/>
      <c r="V1056" s="109"/>
    </row>
    <row r="1057" ht="12.75" customHeight="1">
      <c r="A1057" s="106"/>
      <c r="B1057" s="106"/>
      <c r="C1057" s="106"/>
      <c r="D1057" s="101"/>
      <c r="E1057" s="106"/>
      <c r="F1057" s="107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9"/>
      <c r="V1057" s="109"/>
    </row>
    <row r="1058" ht="12.75" customHeight="1">
      <c r="A1058" s="106"/>
      <c r="B1058" s="106"/>
      <c r="C1058" s="106"/>
      <c r="D1058" s="101"/>
      <c r="E1058" s="106"/>
      <c r="F1058" s="107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9"/>
      <c r="V1058" s="109"/>
    </row>
    <row r="1059" ht="12.75" customHeight="1">
      <c r="A1059" s="106"/>
      <c r="B1059" s="106"/>
      <c r="C1059" s="106"/>
      <c r="D1059" s="101"/>
      <c r="E1059" s="106"/>
      <c r="F1059" s="107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9"/>
      <c r="V1059" s="109"/>
    </row>
    <row r="1060" ht="12.75" customHeight="1">
      <c r="A1060" s="106"/>
      <c r="B1060" s="106"/>
      <c r="C1060" s="106"/>
      <c r="D1060" s="101"/>
      <c r="E1060" s="106"/>
      <c r="F1060" s="107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9"/>
      <c r="V1060" s="109"/>
    </row>
    <row r="1061" ht="12.75" customHeight="1">
      <c r="A1061" s="106"/>
      <c r="B1061" s="106"/>
      <c r="C1061" s="106"/>
      <c r="D1061" s="101"/>
      <c r="E1061" s="106"/>
      <c r="F1061" s="107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9"/>
      <c r="V1061" s="109"/>
    </row>
    <row r="1062" ht="12.75" customHeight="1">
      <c r="A1062" s="106"/>
      <c r="B1062" s="106"/>
      <c r="C1062" s="106"/>
      <c r="D1062" s="101"/>
      <c r="E1062" s="106"/>
      <c r="F1062" s="107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9"/>
      <c r="V1062" s="109"/>
    </row>
    <row r="1063" ht="12.75" customHeight="1">
      <c r="A1063" s="106"/>
      <c r="B1063" s="106"/>
      <c r="C1063" s="106"/>
      <c r="D1063" s="101"/>
      <c r="E1063" s="106"/>
      <c r="F1063" s="107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9"/>
      <c r="V1063" s="109"/>
    </row>
    <row r="1064" ht="12.75" customHeight="1">
      <c r="A1064" s="106"/>
      <c r="B1064" s="106"/>
      <c r="C1064" s="106"/>
      <c r="D1064" s="101"/>
      <c r="E1064" s="106"/>
      <c r="F1064" s="107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9"/>
      <c r="V1064" s="109"/>
    </row>
    <row r="1065" ht="12.75" customHeight="1">
      <c r="A1065" s="106"/>
      <c r="B1065" s="106"/>
      <c r="C1065" s="106"/>
      <c r="D1065" s="101"/>
      <c r="E1065" s="106"/>
      <c r="F1065" s="107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9"/>
      <c r="V1065" s="109"/>
    </row>
    <row r="1066" ht="12.75" customHeight="1">
      <c r="A1066" s="106"/>
      <c r="B1066" s="106"/>
      <c r="C1066" s="106"/>
      <c r="D1066" s="101"/>
      <c r="E1066" s="106"/>
      <c r="F1066" s="107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9"/>
      <c r="V1066" s="109"/>
    </row>
    <row r="1067" ht="12.75" customHeight="1">
      <c r="A1067" s="106"/>
      <c r="B1067" s="106"/>
      <c r="C1067" s="106"/>
      <c r="D1067" s="101"/>
      <c r="E1067" s="106"/>
      <c r="F1067" s="107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9"/>
      <c r="V1067" s="109"/>
    </row>
    <row r="1068" ht="12.75" customHeight="1">
      <c r="A1068" s="106"/>
      <c r="B1068" s="106"/>
      <c r="C1068" s="106"/>
      <c r="D1068" s="101"/>
      <c r="E1068" s="106"/>
      <c r="F1068" s="107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9"/>
      <c r="V1068" s="109"/>
    </row>
    <row r="1069" ht="12.75" customHeight="1">
      <c r="A1069" s="106"/>
      <c r="B1069" s="106"/>
      <c r="C1069" s="106"/>
      <c r="D1069" s="101"/>
      <c r="E1069" s="106"/>
      <c r="F1069" s="107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9"/>
      <c r="V1069" s="109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0</v>
      </c>
      <c r="D2" s="117"/>
      <c r="E2" s="116">
        <f t="shared" ref="E2:R2" si="1">SUM(E5,E11)</f>
        <v>0</v>
      </c>
      <c r="F2" s="116">
        <f t="shared" si="1"/>
        <v>0</v>
      </c>
      <c r="G2" s="118">
        <f t="shared" si="1"/>
        <v>0</v>
      </c>
      <c r="H2" s="118">
        <f t="shared" si="1"/>
        <v>0</v>
      </c>
      <c r="I2" s="118">
        <f t="shared" si="1"/>
        <v>0</v>
      </c>
      <c r="J2" s="118">
        <f t="shared" si="1"/>
        <v>0</v>
      </c>
      <c r="K2" s="118">
        <f t="shared" si="1"/>
        <v>0</v>
      </c>
      <c r="L2" s="118">
        <f t="shared" si="1"/>
        <v>0</v>
      </c>
      <c r="M2" s="118">
        <f t="shared" si="1"/>
        <v>0</v>
      </c>
      <c r="N2" s="118">
        <f t="shared" si="1"/>
        <v>0</v>
      </c>
      <c r="O2" s="118">
        <f t="shared" si="1"/>
        <v>0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36</v>
      </c>
      <c r="D4" s="120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0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19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7" si="2">IFERROR(I20/H20,0)</f>
        <v>0</v>
      </c>
      <c r="V20" s="131">
        <f t="shared" ref="V20:V36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6" t="s">
        <v>26</v>
      </c>
      <c r="B22" s="137" t="s">
        <v>27</v>
      </c>
      <c r="C22" s="137" t="s">
        <v>48</v>
      </c>
      <c r="D22" s="138" t="s">
        <v>46</v>
      </c>
      <c r="E22" s="137" t="s">
        <v>47</v>
      </c>
      <c r="F22" s="137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39" t="s">
        <v>26</v>
      </c>
      <c r="B23" s="140" t="s">
        <v>27</v>
      </c>
      <c r="C23" s="140" t="s">
        <v>48</v>
      </c>
      <c r="D23" s="75"/>
      <c r="E23" s="141"/>
      <c r="F23" s="63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2" t="s">
        <v>26</v>
      </c>
      <c r="B24" s="143" t="s">
        <v>27</v>
      </c>
      <c r="C24" s="144" t="s">
        <v>51</v>
      </c>
      <c r="D24" s="145" t="s">
        <v>46</v>
      </c>
      <c r="E24" s="143" t="s">
        <v>47</v>
      </c>
      <c r="F24" s="144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6" t="s">
        <v>26</v>
      </c>
      <c r="B25" s="147" t="s">
        <v>27</v>
      </c>
      <c r="C25" s="148" t="s">
        <v>51</v>
      </c>
      <c r="D25" s="84"/>
      <c r="E25" s="147" t="s">
        <v>47</v>
      </c>
      <c r="F25" s="148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46" t="s">
        <v>26</v>
      </c>
      <c r="B26" s="147" t="s">
        <v>27</v>
      </c>
      <c r="C26" s="148" t="s">
        <v>51</v>
      </c>
      <c r="D26" s="84"/>
      <c r="E26" s="147" t="s">
        <v>47</v>
      </c>
      <c r="F26" s="148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6" t="s">
        <v>26</v>
      </c>
      <c r="B27" s="147" t="s">
        <v>27</v>
      </c>
      <c r="C27" s="148" t="s">
        <v>51</v>
      </c>
      <c r="D27" s="84"/>
      <c r="E27" s="147" t="s">
        <v>47</v>
      </c>
      <c r="F27" s="148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6" t="s">
        <v>26</v>
      </c>
      <c r="B28" s="137" t="s">
        <v>27</v>
      </c>
      <c r="C28" s="149" t="s">
        <v>55</v>
      </c>
      <c r="D28" s="150" t="s">
        <v>46</v>
      </c>
      <c r="E28" s="151" t="s">
        <v>47</v>
      </c>
      <c r="F28" s="149" t="s">
        <v>55</v>
      </c>
      <c r="G28" s="152">
        <v>0.0</v>
      </c>
      <c r="H28" s="152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3">
        <v>0.0</v>
      </c>
      <c r="V28" s="131">
        <f t="shared" si="3"/>
        <v>0</v>
      </c>
    </row>
    <row r="29" ht="12.75" customHeight="1">
      <c r="A29" s="139" t="s">
        <v>26</v>
      </c>
      <c r="B29" s="140" t="s">
        <v>27</v>
      </c>
      <c r="C29" s="140" t="s">
        <v>55</v>
      </c>
      <c r="D29" s="75"/>
      <c r="E29" s="140" t="s">
        <v>47</v>
      </c>
      <c r="F29" s="63" t="s">
        <v>56</v>
      </c>
      <c r="G29" s="152">
        <v>0.0</v>
      </c>
      <c r="H29" s="152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31">
        <f t="shared" ref="U29:U36" si="4">IFERROR(I29/H29,0)</f>
        <v>0</v>
      </c>
      <c r="V29" s="131">
        <f t="shared" si="3"/>
        <v>0</v>
      </c>
    </row>
    <row r="30" ht="12.75" customHeight="1">
      <c r="A30" s="139" t="s">
        <v>26</v>
      </c>
      <c r="B30" s="140" t="s">
        <v>27</v>
      </c>
      <c r="C30" s="140" t="s">
        <v>55</v>
      </c>
      <c r="D30" s="75"/>
      <c r="E30" s="141"/>
      <c r="F30" s="63" t="s">
        <v>57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31">
        <f t="shared" si="4"/>
        <v>0</v>
      </c>
      <c r="V30" s="131">
        <f t="shared" si="3"/>
        <v>0</v>
      </c>
    </row>
    <row r="31" ht="12.75" customHeight="1">
      <c r="A31" s="139" t="s">
        <v>26</v>
      </c>
      <c r="B31" s="140" t="s">
        <v>27</v>
      </c>
      <c r="C31" s="140" t="s">
        <v>55</v>
      </c>
      <c r="D31" s="75"/>
      <c r="E31" s="140" t="s">
        <v>58</v>
      </c>
      <c r="F31" s="63" t="s">
        <v>59</v>
      </c>
      <c r="G31" s="152">
        <v>0.0</v>
      </c>
      <c r="H31" s="152">
        <v>0.0</v>
      </c>
      <c r="I31" s="152">
        <v>0.0</v>
      </c>
      <c r="J31" s="152">
        <v>0.0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31">
        <f t="shared" si="4"/>
        <v>0</v>
      </c>
      <c r="V31" s="131">
        <f t="shared" si="3"/>
        <v>0</v>
      </c>
    </row>
    <row r="32" ht="12.75" customHeight="1">
      <c r="A32" s="142" t="s">
        <v>26</v>
      </c>
      <c r="B32" s="143" t="s">
        <v>27</v>
      </c>
      <c r="C32" s="154" t="s">
        <v>60</v>
      </c>
      <c r="D32" s="145" t="s">
        <v>46</v>
      </c>
      <c r="E32" s="155"/>
      <c r="F32" s="154" t="s">
        <v>60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4"/>
        <v>0</v>
      </c>
      <c r="V32" s="131">
        <f t="shared" si="3"/>
        <v>0</v>
      </c>
    </row>
    <row r="33" ht="12.75" customHeight="1">
      <c r="A33" s="146" t="s">
        <v>26</v>
      </c>
      <c r="B33" s="147" t="s">
        <v>27</v>
      </c>
      <c r="C33" s="147" t="s">
        <v>60</v>
      </c>
      <c r="D33" s="84"/>
      <c r="E33" s="155"/>
      <c r="F33" s="156" t="s">
        <v>61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4"/>
        <v>0</v>
      </c>
      <c r="V33" s="131">
        <f t="shared" si="3"/>
        <v>0</v>
      </c>
    </row>
    <row r="34" ht="12.75" customHeight="1">
      <c r="A34" s="146" t="s">
        <v>26</v>
      </c>
      <c r="B34" s="147" t="s">
        <v>27</v>
      </c>
      <c r="C34" s="147" t="s">
        <v>60</v>
      </c>
      <c r="D34" s="84"/>
      <c r="E34" s="155"/>
      <c r="F34" s="156" t="s">
        <v>62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3"/>
        <v>0</v>
      </c>
    </row>
    <row r="35" ht="12.75" customHeight="1">
      <c r="A35" s="146" t="s">
        <v>26</v>
      </c>
      <c r="B35" s="147" t="s">
        <v>27</v>
      </c>
      <c r="C35" s="147" t="s">
        <v>60</v>
      </c>
      <c r="D35" s="84"/>
      <c r="E35" s="155"/>
      <c r="F35" s="156" t="s">
        <v>63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3"/>
        <v>0</v>
      </c>
    </row>
    <row r="36" ht="12.75" customHeight="1">
      <c r="A36" s="146" t="s">
        <v>26</v>
      </c>
      <c r="B36" s="147" t="s">
        <v>27</v>
      </c>
      <c r="C36" s="147" t="s">
        <v>60</v>
      </c>
      <c r="D36" s="84"/>
      <c r="E36" s="155"/>
      <c r="F36" s="156" t="s">
        <v>64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1">
        <f t="shared" si="4"/>
        <v>0</v>
      </c>
      <c r="V36" s="131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128" t="s">
        <v>28</v>
      </c>
      <c r="B38" s="129"/>
      <c r="C38" s="129"/>
      <c r="D38" s="157" t="s">
        <v>46</v>
      </c>
      <c r="E38" s="128" t="s">
        <v>47</v>
      </c>
      <c r="F38" s="128" t="s">
        <v>28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ref="U38:U56" si="5">IFERROR(I38/H38,0)</f>
        <v>0</v>
      </c>
      <c r="V38" s="131">
        <f t="shared" ref="V38:V56" si="6">IFERROR(SUM(H38+L38)/G38,0)</f>
        <v>0</v>
      </c>
    </row>
    <row r="39" ht="12.75" customHeight="1">
      <c r="A39" s="132" t="s">
        <v>28</v>
      </c>
      <c r="B39" s="124" t="s">
        <v>29</v>
      </c>
      <c r="C39" s="158"/>
      <c r="D39" s="159" t="s">
        <v>46</v>
      </c>
      <c r="E39" s="135" t="s">
        <v>47</v>
      </c>
      <c r="F39" s="124" t="s">
        <v>29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5"/>
        <v>0</v>
      </c>
      <c r="V39" s="131">
        <f t="shared" si="6"/>
        <v>0</v>
      </c>
    </row>
    <row r="40" ht="12.75" customHeight="1">
      <c r="A40" s="142" t="s">
        <v>28</v>
      </c>
      <c r="B40" s="143" t="s">
        <v>29</v>
      </c>
      <c r="C40" s="144" t="s">
        <v>65</v>
      </c>
      <c r="D40" s="145" t="s">
        <v>46</v>
      </c>
      <c r="E40" s="143" t="s">
        <v>47</v>
      </c>
      <c r="F40" s="144" t="s">
        <v>65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5"/>
        <v>0</v>
      </c>
      <c r="V40" s="131">
        <f t="shared" si="6"/>
        <v>0</v>
      </c>
    </row>
    <row r="41" ht="12.75" customHeight="1">
      <c r="A41" s="146" t="s">
        <v>28</v>
      </c>
      <c r="B41" s="147" t="s">
        <v>29</v>
      </c>
      <c r="C41" s="146" t="s">
        <v>65</v>
      </c>
      <c r="D41" s="155"/>
      <c r="E41" s="147" t="s">
        <v>47</v>
      </c>
      <c r="F41" s="146" t="s">
        <v>66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5"/>
        <v>0</v>
      </c>
      <c r="V41" s="131">
        <f t="shared" si="6"/>
        <v>0</v>
      </c>
    </row>
    <row r="42" ht="12.75" customHeight="1">
      <c r="A42" s="146" t="s">
        <v>28</v>
      </c>
      <c r="B42" s="147" t="s">
        <v>29</v>
      </c>
      <c r="C42" s="146" t="s">
        <v>65</v>
      </c>
      <c r="D42" s="84"/>
      <c r="E42" s="160" t="s">
        <v>47</v>
      </c>
      <c r="F42" s="148" t="s">
        <v>67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5"/>
        <v>0</v>
      </c>
      <c r="V42" s="131">
        <f t="shared" si="6"/>
        <v>0</v>
      </c>
    </row>
    <row r="43" ht="12.75" customHeight="1">
      <c r="A43" s="146" t="s">
        <v>28</v>
      </c>
      <c r="B43" s="147" t="s">
        <v>29</v>
      </c>
      <c r="C43" s="146" t="s">
        <v>65</v>
      </c>
      <c r="D43" s="84"/>
      <c r="E43" s="160" t="s">
        <v>47</v>
      </c>
      <c r="F43" s="148" t="s">
        <v>68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5"/>
        <v>0</v>
      </c>
      <c r="V43" s="131">
        <f t="shared" si="6"/>
        <v>0</v>
      </c>
    </row>
    <row r="44" ht="12.75" customHeight="1">
      <c r="A44" s="146" t="s">
        <v>28</v>
      </c>
      <c r="B44" s="147" t="s">
        <v>29</v>
      </c>
      <c r="C44" s="146" t="s">
        <v>65</v>
      </c>
      <c r="D44" s="84"/>
      <c r="E44" s="160" t="s">
        <v>47</v>
      </c>
      <c r="F44" s="148" t="s">
        <v>69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5"/>
        <v>0</v>
      </c>
      <c r="V44" s="131">
        <f t="shared" si="6"/>
        <v>0</v>
      </c>
    </row>
    <row r="45" ht="12.75" customHeight="1">
      <c r="A45" s="146" t="s">
        <v>28</v>
      </c>
      <c r="B45" s="147" t="s">
        <v>29</v>
      </c>
      <c r="C45" s="146" t="s">
        <v>65</v>
      </c>
      <c r="D45" s="84"/>
      <c r="E45" s="160" t="s">
        <v>47</v>
      </c>
      <c r="F45" s="148" t="s">
        <v>70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5"/>
        <v>0</v>
      </c>
      <c r="V45" s="131">
        <f t="shared" si="6"/>
        <v>0</v>
      </c>
    </row>
    <row r="46" ht="12.75" customHeight="1">
      <c r="A46" s="146" t="s">
        <v>28</v>
      </c>
      <c r="B46" s="147" t="s">
        <v>29</v>
      </c>
      <c r="C46" s="146" t="s">
        <v>65</v>
      </c>
      <c r="D46" s="84"/>
      <c r="E46" s="147" t="s">
        <v>47</v>
      </c>
      <c r="F46" s="148" t="s">
        <v>71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5"/>
        <v>0</v>
      </c>
      <c r="V46" s="131">
        <f t="shared" si="6"/>
        <v>0</v>
      </c>
    </row>
    <row r="47" ht="12.75" customHeight="1">
      <c r="A47" s="146" t="s">
        <v>28</v>
      </c>
      <c r="B47" s="147" t="s">
        <v>29</v>
      </c>
      <c r="C47" s="146" t="s">
        <v>65</v>
      </c>
      <c r="D47" s="84"/>
      <c r="E47" s="147" t="s">
        <v>47</v>
      </c>
      <c r="F47" s="148" t="s">
        <v>72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5"/>
        <v>0</v>
      </c>
      <c r="V47" s="131">
        <f t="shared" si="6"/>
        <v>0</v>
      </c>
    </row>
    <row r="48" ht="12.75" customHeight="1">
      <c r="A48" s="146" t="s">
        <v>28</v>
      </c>
      <c r="B48" s="147" t="s">
        <v>29</v>
      </c>
      <c r="C48" s="146" t="s">
        <v>65</v>
      </c>
      <c r="D48" s="161"/>
      <c r="E48" s="147" t="s">
        <v>47</v>
      </c>
      <c r="F48" s="156" t="s">
        <v>73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5"/>
        <v>0</v>
      </c>
      <c r="V48" s="131">
        <f t="shared" si="6"/>
        <v>0</v>
      </c>
    </row>
    <row r="49" ht="12.75" customHeight="1">
      <c r="A49" s="146" t="s">
        <v>28</v>
      </c>
      <c r="B49" s="147" t="s">
        <v>29</v>
      </c>
      <c r="C49" s="146" t="s">
        <v>65</v>
      </c>
      <c r="D49" s="161"/>
      <c r="E49" s="147" t="s">
        <v>47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5"/>
        <v>0</v>
      </c>
      <c r="V49" s="131">
        <f t="shared" si="6"/>
        <v>0</v>
      </c>
    </row>
    <row r="50" ht="12.75" customHeight="1">
      <c r="A50" s="146" t="s">
        <v>28</v>
      </c>
      <c r="B50" s="147" t="s">
        <v>29</v>
      </c>
      <c r="C50" s="146" t="s">
        <v>65</v>
      </c>
      <c r="D50" s="161"/>
      <c r="E50" s="147" t="s">
        <v>47</v>
      </c>
      <c r="F50" s="156" t="s">
        <v>75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5"/>
        <v>0</v>
      </c>
      <c r="V50" s="131">
        <f t="shared" si="6"/>
        <v>0</v>
      </c>
    </row>
    <row r="51" ht="12.75" customHeight="1">
      <c r="A51" s="146" t="s">
        <v>28</v>
      </c>
      <c r="B51" s="147" t="s">
        <v>29</v>
      </c>
      <c r="C51" s="146" t="s">
        <v>65</v>
      </c>
      <c r="D51" s="161"/>
      <c r="E51" s="147" t="s">
        <v>47</v>
      </c>
      <c r="F51" s="156" t="s">
        <v>76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5"/>
        <v>0</v>
      </c>
      <c r="V51" s="131">
        <f t="shared" si="6"/>
        <v>0</v>
      </c>
    </row>
    <row r="52" ht="12.75" customHeight="1">
      <c r="A52" s="146" t="s">
        <v>28</v>
      </c>
      <c r="B52" s="147" t="s">
        <v>29</v>
      </c>
      <c r="C52" s="146" t="s">
        <v>65</v>
      </c>
      <c r="D52" s="161"/>
      <c r="E52" s="147" t="s">
        <v>77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5"/>
        <v>0</v>
      </c>
      <c r="V52" s="131">
        <f t="shared" si="6"/>
        <v>0</v>
      </c>
    </row>
    <row r="53" ht="12.75" customHeight="1">
      <c r="A53" s="146" t="s">
        <v>28</v>
      </c>
      <c r="B53" s="147" t="s">
        <v>29</v>
      </c>
      <c r="C53" s="146" t="s">
        <v>65</v>
      </c>
      <c r="D53" s="161"/>
      <c r="E53" s="147" t="s">
        <v>79</v>
      </c>
      <c r="F53" s="156" t="s">
        <v>80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5"/>
        <v>0</v>
      </c>
      <c r="V53" s="131">
        <f t="shared" si="6"/>
        <v>0</v>
      </c>
    </row>
    <row r="54" ht="12.75" customHeight="1">
      <c r="A54" s="146" t="s">
        <v>28</v>
      </c>
      <c r="B54" s="147" t="s">
        <v>29</v>
      </c>
      <c r="C54" s="146" t="s">
        <v>65</v>
      </c>
      <c r="D54" s="161"/>
      <c r="E54" s="155"/>
      <c r="F54" s="156" t="s">
        <v>81</v>
      </c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1">
        <f t="shared" si="5"/>
        <v>0</v>
      </c>
      <c r="V54" s="131">
        <f t="shared" si="6"/>
        <v>0</v>
      </c>
    </row>
    <row r="55" ht="12.75" customHeight="1">
      <c r="A55" s="146" t="s">
        <v>28</v>
      </c>
      <c r="B55" s="147" t="s">
        <v>29</v>
      </c>
      <c r="C55" s="146" t="s">
        <v>65</v>
      </c>
      <c r="D55" s="161"/>
      <c r="E55" s="147" t="s">
        <v>47</v>
      </c>
      <c r="F55" s="156" t="s">
        <v>82</v>
      </c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1">
        <f t="shared" si="5"/>
        <v>0</v>
      </c>
      <c r="V55" s="131">
        <f t="shared" si="6"/>
        <v>0</v>
      </c>
    </row>
    <row r="56" ht="12.75" customHeight="1">
      <c r="A56" s="146" t="s">
        <v>28</v>
      </c>
      <c r="B56" s="147" t="s">
        <v>29</v>
      </c>
      <c r="C56" s="146" t="s">
        <v>65</v>
      </c>
      <c r="D56" s="161"/>
      <c r="E56" s="147" t="s">
        <v>47</v>
      </c>
      <c r="F56" s="156" t="s">
        <v>83</v>
      </c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1">
        <f t="shared" si="5"/>
        <v>0</v>
      </c>
      <c r="V56" s="131">
        <f t="shared" si="6"/>
        <v>0</v>
      </c>
    </row>
    <row r="57" ht="12.75" customHeight="1">
      <c r="A57" s="162"/>
      <c r="B57" s="162"/>
      <c r="C57" s="162"/>
      <c r="D57" s="1"/>
      <c r="E57" s="162"/>
      <c r="F57" s="11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</row>
    <row r="58" ht="12.75" customHeight="1">
      <c r="A58" s="162"/>
      <c r="B58" s="162"/>
      <c r="C58" s="162"/>
      <c r="D58" s="1"/>
      <c r="E58" s="162"/>
      <c r="F58" s="11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</row>
    <row r="59" ht="12.75" customHeight="1">
      <c r="A59" s="162"/>
      <c r="B59" s="162"/>
      <c r="C59" s="162"/>
      <c r="D59" s="1"/>
      <c r="E59" s="162"/>
      <c r="F59" s="11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</row>
    <row r="60" ht="12.75" customHeight="1">
      <c r="A60" s="162"/>
      <c r="B60" s="162"/>
      <c r="C60" s="162"/>
      <c r="D60" s="1"/>
      <c r="E60" s="162"/>
      <c r="F60" s="11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</row>
    <row r="61" ht="12.75" customHeight="1">
      <c r="A61" s="162"/>
      <c r="B61" s="162"/>
      <c r="C61" s="162"/>
      <c r="D61" s="1"/>
      <c r="E61" s="162"/>
      <c r="F61" s="11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</row>
    <row r="62" ht="12.75" customHeight="1">
      <c r="A62" s="162"/>
      <c r="B62" s="162"/>
      <c r="C62" s="162"/>
      <c r="D62" s="1"/>
      <c r="E62" s="162"/>
      <c r="F62" s="11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4"/>
      <c r="V62" s="164"/>
    </row>
    <row r="63" ht="12.75" customHeight="1">
      <c r="A63" s="162"/>
      <c r="B63" s="162"/>
      <c r="C63" s="162"/>
      <c r="D63" s="1"/>
      <c r="E63" s="162"/>
      <c r="F63" s="11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4"/>
      <c r="V63" s="164"/>
    </row>
    <row r="64" ht="12.75" customHeight="1">
      <c r="A64" s="162"/>
      <c r="B64" s="162"/>
      <c r="C64" s="162"/>
      <c r="D64" s="1"/>
      <c r="E64" s="162"/>
      <c r="F64" s="11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4"/>
      <c r="V64" s="164"/>
    </row>
    <row r="65" ht="12.75" customHeight="1">
      <c r="A65" s="162"/>
      <c r="B65" s="162"/>
      <c r="C65" s="162"/>
      <c r="D65" s="1"/>
      <c r="E65" s="162"/>
      <c r="F65" s="11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4"/>
      <c r="V65" s="164"/>
    </row>
    <row r="66" ht="12.75" customHeight="1">
      <c r="A66" s="162"/>
      <c r="B66" s="162"/>
      <c r="C66" s="162"/>
      <c r="D66" s="1"/>
      <c r="E66" s="162"/>
      <c r="F66" s="11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4"/>
      <c r="V66" s="164"/>
    </row>
    <row r="67" ht="12.75" customHeight="1">
      <c r="A67" s="162"/>
      <c r="B67" s="162"/>
      <c r="C67" s="162"/>
      <c r="D67" s="1"/>
      <c r="E67" s="162"/>
      <c r="F67" s="11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4"/>
      <c r="V67" s="164"/>
    </row>
    <row r="68" ht="12.75" customHeight="1">
      <c r="A68" s="162"/>
      <c r="B68" s="162"/>
      <c r="C68" s="162"/>
      <c r="D68" s="1"/>
      <c r="E68" s="162"/>
      <c r="F68" s="11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4"/>
      <c r="V68" s="164"/>
    </row>
    <row r="69" ht="12.75" customHeight="1">
      <c r="A69" s="162"/>
      <c r="B69" s="162"/>
      <c r="C69" s="162"/>
      <c r="D69" s="1"/>
      <c r="E69" s="162"/>
      <c r="F69" s="11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4"/>
      <c r="V69" s="164"/>
    </row>
    <row r="70" ht="12.75" customHeight="1">
      <c r="A70" s="162"/>
      <c r="B70" s="162"/>
      <c r="C70" s="162"/>
      <c r="D70" s="1"/>
      <c r="E70" s="162"/>
      <c r="F70" s="11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4"/>
      <c r="V70" s="164"/>
    </row>
    <row r="71" ht="12.75" customHeight="1">
      <c r="A71" s="162"/>
      <c r="B71" s="162"/>
      <c r="C71" s="162"/>
      <c r="D71" s="1"/>
      <c r="E71" s="162"/>
      <c r="F71" s="11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4"/>
      <c r="V71" s="164"/>
    </row>
    <row r="72" ht="12.75" customHeight="1">
      <c r="A72" s="162"/>
      <c r="B72" s="162"/>
      <c r="C72" s="162"/>
      <c r="D72" s="1"/>
      <c r="E72" s="162"/>
      <c r="F72" s="11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4"/>
      <c r="V72" s="164"/>
    </row>
    <row r="73" ht="12.75" customHeight="1">
      <c r="A73" s="162"/>
      <c r="B73" s="162"/>
      <c r="C73" s="162"/>
      <c r="D73" s="1"/>
      <c r="E73" s="162"/>
      <c r="F73" s="11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164"/>
    </row>
    <row r="74" ht="12.75" customHeight="1">
      <c r="A74" s="162"/>
      <c r="B74" s="162"/>
      <c r="C74" s="162"/>
      <c r="D74" s="1"/>
      <c r="E74" s="162"/>
      <c r="F74" s="11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164"/>
    </row>
    <row r="75" ht="12.75" customHeight="1">
      <c r="A75" s="162"/>
      <c r="B75" s="162"/>
      <c r="C75" s="162"/>
      <c r="D75" s="1"/>
      <c r="E75" s="162"/>
      <c r="F75" s="11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4"/>
      <c r="V75" s="164"/>
    </row>
    <row r="76" ht="12.75" customHeight="1">
      <c r="A76" s="162"/>
      <c r="B76" s="162"/>
      <c r="C76" s="162"/>
      <c r="D76" s="1"/>
      <c r="E76" s="162"/>
      <c r="F76" s="11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4"/>
      <c r="V76" s="164"/>
    </row>
    <row r="77" ht="12.75" customHeight="1">
      <c r="A77" s="162"/>
      <c r="B77" s="162"/>
      <c r="C77" s="162"/>
      <c r="D77" s="1"/>
      <c r="E77" s="162"/>
      <c r="F77" s="11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4"/>
      <c r="V77" s="164"/>
    </row>
    <row r="78" ht="12.75" customHeight="1">
      <c r="A78" s="162"/>
      <c r="B78" s="162"/>
      <c r="C78" s="162"/>
      <c r="D78" s="1"/>
      <c r="E78" s="162"/>
      <c r="F78" s="11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4"/>
      <c r="V78" s="164"/>
    </row>
    <row r="79" ht="12.75" customHeight="1">
      <c r="A79" s="162"/>
      <c r="B79" s="162"/>
      <c r="C79" s="162"/>
      <c r="D79" s="1"/>
      <c r="E79" s="162"/>
      <c r="F79" s="11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4"/>
      <c r="V79" s="164"/>
    </row>
    <row r="80" ht="12.75" customHeight="1">
      <c r="A80" s="162"/>
      <c r="B80" s="162"/>
      <c r="C80" s="162"/>
      <c r="D80" s="1"/>
      <c r="E80" s="162"/>
      <c r="F80" s="11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4"/>
      <c r="V80" s="164"/>
    </row>
    <row r="81" ht="12.75" customHeight="1">
      <c r="A81" s="162"/>
      <c r="B81" s="162"/>
      <c r="C81" s="162"/>
      <c r="D81" s="1"/>
      <c r="E81" s="162"/>
      <c r="F81" s="11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4"/>
      <c r="V81" s="164"/>
    </row>
    <row r="82" ht="12.75" customHeight="1">
      <c r="A82" s="162"/>
      <c r="B82" s="162"/>
      <c r="C82" s="162"/>
      <c r="D82" s="1"/>
      <c r="E82" s="162"/>
      <c r="F82" s="11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4"/>
      <c r="V82" s="164"/>
    </row>
    <row r="83" ht="12.75" customHeight="1">
      <c r="A83" s="162"/>
      <c r="B83" s="162"/>
      <c r="C83" s="162"/>
      <c r="D83" s="1"/>
      <c r="E83" s="162"/>
      <c r="F83" s="11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4"/>
      <c r="V83" s="164"/>
    </row>
    <row r="84" ht="12.75" customHeight="1">
      <c r="A84" s="162"/>
      <c r="B84" s="162"/>
      <c r="C84" s="162"/>
      <c r="D84" s="1"/>
      <c r="E84" s="162"/>
      <c r="F84" s="11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4"/>
      <c r="V84" s="164"/>
    </row>
    <row r="85" ht="12.75" customHeight="1">
      <c r="A85" s="162"/>
      <c r="B85" s="162"/>
      <c r="C85" s="162"/>
      <c r="D85" s="1"/>
      <c r="E85" s="162"/>
      <c r="F85" s="11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4"/>
      <c r="V85" s="164"/>
    </row>
    <row r="86" ht="12.75" customHeight="1">
      <c r="A86" s="162"/>
      <c r="B86" s="162"/>
      <c r="C86" s="162"/>
      <c r="D86" s="1"/>
      <c r="E86" s="162"/>
      <c r="F86" s="11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4"/>
      <c r="V86" s="164"/>
    </row>
    <row r="87" ht="12.75" customHeight="1">
      <c r="A87" s="162"/>
      <c r="B87" s="162"/>
      <c r="C87" s="162"/>
      <c r="D87" s="1"/>
      <c r="E87" s="162"/>
      <c r="F87" s="11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4"/>
      <c r="V87" s="164"/>
    </row>
    <row r="88" ht="12.75" customHeight="1">
      <c r="A88" s="162"/>
      <c r="B88" s="162"/>
      <c r="C88" s="162"/>
      <c r="D88" s="1"/>
      <c r="E88" s="162"/>
      <c r="F88" s="11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4"/>
      <c r="V88" s="164"/>
    </row>
    <row r="89" ht="12.75" customHeight="1">
      <c r="A89" s="162"/>
      <c r="B89" s="162"/>
      <c r="C89" s="162"/>
      <c r="D89" s="1"/>
      <c r="E89" s="162"/>
      <c r="F89" s="11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4"/>
      <c r="V89" s="164"/>
    </row>
    <row r="90" ht="12.75" customHeight="1">
      <c r="A90" s="162"/>
      <c r="B90" s="162"/>
      <c r="C90" s="162"/>
      <c r="D90" s="1"/>
      <c r="E90" s="162"/>
      <c r="F90" s="11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4"/>
      <c r="V90" s="164"/>
    </row>
    <row r="91" ht="12.75" customHeight="1">
      <c r="A91" s="162"/>
      <c r="B91" s="162"/>
      <c r="C91" s="162"/>
      <c r="D91" s="1"/>
      <c r="E91" s="162"/>
      <c r="F91" s="11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4"/>
      <c r="V91" s="164"/>
    </row>
    <row r="92" ht="12.75" customHeight="1">
      <c r="A92" s="162"/>
      <c r="B92" s="162"/>
      <c r="C92" s="162"/>
      <c r="D92" s="1"/>
      <c r="E92" s="162"/>
      <c r="F92" s="11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4"/>
      <c r="V92" s="164"/>
    </row>
    <row r="93" ht="12.75" customHeight="1">
      <c r="A93" s="162"/>
      <c r="B93" s="162"/>
      <c r="C93" s="162"/>
      <c r="D93" s="1"/>
      <c r="E93" s="162"/>
      <c r="F93" s="11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4"/>
      <c r="V93" s="164"/>
    </row>
    <row r="94" ht="12.75" customHeight="1">
      <c r="A94" s="162"/>
      <c r="B94" s="162"/>
      <c r="C94" s="162"/>
      <c r="D94" s="1"/>
      <c r="E94" s="162"/>
      <c r="F94" s="11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4"/>
      <c r="V94" s="164"/>
    </row>
    <row r="95" ht="12.75" customHeight="1">
      <c r="A95" s="162"/>
      <c r="B95" s="162"/>
      <c r="C95" s="162"/>
      <c r="D95" s="1"/>
      <c r="E95" s="162"/>
      <c r="F95" s="11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4"/>
      <c r="V95" s="164"/>
    </row>
    <row r="96" ht="12.75" customHeight="1">
      <c r="A96" s="162"/>
      <c r="B96" s="162"/>
      <c r="C96" s="162"/>
      <c r="D96" s="1"/>
      <c r="E96" s="162"/>
      <c r="F96" s="11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4"/>
      <c r="V96" s="164"/>
    </row>
    <row r="97" ht="12.75" customHeight="1">
      <c r="A97" s="162"/>
      <c r="B97" s="162"/>
      <c r="C97" s="162"/>
      <c r="D97" s="1"/>
      <c r="E97" s="162"/>
      <c r="F97" s="11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4"/>
      <c r="V97" s="164"/>
    </row>
    <row r="98" ht="12.75" customHeight="1">
      <c r="A98" s="162"/>
      <c r="B98" s="162"/>
      <c r="C98" s="162"/>
      <c r="D98" s="1"/>
      <c r="E98" s="162"/>
      <c r="F98" s="11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4"/>
      <c r="V98" s="164"/>
    </row>
    <row r="99" ht="12.75" customHeight="1">
      <c r="A99" s="162"/>
      <c r="B99" s="162"/>
      <c r="C99" s="162"/>
      <c r="D99" s="1"/>
      <c r="E99" s="162"/>
      <c r="F99" s="11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4"/>
      <c r="V99" s="164"/>
    </row>
    <row r="100" ht="12.75" customHeight="1">
      <c r="A100" s="162"/>
      <c r="B100" s="162"/>
      <c r="C100" s="162"/>
      <c r="D100" s="1"/>
      <c r="E100" s="162"/>
      <c r="F100" s="11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4"/>
      <c r="V100" s="164"/>
    </row>
    <row r="101" ht="12.75" customHeight="1">
      <c r="A101" s="162"/>
      <c r="B101" s="162"/>
      <c r="C101" s="162"/>
      <c r="D101" s="1"/>
      <c r="E101" s="162"/>
      <c r="F101" s="11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4"/>
      <c r="V101" s="164"/>
    </row>
    <row r="102" ht="12.75" customHeight="1">
      <c r="A102" s="162"/>
      <c r="B102" s="162"/>
      <c r="C102" s="162"/>
      <c r="D102" s="1"/>
      <c r="E102" s="162"/>
      <c r="F102" s="11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4"/>
      <c r="V102" s="164"/>
    </row>
    <row r="103" ht="12.75" customHeight="1">
      <c r="A103" s="162"/>
      <c r="B103" s="162"/>
      <c r="C103" s="162"/>
      <c r="D103" s="1"/>
      <c r="E103" s="162"/>
      <c r="F103" s="11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4"/>
      <c r="V103" s="164"/>
    </row>
    <row r="104" ht="12.75" customHeight="1">
      <c r="A104" s="162"/>
      <c r="B104" s="162"/>
      <c r="C104" s="162"/>
      <c r="D104" s="1"/>
      <c r="E104" s="162"/>
      <c r="F104" s="11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4"/>
      <c r="V104" s="164"/>
    </row>
    <row r="105" ht="12.75" customHeight="1">
      <c r="A105" s="162"/>
      <c r="B105" s="162"/>
      <c r="C105" s="162"/>
      <c r="D105" s="1"/>
      <c r="E105" s="162"/>
      <c r="F105" s="11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4"/>
      <c r="V105" s="164"/>
    </row>
    <row r="106" ht="12.75" customHeight="1">
      <c r="A106" s="162"/>
      <c r="B106" s="162"/>
      <c r="C106" s="162"/>
      <c r="D106" s="1"/>
      <c r="E106" s="162"/>
      <c r="F106" s="11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4"/>
      <c r="V106" s="164"/>
    </row>
    <row r="107" ht="12.75" customHeight="1">
      <c r="A107" s="162"/>
      <c r="B107" s="162"/>
      <c r="C107" s="162"/>
      <c r="D107" s="1"/>
      <c r="E107" s="162"/>
      <c r="F107" s="11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4"/>
      <c r="V107" s="164"/>
    </row>
    <row r="108" ht="12.75" customHeight="1">
      <c r="A108" s="162"/>
      <c r="B108" s="162"/>
      <c r="C108" s="162"/>
      <c r="D108" s="1"/>
      <c r="E108" s="162"/>
      <c r="F108" s="11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4"/>
      <c r="V108" s="164"/>
    </row>
    <row r="109" ht="12.75" customHeight="1">
      <c r="A109" s="162"/>
      <c r="B109" s="162"/>
      <c r="C109" s="162"/>
      <c r="D109" s="1"/>
      <c r="E109" s="162"/>
      <c r="F109" s="11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4"/>
      <c r="V109" s="164"/>
    </row>
    <row r="110" ht="12.75" customHeight="1">
      <c r="A110" s="162"/>
      <c r="B110" s="162"/>
      <c r="C110" s="162"/>
      <c r="D110" s="1"/>
      <c r="E110" s="162"/>
      <c r="F110" s="11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4"/>
      <c r="V110" s="164"/>
    </row>
    <row r="111" ht="12.75" customHeight="1">
      <c r="A111" s="162"/>
      <c r="B111" s="162"/>
      <c r="C111" s="162"/>
      <c r="D111" s="1"/>
      <c r="E111" s="162"/>
      <c r="F111" s="11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4"/>
      <c r="V111" s="164"/>
    </row>
    <row r="112" ht="12.75" customHeight="1">
      <c r="A112" s="162"/>
      <c r="B112" s="162"/>
      <c r="C112" s="162"/>
      <c r="D112" s="1"/>
      <c r="E112" s="162"/>
      <c r="F112" s="11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4"/>
      <c r="V112" s="164"/>
    </row>
    <row r="113" ht="12.75" customHeight="1">
      <c r="A113" s="162"/>
      <c r="B113" s="162"/>
      <c r="C113" s="162"/>
      <c r="D113" s="1"/>
      <c r="E113" s="162"/>
      <c r="F113" s="11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4"/>
      <c r="V113" s="164"/>
    </row>
    <row r="114" ht="12.75" customHeight="1">
      <c r="A114" s="162"/>
      <c r="B114" s="162"/>
      <c r="C114" s="162"/>
      <c r="D114" s="1"/>
      <c r="E114" s="162"/>
      <c r="F114" s="11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4"/>
      <c r="V114" s="164"/>
    </row>
    <row r="115" ht="12.75" customHeight="1">
      <c r="A115" s="162"/>
      <c r="B115" s="162"/>
      <c r="C115" s="162"/>
      <c r="D115" s="1"/>
      <c r="E115" s="162"/>
      <c r="F115" s="11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4"/>
      <c r="V115" s="164"/>
    </row>
    <row r="116" ht="12.75" customHeight="1">
      <c r="A116" s="162"/>
      <c r="B116" s="162"/>
      <c r="C116" s="162"/>
      <c r="D116" s="1"/>
      <c r="E116" s="162"/>
      <c r="F116" s="11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4"/>
      <c r="V116" s="164"/>
    </row>
    <row r="117" ht="12.75" customHeight="1">
      <c r="A117" s="162"/>
      <c r="B117" s="162"/>
      <c r="C117" s="162"/>
      <c r="D117" s="1"/>
      <c r="E117" s="162"/>
      <c r="F117" s="11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4"/>
      <c r="V117" s="164"/>
    </row>
    <row r="118" ht="12.75" customHeight="1">
      <c r="A118" s="162"/>
      <c r="B118" s="162"/>
      <c r="C118" s="162"/>
      <c r="D118" s="1"/>
      <c r="E118" s="162"/>
      <c r="F118" s="11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4"/>
      <c r="V118" s="164"/>
    </row>
    <row r="119" ht="12.75" customHeight="1">
      <c r="A119" s="162"/>
      <c r="B119" s="162"/>
      <c r="C119" s="162"/>
      <c r="D119" s="1"/>
      <c r="E119" s="162"/>
      <c r="F119" s="11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4"/>
      <c r="V119" s="164"/>
    </row>
    <row r="120" ht="12.75" customHeight="1">
      <c r="A120" s="162"/>
      <c r="B120" s="162"/>
      <c r="C120" s="162"/>
      <c r="D120" s="1"/>
      <c r="E120" s="162"/>
      <c r="F120" s="11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4"/>
      <c r="V120" s="164"/>
    </row>
    <row r="121" ht="12.75" customHeight="1">
      <c r="A121" s="162"/>
      <c r="B121" s="162"/>
      <c r="C121" s="162"/>
      <c r="D121" s="1"/>
      <c r="E121" s="162"/>
      <c r="F121" s="11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4"/>
      <c r="V121" s="164"/>
    </row>
    <row r="122" ht="12.75" customHeight="1">
      <c r="A122" s="162"/>
      <c r="B122" s="162"/>
      <c r="C122" s="162"/>
      <c r="D122" s="1"/>
      <c r="E122" s="162"/>
      <c r="F122" s="11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4"/>
      <c r="V122" s="164"/>
    </row>
    <row r="123" ht="12.75" customHeight="1">
      <c r="A123" s="162"/>
      <c r="B123" s="162"/>
      <c r="C123" s="162"/>
      <c r="D123" s="1"/>
      <c r="E123" s="162"/>
      <c r="F123" s="11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4"/>
      <c r="V123" s="164"/>
    </row>
    <row r="124" ht="12.75" customHeight="1">
      <c r="A124" s="162"/>
      <c r="B124" s="162"/>
      <c r="C124" s="162"/>
      <c r="D124" s="1"/>
      <c r="E124" s="162"/>
      <c r="F124" s="11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4"/>
      <c r="V124" s="164"/>
    </row>
    <row r="125" ht="12.75" customHeight="1">
      <c r="A125" s="162"/>
      <c r="B125" s="162"/>
      <c r="C125" s="162"/>
      <c r="D125" s="1"/>
      <c r="E125" s="162"/>
      <c r="F125" s="11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4"/>
      <c r="V125" s="164"/>
    </row>
    <row r="126" ht="12.75" customHeight="1">
      <c r="A126" s="162"/>
      <c r="B126" s="162"/>
      <c r="C126" s="162"/>
      <c r="D126" s="1"/>
      <c r="E126" s="162"/>
      <c r="F126" s="11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4"/>
      <c r="V126" s="164"/>
    </row>
    <row r="127" ht="12.75" customHeight="1">
      <c r="A127" s="162"/>
      <c r="B127" s="162"/>
      <c r="C127" s="162"/>
      <c r="D127" s="1"/>
      <c r="E127" s="162"/>
      <c r="F127" s="11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4"/>
      <c r="V127" s="164"/>
    </row>
    <row r="128" ht="12.75" customHeight="1">
      <c r="A128" s="162"/>
      <c r="B128" s="162"/>
      <c r="C128" s="162"/>
      <c r="D128" s="1"/>
      <c r="E128" s="162"/>
      <c r="F128" s="11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4"/>
      <c r="V128" s="164"/>
    </row>
    <row r="129" ht="12.75" customHeight="1">
      <c r="A129" s="162"/>
      <c r="B129" s="162"/>
      <c r="C129" s="162"/>
      <c r="D129" s="1"/>
      <c r="E129" s="162"/>
      <c r="F129" s="11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4"/>
      <c r="V129" s="164"/>
    </row>
    <row r="130" ht="12.75" customHeight="1">
      <c r="A130" s="162"/>
      <c r="B130" s="162"/>
      <c r="C130" s="162"/>
      <c r="D130" s="1"/>
      <c r="E130" s="162"/>
      <c r="F130" s="11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4"/>
      <c r="V130" s="164"/>
    </row>
    <row r="131" ht="12.75" customHeight="1">
      <c r="A131" s="162"/>
      <c r="B131" s="162"/>
      <c r="C131" s="162"/>
      <c r="D131" s="1"/>
      <c r="E131" s="162"/>
      <c r="F131" s="11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4"/>
      <c r="V131" s="164"/>
    </row>
    <row r="132" ht="12.75" customHeight="1">
      <c r="A132" s="162"/>
      <c r="B132" s="162"/>
      <c r="C132" s="162"/>
      <c r="D132" s="1"/>
      <c r="E132" s="162"/>
      <c r="F132" s="11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4"/>
      <c r="V132" s="164"/>
    </row>
    <row r="133" ht="12.75" customHeight="1">
      <c r="A133" s="162"/>
      <c r="B133" s="162"/>
      <c r="C133" s="162"/>
      <c r="D133" s="1"/>
      <c r="E133" s="162"/>
      <c r="F133" s="11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4"/>
      <c r="V133" s="164"/>
    </row>
    <row r="134" ht="12.75" customHeight="1">
      <c r="A134" s="162"/>
      <c r="B134" s="162"/>
      <c r="C134" s="162"/>
      <c r="D134" s="1"/>
      <c r="E134" s="162"/>
      <c r="F134" s="11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4"/>
      <c r="V134" s="164"/>
    </row>
    <row r="135" ht="12.75" customHeight="1">
      <c r="A135" s="162"/>
      <c r="B135" s="162"/>
      <c r="C135" s="162"/>
      <c r="D135" s="1"/>
      <c r="E135" s="162"/>
      <c r="F135" s="11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4"/>
      <c r="V135" s="164"/>
    </row>
    <row r="136" ht="12.75" customHeight="1">
      <c r="A136" s="162"/>
      <c r="B136" s="162"/>
      <c r="C136" s="162"/>
      <c r="D136" s="1"/>
      <c r="E136" s="162"/>
      <c r="F136" s="11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4"/>
      <c r="V136" s="164"/>
    </row>
    <row r="137" ht="12.75" customHeight="1">
      <c r="A137" s="162"/>
      <c r="B137" s="162"/>
      <c r="C137" s="162"/>
      <c r="D137" s="1"/>
      <c r="E137" s="162"/>
      <c r="F137" s="11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4"/>
      <c r="V137" s="164"/>
    </row>
    <row r="138" ht="12.75" customHeight="1">
      <c r="A138" s="162"/>
      <c r="B138" s="162"/>
      <c r="C138" s="162"/>
      <c r="D138" s="1"/>
      <c r="E138" s="162"/>
      <c r="F138" s="11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4"/>
      <c r="V138" s="164"/>
    </row>
    <row r="139" ht="12.75" customHeight="1">
      <c r="A139" s="162"/>
      <c r="B139" s="162"/>
      <c r="C139" s="162"/>
      <c r="D139" s="1"/>
      <c r="E139" s="162"/>
      <c r="F139" s="11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4"/>
      <c r="V139" s="164"/>
    </row>
    <row r="140" ht="12.75" customHeight="1">
      <c r="A140" s="162"/>
      <c r="B140" s="162"/>
      <c r="C140" s="162"/>
      <c r="D140" s="1"/>
      <c r="E140" s="162"/>
      <c r="F140" s="11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4"/>
      <c r="V140" s="164"/>
    </row>
    <row r="141" ht="12.75" customHeight="1">
      <c r="A141" s="162"/>
      <c r="B141" s="162"/>
      <c r="C141" s="162"/>
      <c r="D141" s="1"/>
      <c r="E141" s="162"/>
      <c r="F141" s="11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4"/>
      <c r="V141" s="164"/>
    </row>
    <row r="142" ht="12.75" customHeight="1">
      <c r="A142" s="162"/>
      <c r="B142" s="162"/>
      <c r="C142" s="162"/>
      <c r="D142" s="1"/>
      <c r="E142" s="162"/>
      <c r="F142" s="11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4"/>
      <c r="V142" s="164"/>
    </row>
    <row r="143" ht="12.75" customHeight="1">
      <c r="A143" s="162"/>
      <c r="B143" s="162"/>
      <c r="C143" s="162"/>
      <c r="D143" s="1"/>
      <c r="E143" s="162"/>
      <c r="F143" s="11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4"/>
      <c r="V143" s="164"/>
    </row>
    <row r="144" ht="12.75" customHeight="1">
      <c r="A144" s="162"/>
      <c r="B144" s="162"/>
      <c r="C144" s="162"/>
      <c r="D144" s="1"/>
      <c r="E144" s="162"/>
      <c r="F144" s="11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4"/>
      <c r="V144" s="164"/>
    </row>
    <row r="145" ht="12.75" customHeight="1">
      <c r="A145" s="162"/>
      <c r="B145" s="162"/>
      <c r="C145" s="162"/>
      <c r="D145" s="1"/>
      <c r="E145" s="162"/>
      <c r="F145" s="11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4"/>
      <c r="V145" s="164"/>
    </row>
    <row r="146" ht="12.75" customHeight="1">
      <c r="A146" s="162"/>
      <c r="B146" s="162"/>
      <c r="C146" s="162"/>
      <c r="D146" s="1"/>
      <c r="E146" s="162"/>
      <c r="F146" s="11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4"/>
      <c r="V146" s="164"/>
    </row>
    <row r="147" ht="12.75" customHeight="1">
      <c r="A147" s="162"/>
      <c r="B147" s="162"/>
      <c r="C147" s="162"/>
      <c r="D147" s="1"/>
      <c r="E147" s="162"/>
      <c r="F147" s="11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4"/>
      <c r="V147" s="164"/>
    </row>
    <row r="148" ht="12.75" customHeight="1">
      <c r="A148" s="162"/>
      <c r="B148" s="162"/>
      <c r="C148" s="162"/>
      <c r="D148" s="1"/>
      <c r="E148" s="162"/>
      <c r="F148" s="11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4"/>
      <c r="V148" s="164"/>
    </row>
    <row r="149" ht="12.75" customHeight="1">
      <c r="A149" s="162"/>
      <c r="B149" s="162"/>
      <c r="C149" s="162"/>
      <c r="D149" s="1"/>
      <c r="E149" s="162"/>
      <c r="F149" s="11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4"/>
      <c r="V149" s="164"/>
    </row>
    <row r="150" ht="12.75" customHeight="1">
      <c r="A150" s="162"/>
      <c r="B150" s="162"/>
      <c r="C150" s="162"/>
      <c r="D150" s="1"/>
      <c r="E150" s="162"/>
      <c r="F150" s="11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4"/>
      <c r="V150" s="164"/>
    </row>
    <row r="151" ht="12.75" customHeight="1">
      <c r="A151" s="162"/>
      <c r="B151" s="162"/>
      <c r="C151" s="162"/>
      <c r="D151" s="1"/>
      <c r="E151" s="162"/>
      <c r="F151" s="11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4"/>
      <c r="V151" s="164"/>
    </row>
    <row r="152" ht="12.75" customHeight="1">
      <c r="A152" s="162"/>
      <c r="B152" s="162"/>
      <c r="C152" s="162"/>
      <c r="D152" s="1"/>
      <c r="E152" s="162"/>
      <c r="F152" s="11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4"/>
      <c r="V152" s="164"/>
    </row>
    <row r="153" ht="12.75" customHeight="1">
      <c r="A153" s="162"/>
      <c r="B153" s="162"/>
      <c r="C153" s="162"/>
      <c r="D153" s="1"/>
      <c r="E153" s="162"/>
      <c r="F153" s="11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4"/>
      <c r="V153" s="164"/>
    </row>
    <row r="154" ht="12.75" customHeight="1">
      <c r="A154" s="162"/>
      <c r="B154" s="162"/>
      <c r="C154" s="162"/>
      <c r="D154" s="1"/>
      <c r="E154" s="162"/>
      <c r="F154" s="11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4"/>
      <c r="V154" s="164"/>
    </row>
    <row r="155" ht="12.75" customHeight="1">
      <c r="A155" s="162"/>
      <c r="B155" s="162"/>
      <c r="C155" s="162"/>
      <c r="D155" s="1"/>
      <c r="E155" s="162"/>
      <c r="F155" s="11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4"/>
      <c r="V155" s="164"/>
    </row>
    <row r="156" ht="12.75" customHeight="1">
      <c r="A156" s="162"/>
      <c r="B156" s="162"/>
      <c r="C156" s="162"/>
      <c r="D156" s="1"/>
      <c r="E156" s="162"/>
      <c r="F156" s="11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4"/>
      <c r="V156" s="164"/>
    </row>
    <row r="157" ht="12.75" customHeight="1">
      <c r="A157" s="162"/>
      <c r="B157" s="162"/>
      <c r="C157" s="162"/>
      <c r="D157" s="1"/>
      <c r="E157" s="162"/>
      <c r="F157" s="11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4"/>
      <c r="V157" s="164"/>
    </row>
    <row r="158" ht="12.75" customHeight="1">
      <c r="A158" s="162"/>
      <c r="B158" s="162"/>
      <c r="C158" s="162"/>
      <c r="D158" s="1"/>
      <c r="E158" s="162"/>
      <c r="F158" s="11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4"/>
      <c r="V158" s="164"/>
    </row>
    <row r="159" ht="12.75" customHeight="1">
      <c r="A159" s="162"/>
      <c r="B159" s="162"/>
      <c r="C159" s="162"/>
      <c r="D159" s="1"/>
      <c r="E159" s="162"/>
      <c r="F159" s="11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4"/>
      <c r="V159" s="164"/>
    </row>
    <row r="160" ht="12.75" customHeight="1">
      <c r="A160" s="162"/>
      <c r="B160" s="162"/>
      <c r="C160" s="162"/>
      <c r="D160" s="1"/>
      <c r="E160" s="162"/>
      <c r="F160" s="11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4"/>
      <c r="V160" s="164"/>
    </row>
    <row r="161" ht="12.75" customHeight="1">
      <c r="A161" s="162"/>
      <c r="B161" s="162"/>
      <c r="C161" s="162"/>
      <c r="D161" s="1"/>
      <c r="E161" s="162"/>
      <c r="F161" s="11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4"/>
      <c r="V161" s="164"/>
    </row>
    <row r="162" ht="12.75" customHeight="1">
      <c r="A162" s="162"/>
      <c r="B162" s="162"/>
      <c r="C162" s="162"/>
      <c r="D162" s="1"/>
      <c r="E162" s="162"/>
      <c r="F162" s="11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4"/>
      <c r="V162" s="164"/>
    </row>
    <row r="163" ht="12.75" customHeight="1">
      <c r="A163" s="162"/>
      <c r="B163" s="162"/>
      <c r="C163" s="162"/>
      <c r="D163" s="1"/>
      <c r="E163" s="162"/>
      <c r="F163" s="11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4"/>
      <c r="V163" s="164"/>
    </row>
    <row r="164" ht="12.75" customHeight="1">
      <c r="A164" s="162"/>
      <c r="B164" s="162"/>
      <c r="C164" s="162"/>
      <c r="D164" s="1"/>
      <c r="E164" s="162"/>
      <c r="F164" s="11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4"/>
      <c r="V164" s="164"/>
    </row>
    <row r="165" ht="12.75" customHeight="1">
      <c r="A165" s="162"/>
      <c r="B165" s="162"/>
      <c r="C165" s="162"/>
      <c r="D165" s="1"/>
      <c r="E165" s="162"/>
      <c r="F165" s="11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4"/>
      <c r="V165" s="164"/>
    </row>
    <row r="166" ht="12.75" customHeight="1">
      <c r="A166" s="162"/>
      <c r="B166" s="162"/>
      <c r="C166" s="162"/>
      <c r="D166" s="1"/>
      <c r="E166" s="162"/>
      <c r="F166" s="11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4"/>
      <c r="V166" s="164"/>
    </row>
    <row r="167" ht="12.75" customHeight="1">
      <c r="A167" s="162"/>
      <c r="B167" s="162"/>
      <c r="C167" s="162"/>
      <c r="D167" s="1"/>
      <c r="E167" s="162"/>
      <c r="F167" s="11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4"/>
      <c r="V167" s="164"/>
    </row>
    <row r="168" ht="12.75" customHeight="1">
      <c r="A168" s="162"/>
      <c r="B168" s="162"/>
      <c r="C168" s="162"/>
      <c r="D168" s="1"/>
      <c r="E168" s="162"/>
      <c r="F168" s="11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4"/>
      <c r="V168" s="164"/>
    </row>
    <row r="169" ht="12.75" customHeight="1">
      <c r="A169" s="162"/>
      <c r="B169" s="162"/>
      <c r="C169" s="162"/>
      <c r="D169" s="1"/>
      <c r="E169" s="162"/>
      <c r="F169" s="11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4"/>
      <c r="V169" s="164"/>
    </row>
    <row r="170" ht="12.75" customHeight="1">
      <c r="A170" s="162"/>
      <c r="B170" s="162"/>
      <c r="C170" s="162"/>
      <c r="D170" s="1"/>
      <c r="E170" s="162"/>
      <c r="F170" s="11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4"/>
      <c r="V170" s="164"/>
    </row>
    <row r="171" ht="12.75" customHeight="1">
      <c r="A171" s="162"/>
      <c r="B171" s="162"/>
      <c r="C171" s="162"/>
      <c r="D171" s="1"/>
      <c r="E171" s="162"/>
      <c r="F171" s="11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4"/>
      <c r="V171" s="164"/>
    </row>
    <row r="172" ht="12.75" customHeight="1">
      <c r="A172" s="162"/>
      <c r="B172" s="162"/>
      <c r="C172" s="162"/>
      <c r="D172" s="1"/>
      <c r="E172" s="162"/>
      <c r="F172" s="11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4"/>
      <c r="V172" s="164"/>
    </row>
    <row r="173" ht="12.75" customHeight="1">
      <c r="A173" s="162"/>
      <c r="B173" s="162"/>
      <c r="C173" s="162"/>
      <c r="D173" s="1"/>
      <c r="E173" s="162"/>
      <c r="F173" s="11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4"/>
      <c r="V173" s="164"/>
    </row>
    <row r="174" ht="12.75" customHeight="1">
      <c r="A174" s="162"/>
      <c r="B174" s="162"/>
      <c r="C174" s="162"/>
      <c r="D174" s="1"/>
      <c r="E174" s="162"/>
      <c r="F174" s="11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4"/>
      <c r="V174" s="164"/>
    </row>
    <row r="175" ht="12.75" customHeight="1">
      <c r="A175" s="162"/>
      <c r="B175" s="162"/>
      <c r="C175" s="162"/>
      <c r="D175" s="1"/>
      <c r="E175" s="162"/>
      <c r="F175" s="11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4"/>
      <c r="V175" s="164"/>
    </row>
    <row r="176" ht="12.75" customHeight="1">
      <c r="A176" s="162"/>
      <c r="B176" s="162"/>
      <c r="C176" s="162"/>
      <c r="D176" s="1"/>
      <c r="E176" s="162"/>
      <c r="F176" s="11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4"/>
      <c r="V176" s="164"/>
    </row>
    <row r="177" ht="12.75" customHeight="1">
      <c r="A177" s="162"/>
      <c r="B177" s="162"/>
      <c r="C177" s="162"/>
      <c r="D177" s="1"/>
      <c r="E177" s="162"/>
      <c r="F177" s="11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4"/>
      <c r="V177" s="164"/>
    </row>
    <row r="178" ht="12.75" customHeight="1">
      <c r="A178" s="162"/>
      <c r="B178" s="162"/>
      <c r="C178" s="162"/>
      <c r="D178" s="1"/>
      <c r="E178" s="162"/>
      <c r="F178" s="11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4"/>
      <c r="V178" s="164"/>
    </row>
    <row r="179" ht="12.75" customHeight="1">
      <c r="A179" s="162"/>
      <c r="B179" s="162"/>
      <c r="C179" s="162"/>
      <c r="D179" s="1"/>
      <c r="E179" s="162"/>
      <c r="F179" s="11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4"/>
      <c r="V179" s="164"/>
    </row>
    <row r="180" ht="12.75" customHeight="1">
      <c r="A180" s="162"/>
      <c r="B180" s="162"/>
      <c r="C180" s="162"/>
      <c r="D180" s="1"/>
      <c r="E180" s="162"/>
      <c r="F180" s="11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4"/>
      <c r="V180" s="164"/>
    </row>
    <row r="181" ht="12.75" customHeight="1">
      <c r="A181" s="162"/>
      <c r="B181" s="162"/>
      <c r="C181" s="162"/>
      <c r="D181" s="1"/>
      <c r="E181" s="162"/>
      <c r="F181" s="11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4"/>
      <c r="V181" s="164"/>
    </row>
    <row r="182" ht="12.75" customHeight="1">
      <c r="A182" s="162"/>
      <c r="B182" s="162"/>
      <c r="C182" s="162"/>
      <c r="D182" s="1"/>
      <c r="E182" s="162"/>
      <c r="F182" s="11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4"/>
      <c r="V182" s="164"/>
    </row>
    <row r="183" ht="12.75" customHeight="1">
      <c r="A183" s="162"/>
      <c r="B183" s="162"/>
      <c r="C183" s="162"/>
      <c r="D183" s="1"/>
      <c r="E183" s="162"/>
      <c r="F183" s="11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4"/>
      <c r="V183" s="164"/>
    </row>
    <row r="184" ht="12.75" customHeight="1">
      <c r="A184" s="162"/>
      <c r="B184" s="162"/>
      <c r="C184" s="162"/>
      <c r="D184" s="1"/>
      <c r="E184" s="162"/>
      <c r="F184" s="11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4"/>
      <c r="V184" s="164"/>
    </row>
    <row r="185" ht="12.75" customHeight="1">
      <c r="A185" s="162"/>
      <c r="B185" s="162"/>
      <c r="C185" s="162"/>
      <c r="D185" s="1"/>
      <c r="E185" s="162"/>
      <c r="F185" s="11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4"/>
      <c r="V185" s="164"/>
    </row>
    <row r="186" ht="12.75" customHeight="1">
      <c r="A186" s="162"/>
      <c r="B186" s="162"/>
      <c r="C186" s="162"/>
      <c r="D186" s="1"/>
      <c r="E186" s="162"/>
      <c r="F186" s="11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4"/>
      <c r="V186" s="164"/>
    </row>
    <row r="187" ht="12.75" customHeight="1">
      <c r="A187" s="162"/>
      <c r="B187" s="162"/>
      <c r="C187" s="162"/>
      <c r="D187" s="1"/>
      <c r="E187" s="162"/>
      <c r="F187" s="11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4"/>
      <c r="V187" s="164"/>
    </row>
    <row r="188" ht="12.75" customHeight="1">
      <c r="A188" s="162"/>
      <c r="B188" s="162"/>
      <c r="C188" s="162"/>
      <c r="D188" s="1"/>
      <c r="E188" s="162"/>
      <c r="F188" s="11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4"/>
      <c r="V188" s="164"/>
    </row>
    <row r="189" ht="12.75" customHeight="1">
      <c r="A189" s="162"/>
      <c r="B189" s="162"/>
      <c r="C189" s="162"/>
      <c r="D189" s="1"/>
      <c r="E189" s="162"/>
      <c r="F189" s="11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4"/>
      <c r="V189" s="164"/>
    </row>
    <row r="190" ht="12.75" customHeight="1">
      <c r="A190" s="162"/>
      <c r="B190" s="162"/>
      <c r="C190" s="162"/>
      <c r="D190" s="1"/>
      <c r="E190" s="162"/>
      <c r="F190" s="11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4"/>
      <c r="V190" s="164"/>
    </row>
    <row r="191" ht="12.75" customHeight="1">
      <c r="A191" s="162"/>
      <c r="B191" s="162"/>
      <c r="C191" s="162"/>
      <c r="D191" s="1"/>
      <c r="E191" s="162"/>
      <c r="F191" s="11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4"/>
      <c r="V191" s="164"/>
    </row>
    <row r="192" ht="12.75" customHeight="1">
      <c r="A192" s="162"/>
      <c r="B192" s="162"/>
      <c r="C192" s="162"/>
      <c r="D192" s="1"/>
      <c r="E192" s="162"/>
      <c r="F192" s="11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4"/>
      <c r="V192" s="164"/>
    </row>
    <row r="193" ht="12.75" customHeight="1">
      <c r="A193" s="162"/>
      <c r="B193" s="162"/>
      <c r="C193" s="162"/>
      <c r="D193" s="1"/>
      <c r="E193" s="162"/>
      <c r="F193" s="11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4"/>
      <c r="V193" s="164"/>
    </row>
    <row r="194" ht="12.75" customHeight="1">
      <c r="A194" s="162"/>
      <c r="B194" s="162"/>
      <c r="C194" s="162"/>
      <c r="D194" s="1"/>
      <c r="E194" s="162"/>
      <c r="F194" s="11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4"/>
      <c r="V194" s="164"/>
    </row>
    <row r="195" ht="12.75" customHeight="1">
      <c r="A195" s="162"/>
      <c r="B195" s="162"/>
      <c r="C195" s="162"/>
      <c r="D195" s="1"/>
      <c r="E195" s="162"/>
      <c r="F195" s="11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4"/>
      <c r="V195" s="164"/>
    </row>
    <row r="196" ht="12.75" customHeight="1">
      <c r="A196" s="162"/>
      <c r="B196" s="162"/>
      <c r="C196" s="162"/>
      <c r="D196" s="1"/>
      <c r="E196" s="162"/>
      <c r="F196" s="11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4"/>
      <c r="V196" s="164"/>
    </row>
    <row r="197" ht="12.75" customHeight="1">
      <c r="A197" s="162"/>
      <c r="B197" s="162"/>
      <c r="C197" s="162"/>
      <c r="D197" s="1"/>
      <c r="E197" s="162"/>
      <c r="F197" s="11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4"/>
      <c r="V197" s="164"/>
    </row>
    <row r="198" ht="12.75" customHeight="1">
      <c r="A198" s="162"/>
      <c r="B198" s="162"/>
      <c r="C198" s="162"/>
      <c r="D198" s="1"/>
      <c r="E198" s="162"/>
      <c r="F198" s="11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4"/>
      <c r="V198" s="164"/>
    </row>
    <row r="199" ht="12.75" customHeight="1">
      <c r="A199" s="162"/>
      <c r="B199" s="162"/>
      <c r="C199" s="162"/>
      <c r="D199" s="1"/>
      <c r="E199" s="162"/>
      <c r="F199" s="11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4"/>
      <c r="V199" s="164"/>
    </row>
    <row r="200" ht="12.75" customHeight="1">
      <c r="A200" s="162"/>
      <c r="B200" s="162"/>
      <c r="C200" s="162"/>
      <c r="D200" s="1"/>
      <c r="E200" s="162"/>
      <c r="F200" s="11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4"/>
      <c r="V200" s="164"/>
    </row>
    <row r="201" ht="12.75" customHeight="1">
      <c r="A201" s="162"/>
      <c r="B201" s="162"/>
      <c r="C201" s="162"/>
      <c r="D201" s="1"/>
      <c r="E201" s="162"/>
      <c r="F201" s="11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4"/>
      <c r="V201" s="164"/>
    </row>
    <row r="202" ht="12.75" customHeight="1">
      <c r="A202" s="162"/>
      <c r="B202" s="162"/>
      <c r="C202" s="162"/>
      <c r="D202" s="1"/>
      <c r="E202" s="162"/>
      <c r="F202" s="11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4"/>
      <c r="V202" s="164"/>
    </row>
    <row r="203" ht="12.75" customHeight="1">
      <c r="A203" s="162"/>
      <c r="B203" s="162"/>
      <c r="C203" s="162"/>
      <c r="D203" s="1"/>
      <c r="E203" s="162"/>
      <c r="F203" s="11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4"/>
      <c r="V203" s="164"/>
    </row>
    <row r="204" ht="12.75" customHeight="1">
      <c r="A204" s="162"/>
      <c r="B204" s="162"/>
      <c r="C204" s="162"/>
      <c r="D204" s="1"/>
      <c r="E204" s="162"/>
      <c r="F204" s="11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4"/>
      <c r="V204" s="164"/>
    </row>
    <row r="205" ht="12.75" customHeight="1">
      <c r="A205" s="162"/>
      <c r="B205" s="162"/>
      <c r="C205" s="162"/>
      <c r="D205" s="1"/>
      <c r="E205" s="162"/>
      <c r="F205" s="11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4"/>
      <c r="V205" s="164"/>
    </row>
    <row r="206" ht="12.75" customHeight="1">
      <c r="A206" s="162"/>
      <c r="B206" s="162"/>
      <c r="C206" s="162"/>
      <c r="D206" s="1"/>
      <c r="E206" s="162"/>
      <c r="F206" s="11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4"/>
      <c r="V206" s="164"/>
    </row>
    <row r="207" ht="12.75" customHeight="1">
      <c r="A207" s="162"/>
      <c r="B207" s="162"/>
      <c r="C207" s="162"/>
      <c r="D207" s="1"/>
      <c r="E207" s="162"/>
      <c r="F207" s="11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4"/>
      <c r="V207" s="164"/>
    </row>
    <row r="208" ht="12.75" customHeight="1">
      <c r="A208" s="162"/>
      <c r="B208" s="162"/>
      <c r="C208" s="162"/>
      <c r="D208" s="1"/>
      <c r="E208" s="162"/>
      <c r="F208" s="11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4"/>
      <c r="V208" s="164"/>
    </row>
    <row r="209" ht="12.75" customHeight="1">
      <c r="A209" s="162"/>
      <c r="B209" s="162"/>
      <c r="C209" s="162"/>
      <c r="D209" s="1"/>
      <c r="E209" s="162"/>
      <c r="F209" s="11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4"/>
      <c r="V209" s="164"/>
    </row>
    <row r="210" ht="12.75" customHeight="1">
      <c r="A210" s="162"/>
      <c r="B210" s="162"/>
      <c r="C210" s="162"/>
      <c r="D210" s="1"/>
      <c r="E210" s="162"/>
      <c r="F210" s="11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4"/>
      <c r="V210" s="164"/>
    </row>
    <row r="211" ht="12.75" customHeight="1">
      <c r="A211" s="162"/>
      <c r="B211" s="162"/>
      <c r="C211" s="162"/>
      <c r="D211" s="1"/>
      <c r="E211" s="162"/>
      <c r="F211" s="11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4"/>
      <c r="V211" s="164"/>
    </row>
    <row r="212" ht="12.75" customHeight="1">
      <c r="A212" s="162"/>
      <c r="B212" s="162"/>
      <c r="C212" s="162"/>
      <c r="D212" s="1"/>
      <c r="E212" s="162"/>
      <c r="F212" s="11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4"/>
      <c r="V212" s="164"/>
    </row>
    <row r="213" ht="12.75" customHeight="1">
      <c r="A213" s="162"/>
      <c r="B213" s="162"/>
      <c r="C213" s="162"/>
      <c r="D213" s="1"/>
      <c r="E213" s="162"/>
      <c r="F213" s="11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4"/>
      <c r="V213" s="164"/>
    </row>
    <row r="214" ht="12.75" customHeight="1">
      <c r="A214" s="162"/>
      <c r="B214" s="162"/>
      <c r="C214" s="162"/>
      <c r="D214" s="1"/>
      <c r="E214" s="162"/>
      <c r="F214" s="11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4"/>
      <c r="V214" s="164"/>
    </row>
    <row r="215" ht="12.75" customHeight="1">
      <c r="A215" s="162"/>
      <c r="B215" s="162"/>
      <c r="C215" s="162"/>
      <c r="D215" s="1"/>
      <c r="E215" s="162"/>
      <c r="F215" s="11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4"/>
      <c r="V215" s="164"/>
    </row>
    <row r="216" ht="12.75" customHeight="1">
      <c r="A216" s="162"/>
      <c r="B216" s="162"/>
      <c r="C216" s="162"/>
      <c r="D216" s="1"/>
      <c r="E216" s="162"/>
      <c r="F216" s="11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4"/>
      <c r="V216" s="164"/>
    </row>
    <row r="217" ht="12.75" customHeight="1">
      <c r="A217" s="162"/>
      <c r="B217" s="162"/>
      <c r="C217" s="162"/>
      <c r="D217" s="1"/>
      <c r="E217" s="162"/>
      <c r="F217" s="11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4"/>
      <c r="V217" s="164"/>
    </row>
    <row r="218" ht="12.75" customHeight="1">
      <c r="A218" s="162"/>
      <c r="B218" s="162"/>
      <c r="C218" s="162"/>
      <c r="D218" s="1"/>
      <c r="E218" s="162"/>
      <c r="F218" s="11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4"/>
      <c r="V218" s="164"/>
    </row>
    <row r="219" ht="12.75" customHeight="1">
      <c r="A219" s="162"/>
      <c r="B219" s="162"/>
      <c r="C219" s="162"/>
      <c r="D219" s="1"/>
      <c r="E219" s="162"/>
      <c r="F219" s="11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4"/>
      <c r="V219" s="164"/>
    </row>
    <row r="220" ht="12.75" customHeight="1">
      <c r="A220" s="162"/>
      <c r="B220" s="162"/>
      <c r="C220" s="162"/>
      <c r="D220" s="1"/>
      <c r="E220" s="162"/>
      <c r="F220" s="11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4"/>
      <c r="V220" s="164"/>
    </row>
    <row r="221" ht="12.75" customHeight="1">
      <c r="A221" s="162"/>
      <c r="B221" s="162"/>
      <c r="C221" s="162"/>
      <c r="D221" s="1"/>
      <c r="E221" s="162"/>
      <c r="F221" s="11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4"/>
      <c r="V221" s="164"/>
    </row>
    <row r="222" ht="12.75" customHeight="1">
      <c r="A222" s="162"/>
      <c r="B222" s="162"/>
      <c r="C222" s="162"/>
      <c r="D222" s="1"/>
      <c r="E222" s="162"/>
      <c r="F222" s="11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4"/>
      <c r="V222" s="164"/>
    </row>
    <row r="223" ht="12.75" customHeight="1">
      <c r="A223" s="162"/>
      <c r="B223" s="162"/>
      <c r="C223" s="162"/>
      <c r="D223" s="1"/>
      <c r="E223" s="162"/>
      <c r="F223" s="11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4"/>
      <c r="V223" s="164"/>
    </row>
    <row r="224" ht="12.75" customHeight="1">
      <c r="A224" s="162"/>
      <c r="B224" s="162"/>
      <c r="C224" s="162"/>
      <c r="D224" s="1"/>
      <c r="E224" s="162"/>
      <c r="F224" s="11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4"/>
      <c r="V224" s="164"/>
    </row>
    <row r="225" ht="12.75" customHeight="1">
      <c r="A225" s="162"/>
      <c r="B225" s="162"/>
      <c r="C225" s="162"/>
      <c r="D225" s="1"/>
      <c r="E225" s="162"/>
      <c r="F225" s="11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4"/>
      <c r="V225" s="164"/>
    </row>
    <row r="226" ht="12.75" customHeight="1">
      <c r="A226" s="162"/>
      <c r="B226" s="162"/>
      <c r="C226" s="162"/>
      <c r="D226" s="1"/>
      <c r="E226" s="162"/>
      <c r="F226" s="11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4"/>
      <c r="V226" s="164"/>
    </row>
    <row r="227" ht="12.75" customHeight="1">
      <c r="A227" s="162"/>
      <c r="B227" s="162"/>
      <c r="C227" s="162"/>
      <c r="D227" s="1"/>
      <c r="E227" s="162"/>
      <c r="F227" s="11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4"/>
      <c r="V227" s="164"/>
    </row>
    <row r="228" ht="12.75" customHeight="1">
      <c r="A228" s="162"/>
      <c r="B228" s="162"/>
      <c r="C228" s="162"/>
      <c r="D228" s="1"/>
      <c r="E228" s="162"/>
      <c r="F228" s="11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4"/>
      <c r="V228" s="164"/>
    </row>
    <row r="229" ht="12.75" customHeight="1">
      <c r="A229" s="162"/>
      <c r="B229" s="162"/>
      <c r="C229" s="162"/>
      <c r="D229" s="1"/>
      <c r="E229" s="162"/>
      <c r="F229" s="11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4"/>
      <c r="V229" s="164"/>
    </row>
    <row r="230" ht="12.75" customHeight="1">
      <c r="A230" s="162"/>
      <c r="B230" s="162"/>
      <c r="C230" s="162"/>
      <c r="D230" s="1"/>
      <c r="E230" s="162"/>
      <c r="F230" s="11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4"/>
      <c r="V230" s="164"/>
    </row>
    <row r="231" ht="12.75" customHeight="1">
      <c r="A231" s="162"/>
      <c r="B231" s="162"/>
      <c r="C231" s="162"/>
      <c r="D231" s="1"/>
      <c r="E231" s="162"/>
      <c r="F231" s="11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4"/>
      <c r="V231" s="164"/>
    </row>
    <row r="232" ht="12.75" customHeight="1">
      <c r="A232" s="162"/>
      <c r="B232" s="162"/>
      <c r="C232" s="162"/>
      <c r="D232" s="1"/>
      <c r="E232" s="162"/>
      <c r="F232" s="11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4"/>
      <c r="V232" s="164"/>
    </row>
    <row r="233" ht="12.75" customHeight="1">
      <c r="A233" s="162"/>
      <c r="B233" s="162"/>
      <c r="C233" s="162"/>
      <c r="D233" s="1"/>
      <c r="E233" s="162"/>
      <c r="F233" s="11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4"/>
      <c r="V233" s="164"/>
    </row>
    <row r="234" ht="12.75" customHeight="1">
      <c r="A234" s="162"/>
      <c r="B234" s="162"/>
      <c r="C234" s="162"/>
      <c r="D234" s="1"/>
      <c r="E234" s="162"/>
      <c r="F234" s="11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4"/>
      <c r="V234" s="164"/>
    </row>
    <row r="235" ht="12.75" customHeight="1">
      <c r="A235" s="162"/>
      <c r="B235" s="162"/>
      <c r="C235" s="162"/>
      <c r="D235" s="1"/>
      <c r="E235" s="162"/>
      <c r="F235" s="11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4"/>
      <c r="V235" s="164"/>
    </row>
    <row r="236" ht="12.75" customHeight="1">
      <c r="A236" s="162"/>
      <c r="B236" s="162"/>
      <c r="C236" s="162"/>
      <c r="D236" s="1"/>
      <c r="E236" s="162"/>
      <c r="F236" s="11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4"/>
      <c r="V236" s="164"/>
    </row>
    <row r="237" ht="12.75" customHeight="1">
      <c r="A237" s="162"/>
      <c r="B237" s="162"/>
      <c r="C237" s="162"/>
      <c r="D237" s="1"/>
      <c r="E237" s="162"/>
      <c r="F237" s="11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4"/>
      <c r="V237" s="164"/>
    </row>
    <row r="238" ht="12.75" customHeight="1">
      <c r="A238" s="162"/>
      <c r="B238" s="162"/>
      <c r="C238" s="162"/>
      <c r="D238" s="1"/>
      <c r="E238" s="162"/>
      <c r="F238" s="11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4"/>
      <c r="V238" s="164"/>
    </row>
    <row r="239" ht="12.75" customHeight="1">
      <c r="A239" s="162"/>
      <c r="B239" s="162"/>
      <c r="C239" s="162"/>
      <c r="D239" s="1"/>
      <c r="E239" s="162"/>
      <c r="F239" s="11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4"/>
      <c r="V239" s="164"/>
    </row>
    <row r="240" ht="12.75" customHeight="1">
      <c r="A240" s="162"/>
      <c r="B240" s="162"/>
      <c r="C240" s="162"/>
      <c r="D240" s="1"/>
      <c r="E240" s="162"/>
      <c r="F240" s="11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4"/>
      <c r="V240" s="164"/>
    </row>
    <row r="241" ht="12.75" customHeight="1">
      <c r="A241" s="162"/>
      <c r="B241" s="162"/>
      <c r="C241" s="162"/>
      <c r="D241" s="1"/>
      <c r="E241" s="162"/>
      <c r="F241" s="11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4"/>
      <c r="V241" s="164"/>
    </row>
    <row r="242" ht="12.75" customHeight="1">
      <c r="A242" s="162"/>
      <c r="B242" s="162"/>
      <c r="C242" s="162"/>
      <c r="D242" s="1"/>
      <c r="E242" s="162"/>
      <c r="F242" s="11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4"/>
      <c r="V242" s="164"/>
    </row>
    <row r="243" ht="12.75" customHeight="1">
      <c r="A243" s="162"/>
      <c r="B243" s="162"/>
      <c r="C243" s="162"/>
      <c r="D243" s="1"/>
      <c r="E243" s="162"/>
      <c r="F243" s="11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4"/>
      <c r="V243" s="164"/>
    </row>
    <row r="244" ht="12.75" customHeight="1">
      <c r="A244" s="162"/>
      <c r="B244" s="162"/>
      <c r="C244" s="162"/>
      <c r="D244" s="1"/>
      <c r="E244" s="162"/>
      <c r="F244" s="11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4"/>
      <c r="V244" s="164"/>
    </row>
    <row r="245" ht="12.75" customHeight="1">
      <c r="A245" s="162"/>
      <c r="B245" s="162"/>
      <c r="C245" s="162"/>
      <c r="D245" s="1"/>
      <c r="E245" s="162"/>
      <c r="F245" s="11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4"/>
      <c r="V245" s="164"/>
    </row>
    <row r="246" ht="12.75" customHeight="1">
      <c r="A246" s="162"/>
      <c r="B246" s="162"/>
      <c r="C246" s="162"/>
      <c r="D246" s="1"/>
      <c r="E246" s="162"/>
      <c r="F246" s="11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4"/>
      <c r="V246" s="164"/>
    </row>
    <row r="247" ht="12.75" customHeight="1">
      <c r="A247" s="162"/>
      <c r="B247" s="162"/>
      <c r="C247" s="162"/>
      <c r="D247" s="1"/>
      <c r="E247" s="162"/>
      <c r="F247" s="11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4"/>
      <c r="V247" s="164"/>
    </row>
    <row r="248" ht="12.75" customHeight="1">
      <c r="A248" s="162"/>
      <c r="B248" s="162"/>
      <c r="C248" s="162"/>
      <c r="D248" s="1"/>
      <c r="E248" s="162"/>
      <c r="F248" s="11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4"/>
      <c r="V248" s="164"/>
    </row>
    <row r="249" ht="12.75" customHeight="1">
      <c r="A249" s="162"/>
      <c r="B249" s="162"/>
      <c r="C249" s="162"/>
      <c r="D249" s="1"/>
      <c r="E249" s="162"/>
      <c r="F249" s="11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4"/>
      <c r="V249" s="164"/>
    </row>
    <row r="250" ht="12.75" customHeight="1">
      <c r="A250" s="162"/>
      <c r="B250" s="162"/>
      <c r="C250" s="162"/>
      <c r="D250" s="1"/>
      <c r="E250" s="162"/>
      <c r="F250" s="11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4"/>
      <c r="V250" s="164"/>
    </row>
    <row r="251" ht="12.75" customHeight="1">
      <c r="A251" s="162"/>
      <c r="B251" s="162"/>
      <c r="C251" s="162"/>
      <c r="D251" s="1"/>
      <c r="E251" s="162"/>
      <c r="F251" s="11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4"/>
      <c r="V251" s="164"/>
    </row>
    <row r="252" ht="12.75" customHeight="1">
      <c r="A252" s="162"/>
      <c r="B252" s="162"/>
      <c r="C252" s="162"/>
      <c r="D252" s="1"/>
      <c r="E252" s="162"/>
      <c r="F252" s="11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4"/>
      <c r="V252" s="164"/>
    </row>
    <row r="253" ht="12.75" customHeight="1">
      <c r="A253" s="162"/>
      <c r="B253" s="162"/>
      <c r="C253" s="162"/>
      <c r="D253" s="1"/>
      <c r="E253" s="162"/>
      <c r="F253" s="11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4"/>
      <c r="V253" s="164"/>
    </row>
    <row r="254" ht="12.75" customHeight="1">
      <c r="A254" s="162"/>
      <c r="B254" s="162"/>
      <c r="C254" s="162"/>
      <c r="D254" s="1"/>
      <c r="E254" s="162"/>
      <c r="F254" s="11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4"/>
      <c r="V254" s="164"/>
    </row>
    <row r="255" ht="12.75" customHeight="1">
      <c r="A255" s="162"/>
      <c r="B255" s="162"/>
      <c r="C255" s="162"/>
      <c r="D255" s="1"/>
      <c r="E255" s="162"/>
      <c r="F255" s="11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4"/>
      <c r="V255" s="164"/>
    </row>
    <row r="256" ht="12.75" customHeight="1">
      <c r="A256" s="162"/>
      <c r="B256" s="162"/>
      <c r="C256" s="162"/>
      <c r="D256" s="1"/>
      <c r="E256" s="162"/>
      <c r="F256" s="1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4"/>
      <c r="V256" s="164"/>
    </row>
    <row r="257" ht="12.75" customHeight="1">
      <c r="A257" s="162"/>
      <c r="B257" s="162"/>
      <c r="C257" s="162"/>
      <c r="D257" s="1"/>
      <c r="E257" s="162"/>
      <c r="F257" s="11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4"/>
      <c r="V257" s="164"/>
    </row>
    <row r="258" ht="12.75" customHeight="1">
      <c r="A258" s="162"/>
      <c r="B258" s="162"/>
      <c r="C258" s="162"/>
      <c r="D258" s="1"/>
      <c r="E258" s="162"/>
      <c r="F258" s="11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4"/>
      <c r="V258" s="164"/>
    </row>
    <row r="259" ht="12.75" customHeight="1">
      <c r="A259" s="162"/>
      <c r="B259" s="162"/>
      <c r="C259" s="162"/>
      <c r="D259" s="1"/>
      <c r="E259" s="162"/>
      <c r="F259" s="11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4"/>
      <c r="V259" s="164"/>
    </row>
    <row r="260" ht="12.75" customHeight="1">
      <c r="A260" s="162"/>
      <c r="B260" s="162"/>
      <c r="C260" s="162"/>
      <c r="D260" s="1"/>
      <c r="E260" s="162"/>
      <c r="F260" s="11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4"/>
      <c r="V260" s="164"/>
    </row>
    <row r="261" ht="12.75" customHeight="1">
      <c r="A261" s="162"/>
      <c r="B261" s="162"/>
      <c r="C261" s="162"/>
      <c r="D261" s="1"/>
      <c r="E261" s="162"/>
      <c r="F261" s="11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4"/>
      <c r="V261" s="164"/>
    </row>
    <row r="262" ht="12.75" customHeight="1">
      <c r="A262" s="162"/>
      <c r="B262" s="162"/>
      <c r="C262" s="162"/>
      <c r="D262" s="1"/>
      <c r="E262" s="162"/>
      <c r="F262" s="11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4"/>
      <c r="V262" s="164"/>
    </row>
    <row r="263" ht="12.75" customHeight="1">
      <c r="A263" s="162"/>
      <c r="B263" s="162"/>
      <c r="C263" s="162"/>
      <c r="D263" s="1"/>
      <c r="E263" s="162"/>
      <c r="F263" s="11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4"/>
      <c r="V263" s="164"/>
    </row>
    <row r="264" ht="12.75" customHeight="1">
      <c r="A264" s="162"/>
      <c r="B264" s="162"/>
      <c r="C264" s="162"/>
      <c r="D264" s="1"/>
      <c r="E264" s="162"/>
      <c r="F264" s="11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4"/>
      <c r="V264" s="164"/>
    </row>
    <row r="265" ht="12.75" customHeight="1">
      <c r="A265" s="162"/>
      <c r="B265" s="162"/>
      <c r="C265" s="162"/>
      <c r="D265" s="1"/>
      <c r="E265" s="162"/>
      <c r="F265" s="11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4"/>
      <c r="V265" s="164"/>
    </row>
    <row r="266" ht="12.75" customHeight="1">
      <c r="A266" s="162"/>
      <c r="B266" s="162"/>
      <c r="C266" s="162"/>
      <c r="D266" s="1"/>
      <c r="E266" s="162"/>
      <c r="F266" s="11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4"/>
      <c r="V266" s="164"/>
    </row>
    <row r="267" ht="12.75" customHeight="1">
      <c r="A267" s="162"/>
      <c r="B267" s="162"/>
      <c r="C267" s="162"/>
      <c r="D267" s="1"/>
      <c r="E267" s="162"/>
      <c r="F267" s="11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4"/>
      <c r="V267" s="164"/>
    </row>
    <row r="268" ht="12.75" customHeight="1">
      <c r="A268" s="162"/>
      <c r="B268" s="162"/>
      <c r="C268" s="162"/>
      <c r="D268" s="1"/>
      <c r="E268" s="162"/>
      <c r="F268" s="11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4"/>
      <c r="V268" s="164"/>
    </row>
    <row r="269" ht="12.75" customHeight="1">
      <c r="A269" s="162"/>
      <c r="B269" s="162"/>
      <c r="C269" s="162"/>
      <c r="D269" s="1"/>
      <c r="E269" s="162"/>
      <c r="F269" s="11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4"/>
      <c r="V269" s="164"/>
    </row>
    <row r="270" ht="12.75" customHeight="1">
      <c r="A270" s="162"/>
      <c r="B270" s="162"/>
      <c r="C270" s="162"/>
      <c r="D270" s="1"/>
      <c r="E270" s="162"/>
      <c r="F270" s="11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4"/>
      <c r="V270" s="164"/>
    </row>
    <row r="271" ht="12.75" customHeight="1">
      <c r="A271" s="162"/>
      <c r="B271" s="162"/>
      <c r="C271" s="162"/>
      <c r="D271" s="1"/>
      <c r="E271" s="162"/>
      <c r="F271" s="11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4"/>
      <c r="V271" s="164"/>
    </row>
    <row r="272" ht="12.75" customHeight="1">
      <c r="A272" s="162"/>
      <c r="B272" s="162"/>
      <c r="C272" s="162"/>
      <c r="D272" s="1"/>
      <c r="E272" s="162"/>
      <c r="F272" s="11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4"/>
      <c r="V272" s="164"/>
    </row>
    <row r="273" ht="12.75" customHeight="1">
      <c r="A273" s="162"/>
      <c r="B273" s="162"/>
      <c r="C273" s="162"/>
      <c r="D273" s="1"/>
      <c r="E273" s="162"/>
      <c r="F273" s="11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4"/>
      <c r="V273" s="164"/>
    </row>
    <row r="274" ht="12.75" customHeight="1">
      <c r="A274" s="162"/>
      <c r="B274" s="162"/>
      <c r="C274" s="162"/>
      <c r="D274" s="1"/>
      <c r="E274" s="162"/>
      <c r="F274" s="11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4"/>
      <c r="V274" s="164"/>
    </row>
    <row r="275" ht="12.75" customHeight="1">
      <c r="A275" s="162"/>
      <c r="B275" s="162"/>
      <c r="C275" s="162"/>
      <c r="D275" s="1"/>
      <c r="E275" s="162"/>
      <c r="F275" s="11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4"/>
      <c r="V275" s="164"/>
    </row>
    <row r="276" ht="12.75" customHeight="1">
      <c r="A276" s="162"/>
      <c r="B276" s="162"/>
      <c r="C276" s="162"/>
      <c r="D276" s="1"/>
      <c r="E276" s="162"/>
      <c r="F276" s="11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4"/>
      <c r="V276" s="164"/>
    </row>
    <row r="277" ht="12.75" customHeight="1">
      <c r="A277" s="162"/>
      <c r="B277" s="162"/>
      <c r="C277" s="162"/>
      <c r="D277" s="1"/>
      <c r="E277" s="162"/>
      <c r="F277" s="11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4"/>
      <c r="V277" s="164"/>
    </row>
    <row r="278" ht="12.75" customHeight="1">
      <c r="A278" s="162"/>
      <c r="B278" s="162"/>
      <c r="C278" s="162"/>
      <c r="D278" s="1"/>
      <c r="E278" s="162"/>
      <c r="F278" s="11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4"/>
      <c r="V278" s="164"/>
    </row>
    <row r="279" ht="12.75" customHeight="1">
      <c r="A279" s="162"/>
      <c r="B279" s="162"/>
      <c r="C279" s="162"/>
      <c r="D279" s="1"/>
      <c r="E279" s="162"/>
      <c r="F279" s="11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4"/>
      <c r="V279" s="164"/>
    </row>
    <row r="280" ht="12.75" customHeight="1">
      <c r="A280" s="162"/>
      <c r="B280" s="162"/>
      <c r="C280" s="162"/>
      <c r="D280" s="1"/>
      <c r="E280" s="162"/>
      <c r="F280" s="11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4"/>
      <c r="V280" s="164"/>
    </row>
    <row r="281" ht="12.75" customHeight="1">
      <c r="A281" s="162"/>
      <c r="B281" s="162"/>
      <c r="C281" s="162"/>
      <c r="D281" s="1"/>
      <c r="E281" s="162"/>
      <c r="F281" s="11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4"/>
      <c r="V281" s="164"/>
    </row>
    <row r="282" ht="12.75" customHeight="1">
      <c r="A282" s="162"/>
      <c r="B282" s="162"/>
      <c r="C282" s="162"/>
      <c r="D282" s="1"/>
      <c r="E282" s="162"/>
      <c r="F282" s="11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4"/>
      <c r="V282" s="164"/>
    </row>
    <row r="283" ht="12.75" customHeight="1">
      <c r="A283" s="162"/>
      <c r="B283" s="162"/>
      <c r="C283" s="162"/>
      <c r="D283" s="1"/>
      <c r="E283" s="162"/>
      <c r="F283" s="11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4"/>
      <c r="V283" s="164"/>
    </row>
    <row r="284" ht="12.75" customHeight="1">
      <c r="A284" s="162"/>
      <c r="B284" s="162"/>
      <c r="C284" s="162"/>
      <c r="D284" s="1"/>
      <c r="E284" s="162"/>
      <c r="F284" s="11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4"/>
      <c r="V284" s="164"/>
    </row>
    <row r="285" ht="12.75" customHeight="1">
      <c r="A285" s="162"/>
      <c r="B285" s="162"/>
      <c r="C285" s="162"/>
      <c r="D285" s="1"/>
      <c r="E285" s="162"/>
      <c r="F285" s="11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4"/>
      <c r="V285" s="164"/>
    </row>
    <row r="286" ht="12.75" customHeight="1">
      <c r="A286" s="162"/>
      <c r="B286" s="162"/>
      <c r="C286" s="162"/>
      <c r="D286" s="1"/>
      <c r="E286" s="162"/>
      <c r="F286" s="11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4"/>
      <c r="V286" s="164"/>
    </row>
    <row r="287" ht="12.75" customHeight="1">
      <c r="A287" s="162"/>
      <c r="B287" s="162"/>
      <c r="C287" s="162"/>
      <c r="D287" s="1"/>
      <c r="E287" s="162"/>
      <c r="F287" s="11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4"/>
      <c r="V287" s="164"/>
    </row>
    <row r="288" ht="12.75" customHeight="1">
      <c r="A288" s="162"/>
      <c r="B288" s="162"/>
      <c r="C288" s="162"/>
      <c r="D288" s="1"/>
      <c r="E288" s="162"/>
      <c r="F288" s="11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4"/>
      <c r="V288" s="164"/>
    </row>
    <row r="289" ht="12.75" customHeight="1">
      <c r="A289" s="162"/>
      <c r="B289" s="162"/>
      <c r="C289" s="162"/>
      <c r="D289" s="1"/>
      <c r="E289" s="162"/>
      <c r="F289" s="11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4"/>
      <c r="V289" s="164"/>
    </row>
    <row r="290" ht="12.75" customHeight="1">
      <c r="A290" s="162"/>
      <c r="B290" s="162"/>
      <c r="C290" s="162"/>
      <c r="D290" s="1"/>
      <c r="E290" s="162"/>
      <c r="F290" s="11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4"/>
      <c r="V290" s="164"/>
    </row>
    <row r="291" ht="12.75" customHeight="1">
      <c r="A291" s="162"/>
      <c r="B291" s="162"/>
      <c r="C291" s="162"/>
      <c r="D291" s="1"/>
      <c r="E291" s="162"/>
      <c r="F291" s="11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4"/>
      <c r="V291" s="164"/>
    </row>
    <row r="292" ht="12.75" customHeight="1">
      <c r="A292" s="162"/>
      <c r="B292" s="162"/>
      <c r="C292" s="162"/>
      <c r="D292" s="1"/>
      <c r="E292" s="162"/>
      <c r="F292" s="11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4"/>
      <c r="V292" s="164"/>
    </row>
    <row r="293" ht="12.75" customHeight="1">
      <c r="A293" s="162"/>
      <c r="B293" s="162"/>
      <c r="C293" s="162"/>
      <c r="D293" s="1"/>
      <c r="E293" s="162"/>
      <c r="F293" s="11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4"/>
      <c r="V293" s="164"/>
    </row>
    <row r="294" ht="12.75" customHeight="1">
      <c r="A294" s="162"/>
      <c r="B294" s="162"/>
      <c r="C294" s="162"/>
      <c r="D294" s="1"/>
      <c r="E294" s="162"/>
      <c r="F294" s="11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4"/>
      <c r="V294" s="164"/>
    </row>
    <row r="295" ht="12.75" customHeight="1">
      <c r="A295" s="162"/>
      <c r="B295" s="162"/>
      <c r="C295" s="162"/>
      <c r="D295" s="1"/>
      <c r="E295" s="162"/>
      <c r="F295" s="11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4"/>
      <c r="V295" s="164"/>
    </row>
    <row r="296" ht="12.75" customHeight="1">
      <c r="A296" s="162"/>
      <c r="B296" s="162"/>
      <c r="C296" s="162"/>
      <c r="D296" s="1"/>
      <c r="E296" s="162"/>
      <c r="F296" s="11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4"/>
      <c r="V296" s="164"/>
    </row>
    <row r="297" ht="12.75" customHeight="1">
      <c r="A297" s="162"/>
      <c r="B297" s="162"/>
      <c r="C297" s="162"/>
      <c r="D297" s="1"/>
      <c r="E297" s="162"/>
      <c r="F297" s="11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4"/>
      <c r="V297" s="164"/>
    </row>
    <row r="298" ht="12.75" customHeight="1">
      <c r="A298" s="162"/>
      <c r="B298" s="162"/>
      <c r="C298" s="162"/>
      <c r="D298" s="1"/>
      <c r="E298" s="162"/>
      <c r="F298" s="11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4"/>
      <c r="V298" s="164"/>
    </row>
    <row r="299" ht="12.75" customHeight="1">
      <c r="A299" s="162"/>
      <c r="B299" s="162"/>
      <c r="C299" s="162"/>
      <c r="D299" s="1"/>
      <c r="E299" s="162"/>
      <c r="F299" s="11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4"/>
      <c r="V299" s="164"/>
    </row>
    <row r="300" ht="12.75" customHeight="1">
      <c r="A300" s="162"/>
      <c r="B300" s="162"/>
      <c r="C300" s="162"/>
      <c r="D300" s="1"/>
      <c r="E300" s="162"/>
      <c r="F300" s="11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4"/>
      <c r="V300" s="164"/>
    </row>
    <row r="301" ht="12.75" customHeight="1">
      <c r="A301" s="162"/>
      <c r="B301" s="162"/>
      <c r="C301" s="162"/>
      <c r="D301" s="1"/>
      <c r="E301" s="162"/>
      <c r="F301" s="11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4"/>
      <c r="V301" s="164"/>
    </row>
    <row r="302" ht="12.75" customHeight="1">
      <c r="A302" s="162"/>
      <c r="B302" s="162"/>
      <c r="C302" s="162"/>
      <c r="D302" s="1"/>
      <c r="E302" s="162"/>
      <c r="F302" s="11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4"/>
      <c r="V302" s="164"/>
    </row>
    <row r="303" ht="12.75" customHeight="1">
      <c r="A303" s="162"/>
      <c r="B303" s="162"/>
      <c r="C303" s="162"/>
      <c r="D303" s="1"/>
      <c r="E303" s="162"/>
      <c r="F303" s="11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4"/>
      <c r="V303" s="164"/>
    </row>
    <row r="304" ht="12.75" customHeight="1">
      <c r="A304" s="162"/>
      <c r="B304" s="162"/>
      <c r="C304" s="162"/>
      <c r="D304" s="1"/>
      <c r="E304" s="162"/>
      <c r="F304" s="11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4"/>
      <c r="V304" s="164"/>
    </row>
    <row r="305" ht="12.75" customHeight="1">
      <c r="A305" s="162"/>
      <c r="B305" s="162"/>
      <c r="C305" s="162"/>
      <c r="D305" s="1"/>
      <c r="E305" s="162"/>
      <c r="F305" s="11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4"/>
      <c r="V305" s="164"/>
    </row>
    <row r="306" ht="12.75" customHeight="1">
      <c r="A306" s="162"/>
      <c r="B306" s="162"/>
      <c r="C306" s="162"/>
      <c r="D306" s="1"/>
      <c r="E306" s="162"/>
      <c r="F306" s="11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4"/>
      <c r="V306" s="164"/>
    </row>
    <row r="307" ht="12.75" customHeight="1">
      <c r="A307" s="162"/>
      <c r="B307" s="162"/>
      <c r="C307" s="162"/>
      <c r="D307" s="1"/>
      <c r="E307" s="162"/>
      <c r="F307" s="11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4"/>
      <c r="V307" s="164"/>
    </row>
    <row r="308" ht="12.75" customHeight="1">
      <c r="A308" s="162"/>
      <c r="B308" s="162"/>
      <c r="C308" s="162"/>
      <c r="D308" s="1"/>
      <c r="E308" s="162"/>
      <c r="F308" s="11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4"/>
      <c r="V308" s="164"/>
    </row>
    <row r="309" ht="12.75" customHeight="1">
      <c r="A309" s="162"/>
      <c r="B309" s="162"/>
      <c r="C309" s="162"/>
      <c r="D309" s="1"/>
      <c r="E309" s="162"/>
      <c r="F309" s="11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4"/>
      <c r="V309" s="164"/>
    </row>
    <row r="310" ht="12.75" customHeight="1">
      <c r="A310" s="162"/>
      <c r="B310" s="162"/>
      <c r="C310" s="162"/>
      <c r="D310" s="1"/>
      <c r="E310" s="162"/>
      <c r="F310" s="11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4"/>
      <c r="V310" s="164"/>
    </row>
    <row r="311" ht="12.75" customHeight="1">
      <c r="A311" s="162"/>
      <c r="B311" s="162"/>
      <c r="C311" s="162"/>
      <c r="D311" s="1"/>
      <c r="E311" s="162"/>
      <c r="F311" s="11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4"/>
      <c r="V311" s="164"/>
    </row>
    <row r="312" ht="12.75" customHeight="1">
      <c r="A312" s="162"/>
      <c r="B312" s="162"/>
      <c r="C312" s="162"/>
      <c r="D312" s="1"/>
      <c r="E312" s="162"/>
      <c r="F312" s="11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4"/>
      <c r="V312" s="164"/>
    </row>
    <row r="313" ht="12.75" customHeight="1">
      <c r="A313" s="162"/>
      <c r="B313" s="162"/>
      <c r="C313" s="162"/>
      <c r="D313" s="1"/>
      <c r="E313" s="162"/>
      <c r="F313" s="11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4"/>
      <c r="V313" s="164"/>
    </row>
    <row r="314" ht="12.75" customHeight="1">
      <c r="A314" s="162"/>
      <c r="B314" s="162"/>
      <c r="C314" s="162"/>
      <c r="D314" s="1"/>
      <c r="E314" s="162"/>
      <c r="F314" s="11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4"/>
      <c r="V314" s="164"/>
    </row>
    <row r="315" ht="12.75" customHeight="1">
      <c r="A315" s="162"/>
      <c r="B315" s="162"/>
      <c r="C315" s="162"/>
      <c r="D315" s="1"/>
      <c r="E315" s="162"/>
      <c r="F315" s="11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4"/>
      <c r="V315" s="164"/>
    </row>
    <row r="316" ht="12.75" customHeight="1">
      <c r="A316" s="162"/>
      <c r="B316" s="162"/>
      <c r="C316" s="162"/>
      <c r="D316" s="1"/>
      <c r="E316" s="162"/>
      <c r="F316" s="11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4"/>
      <c r="V316" s="164"/>
    </row>
    <row r="317" ht="12.75" customHeight="1">
      <c r="A317" s="162"/>
      <c r="B317" s="162"/>
      <c r="C317" s="162"/>
      <c r="D317" s="1"/>
      <c r="E317" s="162"/>
      <c r="F317" s="11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4"/>
      <c r="V317" s="164"/>
    </row>
    <row r="318" ht="12.75" customHeight="1">
      <c r="A318" s="162"/>
      <c r="B318" s="162"/>
      <c r="C318" s="162"/>
      <c r="D318" s="1"/>
      <c r="E318" s="162"/>
      <c r="F318" s="11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4"/>
      <c r="V318" s="164"/>
    </row>
    <row r="319" ht="12.75" customHeight="1">
      <c r="A319" s="162"/>
      <c r="B319" s="162"/>
      <c r="C319" s="162"/>
      <c r="D319" s="1"/>
      <c r="E319" s="162"/>
      <c r="F319" s="11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4"/>
      <c r="V319" s="164"/>
    </row>
    <row r="320" ht="12.75" customHeight="1">
      <c r="A320" s="162"/>
      <c r="B320" s="162"/>
      <c r="C320" s="162"/>
      <c r="D320" s="1"/>
      <c r="E320" s="162"/>
      <c r="F320" s="11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4"/>
      <c r="V320" s="164"/>
    </row>
    <row r="321" ht="12.75" customHeight="1">
      <c r="A321" s="162"/>
      <c r="B321" s="162"/>
      <c r="C321" s="162"/>
      <c r="D321" s="1"/>
      <c r="E321" s="162"/>
      <c r="F321" s="11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4"/>
      <c r="V321" s="164"/>
    </row>
    <row r="322" ht="12.75" customHeight="1">
      <c r="A322" s="162"/>
      <c r="B322" s="162"/>
      <c r="C322" s="162"/>
      <c r="D322" s="1"/>
      <c r="E322" s="162"/>
      <c r="F322" s="11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4"/>
      <c r="V322" s="164"/>
    </row>
    <row r="323" ht="12.75" customHeight="1">
      <c r="A323" s="162"/>
      <c r="B323" s="162"/>
      <c r="C323" s="162"/>
      <c r="D323" s="1"/>
      <c r="E323" s="162"/>
      <c r="F323" s="11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4"/>
      <c r="V323" s="164"/>
    </row>
    <row r="324" ht="12.75" customHeight="1">
      <c r="A324" s="162"/>
      <c r="B324" s="162"/>
      <c r="C324" s="162"/>
      <c r="D324" s="1"/>
      <c r="E324" s="162"/>
      <c r="F324" s="11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4"/>
      <c r="V324" s="164"/>
    </row>
    <row r="325" ht="12.75" customHeight="1">
      <c r="A325" s="162"/>
      <c r="B325" s="162"/>
      <c r="C325" s="162"/>
      <c r="D325" s="1"/>
      <c r="E325" s="162"/>
      <c r="F325" s="11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4"/>
      <c r="V325" s="164"/>
    </row>
    <row r="326" ht="12.75" customHeight="1">
      <c r="A326" s="162"/>
      <c r="B326" s="162"/>
      <c r="C326" s="162"/>
      <c r="D326" s="1"/>
      <c r="E326" s="162"/>
      <c r="F326" s="11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4"/>
      <c r="V326" s="164"/>
    </row>
    <row r="327" ht="12.75" customHeight="1">
      <c r="A327" s="162"/>
      <c r="B327" s="162"/>
      <c r="C327" s="162"/>
      <c r="D327" s="1"/>
      <c r="E327" s="162"/>
      <c r="F327" s="11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4"/>
      <c r="V327" s="164"/>
    </row>
    <row r="328" ht="12.75" customHeight="1">
      <c r="A328" s="162"/>
      <c r="B328" s="162"/>
      <c r="C328" s="162"/>
      <c r="D328" s="1"/>
      <c r="E328" s="162"/>
      <c r="F328" s="11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4"/>
      <c r="V328" s="164"/>
    </row>
    <row r="329" ht="12.75" customHeight="1">
      <c r="A329" s="162"/>
      <c r="B329" s="162"/>
      <c r="C329" s="162"/>
      <c r="D329" s="1"/>
      <c r="E329" s="162"/>
      <c r="F329" s="11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4"/>
      <c r="V329" s="164"/>
    </row>
    <row r="330" ht="12.75" customHeight="1">
      <c r="A330" s="162"/>
      <c r="B330" s="162"/>
      <c r="C330" s="162"/>
      <c r="D330" s="1"/>
      <c r="E330" s="162"/>
      <c r="F330" s="11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4"/>
      <c r="V330" s="164"/>
    </row>
    <row r="331" ht="12.75" customHeight="1">
      <c r="A331" s="162"/>
      <c r="B331" s="162"/>
      <c r="C331" s="162"/>
      <c r="D331" s="1"/>
      <c r="E331" s="162"/>
      <c r="F331" s="11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4"/>
      <c r="V331" s="164"/>
    </row>
    <row r="332" ht="12.75" customHeight="1">
      <c r="A332" s="162"/>
      <c r="B332" s="162"/>
      <c r="C332" s="162"/>
      <c r="D332" s="1"/>
      <c r="E332" s="162"/>
      <c r="F332" s="11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4"/>
      <c r="V332" s="164"/>
    </row>
    <row r="333" ht="12.75" customHeight="1">
      <c r="A333" s="162"/>
      <c r="B333" s="162"/>
      <c r="C333" s="162"/>
      <c r="D333" s="1"/>
      <c r="E333" s="162"/>
      <c r="F333" s="11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4"/>
      <c r="V333" s="164"/>
    </row>
    <row r="334" ht="12.75" customHeight="1">
      <c r="A334" s="162"/>
      <c r="B334" s="162"/>
      <c r="C334" s="162"/>
      <c r="D334" s="1"/>
      <c r="E334" s="162"/>
      <c r="F334" s="11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4"/>
      <c r="V334" s="164"/>
    </row>
    <row r="335" ht="12.75" customHeight="1">
      <c r="A335" s="162"/>
      <c r="B335" s="162"/>
      <c r="C335" s="162"/>
      <c r="D335" s="1"/>
      <c r="E335" s="162"/>
      <c r="F335" s="11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4"/>
      <c r="V335" s="164"/>
    </row>
    <row r="336" ht="12.75" customHeight="1">
      <c r="A336" s="162"/>
      <c r="B336" s="162"/>
      <c r="C336" s="162"/>
      <c r="D336" s="1"/>
      <c r="E336" s="162"/>
      <c r="F336" s="11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4"/>
      <c r="V336" s="164"/>
    </row>
    <row r="337" ht="12.75" customHeight="1">
      <c r="A337" s="162"/>
      <c r="B337" s="162"/>
      <c r="C337" s="162"/>
      <c r="D337" s="1"/>
      <c r="E337" s="162"/>
      <c r="F337" s="11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4"/>
      <c r="V337" s="164"/>
    </row>
    <row r="338" ht="12.75" customHeight="1">
      <c r="A338" s="162"/>
      <c r="B338" s="162"/>
      <c r="C338" s="162"/>
      <c r="D338" s="1"/>
      <c r="E338" s="162"/>
      <c r="F338" s="11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4"/>
      <c r="V338" s="164"/>
    </row>
    <row r="339" ht="12.75" customHeight="1">
      <c r="A339" s="162"/>
      <c r="B339" s="162"/>
      <c r="C339" s="162"/>
      <c r="D339" s="1"/>
      <c r="E339" s="162"/>
      <c r="F339" s="11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4"/>
      <c r="V339" s="164"/>
    </row>
    <row r="340" ht="12.75" customHeight="1">
      <c r="A340" s="162"/>
      <c r="B340" s="162"/>
      <c r="C340" s="162"/>
      <c r="D340" s="1"/>
      <c r="E340" s="162"/>
      <c r="F340" s="11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4"/>
      <c r="V340" s="164"/>
    </row>
    <row r="341" ht="12.75" customHeight="1">
      <c r="A341" s="162"/>
      <c r="B341" s="162"/>
      <c r="C341" s="162"/>
      <c r="D341" s="1"/>
      <c r="E341" s="162"/>
      <c r="F341" s="11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4"/>
      <c r="V341" s="164"/>
    </row>
    <row r="342" ht="12.75" customHeight="1">
      <c r="A342" s="162"/>
      <c r="B342" s="162"/>
      <c r="C342" s="162"/>
      <c r="D342" s="1"/>
      <c r="E342" s="162"/>
      <c r="F342" s="11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4"/>
      <c r="V342" s="164"/>
    </row>
    <row r="343" ht="12.75" customHeight="1">
      <c r="A343" s="162"/>
      <c r="B343" s="162"/>
      <c r="C343" s="162"/>
      <c r="D343" s="1"/>
      <c r="E343" s="162"/>
      <c r="F343" s="11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4"/>
      <c r="V343" s="164"/>
    </row>
    <row r="344" ht="12.75" customHeight="1">
      <c r="A344" s="162"/>
      <c r="B344" s="162"/>
      <c r="C344" s="162"/>
      <c r="D344" s="1"/>
      <c r="E344" s="162"/>
      <c r="F344" s="11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4"/>
      <c r="V344" s="164"/>
    </row>
    <row r="345" ht="12.75" customHeight="1">
      <c r="A345" s="162"/>
      <c r="B345" s="162"/>
      <c r="C345" s="162"/>
      <c r="D345" s="1"/>
      <c r="E345" s="162"/>
      <c r="F345" s="11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4"/>
      <c r="V345" s="164"/>
    </row>
    <row r="346" ht="12.75" customHeight="1">
      <c r="A346" s="162"/>
      <c r="B346" s="162"/>
      <c r="C346" s="162"/>
      <c r="D346" s="1"/>
      <c r="E346" s="162"/>
      <c r="F346" s="11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4"/>
      <c r="V346" s="164"/>
    </row>
    <row r="347" ht="12.75" customHeight="1">
      <c r="A347" s="162"/>
      <c r="B347" s="162"/>
      <c r="C347" s="162"/>
      <c r="D347" s="1"/>
      <c r="E347" s="162"/>
      <c r="F347" s="11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4"/>
      <c r="V347" s="164"/>
    </row>
    <row r="348" ht="12.75" customHeight="1">
      <c r="A348" s="162"/>
      <c r="B348" s="162"/>
      <c r="C348" s="162"/>
      <c r="D348" s="1"/>
      <c r="E348" s="162"/>
      <c r="F348" s="11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4"/>
      <c r="V348" s="164"/>
    </row>
    <row r="349" ht="12.75" customHeight="1">
      <c r="A349" s="162"/>
      <c r="B349" s="162"/>
      <c r="C349" s="162"/>
      <c r="D349" s="1"/>
      <c r="E349" s="162"/>
      <c r="F349" s="11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4"/>
      <c r="V349" s="164"/>
    </row>
    <row r="350" ht="12.75" customHeight="1">
      <c r="A350" s="162"/>
      <c r="B350" s="162"/>
      <c r="C350" s="162"/>
      <c r="D350" s="1"/>
      <c r="E350" s="162"/>
      <c r="F350" s="11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4"/>
      <c r="V350" s="164"/>
    </row>
    <row r="351" ht="12.75" customHeight="1">
      <c r="A351" s="162"/>
      <c r="B351" s="162"/>
      <c r="C351" s="162"/>
      <c r="D351" s="1"/>
      <c r="E351" s="162"/>
      <c r="F351" s="11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4"/>
      <c r="V351" s="164"/>
    </row>
    <row r="352" ht="12.75" customHeight="1">
      <c r="A352" s="162"/>
      <c r="B352" s="162"/>
      <c r="C352" s="162"/>
      <c r="D352" s="1"/>
      <c r="E352" s="162"/>
      <c r="F352" s="11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4"/>
      <c r="V352" s="164"/>
    </row>
    <row r="353" ht="12.75" customHeight="1">
      <c r="A353" s="162"/>
      <c r="B353" s="162"/>
      <c r="C353" s="162"/>
      <c r="D353" s="1"/>
      <c r="E353" s="162"/>
      <c r="F353" s="11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4"/>
      <c r="V353" s="164"/>
    </row>
    <row r="354" ht="12.75" customHeight="1">
      <c r="A354" s="162"/>
      <c r="B354" s="162"/>
      <c r="C354" s="162"/>
      <c r="D354" s="1"/>
      <c r="E354" s="162"/>
      <c r="F354" s="11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4"/>
      <c r="V354" s="164"/>
    </row>
    <row r="355" ht="12.75" customHeight="1">
      <c r="A355" s="162"/>
      <c r="B355" s="162"/>
      <c r="C355" s="162"/>
      <c r="D355" s="1"/>
      <c r="E355" s="162"/>
      <c r="F355" s="11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4"/>
      <c r="V355" s="164"/>
    </row>
    <row r="356" ht="12.75" customHeight="1">
      <c r="A356" s="162"/>
      <c r="B356" s="162"/>
      <c r="C356" s="162"/>
      <c r="D356" s="1"/>
      <c r="E356" s="162"/>
      <c r="F356" s="11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4"/>
      <c r="V356" s="164"/>
    </row>
    <row r="357" ht="12.75" customHeight="1">
      <c r="A357" s="162"/>
      <c r="B357" s="162"/>
      <c r="C357" s="162"/>
      <c r="D357" s="1"/>
      <c r="E357" s="162"/>
      <c r="F357" s="11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4"/>
      <c r="V357" s="164"/>
    </row>
    <row r="358" ht="12.75" customHeight="1">
      <c r="A358" s="162"/>
      <c r="B358" s="162"/>
      <c r="C358" s="162"/>
      <c r="D358" s="1"/>
      <c r="E358" s="162"/>
      <c r="F358" s="11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4"/>
      <c r="V358" s="164"/>
    </row>
    <row r="359" ht="12.75" customHeight="1">
      <c r="A359" s="162"/>
      <c r="B359" s="162"/>
      <c r="C359" s="162"/>
      <c r="D359" s="1"/>
      <c r="E359" s="162"/>
      <c r="F359" s="11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4"/>
      <c r="V359" s="164"/>
    </row>
    <row r="360" ht="12.75" customHeight="1">
      <c r="A360" s="162"/>
      <c r="B360" s="162"/>
      <c r="C360" s="162"/>
      <c r="D360" s="1"/>
      <c r="E360" s="162"/>
      <c r="F360" s="11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4"/>
      <c r="V360" s="164"/>
    </row>
    <row r="361" ht="12.75" customHeight="1">
      <c r="A361" s="162"/>
      <c r="B361" s="162"/>
      <c r="C361" s="162"/>
      <c r="D361" s="1"/>
      <c r="E361" s="162"/>
      <c r="F361" s="11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4"/>
      <c r="V361" s="164"/>
    </row>
    <row r="362" ht="12.75" customHeight="1">
      <c r="A362" s="162"/>
      <c r="B362" s="162"/>
      <c r="C362" s="162"/>
      <c r="D362" s="1"/>
      <c r="E362" s="162"/>
      <c r="F362" s="11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4"/>
      <c r="V362" s="164"/>
    </row>
    <row r="363" ht="12.75" customHeight="1">
      <c r="A363" s="162"/>
      <c r="B363" s="162"/>
      <c r="C363" s="162"/>
      <c r="D363" s="1"/>
      <c r="E363" s="162"/>
      <c r="F363" s="11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4"/>
      <c r="V363" s="164"/>
    </row>
    <row r="364" ht="12.75" customHeight="1">
      <c r="A364" s="162"/>
      <c r="B364" s="162"/>
      <c r="C364" s="162"/>
      <c r="D364" s="1"/>
      <c r="E364" s="162"/>
      <c r="F364" s="11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4"/>
      <c r="V364" s="164"/>
    </row>
    <row r="365" ht="12.75" customHeight="1">
      <c r="A365" s="162"/>
      <c r="B365" s="162"/>
      <c r="C365" s="162"/>
      <c r="D365" s="1"/>
      <c r="E365" s="162"/>
      <c r="F365" s="11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4"/>
      <c r="V365" s="164"/>
    </row>
    <row r="366" ht="12.75" customHeight="1">
      <c r="A366" s="162"/>
      <c r="B366" s="162"/>
      <c r="C366" s="162"/>
      <c r="D366" s="1"/>
      <c r="E366" s="162"/>
      <c r="F366" s="11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4"/>
      <c r="V366" s="164"/>
    </row>
    <row r="367" ht="12.75" customHeight="1">
      <c r="A367" s="162"/>
      <c r="B367" s="162"/>
      <c r="C367" s="162"/>
      <c r="D367" s="1"/>
      <c r="E367" s="162"/>
      <c r="F367" s="11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4"/>
      <c r="V367" s="164"/>
    </row>
    <row r="368" ht="12.75" customHeight="1">
      <c r="A368" s="162"/>
      <c r="B368" s="162"/>
      <c r="C368" s="162"/>
      <c r="D368" s="1"/>
      <c r="E368" s="162"/>
      <c r="F368" s="11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4"/>
      <c r="V368" s="164"/>
    </row>
    <row r="369" ht="12.75" customHeight="1">
      <c r="A369" s="162"/>
      <c r="B369" s="162"/>
      <c r="C369" s="162"/>
      <c r="D369" s="1"/>
      <c r="E369" s="162"/>
      <c r="F369" s="11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4"/>
      <c r="V369" s="164"/>
    </row>
    <row r="370" ht="12.75" customHeight="1">
      <c r="A370" s="162"/>
      <c r="B370" s="162"/>
      <c r="C370" s="162"/>
      <c r="D370" s="1"/>
      <c r="E370" s="162"/>
      <c r="F370" s="11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4"/>
      <c r="V370" s="164"/>
    </row>
    <row r="371" ht="12.75" customHeight="1">
      <c r="A371" s="162"/>
      <c r="B371" s="162"/>
      <c r="C371" s="162"/>
      <c r="D371" s="1"/>
      <c r="E371" s="162"/>
      <c r="F371" s="11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4"/>
      <c r="V371" s="164"/>
    </row>
    <row r="372" ht="12.75" customHeight="1">
      <c r="A372" s="162"/>
      <c r="B372" s="162"/>
      <c r="C372" s="162"/>
      <c r="D372" s="1"/>
      <c r="E372" s="162"/>
      <c r="F372" s="11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4"/>
      <c r="V372" s="164"/>
    </row>
    <row r="373" ht="12.75" customHeight="1">
      <c r="A373" s="162"/>
      <c r="B373" s="162"/>
      <c r="C373" s="162"/>
      <c r="D373" s="1"/>
      <c r="E373" s="162"/>
      <c r="F373" s="11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4"/>
      <c r="V373" s="164"/>
    </row>
    <row r="374" ht="12.75" customHeight="1">
      <c r="A374" s="162"/>
      <c r="B374" s="162"/>
      <c r="C374" s="162"/>
      <c r="D374" s="1"/>
      <c r="E374" s="162"/>
      <c r="F374" s="11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4"/>
      <c r="V374" s="164"/>
    </row>
    <row r="375" ht="12.75" customHeight="1">
      <c r="A375" s="162"/>
      <c r="B375" s="162"/>
      <c r="C375" s="162"/>
      <c r="D375" s="1"/>
      <c r="E375" s="162"/>
      <c r="F375" s="11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4"/>
      <c r="V375" s="164"/>
    </row>
    <row r="376" ht="12.75" customHeight="1">
      <c r="A376" s="162"/>
      <c r="B376" s="162"/>
      <c r="C376" s="162"/>
      <c r="D376" s="1"/>
      <c r="E376" s="162"/>
      <c r="F376" s="11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4"/>
      <c r="V376" s="164"/>
    </row>
    <row r="377" ht="12.75" customHeight="1">
      <c r="A377" s="162"/>
      <c r="B377" s="162"/>
      <c r="C377" s="162"/>
      <c r="D377" s="1"/>
      <c r="E377" s="162"/>
      <c r="F377" s="11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4"/>
      <c r="V377" s="164"/>
    </row>
    <row r="378" ht="12.75" customHeight="1">
      <c r="A378" s="162"/>
      <c r="B378" s="162"/>
      <c r="C378" s="162"/>
      <c r="D378" s="1"/>
      <c r="E378" s="162"/>
      <c r="F378" s="11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4"/>
      <c r="V378" s="164"/>
    </row>
    <row r="379" ht="12.75" customHeight="1">
      <c r="A379" s="162"/>
      <c r="B379" s="162"/>
      <c r="C379" s="162"/>
      <c r="D379" s="1"/>
      <c r="E379" s="162"/>
      <c r="F379" s="11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4"/>
      <c r="V379" s="164"/>
    </row>
    <row r="380" ht="12.75" customHeight="1">
      <c r="A380" s="162"/>
      <c r="B380" s="162"/>
      <c r="C380" s="162"/>
      <c r="D380" s="1"/>
      <c r="E380" s="162"/>
      <c r="F380" s="11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4"/>
      <c r="V380" s="164"/>
    </row>
    <row r="381" ht="12.75" customHeight="1">
      <c r="A381" s="162"/>
      <c r="B381" s="162"/>
      <c r="C381" s="162"/>
      <c r="D381" s="1"/>
      <c r="E381" s="162"/>
      <c r="F381" s="11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4"/>
      <c r="V381" s="164"/>
    </row>
    <row r="382" ht="12.75" customHeight="1">
      <c r="A382" s="162"/>
      <c r="B382" s="162"/>
      <c r="C382" s="162"/>
      <c r="D382" s="1"/>
      <c r="E382" s="162"/>
      <c r="F382" s="11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4"/>
      <c r="V382" s="164"/>
    </row>
    <row r="383" ht="12.75" customHeight="1">
      <c r="A383" s="162"/>
      <c r="B383" s="162"/>
      <c r="C383" s="162"/>
      <c r="D383" s="1"/>
      <c r="E383" s="162"/>
      <c r="F383" s="11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4"/>
      <c r="V383" s="164"/>
    </row>
    <row r="384" ht="12.75" customHeight="1">
      <c r="A384" s="162"/>
      <c r="B384" s="162"/>
      <c r="C384" s="162"/>
      <c r="D384" s="1"/>
      <c r="E384" s="162"/>
      <c r="F384" s="11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4"/>
      <c r="V384" s="164"/>
    </row>
    <row r="385" ht="12.75" customHeight="1">
      <c r="A385" s="162"/>
      <c r="B385" s="162"/>
      <c r="C385" s="162"/>
      <c r="D385" s="1"/>
      <c r="E385" s="162"/>
      <c r="F385" s="11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4"/>
      <c r="V385" s="164"/>
    </row>
    <row r="386" ht="12.75" customHeight="1">
      <c r="A386" s="162"/>
      <c r="B386" s="162"/>
      <c r="C386" s="162"/>
      <c r="D386" s="1"/>
      <c r="E386" s="162"/>
      <c r="F386" s="11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4"/>
      <c r="V386" s="164"/>
    </row>
    <row r="387" ht="12.75" customHeight="1">
      <c r="A387" s="162"/>
      <c r="B387" s="162"/>
      <c r="C387" s="162"/>
      <c r="D387" s="1"/>
      <c r="E387" s="162"/>
      <c r="F387" s="11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4"/>
      <c r="V387" s="164"/>
    </row>
    <row r="388" ht="12.75" customHeight="1">
      <c r="A388" s="162"/>
      <c r="B388" s="162"/>
      <c r="C388" s="162"/>
      <c r="D388" s="1"/>
      <c r="E388" s="162"/>
      <c r="F388" s="11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4"/>
      <c r="V388" s="164"/>
    </row>
    <row r="389" ht="12.75" customHeight="1">
      <c r="A389" s="162"/>
      <c r="B389" s="162"/>
      <c r="C389" s="162"/>
      <c r="D389" s="1"/>
      <c r="E389" s="162"/>
      <c r="F389" s="11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4"/>
      <c r="V389" s="164"/>
    </row>
    <row r="390" ht="12.75" customHeight="1">
      <c r="A390" s="162"/>
      <c r="B390" s="162"/>
      <c r="C390" s="162"/>
      <c r="D390" s="1"/>
      <c r="E390" s="162"/>
      <c r="F390" s="11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4"/>
      <c r="V390" s="164"/>
    </row>
    <row r="391" ht="12.75" customHeight="1">
      <c r="A391" s="162"/>
      <c r="B391" s="162"/>
      <c r="C391" s="162"/>
      <c r="D391" s="1"/>
      <c r="E391" s="162"/>
      <c r="F391" s="11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4"/>
      <c r="V391" s="164"/>
    </row>
    <row r="392" ht="12.75" customHeight="1">
      <c r="A392" s="162"/>
      <c r="B392" s="162"/>
      <c r="C392" s="162"/>
      <c r="D392" s="1"/>
      <c r="E392" s="162"/>
      <c r="F392" s="11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4"/>
      <c r="V392" s="164"/>
    </row>
    <row r="393" ht="12.75" customHeight="1">
      <c r="A393" s="162"/>
      <c r="B393" s="162"/>
      <c r="C393" s="162"/>
      <c r="D393" s="1"/>
      <c r="E393" s="162"/>
      <c r="F393" s="11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4"/>
      <c r="V393" s="164"/>
    </row>
    <row r="394" ht="12.75" customHeight="1">
      <c r="A394" s="162"/>
      <c r="B394" s="162"/>
      <c r="C394" s="162"/>
      <c r="D394" s="1"/>
      <c r="E394" s="162"/>
      <c r="F394" s="11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4"/>
      <c r="V394" s="164"/>
    </row>
    <row r="395" ht="12.75" customHeight="1">
      <c r="A395" s="162"/>
      <c r="B395" s="162"/>
      <c r="C395" s="162"/>
      <c r="D395" s="1"/>
      <c r="E395" s="162"/>
      <c r="F395" s="11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4"/>
      <c r="V395" s="164"/>
    </row>
    <row r="396" ht="12.75" customHeight="1">
      <c r="A396" s="162"/>
      <c r="B396" s="162"/>
      <c r="C396" s="162"/>
      <c r="D396" s="1"/>
      <c r="E396" s="162"/>
      <c r="F396" s="11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4"/>
      <c r="V396" s="164"/>
    </row>
    <row r="397" ht="12.75" customHeight="1">
      <c r="A397" s="162"/>
      <c r="B397" s="162"/>
      <c r="C397" s="162"/>
      <c r="D397" s="1"/>
      <c r="E397" s="162"/>
      <c r="F397" s="11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4"/>
      <c r="V397" s="164"/>
    </row>
    <row r="398" ht="12.75" customHeight="1">
      <c r="A398" s="162"/>
      <c r="B398" s="162"/>
      <c r="C398" s="162"/>
      <c r="D398" s="1"/>
      <c r="E398" s="162"/>
      <c r="F398" s="11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4"/>
      <c r="V398" s="164"/>
    </row>
    <row r="399" ht="12.75" customHeight="1">
      <c r="A399" s="162"/>
      <c r="B399" s="162"/>
      <c r="C399" s="162"/>
      <c r="D399" s="1"/>
      <c r="E399" s="162"/>
      <c r="F399" s="11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4"/>
      <c r="V399" s="164"/>
    </row>
    <row r="400" ht="12.75" customHeight="1">
      <c r="A400" s="162"/>
      <c r="B400" s="162"/>
      <c r="C400" s="162"/>
      <c r="D400" s="1"/>
      <c r="E400" s="162"/>
      <c r="F400" s="11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4"/>
      <c r="V400" s="164"/>
    </row>
    <row r="401" ht="12.75" customHeight="1">
      <c r="A401" s="162"/>
      <c r="B401" s="162"/>
      <c r="C401" s="162"/>
      <c r="D401" s="1"/>
      <c r="E401" s="162"/>
      <c r="F401" s="11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4"/>
      <c r="V401" s="164"/>
    </row>
    <row r="402" ht="12.75" customHeight="1">
      <c r="A402" s="162"/>
      <c r="B402" s="162"/>
      <c r="C402" s="162"/>
      <c r="D402" s="1"/>
      <c r="E402" s="162"/>
      <c r="F402" s="11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4"/>
      <c r="V402" s="164"/>
    </row>
    <row r="403" ht="12.75" customHeight="1">
      <c r="A403" s="162"/>
      <c r="B403" s="162"/>
      <c r="C403" s="162"/>
      <c r="D403" s="1"/>
      <c r="E403" s="162"/>
      <c r="F403" s="11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4"/>
      <c r="V403" s="164"/>
    </row>
    <row r="404" ht="12.75" customHeight="1">
      <c r="A404" s="162"/>
      <c r="B404" s="162"/>
      <c r="C404" s="162"/>
      <c r="D404" s="1"/>
      <c r="E404" s="162"/>
      <c r="F404" s="11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4"/>
      <c r="V404" s="164"/>
    </row>
    <row r="405" ht="12.75" customHeight="1">
      <c r="A405" s="162"/>
      <c r="B405" s="162"/>
      <c r="C405" s="162"/>
      <c r="D405" s="1"/>
      <c r="E405" s="162"/>
      <c r="F405" s="11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4"/>
      <c r="V405" s="164"/>
    </row>
    <row r="406" ht="12.75" customHeight="1">
      <c r="A406" s="162"/>
      <c r="B406" s="162"/>
      <c r="C406" s="162"/>
      <c r="D406" s="1"/>
      <c r="E406" s="162"/>
      <c r="F406" s="11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4"/>
      <c r="V406" s="164"/>
    </row>
    <row r="407" ht="12.75" customHeight="1">
      <c r="A407" s="162"/>
      <c r="B407" s="162"/>
      <c r="C407" s="162"/>
      <c r="D407" s="1"/>
      <c r="E407" s="162"/>
      <c r="F407" s="11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4"/>
      <c r="V407" s="164"/>
    </row>
    <row r="408" ht="12.75" customHeight="1">
      <c r="A408" s="162"/>
      <c r="B408" s="162"/>
      <c r="C408" s="162"/>
      <c r="D408" s="1"/>
      <c r="E408" s="162"/>
      <c r="F408" s="11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4"/>
      <c r="V408" s="164"/>
    </row>
    <row r="409" ht="12.75" customHeight="1">
      <c r="A409" s="162"/>
      <c r="B409" s="162"/>
      <c r="C409" s="162"/>
      <c r="D409" s="1"/>
      <c r="E409" s="162"/>
      <c r="F409" s="11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4"/>
      <c r="V409" s="164"/>
    </row>
    <row r="410" ht="12.75" customHeight="1">
      <c r="A410" s="162"/>
      <c r="B410" s="162"/>
      <c r="C410" s="162"/>
      <c r="D410" s="1"/>
      <c r="E410" s="162"/>
      <c r="F410" s="11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4"/>
      <c r="V410" s="164"/>
    </row>
    <row r="411" ht="12.75" customHeight="1">
      <c r="A411" s="162"/>
      <c r="B411" s="162"/>
      <c r="C411" s="162"/>
      <c r="D411" s="1"/>
      <c r="E411" s="162"/>
      <c r="F411" s="11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4"/>
      <c r="V411" s="164"/>
    </row>
    <row r="412" ht="12.75" customHeight="1">
      <c r="A412" s="162"/>
      <c r="B412" s="162"/>
      <c r="C412" s="162"/>
      <c r="D412" s="1"/>
      <c r="E412" s="162"/>
      <c r="F412" s="11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4"/>
      <c r="V412" s="164"/>
    </row>
    <row r="413" ht="12.75" customHeight="1">
      <c r="A413" s="162"/>
      <c r="B413" s="162"/>
      <c r="C413" s="162"/>
      <c r="D413" s="1"/>
      <c r="E413" s="162"/>
      <c r="F413" s="11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4"/>
      <c r="V413" s="164"/>
    </row>
    <row r="414" ht="12.75" customHeight="1">
      <c r="A414" s="162"/>
      <c r="B414" s="162"/>
      <c r="C414" s="162"/>
      <c r="D414" s="1"/>
      <c r="E414" s="162"/>
      <c r="F414" s="11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4"/>
      <c r="V414" s="164"/>
    </row>
    <row r="415" ht="12.75" customHeight="1">
      <c r="A415" s="162"/>
      <c r="B415" s="162"/>
      <c r="C415" s="162"/>
      <c r="D415" s="1"/>
      <c r="E415" s="162"/>
      <c r="F415" s="11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4"/>
      <c r="V415" s="164"/>
    </row>
    <row r="416" ht="12.75" customHeight="1">
      <c r="A416" s="162"/>
      <c r="B416" s="162"/>
      <c r="C416" s="162"/>
      <c r="D416" s="1"/>
      <c r="E416" s="162"/>
      <c r="F416" s="11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4"/>
      <c r="V416" s="164"/>
    </row>
    <row r="417" ht="12.75" customHeight="1">
      <c r="A417" s="162"/>
      <c r="B417" s="162"/>
      <c r="C417" s="162"/>
      <c r="D417" s="1"/>
      <c r="E417" s="162"/>
      <c r="F417" s="11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4"/>
      <c r="V417" s="164"/>
    </row>
    <row r="418" ht="12.75" customHeight="1">
      <c r="A418" s="162"/>
      <c r="B418" s="162"/>
      <c r="C418" s="162"/>
      <c r="D418" s="1"/>
      <c r="E418" s="162"/>
      <c r="F418" s="11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4"/>
      <c r="V418" s="164"/>
    </row>
    <row r="419" ht="12.75" customHeight="1">
      <c r="A419" s="162"/>
      <c r="B419" s="162"/>
      <c r="C419" s="162"/>
      <c r="D419" s="1"/>
      <c r="E419" s="162"/>
      <c r="F419" s="11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4"/>
      <c r="V419" s="164"/>
    </row>
    <row r="420" ht="12.75" customHeight="1">
      <c r="A420" s="162"/>
      <c r="B420" s="162"/>
      <c r="C420" s="162"/>
      <c r="D420" s="1"/>
      <c r="E420" s="162"/>
      <c r="F420" s="11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4"/>
      <c r="V420" s="164"/>
    </row>
    <row r="421" ht="12.75" customHeight="1">
      <c r="A421" s="162"/>
      <c r="B421" s="162"/>
      <c r="C421" s="162"/>
      <c r="D421" s="1"/>
      <c r="E421" s="162"/>
      <c r="F421" s="11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4"/>
      <c r="V421" s="164"/>
    </row>
    <row r="422" ht="12.75" customHeight="1">
      <c r="A422" s="162"/>
      <c r="B422" s="162"/>
      <c r="C422" s="162"/>
      <c r="D422" s="1"/>
      <c r="E422" s="162"/>
      <c r="F422" s="11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4"/>
      <c r="V422" s="164"/>
    </row>
    <row r="423" ht="12.75" customHeight="1">
      <c r="A423" s="162"/>
      <c r="B423" s="162"/>
      <c r="C423" s="162"/>
      <c r="D423" s="1"/>
      <c r="E423" s="162"/>
      <c r="F423" s="11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4"/>
      <c r="V423" s="164"/>
    </row>
    <row r="424" ht="12.75" customHeight="1">
      <c r="A424" s="162"/>
      <c r="B424" s="162"/>
      <c r="C424" s="162"/>
      <c r="D424" s="1"/>
      <c r="E424" s="162"/>
      <c r="F424" s="11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4"/>
      <c r="V424" s="164"/>
    </row>
    <row r="425" ht="12.75" customHeight="1">
      <c r="A425" s="162"/>
      <c r="B425" s="162"/>
      <c r="C425" s="162"/>
      <c r="D425" s="1"/>
      <c r="E425" s="162"/>
      <c r="F425" s="11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4"/>
      <c r="V425" s="164"/>
    </row>
    <row r="426" ht="12.75" customHeight="1">
      <c r="A426" s="162"/>
      <c r="B426" s="162"/>
      <c r="C426" s="162"/>
      <c r="D426" s="1"/>
      <c r="E426" s="162"/>
      <c r="F426" s="11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4"/>
      <c r="V426" s="164"/>
    </row>
    <row r="427" ht="12.75" customHeight="1">
      <c r="A427" s="162"/>
      <c r="B427" s="162"/>
      <c r="C427" s="162"/>
      <c r="D427" s="1"/>
      <c r="E427" s="162"/>
      <c r="F427" s="11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4"/>
      <c r="V427" s="164"/>
    </row>
    <row r="428" ht="12.75" customHeight="1">
      <c r="A428" s="162"/>
      <c r="B428" s="162"/>
      <c r="C428" s="162"/>
      <c r="D428" s="1"/>
      <c r="E428" s="162"/>
      <c r="F428" s="11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4"/>
      <c r="V428" s="164"/>
    </row>
    <row r="429" ht="12.75" customHeight="1">
      <c r="A429" s="162"/>
      <c r="B429" s="162"/>
      <c r="C429" s="162"/>
      <c r="D429" s="1"/>
      <c r="E429" s="162"/>
      <c r="F429" s="11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4"/>
      <c r="V429" s="164"/>
    </row>
    <row r="430" ht="12.75" customHeight="1">
      <c r="A430" s="162"/>
      <c r="B430" s="162"/>
      <c r="C430" s="162"/>
      <c r="D430" s="1"/>
      <c r="E430" s="162"/>
      <c r="F430" s="11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4"/>
      <c r="V430" s="164"/>
    </row>
    <row r="431" ht="12.75" customHeight="1">
      <c r="A431" s="162"/>
      <c r="B431" s="162"/>
      <c r="C431" s="162"/>
      <c r="D431" s="1"/>
      <c r="E431" s="162"/>
      <c r="F431" s="11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4"/>
      <c r="V431" s="164"/>
    </row>
    <row r="432" ht="12.75" customHeight="1">
      <c r="A432" s="162"/>
      <c r="B432" s="162"/>
      <c r="C432" s="162"/>
      <c r="D432" s="1"/>
      <c r="E432" s="162"/>
      <c r="F432" s="11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4"/>
      <c r="V432" s="164"/>
    </row>
    <row r="433" ht="12.75" customHeight="1">
      <c r="A433" s="162"/>
      <c r="B433" s="162"/>
      <c r="C433" s="162"/>
      <c r="D433" s="1"/>
      <c r="E433" s="162"/>
      <c r="F433" s="11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4"/>
      <c r="V433" s="164"/>
    </row>
    <row r="434" ht="12.75" customHeight="1">
      <c r="A434" s="162"/>
      <c r="B434" s="162"/>
      <c r="C434" s="162"/>
      <c r="D434" s="1"/>
      <c r="E434" s="162"/>
      <c r="F434" s="11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4"/>
      <c r="V434" s="164"/>
    </row>
    <row r="435" ht="12.75" customHeight="1">
      <c r="A435" s="162"/>
      <c r="B435" s="162"/>
      <c r="C435" s="162"/>
      <c r="D435" s="1"/>
      <c r="E435" s="162"/>
      <c r="F435" s="11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4"/>
      <c r="V435" s="164"/>
    </row>
    <row r="436" ht="12.75" customHeight="1">
      <c r="A436" s="162"/>
      <c r="B436" s="162"/>
      <c r="C436" s="162"/>
      <c r="D436" s="1"/>
      <c r="E436" s="162"/>
      <c r="F436" s="11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4"/>
      <c r="V436" s="164"/>
    </row>
    <row r="437" ht="12.75" customHeight="1">
      <c r="A437" s="162"/>
      <c r="B437" s="162"/>
      <c r="C437" s="162"/>
      <c r="D437" s="1"/>
      <c r="E437" s="162"/>
      <c r="F437" s="11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4"/>
      <c r="V437" s="164"/>
    </row>
    <row r="438" ht="12.75" customHeight="1">
      <c r="A438" s="162"/>
      <c r="B438" s="162"/>
      <c r="C438" s="162"/>
      <c r="D438" s="1"/>
      <c r="E438" s="162"/>
      <c r="F438" s="11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4"/>
      <c r="V438" s="164"/>
    </row>
    <row r="439" ht="12.75" customHeight="1">
      <c r="A439" s="162"/>
      <c r="B439" s="162"/>
      <c r="C439" s="162"/>
      <c r="D439" s="1"/>
      <c r="E439" s="162"/>
      <c r="F439" s="11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4"/>
      <c r="V439" s="164"/>
    </row>
    <row r="440" ht="12.75" customHeight="1">
      <c r="A440" s="162"/>
      <c r="B440" s="162"/>
      <c r="C440" s="162"/>
      <c r="D440" s="1"/>
      <c r="E440" s="162"/>
      <c r="F440" s="11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4"/>
      <c r="V440" s="164"/>
    </row>
    <row r="441" ht="12.75" customHeight="1">
      <c r="A441" s="162"/>
      <c r="B441" s="162"/>
      <c r="C441" s="162"/>
      <c r="D441" s="1"/>
      <c r="E441" s="162"/>
      <c r="F441" s="11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4"/>
      <c r="V441" s="164"/>
    </row>
    <row r="442" ht="12.75" customHeight="1">
      <c r="A442" s="162"/>
      <c r="B442" s="162"/>
      <c r="C442" s="162"/>
      <c r="D442" s="1"/>
      <c r="E442" s="162"/>
      <c r="F442" s="11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4"/>
      <c r="V442" s="164"/>
    </row>
    <row r="443" ht="12.75" customHeight="1">
      <c r="A443" s="162"/>
      <c r="B443" s="162"/>
      <c r="C443" s="162"/>
      <c r="D443" s="1"/>
      <c r="E443" s="162"/>
      <c r="F443" s="11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4"/>
      <c r="V443" s="164"/>
    </row>
    <row r="444" ht="12.75" customHeight="1">
      <c r="A444" s="162"/>
      <c r="B444" s="162"/>
      <c r="C444" s="162"/>
      <c r="D444" s="1"/>
      <c r="E444" s="162"/>
      <c r="F444" s="11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4"/>
      <c r="V444" s="164"/>
    </row>
    <row r="445" ht="12.75" customHeight="1">
      <c r="A445" s="162"/>
      <c r="B445" s="162"/>
      <c r="C445" s="162"/>
      <c r="D445" s="1"/>
      <c r="E445" s="162"/>
      <c r="F445" s="11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4"/>
      <c r="V445" s="164"/>
    </row>
    <row r="446" ht="12.75" customHeight="1">
      <c r="A446" s="162"/>
      <c r="B446" s="162"/>
      <c r="C446" s="162"/>
      <c r="D446" s="1"/>
      <c r="E446" s="162"/>
      <c r="F446" s="11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4"/>
      <c r="V446" s="164"/>
    </row>
    <row r="447" ht="12.75" customHeight="1">
      <c r="A447" s="162"/>
      <c r="B447" s="162"/>
      <c r="C447" s="162"/>
      <c r="D447" s="1"/>
      <c r="E447" s="162"/>
      <c r="F447" s="11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4"/>
      <c r="V447" s="164"/>
    </row>
    <row r="448" ht="12.75" customHeight="1">
      <c r="A448" s="162"/>
      <c r="B448" s="162"/>
      <c r="C448" s="162"/>
      <c r="D448" s="1"/>
      <c r="E448" s="162"/>
      <c r="F448" s="11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4"/>
      <c r="V448" s="164"/>
    </row>
    <row r="449" ht="12.75" customHeight="1">
      <c r="A449" s="162"/>
      <c r="B449" s="162"/>
      <c r="C449" s="162"/>
      <c r="D449" s="1"/>
      <c r="E449" s="162"/>
      <c r="F449" s="11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4"/>
      <c r="V449" s="164"/>
    </row>
    <row r="450" ht="12.75" customHeight="1">
      <c r="A450" s="162"/>
      <c r="B450" s="162"/>
      <c r="C450" s="162"/>
      <c r="D450" s="1"/>
      <c r="E450" s="162"/>
      <c r="F450" s="11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4"/>
      <c r="V450" s="164"/>
    </row>
    <row r="451" ht="12.75" customHeight="1">
      <c r="A451" s="162"/>
      <c r="B451" s="162"/>
      <c r="C451" s="162"/>
      <c r="D451" s="1"/>
      <c r="E451" s="162"/>
      <c r="F451" s="11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4"/>
      <c r="V451" s="164"/>
    </row>
    <row r="452" ht="12.75" customHeight="1">
      <c r="A452" s="162"/>
      <c r="B452" s="162"/>
      <c r="C452" s="162"/>
      <c r="D452" s="1"/>
      <c r="E452" s="162"/>
      <c r="F452" s="11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4"/>
      <c r="V452" s="164"/>
    </row>
    <row r="453" ht="12.75" customHeight="1">
      <c r="A453" s="162"/>
      <c r="B453" s="162"/>
      <c r="C453" s="162"/>
      <c r="D453" s="1"/>
      <c r="E453" s="162"/>
      <c r="F453" s="11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4"/>
      <c r="V453" s="164"/>
    </row>
    <row r="454" ht="12.75" customHeight="1">
      <c r="A454" s="162"/>
      <c r="B454" s="162"/>
      <c r="C454" s="162"/>
      <c r="D454" s="1"/>
      <c r="E454" s="162"/>
      <c r="F454" s="11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4"/>
      <c r="V454" s="164"/>
    </row>
    <row r="455" ht="12.75" customHeight="1">
      <c r="A455" s="162"/>
      <c r="B455" s="162"/>
      <c r="C455" s="162"/>
      <c r="D455" s="1"/>
      <c r="E455" s="162"/>
      <c r="F455" s="11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4"/>
      <c r="V455" s="164"/>
    </row>
    <row r="456" ht="12.75" customHeight="1">
      <c r="A456" s="162"/>
      <c r="B456" s="162"/>
      <c r="C456" s="162"/>
      <c r="D456" s="1"/>
      <c r="E456" s="162"/>
      <c r="F456" s="11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4"/>
      <c r="V456" s="164"/>
    </row>
    <row r="457" ht="12.75" customHeight="1">
      <c r="A457" s="162"/>
      <c r="B457" s="162"/>
      <c r="C457" s="162"/>
      <c r="D457" s="1"/>
      <c r="E457" s="162"/>
      <c r="F457" s="11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4"/>
      <c r="V457" s="164"/>
    </row>
    <row r="458" ht="12.75" customHeight="1">
      <c r="A458" s="162"/>
      <c r="B458" s="162"/>
      <c r="C458" s="162"/>
      <c r="D458" s="1"/>
      <c r="E458" s="162"/>
      <c r="F458" s="11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4"/>
      <c r="V458" s="164"/>
    </row>
    <row r="459" ht="12.75" customHeight="1">
      <c r="A459" s="162"/>
      <c r="B459" s="162"/>
      <c r="C459" s="162"/>
      <c r="D459" s="1"/>
      <c r="E459" s="162"/>
      <c r="F459" s="11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4"/>
      <c r="V459" s="164"/>
    </row>
    <row r="460" ht="12.75" customHeight="1">
      <c r="A460" s="162"/>
      <c r="B460" s="162"/>
      <c r="C460" s="162"/>
      <c r="D460" s="1"/>
      <c r="E460" s="162"/>
      <c r="F460" s="11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4"/>
      <c r="V460" s="164"/>
    </row>
    <row r="461" ht="12.75" customHeight="1">
      <c r="A461" s="162"/>
      <c r="B461" s="162"/>
      <c r="C461" s="162"/>
      <c r="D461" s="1"/>
      <c r="E461" s="162"/>
      <c r="F461" s="11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4"/>
      <c r="V461" s="164"/>
    </row>
    <row r="462" ht="12.75" customHeight="1">
      <c r="A462" s="162"/>
      <c r="B462" s="162"/>
      <c r="C462" s="162"/>
      <c r="D462" s="1"/>
      <c r="E462" s="162"/>
      <c r="F462" s="11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4"/>
      <c r="V462" s="164"/>
    </row>
    <row r="463" ht="12.75" customHeight="1">
      <c r="A463" s="162"/>
      <c r="B463" s="162"/>
      <c r="C463" s="162"/>
      <c r="D463" s="1"/>
      <c r="E463" s="162"/>
      <c r="F463" s="11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4"/>
      <c r="V463" s="164"/>
    </row>
    <row r="464" ht="12.75" customHeight="1">
      <c r="A464" s="162"/>
      <c r="B464" s="162"/>
      <c r="C464" s="162"/>
      <c r="D464" s="1"/>
      <c r="E464" s="162"/>
      <c r="F464" s="11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4"/>
      <c r="V464" s="164"/>
    </row>
    <row r="465" ht="12.75" customHeight="1">
      <c r="A465" s="162"/>
      <c r="B465" s="162"/>
      <c r="C465" s="162"/>
      <c r="D465" s="1"/>
      <c r="E465" s="162"/>
      <c r="F465" s="11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4"/>
      <c r="V465" s="164"/>
    </row>
    <row r="466" ht="12.75" customHeight="1">
      <c r="A466" s="162"/>
      <c r="B466" s="162"/>
      <c r="C466" s="162"/>
      <c r="D466" s="1"/>
      <c r="E466" s="162"/>
      <c r="F466" s="11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4"/>
      <c r="V466" s="164"/>
    </row>
    <row r="467" ht="12.75" customHeight="1">
      <c r="A467" s="162"/>
      <c r="B467" s="162"/>
      <c r="C467" s="162"/>
      <c r="D467" s="1"/>
      <c r="E467" s="162"/>
      <c r="F467" s="11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4"/>
      <c r="V467" s="164"/>
    </row>
    <row r="468" ht="12.75" customHeight="1">
      <c r="A468" s="162"/>
      <c r="B468" s="162"/>
      <c r="C468" s="162"/>
      <c r="D468" s="1"/>
      <c r="E468" s="162"/>
      <c r="F468" s="11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4"/>
      <c r="V468" s="164"/>
    </row>
    <row r="469" ht="12.75" customHeight="1">
      <c r="A469" s="162"/>
      <c r="B469" s="162"/>
      <c r="C469" s="162"/>
      <c r="D469" s="1"/>
      <c r="E469" s="162"/>
      <c r="F469" s="11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4"/>
      <c r="V469" s="164"/>
    </row>
    <row r="470" ht="12.75" customHeight="1">
      <c r="A470" s="162"/>
      <c r="B470" s="162"/>
      <c r="C470" s="162"/>
      <c r="D470" s="1"/>
      <c r="E470" s="162"/>
      <c r="F470" s="11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4"/>
      <c r="V470" s="164"/>
    </row>
    <row r="471" ht="12.75" customHeight="1">
      <c r="A471" s="162"/>
      <c r="B471" s="162"/>
      <c r="C471" s="162"/>
      <c r="D471" s="1"/>
      <c r="E471" s="162"/>
      <c r="F471" s="11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4"/>
      <c r="V471" s="164"/>
    </row>
    <row r="472" ht="12.75" customHeight="1">
      <c r="A472" s="162"/>
      <c r="B472" s="162"/>
      <c r="C472" s="162"/>
      <c r="D472" s="1"/>
      <c r="E472" s="162"/>
      <c r="F472" s="11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4"/>
      <c r="V472" s="164"/>
    </row>
    <row r="473" ht="12.75" customHeight="1">
      <c r="A473" s="162"/>
      <c r="B473" s="162"/>
      <c r="C473" s="162"/>
      <c r="D473" s="1"/>
      <c r="E473" s="162"/>
      <c r="F473" s="11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4"/>
      <c r="V473" s="164"/>
    </row>
    <row r="474" ht="12.75" customHeight="1">
      <c r="A474" s="162"/>
      <c r="B474" s="162"/>
      <c r="C474" s="162"/>
      <c r="D474" s="1"/>
      <c r="E474" s="162"/>
      <c r="F474" s="11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4"/>
      <c r="V474" s="164"/>
    </row>
    <row r="475" ht="12.75" customHeight="1">
      <c r="A475" s="162"/>
      <c r="B475" s="162"/>
      <c r="C475" s="162"/>
      <c r="D475" s="1"/>
      <c r="E475" s="162"/>
      <c r="F475" s="11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4"/>
      <c r="V475" s="164"/>
    </row>
    <row r="476" ht="12.75" customHeight="1">
      <c r="A476" s="162"/>
      <c r="B476" s="162"/>
      <c r="C476" s="162"/>
      <c r="D476" s="1"/>
      <c r="E476" s="162"/>
      <c r="F476" s="11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4"/>
      <c r="V476" s="164"/>
    </row>
    <row r="477" ht="12.75" customHeight="1">
      <c r="A477" s="162"/>
      <c r="B477" s="162"/>
      <c r="C477" s="162"/>
      <c r="D477" s="1"/>
      <c r="E477" s="162"/>
      <c r="F477" s="11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4"/>
      <c r="V477" s="164"/>
    </row>
    <row r="478" ht="12.75" customHeight="1">
      <c r="A478" s="162"/>
      <c r="B478" s="162"/>
      <c r="C478" s="162"/>
      <c r="D478" s="1"/>
      <c r="E478" s="162"/>
      <c r="F478" s="11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4"/>
      <c r="V478" s="164"/>
    </row>
    <row r="479" ht="12.75" customHeight="1">
      <c r="A479" s="162"/>
      <c r="B479" s="162"/>
      <c r="C479" s="162"/>
      <c r="D479" s="1"/>
      <c r="E479" s="162"/>
      <c r="F479" s="11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4"/>
      <c r="V479" s="164"/>
    </row>
    <row r="480" ht="12.75" customHeight="1">
      <c r="A480" s="162"/>
      <c r="B480" s="162"/>
      <c r="C480" s="162"/>
      <c r="D480" s="1"/>
      <c r="E480" s="162"/>
      <c r="F480" s="11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4"/>
      <c r="V480" s="164"/>
    </row>
    <row r="481" ht="12.75" customHeight="1">
      <c r="A481" s="162"/>
      <c r="B481" s="162"/>
      <c r="C481" s="162"/>
      <c r="D481" s="1"/>
      <c r="E481" s="162"/>
      <c r="F481" s="11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4"/>
      <c r="V481" s="164"/>
    </row>
    <row r="482" ht="12.75" customHeight="1">
      <c r="A482" s="162"/>
      <c r="B482" s="162"/>
      <c r="C482" s="162"/>
      <c r="D482" s="1"/>
      <c r="E482" s="162"/>
      <c r="F482" s="11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4"/>
      <c r="V482" s="164"/>
    </row>
    <row r="483" ht="12.75" customHeight="1">
      <c r="A483" s="162"/>
      <c r="B483" s="162"/>
      <c r="C483" s="162"/>
      <c r="D483" s="1"/>
      <c r="E483" s="162"/>
      <c r="F483" s="11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4"/>
      <c r="V483" s="164"/>
    </row>
    <row r="484" ht="12.75" customHeight="1">
      <c r="A484" s="162"/>
      <c r="B484" s="162"/>
      <c r="C484" s="162"/>
      <c r="D484" s="1"/>
      <c r="E484" s="162"/>
      <c r="F484" s="11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4"/>
      <c r="V484" s="164"/>
    </row>
    <row r="485" ht="12.75" customHeight="1">
      <c r="A485" s="162"/>
      <c r="B485" s="162"/>
      <c r="C485" s="162"/>
      <c r="D485" s="1"/>
      <c r="E485" s="162"/>
      <c r="F485" s="11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4"/>
      <c r="V485" s="164"/>
    </row>
    <row r="486" ht="12.75" customHeight="1">
      <c r="A486" s="162"/>
      <c r="B486" s="162"/>
      <c r="C486" s="162"/>
      <c r="D486" s="1"/>
      <c r="E486" s="162"/>
      <c r="F486" s="11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4"/>
      <c r="V486" s="164"/>
    </row>
    <row r="487" ht="12.75" customHeight="1">
      <c r="A487" s="162"/>
      <c r="B487" s="162"/>
      <c r="C487" s="162"/>
      <c r="D487" s="1"/>
      <c r="E487" s="162"/>
      <c r="F487" s="11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4"/>
      <c r="V487" s="164"/>
    </row>
    <row r="488" ht="12.75" customHeight="1">
      <c r="A488" s="162"/>
      <c r="B488" s="162"/>
      <c r="C488" s="162"/>
      <c r="D488" s="1"/>
      <c r="E488" s="162"/>
      <c r="F488" s="11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4"/>
      <c r="V488" s="164"/>
    </row>
    <row r="489" ht="12.75" customHeight="1">
      <c r="A489" s="162"/>
      <c r="B489" s="162"/>
      <c r="C489" s="162"/>
      <c r="D489" s="1"/>
      <c r="E489" s="162"/>
      <c r="F489" s="11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4"/>
      <c r="V489" s="164"/>
    </row>
    <row r="490" ht="12.75" customHeight="1">
      <c r="A490" s="162"/>
      <c r="B490" s="162"/>
      <c r="C490" s="162"/>
      <c r="D490" s="1"/>
      <c r="E490" s="162"/>
      <c r="F490" s="11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4"/>
      <c r="V490" s="164"/>
    </row>
    <row r="491" ht="12.75" customHeight="1">
      <c r="A491" s="162"/>
      <c r="B491" s="162"/>
      <c r="C491" s="162"/>
      <c r="D491" s="1"/>
      <c r="E491" s="162"/>
      <c r="F491" s="11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4"/>
      <c r="V491" s="164"/>
    </row>
    <row r="492" ht="12.75" customHeight="1">
      <c r="A492" s="162"/>
      <c r="B492" s="162"/>
      <c r="C492" s="162"/>
      <c r="D492" s="1"/>
      <c r="E492" s="162"/>
      <c r="F492" s="11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4"/>
      <c r="V492" s="164"/>
    </row>
    <row r="493" ht="12.75" customHeight="1">
      <c r="A493" s="162"/>
      <c r="B493" s="162"/>
      <c r="C493" s="162"/>
      <c r="D493" s="1"/>
      <c r="E493" s="162"/>
      <c r="F493" s="11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4"/>
      <c r="V493" s="164"/>
    </row>
    <row r="494" ht="12.75" customHeight="1">
      <c r="A494" s="162"/>
      <c r="B494" s="162"/>
      <c r="C494" s="162"/>
      <c r="D494" s="1"/>
      <c r="E494" s="162"/>
      <c r="F494" s="11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4"/>
      <c r="V494" s="164"/>
    </row>
    <row r="495" ht="12.75" customHeight="1">
      <c r="A495" s="162"/>
      <c r="B495" s="162"/>
      <c r="C495" s="162"/>
      <c r="D495" s="1"/>
      <c r="E495" s="162"/>
      <c r="F495" s="11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4"/>
      <c r="V495" s="164"/>
    </row>
    <row r="496" ht="12.75" customHeight="1">
      <c r="A496" s="162"/>
      <c r="B496" s="162"/>
      <c r="C496" s="162"/>
      <c r="D496" s="1"/>
      <c r="E496" s="162"/>
      <c r="F496" s="11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4"/>
      <c r="V496" s="164"/>
    </row>
    <row r="497" ht="12.75" customHeight="1">
      <c r="A497" s="162"/>
      <c r="B497" s="162"/>
      <c r="C497" s="162"/>
      <c r="D497" s="1"/>
      <c r="E497" s="162"/>
      <c r="F497" s="11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4"/>
      <c r="V497" s="164"/>
    </row>
    <row r="498" ht="12.75" customHeight="1">
      <c r="A498" s="162"/>
      <c r="B498" s="162"/>
      <c r="C498" s="162"/>
      <c r="D498" s="1"/>
      <c r="E498" s="162"/>
      <c r="F498" s="11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4"/>
      <c r="V498" s="164"/>
    </row>
    <row r="499" ht="12.75" customHeight="1">
      <c r="A499" s="162"/>
      <c r="B499" s="162"/>
      <c r="C499" s="162"/>
      <c r="D499" s="1"/>
      <c r="E499" s="162"/>
      <c r="F499" s="11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4"/>
      <c r="V499" s="164"/>
    </row>
    <row r="500" ht="12.75" customHeight="1">
      <c r="A500" s="162"/>
      <c r="B500" s="162"/>
      <c r="C500" s="162"/>
      <c r="D500" s="1"/>
      <c r="E500" s="162"/>
      <c r="F500" s="11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4"/>
      <c r="V500" s="164"/>
    </row>
    <row r="501" ht="12.75" customHeight="1">
      <c r="A501" s="162"/>
      <c r="B501" s="162"/>
      <c r="C501" s="162"/>
      <c r="D501" s="1"/>
      <c r="E501" s="162"/>
      <c r="F501" s="11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4"/>
      <c r="V501" s="164"/>
    </row>
    <row r="502" ht="12.75" customHeight="1">
      <c r="A502" s="162"/>
      <c r="B502" s="162"/>
      <c r="C502" s="162"/>
      <c r="D502" s="1"/>
      <c r="E502" s="162"/>
      <c r="F502" s="11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4"/>
      <c r="V502" s="164"/>
    </row>
    <row r="503" ht="12.75" customHeight="1">
      <c r="A503" s="162"/>
      <c r="B503" s="162"/>
      <c r="C503" s="162"/>
      <c r="D503" s="1"/>
      <c r="E503" s="162"/>
      <c r="F503" s="11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4"/>
      <c r="V503" s="164"/>
    </row>
    <row r="504" ht="12.75" customHeight="1">
      <c r="A504" s="162"/>
      <c r="B504" s="162"/>
      <c r="C504" s="162"/>
      <c r="D504" s="1"/>
      <c r="E504" s="162"/>
      <c r="F504" s="11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4"/>
      <c r="V504" s="164"/>
    </row>
    <row r="505" ht="12.75" customHeight="1">
      <c r="A505" s="162"/>
      <c r="B505" s="162"/>
      <c r="C505" s="162"/>
      <c r="D505" s="1"/>
      <c r="E505" s="162"/>
      <c r="F505" s="11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4"/>
      <c r="V505" s="164"/>
    </row>
    <row r="506" ht="12.75" customHeight="1">
      <c r="A506" s="162"/>
      <c r="B506" s="162"/>
      <c r="C506" s="162"/>
      <c r="D506" s="1"/>
      <c r="E506" s="162"/>
      <c r="F506" s="11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4"/>
      <c r="V506" s="164"/>
    </row>
    <row r="507" ht="12.75" customHeight="1">
      <c r="A507" s="162"/>
      <c r="B507" s="162"/>
      <c r="C507" s="162"/>
      <c r="D507" s="1"/>
      <c r="E507" s="162"/>
      <c r="F507" s="11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4"/>
      <c r="V507" s="164"/>
    </row>
    <row r="508" ht="12.75" customHeight="1">
      <c r="A508" s="162"/>
      <c r="B508" s="162"/>
      <c r="C508" s="162"/>
      <c r="D508" s="1"/>
      <c r="E508" s="162"/>
      <c r="F508" s="11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4"/>
      <c r="V508" s="164"/>
    </row>
    <row r="509" ht="12.75" customHeight="1">
      <c r="A509" s="162"/>
      <c r="B509" s="162"/>
      <c r="C509" s="162"/>
      <c r="D509" s="1"/>
      <c r="E509" s="162"/>
      <c r="F509" s="11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4"/>
      <c r="V509" s="164"/>
    </row>
    <row r="510" ht="12.75" customHeight="1">
      <c r="A510" s="162"/>
      <c r="B510" s="162"/>
      <c r="C510" s="162"/>
      <c r="D510" s="1"/>
      <c r="E510" s="162"/>
      <c r="F510" s="11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4"/>
      <c r="V510" s="164"/>
    </row>
    <row r="511" ht="12.75" customHeight="1">
      <c r="A511" s="162"/>
      <c r="B511" s="162"/>
      <c r="C511" s="162"/>
      <c r="D511" s="1"/>
      <c r="E511" s="162"/>
      <c r="F511" s="11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4"/>
      <c r="V511" s="164"/>
    </row>
    <row r="512" ht="12.75" customHeight="1">
      <c r="A512" s="162"/>
      <c r="B512" s="162"/>
      <c r="C512" s="162"/>
      <c r="D512" s="1"/>
      <c r="E512" s="162"/>
      <c r="F512" s="11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4"/>
      <c r="V512" s="164"/>
    </row>
    <row r="513" ht="12.75" customHeight="1">
      <c r="A513" s="162"/>
      <c r="B513" s="162"/>
      <c r="C513" s="162"/>
      <c r="D513" s="1"/>
      <c r="E513" s="162"/>
      <c r="F513" s="11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4"/>
      <c r="V513" s="164"/>
    </row>
    <row r="514" ht="12.75" customHeight="1">
      <c r="A514" s="162"/>
      <c r="B514" s="162"/>
      <c r="C514" s="162"/>
      <c r="D514" s="1"/>
      <c r="E514" s="162"/>
      <c r="F514" s="11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4"/>
      <c r="V514" s="164"/>
    </row>
    <row r="515" ht="12.75" customHeight="1">
      <c r="A515" s="162"/>
      <c r="B515" s="162"/>
      <c r="C515" s="162"/>
      <c r="D515" s="1"/>
      <c r="E515" s="162"/>
      <c r="F515" s="11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4"/>
      <c r="V515" s="164"/>
    </row>
    <row r="516" ht="12.75" customHeight="1">
      <c r="A516" s="162"/>
      <c r="B516" s="162"/>
      <c r="C516" s="162"/>
      <c r="D516" s="1"/>
      <c r="E516" s="162"/>
      <c r="F516" s="11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4"/>
      <c r="V516" s="164"/>
    </row>
    <row r="517" ht="12.75" customHeight="1">
      <c r="A517" s="162"/>
      <c r="B517" s="162"/>
      <c r="C517" s="162"/>
      <c r="D517" s="1"/>
      <c r="E517" s="162"/>
      <c r="F517" s="11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4"/>
      <c r="V517" s="164"/>
    </row>
    <row r="518" ht="12.75" customHeight="1">
      <c r="A518" s="162"/>
      <c r="B518" s="162"/>
      <c r="C518" s="162"/>
      <c r="D518" s="1"/>
      <c r="E518" s="162"/>
      <c r="F518" s="11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4"/>
      <c r="V518" s="164"/>
    </row>
    <row r="519" ht="12.75" customHeight="1">
      <c r="A519" s="162"/>
      <c r="B519" s="162"/>
      <c r="C519" s="162"/>
      <c r="D519" s="1"/>
      <c r="E519" s="162"/>
      <c r="F519" s="11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4"/>
      <c r="V519" s="164"/>
    </row>
    <row r="520" ht="12.75" customHeight="1">
      <c r="A520" s="162"/>
      <c r="B520" s="162"/>
      <c r="C520" s="162"/>
      <c r="D520" s="1"/>
      <c r="E520" s="162"/>
      <c r="F520" s="11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4"/>
      <c r="V520" s="164"/>
    </row>
    <row r="521" ht="12.75" customHeight="1">
      <c r="A521" s="162"/>
      <c r="B521" s="162"/>
      <c r="C521" s="162"/>
      <c r="D521" s="1"/>
      <c r="E521" s="162"/>
      <c r="F521" s="11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4"/>
      <c r="V521" s="164"/>
    </row>
    <row r="522" ht="12.75" customHeight="1">
      <c r="A522" s="162"/>
      <c r="B522" s="162"/>
      <c r="C522" s="162"/>
      <c r="D522" s="1"/>
      <c r="E522" s="162"/>
      <c r="F522" s="11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4"/>
      <c r="V522" s="164"/>
    </row>
    <row r="523" ht="12.75" customHeight="1">
      <c r="A523" s="162"/>
      <c r="B523" s="162"/>
      <c r="C523" s="162"/>
      <c r="D523" s="1"/>
      <c r="E523" s="162"/>
      <c r="F523" s="11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4"/>
      <c r="V523" s="164"/>
    </row>
    <row r="524" ht="12.75" customHeight="1">
      <c r="A524" s="162"/>
      <c r="B524" s="162"/>
      <c r="C524" s="162"/>
      <c r="D524" s="1"/>
      <c r="E524" s="162"/>
      <c r="F524" s="11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4"/>
      <c r="V524" s="164"/>
    </row>
    <row r="525" ht="12.75" customHeight="1">
      <c r="A525" s="162"/>
      <c r="B525" s="162"/>
      <c r="C525" s="162"/>
      <c r="D525" s="1"/>
      <c r="E525" s="162"/>
      <c r="F525" s="11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4"/>
      <c r="V525" s="164"/>
    </row>
    <row r="526" ht="12.75" customHeight="1">
      <c r="A526" s="162"/>
      <c r="B526" s="162"/>
      <c r="C526" s="162"/>
      <c r="D526" s="1"/>
      <c r="E526" s="162"/>
      <c r="F526" s="11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4"/>
      <c r="V526" s="164"/>
    </row>
    <row r="527" ht="12.75" customHeight="1">
      <c r="A527" s="162"/>
      <c r="B527" s="162"/>
      <c r="C527" s="162"/>
      <c r="D527" s="1"/>
      <c r="E527" s="162"/>
      <c r="F527" s="11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4"/>
      <c r="V527" s="164"/>
    </row>
    <row r="528" ht="12.75" customHeight="1">
      <c r="A528" s="162"/>
      <c r="B528" s="162"/>
      <c r="C528" s="162"/>
      <c r="D528" s="1"/>
      <c r="E528" s="162"/>
      <c r="F528" s="11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4"/>
      <c r="V528" s="164"/>
    </row>
    <row r="529" ht="12.75" customHeight="1">
      <c r="A529" s="162"/>
      <c r="B529" s="162"/>
      <c r="C529" s="162"/>
      <c r="D529" s="1"/>
      <c r="E529" s="162"/>
      <c r="F529" s="11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4"/>
      <c r="V529" s="164"/>
    </row>
    <row r="530" ht="12.75" customHeight="1">
      <c r="A530" s="162"/>
      <c r="B530" s="162"/>
      <c r="C530" s="162"/>
      <c r="D530" s="1"/>
      <c r="E530" s="162"/>
      <c r="F530" s="11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4"/>
      <c r="V530" s="164"/>
    </row>
    <row r="531" ht="12.75" customHeight="1">
      <c r="A531" s="162"/>
      <c r="B531" s="162"/>
      <c r="C531" s="162"/>
      <c r="D531" s="1"/>
      <c r="E531" s="162"/>
      <c r="F531" s="11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4"/>
      <c r="V531" s="164"/>
    </row>
    <row r="532" ht="12.75" customHeight="1">
      <c r="A532" s="162"/>
      <c r="B532" s="162"/>
      <c r="C532" s="162"/>
      <c r="D532" s="1"/>
      <c r="E532" s="162"/>
      <c r="F532" s="11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4"/>
      <c r="V532" s="164"/>
    </row>
    <row r="533" ht="12.75" customHeight="1">
      <c r="A533" s="162"/>
      <c r="B533" s="162"/>
      <c r="C533" s="162"/>
      <c r="D533" s="1"/>
      <c r="E533" s="162"/>
      <c r="F533" s="11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4"/>
      <c r="V533" s="164"/>
    </row>
    <row r="534" ht="12.75" customHeight="1">
      <c r="A534" s="162"/>
      <c r="B534" s="162"/>
      <c r="C534" s="162"/>
      <c r="D534" s="1"/>
      <c r="E534" s="162"/>
      <c r="F534" s="11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4"/>
      <c r="V534" s="164"/>
    </row>
    <row r="535" ht="12.75" customHeight="1">
      <c r="A535" s="162"/>
      <c r="B535" s="162"/>
      <c r="C535" s="162"/>
      <c r="D535" s="1"/>
      <c r="E535" s="162"/>
      <c r="F535" s="11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4"/>
      <c r="V535" s="164"/>
    </row>
    <row r="536" ht="12.75" customHeight="1">
      <c r="A536" s="162"/>
      <c r="B536" s="162"/>
      <c r="C536" s="162"/>
      <c r="D536" s="1"/>
      <c r="E536" s="162"/>
      <c r="F536" s="11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4"/>
      <c r="V536" s="164"/>
    </row>
    <row r="537" ht="12.75" customHeight="1">
      <c r="A537" s="162"/>
      <c r="B537" s="162"/>
      <c r="C537" s="162"/>
      <c r="D537" s="1"/>
      <c r="E537" s="162"/>
      <c r="F537" s="11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4"/>
      <c r="V537" s="164"/>
    </row>
    <row r="538" ht="12.75" customHeight="1">
      <c r="A538" s="162"/>
      <c r="B538" s="162"/>
      <c r="C538" s="162"/>
      <c r="D538" s="1"/>
      <c r="E538" s="162"/>
      <c r="F538" s="11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4"/>
      <c r="V538" s="164"/>
    </row>
    <row r="539" ht="12.75" customHeight="1">
      <c r="A539" s="162"/>
      <c r="B539" s="162"/>
      <c r="C539" s="162"/>
      <c r="D539" s="1"/>
      <c r="E539" s="162"/>
      <c r="F539" s="11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4"/>
      <c r="V539" s="164"/>
    </row>
    <row r="540" ht="12.75" customHeight="1">
      <c r="A540" s="162"/>
      <c r="B540" s="162"/>
      <c r="C540" s="162"/>
      <c r="D540" s="1"/>
      <c r="E540" s="162"/>
      <c r="F540" s="11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4"/>
      <c r="V540" s="164"/>
    </row>
    <row r="541" ht="12.75" customHeight="1">
      <c r="A541" s="162"/>
      <c r="B541" s="162"/>
      <c r="C541" s="162"/>
      <c r="D541" s="1"/>
      <c r="E541" s="162"/>
      <c r="F541" s="11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4"/>
      <c r="V541" s="164"/>
    </row>
    <row r="542" ht="12.75" customHeight="1">
      <c r="A542" s="162"/>
      <c r="B542" s="162"/>
      <c r="C542" s="162"/>
      <c r="D542" s="1"/>
      <c r="E542" s="162"/>
      <c r="F542" s="11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4"/>
      <c r="V542" s="164"/>
    </row>
    <row r="543" ht="12.75" customHeight="1">
      <c r="A543" s="162"/>
      <c r="B543" s="162"/>
      <c r="C543" s="162"/>
      <c r="D543" s="1"/>
      <c r="E543" s="162"/>
      <c r="F543" s="11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4"/>
      <c r="V543" s="164"/>
    </row>
    <row r="544" ht="12.75" customHeight="1">
      <c r="A544" s="162"/>
      <c r="B544" s="162"/>
      <c r="C544" s="162"/>
      <c r="D544" s="1"/>
      <c r="E544" s="162"/>
      <c r="F544" s="11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4"/>
      <c r="V544" s="164"/>
    </row>
    <row r="545" ht="12.75" customHeight="1">
      <c r="A545" s="162"/>
      <c r="B545" s="162"/>
      <c r="C545" s="162"/>
      <c r="D545" s="1"/>
      <c r="E545" s="162"/>
      <c r="F545" s="11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4"/>
      <c r="V545" s="164"/>
    </row>
    <row r="546" ht="12.75" customHeight="1">
      <c r="A546" s="162"/>
      <c r="B546" s="162"/>
      <c r="C546" s="162"/>
      <c r="D546" s="1"/>
      <c r="E546" s="162"/>
      <c r="F546" s="11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4"/>
      <c r="V546" s="164"/>
    </row>
    <row r="547" ht="12.75" customHeight="1">
      <c r="A547" s="162"/>
      <c r="B547" s="162"/>
      <c r="C547" s="162"/>
      <c r="D547" s="1"/>
      <c r="E547" s="162"/>
      <c r="F547" s="11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4"/>
      <c r="V547" s="164"/>
    </row>
    <row r="548" ht="12.75" customHeight="1">
      <c r="A548" s="162"/>
      <c r="B548" s="162"/>
      <c r="C548" s="162"/>
      <c r="D548" s="1"/>
      <c r="E548" s="162"/>
      <c r="F548" s="11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4"/>
      <c r="V548" s="164"/>
    </row>
    <row r="549" ht="12.75" customHeight="1">
      <c r="A549" s="162"/>
      <c r="B549" s="162"/>
      <c r="C549" s="162"/>
      <c r="D549" s="1"/>
      <c r="E549" s="162"/>
      <c r="F549" s="11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4"/>
      <c r="V549" s="164"/>
    </row>
    <row r="550" ht="12.75" customHeight="1">
      <c r="A550" s="162"/>
      <c r="B550" s="162"/>
      <c r="C550" s="162"/>
      <c r="D550" s="1"/>
      <c r="E550" s="162"/>
      <c r="F550" s="11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4"/>
      <c r="V550" s="164"/>
    </row>
    <row r="551" ht="12.75" customHeight="1">
      <c r="A551" s="162"/>
      <c r="B551" s="162"/>
      <c r="C551" s="162"/>
      <c r="D551" s="1"/>
      <c r="E551" s="162"/>
      <c r="F551" s="11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4"/>
      <c r="V551" s="164"/>
    </row>
    <row r="552" ht="12.75" customHeight="1">
      <c r="A552" s="162"/>
      <c r="B552" s="162"/>
      <c r="C552" s="162"/>
      <c r="D552" s="1"/>
      <c r="E552" s="162"/>
      <c r="F552" s="11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4"/>
      <c r="V552" s="164"/>
    </row>
    <row r="553" ht="12.75" customHeight="1">
      <c r="A553" s="162"/>
      <c r="B553" s="162"/>
      <c r="C553" s="162"/>
      <c r="D553" s="1"/>
      <c r="E553" s="162"/>
      <c r="F553" s="11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4"/>
      <c r="V553" s="164"/>
    </row>
    <row r="554" ht="12.75" customHeight="1">
      <c r="A554" s="162"/>
      <c r="B554" s="162"/>
      <c r="C554" s="162"/>
      <c r="D554" s="1"/>
      <c r="E554" s="162"/>
      <c r="F554" s="11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4"/>
      <c r="V554" s="164"/>
    </row>
    <row r="555" ht="12.75" customHeight="1">
      <c r="A555" s="162"/>
      <c r="B555" s="162"/>
      <c r="C555" s="162"/>
      <c r="D555" s="1"/>
      <c r="E555" s="162"/>
      <c r="F555" s="11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4"/>
      <c r="V555" s="164"/>
    </row>
    <row r="556" ht="12.75" customHeight="1">
      <c r="A556" s="162"/>
      <c r="B556" s="162"/>
      <c r="C556" s="162"/>
      <c r="D556" s="1"/>
      <c r="E556" s="162"/>
      <c r="F556" s="11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4"/>
      <c r="V556" s="164"/>
    </row>
    <row r="557" ht="12.75" customHeight="1">
      <c r="A557" s="162"/>
      <c r="B557" s="162"/>
      <c r="C557" s="162"/>
      <c r="D557" s="1"/>
      <c r="E557" s="162"/>
      <c r="F557" s="11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4"/>
      <c r="V557" s="164"/>
    </row>
    <row r="558" ht="12.75" customHeight="1">
      <c r="A558" s="162"/>
      <c r="B558" s="162"/>
      <c r="C558" s="162"/>
      <c r="D558" s="1"/>
      <c r="E558" s="162"/>
      <c r="F558" s="11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2"/>
      <c r="B559" s="162"/>
      <c r="C559" s="162"/>
      <c r="D559" s="1"/>
      <c r="E559" s="162"/>
      <c r="F559" s="11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2"/>
      <c r="B560" s="162"/>
      <c r="C560" s="162"/>
      <c r="D560" s="1"/>
      <c r="E560" s="162"/>
      <c r="F560" s="11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2"/>
      <c r="B561" s="162"/>
      <c r="C561" s="162"/>
      <c r="D561" s="1"/>
      <c r="E561" s="162"/>
      <c r="F561" s="11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2"/>
      <c r="B562" s="162"/>
      <c r="C562" s="162"/>
      <c r="D562" s="1"/>
      <c r="E562" s="162"/>
      <c r="F562" s="11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06"/>
      <c r="B563" s="106"/>
      <c r="C563" s="106"/>
      <c r="D563" s="101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9"/>
      <c r="V563" s="109"/>
    </row>
    <row r="564" ht="12.75" customHeight="1">
      <c r="A564" s="106"/>
      <c r="B564" s="106"/>
      <c r="C564" s="106"/>
      <c r="D564" s="101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9"/>
      <c r="V564" s="109"/>
    </row>
    <row r="565" ht="12.75" customHeight="1">
      <c r="A565" s="106"/>
      <c r="B565" s="106"/>
      <c r="C565" s="106"/>
      <c r="D565" s="101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9"/>
      <c r="V565" s="109"/>
    </row>
    <row r="566" ht="12.75" customHeight="1">
      <c r="A566" s="106"/>
      <c r="B566" s="106"/>
      <c r="C566" s="106"/>
      <c r="D566" s="101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9"/>
      <c r="V566" s="109"/>
    </row>
    <row r="567" ht="12.75" customHeight="1">
      <c r="A567" s="106"/>
      <c r="B567" s="106"/>
      <c r="C567" s="106"/>
      <c r="D567" s="101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9"/>
      <c r="V567" s="109"/>
    </row>
    <row r="568" ht="12.75" customHeight="1">
      <c r="A568" s="106"/>
      <c r="B568" s="106"/>
      <c r="C568" s="106"/>
      <c r="D568" s="101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9"/>
      <c r="V568" s="109"/>
    </row>
    <row r="569" ht="12.75" customHeight="1">
      <c r="A569" s="106"/>
      <c r="B569" s="106"/>
      <c r="C569" s="106"/>
      <c r="D569" s="101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9"/>
      <c r="V569" s="109"/>
    </row>
    <row r="570" ht="12.75" customHeight="1">
      <c r="A570" s="106"/>
      <c r="B570" s="106"/>
      <c r="C570" s="106"/>
      <c r="D570" s="101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9"/>
      <c r="V570" s="109"/>
    </row>
    <row r="571" ht="12.75" customHeight="1">
      <c r="A571" s="106"/>
      <c r="B571" s="106"/>
      <c r="C571" s="106"/>
      <c r="D571" s="101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9"/>
      <c r="V571" s="109"/>
    </row>
    <row r="572" ht="12.75" customHeight="1">
      <c r="A572" s="106"/>
      <c r="B572" s="106"/>
      <c r="C572" s="106"/>
      <c r="D572" s="101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9"/>
      <c r="V572" s="109"/>
    </row>
    <row r="573" ht="12.75" customHeight="1">
      <c r="A573" s="106"/>
      <c r="B573" s="106"/>
      <c r="C573" s="106"/>
      <c r="D573" s="101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9"/>
      <c r="V573" s="109"/>
    </row>
    <row r="574" ht="12.75" customHeight="1">
      <c r="A574" s="106"/>
      <c r="B574" s="106"/>
      <c r="C574" s="106"/>
      <c r="D574" s="101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9"/>
      <c r="V574" s="109"/>
    </row>
    <row r="575" ht="12.75" customHeight="1">
      <c r="A575" s="106"/>
      <c r="B575" s="106"/>
      <c r="C575" s="106"/>
      <c r="D575" s="101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9"/>
      <c r="V575" s="109"/>
    </row>
    <row r="576" ht="12.75" customHeight="1">
      <c r="A576" s="106"/>
      <c r="B576" s="106"/>
      <c r="C576" s="106"/>
      <c r="D576" s="101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9"/>
      <c r="V576" s="109"/>
    </row>
    <row r="577" ht="12.75" customHeight="1">
      <c r="A577" s="106"/>
      <c r="B577" s="106"/>
      <c r="C577" s="106"/>
      <c r="D577" s="101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9"/>
      <c r="V577" s="109"/>
    </row>
    <row r="578" ht="12.75" customHeight="1">
      <c r="A578" s="106"/>
      <c r="B578" s="106"/>
      <c r="C578" s="106"/>
      <c r="D578" s="101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9"/>
      <c r="V578" s="109"/>
    </row>
    <row r="579" ht="12.75" customHeight="1">
      <c r="A579" s="106"/>
      <c r="B579" s="106"/>
      <c r="C579" s="106"/>
      <c r="D579" s="101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9"/>
      <c r="V579" s="109"/>
    </row>
    <row r="580" ht="12.75" customHeight="1">
      <c r="A580" s="106"/>
      <c r="B580" s="106"/>
      <c r="C580" s="106"/>
      <c r="D580" s="101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9"/>
      <c r="V580" s="109"/>
    </row>
    <row r="581" ht="12.75" customHeight="1">
      <c r="A581" s="106"/>
      <c r="B581" s="106"/>
      <c r="C581" s="106"/>
      <c r="D581" s="101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9"/>
      <c r="V581" s="109"/>
    </row>
    <row r="582" ht="12.75" customHeight="1">
      <c r="A582" s="106"/>
      <c r="B582" s="106"/>
      <c r="C582" s="106"/>
      <c r="D582" s="101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9"/>
      <c r="V582" s="109"/>
    </row>
    <row r="583" ht="12.75" customHeight="1">
      <c r="A583" s="106"/>
      <c r="B583" s="106"/>
      <c r="C583" s="106"/>
      <c r="D583" s="101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9"/>
      <c r="V583" s="109"/>
    </row>
    <row r="584" ht="12.75" customHeight="1">
      <c r="A584" s="106"/>
      <c r="B584" s="106"/>
      <c r="C584" s="106"/>
      <c r="D584" s="101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9"/>
      <c r="V584" s="109"/>
    </row>
    <row r="585" ht="12.75" customHeight="1">
      <c r="A585" s="106"/>
      <c r="B585" s="106"/>
      <c r="C585" s="106"/>
      <c r="D585" s="101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9"/>
      <c r="V585" s="109"/>
    </row>
    <row r="586" ht="12.75" customHeight="1">
      <c r="A586" s="106"/>
      <c r="B586" s="106"/>
      <c r="C586" s="106"/>
      <c r="D586" s="101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9"/>
      <c r="V586" s="109"/>
    </row>
    <row r="587" ht="12.75" customHeight="1">
      <c r="A587" s="106"/>
      <c r="B587" s="106"/>
      <c r="C587" s="106"/>
      <c r="D587" s="101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9"/>
      <c r="V587" s="109"/>
    </row>
    <row r="588" ht="12.75" customHeight="1">
      <c r="A588" s="106"/>
      <c r="B588" s="106"/>
      <c r="C588" s="106"/>
      <c r="D588" s="101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9"/>
      <c r="V588" s="109"/>
    </row>
    <row r="589" ht="12.75" customHeight="1">
      <c r="A589" s="106"/>
      <c r="B589" s="106"/>
      <c r="C589" s="106"/>
      <c r="D589" s="101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9"/>
      <c r="V589" s="109"/>
    </row>
    <row r="590" ht="12.75" customHeight="1">
      <c r="A590" s="106"/>
      <c r="B590" s="106"/>
      <c r="C590" s="106"/>
      <c r="D590" s="101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9"/>
      <c r="V590" s="109"/>
    </row>
    <row r="591" ht="12.75" customHeight="1">
      <c r="A591" s="106"/>
      <c r="B591" s="106"/>
      <c r="C591" s="106"/>
      <c r="D591" s="101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9"/>
      <c r="V591" s="109"/>
    </row>
    <row r="592" ht="12.75" customHeight="1">
      <c r="A592" s="106"/>
      <c r="B592" s="106"/>
      <c r="C592" s="106"/>
      <c r="D592" s="101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9"/>
      <c r="V592" s="109"/>
    </row>
    <row r="593" ht="12.75" customHeight="1">
      <c r="A593" s="106"/>
      <c r="B593" s="106"/>
      <c r="C593" s="106"/>
      <c r="D593" s="101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9"/>
      <c r="V593" s="109"/>
    </row>
    <row r="594" ht="12.75" customHeight="1">
      <c r="A594" s="106"/>
      <c r="B594" s="106"/>
      <c r="C594" s="106"/>
      <c r="D594" s="101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9"/>
      <c r="V594" s="109"/>
    </row>
    <row r="595" ht="12.75" customHeight="1">
      <c r="A595" s="106"/>
      <c r="B595" s="106"/>
      <c r="C595" s="106"/>
      <c r="D595" s="101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9"/>
      <c r="V595" s="109"/>
    </row>
    <row r="596" ht="12.75" customHeight="1">
      <c r="A596" s="106"/>
      <c r="B596" s="106"/>
      <c r="C596" s="106"/>
      <c r="D596" s="101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9"/>
      <c r="V596" s="109"/>
    </row>
    <row r="597" ht="12.75" customHeight="1">
      <c r="A597" s="106"/>
      <c r="B597" s="106"/>
      <c r="C597" s="106"/>
      <c r="D597" s="101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9"/>
      <c r="V597" s="109"/>
    </row>
    <row r="598" ht="12.75" customHeight="1">
      <c r="A598" s="106"/>
      <c r="B598" s="106"/>
      <c r="C598" s="106"/>
      <c r="D598" s="101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9"/>
      <c r="V598" s="109"/>
    </row>
    <row r="599" ht="12.75" customHeight="1">
      <c r="A599" s="106"/>
      <c r="B599" s="106"/>
      <c r="C599" s="106"/>
      <c r="D599" s="101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9"/>
      <c r="V599" s="109"/>
    </row>
    <row r="600" ht="12.75" customHeight="1">
      <c r="A600" s="106"/>
      <c r="B600" s="106"/>
      <c r="C600" s="106"/>
      <c r="D600" s="101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9"/>
      <c r="V600" s="109"/>
    </row>
    <row r="601" ht="12.75" customHeight="1">
      <c r="A601" s="106"/>
      <c r="B601" s="106"/>
      <c r="C601" s="106"/>
      <c r="D601" s="101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9"/>
      <c r="V601" s="109"/>
    </row>
    <row r="602" ht="12.75" customHeight="1">
      <c r="A602" s="106"/>
      <c r="B602" s="106"/>
      <c r="C602" s="106"/>
      <c r="D602" s="101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9"/>
      <c r="V602" s="109"/>
    </row>
    <row r="603" ht="12.75" customHeight="1">
      <c r="A603" s="106"/>
      <c r="B603" s="106"/>
      <c r="C603" s="106"/>
      <c r="D603" s="101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9"/>
      <c r="V603" s="109"/>
    </row>
    <row r="604" ht="12.75" customHeight="1">
      <c r="A604" s="106"/>
      <c r="B604" s="106"/>
      <c r="C604" s="106"/>
      <c r="D604" s="101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9"/>
      <c r="V604" s="109"/>
    </row>
    <row r="605" ht="12.75" customHeight="1">
      <c r="A605" s="106"/>
      <c r="B605" s="106"/>
      <c r="C605" s="106"/>
      <c r="D605" s="101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9"/>
      <c r="V605" s="109"/>
    </row>
    <row r="606" ht="12.75" customHeight="1">
      <c r="A606" s="106"/>
      <c r="B606" s="106"/>
      <c r="C606" s="106"/>
      <c r="D606" s="101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9"/>
      <c r="V606" s="109"/>
    </row>
    <row r="607" ht="12.75" customHeight="1">
      <c r="A607" s="106"/>
      <c r="B607" s="106"/>
      <c r="C607" s="106"/>
      <c r="D607" s="101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9"/>
      <c r="V607" s="109"/>
    </row>
    <row r="608" ht="12.75" customHeight="1">
      <c r="A608" s="106"/>
      <c r="B608" s="106"/>
      <c r="C608" s="106"/>
      <c r="D608" s="101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9"/>
      <c r="V608" s="109"/>
    </row>
    <row r="609" ht="12.75" customHeight="1">
      <c r="A609" s="106"/>
      <c r="B609" s="106"/>
      <c r="C609" s="106"/>
      <c r="D609" s="101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9"/>
      <c r="V609" s="109"/>
    </row>
    <row r="610" ht="12.75" customHeight="1">
      <c r="A610" s="106"/>
      <c r="B610" s="106"/>
      <c r="C610" s="106"/>
      <c r="D610" s="101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9"/>
      <c r="V610" s="109"/>
    </row>
    <row r="611" ht="12.75" customHeight="1">
      <c r="A611" s="106"/>
      <c r="B611" s="106"/>
      <c r="C611" s="106"/>
      <c r="D611" s="101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9"/>
      <c r="V611" s="109"/>
    </row>
    <row r="612" ht="12.75" customHeight="1">
      <c r="A612" s="106"/>
      <c r="B612" s="106"/>
      <c r="C612" s="106"/>
      <c r="D612" s="101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9"/>
      <c r="V612" s="109"/>
    </row>
    <row r="613" ht="12.75" customHeight="1">
      <c r="A613" s="106"/>
      <c r="B613" s="106"/>
      <c r="C613" s="106"/>
      <c r="D613" s="101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9"/>
      <c r="V613" s="109"/>
    </row>
    <row r="614" ht="12.75" customHeight="1">
      <c r="A614" s="106"/>
      <c r="B614" s="106"/>
      <c r="C614" s="106"/>
      <c r="D614" s="101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9"/>
      <c r="V614" s="109"/>
    </row>
    <row r="615" ht="12.75" customHeight="1">
      <c r="A615" s="106"/>
      <c r="B615" s="106"/>
      <c r="C615" s="106"/>
      <c r="D615" s="101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9"/>
      <c r="V615" s="109"/>
    </row>
    <row r="616" ht="12.75" customHeight="1">
      <c r="A616" s="106"/>
      <c r="B616" s="106"/>
      <c r="C616" s="106"/>
      <c r="D616" s="101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9"/>
      <c r="V616" s="109"/>
    </row>
    <row r="617" ht="12.75" customHeight="1">
      <c r="A617" s="106"/>
      <c r="B617" s="106"/>
      <c r="C617" s="106"/>
      <c r="D617" s="101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9"/>
      <c r="V617" s="109"/>
    </row>
    <row r="618" ht="12.75" customHeight="1">
      <c r="A618" s="106"/>
      <c r="B618" s="106"/>
      <c r="C618" s="106"/>
      <c r="D618" s="101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9"/>
      <c r="V618" s="109"/>
    </row>
    <row r="619" ht="12.75" customHeight="1">
      <c r="A619" s="106"/>
      <c r="B619" s="106"/>
      <c r="C619" s="106"/>
      <c r="D619" s="101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9"/>
      <c r="V619" s="109"/>
    </row>
    <row r="620" ht="12.75" customHeight="1">
      <c r="A620" s="106"/>
      <c r="B620" s="106"/>
      <c r="C620" s="106"/>
      <c r="D620" s="101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9"/>
      <c r="V620" s="109"/>
    </row>
    <row r="621" ht="12.75" customHeight="1">
      <c r="A621" s="106"/>
      <c r="B621" s="106"/>
      <c r="C621" s="106"/>
      <c r="D621" s="101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9"/>
      <c r="V621" s="109"/>
    </row>
    <row r="622" ht="12.75" customHeight="1">
      <c r="A622" s="106"/>
      <c r="B622" s="106"/>
      <c r="C622" s="106"/>
      <c r="D622" s="101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9"/>
      <c r="V622" s="109"/>
    </row>
    <row r="623" ht="12.75" customHeight="1">
      <c r="A623" s="106"/>
      <c r="B623" s="106"/>
      <c r="C623" s="106"/>
      <c r="D623" s="101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9"/>
      <c r="V623" s="109"/>
    </row>
    <row r="624" ht="12.75" customHeight="1">
      <c r="A624" s="106"/>
      <c r="B624" s="106"/>
      <c r="C624" s="106"/>
      <c r="D624" s="101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9"/>
      <c r="V624" s="109"/>
    </row>
    <row r="625" ht="12.75" customHeight="1">
      <c r="A625" s="106"/>
      <c r="B625" s="106"/>
      <c r="C625" s="106"/>
      <c r="D625" s="101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9"/>
      <c r="V625" s="109"/>
    </row>
    <row r="626" ht="12.75" customHeight="1">
      <c r="A626" s="106"/>
      <c r="B626" s="106"/>
      <c r="C626" s="106"/>
      <c r="D626" s="101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9"/>
      <c r="V626" s="109"/>
    </row>
    <row r="627" ht="12.75" customHeight="1">
      <c r="A627" s="106"/>
      <c r="B627" s="106"/>
      <c r="C627" s="106"/>
      <c r="D627" s="101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9"/>
      <c r="V627" s="109"/>
    </row>
    <row r="628" ht="12.75" customHeight="1">
      <c r="A628" s="106"/>
      <c r="B628" s="106"/>
      <c r="C628" s="106"/>
      <c r="D628" s="101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9"/>
      <c r="V628" s="109"/>
    </row>
    <row r="629" ht="12.75" customHeight="1">
      <c r="A629" s="106"/>
      <c r="B629" s="106"/>
      <c r="C629" s="106"/>
      <c r="D629" s="101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9"/>
      <c r="V629" s="109"/>
    </row>
    <row r="630" ht="12.75" customHeight="1">
      <c r="A630" s="106"/>
      <c r="B630" s="106"/>
      <c r="C630" s="106"/>
      <c r="D630" s="101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9"/>
      <c r="V630" s="109"/>
    </row>
    <row r="631" ht="12.75" customHeight="1">
      <c r="A631" s="106"/>
      <c r="B631" s="106"/>
      <c r="C631" s="106"/>
      <c r="D631" s="101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9"/>
      <c r="V631" s="109"/>
    </row>
    <row r="632" ht="12.75" customHeight="1">
      <c r="A632" s="106"/>
      <c r="B632" s="106"/>
      <c r="C632" s="106"/>
      <c r="D632" s="101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9"/>
      <c r="V632" s="109"/>
    </row>
    <row r="633" ht="12.75" customHeight="1">
      <c r="A633" s="106"/>
      <c r="B633" s="106"/>
      <c r="C633" s="106"/>
      <c r="D633" s="101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9"/>
      <c r="V633" s="109"/>
    </row>
    <row r="634" ht="12.75" customHeight="1">
      <c r="A634" s="106"/>
      <c r="B634" s="106"/>
      <c r="C634" s="106"/>
      <c r="D634" s="101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9"/>
      <c r="V634" s="109"/>
    </row>
    <row r="635" ht="12.75" customHeight="1">
      <c r="A635" s="106"/>
      <c r="B635" s="106"/>
      <c r="C635" s="106"/>
      <c r="D635" s="101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9"/>
      <c r="V635" s="109"/>
    </row>
    <row r="636" ht="12.75" customHeight="1">
      <c r="A636" s="106"/>
      <c r="B636" s="106"/>
      <c r="C636" s="106"/>
      <c r="D636" s="101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9"/>
      <c r="V636" s="109"/>
    </row>
    <row r="637" ht="12.75" customHeight="1">
      <c r="A637" s="106"/>
      <c r="B637" s="106"/>
      <c r="C637" s="106"/>
      <c r="D637" s="101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9"/>
      <c r="V637" s="109"/>
    </row>
    <row r="638" ht="12.75" customHeight="1">
      <c r="A638" s="106"/>
      <c r="B638" s="106"/>
      <c r="C638" s="106"/>
      <c r="D638" s="101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9"/>
      <c r="V638" s="109"/>
    </row>
    <row r="639" ht="12.75" customHeight="1">
      <c r="A639" s="106"/>
      <c r="B639" s="106"/>
      <c r="C639" s="106"/>
      <c r="D639" s="101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9"/>
      <c r="V639" s="109"/>
    </row>
    <row r="640" ht="12.75" customHeight="1">
      <c r="A640" s="106"/>
      <c r="B640" s="106"/>
      <c r="C640" s="106"/>
      <c r="D640" s="101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9"/>
      <c r="V640" s="109"/>
    </row>
    <row r="641" ht="12.75" customHeight="1">
      <c r="A641" s="106"/>
      <c r="B641" s="106"/>
      <c r="C641" s="106"/>
      <c r="D641" s="101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9"/>
      <c r="V641" s="109"/>
    </row>
    <row r="642" ht="12.75" customHeight="1">
      <c r="A642" s="106"/>
      <c r="B642" s="106"/>
      <c r="C642" s="106"/>
      <c r="D642" s="101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9"/>
      <c r="V642" s="109"/>
    </row>
    <row r="643" ht="12.75" customHeight="1">
      <c r="A643" s="106"/>
      <c r="B643" s="106"/>
      <c r="C643" s="106"/>
      <c r="D643" s="101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9"/>
      <c r="V643" s="109"/>
    </row>
    <row r="644" ht="12.75" customHeight="1">
      <c r="A644" s="106"/>
      <c r="B644" s="106"/>
      <c r="C644" s="106"/>
      <c r="D644" s="101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9"/>
      <c r="V644" s="109"/>
    </row>
    <row r="645" ht="12.75" customHeight="1">
      <c r="A645" s="106"/>
      <c r="B645" s="106"/>
      <c r="C645" s="106"/>
      <c r="D645" s="101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9"/>
      <c r="V645" s="109"/>
    </row>
    <row r="646" ht="12.75" customHeight="1">
      <c r="A646" s="106"/>
      <c r="B646" s="106"/>
      <c r="C646" s="106"/>
      <c r="D646" s="101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9"/>
      <c r="V646" s="109"/>
    </row>
    <row r="647" ht="12.75" customHeight="1">
      <c r="A647" s="106"/>
      <c r="B647" s="106"/>
      <c r="C647" s="106"/>
      <c r="D647" s="101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9"/>
      <c r="V647" s="109"/>
    </row>
    <row r="648" ht="12.75" customHeight="1">
      <c r="A648" s="106"/>
      <c r="B648" s="106"/>
      <c r="C648" s="106"/>
      <c r="D648" s="101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9"/>
      <c r="V648" s="109"/>
    </row>
    <row r="649" ht="12.75" customHeight="1">
      <c r="A649" s="106"/>
      <c r="B649" s="106"/>
      <c r="C649" s="106"/>
      <c r="D649" s="101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9"/>
      <c r="V649" s="109"/>
    </row>
    <row r="650" ht="12.75" customHeight="1">
      <c r="A650" s="106"/>
      <c r="B650" s="106"/>
      <c r="C650" s="106"/>
      <c r="D650" s="101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9"/>
      <c r="V650" s="109"/>
    </row>
    <row r="651" ht="12.75" customHeight="1">
      <c r="A651" s="106"/>
      <c r="B651" s="106"/>
      <c r="C651" s="106"/>
      <c r="D651" s="101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9"/>
      <c r="V651" s="109"/>
    </row>
    <row r="652" ht="12.75" customHeight="1">
      <c r="A652" s="106"/>
      <c r="B652" s="106"/>
      <c r="C652" s="106"/>
      <c r="D652" s="101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9"/>
      <c r="V652" s="109"/>
    </row>
    <row r="653" ht="12.75" customHeight="1">
      <c r="A653" s="106"/>
      <c r="B653" s="106"/>
      <c r="C653" s="106"/>
      <c r="D653" s="101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9"/>
      <c r="V653" s="109"/>
    </row>
    <row r="654" ht="12.75" customHeight="1">
      <c r="A654" s="106"/>
      <c r="B654" s="106"/>
      <c r="C654" s="106"/>
      <c r="D654" s="101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9"/>
      <c r="V654" s="109"/>
    </row>
    <row r="655" ht="12.75" customHeight="1">
      <c r="A655" s="106"/>
      <c r="B655" s="106"/>
      <c r="C655" s="106"/>
      <c r="D655" s="101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9"/>
      <c r="V655" s="109"/>
    </row>
    <row r="656" ht="12.75" customHeight="1">
      <c r="A656" s="106"/>
      <c r="B656" s="106"/>
      <c r="C656" s="106"/>
      <c r="D656" s="101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9"/>
      <c r="V656" s="109"/>
    </row>
    <row r="657" ht="12.75" customHeight="1">
      <c r="A657" s="106"/>
      <c r="B657" s="106"/>
      <c r="C657" s="106"/>
      <c r="D657" s="101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9"/>
      <c r="V657" s="109"/>
    </row>
    <row r="658" ht="12.75" customHeight="1">
      <c r="A658" s="106"/>
      <c r="B658" s="106"/>
      <c r="C658" s="106"/>
      <c r="D658" s="101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9"/>
      <c r="V658" s="109"/>
    </row>
    <row r="659" ht="12.75" customHeight="1">
      <c r="A659" s="106"/>
      <c r="B659" s="106"/>
      <c r="C659" s="106"/>
      <c r="D659" s="101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9"/>
      <c r="V659" s="109"/>
    </row>
    <row r="660" ht="12.75" customHeight="1">
      <c r="A660" s="106"/>
      <c r="B660" s="106"/>
      <c r="C660" s="106"/>
      <c r="D660" s="101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9"/>
      <c r="V660" s="109"/>
    </row>
    <row r="661" ht="12.75" customHeight="1">
      <c r="A661" s="106"/>
      <c r="B661" s="106"/>
      <c r="C661" s="106"/>
      <c r="D661" s="101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9"/>
      <c r="V661" s="109"/>
    </row>
    <row r="662" ht="12.75" customHeight="1">
      <c r="A662" s="106"/>
      <c r="B662" s="106"/>
      <c r="C662" s="106"/>
      <c r="D662" s="101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9"/>
      <c r="V662" s="109"/>
    </row>
    <row r="663" ht="12.75" customHeight="1">
      <c r="A663" s="106"/>
      <c r="B663" s="106"/>
      <c r="C663" s="106"/>
      <c r="D663" s="101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9"/>
      <c r="V663" s="109"/>
    </row>
    <row r="664" ht="12.75" customHeight="1">
      <c r="A664" s="106"/>
      <c r="B664" s="106"/>
      <c r="C664" s="106"/>
      <c r="D664" s="101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9"/>
      <c r="V664" s="109"/>
    </row>
    <row r="665" ht="12.75" customHeight="1">
      <c r="A665" s="106"/>
      <c r="B665" s="106"/>
      <c r="C665" s="106"/>
      <c r="D665" s="101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9"/>
      <c r="V665" s="109"/>
    </row>
    <row r="666" ht="12.75" customHeight="1">
      <c r="A666" s="106"/>
      <c r="B666" s="106"/>
      <c r="C666" s="106"/>
      <c r="D666" s="101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9"/>
      <c r="V666" s="109"/>
    </row>
    <row r="667" ht="12.75" customHeight="1">
      <c r="A667" s="106"/>
      <c r="B667" s="106"/>
      <c r="C667" s="106"/>
      <c r="D667" s="101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9"/>
      <c r="V667" s="109"/>
    </row>
    <row r="668" ht="12.75" customHeight="1">
      <c r="A668" s="106"/>
      <c r="B668" s="106"/>
      <c r="C668" s="106"/>
      <c r="D668" s="101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9"/>
      <c r="V668" s="109"/>
    </row>
    <row r="669" ht="12.75" customHeight="1">
      <c r="A669" s="106"/>
      <c r="B669" s="106"/>
      <c r="C669" s="106"/>
      <c r="D669" s="101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9"/>
      <c r="V669" s="109"/>
    </row>
    <row r="670" ht="12.75" customHeight="1">
      <c r="A670" s="106"/>
      <c r="B670" s="106"/>
      <c r="C670" s="106"/>
      <c r="D670" s="101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9"/>
      <c r="V670" s="109"/>
    </row>
    <row r="671" ht="12.75" customHeight="1">
      <c r="A671" s="106"/>
      <c r="B671" s="106"/>
      <c r="C671" s="106"/>
      <c r="D671" s="101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9"/>
      <c r="V671" s="109"/>
    </row>
    <row r="672" ht="12.75" customHeight="1">
      <c r="A672" s="106"/>
      <c r="B672" s="106"/>
      <c r="C672" s="106"/>
      <c r="D672" s="101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9"/>
      <c r="V672" s="109"/>
    </row>
    <row r="673" ht="12.75" customHeight="1">
      <c r="A673" s="106"/>
      <c r="B673" s="106"/>
      <c r="C673" s="106"/>
      <c r="D673" s="101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9"/>
      <c r="V673" s="109"/>
    </row>
    <row r="674" ht="12.75" customHeight="1">
      <c r="A674" s="106"/>
      <c r="B674" s="106"/>
      <c r="C674" s="106"/>
      <c r="D674" s="101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9"/>
      <c r="V674" s="109"/>
    </row>
    <row r="675" ht="12.75" customHeight="1">
      <c r="A675" s="106"/>
      <c r="B675" s="106"/>
      <c r="C675" s="106"/>
      <c r="D675" s="101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9"/>
      <c r="V675" s="109"/>
    </row>
    <row r="676" ht="12.75" customHeight="1">
      <c r="A676" s="106"/>
      <c r="B676" s="106"/>
      <c r="C676" s="106"/>
      <c r="D676" s="101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9"/>
      <c r="V676" s="109"/>
    </row>
    <row r="677" ht="12.75" customHeight="1">
      <c r="A677" s="106"/>
      <c r="B677" s="106"/>
      <c r="C677" s="106"/>
      <c r="D677" s="101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9"/>
      <c r="V677" s="109"/>
    </row>
    <row r="678" ht="12.75" customHeight="1">
      <c r="A678" s="106"/>
      <c r="B678" s="106"/>
      <c r="C678" s="106"/>
      <c r="D678" s="101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9"/>
      <c r="V678" s="109"/>
    </row>
    <row r="679" ht="12.75" customHeight="1">
      <c r="A679" s="106"/>
      <c r="B679" s="106"/>
      <c r="C679" s="106"/>
      <c r="D679" s="101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9"/>
      <c r="V679" s="109"/>
    </row>
    <row r="680" ht="12.75" customHeight="1">
      <c r="A680" s="106"/>
      <c r="B680" s="106"/>
      <c r="C680" s="106"/>
      <c r="D680" s="101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9"/>
      <c r="V680" s="109"/>
    </row>
    <row r="681" ht="12.75" customHeight="1">
      <c r="A681" s="106"/>
      <c r="B681" s="106"/>
      <c r="C681" s="106"/>
      <c r="D681" s="101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9"/>
      <c r="V681" s="109"/>
    </row>
    <row r="682" ht="12.75" customHeight="1">
      <c r="A682" s="106"/>
      <c r="B682" s="106"/>
      <c r="C682" s="106"/>
      <c r="D682" s="101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9"/>
      <c r="V682" s="109"/>
    </row>
    <row r="683" ht="12.75" customHeight="1">
      <c r="A683" s="106"/>
      <c r="B683" s="106"/>
      <c r="C683" s="106"/>
      <c r="D683" s="101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9"/>
      <c r="V683" s="109"/>
    </row>
    <row r="684" ht="12.75" customHeight="1">
      <c r="A684" s="106"/>
      <c r="B684" s="106"/>
      <c r="C684" s="106"/>
      <c r="D684" s="101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9"/>
      <c r="V684" s="109"/>
    </row>
    <row r="685" ht="12.75" customHeight="1">
      <c r="A685" s="106"/>
      <c r="B685" s="106"/>
      <c r="C685" s="106"/>
      <c r="D685" s="101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9"/>
      <c r="V685" s="109"/>
    </row>
    <row r="686" ht="12.75" customHeight="1">
      <c r="A686" s="106"/>
      <c r="B686" s="106"/>
      <c r="C686" s="106"/>
      <c r="D686" s="101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9"/>
      <c r="V686" s="109"/>
    </row>
    <row r="687" ht="12.75" customHeight="1">
      <c r="A687" s="106"/>
      <c r="B687" s="106"/>
      <c r="C687" s="106"/>
      <c r="D687" s="101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9"/>
      <c r="V687" s="109"/>
    </row>
    <row r="688" ht="12.75" customHeight="1">
      <c r="A688" s="106"/>
      <c r="B688" s="106"/>
      <c r="C688" s="106"/>
      <c r="D688" s="101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9"/>
      <c r="V688" s="109"/>
    </row>
    <row r="689" ht="12.75" customHeight="1">
      <c r="A689" s="106"/>
      <c r="B689" s="106"/>
      <c r="C689" s="106"/>
      <c r="D689" s="101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9"/>
      <c r="V689" s="109"/>
    </row>
    <row r="690" ht="12.75" customHeight="1">
      <c r="A690" s="106"/>
      <c r="B690" s="106"/>
      <c r="C690" s="106"/>
      <c r="D690" s="101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9"/>
      <c r="V690" s="109"/>
    </row>
    <row r="691" ht="12.75" customHeight="1">
      <c r="A691" s="106"/>
      <c r="B691" s="106"/>
      <c r="C691" s="106"/>
      <c r="D691" s="101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9"/>
      <c r="V691" s="109"/>
    </row>
    <row r="692" ht="12.75" customHeight="1">
      <c r="A692" s="106"/>
      <c r="B692" s="106"/>
      <c r="C692" s="106"/>
      <c r="D692" s="101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9"/>
      <c r="V692" s="109"/>
    </row>
    <row r="693" ht="12.75" customHeight="1">
      <c r="A693" s="106"/>
      <c r="B693" s="106"/>
      <c r="C693" s="106"/>
      <c r="D693" s="101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9"/>
      <c r="V693" s="109"/>
    </row>
    <row r="694" ht="12.75" customHeight="1">
      <c r="A694" s="106"/>
      <c r="B694" s="106"/>
      <c r="C694" s="106"/>
      <c r="D694" s="101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9"/>
      <c r="V694" s="109"/>
    </row>
    <row r="695" ht="12.75" customHeight="1">
      <c r="A695" s="106"/>
      <c r="B695" s="106"/>
      <c r="C695" s="106"/>
      <c r="D695" s="101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9"/>
      <c r="V695" s="109"/>
    </row>
    <row r="696" ht="12.75" customHeight="1">
      <c r="A696" s="106"/>
      <c r="B696" s="106"/>
      <c r="C696" s="106"/>
      <c r="D696" s="101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9"/>
      <c r="V696" s="109"/>
    </row>
    <row r="697" ht="12.75" customHeight="1">
      <c r="A697" s="106"/>
      <c r="B697" s="106"/>
      <c r="C697" s="106"/>
      <c r="D697" s="101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9"/>
      <c r="V697" s="109"/>
    </row>
    <row r="698" ht="12.75" customHeight="1">
      <c r="A698" s="106"/>
      <c r="B698" s="106"/>
      <c r="C698" s="106"/>
      <c r="D698" s="101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9"/>
      <c r="V698" s="109"/>
    </row>
    <row r="699" ht="12.75" customHeight="1">
      <c r="A699" s="106"/>
      <c r="B699" s="106"/>
      <c r="C699" s="106"/>
      <c r="D699" s="101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9"/>
      <c r="V699" s="109"/>
    </row>
    <row r="700" ht="12.75" customHeight="1">
      <c r="A700" s="106"/>
      <c r="B700" s="106"/>
      <c r="C700" s="106"/>
      <c r="D700" s="101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9"/>
      <c r="V700" s="109"/>
    </row>
    <row r="701" ht="12.75" customHeight="1">
      <c r="A701" s="106"/>
      <c r="B701" s="106"/>
      <c r="C701" s="106"/>
      <c r="D701" s="101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9"/>
      <c r="V701" s="109"/>
    </row>
    <row r="702" ht="12.75" customHeight="1">
      <c r="A702" s="106"/>
      <c r="B702" s="106"/>
      <c r="C702" s="106"/>
      <c r="D702" s="101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9"/>
      <c r="V702" s="109"/>
    </row>
    <row r="703" ht="12.75" customHeight="1">
      <c r="A703" s="106"/>
      <c r="B703" s="106"/>
      <c r="C703" s="106"/>
      <c r="D703" s="101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9"/>
      <c r="V703" s="109"/>
    </row>
    <row r="704" ht="12.75" customHeight="1">
      <c r="A704" s="106"/>
      <c r="B704" s="106"/>
      <c r="C704" s="106"/>
      <c r="D704" s="101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9"/>
      <c r="V704" s="109"/>
    </row>
    <row r="705" ht="12.75" customHeight="1">
      <c r="A705" s="106"/>
      <c r="B705" s="106"/>
      <c r="C705" s="106"/>
      <c r="D705" s="101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9"/>
      <c r="V705" s="109"/>
    </row>
    <row r="706" ht="12.75" customHeight="1">
      <c r="A706" s="106"/>
      <c r="B706" s="106"/>
      <c r="C706" s="106"/>
      <c r="D706" s="101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9"/>
      <c r="V706" s="109"/>
    </row>
    <row r="707" ht="12.75" customHeight="1">
      <c r="A707" s="106"/>
      <c r="B707" s="106"/>
      <c r="C707" s="106"/>
      <c r="D707" s="101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9"/>
      <c r="V707" s="109"/>
    </row>
    <row r="708" ht="12.75" customHeight="1">
      <c r="A708" s="106"/>
      <c r="B708" s="106"/>
      <c r="C708" s="106"/>
      <c r="D708" s="101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9"/>
      <c r="V708" s="109"/>
    </row>
    <row r="709" ht="12.75" customHeight="1">
      <c r="A709" s="106"/>
      <c r="B709" s="106"/>
      <c r="C709" s="106"/>
      <c r="D709" s="101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9"/>
      <c r="V709" s="109"/>
    </row>
    <row r="710" ht="12.75" customHeight="1">
      <c r="A710" s="106"/>
      <c r="B710" s="106"/>
      <c r="C710" s="106"/>
      <c r="D710" s="101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9"/>
      <c r="V710" s="109"/>
    </row>
    <row r="711" ht="12.75" customHeight="1">
      <c r="A711" s="106"/>
      <c r="B711" s="106"/>
      <c r="C711" s="106"/>
      <c r="D711" s="101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9"/>
      <c r="V711" s="109"/>
    </row>
    <row r="712" ht="12.75" customHeight="1">
      <c r="A712" s="106"/>
      <c r="B712" s="106"/>
      <c r="C712" s="106"/>
      <c r="D712" s="101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9"/>
      <c r="V712" s="109"/>
    </row>
    <row r="713" ht="12.75" customHeight="1">
      <c r="A713" s="106"/>
      <c r="B713" s="106"/>
      <c r="C713" s="106"/>
      <c r="D713" s="101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9"/>
      <c r="V713" s="109"/>
    </row>
    <row r="714" ht="12.75" customHeight="1">
      <c r="A714" s="106"/>
      <c r="B714" s="106"/>
      <c r="C714" s="106"/>
      <c r="D714" s="101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9"/>
      <c r="V714" s="109"/>
    </row>
    <row r="715" ht="12.75" customHeight="1">
      <c r="A715" s="106"/>
      <c r="B715" s="106"/>
      <c r="C715" s="106"/>
      <c r="D715" s="101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9"/>
      <c r="V715" s="109"/>
    </row>
    <row r="716" ht="12.75" customHeight="1">
      <c r="A716" s="106"/>
      <c r="B716" s="106"/>
      <c r="C716" s="106"/>
      <c r="D716" s="101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9"/>
      <c r="V716" s="109"/>
    </row>
    <row r="717" ht="12.75" customHeight="1">
      <c r="A717" s="106"/>
      <c r="B717" s="106"/>
      <c r="C717" s="106"/>
      <c r="D717" s="101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9"/>
      <c r="V717" s="109"/>
    </row>
    <row r="718" ht="12.75" customHeight="1">
      <c r="A718" s="106"/>
      <c r="B718" s="106"/>
      <c r="C718" s="106"/>
      <c r="D718" s="101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9"/>
      <c r="V718" s="109"/>
    </row>
    <row r="719" ht="12.75" customHeight="1">
      <c r="A719" s="106"/>
      <c r="B719" s="106"/>
      <c r="C719" s="106"/>
      <c r="D719" s="101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9"/>
      <c r="V719" s="109"/>
    </row>
    <row r="720" ht="12.75" customHeight="1">
      <c r="A720" s="106"/>
      <c r="B720" s="106"/>
      <c r="C720" s="106"/>
      <c r="D720" s="101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9"/>
      <c r="V720" s="109"/>
    </row>
    <row r="721" ht="12.75" customHeight="1">
      <c r="A721" s="106"/>
      <c r="B721" s="106"/>
      <c r="C721" s="106"/>
      <c r="D721" s="101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9"/>
      <c r="V721" s="109"/>
    </row>
    <row r="722" ht="12.75" customHeight="1">
      <c r="A722" s="106"/>
      <c r="B722" s="106"/>
      <c r="C722" s="106"/>
      <c r="D722" s="101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9"/>
      <c r="V722" s="109"/>
    </row>
    <row r="723" ht="12.75" customHeight="1">
      <c r="A723" s="106"/>
      <c r="B723" s="106"/>
      <c r="C723" s="106"/>
      <c r="D723" s="101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9"/>
      <c r="V723" s="109"/>
    </row>
    <row r="724" ht="12.75" customHeight="1">
      <c r="A724" s="106"/>
      <c r="B724" s="106"/>
      <c r="C724" s="106"/>
      <c r="D724" s="101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9"/>
      <c r="V724" s="109"/>
    </row>
    <row r="725" ht="12.75" customHeight="1">
      <c r="A725" s="106"/>
      <c r="B725" s="106"/>
      <c r="C725" s="106"/>
      <c r="D725" s="101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9"/>
      <c r="V725" s="109"/>
    </row>
    <row r="726" ht="12.75" customHeight="1">
      <c r="A726" s="106"/>
      <c r="B726" s="106"/>
      <c r="C726" s="106"/>
      <c r="D726" s="101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9"/>
      <c r="V726" s="109"/>
    </row>
    <row r="727" ht="12.75" customHeight="1">
      <c r="A727" s="106"/>
      <c r="B727" s="106"/>
      <c r="C727" s="106"/>
      <c r="D727" s="101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9"/>
      <c r="V727" s="109"/>
    </row>
    <row r="728" ht="12.75" customHeight="1">
      <c r="A728" s="106"/>
      <c r="B728" s="106"/>
      <c r="C728" s="106"/>
      <c r="D728" s="101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9"/>
      <c r="V728" s="109"/>
    </row>
    <row r="729" ht="12.75" customHeight="1">
      <c r="A729" s="106"/>
      <c r="B729" s="106"/>
      <c r="C729" s="106"/>
      <c r="D729" s="101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9"/>
      <c r="V729" s="109"/>
    </row>
    <row r="730" ht="12.75" customHeight="1">
      <c r="A730" s="106"/>
      <c r="B730" s="106"/>
      <c r="C730" s="106"/>
      <c r="D730" s="101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9"/>
      <c r="V730" s="109"/>
    </row>
    <row r="731" ht="12.75" customHeight="1">
      <c r="A731" s="106"/>
      <c r="B731" s="106"/>
      <c r="C731" s="106"/>
      <c r="D731" s="101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9"/>
      <c r="V731" s="109"/>
    </row>
    <row r="732" ht="12.75" customHeight="1">
      <c r="A732" s="106"/>
      <c r="B732" s="106"/>
      <c r="C732" s="106"/>
      <c r="D732" s="101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9"/>
      <c r="V732" s="109"/>
    </row>
    <row r="733" ht="12.75" customHeight="1">
      <c r="A733" s="106"/>
      <c r="B733" s="106"/>
      <c r="C733" s="106"/>
      <c r="D733" s="101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9"/>
      <c r="V733" s="109"/>
    </row>
    <row r="734" ht="12.75" customHeight="1">
      <c r="A734" s="106"/>
      <c r="B734" s="106"/>
      <c r="C734" s="106"/>
      <c r="D734" s="101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9"/>
      <c r="V734" s="109"/>
    </row>
    <row r="735" ht="12.75" customHeight="1">
      <c r="A735" s="106"/>
      <c r="B735" s="106"/>
      <c r="C735" s="106"/>
      <c r="D735" s="101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9"/>
      <c r="V735" s="109"/>
    </row>
    <row r="736" ht="12.75" customHeight="1">
      <c r="A736" s="106"/>
      <c r="B736" s="106"/>
      <c r="C736" s="106"/>
      <c r="D736" s="101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9"/>
      <c r="V736" s="109"/>
    </row>
    <row r="737" ht="12.75" customHeight="1">
      <c r="A737" s="106"/>
      <c r="B737" s="106"/>
      <c r="C737" s="106"/>
      <c r="D737" s="101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9"/>
      <c r="V737" s="109"/>
    </row>
    <row r="738" ht="12.75" customHeight="1">
      <c r="A738" s="106"/>
      <c r="B738" s="106"/>
      <c r="C738" s="106"/>
      <c r="D738" s="101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9"/>
      <c r="V738" s="109"/>
    </row>
    <row r="739" ht="12.75" customHeight="1">
      <c r="A739" s="106"/>
      <c r="B739" s="106"/>
      <c r="C739" s="106"/>
      <c r="D739" s="101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9"/>
      <c r="V739" s="109"/>
    </row>
    <row r="740" ht="12.75" customHeight="1">
      <c r="A740" s="106"/>
      <c r="B740" s="106"/>
      <c r="C740" s="106"/>
      <c r="D740" s="101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9"/>
      <c r="V740" s="109"/>
    </row>
    <row r="741" ht="12.75" customHeight="1">
      <c r="A741" s="106"/>
      <c r="B741" s="106"/>
      <c r="C741" s="106"/>
      <c r="D741" s="101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9"/>
      <c r="V741" s="109"/>
    </row>
    <row r="742" ht="12.75" customHeight="1">
      <c r="A742" s="106"/>
      <c r="B742" s="106"/>
      <c r="C742" s="106"/>
      <c r="D742" s="101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9"/>
      <c r="V742" s="109"/>
    </row>
    <row r="743" ht="12.75" customHeight="1">
      <c r="A743" s="106"/>
      <c r="B743" s="106"/>
      <c r="C743" s="106"/>
      <c r="D743" s="101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9"/>
      <c r="V743" s="109"/>
    </row>
    <row r="744" ht="12.75" customHeight="1">
      <c r="A744" s="106"/>
      <c r="B744" s="106"/>
      <c r="C744" s="106"/>
      <c r="D744" s="101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9"/>
      <c r="V744" s="109"/>
    </row>
    <row r="745" ht="12.75" customHeight="1">
      <c r="A745" s="106"/>
      <c r="B745" s="106"/>
      <c r="C745" s="106"/>
      <c r="D745" s="101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9"/>
      <c r="V745" s="109"/>
    </row>
    <row r="746" ht="12.75" customHeight="1">
      <c r="A746" s="106"/>
      <c r="B746" s="106"/>
      <c r="C746" s="106"/>
      <c r="D746" s="101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9"/>
      <c r="V746" s="109"/>
    </row>
    <row r="747" ht="12.75" customHeight="1">
      <c r="A747" s="106"/>
      <c r="B747" s="106"/>
      <c r="C747" s="106"/>
      <c r="D747" s="101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9"/>
      <c r="V747" s="109"/>
    </row>
    <row r="748" ht="12.75" customHeight="1">
      <c r="A748" s="106"/>
      <c r="B748" s="106"/>
      <c r="C748" s="106"/>
      <c r="D748" s="101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9"/>
      <c r="V748" s="109"/>
    </row>
    <row r="749" ht="12.75" customHeight="1">
      <c r="A749" s="106"/>
      <c r="B749" s="106"/>
      <c r="C749" s="106"/>
      <c r="D749" s="101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9"/>
      <c r="V749" s="109"/>
    </row>
    <row r="750" ht="12.75" customHeight="1">
      <c r="A750" s="106"/>
      <c r="B750" s="106"/>
      <c r="C750" s="106"/>
      <c r="D750" s="101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9"/>
      <c r="V750" s="109"/>
    </row>
    <row r="751" ht="12.75" customHeight="1">
      <c r="A751" s="106"/>
      <c r="B751" s="106"/>
      <c r="C751" s="106"/>
      <c r="D751" s="101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9"/>
      <c r="V751" s="109"/>
    </row>
    <row r="752" ht="12.75" customHeight="1">
      <c r="A752" s="106"/>
      <c r="B752" s="106"/>
      <c r="C752" s="106"/>
      <c r="D752" s="101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9"/>
      <c r="V752" s="109"/>
    </row>
    <row r="753" ht="12.75" customHeight="1">
      <c r="A753" s="106"/>
      <c r="B753" s="106"/>
      <c r="C753" s="106"/>
      <c r="D753" s="101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9"/>
      <c r="V753" s="109"/>
    </row>
    <row r="754" ht="12.75" customHeight="1">
      <c r="A754" s="106"/>
      <c r="B754" s="106"/>
      <c r="C754" s="106"/>
      <c r="D754" s="101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9"/>
      <c r="V754" s="109"/>
    </row>
    <row r="755" ht="12.75" customHeight="1">
      <c r="A755" s="106"/>
      <c r="B755" s="106"/>
      <c r="C755" s="106"/>
      <c r="D755" s="101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9"/>
      <c r="V755" s="109"/>
    </row>
    <row r="756" ht="12.75" customHeight="1">
      <c r="A756" s="106"/>
      <c r="B756" s="106"/>
      <c r="C756" s="106"/>
      <c r="D756" s="101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9"/>
      <c r="V756" s="109"/>
    </row>
    <row r="757" ht="12.75" customHeight="1">
      <c r="A757" s="106"/>
      <c r="B757" s="106"/>
      <c r="C757" s="106"/>
      <c r="D757" s="101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9"/>
      <c r="V757" s="109"/>
    </row>
    <row r="758" ht="12.75" customHeight="1">
      <c r="A758" s="106"/>
      <c r="B758" s="106"/>
      <c r="C758" s="106"/>
      <c r="D758" s="101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9"/>
      <c r="V758" s="109"/>
    </row>
    <row r="759" ht="12.75" customHeight="1">
      <c r="A759" s="106"/>
      <c r="B759" s="106"/>
      <c r="C759" s="106"/>
      <c r="D759" s="101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9"/>
      <c r="V759" s="109"/>
    </row>
    <row r="760" ht="12.75" customHeight="1">
      <c r="A760" s="106"/>
      <c r="B760" s="106"/>
      <c r="C760" s="106"/>
      <c r="D760" s="101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9"/>
      <c r="V760" s="109"/>
    </row>
    <row r="761" ht="12.75" customHeight="1">
      <c r="A761" s="106"/>
      <c r="B761" s="106"/>
      <c r="C761" s="106"/>
      <c r="D761" s="101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9"/>
      <c r="V761" s="109"/>
    </row>
    <row r="762" ht="12.75" customHeight="1">
      <c r="A762" s="106"/>
      <c r="B762" s="106"/>
      <c r="C762" s="106"/>
      <c r="D762" s="101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9"/>
      <c r="V762" s="109"/>
    </row>
    <row r="763" ht="12.75" customHeight="1">
      <c r="A763" s="106"/>
      <c r="B763" s="106"/>
      <c r="C763" s="106"/>
      <c r="D763" s="101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9"/>
      <c r="V763" s="109"/>
    </row>
    <row r="764" ht="12.75" customHeight="1">
      <c r="A764" s="106"/>
      <c r="B764" s="106"/>
      <c r="C764" s="106"/>
      <c r="D764" s="101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9"/>
      <c r="V764" s="109"/>
    </row>
    <row r="765" ht="12.75" customHeight="1">
      <c r="A765" s="106"/>
      <c r="B765" s="106"/>
      <c r="C765" s="106"/>
      <c r="D765" s="101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9"/>
      <c r="V765" s="109"/>
    </row>
    <row r="766" ht="12.75" customHeight="1">
      <c r="A766" s="106"/>
      <c r="B766" s="106"/>
      <c r="C766" s="106"/>
      <c r="D766" s="101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9"/>
      <c r="V766" s="109"/>
    </row>
    <row r="767" ht="12.75" customHeight="1">
      <c r="A767" s="106"/>
      <c r="B767" s="106"/>
      <c r="C767" s="106"/>
      <c r="D767" s="101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9"/>
      <c r="V767" s="109"/>
    </row>
    <row r="768" ht="12.75" customHeight="1">
      <c r="A768" s="106"/>
      <c r="B768" s="106"/>
      <c r="C768" s="106"/>
      <c r="D768" s="101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9"/>
      <c r="V768" s="109"/>
    </row>
    <row r="769" ht="12.75" customHeight="1">
      <c r="A769" s="106"/>
      <c r="B769" s="106"/>
      <c r="C769" s="106"/>
      <c r="D769" s="101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9"/>
      <c r="V769" s="109"/>
    </row>
    <row r="770" ht="12.75" customHeight="1">
      <c r="A770" s="106"/>
      <c r="B770" s="106"/>
      <c r="C770" s="106"/>
      <c r="D770" s="101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9"/>
      <c r="V770" s="109"/>
    </row>
    <row r="771" ht="12.75" customHeight="1">
      <c r="A771" s="106"/>
      <c r="B771" s="106"/>
      <c r="C771" s="106"/>
      <c r="D771" s="101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9"/>
      <c r="V771" s="109"/>
    </row>
    <row r="772" ht="12.75" customHeight="1">
      <c r="A772" s="106"/>
      <c r="B772" s="106"/>
      <c r="C772" s="106"/>
      <c r="D772" s="101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9"/>
      <c r="V772" s="109"/>
    </row>
    <row r="773" ht="12.75" customHeight="1">
      <c r="A773" s="106"/>
      <c r="B773" s="106"/>
      <c r="C773" s="106"/>
      <c r="D773" s="101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9"/>
      <c r="V773" s="109"/>
    </row>
    <row r="774" ht="12.75" customHeight="1">
      <c r="A774" s="106"/>
      <c r="B774" s="106"/>
      <c r="C774" s="106"/>
      <c r="D774" s="101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9"/>
      <c r="V774" s="109"/>
    </row>
    <row r="775" ht="12.75" customHeight="1">
      <c r="A775" s="106"/>
      <c r="B775" s="106"/>
      <c r="C775" s="106"/>
      <c r="D775" s="101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9"/>
      <c r="V775" s="109"/>
    </row>
    <row r="776" ht="12.75" customHeight="1">
      <c r="A776" s="106"/>
      <c r="B776" s="106"/>
      <c r="C776" s="106"/>
      <c r="D776" s="101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9"/>
      <c r="V776" s="109"/>
    </row>
    <row r="777" ht="12.75" customHeight="1">
      <c r="A777" s="106"/>
      <c r="B777" s="106"/>
      <c r="C777" s="106"/>
      <c r="D777" s="101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9"/>
      <c r="V777" s="109"/>
    </row>
    <row r="778" ht="12.75" customHeight="1">
      <c r="A778" s="106"/>
      <c r="B778" s="106"/>
      <c r="C778" s="106"/>
      <c r="D778" s="101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9"/>
      <c r="V778" s="109"/>
    </row>
    <row r="779" ht="12.75" customHeight="1">
      <c r="A779" s="106"/>
      <c r="B779" s="106"/>
      <c r="C779" s="106"/>
      <c r="D779" s="101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9"/>
      <c r="V779" s="109"/>
    </row>
    <row r="780" ht="12.75" customHeight="1">
      <c r="A780" s="106"/>
      <c r="B780" s="106"/>
      <c r="C780" s="106"/>
      <c r="D780" s="101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9"/>
      <c r="V780" s="109"/>
    </row>
    <row r="781" ht="12.75" customHeight="1">
      <c r="A781" s="106"/>
      <c r="B781" s="106"/>
      <c r="C781" s="106"/>
      <c r="D781" s="101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9"/>
      <c r="V781" s="109"/>
    </row>
    <row r="782" ht="12.75" customHeight="1">
      <c r="A782" s="106"/>
      <c r="B782" s="106"/>
      <c r="C782" s="106"/>
      <c r="D782" s="101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9"/>
      <c r="V782" s="109"/>
    </row>
    <row r="783" ht="12.75" customHeight="1">
      <c r="A783" s="106"/>
      <c r="B783" s="106"/>
      <c r="C783" s="106"/>
      <c r="D783" s="101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9"/>
      <c r="V783" s="109"/>
    </row>
    <row r="784" ht="12.75" customHeight="1">
      <c r="A784" s="106"/>
      <c r="B784" s="106"/>
      <c r="C784" s="106"/>
      <c r="D784" s="101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9"/>
      <c r="V784" s="109"/>
    </row>
    <row r="785" ht="12.75" customHeight="1">
      <c r="A785" s="106"/>
      <c r="B785" s="106"/>
      <c r="C785" s="106"/>
      <c r="D785" s="101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9"/>
      <c r="V785" s="109"/>
    </row>
    <row r="786" ht="12.75" customHeight="1">
      <c r="A786" s="106"/>
      <c r="B786" s="106"/>
      <c r="C786" s="106"/>
      <c r="D786" s="101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9"/>
      <c r="V786" s="109"/>
    </row>
    <row r="787" ht="12.75" customHeight="1">
      <c r="A787" s="106"/>
      <c r="B787" s="106"/>
      <c r="C787" s="106"/>
      <c r="D787" s="101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9"/>
      <c r="V787" s="109"/>
    </row>
    <row r="788" ht="12.75" customHeight="1">
      <c r="A788" s="106"/>
      <c r="B788" s="106"/>
      <c r="C788" s="106"/>
      <c r="D788" s="101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9"/>
      <c r="V788" s="109"/>
    </row>
    <row r="789" ht="12.75" customHeight="1">
      <c r="A789" s="106"/>
      <c r="B789" s="106"/>
      <c r="C789" s="106"/>
      <c r="D789" s="101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9"/>
      <c r="V789" s="109"/>
    </row>
    <row r="790" ht="12.75" customHeight="1">
      <c r="A790" s="106"/>
      <c r="B790" s="106"/>
      <c r="C790" s="106"/>
      <c r="D790" s="101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9"/>
      <c r="V790" s="109"/>
    </row>
    <row r="791" ht="12.75" customHeight="1">
      <c r="A791" s="106"/>
      <c r="B791" s="106"/>
      <c r="C791" s="106"/>
      <c r="D791" s="101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9"/>
      <c r="V791" s="109"/>
    </row>
    <row r="792" ht="12.75" customHeight="1">
      <c r="A792" s="106"/>
      <c r="B792" s="106"/>
      <c r="C792" s="106"/>
      <c r="D792" s="101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9"/>
      <c r="V792" s="109"/>
    </row>
    <row r="793" ht="12.75" customHeight="1">
      <c r="A793" s="106"/>
      <c r="B793" s="106"/>
      <c r="C793" s="106"/>
      <c r="D793" s="101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9"/>
      <c r="V793" s="109"/>
    </row>
    <row r="794" ht="12.75" customHeight="1">
      <c r="A794" s="106"/>
      <c r="B794" s="106"/>
      <c r="C794" s="106"/>
      <c r="D794" s="101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9"/>
      <c r="V794" s="109"/>
    </row>
    <row r="795" ht="12.75" customHeight="1">
      <c r="A795" s="106"/>
      <c r="B795" s="106"/>
      <c r="C795" s="106"/>
      <c r="D795" s="101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9"/>
      <c r="V795" s="109"/>
    </row>
    <row r="796" ht="12.75" customHeight="1">
      <c r="A796" s="106"/>
      <c r="B796" s="106"/>
      <c r="C796" s="106"/>
      <c r="D796" s="101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9"/>
      <c r="V796" s="109"/>
    </row>
    <row r="797" ht="12.75" customHeight="1">
      <c r="A797" s="106"/>
      <c r="B797" s="106"/>
      <c r="C797" s="106"/>
      <c r="D797" s="101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9"/>
      <c r="V797" s="109"/>
    </row>
    <row r="798" ht="12.75" customHeight="1">
      <c r="A798" s="106"/>
      <c r="B798" s="106"/>
      <c r="C798" s="106"/>
      <c r="D798" s="101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9"/>
      <c r="V798" s="109"/>
    </row>
    <row r="799" ht="12.75" customHeight="1">
      <c r="A799" s="106"/>
      <c r="B799" s="106"/>
      <c r="C799" s="106"/>
      <c r="D799" s="101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9"/>
      <c r="V799" s="109"/>
    </row>
    <row r="800" ht="12.75" customHeight="1">
      <c r="A800" s="106"/>
      <c r="B800" s="106"/>
      <c r="C800" s="106"/>
      <c r="D800" s="101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9"/>
      <c r="V800" s="109"/>
    </row>
    <row r="801" ht="12.75" customHeight="1">
      <c r="A801" s="106"/>
      <c r="B801" s="106"/>
      <c r="C801" s="106"/>
      <c r="D801" s="101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9"/>
      <c r="V801" s="109"/>
    </row>
    <row r="802" ht="12.75" customHeight="1">
      <c r="A802" s="106"/>
      <c r="B802" s="106"/>
      <c r="C802" s="106"/>
      <c r="D802" s="101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9"/>
      <c r="V802" s="109"/>
    </row>
    <row r="803" ht="12.75" customHeight="1">
      <c r="A803" s="106"/>
      <c r="B803" s="106"/>
      <c r="C803" s="106"/>
      <c r="D803" s="101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9"/>
      <c r="V803" s="109"/>
    </row>
    <row r="804" ht="12.75" customHeight="1">
      <c r="A804" s="106"/>
      <c r="B804" s="106"/>
      <c r="C804" s="106"/>
      <c r="D804" s="101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9"/>
      <c r="V804" s="109"/>
    </row>
    <row r="805" ht="12.75" customHeight="1">
      <c r="A805" s="106"/>
      <c r="B805" s="106"/>
      <c r="C805" s="106"/>
      <c r="D805" s="101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9"/>
      <c r="V805" s="109"/>
    </row>
    <row r="806" ht="12.75" customHeight="1">
      <c r="A806" s="106"/>
      <c r="B806" s="106"/>
      <c r="C806" s="106"/>
      <c r="D806" s="101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9"/>
      <c r="V806" s="109"/>
    </row>
    <row r="807" ht="12.75" customHeight="1">
      <c r="A807" s="106"/>
      <c r="B807" s="106"/>
      <c r="C807" s="106"/>
      <c r="D807" s="101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9"/>
      <c r="V807" s="109"/>
    </row>
    <row r="808" ht="12.75" customHeight="1">
      <c r="A808" s="106"/>
      <c r="B808" s="106"/>
      <c r="C808" s="106"/>
      <c r="D808" s="101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9"/>
      <c r="V808" s="109"/>
    </row>
    <row r="809" ht="12.75" customHeight="1">
      <c r="A809" s="106"/>
      <c r="B809" s="106"/>
      <c r="C809" s="106"/>
      <c r="D809" s="101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9"/>
      <c r="V809" s="109"/>
    </row>
    <row r="810" ht="12.75" customHeight="1">
      <c r="A810" s="106"/>
      <c r="B810" s="106"/>
      <c r="C810" s="106"/>
      <c r="D810" s="101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9"/>
      <c r="V810" s="109"/>
    </row>
    <row r="811" ht="12.75" customHeight="1">
      <c r="A811" s="106"/>
      <c r="B811" s="106"/>
      <c r="C811" s="106"/>
      <c r="D811" s="101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9"/>
      <c r="V811" s="109"/>
    </row>
    <row r="812" ht="12.75" customHeight="1">
      <c r="A812" s="106"/>
      <c r="B812" s="106"/>
      <c r="C812" s="106"/>
      <c r="D812" s="101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9"/>
      <c r="V812" s="109"/>
    </row>
    <row r="813" ht="12.75" customHeight="1">
      <c r="A813" s="106"/>
      <c r="B813" s="106"/>
      <c r="C813" s="106"/>
      <c r="D813" s="101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9"/>
      <c r="V813" s="109"/>
    </row>
    <row r="814" ht="12.75" customHeight="1">
      <c r="A814" s="106"/>
      <c r="B814" s="106"/>
      <c r="C814" s="106"/>
      <c r="D814" s="101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9"/>
      <c r="V814" s="109"/>
    </row>
    <row r="815" ht="12.75" customHeight="1">
      <c r="A815" s="106"/>
      <c r="B815" s="106"/>
      <c r="C815" s="106"/>
      <c r="D815" s="101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9"/>
      <c r="V815" s="109"/>
    </row>
    <row r="816" ht="12.75" customHeight="1">
      <c r="A816" s="106"/>
      <c r="B816" s="106"/>
      <c r="C816" s="106"/>
      <c r="D816" s="101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9"/>
      <c r="V816" s="109"/>
    </row>
    <row r="817" ht="12.75" customHeight="1">
      <c r="A817" s="106"/>
      <c r="B817" s="106"/>
      <c r="C817" s="106"/>
      <c r="D817" s="101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9"/>
      <c r="V817" s="109"/>
    </row>
    <row r="818" ht="12.75" customHeight="1">
      <c r="A818" s="106"/>
      <c r="B818" s="106"/>
      <c r="C818" s="106"/>
      <c r="D818" s="101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9"/>
      <c r="V818" s="109"/>
    </row>
    <row r="819" ht="12.75" customHeight="1">
      <c r="A819" s="106"/>
      <c r="B819" s="106"/>
      <c r="C819" s="106"/>
      <c r="D819" s="101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9"/>
      <c r="V819" s="109"/>
    </row>
    <row r="820" ht="12.75" customHeight="1">
      <c r="A820" s="106"/>
      <c r="B820" s="106"/>
      <c r="C820" s="106"/>
      <c r="D820" s="101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9"/>
      <c r="V820" s="109"/>
    </row>
    <row r="821" ht="12.75" customHeight="1">
      <c r="A821" s="106"/>
      <c r="B821" s="106"/>
      <c r="C821" s="106"/>
      <c r="D821" s="101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9"/>
      <c r="V821" s="109"/>
    </row>
    <row r="822" ht="12.75" customHeight="1">
      <c r="A822" s="106"/>
      <c r="B822" s="106"/>
      <c r="C822" s="106"/>
      <c r="D822" s="101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9"/>
      <c r="V822" s="109"/>
    </row>
    <row r="823" ht="12.75" customHeight="1">
      <c r="A823" s="106"/>
      <c r="B823" s="106"/>
      <c r="C823" s="106"/>
      <c r="D823" s="101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9"/>
      <c r="V823" s="109"/>
    </row>
    <row r="824" ht="12.75" customHeight="1">
      <c r="A824" s="106"/>
      <c r="B824" s="106"/>
      <c r="C824" s="106"/>
      <c r="D824" s="101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9"/>
      <c r="V824" s="109"/>
    </row>
    <row r="825" ht="12.75" customHeight="1">
      <c r="A825" s="106"/>
      <c r="B825" s="106"/>
      <c r="C825" s="106"/>
      <c r="D825" s="101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9"/>
      <c r="V825" s="109"/>
    </row>
    <row r="826" ht="12.75" customHeight="1">
      <c r="A826" s="106"/>
      <c r="B826" s="106"/>
      <c r="C826" s="106"/>
      <c r="D826" s="101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9"/>
      <c r="V826" s="109"/>
    </row>
    <row r="827" ht="12.75" customHeight="1">
      <c r="A827" s="106"/>
      <c r="B827" s="106"/>
      <c r="C827" s="106"/>
      <c r="D827" s="101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9"/>
      <c r="V827" s="109"/>
    </row>
    <row r="828" ht="12.75" customHeight="1">
      <c r="A828" s="106"/>
      <c r="B828" s="106"/>
      <c r="C828" s="106"/>
      <c r="D828" s="101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9"/>
      <c r="V828" s="109"/>
    </row>
    <row r="829" ht="12.75" customHeight="1">
      <c r="A829" s="106"/>
      <c r="B829" s="106"/>
      <c r="C829" s="106"/>
      <c r="D829" s="101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9"/>
      <c r="V829" s="109"/>
    </row>
    <row r="830" ht="12.75" customHeight="1">
      <c r="A830" s="106"/>
      <c r="B830" s="106"/>
      <c r="C830" s="106"/>
      <c r="D830" s="101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9"/>
      <c r="V830" s="109"/>
    </row>
    <row r="831" ht="12.75" customHeight="1">
      <c r="A831" s="106"/>
      <c r="B831" s="106"/>
      <c r="C831" s="106"/>
      <c r="D831" s="101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9"/>
      <c r="V831" s="109"/>
    </row>
    <row r="832" ht="12.75" customHeight="1">
      <c r="A832" s="106"/>
      <c r="B832" s="106"/>
      <c r="C832" s="106"/>
      <c r="D832" s="101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9"/>
      <c r="V832" s="109"/>
    </row>
    <row r="833" ht="12.75" customHeight="1">
      <c r="A833" s="106"/>
      <c r="B833" s="106"/>
      <c r="C833" s="106"/>
      <c r="D833" s="101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9"/>
      <c r="V833" s="109"/>
    </row>
    <row r="834" ht="12.75" customHeight="1">
      <c r="A834" s="106"/>
      <c r="B834" s="106"/>
      <c r="C834" s="106"/>
      <c r="D834" s="101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9"/>
      <c r="V834" s="109"/>
    </row>
    <row r="835" ht="12.75" customHeight="1">
      <c r="A835" s="106"/>
      <c r="B835" s="106"/>
      <c r="C835" s="106"/>
      <c r="D835" s="101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9"/>
      <c r="V835" s="109"/>
    </row>
    <row r="836" ht="12.75" customHeight="1">
      <c r="A836" s="106"/>
      <c r="B836" s="106"/>
      <c r="C836" s="106"/>
      <c r="D836" s="101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9"/>
      <c r="V836" s="109"/>
    </row>
    <row r="837" ht="12.75" customHeight="1">
      <c r="A837" s="106"/>
      <c r="B837" s="106"/>
      <c r="C837" s="106"/>
      <c r="D837" s="101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9"/>
      <c r="V837" s="109"/>
    </row>
    <row r="838" ht="12.75" customHeight="1">
      <c r="A838" s="106"/>
      <c r="B838" s="106"/>
      <c r="C838" s="106"/>
      <c r="D838" s="101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9"/>
      <c r="V838" s="109"/>
    </row>
    <row r="839" ht="12.75" customHeight="1">
      <c r="A839" s="106"/>
      <c r="B839" s="106"/>
      <c r="C839" s="106"/>
      <c r="D839" s="101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9"/>
      <c r="V839" s="109"/>
    </row>
    <row r="840" ht="12.75" customHeight="1">
      <c r="A840" s="106"/>
      <c r="B840" s="106"/>
      <c r="C840" s="106"/>
      <c r="D840" s="101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9"/>
      <c r="V840" s="109"/>
    </row>
    <row r="841" ht="12.75" customHeight="1">
      <c r="A841" s="106"/>
      <c r="B841" s="106"/>
      <c r="C841" s="106"/>
      <c r="D841" s="101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9"/>
      <c r="V841" s="109"/>
    </row>
    <row r="842" ht="12.75" customHeight="1">
      <c r="A842" s="106"/>
      <c r="B842" s="106"/>
      <c r="C842" s="106"/>
      <c r="D842" s="101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9"/>
      <c r="V842" s="109"/>
    </row>
    <row r="843" ht="12.75" customHeight="1">
      <c r="A843" s="106"/>
      <c r="B843" s="106"/>
      <c r="C843" s="106"/>
      <c r="D843" s="101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9"/>
      <c r="V843" s="109"/>
    </row>
    <row r="844" ht="12.75" customHeight="1">
      <c r="A844" s="106"/>
      <c r="B844" s="106"/>
      <c r="C844" s="106"/>
      <c r="D844" s="101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9"/>
      <c r="V844" s="109"/>
    </row>
    <row r="845" ht="12.75" customHeight="1">
      <c r="A845" s="106"/>
      <c r="B845" s="106"/>
      <c r="C845" s="106"/>
      <c r="D845" s="101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9"/>
      <c r="V845" s="109"/>
    </row>
    <row r="846" ht="12.75" customHeight="1">
      <c r="A846" s="106"/>
      <c r="B846" s="106"/>
      <c r="C846" s="106"/>
      <c r="D846" s="101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9"/>
      <c r="V846" s="109"/>
    </row>
    <row r="847" ht="12.75" customHeight="1">
      <c r="A847" s="106"/>
      <c r="B847" s="106"/>
      <c r="C847" s="106"/>
      <c r="D847" s="101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9"/>
      <c r="V847" s="109"/>
    </row>
    <row r="848" ht="12.75" customHeight="1">
      <c r="A848" s="106"/>
      <c r="B848" s="106"/>
      <c r="C848" s="106"/>
      <c r="D848" s="101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9"/>
      <c r="V848" s="109"/>
    </row>
    <row r="849" ht="12.75" customHeight="1">
      <c r="A849" s="106"/>
      <c r="B849" s="106"/>
      <c r="C849" s="106"/>
      <c r="D849" s="101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9"/>
      <c r="V849" s="109"/>
    </row>
    <row r="850" ht="12.75" customHeight="1">
      <c r="A850" s="106"/>
      <c r="B850" s="106"/>
      <c r="C850" s="106"/>
      <c r="D850" s="101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9"/>
      <c r="V850" s="109"/>
    </row>
    <row r="851" ht="12.75" customHeight="1">
      <c r="A851" s="106"/>
      <c r="B851" s="106"/>
      <c r="C851" s="106"/>
      <c r="D851" s="101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9"/>
      <c r="V851" s="109"/>
    </row>
    <row r="852" ht="12.75" customHeight="1">
      <c r="A852" s="106"/>
      <c r="B852" s="106"/>
      <c r="C852" s="106"/>
      <c r="D852" s="101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9"/>
      <c r="V852" s="109"/>
    </row>
    <row r="853" ht="12.75" customHeight="1">
      <c r="A853" s="106"/>
      <c r="B853" s="106"/>
      <c r="C853" s="106"/>
      <c r="D853" s="101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9"/>
      <c r="V853" s="109"/>
    </row>
    <row r="854" ht="12.75" customHeight="1">
      <c r="A854" s="106"/>
      <c r="B854" s="106"/>
      <c r="C854" s="106"/>
      <c r="D854" s="101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9"/>
      <c r="V854" s="109"/>
    </row>
    <row r="855" ht="12.75" customHeight="1">
      <c r="A855" s="106"/>
      <c r="B855" s="106"/>
      <c r="C855" s="106"/>
      <c r="D855" s="101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9"/>
      <c r="V855" s="109"/>
    </row>
    <row r="856" ht="12.75" customHeight="1">
      <c r="A856" s="106"/>
      <c r="B856" s="106"/>
      <c r="C856" s="106"/>
      <c r="D856" s="101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9"/>
      <c r="V856" s="109"/>
    </row>
    <row r="857" ht="12.75" customHeight="1">
      <c r="A857" s="106"/>
      <c r="B857" s="106"/>
      <c r="C857" s="106"/>
      <c r="D857" s="101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9"/>
      <c r="V857" s="109"/>
    </row>
    <row r="858" ht="12.75" customHeight="1">
      <c r="A858" s="106"/>
      <c r="B858" s="106"/>
      <c r="C858" s="106"/>
      <c r="D858" s="101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9"/>
      <c r="V858" s="109"/>
    </row>
    <row r="859" ht="12.75" customHeight="1">
      <c r="A859" s="106"/>
      <c r="B859" s="106"/>
      <c r="C859" s="106"/>
      <c r="D859" s="101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9"/>
      <c r="V859" s="109"/>
    </row>
    <row r="860" ht="12.75" customHeight="1">
      <c r="A860" s="106"/>
      <c r="B860" s="106"/>
      <c r="C860" s="106"/>
      <c r="D860" s="101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9"/>
      <c r="V860" s="109"/>
    </row>
    <row r="861" ht="12.75" customHeight="1">
      <c r="A861" s="106"/>
      <c r="B861" s="106"/>
      <c r="C861" s="106"/>
      <c r="D861" s="101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9"/>
      <c r="V861" s="109"/>
    </row>
    <row r="862" ht="12.75" customHeight="1">
      <c r="A862" s="106"/>
      <c r="B862" s="106"/>
      <c r="C862" s="106"/>
      <c r="D862" s="101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9"/>
      <c r="V862" s="109"/>
    </row>
    <row r="863" ht="12.75" customHeight="1">
      <c r="A863" s="106"/>
      <c r="B863" s="106"/>
      <c r="C863" s="106"/>
      <c r="D863" s="101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9"/>
      <c r="V863" s="109"/>
    </row>
    <row r="864" ht="12.75" customHeight="1">
      <c r="A864" s="106"/>
      <c r="B864" s="106"/>
      <c r="C864" s="106"/>
      <c r="D864" s="101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9"/>
      <c r="V864" s="109"/>
    </row>
    <row r="865" ht="12.75" customHeight="1">
      <c r="A865" s="106"/>
      <c r="B865" s="106"/>
      <c r="C865" s="106"/>
      <c r="D865" s="101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9"/>
      <c r="V865" s="109"/>
    </row>
    <row r="866" ht="12.75" customHeight="1">
      <c r="A866" s="106"/>
      <c r="B866" s="106"/>
      <c r="C866" s="106"/>
      <c r="D866" s="101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9"/>
      <c r="V866" s="109"/>
    </row>
    <row r="867" ht="12.75" customHeight="1">
      <c r="A867" s="106"/>
      <c r="B867" s="106"/>
      <c r="C867" s="106"/>
      <c r="D867" s="101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9"/>
      <c r="V867" s="109"/>
    </row>
    <row r="868" ht="12.75" customHeight="1">
      <c r="A868" s="106"/>
      <c r="B868" s="106"/>
      <c r="C868" s="106"/>
      <c r="D868" s="101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9"/>
      <c r="V868" s="109"/>
    </row>
    <row r="869" ht="12.75" customHeight="1">
      <c r="A869" s="106"/>
      <c r="B869" s="106"/>
      <c r="C869" s="106"/>
      <c r="D869" s="101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9"/>
      <c r="V869" s="109"/>
    </row>
    <row r="870" ht="12.75" customHeight="1">
      <c r="A870" s="106"/>
      <c r="B870" s="106"/>
      <c r="C870" s="106"/>
      <c r="D870" s="101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9"/>
      <c r="V870" s="109"/>
    </row>
    <row r="871" ht="12.75" customHeight="1">
      <c r="A871" s="106"/>
      <c r="B871" s="106"/>
      <c r="C871" s="106"/>
      <c r="D871" s="101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9"/>
      <c r="V871" s="109"/>
    </row>
    <row r="872" ht="12.75" customHeight="1">
      <c r="A872" s="106"/>
      <c r="B872" s="106"/>
      <c r="C872" s="106"/>
      <c r="D872" s="101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9"/>
      <c r="V872" s="109"/>
    </row>
    <row r="873" ht="12.75" customHeight="1">
      <c r="A873" s="106"/>
      <c r="B873" s="106"/>
      <c r="C873" s="106"/>
      <c r="D873" s="101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9"/>
      <c r="V873" s="109"/>
    </row>
    <row r="874" ht="12.75" customHeight="1">
      <c r="A874" s="106"/>
      <c r="B874" s="106"/>
      <c r="C874" s="106"/>
      <c r="D874" s="101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9"/>
      <c r="V874" s="109"/>
    </row>
    <row r="875" ht="12.75" customHeight="1">
      <c r="A875" s="106"/>
      <c r="B875" s="106"/>
      <c r="C875" s="106"/>
      <c r="D875" s="101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9"/>
      <c r="V875" s="109"/>
    </row>
    <row r="876" ht="12.75" customHeight="1">
      <c r="A876" s="106"/>
      <c r="B876" s="106"/>
      <c r="C876" s="106"/>
      <c r="D876" s="101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9"/>
      <c r="V876" s="109"/>
    </row>
    <row r="877" ht="12.75" customHeight="1">
      <c r="A877" s="106"/>
      <c r="B877" s="106"/>
      <c r="C877" s="106"/>
      <c r="D877" s="101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9"/>
      <c r="V877" s="109"/>
    </row>
    <row r="878" ht="12.75" customHeight="1">
      <c r="A878" s="106"/>
      <c r="B878" s="106"/>
      <c r="C878" s="106"/>
      <c r="D878" s="101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9"/>
      <c r="V878" s="109"/>
    </row>
    <row r="879" ht="12.75" customHeight="1">
      <c r="A879" s="106"/>
      <c r="B879" s="106"/>
      <c r="C879" s="106"/>
      <c r="D879" s="101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9"/>
      <c r="V879" s="109"/>
    </row>
    <row r="880" ht="12.75" customHeight="1">
      <c r="A880" s="106"/>
      <c r="B880" s="106"/>
      <c r="C880" s="106"/>
      <c r="D880" s="101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9"/>
      <c r="V880" s="109"/>
    </row>
    <row r="881" ht="12.75" customHeight="1">
      <c r="A881" s="106"/>
      <c r="B881" s="106"/>
      <c r="C881" s="106"/>
      <c r="D881" s="101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9"/>
      <c r="V881" s="109"/>
    </row>
    <row r="882" ht="12.75" customHeight="1">
      <c r="A882" s="106"/>
      <c r="B882" s="106"/>
      <c r="C882" s="106"/>
      <c r="D882" s="101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9"/>
      <c r="V882" s="109"/>
    </row>
    <row r="883" ht="12.75" customHeight="1">
      <c r="A883" s="106"/>
      <c r="B883" s="106"/>
      <c r="C883" s="106"/>
      <c r="D883" s="101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9"/>
      <c r="V883" s="109"/>
    </row>
    <row r="884" ht="12.75" customHeight="1">
      <c r="A884" s="106"/>
      <c r="B884" s="106"/>
      <c r="C884" s="106"/>
      <c r="D884" s="101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9"/>
      <c r="V884" s="109"/>
    </row>
    <row r="885" ht="12.75" customHeight="1">
      <c r="A885" s="106"/>
      <c r="B885" s="106"/>
      <c r="C885" s="106"/>
      <c r="D885" s="101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9"/>
      <c r="V885" s="109"/>
    </row>
    <row r="886" ht="12.75" customHeight="1">
      <c r="A886" s="106"/>
      <c r="B886" s="106"/>
      <c r="C886" s="106"/>
      <c r="D886" s="101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9"/>
      <c r="V886" s="109"/>
    </row>
    <row r="887" ht="12.75" customHeight="1">
      <c r="A887" s="106"/>
      <c r="B887" s="106"/>
      <c r="C887" s="106"/>
      <c r="D887" s="101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9"/>
      <c r="V887" s="109"/>
    </row>
    <row r="888" ht="12.75" customHeight="1">
      <c r="A888" s="106"/>
      <c r="B888" s="106"/>
      <c r="C888" s="106"/>
      <c r="D888" s="101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9"/>
      <c r="V888" s="109"/>
    </row>
    <row r="889" ht="12.75" customHeight="1">
      <c r="A889" s="106"/>
      <c r="B889" s="106"/>
      <c r="C889" s="106"/>
      <c r="D889" s="101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9"/>
      <c r="V889" s="109"/>
    </row>
    <row r="890" ht="12.75" customHeight="1">
      <c r="A890" s="106"/>
      <c r="B890" s="106"/>
      <c r="C890" s="106"/>
      <c r="D890" s="101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9"/>
      <c r="V890" s="109"/>
    </row>
    <row r="891" ht="12.75" customHeight="1">
      <c r="A891" s="106"/>
      <c r="B891" s="106"/>
      <c r="C891" s="106"/>
      <c r="D891" s="101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9"/>
      <c r="V891" s="109"/>
    </row>
    <row r="892" ht="12.75" customHeight="1">
      <c r="A892" s="106"/>
      <c r="B892" s="106"/>
      <c r="C892" s="106"/>
      <c r="D892" s="101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9"/>
      <c r="V892" s="109"/>
    </row>
    <row r="893" ht="12.75" customHeight="1">
      <c r="A893" s="106"/>
      <c r="B893" s="106"/>
      <c r="C893" s="106"/>
      <c r="D893" s="101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9"/>
      <c r="V893" s="109"/>
    </row>
    <row r="894" ht="12.75" customHeight="1">
      <c r="A894" s="106"/>
      <c r="B894" s="106"/>
      <c r="C894" s="106"/>
      <c r="D894" s="101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9"/>
      <c r="V894" s="109"/>
    </row>
    <row r="895" ht="12.75" customHeight="1">
      <c r="A895" s="106"/>
      <c r="B895" s="106"/>
      <c r="C895" s="106"/>
      <c r="D895" s="101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9"/>
      <c r="V895" s="109"/>
    </row>
    <row r="896" ht="12.75" customHeight="1">
      <c r="A896" s="106"/>
      <c r="B896" s="106"/>
      <c r="C896" s="106"/>
      <c r="D896" s="101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9"/>
      <c r="V896" s="109"/>
    </row>
    <row r="897" ht="12.75" customHeight="1">
      <c r="A897" s="106"/>
      <c r="B897" s="106"/>
      <c r="C897" s="106"/>
      <c r="D897" s="101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9"/>
      <c r="V897" s="109"/>
    </row>
    <row r="898" ht="12.75" customHeight="1">
      <c r="A898" s="106"/>
      <c r="B898" s="106"/>
      <c r="C898" s="106"/>
      <c r="D898" s="101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9"/>
      <c r="V898" s="109"/>
    </row>
    <row r="899" ht="12.75" customHeight="1">
      <c r="A899" s="106"/>
      <c r="B899" s="106"/>
      <c r="C899" s="106"/>
      <c r="D899" s="101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9"/>
      <c r="V899" s="109"/>
    </row>
    <row r="900" ht="12.75" customHeight="1">
      <c r="A900" s="106"/>
      <c r="B900" s="106"/>
      <c r="C900" s="106"/>
      <c r="D900" s="101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9"/>
      <c r="V900" s="109"/>
    </row>
    <row r="901" ht="12.75" customHeight="1">
      <c r="A901" s="106"/>
      <c r="B901" s="106"/>
      <c r="C901" s="106"/>
      <c r="D901" s="101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9"/>
      <c r="V901" s="109"/>
    </row>
    <row r="902" ht="12.75" customHeight="1">
      <c r="A902" s="106"/>
      <c r="B902" s="106"/>
      <c r="C902" s="106"/>
      <c r="D902" s="101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9"/>
      <c r="V902" s="109"/>
    </row>
    <row r="903" ht="12.75" customHeight="1">
      <c r="A903" s="106"/>
      <c r="B903" s="106"/>
      <c r="C903" s="106"/>
      <c r="D903" s="101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9"/>
      <c r="V903" s="109"/>
    </row>
    <row r="904" ht="12.75" customHeight="1">
      <c r="A904" s="106"/>
      <c r="B904" s="106"/>
      <c r="C904" s="106"/>
      <c r="D904" s="101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9"/>
      <c r="V904" s="109"/>
    </row>
    <row r="905" ht="12.75" customHeight="1">
      <c r="A905" s="106"/>
      <c r="B905" s="106"/>
      <c r="C905" s="106"/>
      <c r="D905" s="101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9"/>
      <c r="V905" s="109"/>
    </row>
    <row r="906" ht="12.75" customHeight="1">
      <c r="A906" s="106"/>
      <c r="B906" s="106"/>
      <c r="C906" s="106"/>
      <c r="D906" s="101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9"/>
      <c r="V906" s="109"/>
    </row>
    <row r="907" ht="12.75" customHeight="1">
      <c r="A907" s="106"/>
      <c r="B907" s="106"/>
      <c r="C907" s="106"/>
      <c r="D907" s="101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9"/>
      <c r="V907" s="109"/>
    </row>
    <row r="908" ht="12.75" customHeight="1">
      <c r="A908" s="106"/>
      <c r="B908" s="106"/>
      <c r="C908" s="106"/>
      <c r="D908" s="101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9"/>
      <c r="V908" s="109"/>
    </row>
    <row r="909" ht="12.75" customHeight="1">
      <c r="A909" s="106"/>
      <c r="B909" s="106"/>
      <c r="C909" s="106"/>
      <c r="D909" s="101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9"/>
      <c r="V909" s="109"/>
    </row>
    <row r="910" ht="12.75" customHeight="1">
      <c r="A910" s="106"/>
      <c r="B910" s="106"/>
      <c r="C910" s="106"/>
      <c r="D910" s="101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9"/>
      <c r="V910" s="109"/>
    </row>
    <row r="911" ht="12.75" customHeight="1">
      <c r="A911" s="106"/>
      <c r="B911" s="106"/>
      <c r="C911" s="106"/>
      <c r="D911" s="101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9"/>
      <c r="V911" s="109"/>
    </row>
    <row r="912" ht="12.75" customHeight="1">
      <c r="A912" s="106"/>
      <c r="B912" s="106"/>
      <c r="C912" s="106"/>
      <c r="D912" s="101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9"/>
      <c r="V912" s="109"/>
    </row>
    <row r="913" ht="12.75" customHeight="1">
      <c r="A913" s="106"/>
      <c r="B913" s="106"/>
      <c r="C913" s="106"/>
      <c r="D913" s="101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9"/>
      <c r="V913" s="109"/>
    </row>
    <row r="914" ht="12.75" customHeight="1">
      <c r="A914" s="106"/>
      <c r="B914" s="106"/>
      <c r="C914" s="106"/>
      <c r="D914" s="101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9"/>
      <c r="V914" s="109"/>
    </row>
    <row r="915" ht="12.75" customHeight="1">
      <c r="A915" s="106"/>
      <c r="B915" s="106"/>
      <c r="C915" s="106"/>
      <c r="D915" s="101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9"/>
      <c r="V915" s="109"/>
    </row>
    <row r="916" ht="12.75" customHeight="1">
      <c r="A916" s="106"/>
      <c r="B916" s="106"/>
      <c r="C916" s="106"/>
      <c r="D916" s="101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9"/>
      <c r="V916" s="109"/>
    </row>
    <row r="917" ht="12.75" customHeight="1">
      <c r="A917" s="106"/>
      <c r="B917" s="106"/>
      <c r="C917" s="106"/>
      <c r="D917" s="101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9"/>
      <c r="V917" s="109"/>
    </row>
    <row r="918" ht="12.75" customHeight="1">
      <c r="A918" s="106"/>
      <c r="B918" s="106"/>
      <c r="C918" s="106"/>
      <c r="D918" s="101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9"/>
      <c r="V918" s="109"/>
    </row>
    <row r="919" ht="12.75" customHeight="1">
      <c r="A919" s="106"/>
      <c r="B919" s="106"/>
      <c r="C919" s="106"/>
      <c r="D919" s="101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9"/>
      <c r="V919" s="109"/>
    </row>
    <row r="920" ht="12.75" customHeight="1">
      <c r="A920" s="106"/>
      <c r="B920" s="106"/>
      <c r="C920" s="106"/>
      <c r="D920" s="101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9"/>
      <c r="V920" s="109"/>
    </row>
    <row r="921" ht="12.75" customHeight="1">
      <c r="A921" s="106"/>
      <c r="B921" s="106"/>
      <c r="C921" s="106"/>
      <c r="D921" s="101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9"/>
      <c r="V921" s="109"/>
    </row>
    <row r="922" ht="12.75" customHeight="1">
      <c r="A922" s="106"/>
      <c r="B922" s="106"/>
      <c r="C922" s="106"/>
      <c r="D922" s="101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9"/>
      <c r="V922" s="109"/>
    </row>
    <row r="923" ht="12.75" customHeight="1">
      <c r="A923" s="106"/>
      <c r="B923" s="106"/>
      <c r="C923" s="106"/>
      <c r="D923" s="101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9"/>
      <c r="V923" s="109"/>
    </row>
    <row r="924" ht="12.75" customHeight="1">
      <c r="A924" s="106"/>
      <c r="B924" s="106"/>
      <c r="C924" s="106"/>
      <c r="D924" s="101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9"/>
      <c r="V924" s="109"/>
    </row>
    <row r="925" ht="12.75" customHeight="1">
      <c r="A925" s="106"/>
      <c r="B925" s="106"/>
      <c r="C925" s="106"/>
      <c r="D925" s="101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9"/>
      <c r="V925" s="109"/>
    </row>
    <row r="926" ht="12.75" customHeight="1">
      <c r="A926" s="106"/>
      <c r="B926" s="106"/>
      <c r="C926" s="106"/>
      <c r="D926" s="101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9"/>
      <c r="V926" s="109"/>
    </row>
    <row r="927" ht="12.75" customHeight="1">
      <c r="A927" s="106"/>
      <c r="B927" s="106"/>
      <c r="C927" s="106"/>
      <c r="D927" s="101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9"/>
      <c r="V927" s="109"/>
    </row>
    <row r="928" ht="12.75" customHeight="1">
      <c r="A928" s="106"/>
      <c r="B928" s="106"/>
      <c r="C928" s="106"/>
      <c r="D928" s="101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9"/>
      <c r="V928" s="109"/>
    </row>
    <row r="929" ht="12.75" customHeight="1">
      <c r="A929" s="106"/>
      <c r="B929" s="106"/>
      <c r="C929" s="106"/>
      <c r="D929" s="101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9"/>
      <c r="V929" s="109"/>
    </row>
    <row r="930" ht="12.75" customHeight="1">
      <c r="A930" s="106"/>
      <c r="B930" s="106"/>
      <c r="C930" s="106"/>
      <c r="D930" s="101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9"/>
      <c r="V930" s="109"/>
    </row>
    <row r="931" ht="12.75" customHeight="1">
      <c r="A931" s="106"/>
      <c r="B931" s="106"/>
      <c r="C931" s="106"/>
      <c r="D931" s="101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9"/>
      <c r="V931" s="109"/>
    </row>
    <row r="932" ht="12.75" customHeight="1">
      <c r="A932" s="106"/>
      <c r="B932" s="106"/>
      <c r="C932" s="106"/>
      <c r="D932" s="101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9"/>
      <c r="V932" s="109"/>
    </row>
    <row r="933" ht="12.75" customHeight="1">
      <c r="A933" s="106"/>
      <c r="B933" s="106"/>
      <c r="C933" s="106"/>
      <c r="D933" s="101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9"/>
      <c r="V933" s="109"/>
    </row>
    <row r="934" ht="12.75" customHeight="1">
      <c r="A934" s="106"/>
      <c r="B934" s="106"/>
      <c r="C934" s="106"/>
      <c r="D934" s="101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9"/>
      <c r="V934" s="109"/>
    </row>
    <row r="935" ht="12.75" customHeight="1">
      <c r="A935" s="106"/>
      <c r="B935" s="106"/>
      <c r="C935" s="106"/>
      <c r="D935" s="101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9"/>
      <c r="V935" s="109"/>
    </row>
    <row r="936" ht="12.75" customHeight="1">
      <c r="A936" s="106"/>
      <c r="B936" s="106"/>
      <c r="C936" s="106"/>
      <c r="D936" s="101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9"/>
      <c r="V936" s="109"/>
    </row>
    <row r="937" ht="12.75" customHeight="1">
      <c r="A937" s="106"/>
      <c r="B937" s="106"/>
      <c r="C937" s="106"/>
      <c r="D937" s="101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9"/>
      <c r="V937" s="109"/>
    </row>
    <row r="938" ht="12.75" customHeight="1">
      <c r="A938" s="106"/>
      <c r="B938" s="106"/>
      <c r="C938" s="106"/>
      <c r="D938" s="101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9"/>
      <c r="V938" s="109"/>
    </row>
    <row r="939" ht="12.75" customHeight="1">
      <c r="A939" s="106"/>
      <c r="B939" s="106"/>
      <c r="C939" s="106"/>
      <c r="D939" s="101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9"/>
      <c r="V939" s="109"/>
    </row>
    <row r="940" ht="12.75" customHeight="1">
      <c r="A940" s="106"/>
      <c r="B940" s="106"/>
      <c r="C940" s="106"/>
      <c r="D940" s="101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9"/>
      <c r="V940" s="109"/>
    </row>
    <row r="941" ht="12.75" customHeight="1">
      <c r="A941" s="106"/>
      <c r="B941" s="106"/>
      <c r="C941" s="106"/>
      <c r="D941" s="101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9"/>
      <c r="V941" s="109"/>
    </row>
    <row r="942" ht="12.75" customHeight="1">
      <c r="A942" s="106"/>
      <c r="B942" s="106"/>
      <c r="C942" s="106"/>
      <c r="D942" s="101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9"/>
      <c r="V942" s="109"/>
    </row>
    <row r="943" ht="12.75" customHeight="1">
      <c r="A943" s="106"/>
      <c r="B943" s="106"/>
      <c r="C943" s="106"/>
      <c r="D943" s="101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9"/>
      <c r="V943" s="109"/>
    </row>
    <row r="944" ht="12.75" customHeight="1">
      <c r="A944" s="106"/>
      <c r="B944" s="106"/>
      <c r="C944" s="106"/>
      <c r="D944" s="101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9"/>
      <c r="V944" s="109"/>
    </row>
    <row r="945" ht="12.75" customHeight="1">
      <c r="A945" s="106"/>
      <c r="B945" s="106"/>
      <c r="C945" s="106"/>
      <c r="D945" s="101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9"/>
      <c r="V945" s="109"/>
    </row>
    <row r="946" ht="12.75" customHeight="1">
      <c r="A946" s="106"/>
      <c r="B946" s="106"/>
      <c r="C946" s="106"/>
      <c r="D946" s="101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9"/>
      <c r="V946" s="109"/>
    </row>
    <row r="947" ht="12.75" customHeight="1">
      <c r="A947" s="106"/>
      <c r="B947" s="106"/>
      <c r="C947" s="106"/>
      <c r="D947" s="101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9"/>
      <c r="V947" s="109"/>
    </row>
    <row r="948" ht="12.75" customHeight="1">
      <c r="A948" s="106"/>
      <c r="B948" s="106"/>
      <c r="C948" s="106"/>
      <c r="D948" s="101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9"/>
      <c r="V948" s="109"/>
    </row>
    <row r="949" ht="12.75" customHeight="1">
      <c r="A949" s="106"/>
      <c r="B949" s="106"/>
      <c r="C949" s="106"/>
      <c r="D949" s="101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9"/>
      <c r="V949" s="109"/>
    </row>
    <row r="950" ht="12.75" customHeight="1">
      <c r="A950" s="106"/>
      <c r="B950" s="106"/>
      <c r="C950" s="106"/>
      <c r="D950" s="101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9"/>
      <c r="V950" s="109"/>
    </row>
    <row r="951" ht="12.75" customHeight="1">
      <c r="A951" s="106"/>
      <c r="B951" s="106"/>
      <c r="C951" s="106"/>
      <c r="D951" s="101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9"/>
      <c r="V951" s="109"/>
    </row>
    <row r="952" ht="12.75" customHeight="1">
      <c r="A952" s="106"/>
      <c r="B952" s="106"/>
      <c r="C952" s="106"/>
      <c r="D952" s="101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9"/>
      <c r="V952" s="109"/>
    </row>
    <row r="953" ht="12.75" customHeight="1">
      <c r="A953" s="106"/>
      <c r="B953" s="106"/>
      <c r="C953" s="106"/>
      <c r="D953" s="101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9"/>
      <c r="V953" s="109"/>
    </row>
    <row r="954" ht="12.75" customHeight="1">
      <c r="A954" s="106"/>
      <c r="B954" s="106"/>
      <c r="C954" s="106"/>
      <c r="D954" s="101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9"/>
      <c r="V954" s="109"/>
    </row>
    <row r="955" ht="12.75" customHeight="1">
      <c r="A955" s="106"/>
      <c r="B955" s="106"/>
      <c r="C955" s="106"/>
      <c r="D955" s="101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9"/>
      <c r="V955" s="109"/>
    </row>
    <row r="956" ht="12.75" customHeight="1">
      <c r="A956" s="106"/>
      <c r="B956" s="106"/>
      <c r="C956" s="106"/>
      <c r="D956" s="101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9"/>
      <c r="V956" s="109"/>
    </row>
    <row r="957" ht="12.75" customHeight="1">
      <c r="A957" s="106"/>
      <c r="B957" s="106"/>
      <c r="C957" s="106"/>
      <c r="D957" s="101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9"/>
      <c r="V957" s="109"/>
    </row>
    <row r="958" ht="12.75" customHeight="1">
      <c r="A958" s="106"/>
      <c r="B958" s="106"/>
      <c r="C958" s="106"/>
      <c r="D958" s="101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9"/>
      <c r="V958" s="109"/>
    </row>
    <row r="959" ht="12.75" customHeight="1">
      <c r="A959" s="106"/>
      <c r="B959" s="106"/>
      <c r="C959" s="106"/>
      <c r="D959" s="101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9"/>
      <c r="V959" s="109"/>
    </row>
    <row r="960" ht="12.75" customHeight="1">
      <c r="A960" s="106"/>
      <c r="B960" s="106"/>
      <c r="C960" s="106"/>
      <c r="D960" s="101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9"/>
      <c r="V960" s="109"/>
    </row>
    <row r="961" ht="12.75" customHeight="1">
      <c r="A961" s="106"/>
      <c r="B961" s="106"/>
      <c r="C961" s="106"/>
      <c r="D961" s="101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9"/>
      <c r="V961" s="109"/>
    </row>
    <row r="962" ht="12.75" customHeight="1">
      <c r="A962" s="106"/>
      <c r="B962" s="106"/>
      <c r="C962" s="106"/>
      <c r="D962" s="101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9"/>
      <c r="V962" s="109"/>
    </row>
    <row r="963" ht="12.75" customHeight="1">
      <c r="A963" s="106"/>
      <c r="B963" s="106"/>
      <c r="C963" s="106"/>
      <c r="D963" s="101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9"/>
      <c r="V963" s="109"/>
    </row>
    <row r="964" ht="12.75" customHeight="1">
      <c r="A964" s="106"/>
      <c r="B964" s="106"/>
      <c r="C964" s="106"/>
      <c r="D964" s="101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9"/>
      <c r="V964" s="109"/>
    </row>
    <row r="965" ht="12.75" customHeight="1">
      <c r="A965" s="106"/>
      <c r="B965" s="106"/>
      <c r="C965" s="106"/>
      <c r="D965" s="101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9"/>
      <c r="V965" s="109"/>
    </row>
    <row r="966" ht="12.75" customHeight="1">
      <c r="A966" s="106"/>
      <c r="B966" s="106"/>
      <c r="C966" s="106"/>
      <c r="D966" s="101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9"/>
      <c r="V966" s="109"/>
    </row>
    <row r="967" ht="12.75" customHeight="1">
      <c r="A967" s="106"/>
      <c r="B967" s="106"/>
      <c r="C967" s="106"/>
      <c r="D967" s="101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9"/>
      <c r="V967" s="109"/>
    </row>
    <row r="968" ht="12.75" customHeight="1">
      <c r="A968" s="106"/>
      <c r="B968" s="106"/>
      <c r="C968" s="106"/>
      <c r="D968" s="101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9"/>
      <c r="V968" s="109"/>
    </row>
    <row r="969" ht="12.75" customHeight="1">
      <c r="A969" s="106"/>
      <c r="B969" s="106"/>
      <c r="C969" s="106"/>
      <c r="D969" s="101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9"/>
      <c r="V969" s="109"/>
    </row>
    <row r="970" ht="12.75" customHeight="1">
      <c r="A970" s="106"/>
      <c r="B970" s="106"/>
      <c r="C970" s="106"/>
      <c r="D970" s="101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9"/>
      <c r="V970" s="109"/>
    </row>
    <row r="971" ht="12.75" customHeight="1">
      <c r="A971" s="106"/>
      <c r="B971" s="106"/>
      <c r="C971" s="106"/>
      <c r="D971" s="101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9"/>
      <c r="V971" s="109"/>
    </row>
    <row r="972" ht="12.75" customHeight="1">
      <c r="A972" s="106"/>
      <c r="B972" s="106"/>
      <c r="C972" s="106"/>
      <c r="D972" s="101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9"/>
      <c r="V972" s="109"/>
    </row>
    <row r="973" ht="12.75" customHeight="1">
      <c r="A973" s="106"/>
      <c r="B973" s="106"/>
      <c r="C973" s="106"/>
      <c r="D973" s="101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9"/>
      <c r="V973" s="109"/>
    </row>
    <row r="974" ht="12.75" customHeight="1">
      <c r="A974" s="106"/>
      <c r="B974" s="106"/>
      <c r="C974" s="106"/>
      <c r="D974" s="101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9"/>
      <c r="V974" s="109"/>
    </row>
    <row r="975" ht="12.75" customHeight="1">
      <c r="A975" s="106"/>
      <c r="B975" s="106"/>
      <c r="C975" s="106"/>
      <c r="D975" s="101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9"/>
      <c r="V975" s="109"/>
    </row>
    <row r="976" ht="12.75" customHeight="1">
      <c r="A976" s="106"/>
      <c r="B976" s="106"/>
      <c r="C976" s="106"/>
      <c r="D976" s="101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9"/>
      <c r="V976" s="109"/>
    </row>
    <row r="977" ht="12.75" customHeight="1">
      <c r="A977" s="106"/>
      <c r="B977" s="106"/>
      <c r="C977" s="106"/>
      <c r="D977" s="101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9"/>
      <c r="V977" s="109"/>
    </row>
    <row r="978" ht="12.75" customHeight="1">
      <c r="A978" s="106"/>
      <c r="B978" s="106"/>
      <c r="C978" s="106"/>
      <c r="D978" s="101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9"/>
      <c r="V978" s="109"/>
    </row>
    <row r="979" ht="12.75" customHeight="1">
      <c r="A979" s="106"/>
      <c r="B979" s="106"/>
      <c r="C979" s="106"/>
      <c r="D979" s="101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9"/>
      <c r="V979" s="109"/>
    </row>
    <row r="980" ht="12.75" customHeight="1">
      <c r="A980" s="106"/>
      <c r="B980" s="106"/>
      <c r="C980" s="106"/>
      <c r="D980" s="101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9"/>
      <c r="V980" s="109"/>
    </row>
    <row r="981" ht="12.75" customHeight="1">
      <c r="A981" s="106"/>
      <c r="B981" s="106"/>
      <c r="C981" s="106"/>
      <c r="D981" s="101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9"/>
      <c r="V981" s="109"/>
    </row>
    <row r="982" ht="12.75" customHeight="1">
      <c r="A982" s="106"/>
      <c r="B982" s="106"/>
      <c r="C982" s="106"/>
      <c r="D982" s="101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9"/>
      <c r="V982" s="109"/>
    </row>
    <row r="983" ht="12.75" customHeight="1">
      <c r="A983" s="106"/>
      <c r="B983" s="106"/>
      <c r="C983" s="106"/>
      <c r="D983" s="101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9"/>
      <c r="V983" s="109"/>
    </row>
    <row r="984" ht="12.75" customHeight="1">
      <c r="A984" s="106"/>
      <c r="B984" s="106"/>
      <c r="C984" s="106"/>
      <c r="D984" s="101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9"/>
      <c r="V984" s="109"/>
    </row>
    <row r="985" ht="12.75" customHeight="1">
      <c r="A985" s="106"/>
      <c r="B985" s="106"/>
      <c r="C985" s="106"/>
      <c r="D985" s="101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9"/>
      <c r="V985" s="109"/>
    </row>
    <row r="986" ht="12.75" customHeight="1">
      <c r="A986" s="106"/>
      <c r="B986" s="106"/>
      <c r="C986" s="106"/>
      <c r="D986" s="101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9"/>
      <c r="V986" s="109"/>
    </row>
    <row r="987" ht="12.75" customHeight="1">
      <c r="A987" s="106"/>
      <c r="B987" s="106"/>
      <c r="C987" s="106"/>
      <c r="D987" s="101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9"/>
      <c r="V987" s="109"/>
    </row>
    <row r="988" ht="12.75" customHeight="1">
      <c r="A988" s="106"/>
      <c r="B988" s="106"/>
      <c r="C988" s="106"/>
      <c r="D988" s="101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9"/>
      <c r="V988" s="109"/>
    </row>
    <row r="989" ht="12.75" customHeight="1">
      <c r="A989" s="106"/>
      <c r="B989" s="106"/>
      <c r="C989" s="106"/>
      <c r="D989" s="101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9"/>
      <c r="V989" s="109"/>
    </row>
    <row r="990" ht="12.75" customHeight="1">
      <c r="A990" s="106"/>
      <c r="B990" s="106"/>
      <c r="C990" s="106"/>
      <c r="D990" s="101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9"/>
      <c r="V990" s="109"/>
    </row>
    <row r="991" ht="12.75" customHeight="1">
      <c r="A991" s="106"/>
      <c r="B991" s="106"/>
      <c r="C991" s="106"/>
      <c r="D991" s="101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9"/>
      <c r="V991" s="109"/>
    </row>
    <row r="992" ht="12.75" customHeight="1">
      <c r="A992" s="106"/>
      <c r="B992" s="106"/>
      <c r="C992" s="106"/>
      <c r="D992" s="101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9"/>
      <c r="V992" s="109"/>
    </row>
    <row r="993" ht="12.75" customHeight="1">
      <c r="A993" s="106"/>
      <c r="B993" s="106"/>
      <c r="C993" s="106"/>
      <c r="D993" s="101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9"/>
      <c r="V993" s="109"/>
    </row>
    <row r="994" ht="12.75" customHeight="1">
      <c r="A994" s="106"/>
      <c r="B994" s="106"/>
      <c r="C994" s="106"/>
      <c r="D994" s="101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9"/>
      <c r="V994" s="109"/>
    </row>
    <row r="995" ht="12.75" customHeight="1">
      <c r="A995" s="106"/>
      <c r="B995" s="106"/>
      <c r="C995" s="106"/>
      <c r="D995" s="101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9"/>
      <c r="V995" s="109"/>
    </row>
    <row r="996" ht="12.75" customHeight="1">
      <c r="A996" s="106"/>
      <c r="B996" s="106"/>
      <c r="C996" s="106"/>
      <c r="D996" s="101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9"/>
      <c r="V996" s="109"/>
    </row>
    <row r="997" ht="12.75" customHeight="1">
      <c r="A997" s="106"/>
      <c r="B997" s="106"/>
      <c r="C997" s="106"/>
      <c r="D997" s="101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9"/>
      <c r="V997" s="109"/>
    </row>
    <row r="998" ht="12.75" customHeight="1">
      <c r="A998" s="106"/>
      <c r="B998" s="106"/>
      <c r="C998" s="106"/>
      <c r="D998" s="101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9"/>
      <c r="V998" s="109"/>
    </row>
    <row r="999" ht="12.75" customHeight="1">
      <c r="A999" s="106"/>
      <c r="B999" s="106"/>
      <c r="C999" s="106"/>
      <c r="D999" s="101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9"/>
      <c r="V999" s="109"/>
    </row>
    <row r="1000" ht="12.75" customHeight="1">
      <c r="A1000" s="106"/>
      <c r="B1000" s="106"/>
      <c r="C1000" s="106"/>
      <c r="D1000" s="101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9"/>
      <c r="V1000" s="109"/>
    </row>
    <row r="1001" ht="12.75" customHeight="1">
      <c r="A1001" s="106"/>
      <c r="B1001" s="106"/>
      <c r="C1001" s="106"/>
      <c r="D1001" s="101"/>
      <c r="E1001" s="106"/>
      <c r="F1001" s="107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9"/>
      <c r="V1001" s="109"/>
    </row>
    <row r="1002" ht="12.75" customHeight="1">
      <c r="A1002" s="106"/>
      <c r="B1002" s="106"/>
      <c r="C1002" s="106"/>
      <c r="D1002" s="101"/>
      <c r="E1002" s="106"/>
      <c r="F1002" s="107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9"/>
      <c r="V1002" s="109"/>
    </row>
    <row r="1003" ht="12.75" customHeight="1">
      <c r="A1003" s="106"/>
      <c r="B1003" s="106"/>
      <c r="C1003" s="106"/>
      <c r="D1003" s="101"/>
      <c r="E1003" s="106"/>
      <c r="F1003" s="107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9"/>
      <c r="V1003" s="109"/>
    </row>
    <row r="1004" ht="12.75" customHeight="1">
      <c r="A1004" s="106"/>
      <c r="B1004" s="106"/>
      <c r="C1004" s="106"/>
      <c r="D1004" s="101"/>
      <c r="E1004" s="106"/>
      <c r="F1004" s="107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9"/>
      <c r="V1004" s="109"/>
    </row>
    <row r="1005" ht="12.75" customHeight="1">
      <c r="A1005" s="106"/>
      <c r="B1005" s="106"/>
      <c r="C1005" s="106"/>
      <c r="D1005" s="101"/>
      <c r="E1005" s="106"/>
      <c r="F1005" s="107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9"/>
      <c r="V1005" s="109"/>
    </row>
    <row r="1006" ht="12.75" customHeight="1">
      <c r="A1006" s="106"/>
      <c r="B1006" s="106"/>
      <c r="C1006" s="106"/>
      <c r="D1006" s="101"/>
      <c r="E1006" s="106"/>
      <c r="F1006" s="107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9"/>
      <c r="V1006" s="109"/>
    </row>
    <row r="1007" ht="12.75" customHeight="1">
      <c r="A1007" s="106"/>
      <c r="B1007" s="106"/>
      <c r="C1007" s="106"/>
      <c r="D1007" s="101"/>
      <c r="E1007" s="106"/>
      <c r="F1007" s="107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9"/>
      <c r="V1007" s="109"/>
    </row>
    <row r="1008" ht="12.75" customHeight="1">
      <c r="A1008" s="106"/>
      <c r="B1008" s="106"/>
      <c r="C1008" s="106"/>
      <c r="D1008" s="101"/>
      <c r="E1008" s="106"/>
      <c r="F1008" s="107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9"/>
      <c r="V1008" s="109"/>
    </row>
    <row r="1009" ht="12.75" customHeight="1">
      <c r="A1009" s="106"/>
      <c r="B1009" s="106"/>
      <c r="C1009" s="106"/>
      <c r="D1009" s="101"/>
      <c r="E1009" s="106"/>
      <c r="F1009" s="107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9"/>
      <c r="V1009" s="109"/>
    </row>
    <row r="1010" ht="12.75" customHeight="1">
      <c r="A1010" s="106"/>
      <c r="B1010" s="106"/>
      <c r="C1010" s="106"/>
      <c r="D1010" s="101"/>
      <c r="E1010" s="106"/>
      <c r="F1010" s="107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9"/>
      <c r="V1010" s="109"/>
    </row>
    <row r="1011" ht="12.75" customHeight="1">
      <c r="A1011" s="106"/>
      <c r="B1011" s="106"/>
      <c r="C1011" s="106"/>
      <c r="D1011" s="101"/>
      <c r="E1011" s="106"/>
      <c r="F1011" s="107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9"/>
      <c r="V1011" s="109"/>
    </row>
    <row r="1012" ht="12.75" customHeight="1">
      <c r="A1012" s="106"/>
      <c r="B1012" s="106"/>
      <c r="C1012" s="106"/>
      <c r="D1012" s="101"/>
      <c r="E1012" s="106"/>
      <c r="F1012" s="107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9"/>
      <c r="V1012" s="109"/>
    </row>
    <row r="1013" ht="12.75" customHeight="1">
      <c r="A1013" s="106"/>
      <c r="B1013" s="106"/>
      <c r="C1013" s="106"/>
      <c r="D1013" s="101"/>
      <c r="E1013" s="106"/>
      <c r="F1013" s="107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9"/>
      <c r="V1013" s="109"/>
    </row>
    <row r="1014" ht="12.75" customHeight="1">
      <c r="A1014" s="106"/>
      <c r="B1014" s="106"/>
      <c r="C1014" s="106"/>
      <c r="D1014" s="101"/>
      <c r="E1014" s="106"/>
      <c r="F1014" s="107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9"/>
      <c r="V1014" s="109"/>
    </row>
    <row r="1015" ht="12.75" customHeight="1">
      <c r="A1015" s="106"/>
      <c r="B1015" s="106"/>
      <c r="C1015" s="106"/>
      <c r="D1015" s="101"/>
      <c r="E1015" s="106"/>
      <c r="F1015" s="107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9"/>
      <c r="V1015" s="109"/>
    </row>
    <row r="1016" ht="12.75" customHeight="1">
      <c r="A1016" s="106"/>
      <c r="B1016" s="106"/>
      <c r="C1016" s="106"/>
      <c r="D1016" s="101"/>
      <c r="E1016" s="106"/>
      <c r="F1016" s="107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9"/>
      <c r="V1016" s="109"/>
    </row>
    <row r="1017" ht="12.75" customHeight="1">
      <c r="A1017" s="106"/>
      <c r="B1017" s="106"/>
      <c r="C1017" s="106"/>
      <c r="D1017" s="101"/>
      <c r="E1017" s="106"/>
      <c r="F1017" s="107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9"/>
      <c r="V1017" s="109"/>
    </row>
    <row r="1018" ht="12.75" customHeight="1">
      <c r="A1018" s="106"/>
      <c r="B1018" s="106"/>
      <c r="C1018" s="106"/>
      <c r="D1018" s="101"/>
      <c r="E1018" s="106"/>
      <c r="F1018" s="107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9"/>
      <c r="V1018" s="109"/>
    </row>
    <row r="1019" ht="12.75" customHeight="1">
      <c r="A1019" s="106"/>
      <c r="B1019" s="106"/>
      <c r="C1019" s="106"/>
      <c r="D1019" s="101"/>
      <c r="E1019" s="106"/>
      <c r="F1019" s="107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9"/>
      <c r="V1019" s="109"/>
    </row>
    <row r="1020" ht="12.75" customHeight="1">
      <c r="A1020" s="106"/>
      <c r="B1020" s="106"/>
      <c r="C1020" s="106"/>
      <c r="D1020" s="101"/>
      <c r="E1020" s="106"/>
      <c r="F1020" s="107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9"/>
      <c r="V1020" s="109"/>
    </row>
    <row r="1021" ht="12.75" customHeight="1">
      <c r="A1021" s="106"/>
      <c r="B1021" s="106"/>
      <c r="C1021" s="106"/>
      <c r="D1021" s="101"/>
      <c r="E1021" s="106"/>
      <c r="F1021" s="107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9"/>
      <c r="V1021" s="109"/>
    </row>
    <row r="1022" ht="12.75" customHeight="1">
      <c r="A1022" s="106"/>
      <c r="B1022" s="106"/>
      <c r="C1022" s="106"/>
      <c r="D1022" s="101"/>
      <c r="E1022" s="106"/>
      <c r="F1022" s="107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9"/>
      <c r="V1022" s="109"/>
    </row>
    <row r="1023" ht="12.75" customHeight="1">
      <c r="A1023" s="106"/>
      <c r="B1023" s="106"/>
      <c r="C1023" s="106"/>
      <c r="D1023" s="101"/>
      <c r="E1023" s="106"/>
      <c r="F1023" s="107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9"/>
      <c r="V1023" s="109"/>
    </row>
    <row r="1024" ht="12.75" customHeight="1">
      <c r="A1024" s="106"/>
      <c r="B1024" s="106"/>
      <c r="C1024" s="106"/>
      <c r="D1024" s="101"/>
      <c r="E1024" s="106"/>
      <c r="F1024" s="107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9"/>
      <c r="V1024" s="109"/>
    </row>
    <row r="1025" ht="12.75" customHeight="1">
      <c r="A1025" s="106"/>
      <c r="B1025" s="106"/>
      <c r="C1025" s="106"/>
      <c r="D1025" s="101"/>
      <c r="E1025" s="106"/>
      <c r="F1025" s="107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9"/>
      <c r="V1025" s="109"/>
    </row>
    <row r="1026" ht="12.75" customHeight="1">
      <c r="A1026" s="106"/>
      <c r="B1026" s="106"/>
      <c r="C1026" s="106"/>
      <c r="D1026" s="101"/>
      <c r="E1026" s="106"/>
      <c r="F1026" s="107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9"/>
      <c r="V1026" s="109"/>
    </row>
    <row r="1027" ht="12.75" customHeight="1">
      <c r="A1027" s="106"/>
      <c r="B1027" s="106"/>
      <c r="C1027" s="106"/>
      <c r="D1027" s="101"/>
      <c r="E1027" s="106"/>
      <c r="F1027" s="107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9"/>
      <c r="V1027" s="109"/>
    </row>
    <row r="1028" ht="12.75" customHeight="1">
      <c r="A1028" s="106"/>
      <c r="B1028" s="106"/>
      <c r="C1028" s="106"/>
      <c r="D1028" s="101"/>
      <c r="E1028" s="106"/>
      <c r="F1028" s="107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9"/>
      <c r="V1028" s="109"/>
    </row>
    <row r="1029" ht="12.75" customHeight="1">
      <c r="A1029" s="106"/>
      <c r="B1029" s="106"/>
      <c r="C1029" s="106"/>
      <c r="D1029" s="101"/>
      <c r="E1029" s="106"/>
      <c r="F1029" s="107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9"/>
      <c r="V1029" s="109"/>
    </row>
    <row r="1030" ht="12.75" customHeight="1">
      <c r="A1030" s="106"/>
      <c r="B1030" s="106"/>
      <c r="C1030" s="106"/>
      <c r="D1030" s="101"/>
      <c r="E1030" s="106"/>
      <c r="F1030" s="107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9"/>
      <c r="V1030" s="109"/>
    </row>
    <row r="1031" ht="12.75" customHeight="1">
      <c r="A1031" s="106"/>
      <c r="B1031" s="106"/>
      <c r="C1031" s="106"/>
      <c r="D1031" s="101"/>
      <c r="E1031" s="106"/>
      <c r="F1031" s="107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9"/>
      <c r="V1031" s="109"/>
    </row>
    <row r="1032" ht="12.75" customHeight="1">
      <c r="A1032" s="106"/>
      <c r="B1032" s="106"/>
      <c r="C1032" s="106"/>
      <c r="D1032" s="101"/>
      <c r="E1032" s="106"/>
      <c r="F1032" s="107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9"/>
      <c r="V1032" s="109"/>
    </row>
    <row r="1033" ht="12.75" customHeight="1">
      <c r="A1033" s="106"/>
      <c r="B1033" s="106"/>
      <c r="C1033" s="106"/>
      <c r="D1033" s="101"/>
      <c r="E1033" s="106"/>
      <c r="F1033" s="107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9"/>
      <c r="V1033" s="109"/>
    </row>
    <row r="1034" ht="12.75" customHeight="1">
      <c r="A1034" s="106"/>
      <c r="B1034" s="106"/>
      <c r="C1034" s="106"/>
      <c r="D1034" s="101"/>
      <c r="E1034" s="106"/>
      <c r="F1034" s="107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9"/>
      <c r="V1034" s="109"/>
    </row>
    <row r="1035" ht="12.75" customHeight="1">
      <c r="A1035" s="106"/>
      <c r="B1035" s="106"/>
      <c r="C1035" s="106"/>
      <c r="D1035" s="101"/>
      <c r="E1035" s="106"/>
      <c r="F1035" s="107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9"/>
      <c r="V1035" s="109"/>
    </row>
    <row r="1036" ht="12.75" customHeight="1">
      <c r="A1036" s="106"/>
      <c r="B1036" s="106"/>
      <c r="C1036" s="106"/>
      <c r="D1036" s="101"/>
      <c r="E1036" s="106"/>
      <c r="F1036" s="107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9"/>
      <c r="V1036" s="109"/>
    </row>
    <row r="1037" ht="12.75" customHeight="1">
      <c r="A1037" s="106"/>
      <c r="B1037" s="106"/>
      <c r="C1037" s="106"/>
      <c r="D1037" s="101"/>
      <c r="E1037" s="106"/>
      <c r="F1037" s="107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9"/>
      <c r="V1037" s="109"/>
    </row>
    <row r="1038" ht="12.75" customHeight="1">
      <c r="A1038" s="106"/>
      <c r="B1038" s="106"/>
      <c r="C1038" s="106"/>
      <c r="D1038" s="101"/>
      <c r="E1038" s="106"/>
      <c r="F1038" s="107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9"/>
      <c r="V1038" s="109"/>
    </row>
    <row r="1039" ht="12.75" customHeight="1">
      <c r="A1039" s="106"/>
      <c r="B1039" s="106"/>
      <c r="C1039" s="106"/>
      <c r="D1039" s="101"/>
      <c r="E1039" s="106"/>
      <c r="F1039" s="107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9"/>
      <c r="V1039" s="109"/>
    </row>
    <row r="1040" ht="12.75" customHeight="1">
      <c r="A1040" s="106"/>
      <c r="B1040" s="106"/>
      <c r="C1040" s="106"/>
      <c r="D1040" s="101"/>
      <c r="E1040" s="106"/>
      <c r="F1040" s="107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9"/>
      <c r="V1040" s="109"/>
    </row>
    <row r="1041" ht="12.75" customHeight="1">
      <c r="A1041" s="106"/>
      <c r="B1041" s="106"/>
      <c r="C1041" s="106"/>
      <c r="D1041" s="101"/>
      <c r="E1041" s="106"/>
      <c r="F1041" s="107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9"/>
      <c r="V1041" s="109"/>
    </row>
    <row r="1042" ht="12.75" customHeight="1">
      <c r="A1042" s="106"/>
      <c r="B1042" s="106"/>
      <c r="C1042" s="106"/>
      <c r="D1042" s="101"/>
      <c r="E1042" s="106"/>
      <c r="F1042" s="107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9"/>
      <c r="V1042" s="109"/>
    </row>
    <row r="1043" ht="12.75" customHeight="1">
      <c r="A1043" s="106"/>
      <c r="B1043" s="106"/>
      <c r="C1043" s="106"/>
      <c r="D1043" s="101"/>
      <c r="E1043" s="106"/>
      <c r="F1043" s="107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9"/>
      <c r="V1043" s="109"/>
    </row>
    <row r="1044" ht="12.75" customHeight="1">
      <c r="A1044" s="106"/>
      <c r="B1044" s="106"/>
      <c r="C1044" s="106"/>
      <c r="D1044" s="101"/>
      <c r="E1044" s="106"/>
      <c r="F1044" s="107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9"/>
      <c r="V1044" s="109"/>
    </row>
    <row r="1045" ht="12.75" customHeight="1">
      <c r="A1045" s="106"/>
      <c r="B1045" s="106"/>
      <c r="C1045" s="106"/>
      <c r="D1045" s="101"/>
      <c r="E1045" s="106"/>
      <c r="F1045" s="107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9"/>
      <c r="V1045" s="109"/>
    </row>
    <row r="1046" ht="12.75" customHeight="1">
      <c r="A1046" s="106"/>
      <c r="B1046" s="106"/>
      <c r="C1046" s="106"/>
      <c r="D1046" s="101"/>
      <c r="E1046" s="106"/>
      <c r="F1046" s="107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9"/>
      <c r="V1046" s="109"/>
    </row>
    <row r="1047" ht="12.75" customHeight="1">
      <c r="A1047" s="106"/>
      <c r="B1047" s="106"/>
      <c r="C1047" s="106"/>
      <c r="D1047" s="101"/>
      <c r="E1047" s="106"/>
      <c r="F1047" s="107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9"/>
      <c r="V1047" s="109"/>
    </row>
    <row r="1048" ht="12.75" customHeight="1">
      <c r="A1048" s="106"/>
      <c r="B1048" s="106"/>
      <c r="C1048" s="106"/>
      <c r="D1048" s="101"/>
      <c r="E1048" s="106"/>
      <c r="F1048" s="107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9"/>
      <c r="V1048" s="109"/>
    </row>
    <row r="1049" ht="12.75" customHeight="1">
      <c r="A1049" s="106"/>
      <c r="B1049" s="106"/>
      <c r="C1049" s="106"/>
      <c r="D1049" s="101"/>
      <c r="E1049" s="106"/>
      <c r="F1049" s="107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9"/>
      <c r="V1049" s="109"/>
    </row>
    <row r="1050" ht="12.75" customHeight="1">
      <c r="A1050" s="106"/>
      <c r="B1050" s="106"/>
      <c r="C1050" s="106"/>
      <c r="D1050" s="101"/>
      <c r="E1050" s="106"/>
      <c r="F1050" s="107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9"/>
      <c r="V1050" s="109"/>
    </row>
    <row r="1051" ht="12.75" customHeight="1">
      <c r="A1051" s="106"/>
      <c r="B1051" s="106"/>
      <c r="C1051" s="106"/>
      <c r="D1051" s="101"/>
      <c r="E1051" s="106"/>
      <c r="F1051" s="107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9"/>
      <c r="V1051" s="109"/>
    </row>
    <row r="1052" ht="12.75" customHeight="1">
      <c r="A1052" s="106"/>
      <c r="B1052" s="106"/>
      <c r="C1052" s="106"/>
      <c r="D1052" s="101"/>
      <c r="E1052" s="106"/>
      <c r="F1052" s="107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9"/>
      <c r="V1052" s="109"/>
    </row>
    <row r="1053" ht="12.75" customHeight="1">
      <c r="A1053" s="106"/>
      <c r="B1053" s="106"/>
      <c r="C1053" s="106"/>
      <c r="D1053" s="101"/>
      <c r="E1053" s="106"/>
      <c r="F1053" s="107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9"/>
      <c r="V1053" s="109"/>
    </row>
    <row r="1054" ht="12.75" customHeight="1">
      <c r="A1054" s="106"/>
      <c r="B1054" s="106"/>
      <c r="C1054" s="106"/>
      <c r="D1054" s="101"/>
      <c r="E1054" s="106"/>
      <c r="F1054" s="107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9"/>
      <c r="V1054" s="109"/>
    </row>
    <row r="1055" ht="12.75" customHeight="1">
      <c r="A1055" s="106"/>
      <c r="B1055" s="106"/>
      <c r="C1055" s="106"/>
      <c r="D1055" s="101"/>
      <c r="E1055" s="106"/>
      <c r="F1055" s="107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9"/>
      <c r="V1055" s="109"/>
    </row>
    <row r="1056" ht="12.75" customHeight="1">
      <c r="A1056" s="106"/>
      <c r="B1056" s="106"/>
      <c r="C1056" s="106"/>
      <c r="D1056" s="101"/>
      <c r="E1056" s="106"/>
      <c r="F1056" s="107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9"/>
      <c r="V1056" s="109"/>
    </row>
    <row r="1057" ht="12.75" customHeight="1">
      <c r="A1057" s="106"/>
      <c r="B1057" s="106"/>
      <c r="C1057" s="106"/>
      <c r="D1057" s="101"/>
      <c r="E1057" s="106"/>
      <c r="F1057" s="107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9"/>
      <c r="V1057" s="109"/>
    </row>
    <row r="1058" ht="12.75" customHeight="1">
      <c r="A1058" s="106"/>
      <c r="B1058" s="106"/>
      <c r="C1058" s="106"/>
      <c r="D1058" s="101"/>
      <c r="E1058" s="106"/>
      <c r="F1058" s="107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9"/>
      <c r="V1058" s="109"/>
    </row>
    <row r="1059" ht="12.75" customHeight="1">
      <c r="A1059" s="106"/>
      <c r="B1059" s="106"/>
      <c r="C1059" s="106"/>
      <c r="D1059" s="101"/>
      <c r="E1059" s="106"/>
      <c r="F1059" s="107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9"/>
      <c r="V1059" s="109"/>
    </row>
    <row r="1060" ht="12.75" customHeight="1">
      <c r="A1060" s="106"/>
      <c r="B1060" s="106"/>
      <c r="C1060" s="106"/>
      <c r="D1060" s="101"/>
      <c r="E1060" s="106"/>
      <c r="F1060" s="107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9"/>
      <c r="V1060" s="109"/>
    </row>
    <row r="1061" ht="12.75" customHeight="1">
      <c r="A1061" s="106"/>
      <c r="B1061" s="106"/>
      <c r="C1061" s="106"/>
      <c r="D1061" s="101"/>
      <c r="E1061" s="106"/>
      <c r="F1061" s="107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9"/>
      <c r="V1061" s="109"/>
    </row>
    <row r="1062" ht="12.75" customHeight="1">
      <c r="A1062" s="106"/>
      <c r="B1062" s="106"/>
      <c r="C1062" s="106"/>
      <c r="D1062" s="101"/>
      <c r="E1062" s="106"/>
      <c r="F1062" s="107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9"/>
      <c r="V1062" s="109"/>
    </row>
    <row r="1063" ht="12.75" customHeight="1">
      <c r="A1063" s="106"/>
      <c r="B1063" s="106"/>
      <c r="C1063" s="106"/>
      <c r="D1063" s="101"/>
      <c r="E1063" s="106"/>
      <c r="F1063" s="107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9"/>
      <c r="V1063" s="109"/>
    </row>
    <row r="1064" ht="12.75" customHeight="1">
      <c r="A1064" s="106"/>
      <c r="B1064" s="106"/>
      <c r="C1064" s="106"/>
      <c r="D1064" s="101"/>
      <c r="E1064" s="106"/>
      <c r="F1064" s="107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9"/>
      <c r="V1064" s="109"/>
    </row>
    <row r="1065" ht="12.75" customHeight="1">
      <c r="A1065" s="106"/>
      <c r="B1065" s="106"/>
      <c r="C1065" s="106"/>
      <c r="D1065" s="101"/>
      <c r="E1065" s="106"/>
      <c r="F1065" s="107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9"/>
      <c r="V1065" s="109"/>
    </row>
    <row r="1066" ht="12.75" customHeight="1">
      <c r="A1066" s="106"/>
      <c r="B1066" s="106"/>
      <c r="C1066" s="106"/>
      <c r="D1066" s="101"/>
      <c r="E1066" s="106"/>
      <c r="F1066" s="107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9"/>
      <c r="V1066" s="109"/>
    </row>
    <row r="1067" ht="12.75" customHeight="1">
      <c r="A1067" s="106"/>
      <c r="B1067" s="106"/>
      <c r="C1067" s="106"/>
      <c r="D1067" s="101"/>
      <c r="E1067" s="106"/>
      <c r="F1067" s="107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9"/>
      <c r="V1067" s="109"/>
    </row>
    <row r="1068" ht="12.75" customHeight="1">
      <c r="A1068" s="106"/>
      <c r="B1068" s="106"/>
      <c r="C1068" s="106"/>
      <c r="D1068" s="101"/>
      <c r="E1068" s="106"/>
      <c r="F1068" s="107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9"/>
      <c r="V1068" s="109"/>
    </row>
    <row r="1069" ht="12.75" customHeight="1">
      <c r="A1069" s="106"/>
      <c r="B1069" s="106"/>
      <c r="C1069" s="106"/>
      <c r="D1069" s="101"/>
      <c r="E1069" s="106"/>
      <c r="F1069" s="107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9"/>
      <c r="V1069" s="109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10384</v>
      </c>
      <c r="D2" s="117"/>
      <c r="E2" s="116">
        <f t="shared" ref="E2:R2" si="1">SUM(E5,E11)</f>
        <v>0</v>
      </c>
      <c r="F2" s="116">
        <f t="shared" si="1"/>
        <v>26</v>
      </c>
      <c r="G2" s="118">
        <f t="shared" si="1"/>
        <v>13</v>
      </c>
      <c r="H2" s="118">
        <f t="shared" si="1"/>
        <v>6</v>
      </c>
      <c r="I2" s="118">
        <f t="shared" si="1"/>
        <v>0</v>
      </c>
      <c r="J2" s="118">
        <f t="shared" si="1"/>
        <v>0</v>
      </c>
      <c r="K2" s="118">
        <f t="shared" si="1"/>
        <v>8</v>
      </c>
      <c r="L2" s="118">
        <f t="shared" si="1"/>
        <v>3</v>
      </c>
      <c r="M2" s="118">
        <f t="shared" si="1"/>
        <v>34</v>
      </c>
      <c r="N2" s="118">
        <f t="shared" si="1"/>
        <v>3</v>
      </c>
      <c r="O2" s="118">
        <f t="shared" si="1"/>
        <v>2</v>
      </c>
      <c r="P2" s="118">
        <f t="shared" si="1"/>
        <v>10</v>
      </c>
      <c r="Q2" s="118">
        <f t="shared" si="1"/>
        <v>4</v>
      </c>
      <c r="R2" s="118">
        <f t="shared" si="1"/>
        <v>10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36</v>
      </c>
      <c r="D4" s="120"/>
      <c r="E4" s="50">
        <f>IFERROR(C2/H2,0)</f>
        <v>1730.666667</v>
      </c>
      <c r="F4" s="51">
        <f>IFERROR((G2+R2)/F2,0)</f>
        <v>0.8846153846</v>
      </c>
      <c r="G4" s="51">
        <f>IFERROR(H2/G2,0)</f>
        <v>0.4615384615</v>
      </c>
      <c r="H4" s="50">
        <f>(C2/C4)</f>
        <v>288.4444444</v>
      </c>
      <c r="I4" s="46"/>
      <c r="J4" s="51">
        <f>IFERROR(J2/I2,0)</f>
        <v>0</v>
      </c>
      <c r="K4" s="46"/>
      <c r="L4" s="51">
        <f>IFERROR(L2/K2,0)</f>
        <v>0.375</v>
      </c>
      <c r="M4" s="52">
        <f>IFERROR(M2/G2,0)</f>
        <v>2.615384615</v>
      </c>
      <c r="N4" s="46"/>
      <c r="O4" s="51">
        <f>IFERROR(O2/N2,0)</f>
        <v>0.6666666667</v>
      </c>
      <c r="P4" s="53"/>
      <c r="Q4" s="51">
        <f>IFERROR(Q2/P2,0)</f>
        <v>0.4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1550</v>
      </c>
      <c r="D5" s="125"/>
      <c r="E5" s="126">
        <f>SUMIFS(T:T,A:A,B5,D:D,"Y")</f>
        <v>0</v>
      </c>
      <c r="F5" s="116">
        <f>SUMIF(A:A,B5,G:G)</f>
        <v>7</v>
      </c>
      <c r="G5" s="118">
        <f>SUMIF(A:A,B5,H:H)</f>
        <v>6</v>
      </c>
      <c r="H5" s="118">
        <f>SUMIF(A:A,B5,I:I)</f>
        <v>2</v>
      </c>
      <c r="I5" s="118">
        <f>SUMIF(A:A,B5,P:P)</f>
        <v>0</v>
      </c>
      <c r="J5" s="118">
        <f>SUMIF(A:A,B5,Q:Q)</f>
        <v>0</v>
      </c>
      <c r="K5" s="118">
        <f>SUMIF(A:A,B5,R:R)</f>
        <v>2</v>
      </c>
      <c r="L5" s="118">
        <f>SUMIF(A:A,B5,S:S)</f>
        <v>0</v>
      </c>
      <c r="M5" s="118">
        <f>SUMIF(A:A,B5,M:M)</f>
        <v>28</v>
      </c>
      <c r="N5" s="118">
        <f>SUMIF(A:A,B5,N:N)</f>
        <v>2</v>
      </c>
      <c r="O5" s="118">
        <f>SUMIF(A:A,B5,O:O)</f>
        <v>1</v>
      </c>
      <c r="P5" s="118">
        <f>SUMIF(A:A,B5,J:J)</f>
        <v>5</v>
      </c>
      <c r="Q5" s="118">
        <f>SUMIF(A:A,B5,K:K)</f>
        <v>1</v>
      </c>
      <c r="R5" s="118">
        <f>SUMIF(A:A,B5,L:L)</f>
        <v>8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17</v>
      </c>
      <c r="D7" s="42"/>
      <c r="E7" s="50">
        <f>IFERROR(C5/H5,0)</f>
        <v>775</v>
      </c>
      <c r="F7" s="51">
        <f>IFERROR((G5+R5)/F5,0)</f>
        <v>2</v>
      </c>
      <c r="G7" s="51">
        <f>IFERROR(H5/G5,0)</f>
        <v>0.3333333333</v>
      </c>
      <c r="H7" s="50">
        <f>(C5/C7)</f>
        <v>91.17647059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2</v>
      </c>
      <c r="N7" s="46"/>
      <c r="O7" s="51">
        <f>IFERROR(O5/N5,0)</f>
        <v>0.5</v>
      </c>
      <c r="P7" s="53"/>
      <c r="Q7" s="51">
        <f>IFERROR(Q5/P5,0)</f>
        <v>0.2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1550</v>
      </c>
      <c r="D8" s="36"/>
      <c r="E8" s="37">
        <f>SUMIFS(T:T,B:B,B8,D:D,"Y")</f>
        <v>0</v>
      </c>
      <c r="F8" s="38">
        <f>SUMIF(B19:B1129,B8,G19:G1129)</f>
        <v>7</v>
      </c>
      <c r="G8" s="39">
        <f>SUMIF(B19:B1129,B8,H19:H1129)</f>
        <v>6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0</v>
      </c>
      <c r="M8" s="39">
        <f>SUMIF(B19:B1129,B8,M19:M1129)</f>
        <v>28</v>
      </c>
      <c r="N8" s="39">
        <f>SUMIF(B19:B1129,B8,N19:N1129)</f>
        <v>2</v>
      </c>
      <c r="O8" s="38">
        <f>SUMIF(B19:B1129,B8,O19:O1129)</f>
        <v>1</v>
      </c>
      <c r="P8" s="39">
        <f>SUMIF(B19:B1129,B8,J19:J1129)</f>
        <v>5</v>
      </c>
      <c r="Q8" s="39">
        <f>SUMIF(B19:B1129,B8,K19:K1129)</f>
        <v>1</v>
      </c>
      <c r="R8" s="38">
        <f>SUMIF(B19:B1129,B8,L19:L1129)</f>
        <v>8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775</v>
      </c>
      <c r="F10" s="51">
        <f>IFERROR((G8+R8)/F8,0)</f>
        <v>2</v>
      </c>
      <c r="G10" s="51">
        <f>IFERROR(H8/G8,0)</f>
        <v>0.3333333333</v>
      </c>
      <c r="H10" s="50">
        <f>(C8/C10)</f>
        <v>96.875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2</v>
      </c>
      <c r="N10" s="46"/>
      <c r="O10" s="51">
        <f>IFERROR(O8/N8,0)</f>
        <v>0.5</v>
      </c>
      <c r="P10" s="53"/>
      <c r="Q10" s="51">
        <f>IFERROR(Q8/P8,0)</f>
        <v>0.2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8834</v>
      </c>
      <c r="D11" s="125"/>
      <c r="E11" s="126">
        <f>SUMIFS(T:T,A:A,B11,D:D,"Y")</f>
        <v>0</v>
      </c>
      <c r="F11" s="116">
        <f>SUMIF(A:A,B11,G:G)</f>
        <v>19</v>
      </c>
      <c r="G11" s="118">
        <f>SUMIF(A:A,B11,H:H)</f>
        <v>7</v>
      </c>
      <c r="H11" s="118">
        <f>SUMIF(A:A,B11,I:I)</f>
        <v>4</v>
      </c>
      <c r="I11" s="118">
        <f>SUMIF(A:A,B11,P:P)</f>
        <v>0</v>
      </c>
      <c r="J11" s="118">
        <f>SUMIF(A:A,B11,Q:Q)</f>
        <v>0</v>
      </c>
      <c r="K11" s="118">
        <f>SUMIF(A:A,B11,R:R)</f>
        <v>6</v>
      </c>
      <c r="L11" s="118">
        <f>SUMIF(A:A,B11,S:S)</f>
        <v>3</v>
      </c>
      <c r="M11" s="118">
        <f>SUMIF(A:A,B11,M:M)</f>
        <v>6</v>
      </c>
      <c r="N11" s="118">
        <f>SUMIF(A:A,B11,N:N)</f>
        <v>1</v>
      </c>
      <c r="O11" s="118">
        <f>SUMIF(A:A,B11,O:O)</f>
        <v>1</v>
      </c>
      <c r="P11" s="118">
        <f>SUMIF(A:A,B11,J:J)</f>
        <v>5</v>
      </c>
      <c r="Q11" s="118">
        <f>SUMIF(A:A,B11,K:K)</f>
        <v>3</v>
      </c>
      <c r="R11" s="118">
        <f>SUMIF(A:A,B11,L:L)</f>
        <v>2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19</v>
      </c>
      <c r="D13" s="42"/>
      <c r="E13" s="50">
        <f>IFERROR(C11/H11,0)</f>
        <v>2208.5</v>
      </c>
      <c r="F13" s="51">
        <f>IFERROR((G11+R11)/F11,0)</f>
        <v>0.4736842105</v>
      </c>
      <c r="G13" s="51">
        <f>IFERROR(H11/G11,0)</f>
        <v>0.5714285714</v>
      </c>
      <c r="H13" s="50">
        <f>(C11/C13)</f>
        <v>464.9473684</v>
      </c>
      <c r="I13" s="46"/>
      <c r="J13" s="51">
        <f>IFERROR(J11/I11,0)</f>
        <v>0</v>
      </c>
      <c r="K13" s="46"/>
      <c r="L13" s="51">
        <f>IFERROR(L11/K11,0)</f>
        <v>0.5</v>
      </c>
      <c r="M13" s="53">
        <f>IFERROR(M11/SUM(R11+G11,0),"")</f>
        <v>0.6666666667</v>
      </c>
      <c r="N13" s="46"/>
      <c r="O13" s="51">
        <f>IFERROR(O11/N11,0)</f>
        <v>1</v>
      </c>
      <c r="P13" s="53"/>
      <c r="Q13" s="51">
        <f>IFERROR(Q11/P11,0)</f>
        <v>0.6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8834</v>
      </c>
      <c r="D14" s="36"/>
      <c r="E14" s="37">
        <f>SUMIFS(T:T,B:B,B14,D:D,"Y")</f>
        <v>0</v>
      </c>
      <c r="F14" s="38">
        <f>SUMIF(B19:B1129,B14,G19:G1129)</f>
        <v>19</v>
      </c>
      <c r="G14" s="39">
        <f>SUMIF(B19:B1129,B14,H19:H1129)</f>
        <v>7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6</v>
      </c>
      <c r="L14" s="39">
        <f>SUMIF(B19:B1129,B14,S19:S1129)</f>
        <v>3</v>
      </c>
      <c r="M14" s="39">
        <f>SUMIF(B19:B1129,B14,M19:M1129)</f>
        <v>6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5</v>
      </c>
      <c r="Q14" s="39">
        <f>SUMIF(B19:B1129,B14,K19:K1129)</f>
        <v>3</v>
      </c>
      <c r="R14" s="38">
        <f>SUMIF(B19:B1129,B14,L19:L1129)</f>
        <v>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2208.5</v>
      </c>
      <c r="F16" s="51">
        <f>IFERROR((G14+R14)/F14,0)</f>
        <v>0.4736842105</v>
      </c>
      <c r="G16" s="51">
        <f>IFERROR(H14/G14,0)</f>
        <v>0.5714285714</v>
      </c>
      <c r="H16" s="50">
        <f>(C14/C16)</f>
        <v>490.7777778</v>
      </c>
      <c r="I16" s="46"/>
      <c r="J16" s="51">
        <f>IFERROR(J14/I14,0)</f>
        <v>0</v>
      </c>
      <c r="K16" s="46"/>
      <c r="L16" s="51">
        <f>IFERROR(L14/K14,0)</f>
        <v>0.5</v>
      </c>
      <c r="M16" s="53">
        <f>IFERROR(M14/SUM(G14+R14,0),"")</f>
        <v>0.6666666667</v>
      </c>
      <c r="N16" s="46"/>
      <c r="O16" s="51">
        <f>IFERROR(O14/N14,0)</f>
        <v>1</v>
      </c>
      <c r="P16" s="53"/>
      <c r="Q16" s="51">
        <f>IFERROR(Q14/P14,0)</f>
        <v>0.6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0" si="2">IFERROR(I20/H20,0)</f>
        <v>0</v>
      </c>
      <c r="V20" s="131">
        <f t="shared" ref="V20:V36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6" t="s">
        <v>26</v>
      </c>
      <c r="B22" s="137" t="s">
        <v>27</v>
      </c>
      <c r="C22" s="137" t="s">
        <v>48</v>
      </c>
      <c r="D22" s="138" t="s">
        <v>46</v>
      </c>
      <c r="E22" s="137" t="s">
        <v>47</v>
      </c>
      <c r="F22" s="137" t="s">
        <v>49</v>
      </c>
      <c r="G22" s="165">
        <v>3.0</v>
      </c>
      <c r="H22" s="165">
        <v>1.0</v>
      </c>
      <c r="I22" s="166">
        <v>0.0</v>
      </c>
      <c r="J22" s="166">
        <v>0.0</v>
      </c>
      <c r="K22" s="166">
        <v>0.0</v>
      </c>
      <c r="L22" s="165">
        <v>1.0</v>
      </c>
      <c r="M22" s="165">
        <v>1.0</v>
      </c>
      <c r="N22" s="166">
        <v>0.0</v>
      </c>
      <c r="O22" s="166">
        <v>0.0</v>
      </c>
      <c r="P22" s="166">
        <v>0.0</v>
      </c>
      <c r="Q22" s="166">
        <v>0.0</v>
      </c>
      <c r="R22" s="166">
        <v>0.0</v>
      </c>
      <c r="S22" s="166">
        <v>0.0</v>
      </c>
      <c r="T22" s="166">
        <v>0.0</v>
      </c>
      <c r="U22" s="131">
        <f t="shared" si="2"/>
        <v>0</v>
      </c>
      <c r="V22" s="131">
        <f t="shared" si="3"/>
        <v>0.6666666667</v>
      </c>
    </row>
    <row r="23" ht="12.75" customHeight="1">
      <c r="A23" s="139" t="s">
        <v>26</v>
      </c>
      <c r="B23" s="140" t="s">
        <v>27</v>
      </c>
      <c r="C23" s="140" t="s">
        <v>48</v>
      </c>
      <c r="D23" s="75"/>
      <c r="E23" s="141"/>
      <c r="F23" s="63" t="s">
        <v>50</v>
      </c>
      <c r="G23" s="152">
        <v>0.0</v>
      </c>
      <c r="H23" s="152">
        <v>0.0</v>
      </c>
      <c r="I23" s="152">
        <v>0.0</v>
      </c>
      <c r="J23" s="152">
        <v>0.0</v>
      </c>
      <c r="K23" s="152">
        <v>0.0</v>
      </c>
      <c r="L23" s="152">
        <v>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2" t="s">
        <v>26</v>
      </c>
      <c r="B24" s="143" t="s">
        <v>27</v>
      </c>
      <c r="C24" s="144" t="s">
        <v>51</v>
      </c>
      <c r="D24" s="145" t="s">
        <v>46</v>
      </c>
      <c r="E24" s="143" t="s">
        <v>47</v>
      </c>
      <c r="F24" s="144" t="s">
        <v>51</v>
      </c>
      <c r="G24" s="152">
        <v>0.0</v>
      </c>
      <c r="H24" s="152">
        <v>0.0</v>
      </c>
      <c r="I24" s="152">
        <v>0.0</v>
      </c>
      <c r="J24" s="152">
        <v>0.0</v>
      </c>
      <c r="K24" s="152">
        <v>0.0</v>
      </c>
      <c r="L24" s="152">
        <v>0.0</v>
      </c>
      <c r="M24" s="152">
        <v>0.0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31">
        <f t="shared" si="2"/>
        <v>0</v>
      </c>
      <c r="V24" s="131">
        <f t="shared" si="3"/>
        <v>0</v>
      </c>
    </row>
    <row r="25" ht="12.75" customHeight="1">
      <c r="A25" s="146" t="s">
        <v>26</v>
      </c>
      <c r="B25" s="147" t="s">
        <v>27</v>
      </c>
      <c r="C25" s="148" t="s">
        <v>51</v>
      </c>
      <c r="D25" s="84"/>
      <c r="E25" s="147" t="s">
        <v>47</v>
      </c>
      <c r="F25" s="148" t="s">
        <v>52</v>
      </c>
      <c r="G25" s="152">
        <v>0.0</v>
      </c>
      <c r="H25" s="152">
        <v>0.0</v>
      </c>
      <c r="I25" s="152">
        <v>0.0</v>
      </c>
      <c r="J25" s="152">
        <v>0.0</v>
      </c>
      <c r="K25" s="152">
        <v>0.0</v>
      </c>
      <c r="L25" s="152">
        <v>0.0</v>
      </c>
      <c r="M25" s="152">
        <v>0.0</v>
      </c>
      <c r="N25" s="152">
        <v>0.0</v>
      </c>
      <c r="O25" s="152">
        <v>0.0</v>
      </c>
      <c r="P25" s="152">
        <v>0.0</v>
      </c>
      <c r="Q25" s="152">
        <v>0.0</v>
      </c>
      <c r="R25" s="152">
        <v>0.0</v>
      </c>
      <c r="S25" s="152">
        <v>0.0</v>
      </c>
      <c r="T25" s="152">
        <v>0.0</v>
      </c>
      <c r="U25" s="131">
        <f t="shared" si="2"/>
        <v>0</v>
      </c>
      <c r="V25" s="131">
        <f t="shared" si="3"/>
        <v>0</v>
      </c>
    </row>
    <row r="26" ht="12.75" customHeight="1">
      <c r="A26" s="146" t="s">
        <v>26</v>
      </c>
      <c r="B26" s="147" t="s">
        <v>27</v>
      </c>
      <c r="C26" s="148" t="s">
        <v>51</v>
      </c>
      <c r="D26" s="84"/>
      <c r="E26" s="147" t="s">
        <v>47</v>
      </c>
      <c r="F26" s="148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6" t="s">
        <v>26</v>
      </c>
      <c r="B27" s="147" t="s">
        <v>27</v>
      </c>
      <c r="C27" s="148" t="s">
        <v>51</v>
      </c>
      <c r="D27" s="84"/>
      <c r="E27" s="147" t="s">
        <v>47</v>
      </c>
      <c r="F27" s="148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6" t="s">
        <v>26</v>
      </c>
      <c r="B28" s="137" t="s">
        <v>27</v>
      </c>
      <c r="C28" s="149" t="s">
        <v>55</v>
      </c>
      <c r="D28" s="150" t="s">
        <v>46</v>
      </c>
      <c r="E28" s="151" t="s">
        <v>47</v>
      </c>
      <c r="F28" s="149" t="s">
        <v>55</v>
      </c>
      <c r="G28" s="152">
        <v>0.0</v>
      </c>
      <c r="H28" s="152">
        <v>1.0</v>
      </c>
      <c r="I28" s="152">
        <v>0.0</v>
      </c>
      <c r="J28" s="152">
        <v>2.0</v>
      </c>
      <c r="K28" s="152">
        <v>0.0</v>
      </c>
      <c r="L28" s="152">
        <v>1.0</v>
      </c>
      <c r="M28" s="152">
        <v>5.0</v>
      </c>
      <c r="N28" s="152">
        <v>0.0</v>
      </c>
      <c r="O28" s="152">
        <v>0.0</v>
      </c>
      <c r="P28" s="152">
        <v>0.0</v>
      </c>
      <c r="Q28" s="152">
        <v>0.0</v>
      </c>
      <c r="R28" s="152">
        <v>2.0</v>
      </c>
      <c r="S28" s="152">
        <v>0.0</v>
      </c>
      <c r="T28" s="152">
        <v>0.0</v>
      </c>
      <c r="U28" s="131">
        <f t="shared" si="2"/>
        <v>0</v>
      </c>
      <c r="V28" s="131">
        <f t="shared" si="3"/>
        <v>0</v>
      </c>
    </row>
    <row r="29" ht="12.75" customHeight="1">
      <c r="A29" s="139" t="s">
        <v>26</v>
      </c>
      <c r="B29" s="140" t="s">
        <v>27</v>
      </c>
      <c r="C29" s="140" t="s">
        <v>55</v>
      </c>
      <c r="D29" s="75"/>
      <c r="E29" s="140" t="s">
        <v>47</v>
      </c>
      <c r="F29" s="63" t="s">
        <v>56</v>
      </c>
      <c r="G29" s="152">
        <v>4.0</v>
      </c>
      <c r="H29" s="152">
        <v>2.0</v>
      </c>
      <c r="I29" s="152">
        <v>1.0</v>
      </c>
      <c r="J29" s="152">
        <v>2.0</v>
      </c>
      <c r="K29" s="152">
        <v>1.0</v>
      </c>
      <c r="L29" s="152">
        <v>0.0</v>
      </c>
      <c r="M29" s="152">
        <v>21.0</v>
      </c>
      <c r="N29" s="152">
        <v>2.0</v>
      </c>
      <c r="O29" s="152">
        <v>1.0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31">
        <f t="shared" si="2"/>
        <v>0.5</v>
      </c>
      <c r="V29" s="131">
        <f t="shared" si="3"/>
        <v>0.5</v>
      </c>
    </row>
    <row r="30" ht="12.75" customHeight="1">
      <c r="A30" s="139" t="s">
        <v>26</v>
      </c>
      <c r="B30" s="140" t="s">
        <v>27</v>
      </c>
      <c r="C30" s="140" t="s">
        <v>55</v>
      </c>
      <c r="D30" s="75"/>
      <c r="E30" s="141"/>
      <c r="F30" s="63" t="s">
        <v>57</v>
      </c>
      <c r="G30" s="152">
        <v>0.0</v>
      </c>
      <c r="H30" s="152">
        <v>2.0</v>
      </c>
      <c r="I30" s="152">
        <v>1.0</v>
      </c>
      <c r="J30" s="152">
        <v>1.0</v>
      </c>
      <c r="K30" s="152">
        <v>0.0</v>
      </c>
      <c r="L30" s="152">
        <v>6.0</v>
      </c>
      <c r="M30" s="152">
        <v>1.0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1550.0</v>
      </c>
      <c r="U30" s="131">
        <f t="shared" si="2"/>
        <v>0.5</v>
      </c>
      <c r="V30" s="131">
        <f t="shared" si="3"/>
        <v>0</v>
      </c>
    </row>
    <row r="31" ht="12.75" customHeight="1">
      <c r="A31" s="139" t="s">
        <v>26</v>
      </c>
      <c r="B31" s="140" t="s">
        <v>27</v>
      </c>
      <c r="C31" s="140" t="s">
        <v>55</v>
      </c>
      <c r="D31" s="75"/>
      <c r="E31" s="140" t="s">
        <v>58</v>
      </c>
      <c r="F31" s="63" t="s">
        <v>59</v>
      </c>
      <c r="G31" s="152">
        <v>0.0</v>
      </c>
      <c r="H31" s="152">
        <v>0.0</v>
      </c>
      <c r="I31" s="152">
        <v>0.0</v>
      </c>
      <c r="J31" s="152">
        <v>0.0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3">
        <v>0.0</v>
      </c>
      <c r="V31" s="131">
        <f t="shared" si="3"/>
        <v>0</v>
      </c>
    </row>
    <row r="32" ht="12.75" customHeight="1">
      <c r="A32" s="142" t="s">
        <v>26</v>
      </c>
      <c r="B32" s="143" t="s">
        <v>27</v>
      </c>
      <c r="C32" s="154" t="s">
        <v>60</v>
      </c>
      <c r="D32" s="145" t="s">
        <v>46</v>
      </c>
      <c r="E32" s="155"/>
      <c r="F32" s="154" t="s">
        <v>60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ref="U32:U36" si="4">IFERROR(I32/H32,0)</f>
        <v>0</v>
      </c>
      <c r="V32" s="131">
        <f t="shared" si="3"/>
        <v>0</v>
      </c>
    </row>
    <row r="33" ht="12.75" customHeight="1">
      <c r="A33" s="146" t="s">
        <v>26</v>
      </c>
      <c r="B33" s="147" t="s">
        <v>27</v>
      </c>
      <c r="C33" s="147" t="s">
        <v>60</v>
      </c>
      <c r="D33" s="84"/>
      <c r="E33" s="155"/>
      <c r="F33" s="156" t="s">
        <v>61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4"/>
        <v>0</v>
      </c>
      <c r="V33" s="131">
        <f t="shared" si="3"/>
        <v>0</v>
      </c>
    </row>
    <row r="34" ht="12.75" customHeight="1">
      <c r="A34" s="146" t="s">
        <v>26</v>
      </c>
      <c r="B34" s="147" t="s">
        <v>27</v>
      </c>
      <c r="C34" s="147" t="s">
        <v>60</v>
      </c>
      <c r="D34" s="84"/>
      <c r="E34" s="155"/>
      <c r="F34" s="156" t="s">
        <v>62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3"/>
        <v>0</v>
      </c>
    </row>
    <row r="35" ht="12.75" customHeight="1">
      <c r="A35" s="146" t="s">
        <v>26</v>
      </c>
      <c r="B35" s="147" t="s">
        <v>27</v>
      </c>
      <c r="C35" s="147" t="s">
        <v>60</v>
      </c>
      <c r="D35" s="84"/>
      <c r="E35" s="155"/>
      <c r="F35" s="156" t="s">
        <v>63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3"/>
        <v>0</v>
      </c>
    </row>
    <row r="36" ht="12.75" customHeight="1">
      <c r="A36" s="146" t="s">
        <v>26</v>
      </c>
      <c r="B36" s="147" t="s">
        <v>27</v>
      </c>
      <c r="C36" s="147" t="s">
        <v>60</v>
      </c>
      <c r="D36" s="84"/>
      <c r="E36" s="155"/>
      <c r="F36" s="156" t="s">
        <v>64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1">
        <f t="shared" si="4"/>
        <v>0</v>
      </c>
      <c r="V36" s="131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128" t="s">
        <v>28</v>
      </c>
      <c r="B38" s="129"/>
      <c r="C38" s="129"/>
      <c r="D38" s="157" t="s">
        <v>46</v>
      </c>
      <c r="E38" s="128" t="s">
        <v>47</v>
      </c>
      <c r="F38" s="128" t="s">
        <v>28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ref="U38:U56" si="5">IFERROR(I38/H38,0)</f>
        <v>0</v>
      </c>
      <c r="V38" s="131">
        <f t="shared" ref="V38:V56" si="6">IFERROR(SUM(H38+L38)/G38,0)</f>
        <v>0</v>
      </c>
    </row>
    <row r="39" ht="12.75" customHeight="1">
      <c r="A39" s="132" t="s">
        <v>28</v>
      </c>
      <c r="B39" s="124" t="s">
        <v>29</v>
      </c>
      <c r="C39" s="158"/>
      <c r="D39" s="159" t="s">
        <v>46</v>
      </c>
      <c r="E39" s="135" t="s">
        <v>47</v>
      </c>
      <c r="F39" s="124" t="s">
        <v>29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5"/>
        <v>0</v>
      </c>
      <c r="V39" s="131">
        <f t="shared" si="6"/>
        <v>0</v>
      </c>
    </row>
    <row r="40" ht="12.75" customHeight="1">
      <c r="A40" s="142" t="s">
        <v>28</v>
      </c>
      <c r="B40" s="143" t="s">
        <v>29</v>
      </c>
      <c r="C40" s="144" t="s">
        <v>65</v>
      </c>
      <c r="D40" s="145" t="s">
        <v>46</v>
      </c>
      <c r="E40" s="143" t="s">
        <v>47</v>
      </c>
      <c r="F40" s="144" t="s">
        <v>65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5"/>
        <v>0</v>
      </c>
      <c r="V40" s="131">
        <f t="shared" si="6"/>
        <v>0</v>
      </c>
    </row>
    <row r="41" ht="12.75" customHeight="1">
      <c r="A41" s="146" t="s">
        <v>28</v>
      </c>
      <c r="B41" s="147" t="s">
        <v>29</v>
      </c>
      <c r="C41" s="146" t="s">
        <v>65</v>
      </c>
      <c r="D41" s="155"/>
      <c r="E41" s="147" t="s">
        <v>47</v>
      </c>
      <c r="F41" s="146" t="s">
        <v>66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5"/>
        <v>0</v>
      </c>
      <c r="V41" s="131">
        <f t="shared" si="6"/>
        <v>0</v>
      </c>
    </row>
    <row r="42" ht="12.75" customHeight="1">
      <c r="A42" s="146" t="s">
        <v>28</v>
      </c>
      <c r="B42" s="147" t="s">
        <v>29</v>
      </c>
      <c r="C42" s="146" t="s">
        <v>65</v>
      </c>
      <c r="D42" s="84"/>
      <c r="E42" s="160" t="s">
        <v>47</v>
      </c>
      <c r="F42" s="148" t="s">
        <v>67</v>
      </c>
      <c r="G42" s="152">
        <v>4.0</v>
      </c>
      <c r="H42" s="152">
        <v>1.0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152">
        <v>0.0</v>
      </c>
      <c r="R42" s="152">
        <v>1.0</v>
      </c>
      <c r="S42" s="152">
        <v>0.0</v>
      </c>
      <c r="T42" s="152">
        <v>0.0</v>
      </c>
      <c r="U42" s="131">
        <f t="shared" si="5"/>
        <v>0</v>
      </c>
      <c r="V42" s="131">
        <f t="shared" si="6"/>
        <v>0.25</v>
      </c>
    </row>
    <row r="43" ht="12.75" customHeight="1">
      <c r="A43" s="146" t="s">
        <v>28</v>
      </c>
      <c r="B43" s="147" t="s">
        <v>29</v>
      </c>
      <c r="C43" s="146" t="s">
        <v>65</v>
      </c>
      <c r="D43" s="84"/>
      <c r="E43" s="160" t="s">
        <v>47</v>
      </c>
      <c r="F43" s="148" t="s">
        <v>68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5"/>
        <v>0</v>
      </c>
      <c r="V43" s="131">
        <f t="shared" si="6"/>
        <v>0</v>
      </c>
    </row>
    <row r="44" ht="12.75" customHeight="1">
      <c r="A44" s="146" t="s">
        <v>28</v>
      </c>
      <c r="B44" s="147" t="s">
        <v>29</v>
      </c>
      <c r="C44" s="146" t="s">
        <v>65</v>
      </c>
      <c r="D44" s="84"/>
      <c r="E44" s="160" t="s">
        <v>47</v>
      </c>
      <c r="F44" s="148" t="s">
        <v>69</v>
      </c>
      <c r="G44" s="152">
        <v>9.0</v>
      </c>
      <c r="H44" s="152">
        <v>4.0</v>
      </c>
      <c r="I44" s="152">
        <v>2.0</v>
      </c>
      <c r="J44" s="152">
        <v>4.0</v>
      </c>
      <c r="K44" s="152">
        <v>2.0</v>
      </c>
      <c r="L44" s="152">
        <v>2.0</v>
      </c>
      <c r="M44" s="152">
        <v>4.0</v>
      </c>
      <c r="N44" s="152">
        <v>0.0</v>
      </c>
      <c r="O44" s="152">
        <v>0.0</v>
      </c>
      <c r="P44" s="152">
        <v>0.0</v>
      </c>
      <c r="Q44" s="152">
        <v>0.0</v>
      </c>
      <c r="R44" s="152">
        <v>4.0</v>
      </c>
      <c r="S44" s="152">
        <v>2.0</v>
      </c>
      <c r="T44" s="152">
        <v>5138.0</v>
      </c>
      <c r="U44" s="131">
        <f t="shared" si="5"/>
        <v>0.5</v>
      </c>
      <c r="V44" s="131">
        <f t="shared" si="6"/>
        <v>0.6666666667</v>
      </c>
    </row>
    <row r="45" ht="12.75" customHeight="1">
      <c r="A45" s="146" t="s">
        <v>28</v>
      </c>
      <c r="B45" s="147" t="s">
        <v>29</v>
      </c>
      <c r="C45" s="146" t="s">
        <v>65</v>
      </c>
      <c r="D45" s="84"/>
      <c r="E45" s="160" t="s">
        <v>47</v>
      </c>
      <c r="F45" s="148" t="s">
        <v>70</v>
      </c>
      <c r="G45" s="152">
        <v>4.0</v>
      </c>
      <c r="H45" s="152">
        <v>1.0</v>
      </c>
      <c r="I45" s="152">
        <v>1.0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1.0</v>
      </c>
      <c r="S45" s="152">
        <v>1.0</v>
      </c>
      <c r="T45" s="152">
        <v>1800.0</v>
      </c>
      <c r="U45" s="131">
        <f t="shared" si="5"/>
        <v>1</v>
      </c>
      <c r="V45" s="131">
        <f t="shared" si="6"/>
        <v>0.25</v>
      </c>
    </row>
    <row r="46" ht="12.75" customHeight="1">
      <c r="A46" s="146" t="s">
        <v>28</v>
      </c>
      <c r="B46" s="147" t="s">
        <v>29</v>
      </c>
      <c r="C46" s="146" t="s">
        <v>65</v>
      </c>
      <c r="D46" s="84"/>
      <c r="E46" s="147" t="s">
        <v>47</v>
      </c>
      <c r="F46" s="148" t="s">
        <v>71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5"/>
        <v>0</v>
      </c>
      <c r="V46" s="131">
        <f t="shared" si="6"/>
        <v>0</v>
      </c>
    </row>
    <row r="47" ht="12.75" customHeight="1">
      <c r="A47" s="146" t="s">
        <v>28</v>
      </c>
      <c r="B47" s="147" t="s">
        <v>29</v>
      </c>
      <c r="C47" s="146" t="s">
        <v>65</v>
      </c>
      <c r="D47" s="84"/>
      <c r="E47" s="147" t="s">
        <v>47</v>
      </c>
      <c r="F47" s="148" t="s">
        <v>72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5"/>
        <v>0</v>
      </c>
      <c r="V47" s="131">
        <f t="shared" si="6"/>
        <v>0</v>
      </c>
    </row>
    <row r="48" ht="12.75" customHeight="1">
      <c r="A48" s="146" t="s">
        <v>28</v>
      </c>
      <c r="B48" s="147" t="s">
        <v>29</v>
      </c>
      <c r="C48" s="146" t="s">
        <v>65</v>
      </c>
      <c r="D48" s="161"/>
      <c r="E48" s="147" t="s">
        <v>47</v>
      </c>
      <c r="F48" s="156" t="s">
        <v>73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5"/>
        <v>0</v>
      </c>
      <c r="V48" s="131">
        <f t="shared" si="6"/>
        <v>0</v>
      </c>
    </row>
    <row r="49" ht="12.75" customHeight="1">
      <c r="A49" s="146" t="s">
        <v>28</v>
      </c>
      <c r="B49" s="147" t="s">
        <v>29</v>
      </c>
      <c r="C49" s="146" t="s">
        <v>65</v>
      </c>
      <c r="D49" s="161"/>
      <c r="E49" s="147" t="s">
        <v>47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5"/>
        <v>0</v>
      </c>
      <c r="V49" s="131">
        <f t="shared" si="6"/>
        <v>0</v>
      </c>
    </row>
    <row r="50" ht="12.75" customHeight="1">
      <c r="A50" s="146" t="s">
        <v>28</v>
      </c>
      <c r="B50" s="147" t="s">
        <v>29</v>
      </c>
      <c r="C50" s="146" t="s">
        <v>65</v>
      </c>
      <c r="D50" s="161"/>
      <c r="E50" s="147" t="s">
        <v>47</v>
      </c>
      <c r="F50" s="156" t="s">
        <v>75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5"/>
        <v>0</v>
      </c>
      <c r="V50" s="131">
        <f t="shared" si="6"/>
        <v>0</v>
      </c>
    </row>
    <row r="51" ht="12.75" customHeight="1">
      <c r="A51" s="146" t="s">
        <v>28</v>
      </c>
      <c r="B51" s="147" t="s">
        <v>29</v>
      </c>
      <c r="C51" s="146" t="s">
        <v>65</v>
      </c>
      <c r="D51" s="161"/>
      <c r="E51" s="147" t="s">
        <v>47</v>
      </c>
      <c r="F51" s="156" t="s">
        <v>76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31">
        <f t="shared" si="5"/>
        <v>0</v>
      </c>
      <c r="V51" s="131">
        <f t="shared" si="6"/>
        <v>0</v>
      </c>
    </row>
    <row r="52" ht="12.75" customHeight="1">
      <c r="A52" s="146" t="s">
        <v>28</v>
      </c>
      <c r="B52" s="147" t="s">
        <v>29</v>
      </c>
      <c r="C52" s="146" t="s">
        <v>65</v>
      </c>
      <c r="D52" s="161"/>
      <c r="E52" s="147" t="s">
        <v>77</v>
      </c>
      <c r="F52" s="156" t="s">
        <v>78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31">
        <f t="shared" si="5"/>
        <v>0</v>
      </c>
      <c r="V52" s="131">
        <f t="shared" si="6"/>
        <v>0</v>
      </c>
    </row>
    <row r="53" ht="12.75" customHeight="1">
      <c r="A53" s="146" t="s">
        <v>28</v>
      </c>
      <c r="B53" s="147" t="s">
        <v>29</v>
      </c>
      <c r="C53" s="146" t="s">
        <v>65</v>
      </c>
      <c r="D53" s="161"/>
      <c r="E53" s="147" t="s">
        <v>79</v>
      </c>
      <c r="F53" s="156" t="s">
        <v>80</v>
      </c>
      <c r="G53" s="152">
        <v>2.0</v>
      </c>
      <c r="H53" s="152">
        <v>1.0</v>
      </c>
      <c r="I53" s="152">
        <v>1.0</v>
      </c>
      <c r="J53" s="152">
        <v>1.0</v>
      </c>
      <c r="K53" s="152">
        <v>1.0</v>
      </c>
      <c r="L53" s="152">
        <v>0.0</v>
      </c>
      <c r="M53" s="152">
        <v>2.0</v>
      </c>
      <c r="N53" s="152">
        <v>1.0</v>
      </c>
      <c r="O53" s="152">
        <v>1.0</v>
      </c>
      <c r="P53" s="152">
        <v>0.0</v>
      </c>
      <c r="Q53" s="152">
        <v>0.0</v>
      </c>
      <c r="R53" s="152">
        <v>0.0</v>
      </c>
      <c r="S53" s="152">
        <v>0.0</v>
      </c>
      <c r="T53" s="152">
        <v>1896.0</v>
      </c>
      <c r="U53" s="131">
        <f t="shared" si="5"/>
        <v>1</v>
      </c>
      <c r="V53" s="131">
        <f t="shared" si="6"/>
        <v>0.5</v>
      </c>
    </row>
    <row r="54" ht="12.75" customHeight="1">
      <c r="A54" s="146" t="s">
        <v>28</v>
      </c>
      <c r="B54" s="147" t="s">
        <v>29</v>
      </c>
      <c r="C54" s="146" t="s">
        <v>65</v>
      </c>
      <c r="D54" s="161"/>
      <c r="E54" s="155"/>
      <c r="F54" s="156" t="s">
        <v>81</v>
      </c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1">
        <f t="shared" si="5"/>
        <v>0</v>
      </c>
      <c r="V54" s="131">
        <f t="shared" si="6"/>
        <v>0</v>
      </c>
    </row>
    <row r="55" ht="12.75" customHeight="1">
      <c r="A55" s="146" t="s">
        <v>28</v>
      </c>
      <c r="B55" s="147" t="s">
        <v>29</v>
      </c>
      <c r="C55" s="146" t="s">
        <v>65</v>
      </c>
      <c r="D55" s="161"/>
      <c r="E55" s="147" t="s">
        <v>47</v>
      </c>
      <c r="F55" s="156" t="s">
        <v>82</v>
      </c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1">
        <f t="shared" si="5"/>
        <v>0</v>
      </c>
      <c r="V55" s="131">
        <f t="shared" si="6"/>
        <v>0</v>
      </c>
    </row>
    <row r="56" ht="12.75" customHeight="1">
      <c r="A56" s="146" t="s">
        <v>28</v>
      </c>
      <c r="B56" s="147" t="s">
        <v>29</v>
      </c>
      <c r="C56" s="146" t="s">
        <v>65</v>
      </c>
      <c r="D56" s="161"/>
      <c r="E56" s="147" t="s">
        <v>47</v>
      </c>
      <c r="F56" s="156" t="s">
        <v>83</v>
      </c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1">
        <f t="shared" si="5"/>
        <v>0</v>
      </c>
      <c r="V56" s="131">
        <f t="shared" si="6"/>
        <v>0</v>
      </c>
    </row>
    <row r="57" ht="12.75" customHeight="1">
      <c r="A57" s="162"/>
      <c r="B57" s="162"/>
      <c r="C57" s="162"/>
      <c r="D57" s="1"/>
      <c r="E57" s="162"/>
      <c r="F57" s="11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</row>
    <row r="58" ht="12.75" customHeight="1">
      <c r="A58" s="162"/>
      <c r="B58" s="162"/>
      <c r="C58" s="162"/>
      <c r="D58" s="1"/>
      <c r="E58" s="162"/>
      <c r="F58" s="11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</row>
    <row r="59" ht="12.75" customHeight="1">
      <c r="A59" s="162"/>
      <c r="B59" s="162"/>
      <c r="C59" s="162"/>
      <c r="D59" s="1"/>
      <c r="E59" s="162"/>
      <c r="F59" s="11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</row>
    <row r="60" ht="12.75" customHeight="1">
      <c r="A60" s="162"/>
      <c r="B60" s="162"/>
      <c r="C60" s="162"/>
      <c r="D60" s="1"/>
      <c r="E60" s="162"/>
      <c r="F60" s="11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</row>
    <row r="61" ht="12.75" customHeight="1">
      <c r="A61" s="162"/>
      <c r="B61" s="162"/>
      <c r="C61" s="162"/>
      <c r="D61" s="1"/>
      <c r="E61" s="162"/>
      <c r="F61" s="11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</row>
    <row r="62" ht="12.75" customHeight="1">
      <c r="A62" s="162"/>
      <c r="B62" s="162"/>
      <c r="C62" s="162"/>
      <c r="D62" s="1"/>
      <c r="E62" s="162"/>
      <c r="F62" s="11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4"/>
      <c r="V62" s="164"/>
    </row>
    <row r="63" ht="12.75" customHeight="1">
      <c r="A63" s="162"/>
      <c r="B63" s="162"/>
      <c r="C63" s="162"/>
      <c r="D63" s="1"/>
      <c r="E63" s="162"/>
      <c r="F63" s="11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4"/>
      <c r="V63" s="164"/>
    </row>
    <row r="64" ht="12.75" customHeight="1">
      <c r="A64" s="162"/>
      <c r="B64" s="162"/>
      <c r="C64" s="162"/>
      <c r="D64" s="1"/>
      <c r="E64" s="162"/>
      <c r="F64" s="11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4"/>
      <c r="V64" s="164"/>
    </row>
    <row r="65" ht="12.75" customHeight="1">
      <c r="A65" s="162"/>
      <c r="B65" s="162"/>
      <c r="C65" s="162"/>
      <c r="D65" s="1"/>
      <c r="E65" s="162"/>
      <c r="F65" s="11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4"/>
      <c r="V65" s="164"/>
    </row>
    <row r="66" ht="12.75" customHeight="1">
      <c r="A66" s="162"/>
      <c r="B66" s="162"/>
      <c r="C66" s="162"/>
      <c r="D66" s="1"/>
      <c r="E66" s="162"/>
      <c r="F66" s="11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4"/>
      <c r="V66" s="164"/>
    </row>
    <row r="67" ht="12.75" customHeight="1">
      <c r="A67" s="162"/>
      <c r="B67" s="162"/>
      <c r="C67" s="162"/>
      <c r="D67" s="1"/>
      <c r="E67" s="162"/>
      <c r="F67" s="11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4"/>
      <c r="V67" s="164"/>
    </row>
    <row r="68" ht="12.75" customHeight="1">
      <c r="A68" s="162"/>
      <c r="B68" s="162"/>
      <c r="C68" s="162"/>
      <c r="D68" s="1"/>
      <c r="E68" s="162"/>
      <c r="F68" s="11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4"/>
      <c r="V68" s="164"/>
    </row>
    <row r="69" ht="12.75" customHeight="1">
      <c r="A69" s="162"/>
      <c r="B69" s="162"/>
      <c r="C69" s="162"/>
      <c r="D69" s="1"/>
      <c r="E69" s="162"/>
      <c r="F69" s="11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4"/>
      <c r="V69" s="164"/>
    </row>
    <row r="70" ht="12.75" customHeight="1">
      <c r="A70" s="162"/>
      <c r="B70" s="162"/>
      <c r="C70" s="162"/>
      <c r="D70" s="1"/>
      <c r="E70" s="162"/>
      <c r="F70" s="11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4"/>
      <c r="V70" s="164"/>
    </row>
    <row r="71" ht="12.75" customHeight="1">
      <c r="A71" s="162"/>
      <c r="B71" s="162"/>
      <c r="C71" s="162"/>
      <c r="D71" s="1"/>
      <c r="E71" s="162"/>
      <c r="F71" s="11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4"/>
      <c r="V71" s="164"/>
    </row>
    <row r="72" ht="12.75" customHeight="1">
      <c r="A72" s="162"/>
      <c r="B72" s="162"/>
      <c r="C72" s="162"/>
      <c r="D72" s="1"/>
      <c r="E72" s="162"/>
      <c r="F72" s="11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4"/>
      <c r="V72" s="164"/>
    </row>
    <row r="73" ht="12.75" customHeight="1">
      <c r="A73" s="162"/>
      <c r="B73" s="162"/>
      <c r="C73" s="162"/>
      <c r="D73" s="1"/>
      <c r="E73" s="162"/>
      <c r="F73" s="11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164"/>
    </row>
    <row r="74" ht="12.75" customHeight="1">
      <c r="A74" s="162"/>
      <c r="B74" s="162"/>
      <c r="C74" s="162"/>
      <c r="D74" s="1"/>
      <c r="E74" s="162"/>
      <c r="F74" s="11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164"/>
    </row>
    <row r="75" ht="12.75" customHeight="1">
      <c r="A75" s="162"/>
      <c r="B75" s="162"/>
      <c r="C75" s="162"/>
      <c r="D75" s="1"/>
      <c r="E75" s="162"/>
      <c r="F75" s="11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4"/>
      <c r="V75" s="164"/>
    </row>
    <row r="76" ht="12.75" customHeight="1">
      <c r="A76" s="162"/>
      <c r="B76" s="162"/>
      <c r="C76" s="162"/>
      <c r="D76" s="1"/>
      <c r="E76" s="162"/>
      <c r="F76" s="11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4"/>
      <c r="V76" s="164"/>
    </row>
    <row r="77" ht="12.75" customHeight="1">
      <c r="A77" s="162"/>
      <c r="B77" s="162"/>
      <c r="C77" s="162"/>
      <c r="D77" s="1"/>
      <c r="E77" s="162"/>
      <c r="F77" s="11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4"/>
      <c r="V77" s="164"/>
    </row>
    <row r="78" ht="12.75" customHeight="1">
      <c r="A78" s="162"/>
      <c r="B78" s="162"/>
      <c r="C78" s="162"/>
      <c r="D78" s="1"/>
      <c r="E78" s="162"/>
      <c r="F78" s="11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4"/>
      <c r="V78" s="164"/>
    </row>
    <row r="79" ht="12.75" customHeight="1">
      <c r="A79" s="162"/>
      <c r="B79" s="162"/>
      <c r="C79" s="162"/>
      <c r="D79" s="1"/>
      <c r="E79" s="162"/>
      <c r="F79" s="11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4"/>
      <c r="V79" s="164"/>
    </row>
    <row r="80" ht="12.75" customHeight="1">
      <c r="A80" s="162"/>
      <c r="B80" s="162"/>
      <c r="C80" s="162"/>
      <c r="D80" s="1"/>
      <c r="E80" s="162"/>
      <c r="F80" s="11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4"/>
      <c r="V80" s="164"/>
    </row>
    <row r="81" ht="12.75" customHeight="1">
      <c r="A81" s="162"/>
      <c r="B81" s="162"/>
      <c r="C81" s="162"/>
      <c r="D81" s="1"/>
      <c r="E81" s="162"/>
      <c r="F81" s="11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4"/>
      <c r="V81" s="164"/>
    </row>
    <row r="82" ht="12.75" customHeight="1">
      <c r="A82" s="162"/>
      <c r="B82" s="162"/>
      <c r="C82" s="162"/>
      <c r="D82" s="1"/>
      <c r="E82" s="162"/>
      <c r="F82" s="11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4"/>
      <c r="V82" s="164"/>
    </row>
    <row r="83" ht="12.75" customHeight="1">
      <c r="A83" s="162"/>
      <c r="B83" s="162"/>
      <c r="C83" s="162"/>
      <c r="D83" s="1"/>
      <c r="E83" s="162"/>
      <c r="F83" s="11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4"/>
      <c r="V83" s="164"/>
    </row>
    <row r="84" ht="12.75" customHeight="1">
      <c r="A84" s="162"/>
      <c r="B84" s="162"/>
      <c r="C84" s="162"/>
      <c r="D84" s="1"/>
      <c r="E84" s="162"/>
      <c r="F84" s="11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4"/>
      <c r="V84" s="164"/>
    </row>
    <row r="85" ht="12.75" customHeight="1">
      <c r="A85" s="162"/>
      <c r="B85" s="162"/>
      <c r="C85" s="162"/>
      <c r="D85" s="1"/>
      <c r="E85" s="162"/>
      <c r="F85" s="11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4"/>
      <c r="V85" s="164"/>
    </row>
    <row r="86" ht="12.75" customHeight="1">
      <c r="A86" s="162"/>
      <c r="B86" s="162"/>
      <c r="C86" s="162"/>
      <c r="D86" s="1"/>
      <c r="E86" s="162"/>
      <c r="F86" s="11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4"/>
      <c r="V86" s="164"/>
    </row>
    <row r="87" ht="12.75" customHeight="1">
      <c r="A87" s="162"/>
      <c r="B87" s="162"/>
      <c r="C87" s="162"/>
      <c r="D87" s="1"/>
      <c r="E87" s="162"/>
      <c r="F87" s="11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4"/>
      <c r="V87" s="164"/>
    </row>
    <row r="88" ht="12.75" customHeight="1">
      <c r="A88" s="162"/>
      <c r="B88" s="162"/>
      <c r="C88" s="162"/>
      <c r="D88" s="1"/>
      <c r="E88" s="162"/>
      <c r="F88" s="11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4"/>
      <c r="V88" s="164"/>
    </row>
    <row r="89" ht="12.75" customHeight="1">
      <c r="A89" s="162"/>
      <c r="B89" s="162"/>
      <c r="C89" s="162"/>
      <c r="D89" s="1"/>
      <c r="E89" s="162"/>
      <c r="F89" s="11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4"/>
      <c r="V89" s="164"/>
    </row>
    <row r="90" ht="12.75" customHeight="1">
      <c r="A90" s="162"/>
      <c r="B90" s="162"/>
      <c r="C90" s="162"/>
      <c r="D90" s="1"/>
      <c r="E90" s="162"/>
      <c r="F90" s="11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4"/>
      <c r="V90" s="164"/>
    </row>
    <row r="91" ht="12.75" customHeight="1">
      <c r="A91" s="162"/>
      <c r="B91" s="162"/>
      <c r="C91" s="162"/>
      <c r="D91" s="1"/>
      <c r="E91" s="162"/>
      <c r="F91" s="11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4"/>
      <c r="V91" s="164"/>
    </row>
    <row r="92" ht="12.75" customHeight="1">
      <c r="A92" s="162"/>
      <c r="B92" s="162"/>
      <c r="C92" s="162"/>
      <c r="D92" s="1"/>
      <c r="E92" s="162"/>
      <c r="F92" s="11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4"/>
      <c r="V92" s="164"/>
    </row>
    <row r="93" ht="12.75" customHeight="1">
      <c r="A93" s="162"/>
      <c r="B93" s="162"/>
      <c r="C93" s="162"/>
      <c r="D93" s="1"/>
      <c r="E93" s="162"/>
      <c r="F93" s="11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4"/>
      <c r="V93" s="164"/>
    </row>
    <row r="94" ht="12.75" customHeight="1">
      <c r="A94" s="162"/>
      <c r="B94" s="162"/>
      <c r="C94" s="162"/>
      <c r="D94" s="1"/>
      <c r="E94" s="162"/>
      <c r="F94" s="11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4"/>
      <c r="V94" s="164"/>
    </row>
    <row r="95" ht="12.75" customHeight="1">
      <c r="A95" s="162"/>
      <c r="B95" s="162"/>
      <c r="C95" s="162"/>
      <c r="D95" s="1"/>
      <c r="E95" s="162"/>
      <c r="F95" s="11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4"/>
      <c r="V95" s="164"/>
    </row>
    <row r="96" ht="12.75" customHeight="1">
      <c r="A96" s="162"/>
      <c r="B96" s="162"/>
      <c r="C96" s="162"/>
      <c r="D96" s="1"/>
      <c r="E96" s="162"/>
      <c r="F96" s="11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4"/>
      <c r="V96" s="164"/>
    </row>
    <row r="97" ht="12.75" customHeight="1">
      <c r="A97" s="162"/>
      <c r="B97" s="162"/>
      <c r="C97" s="162"/>
      <c r="D97" s="1"/>
      <c r="E97" s="162"/>
      <c r="F97" s="11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4"/>
      <c r="V97" s="164"/>
    </row>
    <row r="98" ht="12.75" customHeight="1">
      <c r="A98" s="162"/>
      <c r="B98" s="162"/>
      <c r="C98" s="162"/>
      <c r="D98" s="1"/>
      <c r="E98" s="162"/>
      <c r="F98" s="11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4"/>
      <c r="V98" s="164"/>
    </row>
    <row r="99" ht="12.75" customHeight="1">
      <c r="A99" s="162"/>
      <c r="B99" s="162"/>
      <c r="C99" s="162"/>
      <c r="D99" s="1"/>
      <c r="E99" s="162"/>
      <c r="F99" s="11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4"/>
      <c r="V99" s="164"/>
    </row>
    <row r="100" ht="12.75" customHeight="1">
      <c r="A100" s="162"/>
      <c r="B100" s="162"/>
      <c r="C100" s="162"/>
      <c r="D100" s="1"/>
      <c r="E100" s="162"/>
      <c r="F100" s="11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4"/>
      <c r="V100" s="164"/>
    </row>
    <row r="101" ht="12.75" customHeight="1">
      <c r="A101" s="162"/>
      <c r="B101" s="162"/>
      <c r="C101" s="162"/>
      <c r="D101" s="1"/>
      <c r="E101" s="162"/>
      <c r="F101" s="11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4"/>
      <c r="V101" s="164"/>
    </row>
    <row r="102" ht="12.75" customHeight="1">
      <c r="A102" s="162"/>
      <c r="B102" s="162"/>
      <c r="C102" s="162"/>
      <c r="D102" s="1"/>
      <c r="E102" s="162"/>
      <c r="F102" s="11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4"/>
      <c r="V102" s="164"/>
    </row>
    <row r="103" ht="12.75" customHeight="1">
      <c r="A103" s="162"/>
      <c r="B103" s="162"/>
      <c r="C103" s="162"/>
      <c r="D103" s="1"/>
      <c r="E103" s="162"/>
      <c r="F103" s="11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4"/>
      <c r="V103" s="164"/>
    </row>
    <row r="104" ht="12.75" customHeight="1">
      <c r="A104" s="162"/>
      <c r="B104" s="162"/>
      <c r="C104" s="162"/>
      <c r="D104" s="1"/>
      <c r="E104" s="162"/>
      <c r="F104" s="11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4"/>
      <c r="V104" s="164"/>
    </row>
    <row r="105" ht="12.75" customHeight="1">
      <c r="A105" s="162"/>
      <c r="B105" s="162"/>
      <c r="C105" s="162"/>
      <c r="D105" s="1"/>
      <c r="E105" s="162"/>
      <c r="F105" s="11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4"/>
      <c r="V105" s="164"/>
    </row>
    <row r="106" ht="12.75" customHeight="1">
      <c r="A106" s="162"/>
      <c r="B106" s="162"/>
      <c r="C106" s="162"/>
      <c r="D106" s="1"/>
      <c r="E106" s="162"/>
      <c r="F106" s="11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4"/>
      <c r="V106" s="164"/>
    </row>
    <row r="107" ht="12.75" customHeight="1">
      <c r="A107" s="162"/>
      <c r="B107" s="162"/>
      <c r="C107" s="162"/>
      <c r="D107" s="1"/>
      <c r="E107" s="162"/>
      <c r="F107" s="11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4"/>
      <c r="V107" s="164"/>
    </row>
    <row r="108" ht="12.75" customHeight="1">
      <c r="A108" s="162"/>
      <c r="B108" s="162"/>
      <c r="C108" s="162"/>
      <c r="D108" s="1"/>
      <c r="E108" s="162"/>
      <c r="F108" s="11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4"/>
      <c r="V108" s="164"/>
    </row>
    <row r="109" ht="12.75" customHeight="1">
      <c r="A109" s="162"/>
      <c r="B109" s="162"/>
      <c r="C109" s="162"/>
      <c r="D109" s="1"/>
      <c r="E109" s="162"/>
      <c r="F109" s="11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4"/>
      <c r="V109" s="164"/>
    </row>
    <row r="110" ht="12.75" customHeight="1">
      <c r="A110" s="162"/>
      <c r="B110" s="162"/>
      <c r="C110" s="162"/>
      <c r="D110" s="1"/>
      <c r="E110" s="162"/>
      <c r="F110" s="11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4"/>
      <c r="V110" s="164"/>
    </row>
    <row r="111" ht="12.75" customHeight="1">
      <c r="A111" s="162"/>
      <c r="B111" s="162"/>
      <c r="C111" s="162"/>
      <c r="D111" s="1"/>
      <c r="E111" s="162"/>
      <c r="F111" s="11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4"/>
      <c r="V111" s="164"/>
    </row>
    <row r="112" ht="12.75" customHeight="1">
      <c r="A112" s="162"/>
      <c r="B112" s="162"/>
      <c r="C112" s="162"/>
      <c r="D112" s="1"/>
      <c r="E112" s="162"/>
      <c r="F112" s="11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4"/>
      <c r="V112" s="164"/>
    </row>
    <row r="113" ht="12.75" customHeight="1">
      <c r="A113" s="162"/>
      <c r="B113" s="162"/>
      <c r="C113" s="162"/>
      <c r="D113" s="1"/>
      <c r="E113" s="162"/>
      <c r="F113" s="11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4"/>
      <c r="V113" s="164"/>
    </row>
    <row r="114" ht="12.75" customHeight="1">
      <c r="A114" s="162"/>
      <c r="B114" s="162"/>
      <c r="C114" s="162"/>
      <c r="D114" s="1"/>
      <c r="E114" s="162"/>
      <c r="F114" s="11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4"/>
      <c r="V114" s="164"/>
    </row>
    <row r="115" ht="12.75" customHeight="1">
      <c r="A115" s="162"/>
      <c r="B115" s="162"/>
      <c r="C115" s="162"/>
      <c r="D115" s="1"/>
      <c r="E115" s="162"/>
      <c r="F115" s="11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4"/>
      <c r="V115" s="164"/>
    </row>
    <row r="116" ht="12.75" customHeight="1">
      <c r="A116" s="162"/>
      <c r="B116" s="162"/>
      <c r="C116" s="162"/>
      <c r="D116" s="1"/>
      <c r="E116" s="162"/>
      <c r="F116" s="11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4"/>
      <c r="V116" s="164"/>
    </row>
    <row r="117" ht="12.75" customHeight="1">
      <c r="A117" s="162"/>
      <c r="B117" s="162"/>
      <c r="C117" s="162"/>
      <c r="D117" s="1"/>
      <c r="E117" s="162"/>
      <c r="F117" s="11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4"/>
      <c r="V117" s="164"/>
    </row>
    <row r="118" ht="12.75" customHeight="1">
      <c r="A118" s="162"/>
      <c r="B118" s="162"/>
      <c r="C118" s="162"/>
      <c r="D118" s="1"/>
      <c r="E118" s="162"/>
      <c r="F118" s="11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4"/>
      <c r="V118" s="164"/>
    </row>
    <row r="119" ht="12.75" customHeight="1">
      <c r="A119" s="162"/>
      <c r="B119" s="162"/>
      <c r="C119" s="162"/>
      <c r="D119" s="1"/>
      <c r="E119" s="162"/>
      <c r="F119" s="11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4"/>
      <c r="V119" s="164"/>
    </row>
    <row r="120" ht="12.75" customHeight="1">
      <c r="A120" s="162"/>
      <c r="B120" s="162"/>
      <c r="C120" s="162"/>
      <c r="D120" s="1"/>
      <c r="E120" s="162"/>
      <c r="F120" s="11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4"/>
      <c r="V120" s="164"/>
    </row>
    <row r="121" ht="12.75" customHeight="1">
      <c r="A121" s="162"/>
      <c r="B121" s="162"/>
      <c r="C121" s="162"/>
      <c r="D121" s="1"/>
      <c r="E121" s="162"/>
      <c r="F121" s="11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4"/>
      <c r="V121" s="164"/>
    </row>
    <row r="122" ht="12.75" customHeight="1">
      <c r="A122" s="162"/>
      <c r="B122" s="162"/>
      <c r="C122" s="162"/>
      <c r="D122" s="1"/>
      <c r="E122" s="162"/>
      <c r="F122" s="11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4"/>
      <c r="V122" s="164"/>
    </row>
    <row r="123" ht="12.75" customHeight="1">
      <c r="A123" s="162"/>
      <c r="B123" s="162"/>
      <c r="C123" s="162"/>
      <c r="D123" s="1"/>
      <c r="E123" s="162"/>
      <c r="F123" s="11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4"/>
      <c r="V123" s="164"/>
    </row>
    <row r="124" ht="12.75" customHeight="1">
      <c r="A124" s="162"/>
      <c r="B124" s="162"/>
      <c r="C124" s="162"/>
      <c r="D124" s="1"/>
      <c r="E124" s="162"/>
      <c r="F124" s="11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4"/>
      <c r="V124" s="164"/>
    </row>
    <row r="125" ht="12.75" customHeight="1">
      <c r="A125" s="162"/>
      <c r="B125" s="162"/>
      <c r="C125" s="162"/>
      <c r="D125" s="1"/>
      <c r="E125" s="162"/>
      <c r="F125" s="11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4"/>
      <c r="V125" s="164"/>
    </row>
    <row r="126" ht="12.75" customHeight="1">
      <c r="A126" s="162"/>
      <c r="B126" s="162"/>
      <c r="C126" s="162"/>
      <c r="D126" s="1"/>
      <c r="E126" s="162"/>
      <c r="F126" s="11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4"/>
      <c r="V126" s="164"/>
    </row>
    <row r="127" ht="12.75" customHeight="1">
      <c r="A127" s="162"/>
      <c r="B127" s="162"/>
      <c r="C127" s="162"/>
      <c r="D127" s="1"/>
      <c r="E127" s="162"/>
      <c r="F127" s="11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4"/>
      <c r="V127" s="164"/>
    </row>
    <row r="128" ht="12.75" customHeight="1">
      <c r="A128" s="162"/>
      <c r="B128" s="162"/>
      <c r="C128" s="162"/>
      <c r="D128" s="1"/>
      <c r="E128" s="162"/>
      <c r="F128" s="11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4"/>
      <c r="V128" s="164"/>
    </row>
    <row r="129" ht="12.75" customHeight="1">
      <c r="A129" s="162"/>
      <c r="B129" s="162"/>
      <c r="C129" s="162"/>
      <c r="D129" s="1"/>
      <c r="E129" s="162"/>
      <c r="F129" s="11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4"/>
      <c r="V129" s="164"/>
    </row>
    <row r="130" ht="12.75" customHeight="1">
      <c r="A130" s="162"/>
      <c r="B130" s="162"/>
      <c r="C130" s="162"/>
      <c r="D130" s="1"/>
      <c r="E130" s="162"/>
      <c r="F130" s="11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4"/>
      <c r="V130" s="164"/>
    </row>
    <row r="131" ht="12.75" customHeight="1">
      <c r="A131" s="162"/>
      <c r="B131" s="162"/>
      <c r="C131" s="162"/>
      <c r="D131" s="1"/>
      <c r="E131" s="162"/>
      <c r="F131" s="11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4"/>
      <c r="V131" s="164"/>
    </row>
    <row r="132" ht="12.75" customHeight="1">
      <c r="A132" s="162"/>
      <c r="B132" s="162"/>
      <c r="C132" s="162"/>
      <c r="D132" s="1"/>
      <c r="E132" s="162"/>
      <c r="F132" s="11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4"/>
      <c r="V132" s="164"/>
    </row>
    <row r="133" ht="12.75" customHeight="1">
      <c r="A133" s="162"/>
      <c r="B133" s="162"/>
      <c r="C133" s="162"/>
      <c r="D133" s="1"/>
      <c r="E133" s="162"/>
      <c r="F133" s="11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4"/>
      <c r="V133" s="164"/>
    </row>
    <row r="134" ht="12.75" customHeight="1">
      <c r="A134" s="162"/>
      <c r="B134" s="162"/>
      <c r="C134" s="162"/>
      <c r="D134" s="1"/>
      <c r="E134" s="162"/>
      <c r="F134" s="11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4"/>
      <c r="V134" s="164"/>
    </row>
    <row r="135" ht="12.75" customHeight="1">
      <c r="A135" s="162"/>
      <c r="B135" s="162"/>
      <c r="C135" s="162"/>
      <c r="D135" s="1"/>
      <c r="E135" s="162"/>
      <c r="F135" s="11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4"/>
      <c r="V135" s="164"/>
    </row>
    <row r="136" ht="12.75" customHeight="1">
      <c r="A136" s="162"/>
      <c r="B136" s="162"/>
      <c r="C136" s="162"/>
      <c r="D136" s="1"/>
      <c r="E136" s="162"/>
      <c r="F136" s="11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4"/>
      <c r="V136" s="164"/>
    </row>
    <row r="137" ht="12.75" customHeight="1">
      <c r="A137" s="162"/>
      <c r="B137" s="162"/>
      <c r="C137" s="162"/>
      <c r="D137" s="1"/>
      <c r="E137" s="162"/>
      <c r="F137" s="11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4"/>
      <c r="V137" s="164"/>
    </row>
    <row r="138" ht="12.75" customHeight="1">
      <c r="A138" s="162"/>
      <c r="B138" s="162"/>
      <c r="C138" s="162"/>
      <c r="D138" s="1"/>
      <c r="E138" s="162"/>
      <c r="F138" s="11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4"/>
      <c r="V138" s="164"/>
    </row>
    <row r="139" ht="12.75" customHeight="1">
      <c r="A139" s="162"/>
      <c r="B139" s="162"/>
      <c r="C139" s="162"/>
      <c r="D139" s="1"/>
      <c r="E139" s="162"/>
      <c r="F139" s="11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4"/>
      <c r="V139" s="164"/>
    </row>
    <row r="140" ht="12.75" customHeight="1">
      <c r="A140" s="162"/>
      <c r="B140" s="162"/>
      <c r="C140" s="162"/>
      <c r="D140" s="1"/>
      <c r="E140" s="162"/>
      <c r="F140" s="11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4"/>
      <c r="V140" s="164"/>
    </row>
    <row r="141" ht="12.75" customHeight="1">
      <c r="A141" s="162"/>
      <c r="B141" s="162"/>
      <c r="C141" s="162"/>
      <c r="D141" s="1"/>
      <c r="E141" s="162"/>
      <c r="F141" s="11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4"/>
      <c r="V141" s="164"/>
    </row>
    <row r="142" ht="12.75" customHeight="1">
      <c r="A142" s="162"/>
      <c r="B142" s="162"/>
      <c r="C142" s="162"/>
      <c r="D142" s="1"/>
      <c r="E142" s="162"/>
      <c r="F142" s="11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4"/>
      <c r="V142" s="164"/>
    </row>
    <row r="143" ht="12.75" customHeight="1">
      <c r="A143" s="162"/>
      <c r="B143" s="162"/>
      <c r="C143" s="162"/>
      <c r="D143" s="1"/>
      <c r="E143" s="162"/>
      <c r="F143" s="11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4"/>
      <c r="V143" s="164"/>
    </row>
    <row r="144" ht="12.75" customHeight="1">
      <c r="A144" s="162"/>
      <c r="B144" s="162"/>
      <c r="C144" s="162"/>
      <c r="D144" s="1"/>
      <c r="E144" s="162"/>
      <c r="F144" s="11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4"/>
      <c r="V144" s="164"/>
    </row>
    <row r="145" ht="12.75" customHeight="1">
      <c r="A145" s="162"/>
      <c r="B145" s="162"/>
      <c r="C145" s="162"/>
      <c r="D145" s="1"/>
      <c r="E145" s="162"/>
      <c r="F145" s="11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4"/>
      <c r="V145" s="164"/>
    </row>
    <row r="146" ht="12.75" customHeight="1">
      <c r="A146" s="162"/>
      <c r="B146" s="162"/>
      <c r="C146" s="162"/>
      <c r="D146" s="1"/>
      <c r="E146" s="162"/>
      <c r="F146" s="11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4"/>
      <c r="V146" s="164"/>
    </row>
    <row r="147" ht="12.75" customHeight="1">
      <c r="A147" s="162"/>
      <c r="B147" s="162"/>
      <c r="C147" s="162"/>
      <c r="D147" s="1"/>
      <c r="E147" s="162"/>
      <c r="F147" s="11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4"/>
      <c r="V147" s="164"/>
    </row>
    <row r="148" ht="12.75" customHeight="1">
      <c r="A148" s="162"/>
      <c r="B148" s="162"/>
      <c r="C148" s="162"/>
      <c r="D148" s="1"/>
      <c r="E148" s="162"/>
      <c r="F148" s="11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4"/>
      <c r="V148" s="164"/>
    </row>
    <row r="149" ht="12.75" customHeight="1">
      <c r="A149" s="162"/>
      <c r="B149" s="162"/>
      <c r="C149" s="162"/>
      <c r="D149" s="1"/>
      <c r="E149" s="162"/>
      <c r="F149" s="11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4"/>
      <c r="V149" s="164"/>
    </row>
    <row r="150" ht="12.75" customHeight="1">
      <c r="A150" s="162"/>
      <c r="B150" s="162"/>
      <c r="C150" s="162"/>
      <c r="D150" s="1"/>
      <c r="E150" s="162"/>
      <c r="F150" s="11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4"/>
      <c r="V150" s="164"/>
    </row>
    <row r="151" ht="12.75" customHeight="1">
      <c r="A151" s="162"/>
      <c r="B151" s="162"/>
      <c r="C151" s="162"/>
      <c r="D151" s="1"/>
      <c r="E151" s="162"/>
      <c r="F151" s="11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4"/>
      <c r="V151" s="164"/>
    </row>
    <row r="152" ht="12.75" customHeight="1">
      <c r="A152" s="162"/>
      <c r="B152" s="162"/>
      <c r="C152" s="162"/>
      <c r="D152" s="1"/>
      <c r="E152" s="162"/>
      <c r="F152" s="11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4"/>
      <c r="V152" s="164"/>
    </row>
    <row r="153" ht="12.75" customHeight="1">
      <c r="A153" s="162"/>
      <c r="B153" s="162"/>
      <c r="C153" s="162"/>
      <c r="D153" s="1"/>
      <c r="E153" s="162"/>
      <c r="F153" s="11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4"/>
      <c r="V153" s="164"/>
    </row>
    <row r="154" ht="12.75" customHeight="1">
      <c r="A154" s="162"/>
      <c r="B154" s="162"/>
      <c r="C154" s="162"/>
      <c r="D154" s="1"/>
      <c r="E154" s="162"/>
      <c r="F154" s="11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4"/>
      <c r="V154" s="164"/>
    </row>
    <row r="155" ht="12.75" customHeight="1">
      <c r="A155" s="162"/>
      <c r="B155" s="162"/>
      <c r="C155" s="162"/>
      <c r="D155" s="1"/>
      <c r="E155" s="162"/>
      <c r="F155" s="11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4"/>
      <c r="V155" s="164"/>
    </row>
    <row r="156" ht="12.75" customHeight="1">
      <c r="A156" s="162"/>
      <c r="B156" s="162"/>
      <c r="C156" s="162"/>
      <c r="D156" s="1"/>
      <c r="E156" s="162"/>
      <c r="F156" s="11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4"/>
      <c r="V156" s="164"/>
    </row>
    <row r="157" ht="12.75" customHeight="1">
      <c r="A157" s="162"/>
      <c r="B157" s="162"/>
      <c r="C157" s="162"/>
      <c r="D157" s="1"/>
      <c r="E157" s="162"/>
      <c r="F157" s="11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4"/>
      <c r="V157" s="164"/>
    </row>
    <row r="158" ht="12.75" customHeight="1">
      <c r="A158" s="162"/>
      <c r="B158" s="162"/>
      <c r="C158" s="162"/>
      <c r="D158" s="1"/>
      <c r="E158" s="162"/>
      <c r="F158" s="11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4"/>
      <c r="V158" s="164"/>
    </row>
    <row r="159" ht="12.75" customHeight="1">
      <c r="A159" s="162"/>
      <c r="B159" s="162"/>
      <c r="C159" s="162"/>
      <c r="D159" s="1"/>
      <c r="E159" s="162"/>
      <c r="F159" s="11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4"/>
      <c r="V159" s="164"/>
    </row>
    <row r="160" ht="12.75" customHeight="1">
      <c r="A160" s="162"/>
      <c r="B160" s="162"/>
      <c r="C160" s="162"/>
      <c r="D160" s="1"/>
      <c r="E160" s="162"/>
      <c r="F160" s="11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4"/>
      <c r="V160" s="164"/>
    </row>
    <row r="161" ht="12.75" customHeight="1">
      <c r="A161" s="162"/>
      <c r="B161" s="162"/>
      <c r="C161" s="162"/>
      <c r="D161" s="1"/>
      <c r="E161" s="162"/>
      <c r="F161" s="11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4"/>
      <c r="V161" s="164"/>
    </row>
    <row r="162" ht="12.75" customHeight="1">
      <c r="A162" s="162"/>
      <c r="B162" s="162"/>
      <c r="C162" s="162"/>
      <c r="D162" s="1"/>
      <c r="E162" s="162"/>
      <c r="F162" s="11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4"/>
      <c r="V162" s="164"/>
    </row>
    <row r="163" ht="12.75" customHeight="1">
      <c r="A163" s="162"/>
      <c r="B163" s="162"/>
      <c r="C163" s="162"/>
      <c r="D163" s="1"/>
      <c r="E163" s="162"/>
      <c r="F163" s="11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4"/>
      <c r="V163" s="164"/>
    </row>
    <row r="164" ht="12.75" customHeight="1">
      <c r="A164" s="162"/>
      <c r="B164" s="162"/>
      <c r="C164" s="162"/>
      <c r="D164" s="1"/>
      <c r="E164" s="162"/>
      <c r="F164" s="11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4"/>
      <c r="V164" s="164"/>
    </row>
    <row r="165" ht="12.75" customHeight="1">
      <c r="A165" s="162"/>
      <c r="B165" s="162"/>
      <c r="C165" s="162"/>
      <c r="D165" s="1"/>
      <c r="E165" s="162"/>
      <c r="F165" s="11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4"/>
      <c r="V165" s="164"/>
    </row>
    <row r="166" ht="12.75" customHeight="1">
      <c r="A166" s="162"/>
      <c r="B166" s="162"/>
      <c r="C166" s="162"/>
      <c r="D166" s="1"/>
      <c r="E166" s="162"/>
      <c r="F166" s="11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4"/>
      <c r="V166" s="164"/>
    </row>
    <row r="167" ht="12.75" customHeight="1">
      <c r="A167" s="162"/>
      <c r="B167" s="162"/>
      <c r="C167" s="162"/>
      <c r="D167" s="1"/>
      <c r="E167" s="162"/>
      <c r="F167" s="11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4"/>
      <c r="V167" s="164"/>
    </row>
    <row r="168" ht="12.75" customHeight="1">
      <c r="A168" s="162"/>
      <c r="B168" s="162"/>
      <c r="C168" s="162"/>
      <c r="D168" s="1"/>
      <c r="E168" s="162"/>
      <c r="F168" s="11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4"/>
      <c r="V168" s="164"/>
    </row>
    <row r="169" ht="12.75" customHeight="1">
      <c r="A169" s="162"/>
      <c r="B169" s="162"/>
      <c r="C169" s="162"/>
      <c r="D169" s="1"/>
      <c r="E169" s="162"/>
      <c r="F169" s="11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4"/>
      <c r="V169" s="164"/>
    </row>
    <row r="170" ht="12.75" customHeight="1">
      <c r="A170" s="162"/>
      <c r="B170" s="162"/>
      <c r="C170" s="162"/>
      <c r="D170" s="1"/>
      <c r="E170" s="162"/>
      <c r="F170" s="11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4"/>
      <c r="V170" s="164"/>
    </row>
    <row r="171" ht="12.75" customHeight="1">
      <c r="A171" s="162"/>
      <c r="B171" s="162"/>
      <c r="C171" s="162"/>
      <c r="D171" s="1"/>
      <c r="E171" s="162"/>
      <c r="F171" s="11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4"/>
      <c r="V171" s="164"/>
    </row>
    <row r="172" ht="12.75" customHeight="1">
      <c r="A172" s="162"/>
      <c r="B172" s="162"/>
      <c r="C172" s="162"/>
      <c r="D172" s="1"/>
      <c r="E172" s="162"/>
      <c r="F172" s="11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4"/>
      <c r="V172" s="164"/>
    </row>
    <row r="173" ht="12.75" customHeight="1">
      <c r="A173" s="162"/>
      <c r="B173" s="162"/>
      <c r="C173" s="162"/>
      <c r="D173" s="1"/>
      <c r="E173" s="162"/>
      <c r="F173" s="11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4"/>
      <c r="V173" s="164"/>
    </row>
    <row r="174" ht="12.75" customHeight="1">
      <c r="A174" s="162"/>
      <c r="B174" s="162"/>
      <c r="C174" s="162"/>
      <c r="D174" s="1"/>
      <c r="E174" s="162"/>
      <c r="F174" s="11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4"/>
      <c r="V174" s="164"/>
    </row>
    <row r="175" ht="12.75" customHeight="1">
      <c r="A175" s="162"/>
      <c r="B175" s="162"/>
      <c r="C175" s="162"/>
      <c r="D175" s="1"/>
      <c r="E175" s="162"/>
      <c r="F175" s="11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4"/>
      <c r="V175" s="164"/>
    </row>
    <row r="176" ht="12.75" customHeight="1">
      <c r="A176" s="162"/>
      <c r="B176" s="162"/>
      <c r="C176" s="162"/>
      <c r="D176" s="1"/>
      <c r="E176" s="162"/>
      <c r="F176" s="11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4"/>
      <c r="V176" s="164"/>
    </row>
    <row r="177" ht="12.75" customHeight="1">
      <c r="A177" s="162"/>
      <c r="B177" s="162"/>
      <c r="C177" s="162"/>
      <c r="D177" s="1"/>
      <c r="E177" s="162"/>
      <c r="F177" s="11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4"/>
      <c r="V177" s="164"/>
    </row>
    <row r="178" ht="12.75" customHeight="1">
      <c r="A178" s="162"/>
      <c r="B178" s="162"/>
      <c r="C178" s="162"/>
      <c r="D178" s="1"/>
      <c r="E178" s="162"/>
      <c r="F178" s="11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4"/>
      <c r="V178" s="164"/>
    </row>
    <row r="179" ht="12.75" customHeight="1">
      <c r="A179" s="162"/>
      <c r="B179" s="162"/>
      <c r="C179" s="162"/>
      <c r="D179" s="1"/>
      <c r="E179" s="162"/>
      <c r="F179" s="11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4"/>
      <c r="V179" s="164"/>
    </row>
    <row r="180" ht="12.75" customHeight="1">
      <c r="A180" s="162"/>
      <c r="B180" s="162"/>
      <c r="C180" s="162"/>
      <c r="D180" s="1"/>
      <c r="E180" s="162"/>
      <c r="F180" s="11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4"/>
      <c r="V180" s="164"/>
    </row>
    <row r="181" ht="12.75" customHeight="1">
      <c r="A181" s="162"/>
      <c r="B181" s="162"/>
      <c r="C181" s="162"/>
      <c r="D181" s="1"/>
      <c r="E181" s="162"/>
      <c r="F181" s="11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4"/>
      <c r="V181" s="164"/>
    </row>
    <row r="182" ht="12.75" customHeight="1">
      <c r="A182" s="162"/>
      <c r="B182" s="162"/>
      <c r="C182" s="162"/>
      <c r="D182" s="1"/>
      <c r="E182" s="162"/>
      <c r="F182" s="11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4"/>
      <c r="V182" s="164"/>
    </row>
    <row r="183" ht="12.75" customHeight="1">
      <c r="A183" s="162"/>
      <c r="B183" s="162"/>
      <c r="C183" s="162"/>
      <c r="D183" s="1"/>
      <c r="E183" s="162"/>
      <c r="F183" s="11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4"/>
      <c r="V183" s="164"/>
    </row>
    <row r="184" ht="12.75" customHeight="1">
      <c r="A184" s="162"/>
      <c r="B184" s="162"/>
      <c r="C184" s="162"/>
      <c r="D184" s="1"/>
      <c r="E184" s="162"/>
      <c r="F184" s="11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4"/>
      <c r="V184" s="164"/>
    </row>
    <row r="185" ht="12.75" customHeight="1">
      <c r="A185" s="162"/>
      <c r="B185" s="162"/>
      <c r="C185" s="162"/>
      <c r="D185" s="1"/>
      <c r="E185" s="162"/>
      <c r="F185" s="11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4"/>
      <c r="V185" s="164"/>
    </row>
    <row r="186" ht="12.75" customHeight="1">
      <c r="A186" s="162"/>
      <c r="B186" s="162"/>
      <c r="C186" s="162"/>
      <c r="D186" s="1"/>
      <c r="E186" s="162"/>
      <c r="F186" s="11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4"/>
      <c r="V186" s="164"/>
    </row>
    <row r="187" ht="12.75" customHeight="1">
      <c r="A187" s="162"/>
      <c r="B187" s="162"/>
      <c r="C187" s="162"/>
      <c r="D187" s="1"/>
      <c r="E187" s="162"/>
      <c r="F187" s="11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4"/>
      <c r="V187" s="164"/>
    </row>
    <row r="188" ht="12.75" customHeight="1">
      <c r="A188" s="162"/>
      <c r="B188" s="162"/>
      <c r="C188" s="162"/>
      <c r="D188" s="1"/>
      <c r="E188" s="162"/>
      <c r="F188" s="11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4"/>
      <c r="V188" s="164"/>
    </row>
    <row r="189" ht="12.75" customHeight="1">
      <c r="A189" s="162"/>
      <c r="B189" s="162"/>
      <c r="C189" s="162"/>
      <c r="D189" s="1"/>
      <c r="E189" s="162"/>
      <c r="F189" s="11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4"/>
      <c r="V189" s="164"/>
    </row>
    <row r="190" ht="12.75" customHeight="1">
      <c r="A190" s="162"/>
      <c r="B190" s="162"/>
      <c r="C190" s="162"/>
      <c r="D190" s="1"/>
      <c r="E190" s="162"/>
      <c r="F190" s="11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4"/>
      <c r="V190" s="164"/>
    </row>
    <row r="191" ht="12.75" customHeight="1">
      <c r="A191" s="162"/>
      <c r="B191" s="162"/>
      <c r="C191" s="162"/>
      <c r="D191" s="1"/>
      <c r="E191" s="162"/>
      <c r="F191" s="11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4"/>
      <c r="V191" s="164"/>
    </row>
    <row r="192" ht="12.75" customHeight="1">
      <c r="A192" s="162"/>
      <c r="B192" s="162"/>
      <c r="C192" s="162"/>
      <c r="D192" s="1"/>
      <c r="E192" s="162"/>
      <c r="F192" s="11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4"/>
      <c r="V192" s="164"/>
    </row>
    <row r="193" ht="12.75" customHeight="1">
      <c r="A193" s="162"/>
      <c r="B193" s="162"/>
      <c r="C193" s="162"/>
      <c r="D193" s="1"/>
      <c r="E193" s="162"/>
      <c r="F193" s="11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4"/>
      <c r="V193" s="164"/>
    </row>
    <row r="194" ht="12.75" customHeight="1">
      <c r="A194" s="162"/>
      <c r="B194" s="162"/>
      <c r="C194" s="162"/>
      <c r="D194" s="1"/>
      <c r="E194" s="162"/>
      <c r="F194" s="11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4"/>
      <c r="V194" s="164"/>
    </row>
    <row r="195" ht="12.75" customHeight="1">
      <c r="A195" s="162"/>
      <c r="B195" s="162"/>
      <c r="C195" s="162"/>
      <c r="D195" s="1"/>
      <c r="E195" s="162"/>
      <c r="F195" s="11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4"/>
      <c r="V195" s="164"/>
    </row>
    <row r="196" ht="12.75" customHeight="1">
      <c r="A196" s="162"/>
      <c r="B196" s="162"/>
      <c r="C196" s="162"/>
      <c r="D196" s="1"/>
      <c r="E196" s="162"/>
      <c r="F196" s="11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4"/>
      <c r="V196" s="164"/>
    </row>
    <row r="197" ht="12.75" customHeight="1">
      <c r="A197" s="162"/>
      <c r="B197" s="162"/>
      <c r="C197" s="162"/>
      <c r="D197" s="1"/>
      <c r="E197" s="162"/>
      <c r="F197" s="11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4"/>
      <c r="V197" s="164"/>
    </row>
    <row r="198" ht="12.75" customHeight="1">
      <c r="A198" s="162"/>
      <c r="B198" s="162"/>
      <c r="C198" s="162"/>
      <c r="D198" s="1"/>
      <c r="E198" s="162"/>
      <c r="F198" s="11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4"/>
      <c r="V198" s="164"/>
    </row>
    <row r="199" ht="12.75" customHeight="1">
      <c r="A199" s="162"/>
      <c r="B199" s="162"/>
      <c r="C199" s="162"/>
      <c r="D199" s="1"/>
      <c r="E199" s="162"/>
      <c r="F199" s="11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4"/>
      <c r="V199" s="164"/>
    </row>
    <row r="200" ht="12.75" customHeight="1">
      <c r="A200" s="162"/>
      <c r="B200" s="162"/>
      <c r="C200" s="162"/>
      <c r="D200" s="1"/>
      <c r="E200" s="162"/>
      <c r="F200" s="11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4"/>
      <c r="V200" s="164"/>
    </row>
    <row r="201" ht="12.75" customHeight="1">
      <c r="A201" s="162"/>
      <c r="B201" s="162"/>
      <c r="C201" s="162"/>
      <c r="D201" s="1"/>
      <c r="E201" s="162"/>
      <c r="F201" s="11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4"/>
      <c r="V201" s="164"/>
    </row>
    <row r="202" ht="12.75" customHeight="1">
      <c r="A202" s="162"/>
      <c r="B202" s="162"/>
      <c r="C202" s="162"/>
      <c r="D202" s="1"/>
      <c r="E202" s="162"/>
      <c r="F202" s="11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4"/>
      <c r="V202" s="164"/>
    </row>
    <row r="203" ht="12.75" customHeight="1">
      <c r="A203" s="162"/>
      <c r="B203" s="162"/>
      <c r="C203" s="162"/>
      <c r="D203" s="1"/>
      <c r="E203" s="162"/>
      <c r="F203" s="11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4"/>
      <c r="V203" s="164"/>
    </row>
    <row r="204" ht="12.75" customHeight="1">
      <c r="A204" s="162"/>
      <c r="B204" s="162"/>
      <c r="C204" s="162"/>
      <c r="D204" s="1"/>
      <c r="E204" s="162"/>
      <c r="F204" s="11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4"/>
      <c r="V204" s="164"/>
    </row>
    <row r="205" ht="12.75" customHeight="1">
      <c r="A205" s="162"/>
      <c r="B205" s="162"/>
      <c r="C205" s="162"/>
      <c r="D205" s="1"/>
      <c r="E205" s="162"/>
      <c r="F205" s="11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4"/>
      <c r="V205" s="164"/>
    </row>
    <row r="206" ht="12.75" customHeight="1">
      <c r="A206" s="162"/>
      <c r="B206" s="162"/>
      <c r="C206" s="162"/>
      <c r="D206" s="1"/>
      <c r="E206" s="162"/>
      <c r="F206" s="11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4"/>
      <c r="V206" s="164"/>
    </row>
    <row r="207" ht="12.75" customHeight="1">
      <c r="A207" s="162"/>
      <c r="B207" s="162"/>
      <c r="C207" s="162"/>
      <c r="D207" s="1"/>
      <c r="E207" s="162"/>
      <c r="F207" s="11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4"/>
      <c r="V207" s="164"/>
    </row>
    <row r="208" ht="12.75" customHeight="1">
      <c r="A208" s="162"/>
      <c r="B208" s="162"/>
      <c r="C208" s="162"/>
      <c r="D208" s="1"/>
      <c r="E208" s="162"/>
      <c r="F208" s="11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4"/>
      <c r="V208" s="164"/>
    </row>
    <row r="209" ht="12.75" customHeight="1">
      <c r="A209" s="162"/>
      <c r="B209" s="162"/>
      <c r="C209" s="162"/>
      <c r="D209" s="1"/>
      <c r="E209" s="162"/>
      <c r="F209" s="11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4"/>
      <c r="V209" s="164"/>
    </row>
    <row r="210" ht="12.75" customHeight="1">
      <c r="A210" s="162"/>
      <c r="B210" s="162"/>
      <c r="C210" s="162"/>
      <c r="D210" s="1"/>
      <c r="E210" s="162"/>
      <c r="F210" s="11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4"/>
      <c r="V210" s="164"/>
    </row>
    <row r="211" ht="12.75" customHeight="1">
      <c r="A211" s="162"/>
      <c r="B211" s="162"/>
      <c r="C211" s="162"/>
      <c r="D211" s="1"/>
      <c r="E211" s="162"/>
      <c r="F211" s="11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4"/>
      <c r="V211" s="164"/>
    </row>
    <row r="212" ht="12.75" customHeight="1">
      <c r="A212" s="162"/>
      <c r="B212" s="162"/>
      <c r="C212" s="162"/>
      <c r="D212" s="1"/>
      <c r="E212" s="162"/>
      <c r="F212" s="11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4"/>
      <c r="V212" s="164"/>
    </row>
    <row r="213" ht="12.75" customHeight="1">
      <c r="A213" s="162"/>
      <c r="B213" s="162"/>
      <c r="C213" s="162"/>
      <c r="D213" s="1"/>
      <c r="E213" s="162"/>
      <c r="F213" s="11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4"/>
      <c r="V213" s="164"/>
    </row>
    <row r="214" ht="12.75" customHeight="1">
      <c r="A214" s="162"/>
      <c r="B214" s="162"/>
      <c r="C214" s="162"/>
      <c r="D214" s="1"/>
      <c r="E214" s="162"/>
      <c r="F214" s="11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4"/>
      <c r="V214" s="164"/>
    </row>
    <row r="215" ht="12.75" customHeight="1">
      <c r="A215" s="162"/>
      <c r="B215" s="162"/>
      <c r="C215" s="162"/>
      <c r="D215" s="1"/>
      <c r="E215" s="162"/>
      <c r="F215" s="11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4"/>
      <c r="V215" s="164"/>
    </row>
    <row r="216" ht="12.75" customHeight="1">
      <c r="A216" s="162"/>
      <c r="B216" s="162"/>
      <c r="C216" s="162"/>
      <c r="D216" s="1"/>
      <c r="E216" s="162"/>
      <c r="F216" s="11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4"/>
      <c r="V216" s="164"/>
    </row>
    <row r="217" ht="12.75" customHeight="1">
      <c r="A217" s="162"/>
      <c r="B217" s="162"/>
      <c r="C217" s="162"/>
      <c r="D217" s="1"/>
      <c r="E217" s="162"/>
      <c r="F217" s="11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4"/>
      <c r="V217" s="164"/>
    </row>
    <row r="218" ht="12.75" customHeight="1">
      <c r="A218" s="162"/>
      <c r="B218" s="162"/>
      <c r="C218" s="162"/>
      <c r="D218" s="1"/>
      <c r="E218" s="162"/>
      <c r="F218" s="11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4"/>
      <c r="V218" s="164"/>
    </row>
    <row r="219" ht="12.75" customHeight="1">
      <c r="A219" s="162"/>
      <c r="B219" s="162"/>
      <c r="C219" s="162"/>
      <c r="D219" s="1"/>
      <c r="E219" s="162"/>
      <c r="F219" s="11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4"/>
      <c r="V219" s="164"/>
    </row>
    <row r="220" ht="12.75" customHeight="1">
      <c r="A220" s="162"/>
      <c r="B220" s="162"/>
      <c r="C220" s="162"/>
      <c r="D220" s="1"/>
      <c r="E220" s="162"/>
      <c r="F220" s="11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4"/>
      <c r="V220" s="164"/>
    </row>
    <row r="221" ht="12.75" customHeight="1">
      <c r="A221" s="162"/>
      <c r="B221" s="162"/>
      <c r="C221" s="162"/>
      <c r="D221" s="1"/>
      <c r="E221" s="162"/>
      <c r="F221" s="11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4"/>
      <c r="V221" s="164"/>
    </row>
    <row r="222" ht="12.75" customHeight="1">
      <c r="A222" s="162"/>
      <c r="B222" s="162"/>
      <c r="C222" s="162"/>
      <c r="D222" s="1"/>
      <c r="E222" s="162"/>
      <c r="F222" s="11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4"/>
      <c r="V222" s="164"/>
    </row>
    <row r="223" ht="12.75" customHeight="1">
      <c r="A223" s="162"/>
      <c r="B223" s="162"/>
      <c r="C223" s="162"/>
      <c r="D223" s="1"/>
      <c r="E223" s="162"/>
      <c r="F223" s="11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4"/>
      <c r="V223" s="164"/>
    </row>
    <row r="224" ht="12.75" customHeight="1">
      <c r="A224" s="162"/>
      <c r="B224" s="162"/>
      <c r="C224" s="162"/>
      <c r="D224" s="1"/>
      <c r="E224" s="162"/>
      <c r="F224" s="11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4"/>
      <c r="V224" s="164"/>
    </row>
    <row r="225" ht="12.75" customHeight="1">
      <c r="A225" s="162"/>
      <c r="B225" s="162"/>
      <c r="C225" s="162"/>
      <c r="D225" s="1"/>
      <c r="E225" s="162"/>
      <c r="F225" s="11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4"/>
      <c r="V225" s="164"/>
    </row>
    <row r="226" ht="12.75" customHeight="1">
      <c r="A226" s="162"/>
      <c r="B226" s="162"/>
      <c r="C226" s="162"/>
      <c r="D226" s="1"/>
      <c r="E226" s="162"/>
      <c r="F226" s="11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4"/>
      <c r="V226" s="164"/>
    </row>
    <row r="227" ht="12.75" customHeight="1">
      <c r="A227" s="162"/>
      <c r="B227" s="162"/>
      <c r="C227" s="162"/>
      <c r="D227" s="1"/>
      <c r="E227" s="162"/>
      <c r="F227" s="11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4"/>
      <c r="V227" s="164"/>
    </row>
    <row r="228" ht="12.75" customHeight="1">
      <c r="A228" s="162"/>
      <c r="B228" s="162"/>
      <c r="C228" s="162"/>
      <c r="D228" s="1"/>
      <c r="E228" s="162"/>
      <c r="F228" s="11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4"/>
      <c r="V228" s="164"/>
    </row>
    <row r="229" ht="12.75" customHeight="1">
      <c r="A229" s="162"/>
      <c r="B229" s="162"/>
      <c r="C229" s="162"/>
      <c r="D229" s="1"/>
      <c r="E229" s="162"/>
      <c r="F229" s="11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4"/>
      <c r="V229" s="164"/>
    </row>
    <row r="230" ht="12.75" customHeight="1">
      <c r="A230" s="162"/>
      <c r="B230" s="162"/>
      <c r="C230" s="162"/>
      <c r="D230" s="1"/>
      <c r="E230" s="162"/>
      <c r="F230" s="11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4"/>
      <c r="V230" s="164"/>
    </row>
    <row r="231" ht="12.75" customHeight="1">
      <c r="A231" s="162"/>
      <c r="B231" s="162"/>
      <c r="C231" s="162"/>
      <c r="D231" s="1"/>
      <c r="E231" s="162"/>
      <c r="F231" s="11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4"/>
      <c r="V231" s="164"/>
    </row>
    <row r="232" ht="12.75" customHeight="1">
      <c r="A232" s="162"/>
      <c r="B232" s="162"/>
      <c r="C232" s="162"/>
      <c r="D232" s="1"/>
      <c r="E232" s="162"/>
      <c r="F232" s="11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4"/>
      <c r="V232" s="164"/>
    </row>
    <row r="233" ht="12.75" customHeight="1">
      <c r="A233" s="162"/>
      <c r="B233" s="162"/>
      <c r="C233" s="162"/>
      <c r="D233" s="1"/>
      <c r="E233" s="162"/>
      <c r="F233" s="11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4"/>
      <c r="V233" s="164"/>
    </row>
    <row r="234" ht="12.75" customHeight="1">
      <c r="A234" s="162"/>
      <c r="B234" s="162"/>
      <c r="C234" s="162"/>
      <c r="D234" s="1"/>
      <c r="E234" s="162"/>
      <c r="F234" s="11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4"/>
      <c r="V234" s="164"/>
    </row>
    <row r="235" ht="12.75" customHeight="1">
      <c r="A235" s="162"/>
      <c r="B235" s="162"/>
      <c r="C235" s="162"/>
      <c r="D235" s="1"/>
      <c r="E235" s="162"/>
      <c r="F235" s="11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4"/>
      <c r="V235" s="164"/>
    </row>
    <row r="236" ht="12.75" customHeight="1">
      <c r="A236" s="162"/>
      <c r="B236" s="162"/>
      <c r="C236" s="162"/>
      <c r="D236" s="1"/>
      <c r="E236" s="162"/>
      <c r="F236" s="11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4"/>
      <c r="V236" s="164"/>
    </row>
    <row r="237" ht="12.75" customHeight="1">
      <c r="A237" s="162"/>
      <c r="B237" s="162"/>
      <c r="C237" s="162"/>
      <c r="D237" s="1"/>
      <c r="E237" s="162"/>
      <c r="F237" s="11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4"/>
      <c r="V237" s="164"/>
    </row>
    <row r="238" ht="12.75" customHeight="1">
      <c r="A238" s="162"/>
      <c r="B238" s="162"/>
      <c r="C238" s="162"/>
      <c r="D238" s="1"/>
      <c r="E238" s="162"/>
      <c r="F238" s="11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4"/>
      <c r="V238" s="164"/>
    </row>
    <row r="239" ht="12.75" customHeight="1">
      <c r="A239" s="162"/>
      <c r="B239" s="162"/>
      <c r="C239" s="162"/>
      <c r="D239" s="1"/>
      <c r="E239" s="162"/>
      <c r="F239" s="11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4"/>
      <c r="V239" s="164"/>
    </row>
    <row r="240" ht="12.75" customHeight="1">
      <c r="A240" s="162"/>
      <c r="B240" s="162"/>
      <c r="C240" s="162"/>
      <c r="D240" s="1"/>
      <c r="E240" s="162"/>
      <c r="F240" s="11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4"/>
      <c r="V240" s="164"/>
    </row>
    <row r="241" ht="12.75" customHeight="1">
      <c r="A241" s="162"/>
      <c r="B241" s="162"/>
      <c r="C241" s="162"/>
      <c r="D241" s="1"/>
      <c r="E241" s="162"/>
      <c r="F241" s="11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4"/>
      <c r="V241" s="164"/>
    </row>
    <row r="242" ht="12.75" customHeight="1">
      <c r="A242" s="162"/>
      <c r="B242" s="162"/>
      <c r="C242" s="162"/>
      <c r="D242" s="1"/>
      <c r="E242" s="162"/>
      <c r="F242" s="11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4"/>
      <c r="V242" s="164"/>
    </row>
    <row r="243" ht="12.75" customHeight="1">
      <c r="A243" s="162"/>
      <c r="B243" s="162"/>
      <c r="C243" s="162"/>
      <c r="D243" s="1"/>
      <c r="E243" s="162"/>
      <c r="F243" s="11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4"/>
      <c r="V243" s="164"/>
    </row>
    <row r="244" ht="12.75" customHeight="1">
      <c r="A244" s="162"/>
      <c r="B244" s="162"/>
      <c r="C244" s="162"/>
      <c r="D244" s="1"/>
      <c r="E244" s="162"/>
      <c r="F244" s="11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4"/>
      <c r="V244" s="164"/>
    </row>
    <row r="245" ht="12.75" customHeight="1">
      <c r="A245" s="162"/>
      <c r="B245" s="162"/>
      <c r="C245" s="162"/>
      <c r="D245" s="1"/>
      <c r="E245" s="162"/>
      <c r="F245" s="11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4"/>
      <c r="V245" s="164"/>
    </row>
    <row r="246" ht="12.75" customHeight="1">
      <c r="A246" s="162"/>
      <c r="B246" s="162"/>
      <c r="C246" s="162"/>
      <c r="D246" s="1"/>
      <c r="E246" s="162"/>
      <c r="F246" s="11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4"/>
      <c r="V246" s="164"/>
    </row>
    <row r="247" ht="12.75" customHeight="1">
      <c r="A247" s="162"/>
      <c r="B247" s="162"/>
      <c r="C247" s="162"/>
      <c r="D247" s="1"/>
      <c r="E247" s="162"/>
      <c r="F247" s="11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4"/>
      <c r="V247" s="164"/>
    </row>
    <row r="248" ht="12.75" customHeight="1">
      <c r="A248" s="162"/>
      <c r="B248" s="162"/>
      <c r="C248" s="162"/>
      <c r="D248" s="1"/>
      <c r="E248" s="162"/>
      <c r="F248" s="11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4"/>
      <c r="V248" s="164"/>
    </row>
    <row r="249" ht="12.75" customHeight="1">
      <c r="A249" s="162"/>
      <c r="B249" s="162"/>
      <c r="C249" s="162"/>
      <c r="D249" s="1"/>
      <c r="E249" s="162"/>
      <c r="F249" s="11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4"/>
      <c r="V249" s="164"/>
    </row>
    <row r="250" ht="12.75" customHeight="1">
      <c r="A250" s="162"/>
      <c r="B250" s="162"/>
      <c r="C250" s="162"/>
      <c r="D250" s="1"/>
      <c r="E250" s="162"/>
      <c r="F250" s="11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4"/>
      <c r="V250" s="164"/>
    </row>
    <row r="251" ht="12.75" customHeight="1">
      <c r="A251" s="162"/>
      <c r="B251" s="162"/>
      <c r="C251" s="162"/>
      <c r="D251" s="1"/>
      <c r="E251" s="162"/>
      <c r="F251" s="11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4"/>
      <c r="V251" s="164"/>
    </row>
    <row r="252" ht="12.75" customHeight="1">
      <c r="A252" s="162"/>
      <c r="B252" s="162"/>
      <c r="C252" s="162"/>
      <c r="D252" s="1"/>
      <c r="E252" s="162"/>
      <c r="F252" s="11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4"/>
      <c r="V252" s="164"/>
    </row>
    <row r="253" ht="12.75" customHeight="1">
      <c r="A253" s="162"/>
      <c r="B253" s="162"/>
      <c r="C253" s="162"/>
      <c r="D253" s="1"/>
      <c r="E253" s="162"/>
      <c r="F253" s="11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4"/>
      <c r="V253" s="164"/>
    </row>
    <row r="254" ht="12.75" customHeight="1">
      <c r="A254" s="162"/>
      <c r="B254" s="162"/>
      <c r="C254" s="162"/>
      <c r="D254" s="1"/>
      <c r="E254" s="162"/>
      <c r="F254" s="11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4"/>
      <c r="V254" s="164"/>
    </row>
    <row r="255" ht="12.75" customHeight="1">
      <c r="A255" s="162"/>
      <c r="B255" s="162"/>
      <c r="C255" s="162"/>
      <c r="D255" s="1"/>
      <c r="E255" s="162"/>
      <c r="F255" s="11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4"/>
      <c r="V255" s="164"/>
    </row>
    <row r="256" ht="12.75" customHeight="1">
      <c r="A256" s="162"/>
      <c r="B256" s="162"/>
      <c r="C256" s="162"/>
      <c r="D256" s="1"/>
      <c r="E256" s="162"/>
      <c r="F256" s="1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4"/>
      <c r="V256" s="164"/>
    </row>
    <row r="257" ht="12.75" customHeight="1">
      <c r="A257" s="162"/>
      <c r="B257" s="162"/>
      <c r="C257" s="162"/>
      <c r="D257" s="1"/>
      <c r="E257" s="162"/>
      <c r="F257" s="11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4"/>
      <c r="V257" s="164"/>
    </row>
    <row r="258" ht="12.75" customHeight="1">
      <c r="A258" s="162"/>
      <c r="B258" s="162"/>
      <c r="C258" s="162"/>
      <c r="D258" s="1"/>
      <c r="E258" s="162"/>
      <c r="F258" s="11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4"/>
      <c r="V258" s="164"/>
    </row>
    <row r="259" ht="12.75" customHeight="1">
      <c r="A259" s="162"/>
      <c r="B259" s="162"/>
      <c r="C259" s="162"/>
      <c r="D259" s="1"/>
      <c r="E259" s="162"/>
      <c r="F259" s="11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4"/>
      <c r="V259" s="164"/>
    </row>
    <row r="260" ht="12.75" customHeight="1">
      <c r="A260" s="162"/>
      <c r="B260" s="162"/>
      <c r="C260" s="162"/>
      <c r="D260" s="1"/>
      <c r="E260" s="162"/>
      <c r="F260" s="11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4"/>
      <c r="V260" s="164"/>
    </row>
    <row r="261" ht="12.75" customHeight="1">
      <c r="A261" s="162"/>
      <c r="B261" s="162"/>
      <c r="C261" s="162"/>
      <c r="D261" s="1"/>
      <c r="E261" s="162"/>
      <c r="F261" s="11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4"/>
      <c r="V261" s="164"/>
    </row>
    <row r="262" ht="12.75" customHeight="1">
      <c r="A262" s="162"/>
      <c r="B262" s="162"/>
      <c r="C262" s="162"/>
      <c r="D262" s="1"/>
      <c r="E262" s="162"/>
      <c r="F262" s="11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4"/>
      <c r="V262" s="164"/>
    </row>
    <row r="263" ht="12.75" customHeight="1">
      <c r="A263" s="162"/>
      <c r="B263" s="162"/>
      <c r="C263" s="162"/>
      <c r="D263" s="1"/>
      <c r="E263" s="162"/>
      <c r="F263" s="11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4"/>
      <c r="V263" s="164"/>
    </row>
    <row r="264" ht="12.75" customHeight="1">
      <c r="A264" s="162"/>
      <c r="B264" s="162"/>
      <c r="C264" s="162"/>
      <c r="D264" s="1"/>
      <c r="E264" s="162"/>
      <c r="F264" s="11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4"/>
      <c r="V264" s="164"/>
    </row>
    <row r="265" ht="12.75" customHeight="1">
      <c r="A265" s="162"/>
      <c r="B265" s="162"/>
      <c r="C265" s="162"/>
      <c r="D265" s="1"/>
      <c r="E265" s="162"/>
      <c r="F265" s="11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4"/>
      <c r="V265" s="164"/>
    </row>
    <row r="266" ht="12.75" customHeight="1">
      <c r="A266" s="162"/>
      <c r="B266" s="162"/>
      <c r="C266" s="162"/>
      <c r="D266" s="1"/>
      <c r="E266" s="162"/>
      <c r="F266" s="11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4"/>
      <c r="V266" s="164"/>
    </row>
    <row r="267" ht="12.75" customHeight="1">
      <c r="A267" s="162"/>
      <c r="B267" s="162"/>
      <c r="C267" s="162"/>
      <c r="D267" s="1"/>
      <c r="E267" s="162"/>
      <c r="F267" s="11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4"/>
      <c r="V267" s="164"/>
    </row>
    <row r="268" ht="12.75" customHeight="1">
      <c r="A268" s="162"/>
      <c r="B268" s="162"/>
      <c r="C268" s="162"/>
      <c r="D268" s="1"/>
      <c r="E268" s="162"/>
      <c r="F268" s="11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4"/>
      <c r="V268" s="164"/>
    </row>
    <row r="269" ht="12.75" customHeight="1">
      <c r="A269" s="162"/>
      <c r="B269" s="162"/>
      <c r="C269" s="162"/>
      <c r="D269" s="1"/>
      <c r="E269" s="162"/>
      <c r="F269" s="11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4"/>
      <c r="V269" s="164"/>
    </row>
    <row r="270" ht="12.75" customHeight="1">
      <c r="A270" s="162"/>
      <c r="B270" s="162"/>
      <c r="C270" s="162"/>
      <c r="D270" s="1"/>
      <c r="E270" s="162"/>
      <c r="F270" s="11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4"/>
      <c r="V270" s="164"/>
    </row>
    <row r="271" ht="12.75" customHeight="1">
      <c r="A271" s="162"/>
      <c r="B271" s="162"/>
      <c r="C271" s="162"/>
      <c r="D271" s="1"/>
      <c r="E271" s="162"/>
      <c r="F271" s="11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4"/>
      <c r="V271" s="164"/>
    </row>
    <row r="272" ht="12.75" customHeight="1">
      <c r="A272" s="162"/>
      <c r="B272" s="162"/>
      <c r="C272" s="162"/>
      <c r="D272" s="1"/>
      <c r="E272" s="162"/>
      <c r="F272" s="11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4"/>
      <c r="V272" s="164"/>
    </row>
    <row r="273" ht="12.75" customHeight="1">
      <c r="A273" s="162"/>
      <c r="B273" s="162"/>
      <c r="C273" s="162"/>
      <c r="D273" s="1"/>
      <c r="E273" s="162"/>
      <c r="F273" s="11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4"/>
      <c r="V273" s="164"/>
    </row>
    <row r="274" ht="12.75" customHeight="1">
      <c r="A274" s="162"/>
      <c r="B274" s="162"/>
      <c r="C274" s="162"/>
      <c r="D274" s="1"/>
      <c r="E274" s="162"/>
      <c r="F274" s="11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4"/>
      <c r="V274" s="164"/>
    </row>
    <row r="275" ht="12.75" customHeight="1">
      <c r="A275" s="162"/>
      <c r="B275" s="162"/>
      <c r="C275" s="162"/>
      <c r="D275" s="1"/>
      <c r="E275" s="162"/>
      <c r="F275" s="11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4"/>
      <c r="V275" s="164"/>
    </row>
    <row r="276" ht="12.75" customHeight="1">
      <c r="A276" s="162"/>
      <c r="B276" s="162"/>
      <c r="C276" s="162"/>
      <c r="D276" s="1"/>
      <c r="E276" s="162"/>
      <c r="F276" s="11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4"/>
      <c r="V276" s="164"/>
    </row>
    <row r="277" ht="12.75" customHeight="1">
      <c r="A277" s="162"/>
      <c r="B277" s="162"/>
      <c r="C277" s="162"/>
      <c r="D277" s="1"/>
      <c r="E277" s="162"/>
      <c r="F277" s="11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4"/>
      <c r="V277" s="164"/>
    </row>
    <row r="278" ht="12.75" customHeight="1">
      <c r="A278" s="162"/>
      <c r="B278" s="162"/>
      <c r="C278" s="162"/>
      <c r="D278" s="1"/>
      <c r="E278" s="162"/>
      <c r="F278" s="11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4"/>
      <c r="V278" s="164"/>
    </row>
    <row r="279" ht="12.75" customHeight="1">
      <c r="A279" s="162"/>
      <c r="B279" s="162"/>
      <c r="C279" s="162"/>
      <c r="D279" s="1"/>
      <c r="E279" s="162"/>
      <c r="F279" s="11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4"/>
      <c r="V279" s="164"/>
    </row>
    <row r="280" ht="12.75" customHeight="1">
      <c r="A280" s="162"/>
      <c r="B280" s="162"/>
      <c r="C280" s="162"/>
      <c r="D280" s="1"/>
      <c r="E280" s="162"/>
      <c r="F280" s="11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4"/>
      <c r="V280" s="164"/>
    </row>
    <row r="281" ht="12.75" customHeight="1">
      <c r="A281" s="162"/>
      <c r="B281" s="162"/>
      <c r="C281" s="162"/>
      <c r="D281" s="1"/>
      <c r="E281" s="162"/>
      <c r="F281" s="11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4"/>
      <c r="V281" s="164"/>
    </row>
    <row r="282" ht="12.75" customHeight="1">
      <c r="A282" s="162"/>
      <c r="B282" s="162"/>
      <c r="C282" s="162"/>
      <c r="D282" s="1"/>
      <c r="E282" s="162"/>
      <c r="F282" s="11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4"/>
      <c r="V282" s="164"/>
    </row>
    <row r="283" ht="12.75" customHeight="1">
      <c r="A283" s="162"/>
      <c r="B283" s="162"/>
      <c r="C283" s="162"/>
      <c r="D283" s="1"/>
      <c r="E283" s="162"/>
      <c r="F283" s="11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4"/>
      <c r="V283" s="164"/>
    </row>
    <row r="284" ht="12.75" customHeight="1">
      <c r="A284" s="162"/>
      <c r="B284" s="162"/>
      <c r="C284" s="162"/>
      <c r="D284" s="1"/>
      <c r="E284" s="162"/>
      <c r="F284" s="11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4"/>
      <c r="V284" s="164"/>
    </row>
    <row r="285" ht="12.75" customHeight="1">
      <c r="A285" s="162"/>
      <c r="B285" s="162"/>
      <c r="C285" s="162"/>
      <c r="D285" s="1"/>
      <c r="E285" s="162"/>
      <c r="F285" s="11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4"/>
      <c r="V285" s="164"/>
    </row>
    <row r="286" ht="12.75" customHeight="1">
      <c r="A286" s="162"/>
      <c r="B286" s="162"/>
      <c r="C286" s="162"/>
      <c r="D286" s="1"/>
      <c r="E286" s="162"/>
      <c r="F286" s="11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4"/>
      <c r="V286" s="164"/>
    </row>
    <row r="287" ht="12.75" customHeight="1">
      <c r="A287" s="162"/>
      <c r="B287" s="162"/>
      <c r="C287" s="162"/>
      <c r="D287" s="1"/>
      <c r="E287" s="162"/>
      <c r="F287" s="11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4"/>
      <c r="V287" s="164"/>
    </row>
    <row r="288" ht="12.75" customHeight="1">
      <c r="A288" s="162"/>
      <c r="B288" s="162"/>
      <c r="C288" s="162"/>
      <c r="D288" s="1"/>
      <c r="E288" s="162"/>
      <c r="F288" s="11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4"/>
      <c r="V288" s="164"/>
    </row>
    <row r="289" ht="12.75" customHeight="1">
      <c r="A289" s="162"/>
      <c r="B289" s="162"/>
      <c r="C289" s="162"/>
      <c r="D289" s="1"/>
      <c r="E289" s="162"/>
      <c r="F289" s="11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4"/>
      <c r="V289" s="164"/>
    </row>
    <row r="290" ht="12.75" customHeight="1">
      <c r="A290" s="162"/>
      <c r="B290" s="162"/>
      <c r="C290" s="162"/>
      <c r="D290" s="1"/>
      <c r="E290" s="162"/>
      <c r="F290" s="11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4"/>
      <c r="V290" s="164"/>
    </row>
    <row r="291" ht="12.75" customHeight="1">
      <c r="A291" s="162"/>
      <c r="B291" s="162"/>
      <c r="C291" s="162"/>
      <c r="D291" s="1"/>
      <c r="E291" s="162"/>
      <c r="F291" s="11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4"/>
      <c r="V291" s="164"/>
    </row>
    <row r="292" ht="12.75" customHeight="1">
      <c r="A292" s="162"/>
      <c r="B292" s="162"/>
      <c r="C292" s="162"/>
      <c r="D292" s="1"/>
      <c r="E292" s="162"/>
      <c r="F292" s="11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4"/>
      <c r="V292" s="164"/>
    </row>
    <row r="293" ht="12.75" customHeight="1">
      <c r="A293" s="162"/>
      <c r="B293" s="162"/>
      <c r="C293" s="162"/>
      <c r="D293" s="1"/>
      <c r="E293" s="162"/>
      <c r="F293" s="11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4"/>
      <c r="V293" s="164"/>
    </row>
    <row r="294" ht="12.75" customHeight="1">
      <c r="A294" s="162"/>
      <c r="B294" s="162"/>
      <c r="C294" s="162"/>
      <c r="D294" s="1"/>
      <c r="E294" s="162"/>
      <c r="F294" s="11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4"/>
      <c r="V294" s="164"/>
    </row>
    <row r="295" ht="12.75" customHeight="1">
      <c r="A295" s="162"/>
      <c r="B295" s="162"/>
      <c r="C295" s="162"/>
      <c r="D295" s="1"/>
      <c r="E295" s="162"/>
      <c r="F295" s="11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4"/>
      <c r="V295" s="164"/>
    </row>
    <row r="296" ht="12.75" customHeight="1">
      <c r="A296" s="162"/>
      <c r="B296" s="162"/>
      <c r="C296" s="162"/>
      <c r="D296" s="1"/>
      <c r="E296" s="162"/>
      <c r="F296" s="11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4"/>
      <c r="V296" s="164"/>
    </row>
    <row r="297" ht="12.75" customHeight="1">
      <c r="A297" s="162"/>
      <c r="B297" s="162"/>
      <c r="C297" s="162"/>
      <c r="D297" s="1"/>
      <c r="E297" s="162"/>
      <c r="F297" s="11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4"/>
      <c r="V297" s="164"/>
    </row>
    <row r="298" ht="12.75" customHeight="1">
      <c r="A298" s="162"/>
      <c r="B298" s="162"/>
      <c r="C298" s="162"/>
      <c r="D298" s="1"/>
      <c r="E298" s="162"/>
      <c r="F298" s="11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4"/>
      <c r="V298" s="164"/>
    </row>
    <row r="299" ht="12.75" customHeight="1">
      <c r="A299" s="162"/>
      <c r="B299" s="162"/>
      <c r="C299" s="162"/>
      <c r="D299" s="1"/>
      <c r="E299" s="162"/>
      <c r="F299" s="11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4"/>
      <c r="V299" s="164"/>
    </row>
    <row r="300" ht="12.75" customHeight="1">
      <c r="A300" s="162"/>
      <c r="B300" s="162"/>
      <c r="C300" s="162"/>
      <c r="D300" s="1"/>
      <c r="E300" s="162"/>
      <c r="F300" s="11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4"/>
      <c r="V300" s="164"/>
    </row>
    <row r="301" ht="12.75" customHeight="1">
      <c r="A301" s="162"/>
      <c r="B301" s="162"/>
      <c r="C301" s="162"/>
      <c r="D301" s="1"/>
      <c r="E301" s="162"/>
      <c r="F301" s="11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4"/>
      <c r="V301" s="164"/>
    </row>
    <row r="302" ht="12.75" customHeight="1">
      <c r="A302" s="162"/>
      <c r="B302" s="162"/>
      <c r="C302" s="162"/>
      <c r="D302" s="1"/>
      <c r="E302" s="162"/>
      <c r="F302" s="11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4"/>
      <c r="V302" s="164"/>
    </row>
    <row r="303" ht="12.75" customHeight="1">
      <c r="A303" s="162"/>
      <c r="B303" s="162"/>
      <c r="C303" s="162"/>
      <c r="D303" s="1"/>
      <c r="E303" s="162"/>
      <c r="F303" s="11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4"/>
      <c r="V303" s="164"/>
    </row>
    <row r="304" ht="12.75" customHeight="1">
      <c r="A304" s="162"/>
      <c r="B304" s="162"/>
      <c r="C304" s="162"/>
      <c r="D304" s="1"/>
      <c r="E304" s="162"/>
      <c r="F304" s="11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4"/>
      <c r="V304" s="164"/>
    </row>
    <row r="305" ht="12.75" customHeight="1">
      <c r="A305" s="162"/>
      <c r="B305" s="162"/>
      <c r="C305" s="162"/>
      <c r="D305" s="1"/>
      <c r="E305" s="162"/>
      <c r="F305" s="11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4"/>
      <c r="V305" s="164"/>
    </row>
    <row r="306" ht="12.75" customHeight="1">
      <c r="A306" s="162"/>
      <c r="B306" s="162"/>
      <c r="C306" s="162"/>
      <c r="D306" s="1"/>
      <c r="E306" s="162"/>
      <c r="F306" s="11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4"/>
      <c r="V306" s="164"/>
    </row>
    <row r="307" ht="12.75" customHeight="1">
      <c r="A307" s="162"/>
      <c r="B307" s="162"/>
      <c r="C307" s="162"/>
      <c r="D307" s="1"/>
      <c r="E307" s="162"/>
      <c r="F307" s="11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4"/>
      <c r="V307" s="164"/>
    </row>
    <row r="308" ht="12.75" customHeight="1">
      <c r="A308" s="162"/>
      <c r="B308" s="162"/>
      <c r="C308" s="162"/>
      <c r="D308" s="1"/>
      <c r="E308" s="162"/>
      <c r="F308" s="11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4"/>
      <c r="V308" s="164"/>
    </row>
    <row r="309" ht="12.75" customHeight="1">
      <c r="A309" s="162"/>
      <c r="B309" s="162"/>
      <c r="C309" s="162"/>
      <c r="D309" s="1"/>
      <c r="E309" s="162"/>
      <c r="F309" s="11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4"/>
      <c r="V309" s="164"/>
    </row>
    <row r="310" ht="12.75" customHeight="1">
      <c r="A310" s="162"/>
      <c r="B310" s="162"/>
      <c r="C310" s="162"/>
      <c r="D310" s="1"/>
      <c r="E310" s="162"/>
      <c r="F310" s="11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4"/>
      <c r="V310" s="164"/>
    </row>
    <row r="311" ht="12.75" customHeight="1">
      <c r="A311" s="162"/>
      <c r="B311" s="162"/>
      <c r="C311" s="162"/>
      <c r="D311" s="1"/>
      <c r="E311" s="162"/>
      <c r="F311" s="11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4"/>
      <c r="V311" s="164"/>
    </row>
    <row r="312" ht="12.75" customHeight="1">
      <c r="A312" s="162"/>
      <c r="B312" s="162"/>
      <c r="C312" s="162"/>
      <c r="D312" s="1"/>
      <c r="E312" s="162"/>
      <c r="F312" s="11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4"/>
      <c r="V312" s="164"/>
    </row>
    <row r="313" ht="12.75" customHeight="1">
      <c r="A313" s="162"/>
      <c r="B313" s="162"/>
      <c r="C313" s="162"/>
      <c r="D313" s="1"/>
      <c r="E313" s="162"/>
      <c r="F313" s="11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4"/>
      <c r="V313" s="164"/>
    </row>
    <row r="314" ht="12.75" customHeight="1">
      <c r="A314" s="162"/>
      <c r="B314" s="162"/>
      <c r="C314" s="162"/>
      <c r="D314" s="1"/>
      <c r="E314" s="162"/>
      <c r="F314" s="11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4"/>
      <c r="V314" s="164"/>
    </row>
    <row r="315" ht="12.75" customHeight="1">
      <c r="A315" s="162"/>
      <c r="B315" s="162"/>
      <c r="C315" s="162"/>
      <c r="D315" s="1"/>
      <c r="E315" s="162"/>
      <c r="F315" s="11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4"/>
      <c r="V315" s="164"/>
    </row>
    <row r="316" ht="12.75" customHeight="1">
      <c r="A316" s="162"/>
      <c r="B316" s="162"/>
      <c r="C316" s="162"/>
      <c r="D316" s="1"/>
      <c r="E316" s="162"/>
      <c r="F316" s="11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4"/>
      <c r="V316" s="164"/>
    </row>
    <row r="317" ht="12.75" customHeight="1">
      <c r="A317" s="162"/>
      <c r="B317" s="162"/>
      <c r="C317" s="162"/>
      <c r="D317" s="1"/>
      <c r="E317" s="162"/>
      <c r="F317" s="11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4"/>
      <c r="V317" s="164"/>
    </row>
    <row r="318" ht="12.75" customHeight="1">
      <c r="A318" s="162"/>
      <c r="B318" s="162"/>
      <c r="C318" s="162"/>
      <c r="D318" s="1"/>
      <c r="E318" s="162"/>
      <c r="F318" s="11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4"/>
      <c r="V318" s="164"/>
    </row>
    <row r="319" ht="12.75" customHeight="1">
      <c r="A319" s="162"/>
      <c r="B319" s="162"/>
      <c r="C319" s="162"/>
      <c r="D319" s="1"/>
      <c r="E319" s="162"/>
      <c r="F319" s="11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4"/>
      <c r="V319" s="164"/>
    </row>
    <row r="320" ht="12.75" customHeight="1">
      <c r="A320" s="162"/>
      <c r="B320" s="162"/>
      <c r="C320" s="162"/>
      <c r="D320" s="1"/>
      <c r="E320" s="162"/>
      <c r="F320" s="11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4"/>
      <c r="V320" s="164"/>
    </row>
    <row r="321" ht="12.75" customHeight="1">
      <c r="A321" s="162"/>
      <c r="B321" s="162"/>
      <c r="C321" s="162"/>
      <c r="D321" s="1"/>
      <c r="E321" s="162"/>
      <c r="F321" s="11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4"/>
      <c r="V321" s="164"/>
    </row>
    <row r="322" ht="12.75" customHeight="1">
      <c r="A322" s="162"/>
      <c r="B322" s="162"/>
      <c r="C322" s="162"/>
      <c r="D322" s="1"/>
      <c r="E322" s="162"/>
      <c r="F322" s="11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4"/>
      <c r="V322" s="164"/>
    </row>
    <row r="323" ht="12.75" customHeight="1">
      <c r="A323" s="162"/>
      <c r="B323" s="162"/>
      <c r="C323" s="162"/>
      <c r="D323" s="1"/>
      <c r="E323" s="162"/>
      <c r="F323" s="11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4"/>
      <c r="V323" s="164"/>
    </row>
    <row r="324" ht="12.75" customHeight="1">
      <c r="A324" s="162"/>
      <c r="B324" s="162"/>
      <c r="C324" s="162"/>
      <c r="D324" s="1"/>
      <c r="E324" s="162"/>
      <c r="F324" s="11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4"/>
      <c r="V324" s="164"/>
    </row>
    <row r="325" ht="12.75" customHeight="1">
      <c r="A325" s="162"/>
      <c r="B325" s="162"/>
      <c r="C325" s="162"/>
      <c r="D325" s="1"/>
      <c r="E325" s="162"/>
      <c r="F325" s="11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4"/>
      <c r="V325" s="164"/>
    </row>
    <row r="326" ht="12.75" customHeight="1">
      <c r="A326" s="162"/>
      <c r="B326" s="162"/>
      <c r="C326" s="162"/>
      <c r="D326" s="1"/>
      <c r="E326" s="162"/>
      <c r="F326" s="11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4"/>
      <c r="V326" s="164"/>
    </row>
    <row r="327" ht="12.75" customHeight="1">
      <c r="A327" s="162"/>
      <c r="B327" s="162"/>
      <c r="C327" s="162"/>
      <c r="D327" s="1"/>
      <c r="E327" s="162"/>
      <c r="F327" s="11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4"/>
      <c r="V327" s="164"/>
    </row>
    <row r="328" ht="12.75" customHeight="1">
      <c r="A328" s="162"/>
      <c r="B328" s="162"/>
      <c r="C328" s="162"/>
      <c r="D328" s="1"/>
      <c r="E328" s="162"/>
      <c r="F328" s="11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4"/>
      <c r="V328" s="164"/>
    </row>
    <row r="329" ht="12.75" customHeight="1">
      <c r="A329" s="162"/>
      <c r="B329" s="162"/>
      <c r="C329" s="162"/>
      <c r="D329" s="1"/>
      <c r="E329" s="162"/>
      <c r="F329" s="11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4"/>
      <c r="V329" s="164"/>
    </row>
    <row r="330" ht="12.75" customHeight="1">
      <c r="A330" s="162"/>
      <c r="B330" s="162"/>
      <c r="C330" s="162"/>
      <c r="D330" s="1"/>
      <c r="E330" s="162"/>
      <c r="F330" s="11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4"/>
      <c r="V330" s="164"/>
    </row>
    <row r="331" ht="12.75" customHeight="1">
      <c r="A331" s="162"/>
      <c r="B331" s="162"/>
      <c r="C331" s="162"/>
      <c r="D331" s="1"/>
      <c r="E331" s="162"/>
      <c r="F331" s="11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4"/>
      <c r="V331" s="164"/>
    </row>
    <row r="332" ht="12.75" customHeight="1">
      <c r="A332" s="162"/>
      <c r="B332" s="162"/>
      <c r="C332" s="162"/>
      <c r="D332" s="1"/>
      <c r="E332" s="162"/>
      <c r="F332" s="11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4"/>
      <c r="V332" s="164"/>
    </row>
    <row r="333" ht="12.75" customHeight="1">
      <c r="A333" s="162"/>
      <c r="B333" s="162"/>
      <c r="C333" s="162"/>
      <c r="D333" s="1"/>
      <c r="E333" s="162"/>
      <c r="F333" s="11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4"/>
      <c r="V333" s="164"/>
    </row>
    <row r="334" ht="12.75" customHeight="1">
      <c r="A334" s="162"/>
      <c r="B334" s="162"/>
      <c r="C334" s="162"/>
      <c r="D334" s="1"/>
      <c r="E334" s="162"/>
      <c r="F334" s="11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4"/>
      <c r="V334" s="164"/>
    </row>
    <row r="335" ht="12.75" customHeight="1">
      <c r="A335" s="162"/>
      <c r="B335" s="162"/>
      <c r="C335" s="162"/>
      <c r="D335" s="1"/>
      <c r="E335" s="162"/>
      <c r="F335" s="11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4"/>
      <c r="V335" s="164"/>
    </row>
    <row r="336" ht="12.75" customHeight="1">
      <c r="A336" s="162"/>
      <c r="B336" s="162"/>
      <c r="C336" s="162"/>
      <c r="D336" s="1"/>
      <c r="E336" s="162"/>
      <c r="F336" s="11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4"/>
      <c r="V336" s="164"/>
    </row>
    <row r="337" ht="12.75" customHeight="1">
      <c r="A337" s="162"/>
      <c r="B337" s="162"/>
      <c r="C337" s="162"/>
      <c r="D337" s="1"/>
      <c r="E337" s="162"/>
      <c r="F337" s="11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4"/>
      <c r="V337" s="164"/>
    </row>
    <row r="338" ht="12.75" customHeight="1">
      <c r="A338" s="162"/>
      <c r="B338" s="162"/>
      <c r="C338" s="162"/>
      <c r="D338" s="1"/>
      <c r="E338" s="162"/>
      <c r="F338" s="11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4"/>
      <c r="V338" s="164"/>
    </row>
    <row r="339" ht="12.75" customHeight="1">
      <c r="A339" s="162"/>
      <c r="B339" s="162"/>
      <c r="C339" s="162"/>
      <c r="D339" s="1"/>
      <c r="E339" s="162"/>
      <c r="F339" s="11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4"/>
      <c r="V339" s="164"/>
    </row>
    <row r="340" ht="12.75" customHeight="1">
      <c r="A340" s="162"/>
      <c r="B340" s="162"/>
      <c r="C340" s="162"/>
      <c r="D340" s="1"/>
      <c r="E340" s="162"/>
      <c r="F340" s="11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4"/>
      <c r="V340" s="164"/>
    </row>
    <row r="341" ht="12.75" customHeight="1">
      <c r="A341" s="162"/>
      <c r="B341" s="162"/>
      <c r="C341" s="162"/>
      <c r="D341" s="1"/>
      <c r="E341" s="162"/>
      <c r="F341" s="11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4"/>
      <c r="V341" s="164"/>
    </row>
    <row r="342" ht="12.75" customHeight="1">
      <c r="A342" s="162"/>
      <c r="B342" s="162"/>
      <c r="C342" s="162"/>
      <c r="D342" s="1"/>
      <c r="E342" s="162"/>
      <c r="F342" s="11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4"/>
      <c r="V342" s="164"/>
    </row>
    <row r="343" ht="12.75" customHeight="1">
      <c r="A343" s="162"/>
      <c r="B343" s="162"/>
      <c r="C343" s="162"/>
      <c r="D343" s="1"/>
      <c r="E343" s="162"/>
      <c r="F343" s="11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4"/>
      <c r="V343" s="164"/>
    </row>
    <row r="344" ht="12.75" customHeight="1">
      <c r="A344" s="162"/>
      <c r="B344" s="162"/>
      <c r="C344" s="162"/>
      <c r="D344" s="1"/>
      <c r="E344" s="162"/>
      <c r="F344" s="11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4"/>
      <c r="V344" s="164"/>
    </row>
    <row r="345" ht="12.75" customHeight="1">
      <c r="A345" s="162"/>
      <c r="B345" s="162"/>
      <c r="C345" s="162"/>
      <c r="D345" s="1"/>
      <c r="E345" s="162"/>
      <c r="F345" s="11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4"/>
      <c r="V345" s="164"/>
    </row>
    <row r="346" ht="12.75" customHeight="1">
      <c r="A346" s="162"/>
      <c r="B346" s="162"/>
      <c r="C346" s="162"/>
      <c r="D346" s="1"/>
      <c r="E346" s="162"/>
      <c r="F346" s="11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4"/>
      <c r="V346" s="164"/>
    </row>
    <row r="347" ht="12.75" customHeight="1">
      <c r="A347" s="162"/>
      <c r="B347" s="162"/>
      <c r="C347" s="162"/>
      <c r="D347" s="1"/>
      <c r="E347" s="162"/>
      <c r="F347" s="11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4"/>
      <c r="V347" s="164"/>
    </row>
    <row r="348" ht="12.75" customHeight="1">
      <c r="A348" s="162"/>
      <c r="B348" s="162"/>
      <c r="C348" s="162"/>
      <c r="D348" s="1"/>
      <c r="E348" s="162"/>
      <c r="F348" s="11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4"/>
      <c r="V348" s="164"/>
    </row>
    <row r="349" ht="12.75" customHeight="1">
      <c r="A349" s="162"/>
      <c r="B349" s="162"/>
      <c r="C349" s="162"/>
      <c r="D349" s="1"/>
      <c r="E349" s="162"/>
      <c r="F349" s="11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4"/>
      <c r="V349" s="164"/>
    </row>
    <row r="350" ht="12.75" customHeight="1">
      <c r="A350" s="162"/>
      <c r="B350" s="162"/>
      <c r="C350" s="162"/>
      <c r="D350" s="1"/>
      <c r="E350" s="162"/>
      <c r="F350" s="11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4"/>
      <c r="V350" s="164"/>
    </row>
    <row r="351" ht="12.75" customHeight="1">
      <c r="A351" s="162"/>
      <c r="B351" s="162"/>
      <c r="C351" s="162"/>
      <c r="D351" s="1"/>
      <c r="E351" s="162"/>
      <c r="F351" s="11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4"/>
      <c r="V351" s="164"/>
    </row>
    <row r="352" ht="12.75" customHeight="1">
      <c r="A352" s="162"/>
      <c r="B352" s="162"/>
      <c r="C352" s="162"/>
      <c r="D352" s="1"/>
      <c r="E352" s="162"/>
      <c r="F352" s="11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4"/>
      <c r="V352" s="164"/>
    </row>
    <row r="353" ht="12.75" customHeight="1">
      <c r="A353" s="162"/>
      <c r="B353" s="162"/>
      <c r="C353" s="162"/>
      <c r="D353" s="1"/>
      <c r="E353" s="162"/>
      <c r="F353" s="11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4"/>
      <c r="V353" s="164"/>
    </row>
    <row r="354" ht="12.75" customHeight="1">
      <c r="A354" s="162"/>
      <c r="B354" s="162"/>
      <c r="C354" s="162"/>
      <c r="D354" s="1"/>
      <c r="E354" s="162"/>
      <c r="F354" s="11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4"/>
      <c r="V354" s="164"/>
    </row>
    <row r="355" ht="12.75" customHeight="1">
      <c r="A355" s="162"/>
      <c r="B355" s="162"/>
      <c r="C355" s="162"/>
      <c r="D355" s="1"/>
      <c r="E355" s="162"/>
      <c r="F355" s="11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4"/>
      <c r="V355" s="164"/>
    </row>
    <row r="356" ht="12.75" customHeight="1">
      <c r="A356" s="162"/>
      <c r="B356" s="162"/>
      <c r="C356" s="162"/>
      <c r="D356" s="1"/>
      <c r="E356" s="162"/>
      <c r="F356" s="11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4"/>
      <c r="V356" s="164"/>
    </row>
    <row r="357" ht="12.75" customHeight="1">
      <c r="A357" s="162"/>
      <c r="B357" s="162"/>
      <c r="C357" s="162"/>
      <c r="D357" s="1"/>
      <c r="E357" s="162"/>
      <c r="F357" s="11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4"/>
      <c r="V357" s="164"/>
    </row>
    <row r="358" ht="12.75" customHeight="1">
      <c r="A358" s="162"/>
      <c r="B358" s="162"/>
      <c r="C358" s="162"/>
      <c r="D358" s="1"/>
      <c r="E358" s="162"/>
      <c r="F358" s="11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4"/>
      <c r="V358" s="164"/>
    </row>
    <row r="359" ht="12.75" customHeight="1">
      <c r="A359" s="162"/>
      <c r="B359" s="162"/>
      <c r="C359" s="162"/>
      <c r="D359" s="1"/>
      <c r="E359" s="162"/>
      <c r="F359" s="11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4"/>
      <c r="V359" s="164"/>
    </row>
    <row r="360" ht="12.75" customHeight="1">
      <c r="A360" s="162"/>
      <c r="B360" s="162"/>
      <c r="C360" s="162"/>
      <c r="D360" s="1"/>
      <c r="E360" s="162"/>
      <c r="F360" s="11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4"/>
      <c r="V360" s="164"/>
    </row>
    <row r="361" ht="12.75" customHeight="1">
      <c r="A361" s="162"/>
      <c r="B361" s="162"/>
      <c r="C361" s="162"/>
      <c r="D361" s="1"/>
      <c r="E361" s="162"/>
      <c r="F361" s="11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4"/>
      <c r="V361" s="164"/>
    </row>
    <row r="362" ht="12.75" customHeight="1">
      <c r="A362" s="162"/>
      <c r="B362" s="162"/>
      <c r="C362" s="162"/>
      <c r="D362" s="1"/>
      <c r="E362" s="162"/>
      <c r="F362" s="11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4"/>
      <c r="V362" s="164"/>
    </row>
    <row r="363" ht="12.75" customHeight="1">
      <c r="A363" s="162"/>
      <c r="B363" s="162"/>
      <c r="C363" s="162"/>
      <c r="D363" s="1"/>
      <c r="E363" s="162"/>
      <c r="F363" s="11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4"/>
      <c r="V363" s="164"/>
    </row>
    <row r="364" ht="12.75" customHeight="1">
      <c r="A364" s="162"/>
      <c r="B364" s="162"/>
      <c r="C364" s="162"/>
      <c r="D364" s="1"/>
      <c r="E364" s="162"/>
      <c r="F364" s="11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4"/>
      <c r="V364" s="164"/>
    </row>
    <row r="365" ht="12.75" customHeight="1">
      <c r="A365" s="162"/>
      <c r="B365" s="162"/>
      <c r="C365" s="162"/>
      <c r="D365" s="1"/>
      <c r="E365" s="162"/>
      <c r="F365" s="11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4"/>
      <c r="V365" s="164"/>
    </row>
    <row r="366" ht="12.75" customHeight="1">
      <c r="A366" s="162"/>
      <c r="B366" s="162"/>
      <c r="C366" s="162"/>
      <c r="D366" s="1"/>
      <c r="E366" s="162"/>
      <c r="F366" s="11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4"/>
      <c r="V366" s="164"/>
    </row>
    <row r="367" ht="12.75" customHeight="1">
      <c r="A367" s="162"/>
      <c r="B367" s="162"/>
      <c r="C367" s="162"/>
      <c r="D367" s="1"/>
      <c r="E367" s="162"/>
      <c r="F367" s="11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4"/>
      <c r="V367" s="164"/>
    </row>
    <row r="368" ht="12.75" customHeight="1">
      <c r="A368" s="162"/>
      <c r="B368" s="162"/>
      <c r="C368" s="162"/>
      <c r="D368" s="1"/>
      <c r="E368" s="162"/>
      <c r="F368" s="11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4"/>
      <c r="V368" s="164"/>
    </row>
    <row r="369" ht="12.75" customHeight="1">
      <c r="A369" s="162"/>
      <c r="B369" s="162"/>
      <c r="C369" s="162"/>
      <c r="D369" s="1"/>
      <c r="E369" s="162"/>
      <c r="F369" s="11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4"/>
      <c r="V369" s="164"/>
    </row>
    <row r="370" ht="12.75" customHeight="1">
      <c r="A370" s="162"/>
      <c r="B370" s="162"/>
      <c r="C370" s="162"/>
      <c r="D370" s="1"/>
      <c r="E370" s="162"/>
      <c r="F370" s="11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4"/>
      <c r="V370" s="164"/>
    </row>
    <row r="371" ht="12.75" customHeight="1">
      <c r="A371" s="162"/>
      <c r="B371" s="162"/>
      <c r="C371" s="162"/>
      <c r="D371" s="1"/>
      <c r="E371" s="162"/>
      <c r="F371" s="11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4"/>
      <c r="V371" s="164"/>
    </row>
    <row r="372" ht="12.75" customHeight="1">
      <c r="A372" s="162"/>
      <c r="B372" s="162"/>
      <c r="C372" s="162"/>
      <c r="D372" s="1"/>
      <c r="E372" s="162"/>
      <c r="F372" s="11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4"/>
      <c r="V372" s="164"/>
    </row>
    <row r="373" ht="12.75" customHeight="1">
      <c r="A373" s="162"/>
      <c r="B373" s="162"/>
      <c r="C373" s="162"/>
      <c r="D373" s="1"/>
      <c r="E373" s="162"/>
      <c r="F373" s="11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4"/>
      <c r="V373" s="164"/>
    </row>
    <row r="374" ht="12.75" customHeight="1">
      <c r="A374" s="162"/>
      <c r="B374" s="162"/>
      <c r="C374" s="162"/>
      <c r="D374" s="1"/>
      <c r="E374" s="162"/>
      <c r="F374" s="11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4"/>
      <c r="V374" s="164"/>
    </row>
    <row r="375" ht="12.75" customHeight="1">
      <c r="A375" s="162"/>
      <c r="B375" s="162"/>
      <c r="C375" s="162"/>
      <c r="D375" s="1"/>
      <c r="E375" s="162"/>
      <c r="F375" s="11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4"/>
      <c r="V375" s="164"/>
    </row>
    <row r="376" ht="12.75" customHeight="1">
      <c r="A376" s="162"/>
      <c r="B376" s="162"/>
      <c r="C376" s="162"/>
      <c r="D376" s="1"/>
      <c r="E376" s="162"/>
      <c r="F376" s="11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4"/>
      <c r="V376" s="164"/>
    </row>
    <row r="377" ht="12.75" customHeight="1">
      <c r="A377" s="162"/>
      <c r="B377" s="162"/>
      <c r="C377" s="162"/>
      <c r="D377" s="1"/>
      <c r="E377" s="162"/>
      <c r="F377" s="11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4"/>
      <c r="V377" s="164"/>
    </row>
    <row r="378" ht="12.75" customHeight="1">
      <c r="A378" s="162"/>
      <c r="B378" s="162"/>
      <c r="C378" s="162"/>
      <c r="D378" s="1"/>
      <c r="E378" s="162"/>
      <c r="F378" s="11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4"/>
      <c r="V378" s="164"/>
    </row>
    <row r="379" ht="12.75" customHeight="1">
      <c r="A379" s="162"/>
      <c r="B379" s="162"/>
      <c r="C379" s="162"/>
      <c r="D379" s="1"/>
      <c r="E379" s="162"/>
      <c r="F379" s="11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4"/>
      <c r="V379" s="164"/>
    </row>
    <row r="380" ht="12.75" customHeight="1">
      <c r="A380" s="162"/>
      <c r="B380" s="162"/>
      <c r="C380" s="162"/>
      <c r="D380" s="1"/>
      <c r="E380" s="162"/>
      <c r="F380" s="11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4"/>
      <c r="V380" s="164"/>
    </row>
    <row r="381" ht="12.75" customHeight="1">
      <c r="A381" s="162"/>
      <c r="B381" s="162"/>
      <c r="C381" s="162"/>
      <c r="D381" s="1"/>
      <c r="E381" s="162"/>
      <c r="F381" s="11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4"/>
      <c r="V381" s="164"/>
    </row>
    <row r="382" ht="12.75" customHeight="1">
      <c r="A382" s="162"/>
      <c r="B382" s="162"/>
      <c r="C382" s="162"/>
      <c r="D382" s="1"/>
      <c r="E382" s="162"/>
      <c r="F382" s="11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4"/>
      <c r="V382" s="164"/>
    </row>
    <row r="383" ht="12.75" customHeight="1">
      <c r="A383" s="162"/>
      <c r="B383" s="162"/>
      <c r="C383" s="162"/>
      <c r="D383" s="1"/>
      <c r="E383" s="162"/>
      <c r="F383" s="11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4"/>
      <c r="V383" s="164"/>
    </row>
    <row r="384" ht="12.75" customHeight="1">
      <c r="A384" s="162"/>
      <c r="B384" s="162"/>
      <c r="C384" s="162"/>
      <c r="D384" s="1"/>
      <c r="E384" s="162"/>
      <c r="F384" s="11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4"/>
      <c r="V384" s="164"/>
    </row>
    <row r="385" ht="12.75" customHeight="1">
      <c r="A385" s="162"/>
      <c r="B385" s="162"/>
      <c r="C385" s="162"/>
      <c r="D385" s="1"/>
      <c r="E385" s="162"/>
      <c r="F385" s="11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4"/>
      <c r="V385" s="164"/>
    </row>
    <row r="386" ht="12.75" customHeight="1">
      <c r="A386" s="162"/>
      <c r="B386" s="162"/>
      <c r="C386" s="162"/>
      <c r="D386" s="1"/>
      <c r="E386" s="162"/>
      <c r="F386" s="11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4"/>
      <c r="V386" s="164"/>
    </row>
    <row r="387" ht="12.75" customHeight="1">
      <c r="A387" s="162"/>
      <c r="B387" s="162"/>
      <c r="C387" s="162"/>
      <c r="D387" s="1"/>
      <c r="E387" s="162"/>
      <c r="F387" s="11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4"/>
      <c r="V387" s="164"/>
    </row>
    <row r="388" ht="12.75" customHeight="1">
      <c r="A388" s="162"/>
      <c r="B388" s="162"/>
      <c r="C388" s="162"/>
      <c r="D388" s="1"/>
      <c r="E388" s="162"/>
      <c r="F388" s="11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4"/>
      <c r="V388" s="164"/>
    </row>
    <row r="389" ht="12.75" customHeight="1">
      <c r="A389" s="162"/>
      <c r="B389" s="162"/>
      <c r="C389" s="162"/>
      <c r="D389" s="1"/>
      <c r="E389" s="162"/>
      <c r="F389" s="11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4"/>
      <c r="V389" s="164"/>
    </row>
    <row r="390" ht="12.75" customHeight="1">
      <c r="A390" s="162"/>
      <c r="B390" s="162"/>
      <c r="C390" s="162"/>
      <c r="D390" s="1"/>
      <c r="E390" s="162"/>
      <c r="F390" s="11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4"/>
      <c r="V390" s="164"/>
    </row>
    <row r="391" ht="12.75" customHeight="1">
      <c r="A391" s="162"/>
      <c r="B391" s="162"/>
      <c r="C391" s="162"/>
      <c r="D391" s="1"/>
      <c r="E391" s="162"/>
      <c r="F391" s="11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4"/>
      <c r="V391" s="164"/>
    </row>
    <row r="392" ht="12.75" customHeight="1">
      <c r="A392" s="162"/>
      <c r="B392" s="162"/>
      <c r="C392" s="162"/>
      <c r="D392" s="1"/>
      <c r="E392" s="162"/>
      <c r="F392" s="11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4"/>
      <c r="V392" s="164"/>
    </row>
    <row r="393" ht="12.75" customHeight="1">
      <c r="A393" s="162"/>
      <c r="B393" s="162"/>
      <c r="C393" s="162"/>
      <c r="D393" s="1"/>
      <c r="E393" s="162"/>
      <c r="F393" s="11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4"/>
      <c r="V393" s="164"/>
    </row>
    <row r="394" ht="12.75" customHeight="1">
      <c r="A394" s="162"/>
      <c r="B394" s="162"/>
      <c r="C394" s="162"/>
      <c r="D394" s="1"/>
      <c r="E394" s="162"/>
      <c r="F394" s="11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4"/>
      <c r="V394" s="164"/>
    </row>
    <row r="395" ht="12.75" customHeight="1">
      <c r="A395" s="162"/>
      <c r="B395" s="162"/>
      <c r="C395" s="162"/>
      <c r="D395" s="1"/>
      <c r="E395" s="162"/>
      <c r="F395" s="11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4"/>
      <c r="V395" s="164"/>
    </row>
    <row r="396" ht="12.75" customHeight="1">
      <c r="A396" s="162"/>
      <c r="B396" s="162"/>
      <c r="C396" s="162"/>
      <c r="D396" s="1"/>
      <c r="E396" s="162"/>
      <c r="F396" s="11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4"/>
      <c r="V396" s="164"/>
    </row>
    <row r="397" ht="12.75" customHeight="1">
      <c r="A397" s="162"/>
      <c r="B397" s="162"/>
      <c r="C397" s="162"/>
      <c r="D397" s="1"/>
      <c r="E397" s="162"/>
      <c r="F397" s="11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4"/>
      <c r="V397" s="164"/>
    </row>
    <row r="398" ht="12.75" customHeight="1">
      <c r="A398" s="162"/>
      <c r="B398" s="162"/>
      <c r="C398" s="162"/>
      <c r="D398" s="1"/>
      <c r="E398" s="162"/>
      <c r="F398" s="11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4"/>
      <c r="V398" s="164"/>
    </row>
    <row r="399" ht="12.75" customHeight="1">
      <c r="A399" s="162"/>
      <c r="B399" s="162"/>
      <c r="C399" s="162"/>
      <c r="D399" s="1"/>
      <c r="E399" s="162"/>
      <c r="F399" s="11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4"/>
      <c r="V399" s="164"/>
    </row>
    <row r="400" ht="12.75" customHeight="1">
      <c r="A400" s="162"/>
      <c r="B400" s="162"/>
      <c r="C400" s="162"/>
      <c r="D400" s="1"/>
      <c r="E400" s="162"/>
      <c r="F400" s="11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4"/>
      <c r="V400" s="164"/>
    </row>
    <row r="401" ht="12.75" customHeight="1">
      <c r="A401" s="162"/>
      <c r="B401" s="162"/>
      <c r="C401" s="162"/>
      <c r="D401" s="1"/>
      <c r="E401" s="162"/>
      <c r="F401" s="11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4"/>
      <c r="V401" s="164"/>
    </row>
    <row r="402" ht="12.75" customHeight="1">
      <c r="A402" s="162"/>
      <c r="B402" s="162"/>
      <c r="C402" s="162"/>
      <c r="D402" s="1"/>
      <c r="E402" s="162"/>
      <c r="F402" s="11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4"/>
      <c r="V402" s="164"/>
    </row>
    <row r="403" ht="12.75" customHeight="1">
      <c r="A403" s="162"/>
      <c r="B403" s="162"/>
      <c r="C403" s="162"/>
      <c r="D403" s="1"/>
      <c r="E403" s="162"/>
      <c r="F403" s="11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4"/>
      <c r="V403" s="164"/>
    </row>
    <row r="404" ht="12.75" customHeight="1">
      <c r="A404" s="162"/>
      <c r="B404" s="162"/>
      <c r="C404" s="162"/>
      <c r="D404" s="1"/>
      <c r="E404" s="162"/>
      <c r="F404" s="11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4"/>
      <c r="V404" s="164"/>
    </row>
    <row r="405" ht="12.75" customHeight="1">
      <c r="A405" s="162"/>
      <c r="B405" s="162"/>
      <c r="C405" s="162"/>
      <c r="D405" s="1"/>
      <c r="E405" s="162"/>
      <c r="F405" s="11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4"/>
      <c r="V405" s="164"/>
    </row>
    <row r="406" ht="12.75" customHeight="1">
      <c r="A406" s="162"/>
      <c r="B406" s="162"/>
      <c r="C406" s="162"/>
      <c r="D406" s="1"/>
      <c r="E406" s="162"/>
      <c r="F406" s="11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4"/>
      <c r="V406" s="164"/>
    </row>
    <row r="407" ht="12.75" customHeight="1">
      <c r="A407" s="162"/>
      <c r="B407" s="162"/>
      <c r="C407" s="162"/>
      <c r="D407" s="1"/>
      <c r="E407" s="162"/>
      <c r="F407" s="11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4"/>
      <c r="V407" s="164"/>
    </row>
    <row r="408" ht="12.75" customHeight="1">
      <c r="A408" s="162"/>
      <c r="B408" s="162"/>
      <c r="C408" s="162"/>
      <c r="D408" s="1"/>
      <c r="E408" s="162"/>
      <c r="F408" s="11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4"/>
      <c r="V408" s="164"/>
    </row>
    <row r="409" ht="12.75" customHeight="1">
      <c r="A409" s="162"/>
      <c r="B409" s="162"/>
      <c r="C409" s="162"/>
      <c r="D409" s="1"/>
      <c r="E409" s="162"/>
      <c r="F409" s="11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4"/>
      <c r="V409" s="164"/>
    </row>
    <row r="410" ht="12.75" customHeight="1">
      <c r="A410" s="162"/>
      <c r="B410" s="162"/>
      <c r="C410" s="162"/>
      <c r="D410" s="1"/>
      <c r="E410" s="162"/>
      <c r="F410" s="11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4"/>
      <c r="V410" s="164"/>
    </row>
    <row r="411" ht="12.75" customHeight="1">
      <c r="A411" s="162"/>
      <c r="B411" s="162"/>
      <c r="C411" s="162"/>
      <c r="D411" s="1"/>
      <c r="E411" s="162"/>
      <c r="F411" s="11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4"/>
      <c r="V411" s="164"/>
    </row>
    <row r="412" ht="12.75" customHeight="1">
      <c r="A412" s="162"/>
      <c r="B412" s="162"/>
      <c r="C412" s="162"/>
      <c r="D412" s="1"/>
      <c r="E412" s="162"/>
      <c r="F412" s="11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4"/>
      <c r="V412" s="164"/>
    </row>
    <row r="413" ht="12.75" customHeight="1">
      <c r="A413" s="162"/>
      <c r="B413" s="162"/>
      <c r="C413" s="162"/>
      <c r="D413" s="1"/>
      <c r="E413" s="162"/>
      <c r="F413" s="11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4"/>
      <c r="V413" s="164"/>
    </row>
    <row r="414" ht="12.75" customHeight="1">
      <c r="A414" s="162"/>
      <c r="B414" s="162"/>
      <c r="C414" s="162"/>
      <c r="D414" s="1"/>
      <c r="E414" s="162"/>
      <c r="F414" s="11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4"/>
      <c r="V414" s="164"/>
    </row>
    <row r="415" ht="12.75" customHeight="1">
      <c r="A415" s="162"/>
      <c r="B415" s="162"/>
      <c r="C415" s="162"/>
      <c r="D415" s="1"/>
      <c r="E415" s="162"/>
      <c r="F415" s="11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4"/>
      <c r="V415" s="164"/>
    </row>
    <row r="416" ht="12.75" customHeight="1">
      <c r="A416" s="162"/>
      <c r="B416" s="162"/>
      <c r="C416" s="162"/>
      <c r="D416" s="1"/>
      <c r="E416" s="162"/>
      <c r="F416" s="11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4"/>
      <c r="V416" s="164"/>
    </row>
    <row r="417" ht="12.75" customHeight="1">
      <c r="A417" s="162"/>
      <c r="B417" s="162"/>
      <c r="C417" s="162"/>
      <c r="D417" s="1"/>
      <c r="E417" s="162"/>
      <c r="F417" s="11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4"/>
      <c r="V417" s="164"/>
    </row>
    <row r="418" ht="12.75" customHeight="1">
      <c r="A418" s="162"/>
      <c r="B418" s="162"/>
      <c r="C418" s="162"/>
      <c r="D418" s="1"/>
      <c r="E418" s="162"/>
      <c r="F418" s="11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4"/>
      <c r="V418" s="164"/>
    </row>
    <row r="419" ht="12.75" customHeight="1">
      <c r="A419" s="162"/>
      <c r="B419" s="162"/>
      <c r="C419" s="162"/>
      <c r="D419" s="1"/>
      <c r="E419" s="162"/>
      <c r="F419" s="11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4"/>
      <c r="V419" s="164"/>
    </row>
    <row r="420" ht="12.75" customHeight="1">
      <c r="A420" s="162"/>
      <c r="B420" s="162"/>
      <c r="C420" s="162"/>
      <c r="D420" s="1"/>
      <c r="E420" s="162"/>
      <c r="F420" s="11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4"/>
      <c r="V420" s="164"/>
    </row>
    <row r="421" ht="12.75" customHeight="1">
      <c r="A421" s="162"/>
      <c r="B421" s="162"/>
      <c r="C421" s="162"/>
      <c r="D421" s="1"/>
      <c r="E421" s="162"/>
      <c r="F421" s="11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4"/>
      <c r="V421" s="164"/>
    </row>
    <row r="422" ht="12.75" customHeight="1">
      <c r="A422" s="162"/>
      <c r="B422" s="162"/>
      <c r="C422" s="162"/>
      <c r="D422" s="1"/>
      <c r="E422" s="162"/>
      <c r="F422" s="11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4"/>
      <c r="V422" s="164"/>
    </row>
    <row r="423" ht="12.75" customHeight="1">
      <c r="A423" s="162"/>
      <c r="B423" s="162"/>
      <c r="C423" s="162"/>
      <c r="D423" s="1"/>
      <c r="E423" s="162"/>
      <c r="F423" s="11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4"/>
      <c r="V423" s="164"/>
    </row>
    <row r="424" ht="12.75" customHeight="1">
      <c r="A424" s="162"/>
      <c r="B424" s="162"/>
      <c r="C424" s="162"/>
      <c r="D424" s="1"/>
      <c r="E424" s="162"/>
      <c r="F424" s="11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4"/>
      <c r="V424" s="164"/>
    </row>
    <row r="425" ht="12.75" customHeight="1">
      <c r="A425" s="162"/>
      <c r="B425" s="162"/>
      <c r="C425" s="162"/>
      <c r="D425" s="1"/>
      <c r="E425" s="162"/>
      <c r="F425" s="11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4"/>
      <c r="V425" s="164"/>
    </row>
    <row r="426" ht="12.75" customHeight="1">
      <c r="A426" s="162"/>
      <c r="B426" s="162"/>
      <c r="C426" s="162"/>
      <c r="D426" s="1"/>
      <c r="E426" s="162"/>
      <c r="F426" s="11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4"/>
      <c r="V426" s="164"/>
    </row>
    <row r="427" ht="12.75" customHeight="1">
      <c r="A427" s="162"/>
      <c r="B427" s="162"/>
      <c r="C427" s="162"/>
      <c r="D427" s="1"/>
      <c r="E427" s="162"/>
      <c r="F427" s="11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4"/>
      <c r="V427" s="164"/>
    </row>
    <row r="428" ht="12.75" customHeight="1">
      <c r="A428" s="162"/>
      <c r="B428" s="162"/>
      <c r="C428" s="162"/>
      <c r="D428" s="1"/>
      <c r="E428" s="162"/>
      <c r="F428" s="11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4"/>
      <c r="V428" s="164"/>
    </row>
    <row r="429" ht="12.75" customHeight="1">
      <c r="A429" s="162"/>
      <c r="B429" s="162"/>
      <c r="C429" s="162"/>
      <c r="D429" s="1"/>
      <c r="E429" s="162"/>
      <c r="F429" s="11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4"/>
      <c r="V429" s="164"/>
    </row>
    <row r="430" ht="12.75" customHeight="1">
      <c r="A430" s="162"/>
      <c r="B430" s="162"/>
      <c r="C430" s="162"/>
      <c r="D430" s="1"/>
      <c r="E430" s="162"/>
      <c r="F430" s="11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4"/>
      <c r="V430" s="164"/>
    </row>
    <row r="431" ht="12.75" customHeight="1">
      <c r="A431" s="162"/>
      <c r="B431" s="162"/>
      <c r="C431" s="162"/>
      <c r="D431" s="1"/>
      <c r="E431" s="162"/>
      <c r="F431" s="11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4"/>
      <c r="V431" s="164"/>
    </row>
    <row r="432" ht="12.75" customHeight="1">
      <c r="A432" s="162"/>
      <c r="B432" s="162"/>
      <c r="C432" s="162"/>
      <c r="D432" s="1"/>
      <c r="E432" s="162"/>
      <c r="F432" s="11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4"/>
      <c r="V432" s="164"/>
    </row>
    <row r="433" ht="12.75" customHeight="1">
      <c r="A433" s="162"/>
      <c r="B433" s="162"/>
      <c r="C433" s="162"/>
      <c r="D433" s="1"/>
      <c r="E433" s="162"/>
      <c r="F433" s="11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4"/>
      <c r="V433" s="164"/>
    </row>
    <row r="434" ht="12.75" customHeight="1">
      <c r="A434" s="162"/>
      <c r="B434" s="162"/>
      <c r="C434" s="162"/>
      <c r="D434" s="1"/>
      <c r="E434" s="162"/>
      <c r="F434" s="11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4"/>
      <c r="V434" s="164"/>
    </row>
    <row r="435" ht="12.75" customHeight="1">
      <c r="A435" s="162"/>
      <c r="B435" s="162"/>
      <c r="C435" s="162"/>
      <c r="D435" s="1"/>
      <c r="E435" s="162"/>
      <c r="F435" s="11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4"/>
      <c r="V435" s="164"/>
    </row>
    <row r="436" ht="12.75" customHeight="1">
      <c r="A436" s="162"/>
      <c r="B436" s="162"/>
      <c r="C436" s="162"/>
      <c r="D436" s="1"/>
      <c r="E436" s="162"/>
      <c r="F436" s="11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4"/>
      <c r="V436" s="164"/>
    </row>
    <row r="437" ht="12.75" customHeight="1">
      <c r="A437" s="162"/>
      <c r="B437" s="162"/>
      <c r="C437" s="162"/>
      <c r="D437" s="1"/>
      <c r="E437" s="162"/>
      <c r="F437" s="11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4"/>
      <c r="V437" s="164"/>
    </row>
    <row r="438" ht="12.75" customHeight="1">
      <c r="A438" s="162"/>
      <c r="B438" s="162"/>
      <c r="C438" s="162"/>
      <c r="D438" s="1"/>
      <c r="E438" s="162"/>
      <c r="F438" s="11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4"/>
      <c r="V438" s="164"/>
    </row>
    <row r="439" ht="12.75" customHeight="1">
      <c r="A439" s="162"/>
      <c r="B439" s="162"/>
      <c r="C439" s="162"/>
      <c r="D439" s="1"/>
      <c r="E439" s="162"/>
      <c r="F439" s="11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4"/>
      <c r="V439" s="164"/>
    </row>
    <row r="440" ht="12.75" customHeight="1">
      <c r="A440" s="162"/>
      <c r="B440" s="162"/>
      <c r="C440" s="162"/>
      <c r="D440" s="1"/>
      <c r="E440" s="162"/>
      <c r="F440" s="11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4"/>
      <c r="V440" s="164"/>
    </row>
    <row r="441" ht="12.75" customHeight="1">
      <c r="A441" s="162"/>
      <c r="B441" s="162"/>
      <c r="C441" s="162"/>
      <c r="D441" s="1"/>
      <c r="E441" s="162"/>
      <c r="F441" s="11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4"/>
      <c r="V441" s="164"/>
    </row>
    <row r="442" ht="12.75" customHeight="1">
      <c r="A442" s="162"/>
      <c r="B442" s="162"/>
      <c r="C442" s="162"/>
      <c r="D442" s="1"/>
      <c r="E442" s="162"/>
      <c r="F442" s="11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4"/>
      <c r="V442" s="164"/>
    </row>
    <row r="443" ht="12.75" customHeight="1">
      <c r="A443" s="162"/>
      <c r="B443" s="162"/>
      <c r="C443" s="162"/>
      <c r="D443" s="1"/>
      <c r="E443" s="162"/>
      <c r="F443" s="11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4"/>
      <c r="V443" s="164"/>
    </row>
    <row r="444" ht="12.75" customHeight="1">
      <c r="A444" s="162"/>
      <c r="B444" s="162"/>
      <c r="C444" s="162"/>
      <c r="D444" s="1"/>
      <c r="E444" s="162"/>
      <c r="F444" s="11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4"/>
      <c r="V444" s="164"/>
    </row>
    <row r="445" ht="12.75" customHeight="1">
      <c r="A445" s="162"/>
      <c r="B445" s="162"/>
      <c r="C445" s="162"/>
      <c r="D445" s="1"/>
      <c r="E445" s="162"/>
      <c r="F445" s="11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4"/>
      <c r="V445" s="164"/>
    </row>
    <row r="446" ht="12.75" customHeight="1">
      <c r="A446" s="162"/>
      <c r="B446" s="162"/>
      <c r="C446" s="162"/>
      <c r="D446" s="1"/>
      <c r="E446" s="162"/>
      <c r="F446" s="11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4"/>
      <c r="V446" s="164"/>
    </row>
    <row r="447" ht="12.75" customHeight="1">
      <c r="A447" s="162"/>
      <c r="B447" s="162"/>
      <c r="C447" s="162"/>
      <c r="D447" s="1"/>
      <c r="E447" s="162"/>
      <c r="F447" s="11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4"/>
      <c r="V447" s="164"/>
    </row>
    <row r="448" ht="12.75" customHeight="1">
      <c r="A448" s="162"/>
      <c r="B448" s="162"/>
      <c r="C448" s="162"/>
      <c r="D448" s="1"/>
      <c r="E448" s="162"/>
      <c r="F448" s="11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4"/>
      <c r="V448" s="164"/>
    </row>
    <row r="449" ht="12.75" customHeight="1">
      <c r="A449" s="162"/>
      <c r="B449" s="162"/>
      <c r="C449" s="162"/>
      <c r="D449" s="1"/>
      <c r="E449" s="162"/>
      <c r="F449" s="11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4"/>
      <c r="V449" s="164"/>
    </row>
    <row r="450" ht="12.75" customHeight="1">
      <c r="A450" s="162"/>
      <c r="B450" s="162"/>
      <c r="C450" s="162"/>
      <c r="D450" s="1"/>
      <c r="E450" s="162"/>
      <c r="F450" s="11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4"/>
      <c r="V450" s="164"/>
    </row>
    <row r="451" ht="12.75" customHeight="1">
      <c r="A451" s="162"/>
      <c r="B451" s="162"/>
      <c r="C451" s="162"/>
      <c r="D451" s="1"/>
      <c r="E451" s="162"/>
      <c r="F451" s="11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4"/>
      <c r="V451" s="164"/>
    </row>
    <row r="452" ht="12.75" customHeight="1">
      <c r="A452" s="162"/>
      <c r="B452" s="162"/>
      <c r="C452" s="162"/>
      <c r="D452" s="1"/>
      <c r="E452" s="162"/>
      <c r="F452" s="11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4"/>
      <c r="V452" s="164"/>
    </row>
    <row r="453" ht="12.75" customHeight="1">
      <c r="A453" s="162"/>
      <c r="B453" s="162"/>
      <c r="C453" s="162"/>
      <c r="D453" s="1"/>
      <c r="E453" s="162"/>
      <c r="F453" s="11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4"/>
      <c r="V453" s="164"/>
    </row>
    <row r="454" ht="12.75" customHeight="1">
      <c r="A454" s="162"/>
      <c r="B454" s="162"/>
      <c r="C454" s="162"/>
      <c r="D454" s="1"/>
      <c r="E454" s="162"/>
      <c r="F454" s="11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4"/>
      <c r="V454" s="164"/>
    </row>
    <row r="455" ht="12.75" customHeight="1">
      <c r="A455" s="162"/>
      <c r="B455" s="162"/>
      <c r="C455" s="162"/>
      <c r="D455" s="1"/>
      <c r="E455" s="162"/>
      <c r="F455" s="11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4"/>
      <c r="V455" s="164"/>
    </row>
    <row r="456" ht="12.75" customHeight="1">
      <c r="A456" s="162"/>
      <c r="B456" s="162"/>
      <c r="C456" s="162"/>
      <c r="D456" s="1"/>
      <c r="E456" s="162"/>
      <c r="F456" s="11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4"/>
      <c r="V456" s="164"/>
    </row>
    <row r="457" ht="12.75" customHeight="1">
      <c r="A457" s="162"/>
      <c r="B457" s="162"/>
      <c r="C457" s="162"/>
      <c r="D457" s="1"/>
      <c r="E457" s="162"/>
      <c r="F457" s="11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4"/>
      <c r="V457" s="164"/>
    </row>
    <row r="458" ht="12.75" customHeight="1">
      <c r="A458" s="162"/>
      <c r="B458" s="162"/>
      <c r="C458" s="162"/>
      <c r="D458" s="1"/>
      <c r="E458" s="162"/>
      <c r="F458" s="11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4"/>
      <c r="V458" s="164"/>
    </row>
    <row r="459" ht="12.75" customHeight="1">
      <c r="A459" s="162"/>
      <c r="B459" s="162"/>
      <c r="C459" s="162"/>
      <c r="D459" s="1"/>
      <c r="E459" s="162"/>
      <c r="F459" s="11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4"/>
      <c r="V459" s="164"/>
    </row>
    <row r="460" ht="12.75" customHeight="1">
      <c r="A460" s="162"/>
      <c r="B460" s="162"/>
      <c r="C460" s="162"/>
      <c r="D460" s="1"/>
      <c r="E460" s="162"/>
      <c r="F460" s="11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4"/>
      <c r="V460" s="164"/>
    </row>
    <row r="461" ht="12.75" customHeight="1">
      <c r="A461" s="162"/>
      <c r="B461" s="162"/>
      <c r="C461" s="162"/>
      <c r="D461" s="1"/>
      <c r="E461" s="162"/>
      <c r="F461" s="11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4"/>
      <c r="V461" s="164"/>
    </row>
    <row r="462" ht="12.75" customHeight="1">
      <c r="A462" s="162"/>
      <c r="B462" s="162"/>
      <c r="C462" s="162"/>
      <c r="D462" s="1"/>
      <c r="E462" s="162"/>
      <c r="F462" s="11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4"/>
      <c r="V462" s="164"/>
    </row>
    <row r="463" ht="12.75" customHeight="1">
      <c r="A463" s="162"/>
      <c r="B463" s="162"/>
      <c r="C463" s="162"/>
      <c r="D463" s="1"/>
      <c r="E463" s="162"/>
      <c r="F463" s="11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4"/>
      <c r="V463" s="164"/>
    </row>
    <row r="464" ht="12.75" customHeight="1">
      <c r="A464" s="162"/>
      <c r="B464" s="162"/>
      <c r="C464" s="162"/>
      <c r="D464" s="1"/>
      <c r="E464" s="162"/>
      <c r="F464" s="11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4"/>
      <c r="V464" s="164"/>
    </row>
    <row r="465" ht="12.75" customHeight="1">
      <c r="A465" s="162"/>
      <c r="B465" s="162"/>
      <c r="C465" s="162"/>
      <c r="D465" s="1"/>
      <c r="E465" s="162"/>
      <c r="F465" s="11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4"/>
      <c r="V465" s="164"/>
    </row>
    <row r="466" ht="12.75" customHeight="1">
      <c r="A466" s="162"/>
      <c r="B466" s="162"/>
      <c r="C466" s="162"/>
      <c r="D466" s="1"/>
      <c r="E466" s="162"/>
      <c r="F466" s="11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4"/>
      <c r="V466" s="164"/>
    </row>
    <row r="467" ht="12.75" customHeight="1">
      <c r="A467" s="162"/>
      <c r="B467" s="162"/>
      <c r="C467" s="162"/>
      <c r="D467" s="1"/>
      <c r="E467" s="162"/>
      <c r="F467" s="11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4"/>
      <c r="V467" s="164"/>
    </row>
    <row r="468" ht="12.75" customHeight="1">
      <c r="A468" s="162"/>
      <c r="B468" s="162"/>
      <c r="C468" s="162"/>
      <c r="D468" s="1"/>
      <c r="E468" s="162"/>
      <c r="F468" s="11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4"/>
      <c r="V468" s="164"/>
    </row>
    <row r="469" ht="12.75" customHeight="1">
      <c r="A469" s="162"/>
      <c r="B469" s="162"/>
      <c r="C469" s="162"/>
      <c r="D469" s="1"/>
      <c r="E469" s="162"/>
      <c r="F469" s="11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4"/>
      <c r="V469" s="164"/>
    </row>
    <row r="470" ht="12.75" customHeight="1">
      <c r="A470" s="162"/>
      <c r="B470" s="162"/>
      <c r="C470" s="162"/>
      <c r="D470" s="1"/>
      <c r="E470" s="162"/>
      <c r="F470" s="11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4"/>
      <c r="V470" s="164"/>
    </row>
    <row r="471" ht="12.75" customHeight="1">
      <c r="A471" s="162"/>
      <c r="B471" s="162"/>
      <c r="C471" s="162"/>
      <c r="D471" s="1"/>
      <c r="E471" s="162"/>
      <c r="F471" s="11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4"/>
      <c r="V471" s="164"/>
    </row>
    <row r="472" ht="12.75" customHeight="1">
      <c r="A472" s="162"/>
      <c r="B472" s="162"/>
      <c r="C472" s="162"/>
      <c r="D472" s="1"/>
      <c r="E472" s="162"/>
      <c r="F472" s="11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4"/>
      <c r="V472" s="164"/>
    </row>
    <row r="473" ht="12.75" customHeight="1">
      <c r="A473" s="162"/>
      <c r="B473" s="162"/>
      <c r="C473" s="162"/>
      <c r="D473" s="1"/>
      <c r="E473" s="162"/>
      <c r="F473" s="11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4"/>
      <c r="V473" s="164"/>
    </row>
    <row r="474" ht="12.75" customHeight="1">
      <c r="A474" s="162"/>
      <c r="B474" s="162"/>
      <c r="C474" s="162"/>
      <c r="D474" s="1"/>
      <c r="E474" s="162"/>
      <c r="F474" s="11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4"/>
      <c r="V474" s="164"/>
    </row>
    <row r="475" ht="12.75" customHeight="1">
      <c r="A475" s="162"/>
      <c r="B475" s="162"/>
      <c r="C475" s="162"/>
      <c r="D475" s="1"/>
      <c r="E475" s="162"/>
      <c r="F475" s="11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4"/>
      <c r="V475" s="164"/>
    </row>
    <row r="476" ht="12.75" customHeight="1">
      <c r="A476" s="162"/>
      <c r="B476" s="162"/>
      <c r="C476" s="162"/>
      <c r="D476" s="1"/>
      <c r="E476" s="162"/>
      <c r="F476" s="11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4"/>
      <c r="V476" s="164"/>
    </row>
    <row r="477" ht="12.75" customHeight="1">
      <c r="A477" s="162"/>
      <c r="B477" s="162"/>
      <c r="C477" s="162"/>
      <c r="D477" s="1"/>
      <c r="E477" s="162"/>
      <c r="F477" s="11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4"/>
      <c r="V477" s="164"/>
    </row>
    <row r="478" ht="12.75" customHeight="1">
      <c r="A478" s="162"/>
      <c r="B478" s="162"/>
      <c r="C478" s="162"/>
      <c r="D478" s="1"/>
      <c r="E478" s="162"/>
      <c r="F478" s="11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4"/>
      <c r="V478" s="164"/>
    </row>
    <row r="479" ht="12.75" customHeight="1">
      <c r="A479" s="162"/>
      <c r="B479" s="162"/>
      <c r="C479" s="162"/>
      <c r="D479" s="1"/>
      <c r="E479" s="162"/>
      <c r="F479" s="11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4"/>
      <c r="V479" s="164"/>
    </row>
    <row r="480" ht="12.75" customHeight="1">
      <c r="A480" s="162"/>
      <c r="B480" s="162"/>
      <c r="C480" s="162"/>
      <c r="D480" s="1"/>
      <c r="E480" s="162"/>
      <c r="F480" s="11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4"/>
      <c r="V480" s="164"/>
    </row>
    <row r="481" ht="12.75" customHeight="1">
      <c r="A481" s="162"/>
      <c r="B481" s="162"/>
      <c r="C481" s="162"/>
      <c r="D481" s="1"/>
      <c r="E481" s="162"/>
      <c r="F481" s="11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4"/>
      <c r="V481" s="164"/>
    </row>
    <row r="482" ht="12.75" customHeight="1">
      <c r="A482" s="162"/>
      <c r="B482" s="162"/>
      <c r="C482" s="162"/>
      <c r="D482" s="1"/>
      <c r="E482" s="162"/>
      <c r="F482" s="11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4"/>
      <c r="V482" s="164"/>
    </row>
    <row r="483" ht="12.75" customHeight="1">
      <c r="A483" s="162"/>
      <c r="B483" s="162"/>
      <c r="C483" s="162"/>
      <c r="D483" s="1"/>
      <c r="E483" s="162"/>
      <c r="F483" s="11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4"/>
      <c r="V483" s="164"/>
    </row>
    <row r="484" ht="12.75" customHeight="1">
      <c r="A484" s="162"/>
      <c r="B484" s="162"/>
      <c r="C484" s="162"/>
      <c r="D484" s="1"/>
      <c r="E484" s="162"/>
      <c r="F484" s="11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4"/>
      <c r="V484" s="164"/>
    </row>
    <row r="485" ht="12.75" customHeight="1">
      <c r="A485" s="162"/>
      <c r="B485" s="162"/>
      <c r="C485" s="162"/>
      <c r="D485" s="1"/>
      <c r="E485" s="162"/>
      <c r="F485" s="11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4"/>
      <c r="V485" s="164"/>
    </row>
    <row r="486" ht="12.75" customHeight="1">
      <c r="A486" s="162"/>
      <c r="B486" s="162"/>
      <c r="C486" s="162"/>
      <c r="D486" s="1"/>
      <c r="E486" s="162"/>
      <c r="F486" s="11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4"/>
      <c r="V486" s="164"/>
    </row>
    <row r="487" ht="12.75" customHeight="1">
      <c r="A487" s="162"/>
      <c r="B487" s="162"/>
      <c r="C487" s="162"/>
      <c r="D487" s="1"/>
      <c r="E487" s="162"/>
      <c r="F487" s="11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4"/>
      <c r="V487" s="164"/>
    </row>
    <row r="488" ht="12.75" customHeight="1">
      <c r="A488" s="162"/>
      <c r="B488" s="162"/>
      <c r="C488" s="162"/>
      <c r="D488" s="1"/>
      <c r="E488" s="162"/>
      <c r="F488" s="11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4"/>
      <c r="V488" s="164"/>
    </row>
    <row r="489" ht="12.75" customHeight="1">
      <c r="A489" s="162"/>
      <c r="B489" s="162"/>
      <c r="C489" s="162"/>
      <c r="D489" s="1"/>
      <c r="E489" s="162"/>
      <c r="F489" s="11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4"/>
      <c r="V489" s="164"/>
    </row>
    <row r="490" ht="12.75" customHeight="1">
      <c r="A490" s="162"/>
      <c r="B490" s="162"/>
      <c r="C490" s="162"/>
      <c r="D490" s="1"/>
      <c r="E490" s="162"/>
      <c r="F490" s="11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4"/>
      <c r="V490" s="164"/>
    </row>
    <row r="491" ht="12.75" customHeight="1">
      <c r="A491" s="162"/>
      <c r="B491" s="162"/>
      <c r="C491" s="162"/>
      <c r="D491" s="1"/>
      <c r="E491" s="162"/>
      <c r="F491" s="11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4"/>
      <c r="V491" s="164"/>
    </row>
    <row r="492" ht="12.75" customHeight="1">
      <c r="A492" s="162"/>
      <c r="B492" s="162"/>
      <c r="C492" s="162"/>
      <c r="D492" s="1"/>
      <c r="E492" s="162"/>
      <c r="F492" s="11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4"/>
      <c r="V492" s="164"/>
    </row>
    <row r="493" ht="12.75" customHeight="1">
      <c r="A493" s="162"/>
      <c r="B493" s="162"/>
      <c r="C493" s="162"/>
      <c r="D493" s="1"/>
      <c r="E493" s="162"/>
      <c r="F493" s="11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4"/>
      <c r="V493" s="164"/>
    </row>
    <row r="494" ht="12.75" customHeight="1">
      <c r="A494" s="162"/>
      <c r="B494" s="162"/>
      <c r="C494" s="162"/>
      <c r="D494" s="1"/>
      <c r="E494" s="162"/>
      <c r="F494" s="11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4"/>
      <c r="V494" s="164"/>
    </row>
    <row r="495" ht="12.75" customHeight="1">
      <c r="A495" s="162"/>
      <c r="B495" s="162"/>
      <c r="C495" s="162"/>
      <c r="D495" s="1"/>
      <c r="E495" s="162"/>
      <c r="F495" s="11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4"/>
      <c r="V495" s="164"/>
    </row>
    <row r="496" ht="12.75" customHeight="1">
      <c r="A496" s="162"/>
      <c r="B496" s="162"/>
      <c r="C496" s="162"/>
      <c r="D496" s="1"/>
      <c r="E496" s="162"/>
      <c r="F496" s="11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4"/>
      <c r="V496" s="164"/>
    </row>
    <row r="497" ht="12.75" customHeight="1">
      <c r="A497" s="162"/>
      <c r="B497" s="162"/>
      <c r="C497" s="162"/>
      <c r="D497" s="1"/>
      <c r="E497" s="162"/>
      <c r="F497" s="11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4"/>
      <c r="V497" s="164"/>
    </row>
    <row r="498" ht="12.75" customHeight="1">
      <c r="A498" s="162"/>
      <c r="B498" s="162"/>
      <c r="C498" s="162"/>
      <c r="D498" s="1"/>
      <c r="E498" s="162"/>
      <c r="F498" s="11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4"/>
      <c r="V498" s="164"/>
    </row>
    <row r="499" ht="12.75" customHeight="1">
      <c r="A499" s="162"/>
      <c r="B499" s="162"/>
      <c r="C499" s="162"/>
      <c r="D499" s="1"/>
      <c r="E499" s="162"/>
      <c r="F499" s="11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4"/>
      <c r="V499" s="164"/>
    </row>
    <row r="500" ht="12.75" customHeight="1">
      <c r="A500" s="162"/>
      <c r="B500" s="162"/>
      <c r="C500" s="162"/>
      <c r="D500" s="1"/>
      <c r="E500" s="162"/>
      <c r="F500" s="11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4"/>
      <c r="V500" s="164"/>
    </row>
    <row r="501" ht="12.75" customHeight="1">
      <c r="A501" s="162"/>
      <c r="B501" s="162"/>
      <c r="C501" s="162"/>
      <c r="D501" s="1"/>
      <c r="E501" s="162"/>
      <c r="F501" s="11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4"/>
      <c r="V501" s="164"/>
    </row>
    <row r="502" ht="12.75" customHeight="1">
      <c r="A502" s="162"/>
      <c r="B502" s="162"/>
      <c r="C502" s="162"/>
      <c r="D502" s="1"/>
      <c r="E502" s="162"/>
      <c r="F502" s="11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4"/>
      <c r="V502" s="164"/>
    </row>
    <row r="503" ht="12.75" customHeight="1">
      <c r="A503" s="162"/>
      <c r="B503" s="162"/>
      <c r="C503" s="162"/>
      <c r="D503" s="1"/>
      <c r="E503" s="162"/>
      <c r="F503" s="11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4"/>
      <c r="V503" s="164"/>
    </row>
    <row r="504" ht="12.75" customHeight="1">
      <c r="A504" s="162"/>
      <c r="B504" s="162"/>
      <c r="C504" s="162"/>
      <c r="D504" s="1"/>
      <c r="E504" s="162"/>
      <c r="F504" s="11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4"/>
      <c r="V504" s="164"/>
    </row>
    <row r="505" ht="12.75" customHeight="1">
      <c r="A505" s="162"/>
      <c r="B505" s="162"/>
      <c r="C505" s="162"/>
      <c r="D505" s="1"/>
      <c r="E505" s="162"/>
      <c r="F505" s="11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4"/>
      <c r="V505" s="164"/>
    </row>
    <row r="506" ht="12.75" customHeight="1">
      <c r="A506" s="162"/>
      <c r="B506" s="162"/>
      <c r="C506" s="162"/>
      <c r="D506" s="1"/>
      <c r="E506" s="162"/>
      <c r="F506" s="11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4"/>
      <c r="V506" s="164"/>
    </row>
    <row r="507" ht="12.75" customHeight="1">
      <c r="A507" s="162"/>
      <c r="B507" s="162"/>
      <c r="C507" s="162"/>
      <c r="D507" s="1"/>
      <c r="E507" s="162"/>
      <c r="F507" s="11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4"/>
      <c r="V507" s="164"/>
    </row>
    <row r="508" ht="12.75" customHeight="1">
      <c r="A508" s="162"/>
      <c r="B508" s="162"/>
      <c r="C508" s="162"/>
      <c r="D508" s="1"/>
      <c r="E508" s="162"/>
      <c r="F508" s="11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4"/>
      <c r="V508" s="164"/>
    </row>
    <row r="509" ht="12.75" customHeight="1">
      <c r="A509" s="162"/>
      <c r="B509" s="162"/>
      <c r="C509" s="162"/>
      <c r="D509" s="1"/>
      <c r="E509" s="162"/>
      <c r="F509" s="11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4"/>
      <c r="V509" s="164"/>
    </row>
    <row r="510" ht="12.75" customHeight="1">
      <c r="A510" s="162"/>
      <c r="B510" s="162"/>
      <c r="C510" s="162"/>
      <c r="D510" s="1"/>
      <c r="E510" s="162"/>
      <c r="F510" s="11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4"/>
      <c r="V510" s="164"/>
    </row>
    <row r="511" ht="12.75" customHeight="1">
      <c r="A511" s="162"/>
      <c r="B511" s="162"/>
      <c r="C511" s="162"/>
      <c r="D511" s="1"/>
      <c r="E511" s="162"/>
      <c r="F511" s="11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4"/>
      <c r="V511" s="164"/>
    </row>
    <row r="512" ht="12.75" customHeight="1">
      <c r="A512" s="162"/>
      <c r="B512" s="162"/>
      <c r="C512" s="162"/>
      <c r="D512" s="1"/>
      <c r="E512" s="162"/>
      <c r="F512" s="11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4"/>
      <c r="V512" s="164"/>
    </row>
    <row r="513" ht="12.75" customHeight="1">
      <c r="A513" s="162"/>
      <c r="B513" s="162"/>
      <c r="C513" s="162"/>
      <c r="D513" s="1"/>
      <c r="E513" s="162"/>
      <c r="F513" s="11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4"/>
      <c r="V513" s="164"/>
    </row>
    <row r="514" ht="12.75" customHeight="1">
      <c r="A514" s="162"/>
      <c r="B514" s="162"/>
      <c r="C514" s="162"/>
      <c r="D514" s="1"/>
      <c r="E514" s="162"/>
      <c r="F514" s="11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4"/>
      <c r="V514" s="164"/>
    </row>
    <row r="515" ht="12.75" customHeight="1">
      <c r="A515" s="162"/>
      <c r="B515" s="162"/>
      <c r="C515" s="162"/>
      <c r="D515" s="1"/>
      <c r="E515" s="162"/>
      <c r="F515" s="11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4"/>
      <c r="V515" s="164"/>
    </row>
    <row r="516" ht="12.75" customHeight="1">
      <c r="A516" s="162"/>
      <c r="B516" s="162"/>
      <c r="C516" s="162"/>
      <c r="D516" s="1"/>
      <c r="E516" s="162"/>
      <c r="F516" s="11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4"/>
      <c r="V516" s="164"/>
    </row>
    <row r="517" ht="12.75" customHeight="1">
      <c r="A517" s="162"/>
      <c r="B517" s="162"/>
      <c r="C517" s="162"/>
      <c r="D517" s="1"/>
      <c r="E517" s="162"/>
      <c r="F517" s="11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4"/>
      <c r="V517" s="164"/>
    </row>
    <row r="518" ht="12.75" customHeight="1">
      <c r="A518" s="162"/>
      <c r="B518" s="162"/>
      <c r="C518" s="162"/>
      <c r="D518" s="1"/>
      <c r="E518" s="162"/>
      <c r="F518" s="11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4"/>
      <c r="V518" s="164"/>
    </row>
    <row r="519" ht="12.75" customHeight="1">
      <c r="A519" s="162"/>
      <c r="B519" s="162"/>
      <c r="C519" s="162"/>
      <c r="D519" s="1"/>
      <c r="E519" s="162"/>
      <c r="F519" s="11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4"/>
      <c r="V519" s="164"/>
    </row>
    <row r="520" ht="12.75" customHeight="1">
      <c r="A520" s="162"/>
      <c r="B520" s="162"/>
      <c r="C520" s="162"/>
      <c r="D520" s="1"/>
      <c r="E520" s="162"/>
      <c r="F520" s="11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4"/>
      <c r="V520" s="164"/>
    </row>
    <row r="521" ht="12.75" customHeight="1">
      <c r="A521" s="162"/>
      <c r="B521" s="162"/>
      <c r="C521" s="162"/>
      <c r="D521" s="1"/>
      <c r="E521" s="162"/>
      <c r="F521" s="11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4"/>
      <c r="V521" s="164"/>
    </row>
    <row r="522" ht="12.75" customHeight="1">
      <c r="A522" s="162"/>
      <c r="B522" s="162"/>
      <c r="C522" s="162"/>
      <c r="D522" s="1"/>
      <c r="E522" s="162"/>
      <c r="F522" s="11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4"/>
      <c r="V522" s="164"/>
    </row>
    <row r="523" ht="12.75" customHeight="1">
      <c r="A523" s="162"/>
      <c r="B523" s="162"/>
      <c r="C523" s="162"/>
      <c r="D523" s="1"/>
      <c r="E523" s="162"/>
      <c r="F523" s="11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4"/>
      <c r="V523" s="164"/>
    </row>
    <row r="524" ht="12.75" customHeight="1">
      <c r="A524" s="162"/>
      <c r="B524" s="162"/>
      <c r="C524" s="162"/>
      <c r="D524" s="1"/>
      <c r="E524" s="162"/>
      <c r="F524" s="11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4"/>
      <c r="V524" s="164"/>
    </row>
    <row r="525" ht="12.75" customHeight="1">
      <c r="A525" s="162"/>
      <c r="B525" s="162"/>
      <c r="C525" s="162"/>
      <c r="D525" s="1"/>
      <c r="E525" s="162"/>
      <c r="F525" s="11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4"/>
      <c r="V525" s="164"/>
    </row>
    <row r="526" ht="12.75" customHeight="1">
      <c r="A526" s="162"/>
      <c r="B526" s="162"/>
      <c r="C526" s="162"/>
      <c r="D526" s="1"/>
      <c r="E526" s="162"/>
      <c r="F526" s="11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4"/>
      <c r="V526" s="164"/>
    </row>
    <row r="527" ht="12.75" customHeight="1">
      <c r="A527" s="162"/>
      <c r="B527" s="162"/>
      <c r="C527" s="162"/>
      <c r="D527" s="1"/>
      <c r="E527" s="162"/>
      <c r="F527" s="11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4"/>
      <c r="V527" s="164"/>
    </row>
    <row r="528" ht="12.75" customHeight="1">
      <c r="A528" s="162"/>
      <c r="B528" s="162"/>
      <c r="C528" s="162"/>
      <c r="D528" s="1"/>
      <c r="E528" s="162"/>
      <c r="F528" s="11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4"/>
      <c r="V528" s="164"/>
    </row>
    <row r="529" ht="12.75" customHeight="1">
      <c r="A529" s="162"/>
      <c r="B529" s="162"/>
      <c r="C529" s="162"/>
      <c r="D529" s="1"/>
      <c r="E529" s="162"/>
      <c r="F529" s="11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4"/>
      <c r="V529" s="164"/>
    </row>
    <row r="530" ht="12.75" customHeight="1">
      <c r="A530" s="162"/>
      <c r="B530" s="162"/>
      <c r="C530" s="162"/>
      <c r="D530" s="1"/>
      <c r="E530" s="162"/>
      <c r="F530" s="11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4"/>
      <c r="V530" s="164"/>
    </row>
    <row r="531" ht="12.75" customHeight="1">
      <c r="A531" s="162"/>
      <c r="B531" s="162"/>
      <c r="C531" s="162"/>
      <c r="D531" s="1"/>
      <c r="E531" s="162"/>
      <c r="F531" s="11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4"/>
      <c r="V531" s="164"/>
    </row>
    <row r="532" ht="12.75" customHeight="1">
      <c r="A532" s="162"/>
      <c r="B532" s="162"/>
      <c r="C532" s="162"/>
      <c r="D532" s="1"/>
      <c r="E532" s="162"/>
      <c r="F532" s="11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4"/>
      <c r="V532" s="164"/>
    </row>
    <row r="533" ht="12.75" customHeight="1">
      <c r="A533" s="162"/>
      <c r="B533" s="162"/>
      <c r="C533" s="162"/>
      <c r="D533" s="1"/>
      <c r="E533" s="162"/>
      <c r="F533" s="11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4"/>
      <c r="V533" s="164"/>
    </row>
    <row r="534" ht="12.75" customHeight="1">
      <c r="A534" s="162"/>
      <c r="B534" s="162"/>
      <c r="C534" s="162"/>
      <c r="D534" s="1"/>
      <c r="E534" s="162"/>
      <c r="F534" s="11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4"/>
      <c r="V534" s="164"/>
    </row>
    <row r="535" ht="12.75" customHeight="1">
      <c r="A535" s="162"/>
      <c r="B535" s="162"/>
      <c r="C535" s="162"/>
      <c r="D535" s="1"/>
      <c r="E535" s="162"/>
      <c r="F535" s="11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4"/>
      <c r="V535" s="164"/>
    </row>
    <row r="536" ht="12.75" customHeight="1">
      <c r="A536" s="162"/>
      <c r="B536" s="162"/>
      <c r="C536" s="162"/>
      <c r="D536" s="1"/>
      <c r="E536" s="162"/>
      <c r="F536" s="11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4"/>
      <c r="V536" s="164"/>
    </row>
    <row r="537" ht="12.75" customHeight="1">
      <c r="A537" s="162"/>
      <c r="B537" s="162"/>
      <c r="C537" s="162"/>
      <c r="D537" s="1"/>
      <c r="E537" s="162"/>
      <c r="F537" s="11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4"/>
      <c r="V537" s="164"/>
    </row>
    <row r="538" ht="12.75" customHeight="1">
      <c r="A538" s="162"/>
      <c r="B538" s="162"/>
      <c r="C538" s="162"/>
      <c r="D538" s="1"/>
      <c r="E538" s="162"/>
      <c r="F538" s="11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4"/>
      <c r="V538" s="164"/>
    </row>
    <row r="539" ht="12.75" customHeight="1">
      <c r="A539" s="162"/>
      <c r="B539" s="162"/>
      <c r="C539" s="162"/>
      <c r="D539" s="1"/>
      <c r="E539" s="162"/>
      <c r="F539" s="11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4"/>
      <c r="V539" s="164"/>
    </row>
    <row r="540" ht="12.75" customHeight="1">
      <c r="A540" s="162"/>
      <c r="B540" s="162"/>
      <c r="C540" s="162"/>
      <c r="D540" s="1"/>
      <c r="E540" s="162"/>
      <c r="F540" s="11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4"/>
      <c r="V540" s="164"/>
    </row>
    <row r="541" ht="12.75" customHeight="1">
      <c r="A541" s="162"/>
      <c r="B541" s="162"/>
      <c r="C541" s="162"/>
      <c r="D541" s="1"/>
      <c r="E541" s="162"/>
      <c r="F541" s="11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4"/>
      <c r="V541" s="164"/>
    </row>
    <row r="542" ht="12.75" customHeight="1">
      <c r="A542" s="162"/>
      <c r="B542" s="162"/>
      <c r="C542" s="162"/>
      <c r="D542" s="1"/>
      <c r="E542" s="162"/>
      <c r="F542" s="11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4"/>
      <c r="V542" s="164"/>
    </row>
    <row r="543" ht="12.75" customHeight="1">
      <c r="A543" s="162"/>
      <c r="B543" s="162"/>
      <c r="C543" s="162"/>
      <c r="D543" s="1"/>
      <c r="E543" s="162"/>
      <c r="F543" s="11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4"/>
      <c r="V543" s="164"/>
    </row>
    <row r="544" ht="12.75" customHeight="1">
      <c r="A544" s="162"/>
      <c r="B544" s="162"/>
      <c r="C544" s="162"/>
      <c r="D544" s="1"/>
      <c r="E544" s="162"/>
      <c r="F544" s="11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4"/>
      <c r="V544" s="164"/>
    </row>
    <row r="545" ht="12.75" customHeight="1">
      <c r="A545" s="162"/>
      <c r="B545" s="162"/>
      <c r="C545" s="162"/>
      <c r="D545" s="1"/>
      <c r="E545" s="162"/>
      <c r="F545" s="11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4"/>
      <c r="V545" s="164"/>
    </row>
    <row r="546" ht="12.75" customHeight="1">
      <c r="A546" s="162"/>
      <c r="B546" s="162"/>
      <c r="C546" s="162"/>
      <c r="D546" s="1"/>
      <c r="E546" s="162"/>
      <c r="F546" s="11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4"/>
      <c r="V546" s="164"/>
    </row>
    <row r="547" ht="12.75" customHeight="1">
      <c r="A547" s="162"/>
      <c r="B547" s="162"/>
      <c r="C547" s="162"/>
      <c r="D547" s="1"/>
      <c r="E547" s="162"/>
      <c r="F547" s="11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4"/>
      <c r="V547" s="164"/>
    </row>
    <row r="548" ht="12.75" customHeight="1">
      <c r="A548" s="162"/>
      <c r="B548" s="162"/>
      <c r="C548" s="162"/>
      <c r="D548" s="1"/>
      <c r="E548" s="162"/>
      <c r="F548" s="11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4"/>
      <c r="V548" s="164"/>
    </row>
    <row r="549" ht="12.75" customHeight="1">
      <c r="A549" s="162"/>
      <c r="B549" s="162"/>
      <c r="C549" s="162"/>
      <c r="D549" s="1"/>
      <c r="E549" s="162"/>
      <c r="F549" s="11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4"/>
      <c r="V549" s="164"/>
    </row>
    <row r="550" ht="12.75" customHeight="1">
      <c r="A550" s="162"/>
      <c r="B550" s="162"/>
      <c r="C550" s="162"/>
      <c r="D550" s="1"/>
      <c r="E550" s="162"/>
      <c r="F550" s="11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4"/>
      <c r="V550" s="164"/>
    </row>
    <row r="551" ht="12.75" customHeight="1">
      <c r="A551" s="162"/>
      <c r="B551" s="162"/>
      <c r="C551" s="162"/>
      <c r="D551" s="1"/>
      <c r="E551" s="162"/>
      <c r="F551" s="11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4"/>
      <c r="V551" s="164"/>
    </row>
    <row r="552" ht="12.75" customHeight="1">
      <c r="A552" s="162"/>
      <c r="B552" s="162"/>
      <c r="C552" s="162"/>
      <c r="D552" s="1"/>
      <c r="E552" s="162"/>
      <c r="F552" s="11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4"/>
      <c r="V552" s="164"/>
    </row>
    <row r="553" ht="12.75" customHeight="1">
      <c r="A553" s="162"/>
      <c r="B553" s="162"/>
      <c r="C553" s="162"/>
      <c r="D553" s="1"/>
      <c r="E553" s="162"/>
      <c r="F553" s="11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4"/>
      <c r="V553" s="164"/>
    </row>
    <row r="554" ht="12.75" customHeight="1">
      <c r="A554" s="162"/>
      <c r="B554" s="162"/>
      <c r="C554" s="162"/>
      <c r="D554" s="1"/>
      <c r="E554" s="162"/>
      <c r="F554" s="11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4"/>
      <c r="V554" s="164"/>
    </row>
    <row r="555" ht="12.75" customHeight="1">
      <c r="A555" s="162"/>
      <c r="B555" s="162"/>
      <c r="C555" s="162"/>
      <c r="D555" s="1"/>
      <c r="E555" s="162"/>
      <c r="F555" s="11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4"/>
      <c r="V555" s="164"/>
    </row>
    <row r="556" ht="12.75" customHeight="1">
      <c r="A556" s="162"/>
      <c r="B556" s="162"/>
      <c r="C556" s="162"/>
      <c r="D556" s="1"/>
      <c r="E556" s="162"/>
      <c r="F556" s="11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4"/>
      <c r="V556" s="164"/>
    </row>
    <row r="557" ht="12.75" customHeight="1">
      <c r="A557" s="162"/>
      <c r="B557" s="162"/>
      <c r="C557" s="162"/>
      <c r="D557" s="1"/>
      <c r="E557" s="162"/>
      <c r="F557" s="11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4"/>
      <c r="V557" s="164"/>
    </row>
    <row r="558" ht="12.75" customHeight="1">
      <c r="A558" s="162"/>
      <c r="B558" s="162"/>
      <c r="C558" s="162"/>
      <c r="D558" s="1"/>
      <c r="E558" s="162"/>
      <c r="F558" s="11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2"/>
      <c r="B559" s="162"/>
      <c r="C559" s="162"/>
      <c r="D559" s="1"/>
      <c r="E559" s="162"/>
      <c r="F559" s="11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2"/>
      <c r="B560" s="162"/>
      <c r="C560" s="162"/>
      <c r="D560" s="1"/>
      <c r="E560" s="162"/>
      <c r="F560" s="11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2"/>
      <c r="B561" s="162"/>
      <c r="C561" s="162"/>
      <c r="D561" s="1"/>
      <c r="E561" s="162"/>
      <c r="F561" s="11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2"/>
      <c r="B562" s="162"/>
      <c r="C562" s="162"/>
      <c r="D562" s="1"/>
      <c r="E562" s="162"/>
      <c r="F562" s="11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06"/>
      <c r="B563" s="106"/>
      <c r="C563" s="106"/>
      <c r="D563" s="101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9"/>
      <c r="V563" s="109"/>
    </row>
    <row r="564" ht="12.75" customHeight="1">
      <c r="A564" s="106"/>
      <c r="B564" s="106"/>
      <c r="C564" s="106"/>
      <c r="D564" s="101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9"/>
      <c r="V564" s="109"/>
    </row>
    <row r="565" ht="12.75" customHeight="1">
      <c r="A565" s="106"/>
      <c r="B565" s="106"/>
      <c r="C565" s="106"/>
      <c r="D565" s="101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9"/>
      <c r="V565" s="109"/>
    </row>
    <row r="566" ht="12.75" customHeight="1">
      <c r="A566" s="106"/>
      <c r="B566" s="106"/>
      <c r="C566" s="106"/>
      <c r="D566" s="101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9"/>
      <c r="V566" s="109"/>
    </row>
    <row r="567" ht="12.75" customHeight="1">
      <c r="A567" s="106"/>
      <c r="B567" s="106"/>
      <c r="C567" s="106"/>
      <c r="D567" s="101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9"/>
      <c r="V567" s="109"/>
    </row>
    <row r="568" ht="12.75" customHeight="1">
      <c r="A568" s="106"/>
      <c r="B568" s="106"/>
      <c r="C568" s="106"/>
      <c r="D568" s="101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9"/>
      <c r="V568" s="109"/>
    </row>
    <row r="569" ht="12.75" customHeight="1">
      <c r="A569" s="106"/>
      <c r="B569" s="106"/>
      <c r="C569" s="106"/>
      <c r="D569" s="101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9"/>
      <c r="V569" s="109"/>
    </row>
    <row r="570" ht="12.75" customHeight="1">
      <c r="A570" s="106"/>
      <c r="B570" s="106"/>
      <c r="C570" s="106"/>
      <c r="D570" s="101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9"/>
      <c r="V570" s="109"/>
    </row>
    <row r="571" ht="12.75" customHeight="1">
      <c r="A571" s="106"/>
      <c r="B571" s="106"/>
      <c r="C571" s="106"/>
      <c r="D571" s="101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9"/>
      <c r="V571" s="109"/>
    </row>
    <row r="572" ht="12.75" customHeight="1">
      <c r="A572" s="106"/>
      <c r="B572" s="106"/>
      <c r="C572" s="106"/>
      <c r="D572" s="101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9"/>
      <c r="V572" s="109"/>
    </row>
    <row r="573" ht="12.75" customHeight="1">
      <c r="A573" s="106"/>
      <c r="B573" s="106"/>
      <c r="C573" s="106"/>
      <c r="D573" s="101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9"/>
      <c r="V573" s="109"/>
    </row>
    <row r="574" ht="12.75" customHeight="1">
      <c r="A574" s="106"/>
      <c r="B574" s="106"/>
      <c r="C574" s="106"/>
      <c r="D574" s="101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9"/>
      <c r="V574" s="109"/>
    </row>
    <row r="575" ht="12.75" customHeight="1">
      <c r="A575" s="106"/>
      <c r="B575" s="106"/>
      <c r="C575" s="106"/>
      <c r="D575" s="101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9"/>
      <c r="V575" s="109"/>
    </row>
    <row r="576" ht="12.75" customHeight="1">
      <c r="A576" s="106"/>
      <c r="B576" s="106"/>
      <c r="C576" s="106"/>
      <c r="D576" s="101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9"/>
      <c r="V576" s="109"/>
    </row>
    <row r="577" ht="12.75" customHeight="1">
      <c r="A577" s="106"/>
      <c r="B577" s="106"/>
      <c r="C577" s="106"/>
      <c r="D577" s="101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9"/>
      <c r="V577" s="109"/>
    </row>
    <row r="578" ht="12.75" customHeight="1">
      <c r="A578" s="106"/>
      <c r="B578" s="106"/>
      <c r="C578" s="106"/>
      <c r="D578" s="101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9"/>
      <c r="V578" s="109"/>
    </row>
    <row r="579" ht="12.75" customHeight="1">
      <c r="A579" s="106"/>
      <c r="B579" s="106"/>
      <c r="C579" s="106"/>
      <c r="D579" s="101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9"/>
      <c r="V579" s="109"/>
    </row>
    <row r="580" ht="12.75" customHeight="1">
      <c r="A580" s="106"/>
      <c r="B580" s="106"/>
      <c r="C580" s="106"/>
      <c r="D580" s="101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9"/>
      <c r="V580" s="109"/>
    </row>
    <row r="581" ht="12.75" customHeight="1">
      <c r="A581" s="106"/>
      <c r="B581" s="106"/>
      <c r="C581" s="106"/>
      <c r="D581" s="101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9"/>
      <c r="V581" s="109"/>
    </row>
    <row r="582" ht="12.75" customHeight="1">
      <c r="A582" s="106"/>
      <c r="B582" s="106"/>
      <c r="C582" s="106"/>
      <c r="D582" s="101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9"/>
      <c r="V582" s="109"/>
    </row>
    <row r="583" ht="12.75" customHeight="1">
      <c r="A583" s="106"/>
      <c r="B583" s="106"/>
      <c r="C583" s="106"/>
      <c r="D583" s="101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9"/>
      <c r="V583" s="109"/>
    </row>
    <row r="584" ht="12.75" customHeight="1">
      <c r="A584" s="106"/>
      <c r="B584" s="106"/>
      <c r="C584" s="106"/>
      <c r="D584" s="101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9"/>
      <c r="V584" s="109"/>
    </row>
    <row r="585" ht="12.75" customHeight="1">
      <c r="A585" s="106"/>
      <c r="B585" s="106"/>
      <c r="C585" s="106"/>
      <c r="D585" s="101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9"/>
      <c r="V585" s="109"/>
    </row>
    <row r="586" ht="12.75" customHeight="1">
      <c r="A586" s="106"/>
      <c r="B586" s="106"/>
      <c r="C586" s="106"/>
      <c r="D586" s="101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9"/>
      <c r="V586" s="109"/>
    </row>
    <row r="587" ht="12.75" customHeight="1">
      <c r="A587" s="106"/>
      <c r="B587" s="106"/>
      <c r="C587" s="106"/>
      <c r="D587" s="101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9"/>
      <c r="V587" s="109"/>
    </row>
    <row r="588" ht="12.75" customHeight="1">
      <c r="A588" s="106"/>
      <c r="B588" s="106"/>
      <c r="C588" s="106"/>
      <c r="D588" s="101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9"/>
      <c r="V588" s="109"/>
    </row>
    <row r="589" ht="12.75" customHeight="1">
      <c r="A589" s="106"/>
      <c r="B589" s="106"/>
      <c r="C589" s="106"/>
      <c r="D589" s="101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9"/>
      <c r="V589" s="109"/>
    </row>
    <row r="590" ht="12.75" customHeight="1">
      <c r="A590" s="106"/>
      <c r="B590" s="106"/>
      <c r="C590" s="106"/>
      <c r="D590" s="101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9"/>
      <c r="V590" s="109"/>
    </row>
    <row r="591" ht="12.75" customHeight="1">
      <c r="A591" s="106"/>
      <c r="B591" s="106"/>
      <c r="C591" s="106"/>
      <c r="D591" s="101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9"/>
      <c r="V591" s="109"/>
    </row>
    <row r="592" ht="12.75" customHeight="1">
      <c r="A592" s="106"/>
      <c r="B592" s="106"/>
      <c r="C592" s="106"/>
      <c r="D592" s="101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9"/>
      <c r="V592" s="109"/>
    </row>
    <row r="593" ht="12.75" customHeight="1">
      <c r="A593" s="106"/>
      <c r="B593" s="106"/>
      <c r="C593" s="106"/>
      <c r="D593" s="101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9"/>
      <c r="V593" s="109"/>
    </row>
    <row r="594" ht="12.75" customHeight="1">
      <c r="A594" s="106"/>
      <c r="B594" s="106"/>
      <c r="C594" s="106"/>
      <c r="D594" s="101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9"/>
      <c r="V594" s="109"/>
    </row>
    <row r="595" ht="12.75" customHeight="1">
      <c r="A595" s="106"/>
      <c r="B595" s="106"/>
      <c r="C595" s="106"/>
      <c r="D595" s="101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9"/>
      <c r="V595" s="109"/>
    </row>
    <row r="596" ht="12.75" customHeight="1">
      <c r="A596" s="106"/>
      <c r="B596" s="106"/>
      <c r="C596" s="106"/>
      <c r="D596" s="101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9"/>
      <c r="V596" s="109"/>
    </row>
    <row r="597" ht="12.75" customHeight="1">
      <c r="A597" s="106"/>
      <c r="B597" s="106"/>
      <c r="C597" s="106"/>
      <c r="D597" s="101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9"/>
      <c r="V597" s="109"/>
    </row>
    <row r="598" ht="12.75" customHeight="1">
      <c r="A598" s="106"/>
      <c r="B598" s="106"/>
      <c r="C598" s="106"/>
      <c r="D598" s="101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9"/>
      <c r="V598" s="109"/>
    </row>
    <row r="599" ht="12.75" customHeight="1">
      <c r="A599" s="106"/>
      <c r="B599" s="106"/>
      <c r="C599" s="106"/>
      <c r="D599" s="101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9"/>
      <c r="V599" s="109"/>
    </row>
    <row r="600" ht="12.75" customHeight="1">
      <c r="A600" s="106"/>
      <c r="B600" s="106"/>
      <c r="C600" s="106"/>
      <c r="D600" s="101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9"/>
      <c r="V600" s="109"/>
    </row>
    <row r="601" ht="12.75" customHeight="1">
      <c r="A601" s="106"/>
      <c r="B601" s="106"/>
      <c r="C601" s="106"/>
      <c r="D601" s="101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9"/>
      <c r="V601" s="109"/>
    </row>
    <row r="602" ht="12.75" customHeight="1">
      <c r="A602" s="106"/>
      <c r="B602" s="106"/>
      <c r="C602" s="106"/>
      <c r="D602" s="101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9"/>
      <c r="V602" s="109"/>
    </row>
    <row r="603" ht="12.75" customHeight="1">
      <c r="A603" s="106"/>
      <c r="B603" s="106"/>
      <c r="C603" s="106"/>
      <c r="D603" s="101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9"/>
      <c r="V603" s="109"/>
    </row>
    <row r="604" ht="12.75" customHeight="1">
      <c r="A604" s="106"/>
      <c r="B604" s="106"/>
      <c r="C604" s="106"/>
      <c r="D604" s="101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9"/>
      <c r="V604" s="109"/>
    </row>
    <row r="605" ht="12.75" customHeight="1">
      <c r="A605" s="106"/>
      <c r="B605" s="106"/>
      <c r="C605" s="106"/>
      <c r="D605" s="101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9"/>
      <c r="V605" s="109"/>
    </row>
    <row r="606" ht="12.75" customHeight="1">
      <c r="A606" s="106"/>
      <c r="B606" s="106"/>
      <c r="C606" s="106"/>
      <c r="D606" s="101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9"/>
      <c r="V606" s="109"/>
    </row>
    <row r="607" ht="12.75" customHeight="1">
      <c r="A607" s="106"/>
      <c r="B607" s="106"/>
      <c r="C607" s="106"/>
      <c r="D607" s="101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9"/>
      <c r="V607" s="109"/>
    </row>
    <row r="608" ht="12.75" customHeight="1">
      <c r="A608" s="106"/>
      <c r="B608" s="106"/>
      <c r="C608" s="106"/>
      <c r="D608" s="101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9"/>
      <c r="V608" s="109"/>
    </row>
    <row r="609" ht="12.75" customHeight="1">
      <c r="A609" s="106"/>
      <c r="B609" s="106"/>
      <c r="C609" s="106"/>
      <c r="D609" s="101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9"/>
      <c r="V609" s="109"/>
    </row>
    <row r="610" ht="12.75" customHeight="1">
      <c r="A610" s="106"/>
      <c r="B610" s="106"/>
      <c r="C610" s="106"/>
      <c r="D610" s="101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9"/>
      <c r="V610" s="109"/>
    </row>
    <row r="611" ht="12.75" customHeight="1">
      <c r="A611" s="106"/>
      <c r="B611" s="106"/>
      <c r="C611" s="106"/>
      <c r="D611" s="101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9"/>
      <c r="V611" s="109"/>
    </row>
    <row r="612" ht="12.75" customHeight="1">
      <c r="A612" s="106"/>
      <c r="B612" s="106"/>
      <c r="C612" s="106"/>
      <c r="D612" s="101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9"/>
      <c r="V612" s="109"/>
    </row>
    <row r="613" ht="12.75" customHeight="1">
      <c r="A613" s="106"/>
      <c r="B613" s="106"/>
      <c r="C613" s="106"/>
      <c r="D613" s="101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9"/>
      <c r="V613" s="109"/>
    </row>
    <row r="614" ht="12.75" customHeight="1">
      <c r="A614" s="106"/>
      <c r="B614" s="106"/>
      <c r="C614" s="106"/>
      <c r="D614" s="101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9"/>
      <c r="V614" s="109"/>
    </row>
    <row r="615" ht="12.75" customHeight="1">
      <c r="A615" s="106"/>
      <c r="B615" s="106"/>
      <c r="C615" s="106"/>
      <c r="D615" s="101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9"/>
      <c r="V615" s="109"/>
    </row>
    <row r="616" ht="12.75" customHeight="1">
      <c r="A616" s="106"/>
      <c r="B616" s="106"/>
      <c r="C616" s="106"/>
      <c r="D616" s="101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9"/>
      <c r="V616" s="109"/>
    </row>
    <row r="617" ht="12.75" customHeight="1">
      <c r="A617" s="106"/>
      <c r="B617" s="106"/>
      <c r="C617" s="106"/>
      <c r="D617" s="101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9"/>
      <c r="V617" s="109"/>
    </row>
    <row r="618" ht="12.75" customHeight="1">
      <c r="A618" s="106"/>
      <c r="B618" s="106"/>
      <c r="C618" s="106"/>
      <c r="D618" s="101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9"/>
      <c r="V618" s="109"/>
    </row>
    <row r="619" ht="12.75" customHeight="1">
      <c r="A619" s="106"/>
      <c r="B619" s="106"/>
      <c r="C619" s="106"/>
      <c r="D619" s="101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9"/>
      <c r="V619" s="109"/>
    </row>
    <row r="620" ht="12.75" customHeight="1">
      <c r="A620" s="106"/>
      <c r="B620" s="106"/>
      <c r="C620" s="106"/>
      <c r="D620" s="101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9"/>
      <c r="V620" s="109"/>
    </row>
    <row r="621" ht="12.75" customHeight="1">
      <c r="A621" s="106"/>
      <c r="B621" s="106"/>
      <c r="C621" s="106"/>
      <c r="D621" s="101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9"/>
      <c r="V621" s="109"/>
    </row>
    <row r="622" ht="12.75" customHeight="1">
      <c r="A622" s="106"/>
      <c r="B622" s="106"/>
      <c r="C622" s="106"/>
      <c r="D622" s="101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9"/>
      <c r="V622" s="109"/>
    </row>
    <row r="623" ht="12.75" customHeight="1">
      <c r="A623" s="106"/>
      <c r="B623" s="106"/>
      <c r="C623" s="106"/>
      <c r="D623" s="101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9"/>
      <c r="V623" s="109"/>
    </row>
    <row r="624" ht="12.75" customHeight="1">
      <c r="A624" s="106"/>
      <c r="B624" s="106"/>
      <c r="C624" s="106"/>
      <c r="D624" s="101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9"/>
      <c r="V624" s="109"/>
    </row>
    <row r="625" ht="12.75" customHeight="1">
      <c r="A625" s="106"/>
      <c r="B625" s="106"/>
      <c r="C625" s="106"/>
      <c r="D625" s="101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9"/>
      <c r="V625" s="109"/>
    </row>
    <row r="626" ht="12.75" customHeight="1">
      <c r="A626" s="106"/>
      <c r="B626" s="106"/>
      <c r="C626" s="106"/>
      <c r="D626" s="101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9"/>
      <c r="V626" s="109"/>
    </row>
    <row r="627" ht="12.75" customHeight="1">
      <c r="A627" s="106"/>
      <c r="B627" s="106"/>
      <c r="C627" s="106"/>
      <c r="D627" s="101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9"/>
      <c r="V627" s="109"/>
    </row>
    <row r="628" ht="12.75" customHeight="1">
      <c r="A628" s="106"/>
      <c r="B628" s="106"/>
      <c r="C628" s="106"/>
      <c r="D628" s="101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9"/>
      <c r="V628" s="109"/>
    </row>
    <row r="629" ht="12.75" customHeight="1">
      <c r="A629" s="106"/>
      <c r="B629" s="106"/>
      <c r="C629" s="106"/>
      <c r="D629" s="101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9"/>
      <c r="V629" s="109"/>
    </row>
    <row r="630" ht="12.75" customHeight="1">
      <c r="A630" s="106"/>
      <c r="B630" s="106"/>
      <c r="C630" s="106"/>
      <c r="D630" s="101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9"/>
      <c r="V630" s="109"/>
    </row>
    <row r="631" ht="12.75" customHeight="1">
      <c r="A631" s="106"/>
      <c r="B631" s="106"/>
      <c r="C631" s="106"/>
      <c r="D631" s="101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9"/>
      <c r="V631" s="109"/>
    </row>
    <row r="632" ht="12.75" customHeight="1">
      <c r="A632" s="106"/>
      <c r="B632" s="106"/>
      <c r="C632" s="106"/>
      <c r="D632" s="101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9"/>
      <c r="V632" s="109"/>
    </row>
    <row r="633" ht="12.75" customHeight="1">
      <c r="A633" s="106"/>
      <c r="B633" s="106"/>
      <c r="C633" s="106"/>
      <c r="D633" s="101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9"/>
      <c r="V633" s="109"/>
    </row>
    <row r="634" ht="12.75" customHeight="1">
      <c r="A634" s="106"/>
      <c r="B634" s="106"/>
      <c r="C634" s="106"/>
      <c r="D634" s="101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9"/>
      <c r="V634" s="109"/>
    </row>
    <row r="635" ht="12.75" customHeight="1">
      <c r="A635" s="106"/>
      <c r="B635" s="106"/>
      <c r="C635" s="106"/>
      <c r="D635" s="101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9"/>
      <c r="V635" s="109"/>
    </row>
    <row r="636" ht="12.75" customHeight="1">
      <c r="A636" s="106"/>
      <c r="B636" s="106"/>
      <c r="C636" s="106"/>
      <c r="D636" s="101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9"/>
      <c r="V636" s="109"/>
    </row>
    <row r="637" ht="12.75" customHeight="1">
      <c r="A637" s="106"/>
      <c r="B637" s="106"/>
      <c r="C637" s="106"/>
      <c r="D637" s="101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9"/>
      <c r="V637" s="109"/>
    </row>
    <row r="638" ht="12.75" customHeight="1">
      <c r="A638" s="106"/>
      <c r="B638" s="106"/>
      <c r="C638" s="106"/>
      <c r="D638" s="101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9"/>
      <c r="V638" s="109"/>
    </row>
    <row r="639" ht="12.75" customHeight="1">
      <c r="A639" s="106"/>
      <c r="B639" s="106"/>
      <c r="C639" s="106"/>
      <c r="D639" s="101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9"/>
      <c r="V639" s="109"/>
    </row>
    <row r="640" ht="12.75" customHeight="1">
      <c r="A640" s="106"/>
      <c r="B640" s="106"/>
      <c r="C640" s="106"/>
      <c r="D640" s="101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9"/>
      <c r="V640" s="109"/>
    </row>
    <row r="641" ht="12.75" customHeight="1">
      <c r="A641" s="106"/>
      <c r="B641" s="106"/>
      <c r="C641" s="106"/>
      <c r="D641" s="101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9"/>
      <c r="V641" s="109"/>
    </row>
    <row r="642" ht="12.75" customHeight="1">
      <c r="A642" s="106"/>
      <c r="B642" s="106"/>
      <c r="C642" s="106"/>
      <c r="D642" s="101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9"/>
      <c r="V642" s="109"/>
    </row>
    <row r="643" ht="12.75" customHeight="1">
      <c r="A643" s="106"/>
      <c r="B643" s="106"/>
      <c r="C643" s="106"/>
      <c r="D643" s="101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9"/>
      <c r="V643" s="109"/>
    </row>
    <row r="644" ht="12.75" customHeight="1">
      <c r="A644" s="106"/>
      <c r="B644" s="106"/>
      <c r="C644" s="106"/>
      <c r="D644" s="101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9"/>
      <c r="V644" s="109"/>
    </row>
    <row r="645" ht="12.75" customHeight="1">
      <c r="A645" s="106"/>
      <c r="B645" s="106"/>
      <c r="C645" s="106"/>
      <c r="D645" s="101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9"/>
      <c r="V645" s="109"/>
    </row>
    <row r="646" ht="12.75" customHeight="1">
      <c r="A646" s="106"/>
      <c r="B646" s="106"/>
      <c r="C646" s="106"/>
      <c r="D646" s="101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9"/>
      <c r="V646" s="109"/>
    </row>
    <row r="647" ht="12.75" customHeight="1">
      <c r="A647" s="106"/>
      <c r="B647" s="106"/>
      <c r="C647" s="106"/>
      <c r="D647" s="101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9"/>
      <c r="V647" s="109"/>
    </row>
    <row r="648" ht="12.75" customHeight="1">
      <c r="A648" s="106"/>
      <c r="B648" s="106"/>
      <c r="C648" s="106"/>
      <c r="D648" s="101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9"/>
      <c r="V648" s="109"/>
    </row>
    <row r="649" ht="12.75" customHeight="1">
      <c r="A649" s="106"/>
      <c r="B649" s="106"/>
      <c r="C649" s="106"/>
      <c r="D649" s="101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9"/>
      <c r="V649" s="109"/>
    </row>
    <row r="650" ht="12.75" customHeight="1">
      <c r="A650" s="106"/>
      <c r="B650" s="106"/>
      <c r="C650" s="106"/>
      <c r="D650" s="101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9"/>
      <c r="V650" s="109"/>
    </row>
    <row r="651" ht="12.75" customHeight="1">
      <c r="A651" s="106"/>
      <c r="B651" s="106"/>
      <c r="C651" s="106"/>
      <c r="D651" s="101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9"/>
      <c r="V651" s="109"/>
    </row>
    <row r="652" ht="12.75" customHeight="1">
      <c r="A652" s="106"/>
      <c r="B652" s="106"/>
      <c r="C652" s="106"/>
      <c r="D652" s="101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9"/>
      <c r="V652" s="109"/>
    </row>
    <row r="653" ht="12.75" customHeight="1">
      <c r="A653" s="106"/>
      <c r="B653" s="106"/>
      <c r="C653" s="106"/>
      <c r="D653" s="101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9"/>
      <c r="V653" s="109"/>
    </row>
    <row r="654" ht="12.75" customHeight="1">
      <c r="A654" s="106"/>
      <c r="B654" s="106"/>
      <c r="C654" s="106"/>
      <c r="D654" s="101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9"/>
      <c r="V654" s="109"/>
    </row>
    <row r="655" ht="12.75" customHeight="1">
      <c r="A655" s="106"/>
      <c r="B655" s="106"/>
      <c r="C655" s="106"/>
      <c r="D655" s="101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9"/>
      <c r="V655" s="109"/>
    </row>
    <row r="656" ht="12.75" customHeight="1">
      <c r="A656" s="106"/>
      <c r="B656" s="106"/>
      <c r="C656" s="106"/>
      <c r="D656" s="101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9"/>
      <c r="V656" s="109"/>
    </row>
    <row r="657" ht="12.75" customHeight="1">
      <c r="A657" s="106"/>
      <c r="B657" s="106"/>
      <c r="C657" s="106"/>
      <c r="D657" s="101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9"/>
      <c r="V657" s="109"/>
    </row>
    <row r="658" ht="12.75" customHeight="1">
      <c r="A658" s="106"/>
      <c r="B658" s="106"/>
      <c r="C658" s="106"/>
      <c r="D658" s="101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9"/>
      <c r="V658" s="109"/>
    </row>
    <row r="659" ht="12.75" customHeight="1">
      <c r="A659" s="106"/>
      <c r="B659" s="106"/>
      <c r="C659" s="106"/>
      <c r="D659" s="101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9"/>
      <c r="V659" s="109"/>
    </row>
    <row r="660" ht="12.75" customHeight="1">
      <c r="A660" s="106"/>
      <c r="B660" s="106"/>
      <c r="C660" s="106"/>
      <c r="D660" s="101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9"/>
      <c r="V660" s="109"/>
    </row>
    <row r="661" ht="12.75" customHeight="1">
      <c r="A661" s="106"/>
      <c r="B661" s="106"/>
      <c r="C661" s="106"/>
      <c r="D661" s="101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9"/>
      <c r="V661" s="109"/>
    </row>
    <row r="662" ht="12.75" customHeight="1">
      <c r="A662" s="106"/>
      <c r="B662" s="106"/>
      <c r="C662" s="106"/>
      <c r="D662" s="101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9"/>
      <c r="V662" s="109"/>
    </row>
    <row r="663" ht="12.75" customHeight="1">
      <c r="A663" s="106"/>
      <c r="B663" s="106"/>
      <c r="C663" s="106"/>
      <c r="D663" s="101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9"/>
      <c r="V663" s="109"/>
    </row>
    <row r="664" ht="12.75" customHeight="1">
      <c r="A664" s="106"/>
      <c r="B664" s="106"/>
      <c r="C664" s="106"/>
      <c r="D664" s="101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9"/>
      <c r="V664" s="109"/>
    </row>
    <row r="665" ht="12.75" customHeight="1">
      <c r="A665" s="106"/>
      <c r="B665" s="106"/>
      <c r="C665" s="106"/>
      <c r="D665" s="101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9"/>
      <c r="V665" s="109"/>
    </row>
    <row r="666" ht="12.75" customHeight="1">
      <c r="A666" s="106"/>
      <c r="B666" s="106"/>
      <c r="C666" s="106"/>
      <c r="D666" s="101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9"/>
      <c r="V666" s="109"/>
    </row>
    <row r="667" ht="12.75" customHeight="1">
      <c r="A667" s="106"/>
      <c r="B667" s="106"/>
      <c r="C667" s="106"/>
      <c r="D667" s="101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9"/>
      <c r="V667" s="109"/>
    </row>
    <row r="668" ht="12.75" customHeight="1">
      <c r="A668" s="106"/>
      <c r="B668" s="106"/>
      <c r="C668" s="106"/>
      <c r="D668" s="101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9"/>
      <c r="V668" s="109"/>
    </row>
    <row r="669" ht="12.75" customHeight="1">
      <c r="A669" s="106"/>
      <c r="B669" s="106"/>
      <c r="C669" s="106"/>
      <c r="D669" s="101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9"/>
      <c r="V669" s="109"/>
    </row>
    <row r="670" ht="12.75" customHeight="1">
      <c r="A670" s="106"/>
      <c r="B670" s="106"/>
      <c r="C670" s="106"/>
      <c r="D670" s="101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9"/>
      <c r="V670" s="109"/>
    </row>
    <row r="671" ht="12.75" customHeight="1">
      <c r="A671" s="106"/>
      <c r="B671" s="106"/>
      <c r="C671" s="106"/>
      <c r="D671" s="101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9"/>
      <c r="V671" s="109"/>
    </row>
    <row r="672" ht="12.75" customHeight="1">
      <c r="A672" s="106"/>
      <c r="B672" s="106"/>
      <c r="C672" s="106"/>
      <c r="D672" s="101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9"/>
      <c r="V672" s="109"/>
    </row>
    <row r="673" ht="12.75" customHeight="1">
      <c r="A673" s="106"/>
      <c r="B673" s="106"/>
      <c r="C673" s="106"/>
      <c r="D673" s="101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9"/>
      <c r="V673" s="109"/>
    </row>
    <row r="674" ht="12.75" customHeight="1">
      <c r="A674" s="106"/>
      <c r="B674" s="106"/>
      <c r="C674" s="106"/>
      <c r="D674" s="101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9"/>
      <c r="V674" s="109"/>
    </row>
    <row r="675" ht="12.75" customHeight="1">
      <c r="A675" s="106"/>
      <c r="B675" s="106"/>
      <c r="C675" s="106"/>
      <c r="D675" s="101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9"/>
      <c r="V675" s="109"/>
    </row>
    <row r="676" ht="12.75" customHeight="1">
      <c r="A676" s="106"/>
      <c r="B676" s="106"/>
      <c r="C676" s="106"/>
      <c r="D676" s="101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9"/>
      <c r="V676" s="109"/>
    </row>
    <row r="677" ht="12.75" customHeight="1">
      <c r="A677" s="106"/>
      <c r="B677" s="106"/>
      <c r="C677" s="106"/>
      <c r="D677" s="101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9"/>
      <c r="V677" s="109"/>
    </row>
    <row r="678" ht="12.75" customHeight="1">
      <c r="A678" s="106"/>
      <c r="B678" s="106"/>
      <c r="C678" s="106"/>
      <c r="D678" s="101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9"/>
      <c r="V678" s="109"/>
    </row>
    <row r="679" ht="12.75" customHeight="1">
      <c r="A679" s="106"/>
      <c r="B679" s="106"/>
      <c r="C679" s="106"/>
      <c r="D679" s="101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9"/>
      <c r="V679" s="109"/>
    </row>
    <row r="680" ht="12.75" customHeight="1">
      <c r="A680" s="106"/>
      <c r="B680" s="106"/>
      <c r="C680" s="106"/>
      <c r="D680" s="101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9"/>
      <c r="V680" s="109"/>
    </row>
    <row r="681" ht="12.75" customHeight="1">
      <c r="A681" s="106"/>
      <c r="B681" s="106"/>
      <c r="C681" s="106"/>
      <c r="D681" s="101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9"/>
      <c r="V681" s="109"/>
    </row>
    <row r="682" ht="12.75" customHeight="1">
      <c r="A682" s="106"/>
      <c r="B682" s="106"/>
      <c r="C682" s="106"/>
      <c r="D682" s="101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9"/>
      <c r="V682" s="109"/>
    </row>
    <row r="683" ht="12.75" customHeight="1">
      <c r="A683" s="106"/>
      <c r="B683" s="106"/>
      <c r="C683" s="106"/>
      <c r="D683" s="101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9"/>
      <c r="V683" s="109"/>
    </row>
    <row r="684" ht="12.75" customHeight="1">
      <c r="A684" s="106"/>
      <c r="B684" s="106"/>
      <c r="C684" s="106"/>
      <c r="D684" s="101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9"/>
      <c r="V684" s="109"/>
    </row>
    <row r="685" ht="12.75" customHeight="1">
      <c r="A685" s="106"/>
      <c r="B685" s="106"/>
      <c r="C685" s="106"/>
      <c r="D685" s="101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9"/>
      <c r="V685" s="109"/>
    </row>
    <row r="686" ht="12.75" customHeight="1">
      <c r="A686" s="106"/>
      <c r="B686" s="106"/>
      <c r="C686" s="106"/>
      <c r="D686" s="101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9"/>
      <c r="V686" s="109"/>
    </row>
    <row r="687" ht="12.75" customHeight="1">
      <c r="A687" s="106"/>
      <c r="B687" s="106"/>
      <c r="C687" s="106"/>
      <c r="D687" s="101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9"/>
      <c r="V687" s="109"/>
    </row>
    <row r="688" ht="12.75" customHeight="1">
      <c r="A688" s="106"/>
      <c r="B688" s="106"/>
      <c r="C688" s="106"/>
      <c r="D688" s="101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9"/>
      <c r="V688" s="109"/>
    </row>
    <row r="689" ht="12.75" customHeight="1">
      <c r="A689" s="106"/>
      <c r="B689" s="106"/>
      <c r="C689" s="106"/>
      <c r="D689" s="101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9"/>
      <c r="V689" s="109"/>
    </row>
    <row r="690" ht="12.75" customHeight="1">
      <c r="A690" s="106"/>
      <c r="B690" s="106"/>
      <c r="C690" s="106"/>
      <c r="D690" s="101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9"/>
      <c r="V690" s="109"/>
    </row>
    <row r="691" ht="12.75" customHeight="1">
      <c r="A691" s="106"/>
      <c r="B691" s="106"/>
      <c r="C691" s="106"/>
      <c r="D691" s="101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9"/>
      <c r="V691" s="109"/>
    </row>
    <row r="692" ht="12.75" customHeight="1">
      <c r="A692" s="106"/>
      <c r="B692" s="106"/>
      <c r="C692" s="106"/>
      <c r="D692" s="101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9"/>
      <c r="V692" s="109"/>
    </row>
    <row r="693" ht="12.75" customHeight="1">
      <c r="A693" s="106"/>
      <c r="B693" s="106"/>
      <c r="C693" s="106"/>
      <c r="D693" s="101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9"/>
      <c r="V693" s="109"/>
    </row>
    <row r="694" ht="12.75" customHeight="1">
      <c r="A694" s="106"/>
      <c r="B694" s="106"/>
      <c r="C694" s="106"/>
      <c r="D694" s="101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9"/>
      <c r="V694" s="109"/>
    </row>
    <row r="695" ht="12.75" customHeight="1">
      <c r="A695" s="106"/>
      <c r="B695" s="106"/>
      <c r="C695" s="106"/>
      <c r="D695" s="101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9"/>
      <c r="V695" s="109"/>
    </row>
    <row r="696" ht="12.75" customHeight="1">
      <c r="A696" s="106"/>
      <c r="B696" s="106"/>
      <c r="C696" s="106"/>
      <c r="D696" s="101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9"/>
      <c r="V696" s="109"/>
    </row>
    <row r="697" ht="12.75" customHeight="1">
      <c r="A697" s="106"/>
      <c r="B697" s="106"/>
      <c r="C697" s="106"/>
      <c r="D697" s="101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9"/>
      <c r="V697" s="109"/>
    </row>
    <row r="698" ht="12.75" customHeight="1">
      <c r="A698" s="106"/>
      <c r="B698" s="106"/>
      <c r="C698" s="106"/>
      <c r="D698" s="101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9"/>
      <c r="V698" s="109"/>
    </row>
    <row r="699" ht="12.75" customHeight="1">
      <c r="A699" s="106"/>
      <c r="B699" s="106"/>
      <c r="C699" s="106"/>
      <c r="D699" s="101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9"/>
      <c r="V699" s="109"/>
    </row>
    <row r="700" ht="12.75" customHeight="1">
      <c r="A700" s="106"/>
      <c r="B700" s="106"/>
      <c r="C700" s="106"/>
      <c r="D700" s="101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9"/>
      <c r="V700" s="109"/>
    </row>
    <row r="701" ht="12.75" customHeight="1">
      <c r="A701" s="106"/>
      <c r="B701" s="106"/>
      <c r="C701" s="106"/>
      <c r="D701" s="101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9"/>
      <c r="V701" s="109"/>
    </row>
    <row r="702" ht="12.75" customHeight="1">
      <c r="A702" s="106"/>
      <c r="B702" s="106"/>
      <c r="C702" s="106"/>
      <c r="D702" s="101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9"/>
      <c r="V702" s="109"/>
    </row>
    <row r="703" ht="12.75" customHeight="1">
      <c r="A703" s="106"/>
      <c r="B703" s="106"/>
      <c r="C703" s="106"/>
      <c r="D703" s="101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9"/>
      <c r="V703" s="109"/>
    </row>
    <row r="704" ht="12.75" customHeight="1">
      <c r="A704" s="106"/>
      <c r="B704" s="106"/>
      <c r="C704" s="106"/>
      <c r="D704" s="101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9"/>
      <c r="V704" s="109"/>
    </row>
    <row r="705" ht="12.75" customHeight="1">
      <c r="A705" s="106"/>
      <c r="B705" s="106"/>
      <c r="C705" s="106"/>
      <c r="D705" s="101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9"/>
      <c r="V705" s="109"/>
    </row>
    <row r="706" ht="12.75" customHeight="1">
      <c r="A706" s="106"/>
      <c r="B706" s="106"/>
      <c r="C706" s="106"/>
      <c r="D706" s="101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9"/>
      <c r="V706" s="109"/>
    </row>
    <row r="707" ht="12.75" customHeight="1">
      <c r="A707" s="106"/>
      <c r="B707" s="106"/>
      <c r="C707" s="106"/>
      <c r="D707" s="101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9"/>
      <c r="V707" s="109"/>
    </row>
    <row r="708" ht="12.75" customHeight="1">
      <c r="A708" s="106"/>
      <c r="B708" s="106"/>
      <c r="C708" s="106"/>
      <c r="D708" s="101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9"/>
      <c r="V708" s="109"/>
    </row>
    <row r="709" ht="12.75" customHeight="1">
      <c r="A709" s="106"/>
      <c r="B709" s="106"/>
      <c r="C709" s="106"/>
      <c r="D709" s="101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9"/>
      <c r="V709" s="109"/>
    </row>
    <row r="710" ht="12.75" customHeight="1">
      <c r="A710" s="106"/>
      <c r="B710" s="106"/>
      <c r="C710" s="106"/>
      <c r="D710" s="101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9"/>
      <c r="V710" s="109"/>
    </row>
    <row r="711" ht="12.75" customHeight="1">
      <c r="A711" s="106"/>
      <c r="B711" s="106"/>
      <c r="C711" s="106"/>
      <c r="D711" s="101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9"/>
      <c r="V711" s="109"/>
    </row>
    <row r="712" ht="12.75" customHeight="1">
      <c r="A712" s="106"/>
      <c r="B712" s="106"/>
      <c r="C712" s="106"/>
      <c r="D712" s="101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9"/>
      <c r="V712" s="109"/>
    </row>
    <row r="713" ht="12.75" customHeight="1">
      <c r="A713" s="106"/>
      <c r="B713" s="106"/>
      <c r="C713" s="106"/>
      <c r="D713" s="101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9"/>
      <c r="V713" s="109"/>
    </row>
    <row r="714" ht="12.75" customHeight="1">
      <c r="A714" s="106"/>
      <c r="B714" s="106"/>
      <c r="C714" s="106"/>
      <c r="D714" s="101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9"/>
      <c r="V714" s="109"/>
    </row>
    <row r="715" ht="12.75" customHeight="1">
      <c r="A715" s="106"/>
      <c r="B715" s="106"/>
      <c r="C715" s="106"/>
      <c r="D715" s="101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9"/>
      <c r="V715" s="109"/>
    </row>
    <row r="716" ht="12.75" customHeight="1">
      <c r="A716" s="106"/>
      <c r="B716" s="106"/>
      <c r="C716" s="106"/>
      <c r="D716" s="101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9"/>
      <c r="V716" s="109"/>
    </row>
    <row r="717" ht="12.75" customHeight="1">
      <c r="A717" s="106"/>
      <c r="B717" s="106"/>
      <c r="C717" s="106"/>
      <c r="D717" s="101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9"/>
      <c r="V717" s="109"/>
    </row>
    <row r="718" ht="12.75" customHeight="1">
      <c r="A718" s="106"/>
      <c r="B718" s="106"/>
      <c r="C718" s="106"/>
      <c r="D718" s="101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9"/>
      <c r="V718" s="109"/>
    </row>
    <row r="719" ht="12.75" customHeight="1">
      <c r="A719" s="106"/>
      <c r="B719" s="106"/>
      <c r="C719" s="106"/>
      <c r="D719" s="101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9"/>
      <c r="V719" s="109"/>
    </row>
    <row r="720" ht="12.75" customHeight="1">
      <c r="A720" s="106"/>
      <c r="B720" s="106"/>
      <c r="C720" s="106"/>
      <c r="D720" s="101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9"/>
      <c r="V720" s="109"/>
    </row>
    <row r="721" ht="12.75" customHeight="1">
      <c r="A721" s="106"/>
      <c r="B721" s="106"/>
      <c r="C721" s="106"/>
      <c r="D721" s="101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9"/>
      <c r="V721" s="109"/>
    </row>
    <row r="722" ht="12.75" customHeight="1">
      <c r="A722" s="106"/>
      <c r="B722" s="106"/>
      <c r="C722" s="106"/>
      <c r="D722" s="101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9"/>
      <c r="V722" s="109"/>
    </row>
    <row r="723" ht="12.75" customHeight="1">
      <c r="A723" s="106"/>
      <c r="B723" s="106"/>
      <c r="C723" s="106"/>
      <c r="D723" s="101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9"/>
      <c r="V723" s="109"/>
    </row>
    <row r="724" ht="12.75" customHeight="1">
      <c r="A724" s="106"/>
      <c r="B724" s="106"/>
      <c r="C724" s="106"/>
      <c r="D724" s="101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9"/>
      <c r="V724" s="109"/>
    </row>
    <row r="725" ht="12.75" customHeight="1">
      <c r="A725" s="106"/>
      <c r="B725" s="106"/>
      <c r="C725" s="106"/>
      <c r="D725" s="101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9"/>
      <c r="V725" s="109"/>
    </row>
    <row r="726" ht="12.75" customHeight="1">
      <c r="A726" s="106"/>
      <c r="B726" s="106"/>
      <c r="C726" s="106"/>
      <c r="D726" s="101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9"/>
      <c r="V726" s="109"/>
    </row>
    <row r="727" ht="12.75" customHeight="1">
      <c r="A727" s="106"/>
      <c r="B727" s="106"/>
      <c r="C727" s="106"/>
      <c r="D727" s="101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9"/>
      <c r="V727" s="109"/>
    </row>
    <row r="728" ht="12.75" customHeight="1">
      <c r="A728" s="106"/>
      <c r="B728" s="106"/>
      <c r="C728" s="106"/>
      <c r="D728" s="101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9"/>
      <c r="V728" s="109"/>
    </row>
    <row r="729" ht="12.75" customHeight="1">
      <c r="A729" s="106"/>
      <c r="B729" s="106"/>
      <c r="C729" s="106"/>
      <c r="D729" s="101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9"/>
      <c r="V729" s="109"/>
    </row>
    <row r="730" ht="12.75" customHeight="1">
      <c r="A730" s="106"/>
      <c r="B730" s="106"/>
      <c r="C730" s="106"/>
      <c r="D730" s="101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9"/>
      <c r="V730" s="109"/>
    </row>
    <row r="731" ht="12.75" customHeight="1">
      <c r="A731" s="106"/>
      <c r="B731" s="106"/>
      <c r="C731" s="106"/>
      <c r="D731" s="101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9"/>
      <c r="V731" s="109"/>
    </row>
    <row r="732" ht="12.75" customHeight="1">
      <c r="A732" s="106"/>
      <c r="B732" s="106"/>
      <c r="C732" s="106"/>
      <c r="D732" s="101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9"/>
      <c r="V732" s="109"/>
    </row>
    <row r="733" ht="12.75" customHeight="1">
      <c r="A733" s="106"/>
      <c r="B733" s="106"/>
      <c r="C733" s="106"/>
      <c r="D733" s="101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9"/>
      <c r="V733" s="109"/>
    </row>
    <row r="734" ht="12.75" customHeight="1">
      <c r="A734" s="106"/>
      <c r="B734" s="106"/>
      <c r="C734" s="106"/>
      <c r="D734" s="101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9"/>
      <c r="V734" s="109"/>
    </row>
    <row r="735" ht="12.75" customHeight="1">
      <c r="A735" s="106"/>
      <c r="B735" s="106"/>
      <c r="C735" s="106"/>
      <c r="D735" s="101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9"/>
      <c r="V735" s="109"/>
    </row>
    <row r="736" ht="12.75" customHeight="1">
      <c r="A736" s="106"/>
      <c r="B736" s="106"/>
      <c r="C736" s="106"/>
      <c r="D736" s="101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9"/>
      <c r="V736" s="109"/>
    </row>
    <row r="737" ht="12.75" customHeight="1">
      <c r="A737" s="106"/>
      <c r="B737" s="106"/>
      <c r="C737" s="106"/>
      <c r="D737" s="101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9"/>
      <c r="V737" s="109"/>
    </row>
    <row r="738" ht="12.75" customHeight="1">
      <c r="A738" s="106"/>
      <c r="B738" s="106"/>
      <c r="C738" s="106"/>
      <c r="D738" s="101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9"/>
      <c r="V738" s="109"/>
    </row>
    <row r="739" ht="12.75" customHeight="1">
      <c r="A739" s="106"/>
      <c r="B739" s="106"/>
      <c r="C739" s="106"/>
      <c r="D739" s="101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9"/>
      <c r="V739" s="109"/>
    </row>
    <row r="740" ht="12.75" customHeight="1">
      <c r="A740" s="106"/>
      <c r="B740" s="106"/>
      <c r="C740" s="106"/>
      <c r="D740" s="101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9"/>
      <c r="V740" s="109"/>
    </row>
    <row r="741" ht="12.75" customHeight="1">
      <c r="A741" s="106"/>
      <c r="B741" s="106"/>
      <c r="C741" s="106"/>
      <c r="D741" s="101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9"/>
      <c r="V741" s="109"/>
    </row>
    <row r="742" ht="12.75" customHeight="1">
      <c r="A742" s="106"/>
      <c r="B742" s="106"/>
      <c r="C742" s="106"/>
      <c r="D742" s="101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9"/>
      <c r="V742" s="109"/>
    </row>
    <row r="743" ht="12.75" customHeight="1">
      <c r="A743" s="106"/>
      <c r="B743" s="106"/>
      <c r="C743" s="106"/>
      <c r="D743" s="101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9"/>
      <c r="V743" s="109"/>
    </row>
    <row r="744" ht="12.75" customHeight="1">
      <c r="A744" s="106"/>
      <c r="B744" s="106"/>
      <c r="C744" s="106"/>
      <c r="D744" s="101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9"/>
      <c r="V744" s="109"/>
    </row>
    <row r="745" ht="12.75" customHeight="1">
      <c r="A745" s="106"/>
      <c r="B745" s="106"/>
      <c r="C745" s="106"/>
      <c r="D745" s="101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9"/>
      <c r="V745" s="109"/>
    </row>
    <row r="746" ht="12.75" customHeight="1">
      <c r="A746" s="106"/>
      <c r="B746" s="106"/>
      <c r="C746" s="106"/>
      <c r="D746" s="101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9"/>
      <c r="V746" s="109"/>
    </row>
    <row r="747" ht="12.75" customHeight="1">
      <c r="A747" s="106"/>
      <c r="B747" s="106"/>
      <c r="C747" s="106"/>
      <c r="D747" s="101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9"/>
      <c r="V747" s="109"/>
    </row>
    <row r="748" ht="12.75" customHeight="1">
      <c r="A748" s="106"/>
      <c r="B748" s="106"/>
      <c r="C748" s="106"/>
      <c r="D748" s="101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9"/>
      <c r="V748" s="109"/>
    </row>
    <row r="749" ht="12.75" customHeight="1">
      <c r="A749" s="106"/>
      <c r="B749" s="106"/>
      <c r="C749" s="106"/>
      <c r="D749" s="101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9"/>
      <c r="V749" s="109"/>
    </row>
    <row r="750" ht="12.75" customHeight="1">
      <c r="A750" s="106"/>
      <c r="B750" s="106"/>
      <c r="C750" s="106"/>
      <c r="D750" s="101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9"/>
      <c r="V750" s="109"/>
    </row>
    <row r="751" ht="12.75" customHeight="1">
      <c r="A751" s="106"/>
      <c r="B751" s="106"/>
      <c r="C751" s="106"/>
      <c r="D751" s="101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9"/>
      <c r="V751" s="109"/>
    </row>
    <row r="752" ht="12.75" customHeight="1">
      <c r="A752" s="106"/>
      <c r="B752" s="106"/>
      <c r="C752" s="106"/>
      <c r="D752" s="101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9"/>
      <c r="V752" s="109"/>
    </row>
    <row r="753" ht="12.75" customHeight="1">
      <c r="A753" s="106"/>
      <c r="B753" s="106"/>
      <c r="C753" s="106"/>
      <c r="D753" s="101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9"/>
      <c r="V753" s="109"/>
    </row>
    <row r="754" ht="12.75" customHeight="1">
      <c r="A754" s="106"/>
      <c r="B754" s="106"/>
      <c r="C754" s="106"/>
      <c r="D754" s="101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9"/>
      <c r="V754" s="109"/>
    </row>
    <row r="755" ht="12.75" customHeight="1">
      <c r="A755" s="106"/>
      <c r="B755" s="106"/>
      <c r="C755" s="106"/>
      <c r="D755" s="101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9"/>
      <c r="V755" s="109"/>
    </row>
    <row r="756" ht="12.75" customHeight="1">
      <c r="A756" s="106"/>
      <c r="B756" s="106"/>
      <c r="C756" s="106"/>
      <c r="D756" s="101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9"/>
      <c r="V756" s="109"/>
    </row>
    <row r="757" ht="12.75" customHeight="1">
      <c r="A757" s="106"/>
      <c r="B757" s="106"/>
      <c r="C757" s="106"/>
      <c r="D757" s="101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9"/>
      <c r="V757" s="109"/>
    </row>
    <row r="758" ht="12.75" customHeight="1">
      <c r="A758" s="106"/>
      <c r="B758" s="106"/>
      <c r="C758" s="106"/>
      <c r="D758" s="101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9"/>
      <c r="V758" s="109"/>
    </row>
    <row r="759" ht="12.75" customHeight="1">
      <c r="A759" s="106"/>
      <c r="B759" s="106"/>
      <c r="C759" s="106"/>
      <c r="D759" s="101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9"/>
      <c r="V759" s="109"/>
    </row>
    <row r="760" ht="12.75" customHeight="1">
      <c r="A760" s="106"/>
      <c r="B760" s="106"/>
      <c r="C760" s="106"/>
      <c r="D760" s="101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9"/>
      <c r="V760" s="109"/>
    </row>
    <row r="761" ht="12.75" customHeight="1">
      <c r="A761" s="106"/>
      <c r="B761" s="106"/>
      <c r="C761" s="106"/>
      <c r="D761" s="101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9"/>
      <c r="V761" s="109"/>
    </row>
    <row r="762" ht="12.75" customHeight="1">
      <c r="A762" s="106"/>
      <c r="B762" s="106"/>
      <c r="C762" s="106"/>
      <c r="D762" s="101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9"/>
      <c r="V762" s="109"/>
    </row>
    <row r="763" ht="12.75" customHeight="1">
      <c r="A763" s="106"/>
      <c r="B763" s="106"/>
      <c r="C763" s="106"/>
      <c r="D763" s="101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9"/>
      <c r="V763" s="109"/>
    </row>
    <row r="764" ht="12.75" customHeight="1">
      <c r="A764" s="106"/>
      <c r="B764" s="106"/>
      <c r="C764" s="106"/>
      <c r="D764" s="101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9"/>
      <c r="V764" s="109"/>
    </row>
    <row r="765" ht="12.75" customHeight="1">
      <c r="A765" s="106"/>
      <c r="B765" s="106"/>
      <c r="C765" s="106"/>
      <c r="D765" s="101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9"/>
      <c r="V765" s="109"/>
    </row>
    <row r="766" ht="12.75" customHeight="1">
      <c r="A766" s="106"/>
      <c r="B766" s="106"/>
      <c r="C766" s="106"/>
      <c r="D766" s="101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9"/>
      <c r="V766" s="109"/>
    </row>
    <row r="767" ht="12.75" customHeight="1">
      <c r="A767" s="106"/>
      <c r="B767" s="106"/>
      <c r="C767" s="106"/>
      <c r="D767" s="101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9"/>
      <c r="V767" s="109"/>
    </row>
    <row r="768" ht="12.75" customHeight="1">
      <c r="A768" s="106"/>
      <c r="B768" s="106"/>
      <c r="C768" s="106"/>
      <c r="D768" s="101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9"/>
      <c r="V768" s="109"/>
    </row>
    <row r="769" ht="12.75" customHeight="1">
      <c r="A769" s="106"/>
      <c r="B769" s="106"/>
      <c r="C769" s="106"/>
      <c r="D769" s="101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9"/>
      <c r="V769" s="109"/>
    </row>
    <row r="770" ht="12.75" customHeight="1">
      <c r="A770" s="106"/>
      <c r="B770" s="106"/>
      <c r="C770" s="106"/>
      <c r="D770" s="101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9"/>
      <c r="V770" s="109"/>
    </row>
    <row r="771" ht="12.75" customHeight="1">
      <c r="A771" s="106"/>
      <c r="B771" s="106"/>
      <c r="C771" s="106"/>
      <c r="D771" s="101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9"/>
      <c r="V771" s="109"/>
    </row>
    <row r="772" ht="12.75" customHeight="1">
      <c r="A772" s="106"/>
      <c r="B772" s="106"/>
      <c r="C772" s="106"/>
      <c r="D772" s="101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9"/>
      <c r="V772" s="109"/>
    </row>
    <row r="773" ht="12.75" customHeight="1">
      <c r="A773" s="106"/>
      <c r="B773" s="106"/>
      <c r="C773" s="106"/>
      <c r="D773" s="101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9"/>
      <c r="V773" s="109"/>
    </row>
    <row r="774" ht="12.75" customHeight="1">
      <c r="A774" s="106"/>
      <c r="B774" s="106"/>
      <c r="C774" s="106"/>
      <c r="D774" s="101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9"/>
      <c r="V774" s="109"/>
    </row>
    <row r="775" ht="12.75" customHeight="1">
      <c r="A775" s="106"/>
      <c r="B775" s="106"/>
      <c r="C775" s="106"/>
      <c r="D775" s="101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9"/>
      <c r="V775" s="109"/>
    </row>
    <row r="776" ht="12.75" customHeight="1">
      <c r="A776" s="106"/>
      <c r="B776" s="106"/>
      <c r="C776" s="106"/>
      <c r="D776" s="101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9"/>
      <c r="V776" s="109"/>
    </row>
    <row r="777" ht="12.75" customHeight="1">
      <c r="A777" s="106"/>
      <c r="B777" s="106"/>
      <c r="C777" s="106"/>
      <c r="D777" s="101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9"/>
      <c r="V777" s="109"/>
    </row>
    <row r="778" ht="12.75" customHeight="1">
      <c r="A778" s="106"/>
      <c r="B778" s="106"/>
      <c r="C778" s="106"/>
      <c r="D778" s="101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9"/>
      <c r="V778" s="109"/>
    </row>
    <row r="779" ht="12.75" customHeight="1">
      <c r="A779" s="106"/>
      <c r="B779" s="106"/>
      <c r="C779" s="106"/>
      <c r="D779" s="101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9"/>
      <c r="V779" s="109"/>
    </row>
    <row r="780" ht="12.75" customHeight="1">
      <c r="A780" s="106"/>
      <c r="B780" s="106"/>
      <c r="C780" s="106"/>
      <c r="D780" s="101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9"/>
      <c r="V780" s="109"/>
    </row>
    <row r="781" ht="12.75" customHeight="1">
      <c r="A781" s="106"/>
      <c r="B781" s="106"/>
      <c r="C781" s="106"/>
      <c r="D781" s="101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9"/>
      <c r="V781" s="109"/>
    </row>
    <row r="782" ht="12.75" customHeight="1">
      <c r="A782" s="106"/>
      <c r="B782" s="106"/>
      <c r="C782" s="106"/>
      <c r="D782" s="101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9"/>
      <c r="V782" s="109"/>
    </row>
    <row r="783" ht="12.75" customHeight="1">
      <c r="A783" s="106"/>
      <c r="B783" s="106"/>
      <c r="C783" s="106"/>
      <c r="D783" s="101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9"/>
      <c r="V783" s="109"/>
    </row>
    <row r="784" ht="12.75" customHeight="1">
      <c r="A784" s="106"/>
      <c r="B784" s="106"/>
      <c r="C784" s="106"/>
      <c r="D784" s="101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9"/>
      <c r="V784" s="109"/>
    </row>
    <row r="785" ht="12.75" customHeight="1">
      <c r="A785" s="106"/>
      <c r="B785" s="106"/>
      <c r="C785" s="106"/>
      <c r="D785" s="101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9"/>
      <c r="V785" s="109"/>
    </row>
    <row r="786" ht="12.75" customHeight="1">
      <c r="A786" s="106"/>
      <c r="B786" s="106"/>
      <c r="C786" s="106"/>
      <c r="D786" s="101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9"/>
      <c r="V786" s="109"/>
    </row>
    <row r="787" ht="12.75" customHeight="1">
      <c r="A787" s="106"/>
      <c r="B787" s="106"/>
      <c r="C787" s="106"/>
      <c r="D787" s="101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9"/>
      <c r="V787" s="109"/>
    </row>
    <row r="788" ht="12.75" customHeight="1">
      <c r="A788" s="106"/>
      <c r="B788" s="106"/>
      <c r="C788" s="106"/>
      <c r="D788" s="101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9"/>
      <c r="V788" s="109"/>
    </row>
    <row r="789" ht="12.75" customHeight="1">
      <c r="A789" s="106"/>
      <c r="B789" s="106"/>
      <c r="C789" s="106"/>
      <c r="D789" s="101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9"/>
      <c r="V789" s="109"/>
    </row>
    <row r="790" ht="12.75" customHeight="1">
      <c r="A790" s="106"/>
      <c r="B790" s="106"/>
      <c r="C790" s="106"/>
      <c r="D790" s="101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9"/>
      <c r="V790" s="109"/>
    </row>
    <row r="791" ht="12.75" customHeight="1">
      <c r="A791" s="106"/>
      <c r="B791" s="106"/>
      <c r="C791" s="106"/>
      <c r="D791" s="101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9"/>
      <c r="V791" s="109"/>
    </row>
    <row r="792" ht="12.75" customHeight="1">
      <c r="A792" s="106"/>
      <c r="B792" s="106"/>
      <c r="C792" s="106"/>
      <c r="D792" s="101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9"/>
      <c r="V792" s="109"/>
    </row>
    <row r="793" ht="12.75" customHeight="1">
      <c r="A793" s="106"/>
      <c r="B793" s="106"/>
      <c r="C793" s="106"/>
      <c r="D793" s="101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9"/>
      <c r="V793" s="109"/>
    </row>
    <row r="794" ht="12.75" customHeight="1">
      <c r="A794" s="106"/>
      <c r="B794" s="106"/>
      <c r="C794" s="106"/>
      <c r="D794" s="101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9"/>
      <c r="V794" s="109"/>
    </row>
    <row r="795" ht="12.75" customHeight="1">
      <c r="A795" s="106"/>
      <c r="B795" s="106"/>
      <c r="C795" s="106"/>
      <c r="D795" s="101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9"/>
      <c r="V795" s="109"/>
    </row>
    <row r="796" ht="12.75" customHeight="1">
      <c r="A796" s="106"/>
      <c r="B796" s="106"/>
      <c r="C796" s="106"/>
      <c r="D796" s="101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9"/>
      <c r="V796" s="109"/>
    </row>
    <row r="797" ht="12.75" customHeight="1">
      <c r="A797" s="106"/>
      <c r="B797" s="106"/>
      <c r="C797" s="106"/>
      <c r="D797" s="101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9"/>
      <c r="V797" s="109"/>
    </row>
    <row r="798" ht="12.75" customHeight="1">
      <c r="A798" s="106"/>
      <c r="B798" s="106"/>
      <c r="C798" s="106"/>
      <c r="D798" s="101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9"/>
      <c r="V798" s="109"/>
    </row>
    <row r="799" ht="12.75" customHeight="1">
      <c r="A799" s="106"/>
      <c r="B799" s="106"/>
      <c r="C799" s="106"/>
      <c r="D799" s="101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9"/>
      <c r="V799" s="109"/>
    </row>
    <row r="800" ht="12.75" customHeight="1">
      <c r="A800" s="106"/>
      <c r="B800" s="106"/>
      <c r="C800" s="106"/>
      <c r="D800" s="101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9"/>
      <c r="V800" s="109"/>
    </row>
    <row r="801" ht="12.75" customHeight="1">
      <c r="A801" s="106"/>
      <c r="B801" s="106"/>
      <c r="C801" s="106"/>
      <c r="D801" s="101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9"/>
      <c r="V801" s="109"/>
    </row>
    <row r="802" ht="12.75" customHeight="1">
      <c r="A802" s="106"/>
      <c r="B802" s="106"/>
      <c r="C802" s="106"/>
      <c r="D802" s="101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9"/>
      <c r="V802" s="109"/>
    </row>
    <row r="803" ht="12.75" customHeight="1">
      <c r="A803" s="106"/>
      <c r="B803" s="106"/>
      <c r="C803" s="106"/>
      <c r="D803" s="101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9"/>
      <c r="V803" s="109"/>
    </row>
    <row r="804" ht="12.75" customHeight="1">
      <c r="A804" s="106"/>
      <c r="B804" s="106"/>
      <c r="C804" s="106"/>
      <c r="D804" s="101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9"/>
      <c r="V804" s="109"/>
    </row>
    <row r="805" ht="12.75" customHeight="1">
      <c r="A805" s="106"/>
      <c r="B805" s="106"/>
      <c r="C805" s="106"/>
      <c r="D805" s="101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9"/>
      <c r="V805" s="109"/>
    </row>
    <row r="806" ht="12.75" customHeight="1">
      <c r="A806" s="106"/>
      <c r="B806" s="106"/>
      <c r="C806" s="106"/>
      <c r="D806" s="101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9"/>
      <c r="V806" s="109"/>
    </row>
    <row r="807" ht="12.75" customHeight="1">
      <c r="A807" s="106"/>
      <c r="B807" s="106"/>
      <c r="C807" s="106"/>
      <c r="D807" s="101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9"/>
      <c r="V807" s="109"/>
    </row>
    <row r="808" ht="12.75" customHeight="1">
      <c r="A808" s="106"/>
      <c r="B808" s="106"/>
      <c r="C808" s="106"/>
      <c r="D808" s="101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9"/>
      <c r="V808" s="109"/>
    </row>
    <row r="809" ht="12.75" customHeight="1">
      <c r="A809" s="106"/>
      <c r="B809" s="106"/>
      <c r="C809" s="106"/>
      <c r="D809" s="101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9"/>
      <c r="V809" s="109"/>
    </row>
    <row r="810" ht="12.75" customHeight="1">
      <c r="A810" s="106"/>
      <c r="B810" s="106"/>
      <c r="C810" s="106"/>
      <c r="D810" s="101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9"/>
      <c r="V810" s="109"/>
    </row>
    <row r="811" ht="12.75" customHeight="1">
      <c r="A811" s="106"/>
      <c r="B811" s="106"/>
      <c r="C811" s="106"/>
      <c r="D811" s="101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9"/>
      <c r="V811" s="109"/>
    </row>
    <row r="812" ht="12.75" customHeight="1">
      <c r="A812" s="106"/>
      <c r="B812" s="106"/>
      <c r="C812" s="106"/>
      <c r="D812" s="101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9"/>
      <c r="V812" s="109"/>
    </row>
    <row r="813" ht="12.75" customHeight="1">
      <c r="A813" s="106"/>
      <c r="B813" s="106"/>
      <c r="C813" s="106"/>
      <c r="D813" s="101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9"/>
      <c r="V813" s="109"/>
    </row>
    <row r="814" ht="12.75" customHeight="1">
      <c r="A814" s="106"/>
      <c r="B814" s="106"/>
      <c r="C814" s="106"/>
      <c r="D814" s="101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9"/>
      <c r="V814" s="109"/>
    </row>
    <row r="815" ht="12.75" customHeight="1">
      <c r="A815" s="106"/>
      <c r="B815" s="106"/>
      <c r="C815" s="106"/>
      <c r="D815" s="101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9"/>
      <c r="V815" s="109"/>
    </row>
    <row r="816" ht="12.75" customHeight="1">
      <c r="A816" s="106"/>
      <c r="B816" s="106"/>
      <c r="C816" s="106"/>
      <c r="D816" s="101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9"/>
      <c r="V816" s="109"/>
    </row>
    <row r="817" ht="12.75" customHeight="1">
      <c r="A817" s="106"/>
      <c r="B817" s="106"/>
      <c r="C817" s="106"/>
      <c r="D817" s="101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9"/>
      <c r="V817" s="109"/>
    </row>
    <row r="818" ht="12.75" customHeight="1">
      <c r="A818" s="106"/>
      <c r="B818" s="106"/>
      <c r="C818" s="106"/>
      <c r="D818" s="101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9"/>
      <c r="V818" s="109"/>
    </row>
    <row r="819" ht="12.75" customHeight="1">
      <c r="A819" s="106"/>
      <c r="B819" s="106"/>
      <c r="C819" s="106"/>
      <c r="D819" s="101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9"/>
      <c r="V819" s="109"/>
    </row>
    <row r="820" ht="12.75" customHeight="1">
      <c r="A820" s="106"/>
      <c r="B820" s="106"/>
      <c r="C820" s="106"/>
      <c r="D820" s="101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9"/>
      <c r="V820" s="109"/>
    </row>
    <row r="821" ht="12.75" customHeight="1">
      <c r="A821" s="106"/>
      <c r="B821" s="106"/>
      <c r="C821" s="106"/>
      <c r="D821" s="101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9"/>
      <c r="V821" s="109"/>
    </row>
    <row r="822" ht="12.75" customHeight="1">
      <c r="A822" s="106"/>
      <c r="B822" s="106"/>
      <c r="C822" s="106"/>
      <c r="D822" s="101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9"/>
      <c r="V822" s="109"/>
    </row>
    <row r="823" ht="12.75" customHeight="1">
      <c r="A823" s="106"/>
      <c r="B823" s="106"/>
      <c r="C823" s="106"/>
      <c r="D823" s="101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9"/>
      <c r="V823" s="109"/>
    </row>
    <row r="824" ht="12.75" customHeight="1">
      <c r="A824" s="106"/>
      <c r="B824" s="106"/>
      <c r="C824" s="106"/>
      <c r="D824" s="101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9"/>
      <c r="V824" s="109"/>
    </row>
    <row r="825" ht="12.75" customHeight="1">
      <c r="A825" s="106"/>
      <c r="B825" s="106"/>
      <c r="C825" s="106"/>
      <c r="D825" s="101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9"/>
      <c r="V825" s="109"/>
    </row>
    <row r="826" ht="12.75" customHeight="1">
      <c r="A826" s="106"/>
      <c r="B826" s="106"/>
      <c r="C826" s="106"/>
      <c r="D826" s="101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9"/>
      <c r="V826" s="109"/>
    </row>
    <row r="827" ht="12.75" customHeight="1">
      <c r="A827" s="106"/>
      <c r="B827" s="106"/>
      <c r="C827" s="106"/>
      <c r="D827" s="101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9"/>
      <c r="V827" s="109"/>
    </row>
    <row r="828" ht="12.75" customHeight="1">
      <c r="A828" s="106"/>
      <c r="B828" s="106"/>
      <c r="C828" s="106"/>
      <c r="D828" s="101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9"/>
      <c r="V828" s="109"/>
    </row>
    <row r="829" ht="12.75" customHeight="1">
      <c r="A829" s="106"/>
      <c r="B829" s="106"/>
      <c r="C829" s="106"/>
      <c r="D829" s="101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9"/>
      <c r="V829" s="109"/>
    </row>
    <row r="830" ht="12.75" customHeight="1">
      <c r="A830" s="106"/>
      <c r="B830" s="106"/>
      <c r="C830" s="106"/>
      <c r="D830" s="101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9"/>
      <c r="V830" s="109"/>
    </row>
    <row r="831" ht="12.75" customHeight="1">
      <c r="A831" s="106"/>
      <c r="B831" s="106"/>
      <c r="C831" s="106"/>
      <c r="D831" s="101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9"/>
      <c r="V831" s="109"/>
    </row>
    <row r="832" ht="12.75" customHeight="1">
      <c r="A832" s="106"/>
      <c r="B832" s="106"/>
      <c r="C832" s="106"/>
      <c r="D832" s="101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9"/>
      <c r="V832" s="109"/>
    </row>
    <row r="833" ht="12.75" customHeight="1">
      <c r="A833" s="106"/>
      <c r="B833" s="106"/>
      <c r="C833" s="106"/>
      <c r="D833" s="101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9"/>
      <c r="V833" s="109"/>
    </row>
    <row r="834" ht="12.75" customHeight="1">
      <c r="A834" s="106"/>
      <c r="B834" s="106"/>
      <c r="C834" s="106"/>
      <c r="D834" s="101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9"/>
      <c r="V834" s="109"/>
    </row>
    <row r="835" ht="12.75" customHeight="1">
      <c r="A835" s="106"/>
      <c r="B835" s="106"/>
      <c r="C835" s="106"/>
      <c r="D835" s="101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9"/>
      <c r="V835" s="109"/>
    </row>
    <row r="836" ht="12.75" customHeight="1">
      <c r="A836" s="106"/>
      <c r="B836" s="106"/>
      <c r="C836" s="106"/>
      <c r="D836" s="101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9"/>
      <c r="V836" s="109"/>
    </row>
    <row r="837" ht="12.75" customHeight="1">
      <c r="A837" s="106"/>
      <c r="B837" s="106"/>
      <c r="C837" s="106"/>
      <c r="D837" s="101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9"/>
      <c r="V837" s="109"/>
    </row>
    <row r="838" ht="12.75" customHeight="1">
      <c r="A838" s="106"/>
      <c r="B838" s="106"/>
      <c r="C838" s="106"/>
      <c r="D838" s="101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9"/>
      <c r="V838" s="109"/>
    </row>
    <row r="839" ht="12.75" customHeight="1">
      <c r="A839" s="106"/>
      <c r="B839" s="106"/>
      <c r="C839" s="106"/>
      <c r="D839" s="101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9"/>
      <c r="V839" s="109"/>
    </row>
    <row r="840" ht="12.75" customHeight="1">
      <c r="A840" s="106"/>
      <c r="B840" s="106"/>
      <c r="C840" s="106"/>
      <c r="D840" s="101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9"/>
      <c r="V840" s="109"/>
    </row>
    <row r="841" ht="12.75" customHeight="1">
      <c r="A841" s="106"/>
      <c r="B841" s="106"/>
      <c r="C841" s="106"/>
      <c r="D841" s="101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9"/>
      <c r="V841" s="109"/>
    </row>
    <row r="842" ht="12.75" customHeight="1">
      <c r="A842" s="106"/>
      <c r="B842" s="106"/>
      <c r="C842" s="106"/>
      <c r="D842" s="101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9"/>
      <c r="V842" s="109"/>
    </row>
    <row r="843" ht="12.75" customHeight="1">
      <c r="A843" s="106"/>
      <c r="B843" s="106"/>
      <c r="C843" s="106"/>
      <c r="D843" s="101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9"/>
      <c r="V843" s="109"/>
    </row>
    <row r="844" ht="12.75" customHeight="1">
      <c r="A844" s="106"/>
      <c r="B844" s="106"/>
      <c r="C844" s="106"/>
      <c r="D844" s="101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9"/>
      <c r="V844" s="109"/>
    </row>
    <row r="845" ht="12.75" customHeight="1">
      <c r="A845" s="106"/>
      <c r="B845" s="106"/>
      <c r="C845" s="106"/>
      <c r="D845" s="101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9"/>
      <c r="V845" s="109"/>
    </row>
    <row r="846" ht="12.75" customHeight="1">
      <c r="A846" s="106"/>
      <c r="B846" s="106"/>
      <c r="C846" s="106"/>
      <c r="D846" s="101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9"/>
      <c r="V846" s="109"/>
    </row>
    <row r="847" ht="12.75" customHeight="1">
      <c r="A847" s="106"/>
      <c r="B847" s="106"/>
      <c r="C847" s="106"/>
      <c r="D847" s="101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9"/>
      <c r="V847" s="109"/>
    </row>
    <row r="848" ht="12.75" customHeight="1">
      <c r="A848" s="106"/>
      <c r="B848" s="106"/>
      <c r="C848" s="106"/>
      <c r="D848" s="101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9"/>
      <c r="V848" s="109"/>
    </row>
    <row r="849" ht="12.75" customHeight="1">
      <c r="A849" s="106"/>
      <c r="B849" s="106"/>
      <c r="C849" s="106"/>
      <c r="D849" s="101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9"/>
      <c r="V849" s="109"/>
    </row>
    <row r="850" ht="12.75" customHeight="1">
      <c r="A850" s="106"/>
      <c r="B850" s="106"/>
      <c r="C850" s="106"/>
      <c r="D850" s="101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9"/>
      <c r="V850" s="109"/>
    </row>
    <row r="851" ht="12.75" customHeight="1">
      <c r="A851" s="106"/>
      <c r="B851" s="106"/>
      <c r="C851" s="106"/>
      <c r="D851" s="101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9"/>
      <c r="V851" s="109"/>
    </row>
    <row r="852" ht="12.75" customHeight="1">
      <c r="A852" s="106"/>
      <c r="B852" s="106"/>
      <c r="C852" s="106"/>
      <c r="D852" s="101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9"/>
      <c r="V852" s="109"/>
    </row>
    <row r="853" ht="12.75" customHeight="1">
      <c r="A853" s="106"/>
      <c r="B853" s="106"/>
      <c r="C853" s="106"/>
      <c r="D853" s="101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9"/>
      <c r="V853" s="109"/>
    </row>
    <row r="854" ht="12.75" customHeight="1">
      <c r="A854" s="106"/>
      <c r="B854" s="106"/>
      <c r="C854" s="106"/>
      <c r="D854" s="101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9"/>
      <c r="V854" s="109"/>
    </row>
    <row r="855" ht="12.75" customHeight="1">
      <c r="A855" s="106"/>
      <c r="B855" s="106"/>
      <c r="C855" s="106"/>
      <c r="D855" s="101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9"/>
      <c r="V855" s="109"/>
    </row>
    <row r="856" ht="12.75" customHeight="1">
      <c r="A856" s="106"/>
      <c r="B856" s="106"/>
      <c r="C856" s="106"/>
      <c r="D856" s="101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9"/>
      <c r="V856" s="109"/>
    </row>
    <row r="857" ht="12.75" customHeight="1">
      <c r="A857" s="106"/>
      <c r="B857" s="106"/>
      <c r="C857" s="106"/>
      <c r="D857" s="101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9"/>
      <c r="V857" s="109"/>
    </row>
    <row r="858" ht="12.75" customHeight="1">
      <c r="A858" s="106"/>
      <c r="B858" s="106"/>
      <c r="C858" s="106"/>
      <c r="D858" s="101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9"/>
      <c r="V858" s="109"/>
    </row>
    <row r="859" ht="12.75" customHeight="1">
      <c r="A859" s="106"/>
      <c r="B859" s="106"/>
      <c r="C859" s="106"/>
      <c r="D859" s="101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9"/>
      <c r="V859" s="109"/>
    </row>
    <row r="860" ht="12.75" customHeight="1">
      <c r="A860" s="106"/>
      <c r="B860" s="106"/>
      <c r="C860" s="106"/>
      <c r="D860" s="101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9"/>
      <c r="V860" s="109"/>
    </row>
    <row r="861" ht="12.75" customHeight="1">
      <c r="A861" s="106"/>
      <c r="B861" s="106"/>
      <c r="C861" s="106"/>
      <c r="D861" s="101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9"/>
      <c r="V861" s="109"/>
    </row>
    <row r="862" ht="12.75" customHeight="1">
      <c r="A862" s="106"/>
      <c r="B862" s="106"/>
      <c r="C862" s="106"/>
      <c r="D862" s="101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9"/>
      <c r="V862" s="109"/>
    </row>
    <row r="863" ht="12.75" customHeight="1">
      <c r="A863" s="106"/>
      <c r="B863" s="106"/>
      <c r="C863" s="106"/>
      <c r="D863" s="101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9"/>
      <c r="V863" s="109"/>
    </row>
    <row r="864" ht="12.75" customHeight="1">
      <c r="A864" s="106"/>
      <c r="B864" s="106"/>
      <c r="C864" s="106"/>
      <c r="D864" s="101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9"/>
      <c r="V864" s="109"/>
    </row>
    <row r="865" ht="12.75" customHeight="1">
      <c r="A865" s="106"/>
      <c r="B865" s="106"/>
      <c r="C865" s="106"/>
      <c r="D865" s="101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9"/>
      <c r="V865" s="109"/>
    </row>
    <row r="866" ht="12.75" customHeight="1">
      <c r="A866" s="106"/>
      <c r="B866" s="106"/>
      <c r="C866" s="106"/>
      <c r="D866" s="101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9"/>
      <c r="V866" s="109"/>
    </row>
    <row r="867" ht="12.75" customHeight="1">
      <c r="A867" s="106"/>
      <c r="B867" s="106"/>
      <c r="C867" s="106"/>
      <c r="D867" s="101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9"/>
      <c r="V867" s="109"/>
    </row>
    <row r="868" ht="12.75" customHeight="1">
      <c r="A868" s="106"/>
      <c r="B868" s="106"/>
      <c r="C868" s="106"/>
      <c r="D868" s="101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9"/>
      <c r="V868" s="109"/>
    </row>
    <row r="869" ht="12.75" customHeight="1">
      <c r="A869" s="106"/>
      <c r="B869" s="106"/>
      <c r="C869" s="106"/>
      <c r="D869" s="101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9"/>
      <c r="V869" s="109"/>
    </row>
    <row r="870" ht="12.75" customHeight="1">
      <c r="A870" s="106"/>
      <c r="B870" s="106"/>
      <c r="C870" s="106"/>
      <c r="D870" s="101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9"/>
      <c r="V870" s="109"/>
    </row>
    <row r="871" ht="12.75" customHeight="1">
      <c r="A871" s="106"/>
      <c r="B871" s="106"/>
      <c r="C871" s="106"/>
      <c r="D871" s="101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9"/>
      <c r="V871" s="109"/>
    </row>
    <row r="872" ht="12.75" customHeight="1">
      <c r="A872" s="106"/>
      <c r="B872" s="106"/>
      <c r="C872" s="106"/>
      <c r="D872" s="101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9"/>
      <c r="V872" s="109"/>
    </row>
    <row r="873" ht="12.75" customHeight="1">
      <c r="A873" s="106"/>
      <c r="B873" s="106"/>
      <c r="C873" s="106"/>
      <c r="D873" s="101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9"/>
      <c r="V873" s="109"/>
    </row>
    <row r="874" ht="12.75" customHeight="1">
      <c r="A874" s="106"/>
      <c r="B874" s="106"/>
      <c r="C874" s="106"/>
      <c r="D874" s="101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9"/>
      <c r="V874" s="109"/>
    </row>
    <row r="875" ht="12.75" customHeight="1">
      <c r="A875" s="106"/>
      <c r="B875" s="106"/>
      <c r="C875" s="106"/>
      <c r="D875" s="101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9"/>
      <c r="V875" s="109"/>
    </row>
    <row r="876" ht="12.75" customHeight="1">
      <c r="A876" s="106"/>
      <c r="B876" s="106"/>
      <c r="C876" s="106"/>
      <c r="D876" s="101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9"/>
      <c r="V876" s="109"/>
    </row>
    <row r="877" ht="12.75" customHeight="1">
      <c r="A877" s="106"/>
      <c r="B877" s="106"/>
      <c r="C877" s="106"/>
      <c r="D877" s="101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9"/>
      <c r="V877" s="109"/>
    </row>
    <row r="878" ht="12.75" customHeight="1">
      <c r="A878" s="106"/>
      <c r="B878" s="106"/>
      <c r="C878" s="106"/>
      <c r="D878" s="101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9"/>
      <c r="V878" s="109"/>
    </row>
    <row r="879" ht="12.75" customHeight="1">
      <c r="A879" s="106"/>
      <c r="B879" s="106"/>
      <c r="C879" s="106"/>
      <c r="D879" s="101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9"/>
      <c r="V879" s="109"/>
    </row>
    <row r="880" ht="12.75" customHeight="1">
      <c r="A880" s="106"/>
      <c r="B880" s="106"/>
      <c r="C880" s="106"/>
      <c r="D880" s="101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9"/>
      <c r="V880" s="109"/>
    </row>
    <row r="881" ht="12.75" customHeight="1">
      <c r="A881" s="106"/>
      <c r="B881" s="106"/>
      <c r="C881" s="106"/>
      <c r="D881" s="101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9"/>
      <c r="V881" s="109"/>
    </row>
    <row r="882" ht="12.75" customHeight="1">
      <c r="A882" s="106"/>
      <c r="B882" s="106"/>
      <c r="C882" s="106"/>
      <c r="D882" s="101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9"/>
      <c r="V882" s="109"/>
    </row>
    <row r="883" ht="12.75" customHeight="1">
      <c r="A883" s="106"/>
      <c r="B883" s="106"/>
      <c r="C883" s="106"/>
      <c r="D883" s="101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9"/>
      <c r="V883" s="109"/>
    </row>
    <row r="884" ht="12.75" customHeight="1">
      <c r="A884" s="106"/>
      <c r="B884" s="106"/>
      <c r="C884" s="106"/>
      <c r="D884" s="101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9"/>
      <c r="V884" s="109"/>
    </row>
    <row r="885" ht="12.75" customHeight="1">
      <c r="A885" s="106"/>
      <c r="B885" s="106"/>
      <c r="C885" s="106"/>
      <c r="D885" s="101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9"/>
      <c r="V885" s="109"/>
    </row>
    <row r="886" ht="12.75" customHeight="1">
      <c r="A886" s="106"/>
      <c r="B886" s="106"/>
      <c r="C886" s="106"/>
      <c r="D886" s="101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9"/>
      <c r="V886" s="109"/>
    </row>
    <row r="887" ht="12.75" customHeight="1">
      <c r="A887" s="106"/>
      <c r="B887" s="106"/>
      <c r="C887" s="106"/>
      <c r="D887" s="101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9"/>
      <c r="V887" s="109"/>
    </row>
    <row r="888" ht="12.75" customHeight="1">
      <c r="A888" s="106"/>
      <c r="B888" s="106"/>
      <c r="C888" s="106"/>
      <c r="D888" s="101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9"/>
      <c r="V888" s="109"/>
    </row>
    <row r="889" ht="12.75" customHeight="1">
      <c r="A889" s="106"/>
      <c r="B889" s="106"/>
      <c r="C889" s="106"/>
      <c r="D889" s="101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9"/>
      <c r="V889" s="109"/>
    </row>
    <row r="890" ht="12.75" customHeight="1">
      <c r="A890" s="106"/>
      <c r="B890" s="106"/>
      <c r="C890" s="106"/>
      <c r="D890" s="101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9"/>
      <c r="V890" s="109"/>
    </row>
    <row r="891" ht="12.75" customHeight="1">
      <c r="A891" s="106"/>
      <c r="B891" s="106"/>
      <c r="C891" s="106"/>
      <c r="D891" s="101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9"/>
      <c r="V891" s="109"/>
    </row>
    <row r="892" ht="12.75" customHeight="1">
      <c r="A892" s="106"/>
      <c r="B892" s="106"/>
      <c r="C892" s="106"/>
      <c r="D892" s="101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9"/>
      <c r="V892" s="109"/>
    </row>
    <row r="893" ht="12.75" customHeight="1">
      <c r="A893" s="106"/>
      <c r="B893" s="106"/>
      <c r="C893" s="106"/>
      <c r="D893" s="101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9"/>
      <c r="V893" s="109"/>
    </row>
    <row r="894" ht="12.75" customHeight="1">
      <c r="A894" s="106"/>
      <c r="B894" s="106"/>
      <c r="C894" s="106"/>
      <c r="D894" s="101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9"/>
      <c r="V894" s="109"/>
    </row>
    <row r="895" ht="12.75" customHeight="1">
      <c r="A895" s="106"/>
      <c r="B895" s="106"/>
      <c r="C895" s="106"/>
      <c r="D895" s="101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9"/>
      <c r="V895" s="109"/>
    </row>
    <row r="896" ht="12.75" customHeight="1">
      <c r="A896" s="106"/>
      <c r="B896" s="106"/>
      <c r="C896" s="106"/>
      <c r="D896" s="101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9"/>
      <c r="V896" s="109"/>
    </row>
    <row r="897" ht="12.75" customHeight="1">
      <c r="A897" s="106"/>
      <c r="B897" s="106"/>
      <c r="C897" s="106"/>
      <c r="D897" s="101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9"/>
      <c r="V897" s="109"/>
    </row>
    <row r="898" ht="12.75" customHeight="1">
      <c r="A898" s="106"/>
      <c r="B898" s="106"/>
      <c r="C898" s="106"/>
      <c r="D898" s="101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9"/>
      <c r="V898" s="109"/>
    </row>
    <row r="899" ht="12.75" customHeight="1">
      <c r="A899" s="106"/>
      <c r="B899" s="106"/>
      <c r="C899" s="106"/>
      <c r="D899" s="101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9"/>
      <c r="V899" s="109"/>
    </row>
    <row r="900" ht="12.75" customHeight="1">
      <c r="A900" s="106"/>
      <c r="B900" s="106"/>
      <c r="C900" s="106"/>
      <c r="D900" s="101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9"/>
      <c r="V900" s="109"/>
    </row>
    <row r="901" ht="12.75" customHeight="1">
      <c r="A901" s="106"/>
      <c r="B901" s="106"/>
      <c r="C901" s="106"/>
      <c r="D901" s="101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9"/>
      <c r="V901" s="109"/>
    </row>
    <row r="902" ht="12.75" customHeight="1">
      <c r="A902" s="106"/>
      <c r="B902" s="106"/>
      <c r="C902" s="106"/>
      <c r="D902" s="101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9"/>
      <c r="V902" s="109"/>
    </row>
    <row r="903" ht="12.75" customHeight="1">
      <c r="A903" s="106"/>
      <c r="B903" s="106"/>
      <c r="C903" s="106"/>
      <c r="D903" s="101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9"/>
      <c r="V903" s="109"/>
    </row>
    <row r="904" ht="12.75" customHeight="1">
      <c r="A904" s="106"/>
      <c r="B904" s="106"/>
      <c r="C904" s="106"/>
      <c r="D904" s="101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9"/>
      <c r="V904" s="109"/>
    </row>
    <row r="905" ht="12.75" customHeight="1">
      <c r="A905" s="106"/>
      <c r="B905" s="106"/>
      <c r="C905" s="106"/>
      <c r="D905" s="101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9"/>
      <c r="V905" s="109"/>
    </row>
    <row r="906" ht="12.75" customHeight="1">
      <c r="A906" s="106"/>
      <c r="B906" s="106"/>
      <c r="C906" s="106"/>
      <c r="D906" s="101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9"/>
      <c r="V906" s="109"/>
    </row>
    <row r="907" ht="12.75" customHeight="1">
      <c r="A907" s="106"/>
      <c r="B907" s="106"/>
      <c r="C907" s="106"/>
      <c r="D907" s="101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9"/>
      <c r="V907" s="109"/>
    </row>
    <row r="908" ht="12.75" customHeight="1">
      <c r="A908" s="106"/>
      <c r="B908" s="106"/>
      <c r="C908" s="106"/>
      <c r="D908" s="101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9"/>
      <c r="V908" s="109"/>
    </row>
    <row r="909" ht="12.75" customHeight="1">
      <c r="A909" s="106"/>
      <c r="B909" s="106"/>
      <c r="C909" s="106"/>
      <c r="D909" s="101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9"/>
      <c r="V909" s="109"/>
    </row>
    <row r="910" ht="12.75" customHeight="1">
      <c r="A910" s="106"/>
      <c r="B910" s="106"/>
      <c r="C910" s="106"/>
      <c r="D910" s="101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9"/>
      <c r="V910" s="109"/>
    </row>
    <row r="911" ht="12.75" customHeight="1">
      <c r="A911" s="106"/>
      <c r="B911" s="106"/>
      <c r="C911" s="106"/>
      <c r="D911" s="101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9"/>
      <c r="V911" s="109"/>
    </row>
    <row r="912" ht="12.75" customHeight="1">
      <c r="A912" s="106"/>
      <c r="B912" s="106"/>
      <c r="C912" s="106"/>
      <c r="D912" s="101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9"/>
      <c r="V912" s="109"/>
    </row>
    <row r="913" ht="12.75" customHeight="1">
      <c r="A913" s="106"/>
      <c r="B913" s="106"/>
      <c r="C913" s="106"/>
      <c r="D913" s="101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9"/>
      <c r="V913" s="109"/>
    </row>
    <row r="914" ht="12.75" customHeight="1">
      <c r="A914" s="106"/>
      <c r="B914" s="106"/>
      <c r="C914" s="106"/>
      <c r="D914" s="101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9"/>
      <c r="V914" s="109"/>
    </row>
    <row r="915" ht="12.75" customHeight="1">
      <c r="A915" s="106"/>
      <c r="B915" s="106"/>
      <c r="C915" s="106"/>
      <c r="D915" s="101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9"/>
      <c r="V915" s="109"/>
    </row>
    <row r="916" ht="12.75" customHeight="1">
      <c r="A916" s="106"/>
      <c r="B916" s="106"/>
      <c r="C916" s="106"/>
      <c r="D916" s="101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9"/>
      <c r="V916" s="109"/>
    </row>
    <row r="917" ht="12.75" customHeight="1">
      <c r="A917" s="106"/>
      <c r="B917" s="106"/>
      <c r="C917" s="106"/>
      <c r="D917" s="101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9"/>
      <c r="V917" s="109"/>
    </row>
    <row r="918" ht="12.75" customHeight="1">
      <c r="A918" s="106"/>
      <c r="B918" s="106"/>
      <c r="C918" s="106"/>
      <c r="D918" s="101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9"/>
      <c r="V918" s="109"/>
    </row>
    <row r="919" ht="12.75" customHeight="1">
      <c r="A919" s="106"/>
      <c r="B919" s="106"/>
      <c r="C919" s="106"/>
      <c r="D919" s="101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9"/>
      <c r="V919" s="109"/>
    </row>
    <row r="920" ht="12.75" customHeight="1">
      <c r="A920" s="106"/>
      <c r="B920" s="106"/>
      <c r="C920" s="106"/>
      <c r="D920" s="101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9"/>
      <c r="V920" s="109"/>
    </row>
    <row r="921" ht="12.75" customHeight="1">
      <c r="A921" s="106"/>
      <c r="B921" s="106"/>
      <c r="C921" s="106"/>
      <c r="D921" s="101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9"/>
      <c r="V921" s="109"/>
    </row>
    <row r="922" ht="12.75" customHeight="1">
      <c r="A922" s="106"/>
      <c r="B922" s="106"/>
      <c r="C922" s="106"/>
      <c r="D922" s="101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9"/>
      <c r="V922" s="109"/>
    </row>
    <row r="923" ht="12.75" customHeight="1">
      <c r="A923" s="106"/>
      <c r="B923" s="106"/>
      <c r="C923" s="106"/>
      <c r="D923" s="101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9"/>
      <c r="V923" s="109"/>
    </row>
    <row r="924" ht="12.75" customHeight="1">
      <c r="A924" s="106"/>
      <c r="B924" s="106"/>
      <c r="C924" s="106"/>
      <c r="D924" s="101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9"/>
      <c r="V924" s="109"/>
    </row>
    <row r="925" ht="12.75" customHeight="1">
      <c r="A925" s="106"/>
      <c r="B925" s="106"/>
      <c r="C925" s="106"/>
      <c r="D925" s="101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9"/>
      <c r="V925" s="109"/>
    </row>
    <row r="926" ht="12.75" customHeight="1">
      <c r="A926" s="106"/>
      <c r="B926" s="106"/>
      <c r="C926" s="106"/>
      <c r="D926" s="101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9"/>
      <c r="V926" s="109"/>
    </row>
    <row r="927" ht="12.75" customHeight="1">
      <c r="A927" s="106"/>
      <c r="B927" s="106"/>
      <c r="C927" s="106"/>
      <c r="D927" s="101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9"/>
      <c r="V927" s="109"/>
    </row>
    <row r="928" ht="12.75" customHeight="1">
      <c r="A928" s="106"/>
      <c r="B928" s="106"/>
      <c r="C928" s="106"/>
      <c r="D928" s="101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9"/>
      <c r="V928" s="109"/>
    </row>
    <row r="929" ht="12.75" customHeight="1">
      <c r="A929" s="106"/>
      <c r="B929" s="106"/>
      <c r="C929" s="106"/>
      <c r="D929" s="101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9"/>
      <c r="V929" s="109"/>
    </row>
    <row r="930" ht="12.75" customHeight="1">
      <c r="A930" s="106"/>
      <c r="B930" s="106"/>
      <c r="C930" s="106"/>
      <c r="D930" s="101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9"/>
      <c r="V930" s="109"/>
    </row>
    <row r="931" ht="12.75" customHeight="1">
      <c r="A931" s="106"/>
      <c r="B931" s="106"/>
      <c r="C931" s="106"/>
      <c r="D931" s="101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9"/>
      <c r="V931" s="109"/>
    </row>
    <row r="932" ht="12.75" customHeight="1">
      <c r="A932" s="106"/>
      <c r="B932" s="106"/>
      <c r="C932" s="106"/>
      <c r="D932" s="101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9"/>
      <c r="V932" s="109"/>
    </row>
    <row r="933" ht="12.75" customHeight="1">
      <c r="A933" s="106"/>
      <c r="B933" s="106"/>
      <c r="C933" s="106"/>
      <c r="D933" s="101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9"/>
      <c r="V933" s="109"/>
    </row>
    <row r="934" ht="12.75" customHeight="1">
      <c r="A934" s="106"/>
      <c r="B934" s="106"/>
      <c r="C934" s="106"/>
      <c r="D934" s="101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9"/>
      <c r="V934" s="109"/>
    </row>
    <row r="935" ht="12.75" customHeight="1">
      <c r="A935" s="106"/>
      <c r="B935" s="106"/>
      <c r="C935" s="106"/>
      <c r="D935" s="101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9"/>
      <c r="V935" s="109"/>
    </row>
    <row r="936" ht="12.75" customHeight="1">
      <c r="A936" s="106"/>
      <c r="B936" s="106"/>
      <c r="C936" s="106"/>
      <c r="D936" s="101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9"/>
      <c r="V936" s="109"/>
    </row>
    <row r="937" ht="12.75" customHeight="1">
      <c r="A937" s="106"/>
      <c r="B937" s="106"/>
      <c r="C937" s="106"/>
      <c r="D937" s="101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9"/>
      <c r="V937" s="109"/>
    </row>
    <row r="938" ht="12.75" customHeight="1">
      <c r="A938" s="106"/>
      <c r="B938" s="106"/>
      <c r="C938" s="106"/>
      <c r="D938" s="101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9"/>
      <c r="V938" s="109"/>
    </row>
    <row r="939" ht="12.75" customHeight="1">
      <c r="A939" s="106"/>
      <c r="B939" s="106"/>
      <c r="C939" s="106"/>
      <c r="D939" s="101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9"/>
      <c r="V939" s="109"/>
    </row>
    <row r="940" ht="12.75" customHeight="1">
      <c r="A940" s="106"/>
      <c r="B940" s="106"/>
      <c r="C940" s="106"/>
      <c r="D940" s="101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9"/>
      <c r="V940" s="109"/>
    </row>
    <row r="941" ht="12.75" customHeight="1">
      <c r="A941" s="106"/>
      <c r="B941" s="106"/>
      <c r="C941" s="106"/>
      <c r="D941" s="101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9"/>
      <c r="V941" s="109"/>
    </row>
    <row r="942" ht="12.75" customHeight="1">
      <c r="A942" s="106"/>
      <c r="B942" s="106"/>
      <c r="C942" s="106"/>
      <c r="D942" s="101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9"/>
      <c r="V942" s="109"/>
    </row>
    <row r="943" ht="12.75" customHeight="1">
      <c r="A943" s="106"/>
      <c r="B943" s="106"/>
      <c r="C943" s="106"/>
      <c r="D943" s="101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9"/>
      <c r="V943" s="109"/>
    </row>
    <row r="944" ht="12.75" customHeight="1">
      <c r="A944" s="106"/>
      <c r="B944" s="106"/>
      <c r="C944" s="106"/>
      <c r="D944" s="101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9"/>
      <c r="V944" s="109"/>
    </row>
    <row r="945" ht="12.75" customHeight="1">
      <c r="A945" s="106"/>
      <c r="B945" s="106"/>
      <c r="C945" s="106"/>
      <c r="D945" s="101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9"/>
      <c r="V945" s="109"/>
    </row>
    <row r="946" ht="12.75" customHeight="1">
      <c r="A946" s="106"/>
      <c r="B946" s="106"/>
      <c r="C946" s="106"/>
      <c r="D946" s="101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9"/>
      <c r="V946" s="109"/>
    </row>
    <row r="947" ht="12.75" customHeight="1">
      <c r="A947" s="106"/>
      <c r="B947" s="106"/>
      <c r="C947" s="106"/>
      <c r="D947" s="101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9"/>
      <c r="V947" s="109"/>
    </row>
    <row r="948" ht="12.75" customHeight="1">
      <c r="A948" s="106"/>
      <c r="B948" s="106"/>
      <c r="C948" s="106"/>
      <c r="D948" s="101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9"/>
      <c r="V948" s="109"/>
    </row>
    <row r="949" ht="12.75" customHeight="1">
      <c r="A949" s="106"/>
      <c r="B949" s="106"/>
      <c r="C949" s="106"/>
      <c r="D949" s="101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9"/>
      <c r="V949" s="109"/>
    </row>
    <row r="950" ht="12.75" customHeight="1">
      <c r="A950" s="106"/>
      <c r="B950" s="106"/>
      <c r="C950" s="106"/>
      <c r="D950" s="101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9"/>
      <c r="V950" s="109"/>
    </row>
    <row r="951" ht="12.75" customHeight="1">
      <c r="A951" s="106"/>
      <c r="B951" s="106"/>
      <c r="C951" s="106"/>
      <c r="D951" s="101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9"/>
      <c r="V951" s="109"/>
    </row>
    <row r="952" ht="12.75" customHeight="1">
      <c r="A952" s="106"/>
      <c r="B952" s="106"/>
      <c r="C952" s="106"/>
      <c r="D952" s="101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9"/>
      <c r="V952" s="109"/>
    </row>
    <row r="953" ht="12.75" customHeight="1">
      <c r="A953" s="106"/>
      <c r="B953" s="106"/>
      <c r="C953" s="106"/>
      <c r="D953" s="101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9"/>
      <c r="V953" s="109"/>
    </row>
    <row r="954" ht="12.75" customHeight="1">
      <c r="A954" s="106"/>
      <c r="B954" s="106"/>
      <c r="C954" s="106"/>
      <c r="D954" s="101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9"/>
      <c r="V954" s="109"/>
    </row>
    <row r="955" ht="12.75" customHeight="1">
      <c r="A955" s="106"/>
      <c r="B955" s="106"/>
      <c r="C955" s="106"/>
      <c r="D955" s="101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9"/>
      <c r="V955" s="109"/>
    </row>
    <row r="956" ht="12.75" customHeight="1">
      <c r="A956" s="106"/>
      <c r="B956" s="106"/>
      <c r="C956" s="106"/>
      <c r="D956" s="101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9"/>
      <c r="V956" s="109"/>
    </row>
    <row r="957" ht="12.75" customHeight="1">
      <c r="A957" s="106"/>
      <c r="B957" s="106"/>
      <c r="C957" s="106"/>
      <c r="D957" s="101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9"/>
      <c r="V957" s="109"/>
    </row>
    <row r="958" ht="12.75" customHeight="1">
      <c r="A958" s="106"/>
      <c r="B958" s="106"/>
      <c r="C958" s="106"/>
      <c r="D958" s="101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9"/>
      <c r="V958" s="109"/>
    </row>
    <row r="959" ht="12.75" customHeight="1">
      <c r="A959" s="106"/>
      <c r="B959" s="106"/>
      <c r="C959" s="106"/>
      <c r="D959" s="101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9"/>
      <c r="V959" s="109"/>
    </row>
    <row r="960" ht="12.75" customHeight="1">
      <c r="A960" s="106"/>
      <c r="B960" s="106"/>
      <c r="C960" s="106"/>
      <c r="D960" s="101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9"/>
      <c r="V960" s="109"/>
    </row>
    <row r="961" ht="12.75" customHeight="1">
      <c r="A961" s="106"/>
      <c r="B961" s="106"/>
      <c r="C961" s="106"/>
      <c r="D961" s="101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9"/>
      <c r="V961" s="109"/>
    </row>
    <row r="962" ht="12.75" customHeight="1">
      <c r="A962" s="106"/>
      <c r="B962" s="106"/>
      <c r="C962" s="106"/>
      <c r="D962" s="101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9"/>
      <c r="V962" s="109"/>
    </row>
    <row r="963" ht="12.75" customHeight="1">
      <c r="A963" s="106"/>
      <c r="B963" s="106"/>
      <c r="C963" s="106"/>
      <c r="D963" s="101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9"/>
      <c r="V963" s="109"/>
    </row>
    <row r="964" ht="12.75" customHeight="1">
      <c r="A964" s="106"/>
      <c r="B964" s="106"/>
      <c r="C964" s="106"/>
      <c r="D964" s="101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9"/>
      <c r="V964" s="109"/>
    </row>
    <row r="965" ht="12.75" customHeight="1">
      <c r="A965" s="106"/>
      <c r="B965" s="106"/>
      <c r="C965" s="106"/>
      <c r="D965" s="101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9"/>
      <c r="V965" s="109"/>
    </row>
    <row r="966" ht="12.75" customHeight="1">
      <c r="A966" s="106"/>
      <c r="B966" s="106"/>
      <c r="C966" s="106"/>
      <c r="D966" s="101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9"/>
      <c r="V966" s="109"/>
    </row>
    <row r="967" ht="12.75" customHeight="1">
      <c r="A967" s="106"/>
      <c r="B967" s="106"/>
      <c r="C967" s="106"/>
      <c r="D967" s="101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9"/>
      <c r="V967" s="109"/>
    </row>
    <row r="968" ht="12.75" customHeight="1">
      <c r="A968" s="106"/>
      <c r="B968" s="106"/>
      <c r="C968" s="106"/>
      <c r="D968" s="101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9"/>
      <c r="V968" s="109"/>
    </row>
    <row r="969" ht="12.75" customHeight="1">
      <c r="A969" s="106"/>
      <c r="B969" s="106"/>
      <c r="C969" s="106"/>
      <c r="D969" s="101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9"/>
      <c r="V969" s="109"/>
    </row>
    <row r="970" ht="12.75" customHeight="1">
      <c r="A970" s="106"/>
      <c r="B970" s="106"/>
      <c r="C970" s="106"/>
      <c r="D970" s="101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9"/>
      <c r="V970" s="109"/>
    </row>
    <row r="971" ht="12.75" customHeight="1">
      <c r="A971" s="106"/>
      <c r="B971" s="106"/>
      <c r="C971" s="106"/>
      <c r="D971" s="101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9"/>
      <c r="V971" s="109"/>
    </row>
    <row r="972" ht="12.75" customHeight="1">
      <c r="A972" s="106"/>
      <c r="B972" s="106"/>
      <c r="C972" s="106"/>
      <c r="D972" s="101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9"/>
      <c r="V972" s="109"/>
    </row>
    <row r="973" ht="12.75" customHeight="1">
      <c r="A973" s="106"/>
      <c r="B973" s="106"/>
      <c r="C973" s="106"/>
      <c r="D973" s="101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9"/>
      <c r="V973" s="109"/>
    </row>
    <row r="974" ht="12.75" customHeight="1">
      <c r="A974" s="106"/>
      <c r="B974" s="106"/>
      <c r="C974" s="106"/>
      <c r="D974" s="101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9"/>
      <c r="V974" s="109"/>
    </row>
    <row r="975" ht="12.75" customHeight="1">
      <c r="A975" s="106"/>
      <c r="B975" s="106"/>
      <c r="C975" s="106"/>
      <c r="D975" s="101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9"/>
      <c r="V975" s="109"/>
    </row>
    <row r="976" ht="12.75" customHeight="1">
      <c r="A976" s="106"/>
      <c r="B976" s="106"/>
      <c r="C976" s="106"/>
      <c r="D976" s="101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9"/>
      <c r="V976" s="109"/>
    </row>
    <row r="977" ht="12.75" customHeight="1">
      <c r="A977" s="106"/>
      <c r="B977" s="106"/>
      <c r="C977" s="106"/>
      <c r="D977" s="101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9"/>
      <c r="V977" s="109"/>
    </row>
    <row r="978" ht="12.75" customHeight="1">
      <c r="A978" s="106"/>
      <c r="B978" s="106"/>
      <c r="C978" s="106"/>
      <c r="D978" s="101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9"/>
      <c r="V978" s="109"/>
    </row>
    <row r="979" ht="12.75" customHeight="1">
      <c r="A979" s="106"/>
      <c r="B979" s="106"/>
      <c r="C979" s="106"/>
      <c r="D979" s="101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9"/>
      <c r="V979" s="109"/>
    </row>
    <row r="980" ht="12.75" customHeight="1">
      <c r="A980" s="106"/>
      <c r="B980" s="106"/>
      <c r="C980" s="106"/>
      <c r="D980" s="101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9"/>
      <c r="V980" s="109"/>
    </row>
    <row r="981" ht="12.75" customHeight="1">
      <c r="A981" s="106"/>
      <c r="B981" s="106"/>
      <c r="C981" s="106"/>
      <c r="D981" s="101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9"/>
      <c r="V981" s="109"/>
    </row>
    <row r="982" ht="12.75" customHeight="1">
      <c r="A982" s="106"/>
      <c r="B982" s="106"/>
      <c r="C982" s="106"/>
      <c r="D982" s="101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9"/>
      <c r="V982" s="109"/>
    </row>
    <row r="983" ht="12.75" customHeight="1">
      <c r="A983" s="106"/>
      <c r="B983" s="106"/>
      <c r="C983" s="106"/>
      <c r="D983" s="101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9"/>
      <c r="V983" s="109"/>
    </row>
    <row r="984" ht="12.75" customHeight="1">
      <c r="A984" s="106"/>
      <c r="B984" s="106"/>
      <c r="C984" s="106"/>
      <c r="D984" s="101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9"/>
      <c r="V984" s="109"/>
    </row>
    <row r="985" ht="12.75" customHeight="1">
      <c r="A985" s="106"/>
      <c r="B985" s="106"/>
      <c r="C985" s="106"/>
      <c r="D985" s="101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9"/>
      <c r="V985" s="109"/>
    </row>
    <row r="986" ht="12.75" customHeight="1">
      <c r="A986" s="106"/>
      <c r="B986" s="106"/>
      <c r="C986" s="106"/>
      <c r="D986" s="101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9"/>
      <c r="V986" s="109"/>
    </row>
    <row r="987" ht="12.75" customHeight="1">
      <c r="A987" s="106"/>
      <c r="B987" s="106"/>
      <c r="C987" s="106"/>
      <c r="D987" s="101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9"/>
      <c r="V987" s="109"/>
    </row>
    <row r="988" ht="12.75" customHeight="1">
      <c r="A988" s="106"/>
      <c r="B988" s="106"/>
      <c r="C988" s="106"/>
      <c r="D988" s="101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9"/>
      <c r="V988" s="109"/>
    </row>
    <row r="989" ht="12.75" customHeight="1">
      <c r="A989" s="106"/>
      <c r="B989" s="106"/>
      <c r="C989" s="106"/>
      <c r="D989" s="101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9"/>
      <c r="V989" s="109"/>
    </row>
    <row r="990" ht="12.75" customHeight="1">
      <c r="A990" s="106"/>
      <c r="B990" s="106"/>
      <c r="C990" s="106"/>
      <c r="D990" s="101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9"/>
      <c r="V990" s="109"/>
    </row>
    <row r="991" ht="12.75" customHeight="1">
      <c r="A991" s="106"/>
      <c r="B991" s="106"/>
      <c r="C991" s="106"/>
      <c r="D991" s="101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9"/>
      <c r="V991" s="109"/>
    </row>
    <row r="992" ht="12.75" customHeight="1">
      <c r="A992" s="106"/>
      <c r="B992" s="106"/>
      <c r="C992" s="106"/>
      <c r="D992" s="101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9"/>
      <c r="V992" s="109"/>
    </row>
    <row r="993" ht="12.75" customHeight="1">
      <c r="A993" s="106"/>
      <c r="B993" s="106"/>
      <c r="C993" s="106"/>
      <c r="D993" s="101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9"/>
      <c r="V993" s="109"/>
    </row>
    <row r="994" ht="12.75" customHeight="1">
      <c r="A994" s="106"/>
      <c r="B994" s="106"/>
      <c r="C994" s="106"/>
      <c r="D994" s="101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9"/>
      <c r="V994" s="109"/>
    </row>
    <row r="995" ht="12.75" customHeight="1">
      <c r="A995" s="106"/>
      <c r="B995" s="106"/>
      <c r="C995" s="106"/>
      <c r="D995" s="101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9"/>
      <c r="V995" s="109"/>
    </row>
    <row r="996" ht="12.75" customHeight="1">
      <c r="A996" s="106"/>
      <c r="B996" s="106"/>
      <c r="C996" s="106"/>
      <c r="D996" s="101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9"/>
      <c r="V996" s="109"/>
    </row>
    <row r="997" ht="12.75" customHeight="1">
      <c r="A997" s="106"/>
      <c r="B997" s="106"/>
      <c r="C997" s="106"/>
      <c r="D997" s="101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9"/>
      <c r="V997" s="109"/>
    </row>
    <row r="998" ht="12.75" customHeight="1">
      <c r="A998" s="106"/>
      <c r="B998" s="106"/>
      <c r="C998" s="106"/>
      <c r="D998" s="101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9"/>
      <c r="V998" s="109"/>
    </row>
    <row r="999" ht="12.75" customHeight="1">
      <c r="A999" s="106"/>
      <c r="B999" s="106"/>
      <c r="C999" s="106"/>
      <c r="D999" s="101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9"/>
      <c r="V999" s="109"/>
    </row>
    <row r="1000" ht="12.75" customHeight="1">
      <c r="A1000" s="106"/>
      <c r="B1000" s="106"/>
      <c r="C1000" s="106"/>
      <c r="D1000" s="101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9"/>
      <c r="V1000" s="109"/>
    </row>
    <row r="1001" ht="12.75" customHeight="1">
      <c r="A1001" s="106"/>
      <c r="B1001" s="106"/>
      <c r="C1001" s="106"/>
      <c r="D1001" s="101"/>
      <c r="E1001" s="106"/>
      <c r="F1001" s="107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9"/>
      <c r="V1001" s="109"/>
    </row>
    <row r="1002" ht="12.75" customHeight="1">
      <c r="A1002" s="106"/>
      <c r="B1002" s="106"/>
      <c r="C1002" s="106"/>
      <c r="D1002" s="101"/>
      <c r="E1002" s="106"/>
      <c r="F1002" s="107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9"/>
      <c r="V1002" s="109"/>
    </row>
    <row r="1003" ht="12.75" customHeight="1">
      <c r="A1003" s="106"/>
      <c r="B1003" s="106"/>
      <c r="C1003" s="106"/>
      <c r="D1003" s="101"/>
      <c r="E1003" s="106"/>
      <c r="F1003" s="107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9"/>
      <c r="V1003" s="109"/>
    </row>
    <row r="1004" ht="12.75" customHeight="1">
      <c r="A1004" s="106"/>
      <c r="B1004" s="106"/>
      <c r="C1004" s="106"/>
      <c r="D1004" s="101"/>
      <c r="E1004" s="106"/>
      <c r="F1004" s="107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9"/>
      <c r="V1004" s="109"/>
    </row>
    <row r="1005" ht="12.75" customHeight="1">
      <c r="A1005" s="106"/>
      <c r="B1005" s="106"/>
      <c r="C1005" s="106"/>
      <c r="D1005" s="101"/>
      <c r="E1005" s="106"/>
      <c r="F1005" s="107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9"/>
      <c r="V1005" s="109"/>
    </row>
    <row r="1006" ht="12.75" customHeight="1">
      <c r="A1006" s="106"/>
      <c r="B1006" s="106"/>
      <c r="C1006" s="106"/>
      <c r="D1006" s="101"/>
      <c r="E1006" s="106"/>
      <c r="F1006" s="107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9"/>
      <c r="V1006" s="109"/>
    </row>
    <row r="1007" ht="12.75" customHeight="1">
      <c r="A1007" s="106"/>
      <c r="B1007" s="106"/>
      <c r="C1007" s="106"/>
      <c r="D1007" s="101"/>
      <c r="E1007" s="106"/>
      <c r="F1007" s="107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9"/>
      <c r="V1007" s="109"/>
    </row>
    <row r="1008" ht="12.75" customHeight="1">
      <c r="A1008" s="106"/>
      <c r="B1008" s="106"/>
      <c r="C1008" s="106"/>
      <c r="D1008" s="101"/>
      <c r="E1008" s="106"/>
      <c r="F1008" s="107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9"/>
      <c r="V1008" s="109"/>
    </row>
    <row r="1009" ht="12.75" customHeight="1">
      <c r="A1009" s="106"/>
      <c r="B1009" s="106"/>
      <c r="C1009" s="106"/>
      <c r="D1009" s="101"/>
      <c r="E1009" s="106"/>
      <c r="F1009" s="107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9"/>
      <c r="V1009" s="109"/>
    </row>
    <row r="1010" ht="12.75" customHeight="1">
      <c r="A1010" s="106"/>
      <c r="B1010" s="106"/>
      <c r="C1010" s="106"/>
      <c r="D1010" s="101"/>
      <c r="E1010" s="106"/>
      <c r="F1010" s="107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9"/>
      <c r="V1010" s="109"/>
    </row>
    <row r="1011" ht="12.75" customHeight="1">
      <c r="A1011" s="106"/>
      <c r="B1011" s="106"/>
      <c r="C1011" s="106"/>
      <c r="D1011" s="101"/>
      <c r="E1011" s="106"/>
      <c r="F1011" s="107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9"/>
      <c r="V1011" s="109"/>
    </row>
    <row r="1012" ht="12.75" customHeight="1">
      <c r="A1012" s="106"/>
      <c r="B1012" s="106"/>
      <c r="C1012" s="106"/>
      <c r="D1012" s="101"/>
      <c r="E1012" s="106"/>
      <c r="F1012" s="107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9"/>
      <c r="V1012" s="109"/>
    </row>
    <row r="1013" ht="12.75" customHeight="1">
      <c r="A1013" s="106"/>
      <c r="B1013" s="106"/>
      <c r="C1013" s="106"/>
      <c r="D1013" s="101"/>
      <c r="E1013" s="106"/>
      <c r="F1013" s="107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9"/>
      <c r="V1013" s="109"/>
    </row>
    <row r="1014" ht="12.75" customHeight="1">
      <c r="A1014" s="106"/>
      <c r="B1014" s="106"/>
      <c r="C1014" s="106"/>
      <c r="D1014" s="101"/>
      <c r="E1014" s="106"/>
      <c r="F1014" s="107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9"/>
      <c r="V1014" s="109"/>
    </row>
    <row r="1015" ht="12.75" customHeight="1">
      <c r="A1015" s="106"/>
      <c r="B1015" s="106"/>
      <c r="C1015" s="106"/>
      <c r="D1015" s="101"/>
      <c r="E1015" s="106"/>
      <c r="F1015" s="107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9"/>
      <c r="V1015" s="109"/>
    </row>
    <row r="1016" ht="12.75" customHeight="1">
      <c r="A1016" s="106"/>
      <c r="B1016" s="106"/>
      <c r="C1016" s="106"/>
      <c r="D1016" s="101"/>
      <c r="E1016" s="106"/>
      <c r="F1016" s="107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9"/>
      <c r="V1016" s="109"/>
    </row>
    <row r="1017" ht="12.75" customHeight="1">
      <c r="A1017" s="106"/>
      <c r="B1017" s="106"/>
      <c r="C1017" s="106"/>
      <c r="D1017" s="101"/>
      <c r="E1017" s="106"/>
      <c r="F1017" s="107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9"/>
      <c r="V1017" s="109"/>
    </row>
    <row r="1018" ht="12.75" customHeight="1">
      <c r="A1018" s="106"/>
      <c r="B1018" s="106"/>
      <c r="C1018" s="106"/>
      <c r="D1018" s="101"/>
      <c r="E1018" s="106"/>
      <c r="F1018" s="107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9"/>
      <c r="V1018" s="109"/>
    </row>
    <row r="1019" ht="12.75" customHeight="1">
      <c r="A1019" s="106"/>
      <c r="B1019" s="106"/>
      <c r="C1019" s="106"/>
      <c r="D1019" s="101"/>
      <c r="E1019" s="106"/>
      <c r="F1019" s="107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9"/>
      <c r="V1019" s="109"/>
    </row>
    <row r="1020" ht="12.75" customHeight="1">
      <c r="A1020" s="106"/>
      <c r="B1020" s="106"/>
      <c r="C1020" s="106"/>
      <c r="D1020" s="101"/>
      <c r="E1020" s="106"/>
      <c r="F1020" s="107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9"/>
      <c r="V1020" s="109"/>
    </row>
    <row r="1021" ht="12.75" customHeight="1">
      <c r="A1021" s="106"/>
      <c r="B1021" s="106"/>
      <c r="C1021" s="106"/>
      <c r="D1021" s="101"/>
      <c r="E1021" s="106"/>
      <c r="F1021" s="107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9"/>
      <c r="V1021" s="109"/>
    </row>
    <row r="1022" ht="12.75" customHeight="1">
      <c r="A1022" s="106"/>
      <c r="B1022" s="106"/>
      <c r="C1022" s="106"/>
      <c r="D1022" s="101"/>
      <c r="E1022" s="106"/>
      <c r="F1022" s="107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9"/>
      <c r="V1022" s="109"/>
    </row>
    <row r="1023" ht="12.75" customHeight="1">
      <c r="A1023" s="106"/>
      <c r="B1023" s="106"/>
      <c r="C1023" s="106"/>
      <c r="D1023" s="101"/>
      <c r="E1023" s="106"/>
      <c r="F1023" s="107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9"/>
      <c r="V1023" s="109"/>
    </row>
    <row r="1024" ht="12.75" customHeight="1">
      <c r="A1024" s="106"/>
      <c r="B1024" s="106"/>
      <c r="C1024" s="106"/>
      <c r="D1024" s="101"/>
      <c r="E1024" s="106"/>
      <c r="F1024" s="107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9"/>
      <c r="V1024" s="109"/>
    </row>
    <row r="1025" ht="12.75" customHeight="1">
      <c r="A1025" s="106"/>
      <c r="B1025" s="106"/>
      <c r="C1025" s="106"/>
      <c r="D1025" s="101"/>
      <c r="E1025" s="106"/>
      <c r="F1025" s="107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9"/>
      <c r="V1025" s="109"/>
    </row>
    <row r="1026" ht="12.75" customHeight="1">
      <c r="A1026" s="106"/>
      <c r="B1026" s="106"/>
      <c r="C1026" s="106"/>
      <c r="D1026" s="101"/>
      <c r="E1026" s="106"/>
      <c r="F1026" s="107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9"/>
      <c r="V1026" s="109"/>
    </row>
    <row r="1027" ht="12.75" customHeight="1">
      <c r="A1027" s="106"/>
      <c r="B1027" s="106"/>
      <c r="C1027" s="106"/>
      <c r="D1027" s="101"/>
      <c r="E1027" s="106"/>
      <c r="F1027" s="107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9"/>
      <c r="V1027" s="109"/>
    </row>
    <row r="1028" ht="12.75" customHeight="1">
      <c r="A1028" s="106"/>
      <c r="B1028" s="106"/>
      <c r="C1028" s="106"/>
      <c r="D1028" s="101"/>
      <c r="E1028" s="106"/>
      <c r="F1028" s="107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9"/>
      <c r="V1028" s="109"/>
    </row>
    <row r="1029" ht="12.75" customHeight="1">
      <c r="A1029" s="106"/>
      <c r="B1029" s="106"/>
      <c r="C1029" s="106"/>
      <c r="D1029" s="101"/>
      <c r="E1029" s="106"/>
      <c r="F1029" s="107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9"/>
      <c r="V1029" s="109"/>
    </row>
    <row r="1030" ht="12.75" customHeight="1">
      <c r="A1030" s="106"/>
      <c r="B1030" s="106"/>
      <c r="C1030" s="106"/>
      <c r="D1030" s="101"/>
      <c r="E1030" s="106"/>
      <c r="F1030" s="107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9"/>
      <c r="V1030" s="109"/>
    </row>
    <row r="1031" ht="12.75" customHeight="1">
      <c r="A1031" s="106"/>
      <c r="B1031" s="106"/>
      <c r="C1031" s="106"/>
      <c r="D1031" s="101"/>
      <c r="E1031" s="106"/>
      <c r="F1031" s="107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9"/>
      <c r="V1031" s="109"/>
    </row>
    <row r="1032" ht="12.75" customHeight="1">
      <c r="A1032" s="106"/>
      <c r="B1032" s="106"/>
      <c r="C1032" s="106"/>
      <c r="D1032" s="101"/>
      <c r="E1032" s="106"/>
      <c r="F1032" s="107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9"/>
      <c r="V1032" s="109"/>
    </row>
    <row r="1033" ht="12.75" customHeight="1">
      <c r="A1033" s="106"/>
      <c r="B1033" s="106"/>
      <c r="C1033" s="106"/>
      <c r="D1033" s="101"/>
      <c r="E1033" s="106"/>
      <c r="F1033" s="107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9"/>
      <c r="V1033" s="109"/>
    </row>
    <row r="1034" ht="12.75" customHeight="1">
      <c r="A1034" s="106"/>
      <c r="B1034" s="106"/>
      <c r="C1034" s="106"/>
      <c r="D1034" s="101"/>
      <c r="E1034" s="106"/>
      <c r="F1034" s="107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9"/>
      <c r="V1034" s="109"/>
    </row>
    <row r="1035" ht="12.75" customHeight="1">
      <c r="A1035" s="106"/>
      <c r="B1035" s="106"/>
      <c r="C1035" s="106"/>
      <c r="D1035" s="101"/>
      <c r="E1035" s="106"/>
      <c r="F1035" s="107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9"/>
      <c r="V1035" s="109"/>
    </row>
    <row r="1036" ht="12.75" customHeight="1">
      <c r="A1036" s="106"/>
      <c r="B1036" s="106"/>
      <c r="C1036" s="106"/>
      <c r="D1036" s="101"/>
      <c r="E1036" s="106"/>
      <c r="F1036" s="107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9"/>
      <c r="V1036" s="109"/>
    </row>
    <row r="1037" ht="12.75" customHeight="1">
      <c r="A1037" s="106"/>
      <c r="B1037" s="106"/>
      <c r="C1037" s="106"/>
      <c r="D1037" s="101"/>
      <c r="E1037" s="106"/>
      <c r="F1037" s="107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9"/>
      <c r="V1037" s="109"/>
    </row>
    <row r="1038" ht="12.75" customHeight="1">
      <c r="A1038" s="106"/>
      <c r="B1038" s="106"/>
      <c r="C1038" s="106"/>
      <c r="D1038" s="101"/>
      <c r="E1038" s="106"/>
      <c r="F1038" s="107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9"/>
      <c r="V1038" s="109"/>
    </row>
    <row r="1039" ht="12.75" customHeight="1">
      <c r="A1039" s="106"/>
      <c r="B1039" s="106"/>
      <c r="C1039" s="106"/>
      <c r="D1039" s="101"/>
      <c r="E1039" s="106"/>
      <c r="F1039" s="107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9"/>
      <c r="V1039" s="109"/>
    </row>
    <row r="1040" ht="12.75" customHeight="1">
      <c r="A1040" s="106"/>
      <c r="B1040" s="106"/>
      <c r="C1040" s="106"/>
      <c r="D1040" s="101"/>
      <c r="E1040" s="106"/>
      <c r="F1040" s="107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9"/>
      <c r="V1040" s="109"/>
    </row>
    <row r="1041" ht="12.75" customHeight="1">
      <c r="A1041" s="106"/>
      <c r="B1041" s="106"/>
      <c r="C1041" s="106"/>
      <c r="D1041" s="101"/>
      <c r="E1041" s="106"/>
      <c r="F1041" s="107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9"/>
      <c r="V1041" s="109"/>
    </row>
    <row r="1042" ht="12.75" customHeight="1">
      <c r="A1042" s="106"/>
      <c r="B1042" s="106"/>
      <c r="C1042" s="106"/>
      <c r="D1042" s="101"/>
      <c r="E1042" s="106"/>
      <c r="F1042" s="107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9"/>
      <c r="V1042" s="109"/>
    </row>
    <row r="1043" ht="12.75" customHeight="1">
      <c r="A1043" s="106"/>
      <c r="B1043" s="106"/>
      <c r="C1043" s="106"/>
      <c r="D1043" s="101"/>
      <c r="E1043" s="106"/>
      <c r="F1043" s="107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9"/>
      <c r="V1043" s="109"/>
    </row>
    <row r="1044" ht="12.75" customHeight="1">
      <c r="A1044" s="106"/>
      <c r="B1044" s="106"/>
      <c r="C1044" s="106"/>
      <c r="D1044" s="101"/>
      <c r="E1044" s="106"/>
      <c r="F1044" s="107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9"/>
      <c r="V1044" s="109"/>
    </row>
    <row r="1045" ht="12.75" customHeight="1">
      <c r="A1045" s="106"/>
      <c r="B1045" s="106"/>
      <c r="C1045" s="106"/>
      <c r="D1045" s="101"/>
      <c r="E1045" s="106"/>
      <c r="F1045" s="107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9"/>
      <c r="V1045" s="109"/>
    </row>
    <row r="1046" ht="12.75" customHeight="1">
      <c r="A1046" s="106"/>
      <c r="B1046" s="106"/>
      <c r="C1046" s="106"/>
      <c r="D1046" s="101"/>
      <c r="E1046" s="106"/>
      <c r="F1046" s="107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9"/>
      <c r="V1046" s="109"/>
    </row>
    <row r="1047" ht="12.75" customHeight="1">
      <c r="A1047" s="106"/>
      <c r="B1047" s="106"/>
      <c r="C1047" s="106"/>
      <c r="D1047" s="101"/>
      <c r="E1047" s="106"/>
      <c r="F1047" s="107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9"/>
      <c r="V1047" s="109"/>
    </row>
    <row r="1048" ht="12.75" customHeight="1">
      <c r="A1048" s="106"/>
      <c r="B1048" s="106"/>
      <c r="C1048" s="106"/>
      <c r="D1048" s="101"/>
      <c r="E1048" s="106"/>
      <c r="F1048" s="107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9"/>
      <c r="V1048" s="109"/>
    </row>
    <row r="1049" ht="12.75" customHeight="1">
      <c r="A1049" s="106"/>
      <c r="B1049" s="106"/>
      <c r="C1049" s="106"/>
      <c r="D1049" s="101"/>
      <c r="E1049" s="106"/>
      <c r="F1049" s="107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9"/>
      <c r="V1049" s="109"/>
    </row>
    <row r="1050" ht="12.75" customHeight="1">
      <c r="A1050" s="106"/>
      <c r="B1050" s="106"/>
      <c r="C1050" s="106"/>
      <c r="D1050" s="101"/>
      <c r="E1050" s="106"/>
      <c r="F1050" s="107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9"/>
      <c r="V1050" s="109"/>
    </row>
    <row r="1051" ht="12.75" customHeight="1">
      <c r="A1051" s="106"/>
      <c r="B1051" s="106"/>
      <c r="C1051" s="106"/>
      <c r="D1051" s="101"/>
      <c r="E1051" s="106"/>
      <c r="F1051" s="107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9"/>
      <c r="V1051" s="109"/>
    </row>
    <row r="1052" ht="12.75" customHeight="1">
      <c r="A1052" s="106"/>
      <c r="B1052" s="106"/>
      <c r="C1052" s="106"/>
      <c r="D1052" s="101"/>
      <c r="E1052" s="106"/>
      <c r="F1052" s="107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9"/>
      <c r="V1052" s="109"/>
    </row>
    <row r="1053" ht="12.75" customHeight="1">
      <c r="A1053" s="106"/>
      <c r="B1053" s="106"/>
      <c r="C1053" s="106"/>
      <c r="D1053" s="101"/>
      <c r="E1053" s="106"/>
      <c r="F1053" s="107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9"/>
      <c r="V1053" s="109"/>
    </row>
    <row r="1054" ht="12.75" customHeight="1">
      <c r="A1054" s="106"/>
      <c r="B1054" s="106"/>
      <c r="C1054" s="106"/>
      <c r="D1054" s="101"/>
      <c r="E1054" s="106"/>
      <c r="F1054" s="107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9"/>
      <c r="V1054" s="109"/>
    </row>
    <row r="1055" ht="12.75" customHeight="1">
      <c r="A1055" s="106"/>
      <c r="B1055" s="106"/>
      <c r="C1055" s="106"/>
      <c r="D1055" s="101"/>
      <c r="E1055" s="106"/>
      <c r="F1055" s="107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9"/>
      <c r="V1055" s="109"/>
    </row>
    <row r="1056" ht="12.75" customHeight="1">
      <c r="A1056" s="106"/>
      <c r="B1056" s="106"/>
      <c r="C1056" s="106"/>
      <c r="D1056" s="101"/>
      <c r="E1056" s="106"/>
      <c r="F1056" s="107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9"/>
      <c r="V1056" s="109"/>
    </row>
    <row r="1057" ht="12.75" customHeight="1">
      <c r="A1057" s="106"/>
      <c r="B1057" s="106"/>
      <c r="C1057" s="106"/>
      <c r="D1057" s="101"/>
      <c r="E1057" s="106"/>
      <c r="F1057" s="107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9"/>
      <c r="V1057" s="109"/>
    </row>
    <row r="1058" ht="12.75" customHeight="1">
      <c r="A1058" s="106"/>
      <c r="B1058" s="106"/>
      <c r="C1058" s="106"/>
      <c r="D1058" s="101"/>
      <c r="E1058" s="106"/>
      <c r="F1058" s="107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9"/>
      <c r="V1058" s="109"/>
    </row>
    <row r="1059" ht="12.75" customHeight="1">
      <c r="A1059" s="106"/>
      <c r="B1059" s="106"/>
      <c r="C1059" s="106"/>
      <c r="D1059" s="101"/>
      <c r="E1059" s="106"/>
      <c r="F1059" s="107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9"/>
      <c r="V1059" s="109"/>
    </row>
    <row r="1060" ht="12.75" customHeight="1">
      <c r="A1060" s="106"/>
      <c r="B1060" s="106"/>
      <c r="C1060" s="106"/>
      <c r="D1060" s="101"/>
      <c r="E1060" s="106"/>
      <c r="F1060" s="107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9"/>
      <c r="V1060" s="109"/>
    </row>
    <row r="1061" ht="12.75" customHeight="1">
      <c r="A1061" s="106"/>
      <c r="B1061" s="106"/>
      <c r="C1061" s="106"/>
      <c r="D1061" s="101"/>
      <c r="E1061" s="106"/>
      <c r="F1061" s="107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9"/>
      <c r="V1061" s="109"/>
    </row>
    <row r="1062" ht="12.75" customHeight="1">
      <c r="A1062" s="106"/>
      <c r="B1062" s="106"/>
      <c r="C1062" s="106"/>
      <c r="D1062" s="101"/>
      <c r="E1062" s="106"/>
      <c r="F1062" s="107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9"/>
      <c r="V1062" s="109"/>
    </row>
    <row r="1063" ht="12.75" customHeight="1">
      <c r="A1063" s="106"/>
      <c r="B1063" s="106"/>
      <c r="C1063" s="106"/>
      <c r="D1063" s="101"/>
      <c r="E1063" s="106"/>
      <c r="F1063" s="107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9"/>
      <c r="V1063" s="109"/>
    </row>
    <row r="1064" ht="12.75" customHeight="1">
      <c r="A1064" s="106"/>
      <c r="B1064" s="106"/>
      <c r="C1064" s="106"/>
      <c r="D1064" s="101"/>
      <c r="E1064" s="106"/>
      <c r="F1064" s="107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9"/>
      <c r="V1064" s="109"/>
    </row>
    <row r="1065" ht="12.75" customHeight="1">
      <c r="A1065" s="106"/>
      <c r="B1065" s="106"/>
      <c r="C1065" s="106"/>
      <c r="D1065" s="101"/>
      <c r="E1065" s="106"/>
      <c r="F1065" s="107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9"/>
      <c r="V1065" s="109"/>
    </row>
    <row r="1066" ht="12.75" customHeight="1">
      <c r="A1066" s="106"/>
      <c r="B1066" s="106"/>
      <c r="C1066" s="106"/>
      <c r="D1066" s="101"/>
      <c r="E1066" s="106"/>
      <c r="F1066" s="107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9"/>
      <c r="V1066" s="109"/>
    </row>
    <row r="1067" ht="12.75" customHeight="1">
      <c r="A1067" s="106"/>
      <c r="B1067" s="106"/>
      <c r="C1067" s="106"/>
      <c r="D1067" s="101"/>
      <c r="E1067" s="106"/>
      <c r="F1067" s="107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9"/>
      <c r="V1067" s="109"/>
    </row>
    <row r="1068" ht="12.75" customHeight="1">
      <c r="A1068" s="106"/>
      <c r="B1068" s="106"/>
      <c r="C1068" s="106"/>
      <c r="D1068" s="101"/>
      <c r="E1068" s="106"/>
      <c r="F1068" s="107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9"/>
      <c r="V1068" s="109"/>
    </row>
    <row r="1069" ht="12.75" customHeight="1">
      <c r="A1069" s="106"/>
      <c r="B1069" s="106"/>
      <c r="C1069" s="106"/>
      <c r="D1069" s="101"/>
      <c r="E1069" s="106"/>
      <c r="F1069" s="107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9"/>
      <c r="V1069" s="109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15351</v>
      </c>
      <c r="D2" s="117"/>
      <c r="E2" s="116">
        <f t="shared" ref="E2:R2" si="1">SUM(E5,E11)</f>
        <v>6546</v>
      </c>
      <c r="F2" s="116">
        <f t="shared" si="1"/>
        <v>31</v>
      </c>
      <c r="G2" s="118">
        <f t="shared" si="1"/>
        <v>18</v>
      </c>
      <c r="H2" s="118">
        <f t="shared" si="1"/>
        <v>12</v>
      </c>
      <c r="I2" s="118">
        <f t="shared" si="1"/>
        <v>0</v>
      </c>
      <c r="J2" s="118">
        <f t="shared" si="1"/>
        <v>0</v>
      </c>
      <c r="K2" s="118">
        <f t="shared" si="1"/>
        <v>16</v>
      </c>
      <c r="L2" s="118">
        <f t="shared" si="1"/>
        <v>9</v>
      </c>
      <c r="M2" s="118">
        <f t="shared" si="1"/>
        <v>107</v>
      </c>
      <c r="N2" s="118">
        <f t="shared" si="1"/>
        <v>1</v>
      </c>
      <c r="O2" s="118">
        <f t="shared" si="1"/>
        <v>1</v>
      </c>
      <c r="P2" s="118">
        <f t="shared" si="1"/>
        <v>14</v>
      </c>
      <c r="Q2" s="118">
        <f t="shared" si="1"/>
        <v>10</v>
      </c>
      <c r="R2" s="118">
        <f t="shared" si="1"/>
        <v>4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36</v>
      </c>
      <c r="D4" s="120"/>
      <c r="E4" s="50">
        <f>IFERROR(C2/H2,0)</f>
        <v>1279.25</v>
      </c>
      <c r="F4" s="51">
        <f>IFERROR((G2+R2)/F2,0)</f>
        <v>0.7096774194</v>
      </c>
      <c r="G4" s="51">
        <f>IFERROR(H2/G2,0)</f>
        <v>0.6666666667</v>
      </c>
      <c r="H4" s="50">
        <f>(C2/C4)</f>
        <v>426.4166667</v>
      </c>
      <c r="I4" s="46"/>
      <c r="J4" s="51">
        <f>IFERROR(J2/I2,0)</f>
        <v>0</v>
      </c>
      <c r="K4" s="46"/>
      <c r="L4" s="51">
        <f>IFERROR(L2/K2,0)</f>
        <v>0.5625</v>
      </c>
      <c r="M4" s="52">
        <f>IFERROR(M2/G2,0)</f>
        <v>5.944444444</v>
      </c>
      <c r="N4" s="46"/>
      <c r="O4" s="51">
        <f>IFERROR(O2/N2,0)</f>
        <v>1</v>
      </c>
      <c r="P4" s="53"/>
      <c r="Q4" s="51">
        <f>IFERROR(Q2/P2,0)</f>
        <v>0.7142857143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7782</v>
      </c>
      <c r="D5" s="125"/>
      <c r="E5" s="126">
        <f>SUMIFS(T:T,A:A,B5,D:D,"Y")</f>
        <v>6546</v>
      </c>
      <c r="F5" s="116">
        <f>SUMIF(A:A,B5,G:G)</f>
        <v>21</v>
      </c>
      <c r="G5" s="118">
        <f>SUMIF(A:A,B5,H:H)</f>
        <v>12</v>
      </c>
      <c r="H5" s="118">
        <f>SUMIF(A:A,B5,I:I)</f>
        <v>6</v>
      </c>
      <c r="I5" s="118">
        <f>SUMIF(A:A,B5,P:P)</f>
        <v>0</v>
      </c>
      <c r="J5" s="118">
        <f>SUMIF(A:A,B5,Q:Q)</f>
        <v>0</v>
      </c>
      <c r="K5" s="118">
        <f>SUMIF(A:A,B5,R:R)</f>
        <v>10</v>
      </c>
      <c r="L5" s="118">
        <f>SUMIF(A:A,B5,S:S)</f>
        <v>5</v>
      </c>
      <c r="M5" s="118">
        <f>SUMIF(A:A,B5,M:M)</f>
        <v>89</v>
      </c>
      <c r="N5" s="118">
        <f>SUMIF(A:A,B5,N:N)</f>
        <v>1</v>
      </c>
      <c r="O5" s="118">
        <f>SUMIF(A:A,B5,O:O)</f>
        <v>1</v>
      </c>
      <c r="P5" s="118">
        <f>SUMIF(A:A,B5,J:J)</f>
        <v>10</v>
      </c>
      <c r="Q5" s="118">
        <f>SUMIF(A:A,B5,K:K)</f>
        <v>5</v>
      </c>
      <c r="R5" s="118">
        <f>SUMIF(A:A,B5,L:L)</f>
        <v>2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17</v>
      </c>
      <c r="D7" s="42"/>
      <c r="E7" s="50">
        <f>IFERROR(C5/H5,0)</f>
        <v>1297</v>
      </c>
      <c r="F7" s="51">
        <f>IFERROR((G5+R5)/F5,0)</f>
        <v>0.6666666667</v>
      </c>
      <c r="G7" s="51">
        <f>IFERROR(H5/G5,0)</f>
        <v>0.5</v>
      </c>
      <c r="H7" s="50">
        <f>(C5/C7)</f>
        <v>457.7647059</v>
      </c>
      <c r="I7" s="46"/>
      <c r="J7" s="51">
        <f>IFERROR(J5/I5,0)</f>
        <v>0</v>
      </c>
      <c r="K7" s="46"/>
      <c r="L7" s="51">
        <f>IFERROR(L5/K5,0)</f>
        <v>0.5</v>
      </c>
      <c r="M7" s="53">
        <f>IFERROR(M5/SUM(R5+G5,0),"")</f>
        <v>6.357142857</v>
      </c>
      <c r="N7" s="46"/>
      <c r="O7" s="51">
        <f>IFERROR(O5/N5,0)</f>
        <v>1</v>
      </c>
      <c r="P7" s="53"/>
      <c r="Q7" s="51">
        <f>IFERROR(Q5/P5,0)</f>
        <v>0.5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7782</v>
      </c>
      <c r="D8" s="36"/>
      <c r="E8" s="37">
        <f>SUMIFS(T:T,B:B,B8,D:D,"Y")</f>
        <v>6546</v>
      </c>
      <c r="F8" s="38">
        <f>SUMIF(B19:B1129,B8,G19:G1129)</f>
        <v>21</v>
      </c>
      <c r="G8" s="39">
        <f>SUMIF(B19:B1129,B8,H19:H1129)</f>
        <v>12</v>
      </c>
      <c r="H8" s="38">
        <f>SUMIF(B19:B1129,B8,I19:I1129)</f>
        <v>6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10</v>
      </c>
      <c r="L8" s="39">
        <f>SUMIF(B19:B1129,B8,S19:S1129)</f>
        <v>5</v>
      </c>
      <c r="M8" s="39">
        <f>SUMIF(B19:B1129,B8,M19:M1129)</f>
        <v>89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10</v>
      </c>
      <c r="Q8" s="39">
        <f>SUMIF(B19:B1129,B8,K19:K1129)</f>
        <v>5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1297</v>
      </c>
      <c r="F10" s="51">
        <f>IFERROR((G8+R8)/F8,0)</f>
        <v>0.6666666667</v>
      </c>
      <c r="G10" s="51">
        <f>IFERROR(H8/G8,0)</f>
        <v>0.5</v>
      </c>
      <c r="H10" s="50">
        <f>(C8/C10)</f>
        <v>486.375</v>
      </c>
      <c r="I10" s="46"/>
      <c r="J10" s="51">
        <f>IFERROR(J8/I8,0)</f>
        <v>0</v>
      </c>
      <c r="K10" s="46"/>
      <c r="L10" s="51">
        <f>IFERROR(L8/K8,0)</f>
        <v>0.5</v>
      </c>
      <c r="M10" s="53">
        <f>IFERROR(M8/SUM(G8+R8,0),"")</f>
        <v>6.357142857</v>
      </c>
      <c r="N10" s="46"/>
      <c r="O10" s="51">
        <f>IFERROR(O8/N8,0)</f>
        <v>1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7569</v>
      </c>
      <c r="D11" s="125"/>
      <c r="E11" s="126">
        <f>SUMIFS(T:T,A:A,B11,D:D,"Y")</f>
        <v>0</v>
      </c>
      <c r="F11" s="116">
        <f>SUMIF(A:A,B11,G:G)</f>
        <v>10</v>
      </c>
      <c r="G11" s="118">
        <f>SUMIF(A:A,B11,H:H)</f>
        <v>6</v>
      </c>
      <c r="H11" s="118">
        <f>SUMIF(A:A,B11,I:I)</f>
        <v>6</v>
      </c>
      <c r="I11" s="118">
        <f>SUMIF(A:A,B11,P:P)</f>
        <v>0</v>
      </c>
      <c r="J11" s="118">
        <f>SUMIF(A:A,B11,Q:Q)</f>
        <v>0</v>
      </c>
      <c r="K11" s="118">
        <f>SUMIF(A:A,B11,R:R)</f>
        <v>6</v>
      </c>
      <c r="L11" s="118">
        <f>SUMIF(A:A,B11,S:S)</f>
        <v>4</v>
      </c>
      <c r="M11" s="118">
        <f>SUMIF(A:A,B11,M:M)</f>
        <v>18</v>
      </c>
      <c r="N11" s="118">
        <f>SUMIF(A:A,B11,N:N)</f>
        <v>0</v>
      </c>
      <c r="O11" s="118">
        <f>SUMIF(A:A,B11,O:O)</f>
        <v>0</v>
      </c>
      <c r="P11" s="118">
        <f>SUMIF(A:A,B11,J:J)</f>
        <v>4</v>
      </c>
      <c r="Q11" s="118">
        <f>SUMIF(A:A,B11,K:K)</f>
        <v>5</v>
      </c>
      <c r="R11" s="118">
        <f>SUMIF(A:A,B11,L:L)</f>
        <v>2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19</v>
      </c>
      <c r="D13" s="42"/>
      <c r="E13" s="50">
        <f>IFERROR(C11/H11,0)</f>
        <v>1261.5</v>
      </c>
      <c r="F13" s="51">
        <f>IFERROR((G11+R11)/F11,0)</f>
        <v>0.8</v>
      </c>
      <c r="G13" s="51">
        <f>IFERROR(H11/G11,0)</f>
        <v>1</v>
      </c>
      <c r="H13" s="50">
        <f>(C11/C13)</f>
        <v>398.3684211</v>
      </c>
      <c r="I13" s="46"/>
      <c r="J13" s="51">
        <f>IFERROR(J11/I11,0)</f>
        <v>0</v>
      </c>
      <c r="K13" s="46"/>
      <c r="L13" s="51">
        <f>IFERROR(L11/K11,0)</f>
        <v>0.6666666667</v>
      </c>
      <c r="M13" s="53">
        <f>IFERROR(M11/SUM(R11+G11,0),"")</f>
        <v>2.25</v>
      </c>
      <c r="N13" s="46"/>
      <c r="O13" s="51">
        <f>IFERROR(O11/N11,0)</f>
        <v>0</v>
      </c>
      <c r="P13" s="53"/>
      <c r="Q13" s="51">
        <f>IFERROR(Q11/P11,0)</f>
        <v>1.25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7569</v>
      </c>
      <c r="D14" s="36"/>
      <c r="E14" s="37">
        <f>SUMIFS(T:T,B:B,B14,D:D,"Y")</f>
        <v>0</v>
      </c>
      <c r="F14" s="38">
        <f>SUMIF(B19:B1129,B14,G19:G1129)</f>
        <v>10</v>
      </c>
      <c r="G14" s="39">
        <f>SUMIF(B19:B1129,B14,H19:H1129)</f>
        <v>6</v>
      </c>
      <c r="H14" s="38">
        <f>SUMIF(B19:B1129,B14,I19:I1129)</f>
        <v>6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6</v>
      </c>
      <c r="L14" s="39">
        <f>SUMIF(B19:B1129,B14,S19:S1129)</f>
        <v>4</v>
      </c>
      <c r="M14" s="39">
        <f>SUMIF(B19:B1129,B14,M19:M1129)</f>
        <v>18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4</v>
      </c>
      <c r="Q14" s="39">
        <f>SUMIF(B19:B1129,B14,K19:K1129)</f>
        <v>5</v>
      </c>
      <c r="R14" s="38">
        <f>SUMIF(B19:B1129,B14,L19:L1129)</f>
        <v>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1261.5</v>
      </c>
      <c r="F16" s="51">
        <f>IFERROR((G14+R14)/F14,0)</f>
        <v>0.8</v>
      </c>
      <c r="G16" s="51">
        <f>IFERROR(H14/G14,0)</f>
        <v>1</v>
      </c>
      <c r="H16" s="50">
        <f>(C14/C16)</f>
        <v>420.5</v>
      </c>
      <c r="I16" s="46"/>
      <c r="J16" s="51">
        <f>IFERROR(J14/I14,0)</f>
        <v>0</v>
      </c>
      <c r="K16" s="46"/>
      <c r="L16" s="51">
        <f>IFERROR(L14/K14,0)</f>
        <v>0.6666666667</v>
      </c>
      <c r="M16" s="53">
        <f>IFERROR(M14/SUM(G14+R14,0),"")</f>
        <v>2.25</v>
      </c>
      <c r="N16" s="46"/>
      <c r="O16" s="51">
        <f>IFERROR(O14/N14,0)</f>
        <v>0</v>
      </c>
      <c r="P16" s="53"/>
      <c r="Q16" s="51">
        <f>IFERROR(Q14/P14,0)</f>
        <v>1.25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0" si="2">IFERROR(I20/H20,0)</f>
        <v>0</v>
      </c>
      <c r="V20" s="131">
        <f t="shared" ref="V20:V36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6" t="s">
        <v>26</v>
      </c>
      <c r="B22" s="137" t="s">
        <v>27</v>
      </c>
      <c r="C22" s="137" t="s">
        <v>48</v>
      </c>
      <c r="D22" s="138" t="s">
        <v>46</v>
      </c>
      <c r="E22" s="137" t="s">
        <v>47</v>
      </c>
      <c r="F22" s="137" t="s">
        <v>49</v>
      </c>
      <c r="G22" s="152">
        <v>0.0</v>
      </c>
      <c r="H22" s="152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2">
        <v>0.0</v>
      </c>
      <c r="T22" s="152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39" t="s">
        <v>26</v>
      </c>
      <c r="B23" s="140" t="s">
        <v>27</v>
      </c>
      <c r="C23" s="140" t="s">
        <v>48</v>
      </c>
      <c r="D23" s="75"/>
      <c r="E23" s="141"/>
      <c r="F23" s="63" t="s">
        <v>50</v>
      </c>
      <c r="G23" s="166">
        <v>0.0</v>
      </c>
      <c r="H23" s="166">
        <v>0.0</v>
      </c>
      <c r="I23" s="166">
        <v>0.0</v>
      </c>
      <c r="J23" s="166">
        <v>0.0</v>
      </c>
      <c r="K23" s="166">
        <v>0.0</v>
      </c>
      <c r="L23" s="166">
        <v>0.0</v>
      </c>
      <c r="M23" s="166">
        <v>0.0</v>
      </c>
      <c r="N23" s="166">
        <v>0.0</v>
      </c>
      <c r="O23" s="166">
        <v>0.0</v>
      </c>
      <c r="P23" s="166">
        <v>0.0</v>
      </c>
      <c r="Q23" s="166">
        <v>0.0</v>
      </c>
      <c r="R23" s="166">
        <v>0.0</v>
      </c>
      <c r="S23" s="166">
        <v>0.0</v>
      </c>
      <c r="T23" s="16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2" t="s">
        <v>26</v>
      </c>
      <c r="B24" s="143" t="s">
        <v>27</v>
      </c>
      <c r="C24" s="144" t="s">
        <v>51</v>
      </c>
      <c r="D24" s="145" t="s">
        <v>46</v>
      </c>
      <c r="E24" s="143" t="s">
        <v>47</v>
      </c>
      <c r="F24" s="144" t="s">
        <v>51</v>
      </c>
      <c r="G24" s="152">
        <v>6.0</v>
      </c>
      <c r="H24" s="152">
        <v>2.0</v>
      </c>
      <c r="I24" s="152">
        <v>2.0</v>
      </c>
      <c r="J24" s="152">
        <v>2.0</v>
      </c>
      <c r="K24" s="152">
        <v>2.0</v>
      </c>
      <c r="L24" s="152">
        <v>0.0</v>
      </c>
      <c r="M24" s="152">
        <v>10.0</v>
      </c>
      <c r="N24" s="152">
        <v>0.0</v>
      </c>
      <c r="O24" s="152">
        <v>0.0</v>
      </c>
      <c r="P24" s="152">
        <v>0.0</v>
      </c>
      <c r="Q24" s="152">
        <v>0.0</v>
      </c>
      <c r="R24" s="152">
        <v>2.0</v>
      </c>
      <c r="S24" s="152">
        <v>2.0</v>
      </c>
      <c r="T24" s="152">
        <v>3344.0</v>
      </c>
      <c r="U24" s="131">
        <f t="shared" si="2"/>
        <v>1</v>
      </c>
      <c r="V24" s="131">
        <f t="shared" si="3"/>
        <v>0.3333333333</v>
      </c>
    </row>
    <row r="25" ht="12.75" customHeight="1">
      <c r="A25" s="146" t="s">
        <v>26</v>
      </c>
      <c r="B25" s="147" t="s">
        <v>27</v>
      </c>
      <c r="C25" s="148" t="s">
        <v>51</v>
      </c>
      <c r="D25" s="84"/>
      <c r="E25" s="147" t="s">
        <v>47</v>
      </c>
      <c r="F25" s="148" t="s">
        <v>52</v>
      </c>
      <c r="G25" s="152">
        <v>0.0</v>
      </c>
      <c r="H25" s="152">
        <v>2.0</v>
      </c>
      <c r="I25" s="152">
        <v>0.0</v>
      </c>
      <c r="J25" s="152">
        <v>2.0</v>
      </c>
      <c r="K25" s="152">
        <v>0.0</v>
      </c>
      <c r="L25" s="152">
        <v>1.0</v>
      </c>
      <c r="M25" s="152">
        <v>7.0</v>
      </c>
      <c r="N25" s="152">
        <v>0.0</v>
      </c>
      <c r="O25" s="152">
        <v>0.0</v>
      </c>
      <c r="P25" s="152">
        <v>0.0</v>
      </c>
      <c r="Q25" s="152">
        <v>0.0</v>
      </c>
      <c r="R25" s="152">
        <v>1.0</v>
      </c>
      <c r="S25" s="152">
        <v>0.0</v>
      </c>
      <c r="T25" s="152">
        <v>0.0</v>
      </c>
      <c r="U25" s="131">
        <f t="shared" si="2"/>
        <v>0</v>
      </c>
      <c r="V25" s="131">
        <f t="shared" si="3"/>
        <v>0</v>
      </c>
    </row>
    <row r="26" ht="12.75" customHeight="1">
      <c r="A26" s="146" t="s">
        <v>26</v>
      </c>
      <c r="B26" s="147" t="s">
        <v>27</v>
      </c>
      <c r="C26" s="148" t="s">
        <v>51</v>
      </c>
      <c r="D26" s="84"/>
      <c r="E26" s="147" t="s">
        <v>47</v>
      </c>
      <c r="F26" s="148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6" t="s">
        <v>26</v>
      </c>
      <c r="B27" s="147" t="s">
        <v>27</v>
      </c>
      <c r="C27" s="148" t="s">
        <v>51</v>
      </c>
      <c r="D27" s="84"/>
      <c r="E27" s="147" t="s">
        <v>47</v>
      </c>
      <c r="F27" s="148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6" t="s">
        <v>26</v>
      </c>
      <c r="B28" s="137" t="s">
        <v>27</v>
      </c>
      <c r="C28" s="149" t="s">
        <v>55</v>
      </c>
      <c r="D28" s="150" t="s">
        <v>46</v>
      </c>
      <c r="E28" s="151" t="s">
        <v>47</v>
      </c>
      <c r="F28" s="149" t="s">
        <v>55</v>
      </c>
      <c r="G28" s="152">
        <v>3.0</v>
      </c>
      <c r="H28" s="152">
        <v>3.0</v>
      </c>
      <c r="I28" s="152">
        <v>2.0</v>
      </c>
      <c r="J28" s="152">
        <v>3.0</v>
      </c>
      <c r="K28" s="152">
        <v>2.0</v>
      </c>
      <c r="L28" s="152">
        <v>0.0</v>
      </c>
      <c r="M28" s="152">
        <v>23.0</v>
      </c>
      <c r="N28" s="152">
        <v>0.0</v>
      </c>
      <c r="O28" s="152">
        <v>0.0</v>
      </c>
      <c r="P28" s="152">
        <v>0.0</v>
      </c>
      <c r="Q28" s="152">
        <v>0.0</v>
      </c>
      <c r="R28" s="152">
        <v>3.0</v>
      </c>
      <c r="S28" s="152">
        <v>2.0</v>
      </c>
      <c r="T28" s="152">
        <v>3202.0</v>
      </c>
      <c r="U28" s="131">
        <f t="shared" si="2"/>
        <v>0.6666666667</v>
      </c>
      <c r="V28" s="131">
        <f t="shared" si="3"/>
        <v>1</v>
      </c>
    </row>
    <row r="29" ht="12.75" customHeight="1">
      <c r="A29" s="139" t="s">
        <v>26</v>
      </c>
      <c r="B29" s="140" t="s">
        <v>27</v>
      </c>
      <c r="C29" s="140" t="s">
        <v>55</v>
      </c>
      <c r="D29" s="75"/>
      <c r="E29" s="140" t="s">
        <v>47</v>
      </c>
      <c r="F29" s="63" t="s">
        <v>56</v>
      </c>
      <c r="G29" s="152">
        <v>12.0</v>
      </c>
      <c r="H29" s="152">
        <v>5.0</v>
      </c>
      <c r="I29" s="152">
        <v>2.0</v>
      </c>
      <c r="J29" s="152">
        <v>3.0</v>
      </c>
      <c r="K29" s="152">
        <v>1.0</v>
      </c>
      <c r="L29" s="152">
        <v>1.0</v>
      </c>
      <c r="M29" s="152">
        <v>49.0</v>
      </c>
      <c r="N29" s="152">
        <v>1.0</v>
      </c>
      <c r="O29" s="152">
        <v>1.0</v>
      </c>
      <c r="P29" s="152">
        <v>0.0</v>
      </c>
      <c r="Q29" s="152">
        <v>0.0</v>
      </c>
      <c r="R29" s="152">
        <v>4.0</v>
      </c>
      <c r="S29" s="152">
        <v>1.0</v>
      </c>
      <c r="T29" s="152">
        <v>1236.0</v>
      </c>
      <c r="U29" s="131">
        <f t="shared" si="2"/>
        <v>0.4</v>
      </c>
      <c r="V29" s="131">
        <f t="shared" si="3"/>
        <v>0.5</v>
      </c>
    </row>
    <row r="30" ht="12.75" customHeight="1">
      <c r="A30" s="139" t="s">
        <v>26</v>
      </c>
      <c r="B30" s="140" t="s">
        <v>27</v>
      </c>
      <c r="C30" s="140" t="s">
        <v>55</v>
      </c>
      <c r="D30" s="75"/>
      <c r="E30" s="141"/>
      <c r="F30" s="63" t="s">
        <v>57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31">
        <f t="shared" si="2"/>
        <v>0</v>
      </c>
      <c r="V30" s="131">
        <f t="shared" si="3"/>
        <v>0</v>
      </c>
    </row>
    <row r="31" ht="12.75" customHeight="1">
      <c r="A31" s="139" t="s">
        <v>26</v>
      </c>
      <c r="B31" s="140" t="s">
        <v>27</v>
      </c>
      <c r="C31" s="140" t="s">
        <v>55</v>
      </c>
      <c r="D31" s="75"/>
      <c r="E31" s="140" t="s">
        <v>58</v>
      </c>
      <c r="F31" s="63" t="s">
        <v>59</v>
      </c>
      <c r="G31" s="152">
        <v>0.0</v>
      </c>
      <c r="H31" s="152">
        <v>0.0</v>
      </c>
      <c r="I31" s="152">
        <v>0.0</v>
      </c>
      <c r="J31" s="152">
        <v>0.0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3">
        <v>0.0</v>
      </c>
      <c r="V31" s="131">
        <f t="shared" si="3"/>
        <v>0</v>
      </c>
    </row>
    <row r="32" ht="12.75" customHeight="1">
      <c r="A32" s="142" t="s">
        <v>26</v>
      </c>
      <c r="B32" s="143" t="s">
        <v>27</v>
      </c>
      <c r="C32" s="154" t="s">
        <v>60</v>
      </c>
      <c r="D32" s="145" t="s">
        <v>46</v>
      </c>
      <c r="E32" s="155"/>
      <c r="F32" s="154" t="s">
        <v>60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ref="U32:U36" si="4">IFERROR(I32/H32,0)</f>
        <v>0</v>
      </c>
      <c r="V32" s="131">
        <f t="shared" si="3"/>
        <v>0</v>
      </c>
    </row>
    <row r="33" ht="12.75" customHeight="1">
      <c r="A33" s="146" t="s">
        <v>26</v>
      </c>
      <c r="B33" s="147" t="s">
        <v>27</v>
      </c>
      <c r="C33" s="147" t="s">
        <v>60</v>
      </c>
      <c r="D33" s="84"/>
      <c r="E33" s="155"/>
      <c r="F33" s="156" t="s">
        <v>61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4"/>
        <v>0</v>
      </c>
      <c r="V33" s="131">
        <f t="shared" si="3"/>
        <v>0</v>
      </c>
    </row>
    <row r="34" ht="12.75" customHeight="1">
      <c r="A34" s="146" t="s">
        <v>26</v>
      </c>
      <c r="B34" s="147" t="s">
        <v>27</v>
      </c>
      <c r="C34" s="147" t="s">
        <v>60</v>
      </c>
      <c r="D34" s="84"/>
      <c r="E34" s="155"/>
      <c r="F34" s="156" t="s">
        <v>62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3"/>
        <v>0</v>
      </c>
    </row>
    <row r="35" ht="12.75" customHeight="1">
      <c r="A35" s="146" t="s">
        <v>26</v>
      </c>
      <c r="B35" s="147" t="s">
        <v>27</v>
      </c>
      <c r="C35" s="147" t="s">
        <v>60</v>
      </c>
      <c r="D35" s="84"/>
      <c r="E35" s="155"/>
      <c r="F35" s="156" t="s">
        <v>63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3"/>
        <v>0</v>
      </c>
    </row>
    <row r="36" ht="12.75" customHeight="1">
      <c r="A36" s="146" t="s">
        <v>26</v>
      </c>
      <c r="B36" s="147" t="s">
        <v>27</v>
      </c>
      <c r="C36" s="147" t="s">
        <v>60</v>
      </c>
      <c r="D36" s="84"/>
      <c r="E36" s="155"/>
      <c r="F36" s="156" t="s">
        <v>64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1">
        <f t="shared" si="4"/>
        <v>0</v>
      </c>
      <c r="V36" s="131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128" t="s">
        <v>28</v>
      </c>
      <c r="B38" s="129"/>
      <c r="C38" s="129"/>
      <c r="D38" s="157" t="s">
        <v>46</v>
      </c>
      <c r="E38" s="128" t="s">
        <v>47</v>
      </c>
      <c r="F38" s="128" t="s">
        <v>28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ref="U38:U56" si="5">IFERROR(I38/H38,0)</f>
        <v>0</v>
      </c>
      <c r="V38" s="131">
        <f t="shared" ref="V38:V56" si="6">IFERROR(SUM(H38+L38)/G38,0)</f>
        <v>0</v>
      </c>
    </row>
    <row r="39" ht="12.75" customHeight="1">
      <c r="A39" s="132" t="s">
        <v>28</v>
      </c>
      <c r="B39" s="124" t="s">
        <v>29</v>
      </c>
      <c r="C39" s="158"/>
      <c r="D39" s="159" t="s">
        <v>46</v>
      </c>
      <c r="E39" s="135" t="s">
        <v>47</v>
      </c>
      <c r="F39" s="124" t="s">
        <v>29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5"/>
        <v>0</v>
      </c>
      <c r="V39" s="131">
        <f t="shared" si="6"/>
        <v>0</v>
      </c>
    </row>
    <row r="40" ht="12.75" customHeight="1">
      <c r="A40" s="142" t="s">
        <v>28</v>
      </c>
      <c r="B40" s="143" t="s">
        <v>29</v>
      </c>
      <c r="C40" s="144" t="s">
        <v>65</v>
      </c>
      <c r="D40" s="145" t="s">
        <v>46</v>
      </c>
      <c r="E40" s="143" t="s">
        <v>47</v>
      </c>
      <c r="F40" s="144" t="s">
        <v>65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5"/>
        <v>0</v>
      </c>
      <c r="V40" s="131">
        <f t="shared" si="6"/>
        <v>0</v>
      </c>
    </row>
    <row r="41" ht="12.75" customHeight="1">
      <c r="A41" s="146" t="s">
        <v>28</v>
      </c>
      <c r="B41" s="147" t="s">
        <v>29</v>
      </c>
      <c r="C41" s="146" t="s">
        <v>65</v>
      </c>
      <c r="D41" s="155"/>
      <c r="E41" s="147" t="s">
        <v>47</v>
      </c>
      <c r="F41" s="146" t="s">
        <v>66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5"/>
        <v>0</v>
      </c>
      <c r="V41" s="131">
        <f t="shared" si="6"/>
        <v>0</v>
      </c>
    </row>
    <row r="42" ht="12.75" customHeight="1">
      <c r="A42" s="146" t="s">
        <v>28</v>
      </c>
      <c r="B42" s="147" t="s">
        <v>29</v>
      </c>
      <c r="C42" s="146" t="s">
        <v>65</v>
      </c>
      <c r="D42" s="84"/>
      <c r="E42" s="160" t="s">
        <v>47</v>
      </c>
      <c r="F42" s="148" t="s">
        <v>67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5"/>
        <v>0</v>
      </c>
      <c r="V42" s="131">
        <f t="shared" si="6"/>
        <v>0</v>
      </c>
    </row>
    <row r="43" ht="12.75" customHeight="1">
      <c r="A43" s="146" t="s">
        <v>28</v>
      </c>
      <c r="B43" s="147" t="s">
        <v>29</v>
      </c>
      <c r="C43" s="146" t="s">
        <v>65</v>
      </c>
      <c r="D43" s="84"/>
      <c r="E43" s="160" t="s">
        <v>47</v>
      </c>
      <c r="F43" s="148" t="s">
        <v>68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5"/>
        <v>0</v>
      </c>
      <c r="V43" s="131">
        <f t="shared" si="6"/>
        <v>0</v>
      </c>
    </row>
    <row r="44" ht="12.75" customHeight="1">
      <c r="A44" s="146" t="s">
        <v>28</v>
      </c>
      <c r="B44" s="147" t="s">
        <v>29</v>
      </c>
      <c r="C44" s="146" t="s">
        <v>65</v>
      </c>
      <c r="D44" s="84"/>
      <c r="E44" s="160" t="s">
        <v>47</v>
      </c>
      <c r="F44" s="148" t="s">
        <v>69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5"/>
        <v>0</v>
      </c>
      <c r="V44" s="131">
        <f t="shared" si="6"/>
        <v>0</v>
      </c>
    </row>
    <row r="45" ht="12.75" customHeight="1">
      <c r="A45" s="146" t="s">
        <v>28</v>
      </c>
      <c r="B45" s="147" t="s">
        <v>29</v>
      </c>
      <c r="C45" s="146" t="s">
        <v>65</v>
      </c>
      <c r="D45" s="84"/>
      <c r="E45" s="160" t="s">
        <v>47</v>
      </c>
      <c r="F45" s="148" t="s">
        <v>70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5"/>
        <v>0</v>
      </c>
      <c r="V45" s="131">
        <f t="shared" si="6"/>
        <v>0</v>
      </c>
    </row>
    <row r="46" ht="12.75" customHeight="1">
      <c r="A46" s="146" t="s">
        <v>28</v>
      </c>
      <c r="B46" s="147" t="s">
        <v>29</v>
      </c>
      <c r="C46" s="146" t="s">
        <v>65</v>
      </c>
      <c r="D46" s="84"/>
      <c r="E46" s="147" t="s">
        <v>47</v>
      </c>
      <c r="F46" s="148" t="s">
        <v>71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5"/>
        <v>0</v>
      </c>
      <c r="V46" s="131">
        <f t="shared" si="6"/>
        <v>0</v>
      </c>
    </row>
    <row r="47" ht="12.75" customHeight="1">
      <c r="A47" s="146" t="s">
        <v>28</v>
      </c>
      <c r="B47" s="147" t="s">
        <v>29</v>
      </c>
      <c r="C47" s="146" t="s">
        <v>65</v>
      </c>
      <c r="D47" s="84"/>
      <c r="E47" s="147" t="s">
        <v>47</v>
      </c>
      <c r="F47" s="148" t="s">
        <v>72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5"/>
        <v>0</v>
      </c>
      <c r="V47" s="131">
        <f t="shared" si="6"/>
        <v>0</v>
      </c>
    </row>
    <row r="48" ht="12.75" customHeight="1">
      <c r="A48" s="146" t="s">
        <v>28</v>
      </c>
      <c r="B48" s="147" t="s">
        <v>29</v>
      </c>
      <c r="C48" s="146" t="s">
        <v>65</v>
      </c>
      <c r="D48" s="161"/>
      <c r="E48" s="147" t="s">
        <v>47</v>
      </c>
      <c r="F48" s="156" t="s">
        <v>73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5"/>
        <v>0</v>
      </c>
      <c r="V48" s="131">
        <f t="shared" si="6"/>
        <v>0</v>
      </c>
    </row>
    <row r="49" ht="12.75" customHeight="1">
      <c r="A49" s="146" t="s">
        <v>28</v>
      </c>
      <c r="B49" s="147" t="s">
        <v>29</v>
      </c>
      <c r="C49" s="146" t="s">
        <v>65</v>
      </c>
      <c r="D49" s="161"/>
      <c r="E49" s="147" t="s">
        <v>47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5"/>
        <v>0</v>
      </c>
      <c r="V49" s="131">
        <f t="shared" si="6"/>
        <v>0</v>
      </c>
    </row>
    <row r="50" ht="12.75" customHeight="1">
      <c r="A50" s="146" t="s">
        <v>28</v>
      </c>
      <c r="B50" s="147" t="s">
        <v>29</v>
      </c>
      <c r="C50" s="146" t="s">
        <v>65</v>
      </c>
      <c r="D50" s="161"/>
      <c r="E50" s="147" t="s">
        <v>47</v>
      </c>
      <c r="F50" s="156" t="s">
        <v>75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5"/>
        <v>0</v>
      </c>
      <c r="V50" s="131">
        <f t="shared" si="6"/>
        <v>0</v>
      </c>
    </row>
    <row r="51" ht="12.75" customHeight="1">
      <c r="A51" s="146" t="s">
        <v>28</v>
      </c>
      <c r="B51" s="147" t="s">
        <v>29</v>
      </c>
      <c r="C51" s="146" t="s">
        <v>65</v>
      </c>
      <c r="D51" s="161"/>
      <c r="E51" s="147" t="s">
        <v>47</v>
      </c>
      <c r="F51" s="156" t="s">
        <v>76</v>
      </c>
      <c r="G51" s="152">
        <v>6.0</v>
      </c>
      <c r="H51" s="152">
        <v>4.0</v>
      </c>
      <c r="I51" s="152">
        <v>4.0</v>
      </c>
      <c r="J51" s="152">
        <v>2.0</v>
      </c>
      <c r="K51" s="152">
        <v>4.0</v>
      </c>
      <c r="L51" s="152">
        <v>1.0</v>
      </c>
      <c r="M51" s="152">
        <v>6.0</v>
      </c>
      <c r="N51" s="152">
        <v>0.0</v>
      </c>
      <c r="O51" s="152">
        <v>0.0</v>
      </c>
      <c r="P51" s="152">
        <v>0.0</v>
      </c>
      <c r="Q51" s="152">
        <v>0.0</v>
      </c>
      <c r="R51" s="152">
        <v>4.0</v>
      </c>
      <c r="S51" s="152">
        <v>2.0</v>
      </c>
      <c r="T51" s="152">
        <v>3401.0</v>
      </c>
      <c r="U51" s="131">
        <f t="shared" si="5"/>
        <v>1</v>
      </c>
      <c r="V51" s="131">
        <f t="shared" si="6"/>
        <v>0.8333333333</v>
      </c>
    </row>
    <row r="52" ht="12.75" customHeight="1">
      <c r="A52" s="146" t="s">
        <v>28</v>
      </c>
      <c r="B52" s="147" t="s">
        <v>29</v>
      </c>
      <c r="C52" s="146" t="s">
        <v>65</v>
      </c>
      <c r="D52" s="161"/>
      <c r="E52" s="147" t="s">
        <v>77</v>
      </c>
      <c r="F52" s="156" t="s">
        <v>78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31">
        <f t="shared" si="5"/>
        <v>0</v>
      </c>
      <c r="V52" s="131">
        <f t="shared" si="6"/>
        <v>0</v>
      </c>
    </row>
    <row r="53" ht="12.75" customHeight="1">
      <c r="A53" s="146" t="s">
        <v>28</v>
      </c>
      <c r="B53" s="147" t="s">
        <v>29</v>
      </c>
      <c r="C53" s="146" t="s">
        <v>65</v>
      </c>
      <c r="D53" s="161"/>
      <c r="E53" s="147" t="s">
        <v>79</v>
      </c>
      <c r="F53" s="156" t="s">
        <v>80</v>
      </c>
      <c r="G53" s="152">
        <v>4.0</v>
      </c>
      <c r="H53" s="152">
        <v>2.0</v>
      </c>
      <c r="I53" s="152">
        <v>2.0</v>
      </c>
      <c r="J53" s="152">
        <v>2.0</v>
      </c>
      <c r="K53" s="152">
        <v>1.0</v>
      </c>
      <c r="L53" s="152">
        <v>1.0</v>
      </c>
      <c r="M53" s="152">
        <v>12.0</v>
      </c>
      <c r="N53" s="152">
        <v>0.0</v>
      </c>
      <c r="O53" s="152">
        <v>0.0</v>
      </c>
      <c r="P53" s="152">
        <v>0.0</v>
      </c>
      <c r="Q53" s="152">
        <v>0.0</v>
      </c>
      <c r="R53" s="152">
        <v>2.0</v>
      </c>
      <c r="S53" s="152">
        <v>2.0</v>
      </c>
      <c r="T53" s="152">
        <v>4168.0</v>
      </c>
      <c r="U53" s="131">
        <f t="shared" si="5"/>
        <v>1</v>
      </c>
      <c r="V53" s="131">
        <f t="shared" si="6"/>
        <v>0.75</v>
      </c>
    </row>
    <row r="54" ht="12.75" customHeight="1">
      <c r="A54" s="146" t="s">
        <v>28</v>
      </c>
      <c r="B54" s="147" t="s">
        <v>29</v>
      </c>
      <c r="C54" s="146" t="s">
        <v>65</v>
      </c>
      <c r="D54" s="161"/>
      <c r="E54" s="155"/>
      <c r="F54" s="156" t="s">
        <v>81</v>
      </c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1">
        <f t="shared" si="5"/>
        <v>0</v>
      </c>
      <c r="V54" s="131">
        <f t="shared" si="6"/>
        <v>0</v>
      </c>
    </row>
    <row r="55" ht="12.75" customHeight="1">
      <c r="A55" s="146" t="s">
        <v>28</v>
      </c>
      <c r="B55" s="147" t="s">
        <v>29</v>
      </c>
      <c r="C55" s="146" t="s">
        <v>65</v>
      </c>
      <c r="D55" s="161"/>
      <c r="E55" s="147" t="s">
        <v>47</v>
      </c>
      <c r="F55" s="156" t="s">
        <v>82</v>
      </c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1">
        <f t="shared" si="5"/>
        <v>0</v>
      </c>
      <c r="V55" s="131">
        <f t="shared" si="6"/>
        <v>0</v>
      </c>
    </row>
    <row r="56" ht="12.75" customHeight="1">
      <c r="A56" s="146" t="s">
        <v>28</v>
      </c>
      <c r="B56" s="147" t="s">
        <v>29</v>
      </c>
      <c r="C56" s="146" t="s">
        <v>65</v>
      </c>
      <c r="D56" s="161"/>
      <c r="E56" s="147" t="s">
        <v>47</v>
      </c>
      <c r="F56" s="156" t="s">
        <v>83</v>
      </c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1">
        <f t="shared" si="5"/>
        <v>0</v>
      </c>
      <c r="V56" s="131">
        <f t="shared" si="6"/>
        <v>0</v>
      </c>
    </row>
    <row r="57" ht="12.75" customHeight="1">
      <c r="A57" s="162"/>
      <c r="B57" s="162"/>
      <c r="C57" s="162"/>
      <c r="D57" s="1"/>
      <c r="E57" s="162"/>
      <c r="F57" s="11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</row>
    <row r="58" ht="12.75" customHeight="1">
      <c r="A58" s="162"/>
      <c r="B58" s="162"/>
      <c r="C58" s="162"/>
      <c r="D58" s="1"/>
      <c r="E58" s="162"/>
      <c r="F58" s="11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</row>
    <row r="59" ht="12.75" customHeight="1">
      <c r="A59" s="162"/>
      <c r="B59" s="162"/>
      <c r="C59" s="162"/>
      <c r="D59" s="1"/>
      <c r="E59" s="162"/>
      <c r="F59" s="11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</row>
    <row r="60" ht="12.75" customHeight="1">
      <c r="A60" s="162"/>
      <c r="B60" s="162"/>
      <c r="C60" s="162"/>
      <c r="D60" s="1"/>
      <c r="E60" s="162"/>
      <c r="F60" s="11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</row>
    <row r="61" ht="12.75" customHeight="1">
      <c r="A61" s="162"/>
      <c r="B61" s="162"/>
      <c r="C61" s="162"/>
      <c r="D61" s="1"/>
      <c r="E61" s="162"/>
      <c r="F61" s="11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</row>
    <row r="62" ht="12.75" customHeight="1">
      <c r="A62" s="162"/>
      <c r="B62" s="162"/>
      <c r="C62" s="162"/>
      <c r="D62" s="1"/>
      <c r="E62" s="162"/>
      <c r="F62" s="11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4"/>
      <c r="V62" s="164"/>
    </row>
    <row r="63" ht="12.75" customHeight="1">
      <c r="A63" s="162"/>
      <c r="B63" s="162"/>
      <c r="C63" s="162"/>
      <c r="D63" s="1"/>
      <c r="E63" s="162"/>
      <c r="F63" s="11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4"/>
      <c r="V63" s="164"/>
    </row>
    <row r="64" ht="12.75" customHeight="1">
      <c r="A64" s="162"/>
      <c r="B64" s="162"/>
      <c r="C64" s="162"/>
      <c r="D64" s="1"/>
      <c r="E64" s="162"/>
      <c r="F64" s="11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4"/>
      <c r="V64" s="164"/>
    </row>
    <row r="65" ht="12.75" customHeight="1">
      <c r="A65" s="162"/>
      <c r="B65" s="162"/>
      <c r="C65" s="162"/>
      <c r="D65" s="1"/>
      <c r="E65" s="162"/>
      <c r="F65" s="11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4"/>
      <c r="V65" s="164"/>
    </row>
    <row r="66" ht="12.75" customHeight="1">
      <c r="A66" s="162"/>
      <c r="B66" s="162"/>
      <c r="C66" s="162"/>
      <c r="D66" s="1"/>
      <c r="E66" s="162"/>
      <c r="F66" s="11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4"/>
      <c r="V66" s="164"/>
    </row>
    <row r="67" ht="12.75" customHeight="1">
      <c r="A67" s="162"/>
      <c r="B67" s="162"/>
      <c r="C67" s="162"/>
      <c r="D67" s="1"/>
      <c r="E67" s="162"/>
      <c r="F67" s="11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4"/>
      <c r="V67" s="164"/>
    </row>
    <row r="68" ht="12.75" customHeight="1">
      <c r="A68" s="162"/>
      <c r="B68" s="162"/>
      <c r="C68" s="162"/>
      <c r="D68" s="1"/>
      <c r="E68" s="162"/>
      <c r="F68" s="11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4"/>
      <c r="V68" s="164"/>
    </row>
    <row r="69" ht="12.75" customHeight="1">
      <c r="A69" s="162"/>
      <c r="B69" s="162"/>
      <c r="C69" s="162"/>
      <c r="D69" s="1"/>
      <c r="E69" s="162"/>
      <c r="F69" s="11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4"/>
      <c r="V69" s="164"/>
    </row>
    <row r="70" ht="12.75" customHeight="1">
      <c r="A70" s="162"/>
      <c r="B70" s="162"/>
      <c r="C70" s="162"/>
      <c r="D70" s="1"/>
      <c r="E70" s="162"/>
      <c r="F70" s="11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4"/>
      <c r="V70" s="164"/>
    </row>
    <row r="71" ht="12.75" customHeight="1">
      <c r="A71" s="162"/>
      <c r="B71" s="162"/>
      <c r="C71" s="162"/>
      <c r="D71" s="1"/>
      <c r="E71" s="162"/>
      <c r="F71" s="11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4"/>
      <c r="V71" s="164"/>
    </row>
    <row r="72" ht="12.75" customHeight="1">
      <c r="A72" s="162"/>
      <c r="B72" s="162"/>
      <c r="C72" s="162"/>
      <c r="D72" s="1"/>
      <c r="E72" s="162"/>
      <c r="F72" s="11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4"/>
      <c r="V72" s="164"/>
    </row>
    <row r="73" ht="12.75" customHeight="1">
      <c r="A73" s="162"/>
      <c r="B73" s="162"/>
      <c r="C73" s="162"/>
      <c r="D73" s="1"/>
      <c r="E73" s="162"/>
      <c r="F73" s="11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164"/>
    </row>
    <row r="74" ht="12.75" customHeight="1">
      <c r="A74" s="162"/>
      <c r="B74" s="162"/>
      <c r="C74" s="162"/>
      <c r="D74" s="1"/>
      <c r="E74" s="162"/>
      <c r="F74" s="11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164"/>
    </row>
    <row r="75" ht="12.75" customHeight="1">
      <c r="A75" s="162"/>
      <c r="B75" s="162"/>
      <c r="C75" s="162"/>
      <c r="D75" s="1"/>
      <c r="E75" s="162"/>
      <c r="F75" s="11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4"/>
      <c r="V75" s="164"/>
    </row>
    <row r="76" ht="12.75" customHeight="1">
      <c r="A76" s="162"/>
      <c r="B76" s="162"/>
      <c r="C76" s="162"/>
      <c r="D76" s="1"/>
      <c r="E76" s="162"/>
      <c r="F76" s="11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4"/>
      <c r="V76" s="164"/>
    </row>
    <row r="77" ht="12.75" customHeight="1">
      <c r="A77" s="162"/>
      <c r="B77" s="162"/>
      <c r="C77" s="162"/>
      <c r="D77" s="1"/>
      <c r="E77" s="162"/>
      <c r="F77" s="11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4"/>
      <c r="V77" s="164"/>
    </row>
    <row r="78" ht="12.75" customHeight="1">
      <c r="A78" s="162"/>
      <c r="B78" s="162"/>
      <c r="C78" s="162"/>
      <c r="D78" s="1"/>
      <c r="E78" s="162"/>
      <c r="F78" s="11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4"/>
      <c r="V78" s="164"/>
    </row>
    <row r="79" ht="12.75" customHeight="1">
      <c r="A79" s="162"/>
      <c r="B79" s="162"/>
      <c r="C79" s="162"/>
      <c r="D79" s="1"/>
      <c r="E79" s="162"/>
      <c r="F79" s="11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4"/>
      <c r="V79" s="164"/>
    </row>
    <row r="80" ht="12.75" customHeight="1">
      <c r="A80" s="162"/>
      <c r="B80" s="162"/>
      <c r="C80" s="162"/>
      <c r="D80" s="1"/>
      <c r="E80" s="162"/>
      <c r="F80" s="11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4"/>
      <c r="V80" s="164"/>
    </row>
    <row r="81" ht="12.75" customHeight="1">
      <c r="A81" s="162"/>
      <c r="B81" s="162"/>
      <c r="C81" s="162"/>
      <c r="D81" s="1"/>
      <c r="E81" s="162"/>
      <c r="F81" s="11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4"/>
      <c r="V81" s="164"/>
    </row>
    <row r="82" ht="12.75" customHeight="1">
      <c r="A82" s="162"/>
      <c r="B82" s="162"/>
      <c r="C82" s="162"/>
      <c r="D82" s="1"/>
      <c r="E82" s="162"/>
      <c r="F82" s="11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4"/>
      <c r="V82" s="164"/>
    </row>
    <row r="83" ht="12.75" customHeight="1">
      <c r="A83" s="162"/>
      <c r="B83" s="162"/>
      <c r="C83" s="162"/>
      <c r="D83" s="1"/>
      <c r="E83" s="162"/>
      <c r="F83" s="11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4"/>
      <c r="V83" s="164"/>
    </row>
    <row r="84" ht="12.75" customHeight="1">
      <c r="A84" s="162"/>
      <c r="B84" s="162"/>
      <c r="C84" s="162"/>
      <c r="D84" s="1"/>
      <c r="E84" s="162"/>
      <c r="F84" s="11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4"/>
      <c r="V84" s="164"/>
    </row>
    <row r="85" ht="12.75" customHeight="1">
      <c r="A85" s="162"/>
      <c r="B85" s="162"/>
      <c r="C85" s="162"/>
      <c r="D85" s="1"/>
      <c r="E85" s="162"/>
      <c r="F85" s="11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4"/>
      <c r="V85" s="164"/>
    </row>
    <row r="86" ht="12.75" customHeight="1">
      <c r="A86" s="162"/>
      <c r="B86" s="162"/>
      <c r="C86" s="162"/>
      <c r="D86" s="1"/>
      <c r="E86" s="162"/>
      <c r="F86" s="11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4"/>
      <c r="V86" s="164"/>
    </row>
    <row r="87" ht="12.75" customHeight="1">
      <c r="A87" s="162"/>
      <c r="B87" s="162"/>
      <c r="C87" s="162"/>
      <c r="D87" s="1"/>
      <c r="E87" s="162"/>
      <c r="F87" s="11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4"/>
      <c r="V87" s="164"/>
    </row>
    <row r="88" ht="12.75" customHeight="1">
      <c r="A88" s="162"/>
      <c r="B88" s="162"/>
      <c r="C88" s="162"/>
      <c r="D88" s="1"/>
      <c r="E88" s="162"/>
      <c r="F88" s="11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4"/>
      <c r="V88" s="164"/>
    </row>
    <row r="89" ht="12.75" customHeight="1">
      <c r="A89" s="162"/>
      <c r="B89" s="162"/>
      <c r="C89" s="162"/>
      <c r="D89" s="1"/>
      <c r="E89" s="162"/>
      <c r="F89" s="11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4"/>
      <c r="V89" s="164"/>
    </row>
    <row r="90" ht="12.75" customHeight="1">
      <c r="A90" s="162"/>
      <c r="B90" s="162"/>
      <c r="C90" s="162"/>
      <c r="D90" s="1"/>
      <c r="E90" s="162"/>
      <c r="F90" s="11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4"/>
      <c r="V90" s="164"/>
    </row>
    <row r="91" ht="12.75" customHeight="1">
      <c r="A91" s="162"/>
      <c r="B91" s="162"/>
      <c r="C91" s="162"/>
      <c r="D91" s="1"/>
      <c r="E91" s="162"/>
      <c r="F91" s="11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4"/>
      <c r="V91" s="164"/>
    </row>
    <row r="92" ht="12.75" customHeight="1">
      <c r="A92" s="162"/>
      <c r="B92" s="162"/>
      <c r="C92" s="162"/>
      <c r="D92" s="1"/>
      <c r="E92" s="162"/>
      <c r="F92" s="11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4"/>
      <c r="V92" s="164"/>
    </row>
    <row r="93" ht="12.75" customHeight="1">
      <c r="A93" s="162"/>
      <c r="B93" s="162"/>
      <c r="C93" s="162"/>
      <c r="D93" s="1"/>
      <c r="E93" s="162"/>
      <c r="F93" s="11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4"/>
      <c r="V93" s="164"/>
    </row>
    <row r="94" ht="12.75" customHeight="1">
      <c r="A94" s="162"/>
      <c r="B94" s="162"/>
      <c r="C94" s="162"/>
      <c r="D94" s="1"/>
      <c r="E94" s="162"/>
      <c r="F94" s="11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4"/>
      <c r="V94" s="164"/>
    </row>
    <row r="95" ht="12.75" customHeight="1">
      <c r="A95" s="162"/>
      <c r="B95" s="162"/>
      <c r="C95" s="162"/>
      <c r="D95" s="1"/>
      <c r="E95" s="162"/>
      <c r="F95" s="11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4"/>
      <c r="V95" s="164"/>
    </row>
    <row r="96" ht="12.75" customHeight="1">
      <c r="A96" s="162"/>
      <c r="B96" s="162"/>
      <c r="C96" s="162"/>
      <c r="D96" s="1"/>
      <c r="E96" s="162"/>
      <c r="F96" s="11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4"/>
      <c r="V96" s="164"/>
    </row>
    <row r="97" ht="12.75" customHeight="1">
      <c r="A97" s="162"/>
      <c r="B97" s="162"/>
      <c r="C97" s="162"/>
      <c r="D97" s="1"/>
      <c r="E97" s="162"/>
      <c r="F97" s="11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4"/>
      <c r="V97" s="164"/>
    </row>
    <row r="98" ht="12.75" customHeight="1">
      <c r="A98" s="162"/>
      <c r="B98" s="162"/>
      <c r="C98" s="162"/>
      <c r="D98" s="1"/>
      <c r="E98" s="162"/>
      <c r="F98" s="11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4"/>
      <c r="V98" s="164"/>
    </row>
    <row r="99" ht="12.75" customHeight="1">
      <c r="A99" s="162"/>
      <c r="B99" s="162"/>
      <c r="C99" s="162"/>
      <c r="D99" s="1"/>
      <c r="E99" s="162"/>
      <c r="F99" s="11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4"/>
      <c r="V99" s="164"/>
    </row>
    <row r="100" ht="12.75" customHeight="1">
      <c r="A100" s="162"/>
      <c r="B100" s="162"/>
      <c r="C100" s="162"/>
      <c r="D100" s="1"/>
      <c r="E100" s="162"/>
      <c r="F100" s="11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4"/>
      <c r="V100" s="164"/>
    </row>
    <row r="101" ht="12.75" customHeight="1">
      <c r="A101" s="162"/>
      <c r="B101" s="162"/>
      <c r="C101" s="162"/>
      <c r="D101" s="1"/>
      <c r="E101" s="162"/>
      <c r="F101" s="11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4"/>
      <c r="V101" s="164"/>
    </row>
    <row r="102" ht="12.75" customHeight="1">
      <c r="A102" s="162"/>
      <c r="B102" s="162"/>
      <c r="C102" s="162"/>
      <c r="D102" s="1"/>
      <c r="E102" s="162"/>
      <c r="F102" s="11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4"/>
      <c r="V102" s="164"/>
    </row>
    <row r="103" ht="12.75" customHeight="1">
      <c r="A103" s="162"/>
      <c r="B103" s="162"/>
      <c r="C103" s="162"/>
      <c r="D103" s="1"/>
      <c r="E103" s="162"/>
      <c r="F103" s="11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4"/>
      <c r="V103" s="164"/>
    </row>
    <row r="104" ht="12.75" customHeight="1">
      <c r="A104" s="162"/>
      <c r="B104" s="162"/>
      <c r="C104" s="162"/>
      <c r="D104" s="1"/>
      <c r="E104" s="162"/>
      <c r="F104" s="11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4"/>
      <c r="V104" s="164"/>
    </row>
    <row r="105" ht="12.75" customHeight="1">
      <c r="A105" s="162"/>
      <c r="B105" s="162"/>
      <c r="C105" s="162"/>
      <c r="D105" s="1"/>
      <c r="E105" s="162"/>
      <c r="F105" s="11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4"/>
      <c r="V105" s="164"/>
    </row>
    <row r="106" ht="12.75" customHeight="1">
      <c r="A106" s="162"/>
      <c r="B106" s="162"/>
      <c r="C106" s="162"/>
      <c r="D106" s="1"/>
      <c r="E106" s="162"/>
      <c r="F106" s="11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4"/>
      <c r="V106" s="164"/>
    </row>
    <row r="107" ht="12.75" customHeight="1">
      <c r="A107" s="162"/>
      <c r="B107" s="162"/>
      <c r="C107" s="162"/>
      <c r="D107" s="1"/>
      <c r="E107" s="162"/>
      <c r="F107" s="11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4"/>
      <c r="V107" s="164"/>
    </row>
    <row r="108" ht="12.75" customHeight="1">
      <c r="A108" s="162"/>
      <c r="B108" s="162"/>
      <c r="C108" s="162"/>
      <c r="D108" s="1"/>
      <c r="E108" s="162"/>
      <c r="F108" s="11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4"/>
      <c r="V108" s="164"/>
    </row>
    <row r="109" ht="12.75" customHeight="1">
      <c r="A109" s="162"/>
      <c r="B109" s="162"/>
      <c r="C109" s="162"/>
      <c r="D109" s="1"/>
      <c r="E109" s="162"/>
      <c r="F109" s="11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4"/>
      <c r="V109" s="164"/>
    </row>
    <row r="110" ht="12.75" customHeight="1">
      <c r="A110" s="162"/>
      <c r="B110" s="162"/>
      <c r="C110" s="162"/>
      <c r="D110" s="1"/>
      <c r="E110" s="162"/>
      <c r="F110" s="11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4"/>
      <c r="V110" s="164"/>
    </row>
    <row r="111" ht="12.75" customHeight="1">
      <c r="A111" s="162"/>
      <c r="B111" s="162"/>
      <c r="C111" s="162"/>
      <c r="D111" s="1"/>
      <c r="E111" s="162"/>
      <c r="F111" s="11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4"/>
      <c r="V111" s="164"/>
    </row>
    <row r="112" ht="12.75" customHeight="1">
      <c r="A112" s="162"/>
      <c r="B112" s="162"/>
      <c r="C112" s="162"/>
      <c r="D112" s="1"/>
      <c r="E112" s="162"/>
      <c r="F112" s="11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4"/>
      <c r="V112" s="164"/>
    </row>
    <row r="113" ht="12.75" customHeight="1">
      <c r="A113" s="162"/>
      <c r="B113" s="162"/>
      <c r="C113" s="162"/>
      <c r="D113" s="1"/>
      <c r="E113" s="162"/>
      <c r="F113" s="11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4"/>
      <c r="V113" s="164"/>
    </row>
    <row r="114" ht="12.75" customHeight="1">
      <c r="A114" s="162"/>
      <c r="B114" s="162"/>
      <c r="C114" s="162"/>
      <c r="D114" s="1"/>
      <c r="E114" s="162"/>
      <c r="F114" s="11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4"/>
      <c r="V114" s="164"/>
    </row>
    <row r="115" ht="12.75" customHeight="1">
      <c r="A115" s="162"/>
      <c r="B115" s="162"/>
      <c r="C115" s="162"/>
      <c r="D115" s="1"/>
      <c r="E115" s="162"/>
      <c r="F115" s="11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4"/>
      <c r="V115" s="164"/>
    </row>
    <row r="116" ht="12.75" customHeight="1">
      <c r="A116" s="162"/>
      <c r="B116" s="162"/>
      <c r="C116" s="162"/>
      <c r="D116" s="1"/>
      <c r="E116" s="162"/>
      <c r="F116" s="11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4"/>
      <c r="V116" s="164"/>
    </row>
    <row r="117" ht="12.75" customHeight="1">
      <c r="A117" s="162"/>
      <c r="B117" s="162"/>
      <c r="C117" s="162"/>
      <c r="D117" s="1"/>
      <c r="E117" s="162"/>
      <c r="F117" s="11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4"/>
      <c r="V117" s="164"/>
    </row>
    <row r="118" ht="12.75" customHeight="1">
      <c r="A118" s="162"/>
      <c r="B118" s="162"/>
      <c r="C118" s="162"/>
      <c r="D118" s="1"/>
      <c r="E118" s="162"/>
      <c r="F118" s="11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4"/>
      <c r="V118" s="164"/>
    </row>
    <row r="119" ht="12.75" customHeight="1">
      <c r="A119" s="162"/>
      <c r="B119" s="162"/>
      <c r="C119" s="162"/>
      <c r="D119" s="1"/>
      <c r="E119" s="162"/>
      <c r="F119" s="11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4"/>
      <c r="V119" s="164"/>
    </row>
    <row r="120" ht="12.75" customHeight="1">
      <c r="A120" s="162"/>
      <c r="B120" s="162"/>
      <c r="C120" s="162"/>
      <c r="D120" s="1"/>
      <c r="E120" s="162"/>
      <c r="F120" s="11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4"/>
      <c r="V120" s="164"/>
    </row>
    <row r="121" ht="12.75" customHeight="1">
      <c r="A121" s="162"/>
      <c r="B121" s="162"/>
      <c r="C121" s="162"/>
      <c r="D121" s="1"/>
      <c r="E121" s="162"/>
      <c r="F121" s="11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4"/>
      <c r="V121" s="164"/>
    </row>
    <row r="122" ht="12.75" customHeight="1">
      <c r="A122" s="162"/>
      <c r="B122" s="162"/>
      <c r="C122" s="162"/>
      <c r="D122" s="1"/>
      <c r="E122" s="162"/>
      <c r="F122" s="11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4"/>
      <c r="V122" s="164"/>
    </row>
    <row r="123" ht="12.75" customHeight="1">
      <c r="A123" s="162"/>
      <c r="B123" s="162"/>
      <c r="C123" s="162"/>
      <c r="D123" s="1"/>
      <c r="E123" s="162"/>
      <c r="F123" s="11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4"/>
      <c r="V123" s="164"/>
    </row>
    <row r="124" ht="12.75" customHeight="1">
      <c r="A124" s="162"/>
      <c r="B124" s="162"/>
      <c r="C124" s="162"/>
      <c r="D124" s="1"/>
      <c r="E124" s="162"/>
      <c r="F124" s="11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4"/>
      <c r="V124" s="164"/>
    </row>
    <row r="125" ht="12.75" customHeight="1">
      <c r="A125" s="162"/>
      <c r="B125" s="162"/>
      <c r="C125" s="162"/>
      <c r="D125" s="1"/>
      <c r="E125" s="162"/>
      <c r="F125" s="11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4"/>
      <c r="V125" s="164"/>
    </row>
    <row r="126" ht="12.75" customHeight="1">
      <c r="A126" s="162"/>
      <c r="B126" s="162"/>
      <c r="C126" s="162"/>
      <c r="D126" s="1"/>
      <c r="E126" s="162"/>
      <c r="F126" s="11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4"/>
      <c r="V126" s="164"/>
    </row>
    <row r="127" ht="12.75" customHeight="1">
      <c r="A127" s="162"/>
      <c r="B127" s="162"/>
      <c r="C127" s="162"/>
      <c r="D127" s="1"/>
      <c r="E127" s="162"/>
      <c r="F127" s="11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4"/>
      <c r="V127" s="164"/>
    </row>
    <row r="128" ht="12.75" customHeight="1">
      <c r="A128" s="162"/>
      <c r="B128" s="162"/>
      <c r="C128" s="162"/>
      <c r="D128" s="1"/>
      <c r="E128" s="162"/>
      <c r="F128" s="11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4"/>
      <c r="V128" s="164"/>
    </row>
    <row r="129" ht="12.75" customHeight="1">
      <c r="A129" s="162"/>
      <c r="B129" s="162"/>
      <c r="C129" s="162"/>
      <c r="D129" s="1"/>
      <c r="E129" s="162"/>
      <c r="F129" s="11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4"/>
      <c r="V129" s="164"/>
    </row>
    <row r="130" ht="12.75" customHeight="1">
      <c r="A130" s="162"/>
      <c r="B130" s="162"/>
      <c r="C130" s="162"/>
      <c r="D130" s="1"/>
      <c r="E130" s="162"/>
      <c r="F130" s="11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4"/>
      <c r="V130" s="164"/>
    </row>
    <row r="131" ht="12.75" customHeight="1">
      <c r="A131" s="162"/>
      <c r="B131" s="162"/>
      <c r="C131" s="162"/>
      <c r="D131" s="1"/>
      <c r="E131" s="162"/>
      <c r="F131" s="11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4"/>
      <c r="V131" s="164"/>
    </row>
    <row r="132" ht="12.75" customHeight="1">
      <c r="A132" s="162"/>
      <c r="B132" s="162"/>
      <c r="C132" s="162"/>
      <c r="D132" s="1"/>
      <c r="E132" s="162"/>
      <c r="F132" s="11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4"/>
      <c r="V132" s="164"/>
    </row>
    <row r="133" ht="12.75" customHeight="1">
      <c r="A133" s="162"/>
      <c r="B133" s="162"/>
      <c r="C133" s="162"/>
      <c r="D133" s="1"/>
      <c r="E133" s="162"/>
      <c r="F133" s="11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4"/>
      <c r="V133" s="164"/>
    </row>
    <row r="134" ht="12.75" customHeight="1">
      <c r="A134" s="162"/>
      <c r="B134" s="162"/>
      <c r="C134" s="162"/>
      <c r="D134" s="1"/>
      <c r="E134" s="162"/>
      <c r="F134" s="11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4"/>
      <c r="V134" s="164"/>
    </row>
    <row r="135" ht="12.75" customHeight="1">
      <c r="A135" s="162"/>
      <c r="B135" s="162"/>
      <c r="C135" s="162"/>
      <c r="D135" s="1"/>
      <c r="E135" s="162"/>
      <c r="F135" s="11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4"/>
      <c r="V135" s="164"/>
    </row>
    <row r="136" ht="12.75" customHeight="1">
      <c r="A136" s="162"/>
      <c r="B136" s="162"/>
      <c r="C136" s="162"/>
      <c r="D136" s="1"/>
      <c r="E136" s="162"/>
      <c r="F136" s="11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4"/>
      <c r="V136" s="164"/>
    </row>
    <row r="137" ht="12.75" customHeight="1">
      <c r="A137" s="162"/>
      <c r="B137" s="162"/>
      <c r="C137" s="162"/>
      <c r="D137" s="1"/>
      <c r="E137" s="162"/>
      <c r="F137" s="11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4"/>
      <c r="V137" s="164"/>
    </row>
    <row r="138" ht="12.75" customHeight="1">
      <c r="A138" s="162"/>
      <c r="B138" s="162"/>
      <c r="C138" s="162"/>
      <c r="D138" s="1"/>
      <c r="E138" s="162"/>
      <c r="F138" s="11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4"/>
      <c r="V138" s="164"/>
    </row>
    <row r="139" ht="12.75" customHeight="1">
      <c r="A139" s="162"/>
      <c r="B139" s="162"/>
      <c r="C139" s="162"/>
      <c r="D139" s="1"/>
      <c r="E139" s="162"/>
      <c r="F139" s="11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4"/>
      <c r="V139" s="164"/>
    </row>
    <row r="140" ht="12.75" customHeight="1">
      <c r="A140" s="162"/>
      <c r="B140" s="162"/>
      <c r="C140" s="162"/>
      <c r="D140" s="1"/>
      <c r="E140" s="162"/>
      <c r="F140" s="11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4"/>
      <c r="V140" s="164"/>
    </row>
    <row r="141" ht="12.75" customHeight="1">
      <c r="A141" s="162"/>
      <c r="B141" s="162"/>
      <c r="C141" s="162"/>
      <c r="D141" s="1"/>
      <c r="E141" s="162"/>
      <c r="F141" s="11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4"/>
      <c r="V141" s="164"/>
    </row>
    <row r="142" ht="12.75" customHeight="1">
      <c r="A142" s="162"/>
      <c r="B142" s="162"/>
      <c r="C142" s="162"/>
      <c r="D142" s="1"/>
      <c r="E142" s="162"/>
      <c r="F142" s="11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4"/>
      <c r="V142" s="164"/>
    </row>
    <row r="143" ht="12.75" customHeight="1">
      <c r="A143" s="162"/>
      <c r="B143" s="162"/>
      <c r="C143" s="162"/>
      <c r="D143" s="1"/>
      <c r="E143" s="162"/>
      <c r="F143" s="11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4"/>
      <c r="V143" s="164"/>
    </row>
    <row r="144" ht="12.75" customHeight="1">
      <c r="A144" s="162"/>
      <c r="B144" s="162"/>
      <c r="C144" s="162"/>
      <c r="D144" s="1"/>
      <c r="E144" s="162"/>
      <c r="F144" s="11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4"/>
      <c r="V144" s="164"/>
    </row>
    <row r="145" ht="12.75" customHeight="1">
      <c r="A145" s="162"/>
      <c r="B145" s="162"/>
      <c r="C145" s="162"/>
      <c r="D145" s="1"/>
      <c r="E145" s="162"/>
      <c r="F145" s="11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4"/>
      <c r="V145" s="164"/>
    </row>
    <row r="146" ht="12.75" customHeight="1">
      <c r="A146" s="162"/>
      <c r="B146" s="162"/>
      <c r="C146" s="162"/>
      <c r="D146" s="1"/>
      <c r="E146" s="162"/>
      <c r="F146" s="11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4"/>
      <c r="V146" s="164"/>
    </row>
    <row r="147" ht="12.75" customHeight="1">
      <c r="A147" s="162"/>
      <c r="B147" s="162"/>
      <c r="C147" s="162"/>
      <c r="D147" s="1"/>
      <c r="E147" s="162"/>
      <c r="F147" s="11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4"/>
      <c r="V147" s="164"/>
    </row>
    <row r="148" ht="12.75" customHeight="1">
      <c r="A148" s="162"/>
      <c r="B148" s="162"/>
      <c r="C148" s="162"/>
      <c r="D148" s="1"/>
      <c r="E148" s="162"/>
      <c r="F148" s="11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4"/>
      <c r="V148" s="164"/>
    </row>
    <row r="149" ht="12.75" customHeight="1">
      <c r="A149" s="162"/>
      <c r="B149" s="162"/>
      <c r="C149" s="162"/>
      <c r="D149" s="1"/>
      <c r="E149" s="162"/>
      <c r="F149" s="11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4"/>
      <c r="V149" s="164"/>
    </row>
    <row r="150" ht="12.75" customHeight="1">
      <c r="A150" s="162"/>
      <c r="B150" s="162"/>
      <c r="C150" s="162"/>
      <c r="D150" s="1"/>
      <c r="E150" s="162"/>
      <c r="F150" s="11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4"/>
      <c r="V150" s="164"/>
    </row>
    <row r="151" ht="12.75" customHeight="1">
      <c r="A151" s="162"/>
      <c r="B151" s="162"/>
      <c r="C151" s="162"/>
      <c r="D151" s="1"/>
      <c r="E151" s="162"/>
      <c r="F151" s="11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4"/>
      <c r="V151" s="164"/>
    </row>
    <row r="152" ht="12.75" customHeight="1">
      <c r="A152" s="162"/>
      <c r="B152" s="162"/>
      <c r="C152" s="162"/>
      <c r="D152" s="1"/>
      <c r="E152" s="162"/>
      <c r="F152" s="11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4"/>
      <c r="V152" s="164"/>
    </row>
    <row r="153" ht="12.75" customHeight="1">
      <c r="A153" s="162"/>
      <c r="B153" s="162"/>
      <c r="C153" s="162"/>
      <c r="D153" s="1"/>
      <c r="E153" s="162"/>
      <c r="F153" s="11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4"/>
      <c r="V153" s="164"/>
    </row>
    <row r="154" ht="12.75" customHeight="1">
      <c r="A154" s="162"/>
      <c r="B154" s="162"/>
      <c r="C154" s="162"/>
      <c r="D154" s="1"/>
      <c r="E154" s="162"/>
      <c r="F154" s="11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4"/>
      <c r="V154" s="164"/>
    </row>
    <row r="155" ht="12.75" customHeight="1">
      <c r="A155" s="162"/>
      <c r="B155" s="162"/>
      <c r="C155" s="162"/>
      <c r="D155" s="1"/>
      <c r="E155" s="162"/>
      <c r="F155" s="11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4"/>
      <c r="V155" s="164"/>
    </row>
    <row r="156" ht="12.75" customHeight="1">
      <c r="A156" s="162"/>
      <c r="B156" s="162"/>
      <c r="C156" s="162"/>
      <c r="D156" s="1"/>
      <c r="E156" s="162"/>
      <c r="F156" s="11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4"/>
      <c r="V156" s="164"/>
    </row>
    <row r="157" ht="12.75" customHeight="1">
      <c r="A157" s="162"/>
      <c r="B157" s="162"/>
      <c r="C157" s="162"/>
      <c r="D157" s="1"/>
      <c r="E157" s="162"/>
      <c r="F157" s="11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4"/>
      <c r="V157" s="164"/>
    </row>
    <row r="158" ht="12.75" customHeight="1">
      <c r="A158" s="162"/>
      <c r="B158" s="162"/>
      <c r="C158" s="162"/>
      <c r="D158" s="1"/>
      <c r="E158" s="162"/>
      <c r="F158" s="11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4"/>
      <c r="V158" s="164"/>
    </row>
    <row r="159" ht="12.75" customHeight="1">
      <c r="A159" s="162"/>
      <c r="B159" s="162"/>
      <c r="C159" s="162"/>
      <c r="D159" s="1"/>
      <c r="E159" s="162"/>
      <c r="F159" s="11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4"/>
      <c r="V159" s="164"/>
    </row>
    <row r="160" ht="12.75" customHeight="1">
      <c r="A160" s="162"/>
      <c r="B160" s="162"/>
      <c r="C160" s="162"/>
      <c r="D160" s="1"/>
      <c r="E160" s="162"/>
      <c r="F160" s="11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4"/>
      <c r="V160" s="164"/>
    </row>
    <row r="161" ht="12.75" customHeight="1">
      <c r="A161" s="162"/>
      <c r="B161" s="162"/>
      <c r="C161" s="162"/>
      <c r="D161" s="1"/>
      <c r="E161" s="162"/>
      <c r="F161" s="11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4"/>
      <c r="V161" s="164"/>
    </row>
    <row r="162" ht="12.75" customHeight="1">
      <c r="A162" s="162"/>
      <c r="B162" s="162"/>
      <c r="C162" s="162"/>
      <c r="D162" s="1"/>
      <c r="E162" s="162"/>
      <c r="F162" s="11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4"/>
      <c r="V162" s="164"/>
    </row>
    <row r="163" ht="12.75" customHeight="1">
      <c r="A163" s="162"/>
      <c r="B163" s="162"/>
      <c r="C163" s="162"/>
      <c r="D163" s="1"/>
      <c r="E163" s="162"/>
      <c r="F163" s="11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4"/>
      <c r="V163" s="164"/>
    </row>
    <row r="164" ht="12.75" customHeight="1">
      <c r="A164" s="162"/>
      <c r="B164" s="162"/>
      <c r="C164" s="162"/>
      <c r="D164" s="1"/>
      <c r="E164" s="162"/>
      <c r="F164" s="11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4"/>
      <c r="V164" s="164"/>
    </row>
    <row r="165" ht="12.75" customHeight="1">
      <c r="A165" s="162"/>
      <c r="B165" s="162"/>
      <c r="C165" s="162"/>
      <c r="D165" s="1"/>
      <c r="E165" s="162"/>
      <c r="F165" s="11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4"/>
      <c r="V165" s="164"/>
    </row>
    <row r="166" ht="12.75" customHeight="1">
      <c r="A166" s="162"/>
      <c r="B166" s="162"/>
      <c r="C166" s="162"/>
      <c r="D166" s="1"/>
      <c r="E166" s="162"/>
      <c r="F166" s="11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4"/>
      <c r="V166" s="164"/>
    </row>
    <row r="167" ht="12.75" customHeight="1">
      <c r="A167" s="162"/>
      <c r="B167" s="162"/>
      <c r="C167" s="162"/>
      <c r="D167" s="1"/>
      <c r="E167" s="162"/>
      <c r="F167" s="11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4"/>
      <c r="V167" s="164"/>
    </row>
    <row r="168" ht="12.75" customHeight="1">
      <c r="A168" s="162"/>
      <c r="B168" s="162"/>
      <c r="C168" s="162"/>
      <c r="D168" s="1"/>
      <c r="E168" s="162"/>
      <c r="F168" s="11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4"/>
      <c r="V168" s="164"/>
    </row>
    <row r="169" ht="12.75" customHeight="1">
      <c r="A169" s="162"/>
      <c r="B169" s="162"/>
      <c r="C169" s="162"/>
      <c r="D169" s="1"/>
      <c r="E169" s="162"/>
      <c r="F169" s="11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4"/>
      <c r="V169" s="164"/>
    </row>
    <row r="170" ht="12.75" customHeight="1">
      <c r="A170" s="162"/>
      <c r="B170" s="162"/>
      <c r="C170" s="162"/>
      <c r="D170" s="1"/>
      <c r="E170" s="162"/>
      <c r="F170" s="11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4"/>
      <c r="V170" s="164"/>
    </row>
    <row r="171" ht="12.75" customHeight="1">
      <c r="A171" s="162"/>
      <c r="B171" s="162"/>
      <c r="C171" s="162"/>
      <c r="D171" s="1"/>
      <c r="E171" s="162"/>
      <c r="F171" s="11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4"/>
      <c r="V171" s="164"/>
    </row>
    <row r="172" ht="12.75" customHeight="1">
      <c r="A172" s="162"/>
      <c r="B172" s="162"/>
      <c r="C172" s="162"/>
      <c r="D172" s="1"/>
      <c r="E172" s="162"/>
      <c r="F172" s="11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4"/>
      <c r="V172" s="164"/>
    </row>
    <row r="173" ht="12.75" customHeight="1">
      <c r="A173" s="162"/>
      <c r="B173" s="162"/>
      <c r="C173" s="162"/>
      <c r="D173" s="1"/>
      <c r="E173" s="162"/>
      <c r="F173" s="11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4"/>
      <c r="V173" s="164"/>
    </row>
    <row r="174" ht="12.75" customHeight="1">
      <c r="A174" s="162"/>
      <c r="B174" s="162"/>
      <c r="C174" s="162"/>
      <c r="D174" s="1"/>
      <c r="E174" s="162"/>
      <c r="F174" s="11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4"/>
      <c r="V174" s="164"/>
    </row>
    <row r="175" ht="12.75" customHeight="1">
      <c r="A175" s="162"/>
      <c r="B175" s="162"/>
      <c r="C175" s="162"/>
      <c r="D175" s="1"/>
      <c r="E175" s="162"/>
      <c r="F175" s="11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4"/>
      <c r="V175" s="164"/>
    </row>
    <row r="176" ht="12.75" customHeight="1">
      <c r="A176" s="162"/>
      <c r="B176" s="162"/>
      <c r="C176" s="162"/>
      <c r="D176" s="1"/>
      <c r="E176" s="162"/>
      <c r="F176" s="11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4"/>
      <c r="V176" s="164"/>
    </row>
    <row r="177" ht="12.75" customHeight="1">
      <c r="A177" s="162"/>
      <c r="B177" s="162"/>
      <c r="C177" s="162"/>
      <c r="D177" s="1"/>
      <c r="E177" s="162"/>
      <c r="F177" s="11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4"/>
      <c r="V177" s="164"/>
    </row>
    <row r="178" ht="12.75" customHeight="1">
      <c r="A178" s="162"/>
      <c r="B178" s="162"/>
      <c r="C178" s="162"/>
      <c r="D178" s="1"/>
      <c r="E178" s="162"/>
      <c r="F178" s="11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4"/>
      <c r="V178" s="164"/>
    </row>
    <row r="179" ht="12.75" customHeight="1">
      <c r="A179" s="162"/>
      <c r="B179" s="162"/>
      <c r="C179" s="162"/>
      <c r="D179" s="1"/>
      <c r="E179" s="162"/>
      <c r="F179" s="11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4"/>
      <c r="V179" s="164"/>
    </row>
    <row r="180" ht="12.75" customHeight="1">
      <c r="A180" s="162"/>
      <c r="B180" s="162"/>
      <c r="C180" s="162"/>
      <c r="D180" s="1"/>
      <c r="E180" s="162"/>
      <c r="F180" s="11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4"/>
      <c r="V180" s="164"/>
    </row>
    <row r="181" ht="12.75" customHeight="1">
      <c r="A181" s="162"/>
      <c r="B181" s="162"/>
      <c r="C181" s="162"/>
      <c r="D181" s="1"/>
      <c r="E181" s="162"/>
      <c r="F181" s="11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4"/>
      <c r="V181" s="164"/>
    </row>
    <row r="182" ht="12.75" customHeight="1">
      <c r="A182" s="162"/>
      <c r="B182" s="162"/>
      <c r="C182" s="162"/>
      <c r="D182" s="1"/>
      <c r="E182" s="162"/>
      <c r="F182" s="11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4"/>
      <c r="V182" s="164"/>
    </row>
    <row r="183" ht="12.75" customHeight="1">
      <c r="A183" s="162"/>
      <c r="B183" s="162"/>
      <c r="C183" s="162"/>
      <c r="D183" s="1"/>
      <c r="E183" s="162"/>
      <c r="F183" s="11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4"/>
      <c r="V183" s="164"/>
    </row>
    <row r="184" ht="12.75" customHeight="1">
      <c r="A184" s="162"/>
      <c r="B184" s="162"/>
      <c r="C184" s="162"/>
      <c r="D184" s="1"/>
      <c r="E184" s="162"/>
      <c r="F184" s="11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4"/>
      <c r="V184" s="164"/>
    </row>
    <row r="185" ht="12.75" customHeight="1">
      <c r="A185" s="162"/>
      <c r="B185" s="162"/>
      <c r="C185" s="162"/>
      <c r="D185" s="1"/>
      <c r="E185" s="162"/>
      <c r="F185" s="11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4"/>
      <c r="V185" s="164"/>
    </row>
    <row r="186" ht="12.75" customHeight="1">
      <c r="A186" s="162"/>
      <c r="B186" s="162"/>
      <c r="C186" s="162"/>
      <c r="D186" s="1"/>
      <c r="E186" s="162"/>
      <c r="F186" s="11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4"/>
      <c r="V186" s="164"/>
    </row>
    <row r="187" ht="12.75" customHeight="1">
      <c r="A187" s="162"/>
      <c r="B187" s="162"/>
      <c r="C187" s="162"/>
      <c r="D187" s="1"/>
      <c r="E187" s="162"/>
      <c r="F187" s="11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4"/>
      <c r="V187" s="164"/>
    </row>
    <row r="188" ht="12.75" customHeight="1">
      <c r="A188" s="162"/>
      <c r="B188" s="162"/>
      <c r="C188" s="162"/>
      <c r="D188" s="1"/>
      <c r="E188" s="162"/>
      <c r="F188" s="11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4"/>
      <c r="V188" s="164"/>
    </row>
    <row r="189" ht="12.75" customHeight="1">
      <c r="A189" s="162"/>
      <c r="B189" s="162"/>
      <c r="C189" s="162"/>
      <c r="D189" s="1"/>
      <c r="E189" s="162"/>
      <c r="F189" s="11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4"/>
      <c r="V189" s="164"/>
    </row>
    <row r="190" ht="12.75" customHeight="1">
      <c r="A190" s="162"/>
      <c r="B190" s="162"/>
      <c r="C190" s="162"/>
      <c r="D190" s="1"/>
      <c r="E190" s="162"/>
      <c r="F190" s="11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4"/>
      <c r="V190" s="164"/>
    </row>
    <row r="191" ht="12.75" customHeight="1">
      <c r="A191" s="162"/>
      <c r="B191" s="162"/>
      <c r="C191" s="162"/>
      <c r="D191" s="1"/>
      <c r="E191" s="162"/>
      <c r="F191" s="11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4"/>
      <c r="V191" s="164"/>
    </row>
    <row r="192" ht="12.75" customHeight="1">
      <c r="A192" s="162"/>
      <c r="B192" s="162"/>
      <c r="C192" s="162"/>
      <c r="D192" s="1"/>
      <c r="E192" s="162"/>
      <c r="F192" s="11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4"/>
      <c r="V192" s="164"/>
    </row>
    <row r="193" ht="12.75" customHeight="1">
      <c r="A193" s="162"/>
      <c r="B193" s="162"/>
      <c r="C193" s="162"/>
      <c r="D193" s="1"/>
      <c r="E193" s="162"/>
      <c r="F193" s="11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4"/>
      <c r="V193" s="164"/>
    </row>
    <row r="194" ht="12.75" customHeight="1">
      <c r="A194" s="162"/>
      <c r="B194" s="162"/>
      <c r="C194" s="162"/>
      <c r="D194" s="1"/>
      <c r="E194" s="162"/>
      <c r="F194" s="11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4"/>
      <c r="V194" s="164"/>
    </row>
    <row r="195" ht="12.75" customHeight="1">
      <c r="A195" s="162"/>
      <c r="B195" s="162"/>
      <c r="C195" s="162"/>
      <c r="D195" s="1"/>
      <c r="E195" s="162"/>
      <c r="F195" s="11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4"/>
      <c r="V195" s="164"/>
    </row>
    <row r="196" ht="12.75" customHeight="1">
      <c r="A196" s="162"/>
      <c r="B196" s="162"/>
      <c r="C196" s="162"/>
      <c r="D196" s="1"/>
      <c r="E196" s="162"/>
      <c r="F196" s="11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4"/>
      <c r="V196" s="164"/>
    </row>
    <row r="197" ht="12.75" customHeight="1">
      <c r="A197" s="162"/>
      <c r="B197" s="162"/>
      <c r="C197" s="162"/>
      <c r="D197" s="1"/>
      <c r="E197" s="162"/>
      <c r="F197" s="11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4"/>
      <c r="V197" s="164"/>
    </row>
    <row r="198" ht="12.75" customHeight="1">
      <c r="A198" s="162"/>
      <c r="B198" s="162"/>
      <c r="C198" s="162"/>
      <c r="D198" s="1"/>
      <c r="E198" s="162"/>
      <c r="F198" s="11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4"/>
      <c r="V198" s="164"/>
    </row>
    <row r="199" ht="12.75" customHeight="1">
      <c r="A199" s="162"/>
      <c r="B199" s="162"/>
      <c r="C199" s="162"/>
      <c r="D199" s="1"/>
      <c r="E199" s="162"/>
      <c r="F199" s="11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4"/>
      <c r="V199" s="164"/>
    </row>
    <row r="200" ht="12.75" customHeight="1">
      <c r="A200" s="162"/>
      <c r="B200" s="162"/>
      <c r="C200" s="162"/>
      <c r="D200" s="1"/>
      <c r="E200" s="162"/>
      <c r="F200" s="11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4"/>
      <c r="V200" s="164"/>
    </row>
    <row r="201" ht="12.75" customHeight="1">
      <c r="A201" s="162"/>
      <c r="B201" s="162"/>
      <c r="C201" s="162"/>
      <c r="D201" s="1"/>
      <c r="E201" s="162"/>
      <c r="F201" s="11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4"/>
      <c r="V201" s="164"/>
    </row>
    <row r="202" ht="12.75" customHeight="1">
      <c r="A202" s="162"/>
      <c r="B202" s="162"/>
      <c r="C202" s="162"/>
      <c r="D202" s="1"/>
      <c r="E202" s="162"/>
      <c r="F202" s="11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4"/>
      <c r="V202" s="164"/>
    </row>
    <row r="203" ht="12.75" customHeight="1">
      <c r="A203" s="162"/>
      <c r="B203" s="162"/>
      <c r="C203" s="162"/>
      <c r="D203" s="1"/>
      <c r="E203" s="162"/>
      <c r="F203" s="11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4"/>
      <c r="V203" s="164"/>
    </row>
    <row r="204" ht="12.75" customHeight="1">
      <c r="A204" s="162"/>
      <c r="B204" s="162"/>
      <c r="C204" s="162"/>
      <c r="D204" s="1"/>
      <c r="E204" s="162"/>
      <c r="F204" s="11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4"/>
      <c r="V204" s="164"/>
    </row>
    <row r="205" ht="12.75" customHeight="1">
      <c r="A205" s="162"/>
      <c r="B205" s="162"/>
      <c r="C205" s="162"/>
      <c r="D205" s="1"/>
      <c r="E205" s="162"/>
      <c r="F205" s="11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4"/>
      <c r="V205" s="164"/>
    </row>
    <row r="206" ht="12.75" customHeight="1">
      <c r="A206" s="162"/>
      <c r="B206" s="162"/>
      <c r="C206" s="162"/>
      <c r="D206" s="1"/>
      <c r="E206" s="162"/>
      <c r="F206" s="11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4"/>
      <c r="V206" s="164"/>
    </row>
    <row r="207" ht="12.75" customHeight="1">
      <c r="A207" s="162"/>
      <c r="B207" s="162"/>
      <c r="C207" s="162"/>
      <c r="D207" s="1"/>
      <c r="E207" s="162"/>
      <c r="F207" s="11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4"/>
      <c r="V207" s="164"/>
    </row>
    <row r="208" ht="12.75" customHeight="1">
      <c r="A208" s="162"/>
      <c r="B208" s="162"/>
      <c r="C208" s="162"/>
      <c r="D208" s="1"/>
      <c r="E208" s="162"/>
      <c r="F208" s="11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4"/>
      <c r="V208" s="164"/>
    </row>
    <row r="209" ht="12.75" customHeight="1">
      <c r="A209" s="162"/>
      <c r="B209" s="162"/>
      <c r="C209" s="162"/>
      <c r="D209" s="1"/>
      <c r="E209" s="162"/>
      <c r="F209" s="11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4"/>
      <c r="V209" s="164"/>
    </row>
    <row r="210" ht="12.75" customHeight="1">
      <c r="A210" s="162"/>
      <c r="B210" s="162"/>
      <c r="C210" s="162"/>
      <c r="D210" s="1"/>
      <c r="E210" s="162"/>
      <c r="F210" s="11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4"/>
      <c r="V210" s="164"/>
    </row>
    <row r="211" ht="12.75" customHeight="1">
      <c r="A211" s="162"/>
      <c r="B211" s="162"/>
      <c r="C211" s="162"/>
      <c r="D211" s="1"/>
      <c r="E211" s="162"/>
      <c r="F211" s="11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4"/>
      <c r="V211" s="164"/>
    </row>
    <row r="212" ht="12.75" customHeight="1">
      <c r="A212" s="162"/>
      <c r="B212" s="162"/>
      <c r="C212" s="162"/>
      <c r="D212" s="1"/>
      <c r="E212" s="162"/>
      <c r="F212" s="11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4"/>
      <c r="V212" s="164"/>
    </row>
    <row r="213" ht="12.75" customHeight="1">
      <c r="A213" s="162"/>
      <c r="B213" s="162"/>
      <c r="C213" s="162"/>
      <c r="D213" s="1"/>
      <c r="E213" s="162"/>
      <c r="F213" s="11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4"/>
      <c r="V213" s="164"/>
    </row>
    <row r="214" ht="12.75" customHeight="1">
      <c r="A214" s="162"/>
      <c r="B214" s="162"/>
      <c r="C214" s="162"/>
      <c r="D214" s="1"/>
      <c r="E214" s="162"/>
      <c r="F214" s="11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4"/>
      <c r="V214" s="164"/>
    </row>
    <row r="215" ht="12.75" customHeight="1">
      <c r="A215" s="162"/>
      <c r="B215" s="162"/>
      <c r="C215" s="162"/>
      <c r="D215" s="1"/>
      <c r="E215" s="162"/>
      <c r="F215" s="11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4"/>
      <c r="V215" s="164"/>
    </row>
    <row r="216" ht="12.75" customHeight="1">
      <c r="A216" s="162"/>
      <c r="B216" s="162"/>
      <c r="C216" s="162"/>
      <c r="D216" s="1"/>
      <c r="E216" s="162"/>
      <c r="F216" s="11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4"/>
      <c r="V216" s="164"/>
    </row>
    <row r="217" ht="12.75" customHeight="1">
      <c r="A217" s="162"/>
      <c r="B217" s="162"/>
      <c r="C217" s="162"/>
      <c r="D217" s="1"/>
      <c r="E217" s="162"/>
      <c r="F217" s="11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4"/>
      <c r="V217" s="164"/>
    </row>
    <row r="218" ht="12.75" customHeight="1">
      <c r="A218" s="162"/>
      <c r="B218" s="162"/>
      <c r="C218" s="162"/>
      <c r="D218" s="1"/>
      <c r="E218" s="162"/>
      <c r="F218" s="11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4"/>
      <c r="V218" s="164"/>
    </row>
    <row r="219" ht="12.75" customHeight="1">
      <c r="A219" s="162"/>
      <c r="B219" s="162"/>
      <c r="C219" s="162"/>
      <c r="D219" s="1"/>
      <c r="E219" s="162"/>
      <c r="F219" s="11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4"/>
      <c r="V219" s="164"/>
    </row>
    <row r="220" ht="12.75" customHeight="1">
      <c r="A220" s="162"/>
      <c r="B220" s="162"/>
      <c r="C220" s="162"/>
      <c r="D220" s="1"/>
      <c r="E220" s="162"/>
      <c r="F220" s="11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4"/>
      <c r="V220" s="164"/>
    </row>
    <row r="221" ht="12.75" customHeight="1">
      <c r="A221" s="162"/>
      <c r="B221" s="162"/>
      <c r="C221" s="162"/>
      <c r="D221" s="1"/>
      <c r="E221" s="162"/>
      <c r="F221" s="11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4"/>
      <c r="V221" s="164"/>
    </row>
    <row r="222" ht="12.75" customHeight="1">
      <c r="A222" s="162"/>
      <c r="B222" s="162"/>
      <c r="C222" s="162"/>
      <c r="D222" s="1"/>
      <c r="E222" s="162"/>
      <c r="F222" s="11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4"/>
      <c r="V222" s="164"/>
    </row>
    <row r="223" ht="12.75" customHeight="1">
      <c r="A223" s="162"/>
      <c r="B223" s="162"/>
      <c r="C223" s="162"/>
      <c r="D223" s="1"/>
      <c r="E223" s="162"/>
      <c r="F223" s="11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4"/>
      <c r="V223" s="164"/>
    </row>
    <row r="224" ht="12.75" customHeight="1">
      <c r="A224" s="162"/>
      <c r="B224" s="162"/>
      <c r="C224" s="162"/>
      <c r="D224" s="1"/>
      <c r="E224" s="162"/>
      <c r="F224" s="11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4"/>
      <c r="V224" s="164"/>
    </row>
    <row r="225" ht="12.75" customHeight="1">
      <c r="A225" s="162"/>
      <c r="B225" s="162"/>
      <c r="C225" s="162"/>
      <c r="D225" s="1"/>
      <c r="E225" s="162"/>
      <c r="F225" s="11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4"/>
      <c r="V225" s="164"/>
    </row>
    <row r="226" ht="12.75" customHeight="1">
      <c r="A226" s="162"/>
      <c r="B226" s="162"/>
      <c r="C226" s="162"/>
      <c r="D226" s="1"/>
      <c r="E226" s="162"/>
      <c r="F226" s="11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4"/>
      <c r="V226" s="164"/>
    </row>
    <row r="227" ht="12.75" customHeight="1">
      <c r="A227" s="162"/>
      <c r="B227" s="162"/>
      <c r="C227" s="162"/>
      <c r="D227" s="1"/>
      <c r="E227" s="162"/>
      <c r="F227" s="11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4"/>
      <c r="V227" s="164"/>
    </row>
    <row r="228" ht="12.75" customHeight="1">
      <c r="A228" s="162"/>
      <c r="B228" s="162"/>
      <c r="C228" s="162"/>
      <c r="D228" s="1"/>
      <c r="E228" s="162"/>
      <c r="F228" s="11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4"/>
      <c r="V228" s="164"/>
    </row>
    <row r="229" ht="12.75" customHeight="1">
      <c r="A229" s="162"/>
      <c r="B229" s="162"/>
      <c r="C229" s="162"/>
      <c r="D229" s="1"/>
      <c r="E229" s="162"/>
      <c r="F229" s="11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4"/>
      <c r="V229" s="164"/>
    </row>
    <row r="230" ht="12.75" customHeight="1">
      <c r="A230" s="162"/>
      <c r="B230" s="162"/>
      <c r="C230" s="162"/>
      <c r="D230" s="1"/>
      <c r="E230" s="162"/>
      <c r="F230" s="11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4"/>
      <c r="V230" s="164"/>
    </row>
    <row r="231" ht="12.75" customHeight="1">
      <c r="A231" s="162"/>
      <c r="B231" s="162"/>
      <c r="C231" s="162"/>
      <c r="D231" s="1"/>
      <c r="E231" s="162"/>
      <c r="F231" s="11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4"/>
      <c r="V231" s="164"/>
    </row>
    <row r="232" ht="12.75" customHeight="1">
      <c r="A232" s="162"/>
      <c r="B232" s="162"/>
      <c r="C232" s="162"/>
      <c r="D232" s="1"/>
      <c r="E232" s="162"/>
      <c r="F232" s="11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4"/>
      <c r="V232" s="164"/>
    </row>
    <row r="233" ht="12.75" customHeight="1">
      <c r="A233" s="162"/>
      <c r="B233" s="162"/>
      <c r="C233" s="162"/>
      <c r="D233" s="1"/>
      <c r="E233" s="162"/>
      <c r="F233" s="11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4"/>
      <c r="V233" s="164"/>
    </row>
    <row r="234" ht="12.75" customHeight="1">
      <c r="A234" s="162"/>
      <c r="B234" s="162"/>
      <c r="C234" s="162"/>
      <c r="D234" s="1"/>
      <c r="E234" s="162"/>
      <c r="F234" s="11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4"/>
      <c r="V234" s="164"/>
    </row>
    <row r="235" ht="12.75" customHeight="1">
      <c r="A235" s="162"/>
      <c r="B235" s="162"/>
      <c r="C235" s="162"/>
      <c r="D235" s="1"/>
      <c r="E235" s="162"/>
      <c r="F235" s="11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4"/>
      <c r="V235" s="164"/>
    </row>
    <row r="236" ht="12.75" customHeight="1">
      <c r="A236" s="162"/>
      <c r="B236" s="162"/>
      <c r="C236" s="162"/>
      <c r="D236" s="1"/>
      <c r="E236" s="162"/>
      <c r="F236" s="11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4"/>
      <c r="V236" s="164"/>
    </row>
    <row r="237" ht="12.75" customHeight="1">
      <c r="A237" s="162"/>
      <c r="B237" s="162"/>
      <c r="C237" s="162"/>
      <c r="D237" s="1"/>
      <c r="E237" s="162"/>
      <c r="F237" s="11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4"/>
      <c r="V237" s="164"/>
    </row>
    <row r="238" ht="12.75" customHeight="1">
      <c r="A238" s="162"/>
      <c r="B238" s="162"/>
      <c r="C238" s="162"/>
      <c r="D238" s="1"/>
      <c r="E238" s="162"/>
      <c r="F238" s="11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4"/>
      <c r="V238" s="164"/>
    </row>
    <row r="239" ht="12.75" customHeight="1">
      <c r="A239" s="162"/>
      <c r="B239" s="162"/>
      <c r="C239" s="162"/>
      <c r="D239" s="1"/>
      <c r="E239" s="162"/>
      <c r="F239" s="11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4"/>
      <c r="V239" s="164"/>
    </row>
    <row r="240" ht="12.75" customHeight="1">
      <c r="A240" s="162"/>
      <c r="B240" s="162"/>
      <c r="C240" s="162"/>
      <c r="D240" s="1"/>
      <c r="E240" s="162"/>
      <c r="F240" s="11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4"/>
      <c r="V240" s="164"/>
    </row>
    <row r="241" ht="12.75" customHeight="1">
      <c r="A241" s="162"/>
      <c r="B241" s="162"/>
      <c r="C241" s="162"/>
      <c r="D241" s="1"/>
      <c r="E241" s="162"/>
      <c r="F241" s="11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4"/>
      <c r="V241" s="164"/>
    </row>
    <row r="242" ht="12.75" customHeight="1">
      <c r="A242" s="162"/>
      <c r="B242" s="162"/>
      <c r="C242" s="162"/>
      <c r="D242" s="1"/>
      <c r="E242" s="162"/>
      <c r="F242" s="11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4"/>
      <c r="V242" s="164"/>
    </row>
    <row r="243" ht="12.75" customHeight="1">
      <c r="A243" s="162"/>
      <c r="B243" s="162"/>
      <c r="C243" s="162"/>
      <c r="D243" s="1"/>
      <c r="E243" s="162"/>
      <c r="F243" s="11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4"/>
      <c r="V243" s="164"/>
    </row>
    <row r="244" ht="12.75" customHeight="1">
      <c r="A244" s="162"/>
      <c r="B244" s="162"/>
      <c r="C244" s="162"/>
      <c r="D244" s="1"/>
      <c r="E244" s="162"/>
      <c r="F244" s="11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4"/>
      <c r="V244" s="164"/>
    </row>
    <row r="245" ht="12.75" customHeight="1">
      <c r="A245" s="162"/>
      <c r="B245" s="162"/>
      <c r="C245" s="162"/>
      <c r="D245" s="1"/>
      <c r="E245" s="162"/>
      <c r="F245" s="11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4"/>
      <c r="V245" s="164"/>
    </row>
    <row r="246" ht="12.75" customHeight="1">
      <c r="A246" s="162"/>
      <c r="B246" s="162"/>
      <c r="C246" s="162"/>
      <c r="D246" s="1"/>
      <c r="E246" s="162"/>
      <c r="F246" s="11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4"/>
      <c r="V246" s="164"/>
    </row>
    <row r="247" ht="12.75" customHeight="1">
      <c r="A247" s="162"/>
      <c r="B247" s="162"/>
      <c r="C247" s="162"/>
      <c r="D247" s="1"/>
      <c r="E247" s="162"/>
      <c r="F247" s="11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4"/>
      <c r="V247" s="164"/>
    </row>
    <row r="248" ht="12.75" customHeight="1">
      <c r="A248" s="162"/>
      <c r="B248" s="162"/>
      <c r="C248" s="162"/>
      <c r="D248" s="1"/>
      <c r="E248" s="162"/>
      <c r="F248" s="11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4"/>
      <c r="V248" s="164"/>
    </row>
    <row r="249" ht="12.75" customHeight="1">
      <c r="A249" s="162"/>
      <c r="B249" s="162"/>
      <c r="C249" s="162"/>
      <c r="D249" s="1"/>
      <c r="E249" s="162"/>
      <c r="F249" s="11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4"/>
      <c r="V249" s="164"/>
    </row>
    <row r="250" ht="12.75" customHeight="1">
      <c r="A250" s="162"/>
      <c r="B250" s="162"/>
      <c r="C250" s="162"/>
      <c r="D250" s="1"/>
      <c r="E250" s="162"/>
      <c r="F250" s="11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4"/>
      <c r="V250" s="164"/>
    </row>
    <row r="251" ht="12.75" customHeight="1">
      <c r="A251" s="162"/>
      <c r="B251" s="162"/>
      <c r="C251" s="162"/>
      <c r="D251" s="1"/>
      <c r="E251" s="162"/>
      <c r="F251" s="11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4"/>
      <c r="V251" s="164"/>
    </row>
    <row r="252" ht="12.75" customHeight="1">
      <c r="A252" s="162"/>
      <c r="B252" s="162"/>
      <c r="C252" s="162"/>
      <c r="D252" s="1"/>
      <c r="E252" s="162"/>
      <c r="F252" s="11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4"/>
      <c r="V252" s="164"/>
    </row>
    <row r="253" ht="12.75" customHeight="1">
      <c r="A253" s="162"/>
      <c r="B253" s="162"/>
      <c r="C253" s="162"/>
      <c r="D253" s="1"/>
      <c r="E253" s="162"/>
      <c r="F253" s="11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4"/>
      <c r="V253" s="164"/>
    </row>
    <row r="254" ht="12.75" customHeight="1">
      <c r="A254" s="162"/>
      <c r="B254" s="162"/>
      <c r="C254" s="162"/>
      <c r="D254" s="1"/>
      <c r="E254" s="162"/>
      <c r="F254" s="11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4"/>
      <c r="V254" s="164"/>
    </row>
    <row r="255" ht="12.75" customHeight="1">
      <c r="A255" s="162"/>
      <c r="B255" s="162"/>
      <c r="C255" s="162"/>
      <c r="D255" s="1"/>
      <c r="E255" s="162"/>
      <c r="F255" s="11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4"/>
      <c r="V255" s="164"/>
    </row>
    <row r="256" ht="12.75" customHeight="1">
      <c r="A256" s="162"/>
      <c r="B256" s="162"/>
      <c r="C256" s="162"/>
      <c r="D256" s="1"/>
      <c r="E256" s="162"/>
      <c r="F256" s="1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4"/>
      <c r="V256" s="164"/>
    </row>
    <row r="257" ht="12.75" customHeight="1">
      <c r="A257" s="162"/>
      <c r="B257" s="162"/>
      <c r="C257" s="162"/>
      <c r="D257" s="1"/>
      <c r="E257" s="162"/>
      <c r="F257" s="11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4"/>
      <c r="V257" s="164"/>
    </row>
    <row r="258" ht="12.75" customHeight="1">
      <c r="A258" s="162"/>
      <c r="B258" s="162"/>
      <c r="C258" s="162"/>
      <c r="D258" s="1"/>
      <c r="E258" s="162"/>
      <c r="F258" s="11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4"/>
      <c r="V258" s="164"/>
    </row>
    <row r="259" ht="12.75" customHeight="1">
      <c r="A259" s="162"/>
      <c r="B259" s="162"/>
      <c r="C259" s="162"/>
      <c r="D259" s="1"/>
      <c r="E259" s="162"/>
      <c r="F259" s="11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4"/>
      <c r="V259" s="164"/>
    </row>
    <row r="260" ht="12.75" customHeight="1">
      <c r="A260" s="162"/>
      <c r="B260" s="162"/>
      <c r="C260" s="162"/>
      <c r="D260" s="1"/>
      <c r="E260" s="162"/>
      <c r="F260" s="11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4"/>
      <c r="V260" s="164"/>
    </row>
    <row r="261" ht="12.75" customHeight="1">
      <c r="A261" s="162"/>
      <c r="B261" s="162"/>
      <c r="C261" s="162"/>
      <c r="D261" s="1"/>
      <c r="E261" s="162"/>
      <c r="F261" s="11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4"/>
      <c r="V261" s="164"/>
    </row>
    <row r="262" ht="12.75" customHeight="1">
      <c r="A262" s="162"/>
      <c r="B262" s="162"/>
      <c r="C262" s="162"/>
      <c r="D262" s="1"/>
      <c r="E262" s="162"/>
      <c r="F262" s="11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4"/>
      <c r="V262" s="164"/>
    </row>
    <row r="263" ht="12.75" customHeight="1">
      <c r="A263" s="162"/>
      <c r="B263" s="162"/>
      <c r="C263" s="162"/>
      <c r="D263" s="1"/>
      <c r="E263" s="162"/>
      <c r="F263" s="11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4"/>
      <c r="V263" s="164"/>
    </row>
    <row r="264" ht="12.75" customHeight="1">
      <c r="A264" s="162"/>
      <c r="B264" s="162"/>
      <c r="C264" s="162"/>
      <c r="D264" s="1"/>
      <c r="E264" s="162"/>
      <c r="F264" s="11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4"/>
      <c r="V264" s="164"/>
    </row>
    <row r="265" ht="12.75" customHeight="1">
      <c r="A265" s="162"/>
      <c r="B265" s="162"/>
      <c r="C265" s="162"/>
      <c r="D265" s="1"/>
      <c r="E265" s="162"/>
      <c r="F265" s="11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4"/>
      <c r="V265" s="164"/>
    </row>
    <row r="266" ht="12.75" customHeight="1">
      <c r="A266" s="162"/>
      <c r="B266" s="162"/>
      <c r="C266" s="162"/>
      <c r="D266" s="1"/>
      <c r="E266" s="162"/>
      <c r="F266" s="11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4"/>
      <c r="V266" s="164"/>
    </row>
    <row r="267" ht="12.75" customHeight="1">
      <c r="A267" s="162"/>
      <c r="B267" s="162"/>
      <c r="C267" s="162"/>
      <c r="D267" s="1"/>
      <c r="E267" s="162"/>
      <c r="F267" s="11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4"/>
      <c r="V267" s="164"/>
    </row>
    <row r="268" ht="12.75" customHeight="1">
      <c r="A268" s="162"/>
      <c r="B268" s="162"/>
      <c r="C268" s="162"/>
      <c r="D268" s="1"/>
      <c r="E268" s="162"/>
      <c r="F268" s="11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4"/>
      <c r="V268" s="164"/>
    </row>
    <row r="269" ht="12.75" customHeight="1">
      <c r="A269" s="162"/>
      <c r="B269" s="162"/>
      <c r="C269" s="162"/>
      <c r="D269" s="1"/>
      <c r="E269" s="162"/>
      <c r="F269" s="11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4"/>
      <c r="V269" s="164"/>
    </row>
    <row r="270" ht="12.75" customHeight="1">
      <c r="A270" s="162"/>
      <c r="B270" s="162"/>
      <c r="C270" s="162"/>
      <c r="D270" s="1"/>
      <c r="E270" s="162"/>
      <c r="F270" s="11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4"/>
      <c r="V270" s="164"/>
    </row>
    <row r="271" ht="12.75" customHeight="1">
      <c r="A271" s="162"/>
      <c r="B271" s="162"/>
      <c r="C271" s="162"/>
      <c r="D271" s="1"/>
      <c r="E271" s="162"/>
      <c r="F271" s="11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4"/>
      <c r="V271" s="164"/>
    </row>
    <row r="272" ht="12.75" customHeight="1">
      <c r="A272" s="162"/>
      <c r="B272" s="162"/>
      <c r="C272" s="162"/>
      <c r="D272" s="1"/>
      <c r="E272" s="162"/>
      <c r="F272" s="11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4"/>
      <c r="V272" s="164"/>
    </row>
    <row r="273" ht="12.75" customHeight="1">
      <c r="A273" s="162"/>
      <c r="B273" s="162"/>
      <c r="C273" s="162"/>
      <c r="D273" s="1"/>
      <c r="E273" s="162"/>
      <c r="F273" s="11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4"/>
      <c r="V273" s="164"/>
    </row>
    <row r="274" ht="12.75" customHeight="1">
      <c r="A274" s="162"/>
      <c r="B274" s="162"/>
      <c r="C274" s="162"/>
      <c r="D274" s="1"/>
      <c r="E274" s="162"/>
      <c r="F274" s="11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4"/>
      <c r="V274" s="164"/>
    </row>
    <row r="275" ht="12.75" customHeight="1">
      <c r="A275" s="162"/>
      <c r="B275" s="162"/>
      <c r="C275" s="162"/>
      <c r="D275" s="1"/>
      <c r="E275" s="162"/>
      <c r="F275" s="11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4"/>
      <c r="V275" s="164"/>
    </row>
    <row r="276" ht="12.75" customHeight="1">
      <c r="A276" s="162"/>
      <c r="B276" s="162"/>
      <c r="C276" s="162"/>
      <c r="D276" s="1"/>
      <c r="E276" s="162"/>
      <c r="F276" s="11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4"/>
      <c r="V276" s="164"/>
    </row>
    <row r="277" ht="12.75" customHeight="1">
      <c r="A277" s="162"/>
      <c r="B277" s="162"/>
      <c r="C277" s="162"/>
      <c r="D277" s="1"/>
      <c r="E277" s="162"/>
      <c r="F277" s="11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4"/>
      <c r="V277" s="164"/>
    </row>
    <row r="278" ht="12.75" customHeight="1">
      <c r="A278" s="162"/>
      <c r="B278" s="162"/>
      <c r="C278" s="162"/>
      <c r="D278" s="1"/>
      <c r="E278" s="162"/>
      <c r="F278" s="11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4"/>
      <c r="V278" s="164"/>
    </row>
    <row r="279" ht="12.75" customHeight="1">
      <c r="A279" s="162"/>
      <c r="B279" s="162"/>
      <c r="C279" s="162"/>
      <c r="D279" s="1"/>
      <c r="E279" s="162"/>
      <c r="F279" s="11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4"/>
      <c r="V279" s="164"/>
    </row>
    <row r="280" ht="12.75" customHeight="1">
      <c r="A280" s="162"/>
      <c r="B280" s="162"/>
      <c r="C280" s="162"/>
      <c r="D280" s="1"/>
      <c r="E280" s="162"/>
      <c r="F280" s="11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4"/>
      <c r="V280" s="164"/>
    </row>
    <row r="281" ht="12.75" customHeight="1">
      <c r="A281" s="162"/>
      <c r="B281" s="162"/>
      <c r="C281" s="162"/>
      <c r="D281" s="1"/>
      <c r="E281" s="162"/>
      <c r="F281" s="11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4"/>
      <c r="V281" s="164"/>
    </row>
    <row r="282" ht="12.75" customHeight="1">
      <c r="A282" s="162"/>
      <c r="B282" s="162"/>
      <c r="C282" s="162"/>
      <c r="D282" s="1"/>
      <c r="E282" s="162"/>
      <c r="F282" s="11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4"/>
      <c r="V282" s="164"/>
    </row>
    <row r="283" ht="12.75" customHeight="1">
      <c r="A283" s="162"/>
      <c r="B283" s="162"/>
      <c r="C283" s="162"/>
      <c r="D283" s="1"/>
      <c r="E283" s="162"/>
      <c r="F283" s="11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4"/>
      <c r="V283" s="164"/>
    </row>
    <row r="284" ht="12.75" customHeight="1">
      <c r="A284" s="162"/>
      <c r="B284" s="162"/>
      <c r="C284" s="162"/>
      <c r="D284" s="1"/>
      <c r="E284" s="162"/>
      <c r="F284" s="11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4"/>
      <c r="V284" s="164"/>
    </row>
    <row r="285" ht="12.75" customHeight="1">
      <c r="A285" s="162"/>
      <c r="B285" s="162"/>
      <c r="C285" s="162"/>
      <c r="D285" s="1"/>
      <c r="E285" s="162"/>
      <c r="F285" s="11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4"/>
      <c r="V285" s="164"/>
    </row>
    <row r="286" ht="12.75" customHeight="1">
      <c r="A286" s="162"/>
      <c r="B286" s="162"/>
      <c r="C286" s="162"/>
      <c r="D286" s="1"/>
      <c r="E286" s="162"/>
      <c r="F286" s="11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4"/>
      <c r="V286" s="164"/>
    </row>
    <row r="287" ht="12.75" customHeight="1">
      <c r="A287" s="162"/>
      <c r="B287" s="162"/>
      <c r="C287" s="162"/>
      <c r="D287" s="1"/>
      <c r="E287" s="162"/>
      <c r="F287" s="11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4"/>
      <c r="V287" s="164"/>
    </row>
    <row r="288" ht="12.75" customHeight="1">
      <c r="A288" s="162"/>
      <c r="B288" s="162"/>
      <c r="C288" s="162"/>
      <c r="D288" s="1"/>
      <c r="E288" s="162"/>
      <c r="F288" s="11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4"/>
      <c r="V288" s="164"/>
    </row>
    <row r="289" ht="12.75" customHeight="1">
      <c r="A289" s="162"/>
      <c r="B289" s="162"/>
      <c r="C289" s="162"/>
      <c r="D289" s="1"/>
      <c r="E289" s="162"/>
      <c r="F289" s="11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4"/>
      <c r="V289" s="164"/>
    </row>
    <row r="290" ht="12.75" customHeight="1">
      <c r="A290" s="162"/>
      <c r="B290" s="162"/>
      <c r="C290" s="162"/>
      <c r="D290" s="1"/>
      <c r="E290" s="162"/>
      <c r="F290" s="11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4"/>
      <c r="V290" s="164"/>
    </row>
    <row r="291" ht="12.75" customHeight="1">
      <c r="A291" s="162"/>
      <c r="B291" s="162"/>
      <c r="C291" s="162"/>
      <c r="D291" s="1"/>
      <c r="E291" s="162"/>
      <c r="F291" s="11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4"/>
      <c r="V291" s="164"/>
    </row>
    <row r="292" ht="12.75" customHeight="1">
      <c r="A292" s="162"/>
      <c r="B292" s="162"/>
      <c r="C292" s="162"/>
      <c r="D292" s="1"/>
      <c r="E292" s="162"/>
      <c r="F292" s="11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4"/>
      <c r="V292" s="164"/>
    </row>
    <row r="293" ht="12.75" customHeight="1">
      <c r="A293" s="162"/>
      <c r="B293" s="162"/>
      <c r="C293" s="162"/>
      <c r="D293" s="1"/>
      <c r="E293" s="162"/>
      <c r="F293" s="11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4"/>
      <c r="V293" s="164"/>
    </row>
    <row r="294" ht="12.75" customHeight="1">
      <c r="A294" s="162"/>
      <c r="B294" s="162"/>
      <c r="C294" s="162"/>
      <c r="D294" s="1"/>
      <c r="E294" s="162"/>
      <c r="F294" s="11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4"/>
      <c r="V294" s="164"/>
    </row>
    <row r="295" ht="12.75" customHeight="1">
      <c r="A295" s="162"/>
      <c r="B295" s="162"/>
      <c r="C295" s="162"/>
      <c r="D295" s="1"/>
      <c r="E295" s="162"/>
      <c r="F295" s="11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4"/>
      <c r="V295" s="164"/>
    </row>
    <row r="296" ht="12.75" customHeight="1">
      <c r="A296" s="162"/>
      <c r="B296" s="162"/>
      <c r="C296" s="162"/>
      <c r="D296" s="1"/>
      <c r="E296" s="162"/>
      <c r="F296" s="11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4"/>
      <c r="V296" s="164"/>
    </row>
    <row r="297" ht="12.75" customHeight="1">
      <c r="A297" s="162"/>
      <c r="B297" s="162"/>
      <c r="C297" s="162"/>
      <c r="D297" s="1"/>
      <c r="E297" s="162"/>
      <c r="F297" s="11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4"/>
      <c r="V297" s="164"/>
    </row>
    <row r="298" ht="12.75" customHeight="1">
      <c r="A298" s="162"/>
      <c r="B298" s="162"/>
      <c r="C298" s="162"/>
      <c r="D298" s="1"/>
      <c r="E298" s="162"/>
      <c r="F298" s="11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4"/>
      <c r="V298" s="164"/>
    </row>
    <row r="299" ht="12.75" customHeight="1">
      <c r="A299" s="162"/>
      <c r="B299" s="162"/>
      <c r="C299" s="162"/>
      <c r="D299" s="1"/>
      <c r="E299" s="162"/>
      <c r="F299" s="11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4"/>
      <c r="V299" s="164"/>
    </row>
    <row r="300" ht="12.75" customHeight="1">
      <c r="A300" s="162"/>
      <c r="B300" s="162"/>
      <c r="C300" s="162"/>
      <c r="D300" s="1"/>
      <c r="E300" s="162"/>
      <c r="F300" s="11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4"/>
      <c r="V300" s="164"/>
    </row>
    <row r="301" ht="12.75" customHeight="1">
      <c r="A301" s="162"/>
      <c r="B301" s="162"/>
      <c r="C301" s="162"/>
      <c r="D301" s="1"/>
      <c r="E301" s="162"/>
      <c r="F301" s="11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4"/>
      <c r="V301" s="164"/>
    </row>
    <row r="302" ht="12.75" customHeight="1">
      <c r="A302" s="162"/>
      <c r="B302" s="162"/>
      <c r="C302" s="162"/>
      <c r="D302" s="1"/>
      <c r="E302" s="162"/>
      <c r="F302" s="11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4"/>
      <c r="V302" s="164"/>
    </row>
    <row r="303" ht="12.75" customHeight="1">
      <c r="A303" s="162"/>
      <c r="B303" s="162"/>
      <c r="C303" s="162"/>
      <c r="D303" s="1"/>
      <c r="E303" s="162"/>
      <c r="F303" s="11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4"/>
      <c r="V303" s="164"/>
    </row>
    <row r="304" ht="12.75" customHeight="1">
      <c r="A304" s="162"/>
      <c r="B304" s="162"/>
      <c r="C304" s="162"/>
      <c r="D304" s="1"/>
      <c r="E304" s="162"/>
      <c r="F304" s="11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4"/>
      <c r="V304" s="164"/>
    </row>
    <row r="305" ht="12.75" customHeight="1">
      <c r="A305" s="162"/>
      <c r="B305" s="162"/>
      <c r="C305" s="162"/>
      <c r="D305" s="1"/>
      <c r="E305" s="162"/>
      <c r="F305" s="11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4"/>
      <c r="V305" s="164"/>
    </row>
    <row r="306" ht="12.75" customHeight="1">
      <c r="A306" s="162"/>
      <c r="B306" s="162"/>
      <c r="C306" s="162"/>
      <c r="D306" s="1"/>
      <c r="E306" s="162"/>
      <c r="F306" s="11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4"/>
      <c r="V306" s="164"/>
    </row>
    <row r="307" ht="12.75" customHeight="1">
      <c r="A307" s="162"/>
      <c r="B307" s="162"/>
      <c r="C307" s="162"/>
      <c r="D307" s="1"/>
      <c r="E307" s="162"/>
      <c r="F307" s="11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4"/>
      <c r="V307" s="164"/>
    </row>
    <row r="308" ht="12.75" customHeight="1">
      <c r="A308" s="162"/>
      <c r="B308" s="162"/>
      <c r="C308" s="162"/>
      <c r="D308" s="1"/>
      <c r="E308" s="162"/>
      <c r="F308" s="11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4"/>
      <c r="V308" s="164"/>
    </row>
    <row r="309" ht="12.75" customHeight="1">
      <c r="A309" s="162"/>
      <c r="B309" s="162"/>
      <c r="C309" s="162"/>
      <c r="D309" s="1"/>
      <c r="E309" s="162"/>
      <c r="F309" s="11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4"/>
      <c r="V309" s="164"/>
    </row>
    <row r="310" ht="12.75" customHeight="1">
      <c r="A310" s="162"/>
      <c r="B310" s="162"/>
      <c r="C310" s="162"/>
      <c r="D310" s="1"/>
      <c r="E310" s="162"/>
      <c r="F310" s="11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4"/>
      <c r="V310" s="164"/>
    </row>
    <row r="311" ht="12.75" customHeight="1">
      <c r="A311" s="162"/>
      <c r="B311" s="162"/>
      <c r="C311" s="162"/>
      <c r="D311" s="1"/>
      <c r="E311" s="162"/>
      <c r="F311" s="11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4"/>
      <c r="V311" s="164"/>
    </row>
    <row r="312" ht="12.75" customHeight="1">
      <c r="A312" s="162"/>
      <c r="B312" s="162"/>
      <c r="C312" s="162"/>
      <c r="D312" s="1"/>
      <c r="E312" s="162"/>
      <c r="F312" s="11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4"/>
      <c r="V312" s="164"/>
    </row>
    <row r="313" ht="12.75" customHeight="1">
      <c r="A313" s="162"/>
      <c r="B313" s="162"/>
      <c r="C313" s="162"/>
      <c r="D313" s="1"/>
      <c r="E313" s="162"/>
      <c r="F313" s="11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4"/>
      <c r="V313" s="164"/>
    </row>
    <row r="314" ht="12.75" customHeight="1">
      <c r="A314" s="162"/>
      <c r="B314" s="162"/>
      <c r="C314" s="162"/>
      <c r="D314" s="1"/>
      <c r="E314" s="162"/>
      <c r="F314" s="11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4"/>
      <c r="V314" s="164"/>
    </row>
    <row r="315" ht="12.75" customHeight="1">
      <c r="A315" s="162"/>
      <c r="B315" s="162"/>
      <c r="C315" s="162"/>
      <c r="D315" s="1"/>
      <c r="E315" s="162"/>
      <c r="F315" s="11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4"/>
      <c r="V315" s="164"/>
    </row>
    <row r="316" ht="12.75" customHeight="1">
      <c r="A316" s="162"/>
      <c r="B316" s="162"/>
      <c r="C316" s="162"/>
      <c r="D316" s="1"/>
      <c r="E316" s="162"/>
      <c r="F316" s="11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4"/>
      <c r="V316" s="164"/>
    </row>
    <row r="317" ht="12.75" customHeight="1">
      <c r="A317" s="162"/>
      <c r="B317" s="162"/>
      <c r="C317" s="162"/>
      <c r="D317" s="1"/>
      <c r="E317" s="162"/>
      <c r="F317" s="11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4"/>
      <c r="V317" s="164"/>
    </row>
    <row r="318" ht="12.75" customHeight="1">
      <c r="A318" s="162"/>
      <c r="B318" s="162"/>
      <c r="C318" s="162"/>
      <c r="D318" s="1"/>
      <c r="E318" s="162"/>
      <c r="F318" s="11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4"/>
      <c r="V318" s="164"/>
    </row>
    <row r="319" ht="12.75" customHeight="1">
      <c r="A319" s="162"/>
      <c r="B319" s="162"/>
      <c r="C319" s="162"/>
      <c r="D319" s="1"/>
      <c r="E319" s="162"/>
      <c r="F319" s="11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4"/>
      <c r="V319" s="164"/>
    </row>
    <row r="320" ht="12.75" customHeight="1">
      <c r="A320" s="162"/>
      <c r="B320" s="162"/>
      <c r="C320" s="162"/>
      <c r="D320" s="1"/>
      <c r="E320" s="162"/>
      <c r="F320" s="11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4"/>
      <c r="V320" s="164"/>
    </row>
    <row r="321" ht="12.75" customHeight="1">
      <c r="A321" s="162"/>
      <c r="B321" s="162"/>
      <c r="C321" s="162"/>
      <c r="D321" s="1"/>
      <c r="E321" s="162"/>
      <c r="F321" s="11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4"/>
      <c r="V321" s="164"/>
    </row>
    <row r="322" ht="12.75" customHeight="1">
      <c r="A322" s="162"/>
      <c r="B322" s="162"/>
      <c r="C322" s="162"/>
      <c r="D322" s="1"/>
      <c r="E322" s="162"/>
      <c r="F322" s="11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4"/>
      <c r="V322" s="164"/>
    </row>
    <row r="323" ht="12.75" customHeight="1">
      <c r="A323" s="162"/>
      <c r="B323" s="162"/>
      <c r="C323" s="162"/>
      <c r="D323" s="1"/>
      <c r="E323" s="162"/>
      <c r="F323" s="11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4"/>
      <c r="V323" s="164"/>
    </row>
    <row r="324" ht="12.75" customHeight="1">
      <c r="A324" s="162"/>
      <c r="B324" s="162"/>
      <c r="C324" s="162"/>
      <c r="D324" s="1"/>
      <c r="E324" s="162"/>
      <c r="F324" s="11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4"/>
      <c r="V324" s="164"/>
    </row>
    <row r="325" ht="12.75" customHeight="1">
      <c r="A325" s="162"/>
      <c r="B325" s="162"/>
      <c r="C325" s="162"/>
      <c r="D325" s="1"/>
      <c r="E325" s="162"/>
      <c r="F325" s="11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4"/>
      <c r="V325" s="164"/>
    </row>
    <row r="326" ht="12.75" customHeight="1">
      <c r="A326" s="162"/>
      <c r="B326" s="162"/>
      <c r="C326" s="162"/>
      <c r="D326" s="1"/>
      <c r="E326" s="162"/>
      <c r="F326" s="11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4"/>
      <c r="V326" s="164"/>
    </row>
    <row r="327" ht="12.75" customHeight="1">
      <c r="A327" s="162"/>
      <c r="B327" s="162"/>
      <c r="C327" s="162"/>
      <c r="D327" s="1"/>
      <c r="E327" s="162"/>
      <c r="F327" s="11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4"/>
      <c r="V327" s="164"/>
    </row>
    <row r="328" ht="12.75" customHeight="1">
      <c r="A328" s="162"/>
      <c r="B328" s="162"/>
      <c r="C328" s="162"/>
      <c r="D328" s="1"/>
      <c r="E328" s="162"/>
      <c r="F328" s="11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4"/>
      <c r="V328" s="164"/>
    </row>
    <row r="329" ht="12.75" customHeight="1">
      <c r="A329" s="162"/>
      <c r="B329" s="162"/>
      <c r="C329" s="162"/>
      <c r="D329" s="1"/>
      <c r="E329" s="162"/>
      <c r="F329" s="11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4"/>
      <c r="V329" s="164"/>
    </row>
    <row r="330" ht="12.75" customHeight="1">
      <c r="A330" s="162"/>
      <c r="B330" s="162"/>
      <c r="C330" s="162"/>
      <c r="D330" s="1"/>
      <c r="E330" s="162"/>
      <c r="F330" s="11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4"/>
      <c r="V330" s="164"/>
    </row>
    <row r="331" ht="12.75" customHeight="1">
      <c r="A331" s="162"/>
      <c r="B331" s="162"/>
      <c r="C331" s="162"/>
      <c r="D331" s="1"/>
      <c r="E331" s="162"/>
      <c r="F331" s="11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4"/>
      <c r="V331" s="164"/>
    </row>
    <row r="332" ht="12.75" customHeight="1">
      <c r="A332" s="162"/>
      <c r="B332" s="162"/>
      <c r="C332" s="162"/>
      <c r="D332" s="1"/>
      <c r="E332" s="162"/>
      <c r="F332" s="11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4"/>
      <c r="V332" s="164"/>
    </row>
    <row r="333" ht="12.75" customHeight="1">
      <c r="A333" s="162"/>
      <c r="B333" s="162"/>
      <c r="C333" s="162"/>
      <c r="D333" s="1"/>
      <c r="E333" s="162"/>
      <c r="F333" s="11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4"/>
      <c r="V333" s="164"/>
    </row>
    <row r="334" ht="12.75" customHeight="1">
      <c r="A334" s="162"/>
      <c r="B334" s="162"/>
      <c r="C334" s="162"/>
      <c r="D334" s="1"/>
      <c r="E334" s="162"/>
      <c r="F334" s="11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4"/>
      <c r="V334" s="164"/>
    </row>
    <row r="335" ht="12.75" customHeight="1">
      <c r="A335" s="162"/>
      <c r="B335" s="162"/>
      <c r="C335" s="162"/>
      <c r="D335" s="1"/>
      <c r="E335" s="162"/>
      <c r="F335" s="11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4"/>
      <c r="V335" s="164"/>
    </row>
    <row r="336" ht="12.75" customHeight="1">
      <c r="A336" s="162"/>
      <c r="B336" s="162"/>
      <c r="C336" s="162"/>
      <c r="D336" s="1"/>
      <c r="E336" s="162"/>
      <c r="F336" s="11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4"/>
      <c r="V336" s="164"/>
    </row>
    <row r="337" ht="12.75" customHeight="1">
      <c r="A337" s="162"/>
      <c r="B337" s="162"/>
      <c r="C337" s="162"/>
      <c r="D337" s="1"/>
      <c r="E337" s="162"/>
      <c r="F337" s="11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4"/>
      <c r="V337" s="164"/>
    </row>
    <row r="338" ht="12.75" customHeight="1">
      <c r="A338" s="162"/>
      <c r="B338" s="162"/>
      <c r="C338" s="162"/>
      <c r="D338" s="1"/>
      <c r="E338" s="162"/>
      <c r="F338" s="11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4"/>
      <c r="V338" s="164"/>
    </row>
    <row r="339" ht="12.75" customHeight="1">
      <c r="A339" s="162"/>
      <c r="B339" s="162"/>
      <c r="C339" s="162"/>
      <c r="D339" s="1"/>
      <c r="E339" s="162"/>
      <c r="F339" s="11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4"/>
      <c r="V339" s="164"/>
    </row>
    <row r="340" ht="12.75" customHeight="1">
      <c r="A340" s="162"/>
      <c r="B340" s="162"/>
      <c r="C340" s="162"/>
      <c r="D340" s="1"/>
      <c r="E340" s="162"/>
      <c r="F340" s="11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4"/>
      <c r="V340" s="164"/>
    </row>
    <row r="341" ht="12.75" customHeight="1">
      <c r="A341" s="162"/>
      <c r="B341" s="162"/>
      <c r="C341" s="162"/>
      <c r="D341" s="1"/>
      <c r="E341" s="162"/>
      <c r="F341" s="11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4"/>
      <c r="V341" s="164"/>
    </row>
    <row r="342" ht="12.75" customHeight="1">
      <c r="A342" s="162"/>
      <c r="B342" s="162"/>
      <c r="C342" s="162"/>
      <c r="D342" s="1"/>
      <c r="E342" s="162"/>
      <c r="F342" s="11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4"/>
      <c r="V342" s="164"/>
    </row>
    <row r="343" ht="12.75" customHeight="1">
      <c r="A343" s="162"/>
      <c r="B343" s="162"/>
      <c r="C343" s="162"/>
      <c r="D343" s="1"/>
      <c r="E343" s="162"/>
      <c r="F343" s="11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4"/>
      <c r="V343" s="164"/>
    </row>
    <row r="344" ht="12.75" customHeight="1">
      <c r="A344" s="162"/>
      <c r="B344" s="162"/>
      <c r="C344" s="162"/>
      <c r="D344" s="1"/>
      <c r="E344" s="162"/>
      <c r="F344" s="11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4"/>
      <c r="V344" s="164"/>
    </row>
    <row r="345" ht="12.75" customHeight="1">
      <c r="A345" s="162"/>
      <c r="B345" s="162"/>
      <c r="C345" s="162"/>
      <c r="D345" s="1"/>
      <c r="E345" s="162"/>
      <c r="F345" s="11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4"/>
      <c r="V345" s="164"/>
    </row>
    <row r="346" ht="12.75" customHeight="1">
      <c r="A346" s="162"/>
      <c r="B346" s="162"/>
      <c r="C346" s="162"/>
      <c r="D346" s="1"/>
      <c r="E346" s="162"/>
      <c r="F346" s="11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4"/>
      <c r="V346" s="164"/>
    </row>
    <row r="347" ht="12.75" customHeight="1">
      <c r="A347" s="162"/>
      <c r="B347" s="162"/>
      <c r="C347" s="162"/>
      <c r="D347" s="1"/>
      <c r="E347" s="162"/>
      <c r="F347" s="11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4"/>
      <c r="V347" s="164"/>
    </row>
    <row r="348" ht="12.75" customHeight="1">
      <c r="A348" s="162"/>
      <c r="B348" s="162"/>
      <c r="C348" s="162"/>
      <c r="D348" s="1"/>
      <c r="E348" s="162"/>
      <c r="F348" s="11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4"/>
      <c r="V348" s="164"/>
    </row>
    <row r="349" ht="12.75" customHeight="1">
      <c r="A349" s="162"/>
      <c r="B349" s="162"/>
      <c r="C349" s="162"/>
      <c r="D349" s="1"/>
      <c r="E349" s="162"/>
      <c r="F349" s="11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4"/>
      <c r="V349" s="164"/>
    </row>
    <row r="350" ht="12.75" customHeight="1">
      <c r="A350" s="162"/>
      <c r="B350" s="162"/>
      <c r="C350" s="162"/>
      <c r="D350" s="1"/>
      <c r="E350" s="162"/>
      <c r="F350" s="11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4"/>
      <c r="V350" s="164"/>
    </row>
    <row r="351" ht="12.75" customHeight="1">
      <c r="A351" s="162"/>
      <c r="B351" s="162"/>
      <c r="C351" s="162"/>
      <c r="D351" s="1"/>
      <c r="E351" s="162"/>
      <c r="F351" s="11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4"/>
      <c r="V351" s="164"/>
    </row>
    <row r="352" ht="12.75" customHeight="1">
      <c r="A352" s="162"/>
      <c r="B352" s="162"/>
      <c r="C352" s="162"/>
      <c r="D352" s="1"/>
      <c r="E352" s="162"/>
      <c r="F352" s="11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4"/>
      <c r="V352" s="164"/>
    </row>
    <row r="353" ht="12.75" customHeight="1">
      <c r="A353" s="162"/>
      <c r="B353" s="162"/>
      <c r="C353" s="162"/>
      <c r="D353" s="1"/>
      <c r="E353" s="162"/>
      <c r="F353" s="11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4"/>
      <c r="V353" s="164"/>
    </row>
    <row r="354" ht="12.75" customHeight="1">
      <c r="A354" s="162"/>
      <c r="B354" s="162"/>
      <c r="C354" s="162"/>
      <c r="D354" s="1"/>
      <c r="E354" s="162"/>
      <c r="F354" s="11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4"/>
      <c r="V354" s="164"/>
    </row>
    <row r="355" ht="12.75" customHeight="1">
      <c r="A355" s="162"/>
      <c r="B355" s="162"/>
      <c r="C355" s="162"/>
      <c r="D355" s="1"/>
      <c r="E355" s="162"/>
      <c r="F355" s="11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4"/>
      <c r="V355" s="164"/>
    </row>
    <row r="356" ht="12.75" customHeight="1">
      <c r="A356" s="162"/>
      <c r="B356" s="162"/>
      <c r="C356" s="162"/>
      <c r="D356" s="1"/>
      <c r="E356" s="162"/>
      <c r="F356" s="11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4"/>
      <c r="V356" s="164"/>
    </row>
    <row r="357" ht="12.75" customHeight="1">
      <c r="A357" s="162"/>
      <c r="B357" s="162"/>
      <c r="C357" s="162"/>
      <c r="D357" s="1"/>
      <c r="E357" s="162"/>
      <c r="F357" s="11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4"/>
      <c r="V357" s="164"/>
    </row>
    <row r="358" ht="12.75" customHeight="1">
      <c r="A358" s="162"/>
      <c r="B358" s="162"/>
      <c r="C358" s="162"/>
      <c r="D358" s="1"/>
      <c r="E358" s="162"/>
      <c r="F358" s="11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4"/>
      <c r="V358" s="164"/>
    </row>
    <row r="359" ht="12.75" customHeight="1">
      <c r="A359" s="162"/>
      <c r="B359" s="162"/>
      <c r="C359" s="162"/>
      <c r="D359" s="1"/>
      <c r="E359" s="162"/>
      <c r="F359" s="11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4"/>
      <c r="V359" s="164"/>
    </row>
    <row r="360" ht="12.75" customHeight="1">
      <c r="A360" s="162"/>
      <c r="B360" s="162"/>
      <c r="C360" s="162"/>
      <c r="D360" s="1"/>
      <c r="E360" s="162"/>
      <c r="F360" s="11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4"/>
      <c r="V360" s="164"/>
    </row>
    <row r="361" ht="12.75" customHeight="1">
      <c r="A361" s="162"/>
      <c r="B361" s="162"/>
      <c r="C361" s="162"/>
      <c r="D361" s="1"/>
      <c r="E361" s="162"/>
      <c r="F361" s="11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4"/>
      <c r="V361" s="164"/>
    </row>
    <row r="362" ht="12.75" customHeight="1">
      <c r="A362" s="162"/>
      <c r="B362" s="162"/>
      <c r="C362" s="162"/>
      <c r="D362" s="1"/>
      <c r="E362" s="162"/>
      <c r="F362" s="11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4"/>
      <c r="V362" s="164"/>
    </row>
    <row r="363" ht="12.75" customHeight="1">
      <c r="A363" s="162"/>
      <c r="B363" s="162"/>
      <c r="C363" s="162"/>
      <c r="D363" s="1"/>
      <c r="E363" s="162"/>
      <c r="F363" s="11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4"/>
      <c r="V363" s="164"/>
    </row>
    <row r="364" ht="12.75" customHeight="1">
      <c r="A364" s="162"/>
      <c r="B364" s="162"/>
      <c r="C364" s="162"/>
      <c r="D364" s="1"/>
      <c r="E364" s="162"/>
      <c r="F364" s="11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4"/>
      <c r="V364" s="164"/>
    </row>
    <row r="365" ht="12.75" customHeight="1">
      <c r="A365" s="162"/>
      <c r="B365" s="162"/>
      <c r="C365" s="162"/>
      <c r="D365" s="1"/>
      <c r="E365" s="162"/>
      <c r="F365" s="11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4"/>
      <c r="V365" s="164"/>
    </row>
    <row r="366" ht="12.75" customHeight="1">
      <c r="A366" s="162"/>
      <c r="B366" s="162"/>
      <c r="C366" s="162"/>
      <c r="D366" s="1"/>
      <c r="E366" s="162"/>
      <c r="F366" s="11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4"/>
      <c r="V366" s="164"/>
    </row>
    <row r="367" ht="12.75" customHeight="1">
      <c r="A367" s="162"/>
      <c r="B367" s="162"/>
      <c r="C367" s="162"/>
      <c r="D367" s="1"/>
      <c r="E367" s="162"/>
      <c r="F367" s="11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4"/>
      <c r="V367" s="164"/>
    </row>
    <row r="368" ht="12.75" customHeight="1">
      <c r="A368" s="162"/>
      <c r="B368" s="162"/>
      <c r="C368" s="162"/>
      <c r="D368" s="1"/>
      <c r="E368" s="162"/>
      <c r="F368" s="11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4"/>
      <c r="V368" s="164"/>
    </row>
    <row r="369" ht="12.75" customHeight="1">
      <c r="A369" s="162"/>
      <c r="B369" s="162"/>
      <c r="C369" s="162"/>
      <c r="D369" s="1"/>
      <c r="E369" s="162"/>
      <c r="F369" s="11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4"/>
      <c r="V369" s="164"/>
    </row>
    <row r="370" ht="12.75" customHeight="1">
      <c r="A370" s="162"/>
      <c r="B370" s="162"/>
      <c r="C370" s="162"/>
      <c r="D370" s="1"/>
      <c r="E370" s="162"/>
      <c r="F370" s="11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4"/>
      <c r="V370" s="164"/>
    </row>
    <row r="371" ht="12.75" customHeight="1">
      <c r="A371" s="162"/>
      <c r="B371" s="162"/>
      <c r="C371" s="162"/>
      <c r="D371" s="1"/>
      <c r="E371" s="162"/>
      <c r="F371" s="11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4"/>
      <c r="V371" s="164"/>
    </row>
    <row r="372" ht="12.75" customHeight="1">
      <c r="A372" s="162"/>
      <c r="B372" s="162"/>
      <c r="C372" s="162"/>
      <c r="D372" s="1"/>
      <c r="E372" s="162"/>
      <c r="F372" s="11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4"/>
      <c r="V372" s="164"/>
    </row>
    <row r="373" ht="12.75" customHeight="1">
      <c r="A373" s="162"/>
      <c r="B373" s="162"/>
      <c r="C373" s="162"/>
      <c r="D373" s="1"/>
      <c r="E373" s="162"/>
      <c r="F373" s="11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4"/>
      <c r="V373" s="164"/>
    </row>
    <row r="374" ht="12.75" customHeight="1">
      <c r="A374" s="162"/>
      <c r="B374" s="162"/>
      <c r="C374" s="162"/>
      <c r="D374" s="1"/>
      <c r="E374" s="162"/>
      <c r="F374" s="11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4"/>
      <c r="V374" s="164"/>
    </row>
    <row r="375" ht="12.75" customHeight="1">
      <c r="A375" s="162"/>
      <c r="B375" s="162"/>
      <c r="C375" s="162"/>
      <c r="D375" s="1"/>
      <c r="E375" s="162"/>
      <c r="F375" s="11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4"/>
      <c r="V375" s="164"/>
    </row>
    <row r="376" ht="12.75" customHeight="1">
      <c r="A376" s="162"/>
      <c r="B376" s="162"/>
      <c r="C376" s="162"/>
      <c r="D376" s="1"/>
      <c r="E376" s="162"/>
      <c r="F376" s="11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4"/>
      <c r="V376" s="164"/>
    </row>
    <row r="377" ht="12.75" customHeight="1">
      <c r="A377" s="162"/>
      <c r="B377" s="162"/>
      <c r="C377" s="162"/>
      <c r="D377" s="1"/>
      <c r="E377" s="162"/>
      <c r="F377" s="11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4"/>
      <c r="V377" s="164"/>
    </row>
    <row r="378" ht="12.75" customHeight="1">
      <c r="A378" s="162"/>
      <c r="B378" s="162"/>
      <c r="C378" s="162"/>
      <c r="D378" s="1"/>
      <c r="E378" s="162"/>
      <c r="F378" s="11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4"/>
      <c r="V378" s="164"/>
    </row>
    <row r="379" ht="12.75" customHeight="1">
      <c r="A379" s="162"/>
      <c r="B379" s="162"/>
      <c r="C379" s="162"/>
      <c r="D379" s="1"/>
      <c r="E379" s="162"/>
      <c r="F379" s="11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4"/>
      <c r="V379" s="164"/>
    </row>
    <row r="380" ht="12.75" customHeight="1">
      <c r="A380" s="162"/>
      <c r="B380" s="162"/>
      <c r="C380" s="162"/>
      <c r="D380" s="1"/>
      <c r="E380" s="162"/>
      <c r="F380" s="11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4"/>
      <c r="V380" s="164"/>
    </row>
    <row r="381" ht="12.75" customHeight="1">
      <c r="A381" s="162"/>
      <c r="B381" s="162"/>
      <c r="C381" s="162"/>
      <c r="D381" s="1"/>
      <c r="E381" s="162"/>
      <c r="F381" s="11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4"/>
      <c r="V381" s="164"/>
    </row>
    <row r="382" ht="12.75" customHeight="1">
      <c r="A382" s="162"/>
      <c r="B382" s="162"/>
      <c r="C382" s="162"/>
      <c r="D382" s="1"/>
      <c r="E382" s="162"/>
      <c r="F382" s="11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4"/>
      <c r="V382" s="164"/>
    </row>
    <row r="383" ht="12.75" customHeight="1">
      <c r="A383" s="162"/>
      <c r="B383" s="162"/>
      <c r="C383" s="162"/>
      <c r="D383" s="1"/>
      <c r="E383" s="162"/>
      <c r="F383" s="11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4"/>
      <c r="V383" s="164"/>
    </row>
    <row r="384" ht="12.75" customHeight="1">
      <c r="A384" s="162"/>
      <c r="B384" s="162"/>
      <c r="C384" s="162"/>
      <c r="D384" s="1"/>
      <c r="E384" s="162"/>
      <c r="F384" s="11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4"/>
      <c r="V384" s="164"/>
    </row>
    <row r="385" ht="12.75" customHeight="1">
      <c r="A385" s="162"/>
      <c r="B385" s="162"/>
      <c r="C385" s="162"/>
      <c r="D385" s="1"/>
      <c r="E385" s="162"/>
      <c r="F385" s="11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4"/>
      <c r="V385" s="164"/>
    </row>
    <row r="386" ht="12.75" customHeight="1">
      <c r="A386" s="162"/>
      <c r="B386" s="162"/>
      <c r="C386" s="162"/>
      <c r="D386" s="1"/>
      <c r="E386" s="162"/>
      <c r="F386" s="11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4"/>
      <c r="V386" s="164"/>
    </row>
    <row r="387" ht="12.75" customHeight="1">
      <c r="A387" s="162"/>
      <c r="B387" s="162"/>
      <c r="C387" s="162"/>
      <c r="D387" s="1"/>
      <c r="E387" s="162"/>
      <c r="F387" s="11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4"/>
      <c r="V387" s="164"/>
    </row>
    <row r="388" ht="12.75" customHeight="1">
      <c r="A388" s="162"/>
      <c r="B388" s="162"/>
      <c r="C388" s="162"/>
      <c r="D388" s="1"/>
      <c r="E388" s="162"/>
      <c r="F388" s="11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4"/>
      <c r="V388" s="164"/>
    </row>
    <row r="389" ht="12.75" customHeight="1">
      <c r="A389" s="162"/>
      <c r="B389" s="162"/>
      <c r="C389" s="162"/>
      <c r="D389" s="1"/>
      <c r="E389" s="162"/>
      <c r="F389" s="11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4"/>
      <c r="V389" s="164"/>
    </row>
    <row r="390" ht="12.75" customHeight="1">
      <c r="A390" s="162"/>
      <c r="B390" s="162"/>
      <c r="C390" s="162"/>
      <c r="D390" s="1"/>
      <c r="E390" s="162"/>
      <c r="F390" s="11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4"/>
      <c r="V390" s="164"/>
    </row>
    <row r="391" ht="12.75" customHeight="1">
      <c r="A391" s="162"/>
      <c r="B391" s="162"/>
      <c r="C391" s="162"/>
      <c r="D391" s="1"/>
      <c r="E391" s="162"/>
      <c r="F391" s="11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4"/>
      <c r="V391" s="164"/>
    </row>
    <row r="392" ht="12.75" customHeight="1">
      <c r="A392" s="162"/>
      <c r="B392" s="162"/>
      <c r="C392" s="162"/>
      <c r="D392" s="1"/>
      <c r="E392" s="162"/>
      <c r="F392" s="11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4"/>
      <c r="V392" s="164"/>
    </row>
    <row r="393" ht="12.75" customHeight="1">
      <c r="A393" s="162"/>
      <c r="B393" s="162"/>
      <c r="C393" s="162"/>
      <c r="D393" s="1"/>
      <c r="E393" s="162"/>
      <c r="F393" s="11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4"/>
      <c r="V393" s="164"/>
    </row>
    <row r="394" ht="12.75" customHeight="1">
      <c r="A394" s="162"/>
      <c r="B394" s="162"/>
      <c r="C394" s="162"/>
      <c r="D394" s="1"/>
      <c r="E394" s="162"/>
      <c r="F394" s="11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4"/>
      <c r="V394" s="164"/>
    </row>
    <row r="395" ht="12.75" customHeight="1">
      <c r="A395" s="162"/>
      <c r="B395" s="162"/>
      <c r="C395" s="162"/>
      <c r="D395" s="1"/>
      <c r="E395" s="162"/>
      <c r="F395" s="11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4"/>
      <c r="V395" s="164"/>
    </row>
    <row r="396" ht="12.75" customHeight="1">
      <c r="A396" s="162"/>
      <c r="B396" s="162"/>
      <c r="C396" s="162"/>
      <c r="D396" s="1"/>
      <c r="E396" s="162"/>
      <c r="F396" s="11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4"/>
      <c r="V396" s="164"/>
    </row>
    <row r="397" ht="12.75" customHeight="1">
      <c r="A397" s="162"/>
      <c r="B397" s="162"/>
      <c r="C397" s="162"/>
      <c r="D397" s="1"/>
      <c r="E397" s="162"/>
      <c r="F397" s="11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4"/>
      <c r="V397" s="164"/>
    </row>
    <row r="398" ht="12.75" customHeight="1">
      <c r="A398" s="162"/>
      <c r="B398" s="162"/>
      <c r="C398" s="162"/>
      <c r="D398" s="1"/>
      <c r="E398" s="162"/>
      <c r="F398" s="11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4"/>
      <c r="V398" s="164"/>
    </row>
    <row r="399" ht="12.75" customHeight="1">
      <c r="A399" s="162"/>
      <c r="B399" s="162"/>
      <c r="C399" s="162"/>
      <c r="D399" s="1"/>
      <c r="E399" s="162"/>
      <c r="F399" s="11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4"/>
      <c r="V399" s="164"/>
    </row>
    <row r="400" ht="12.75" customHeight="1">
      <c r="A400" s="162"/>
      <c r="B400" s="162"/>
      <c r="C400" s="162"/>
      <c r="D400" s="1"/>
      <c r="E400" s="162"/>
      <c r="F400" s="11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4"/>
      <c r="V400" s="164"/>
    </row>
    <row r="401" ht="12.75" customHeight="1">
      <c r="A401" s="162"/>
      <c r="B401" s="162"/>
      <c r="C401" s="162"/>
      <c r="D401" s="1"/>
      <c r="E401" s="162"/>
      <c r="F401" s="11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4"/>
      <c r="V401" s="164"/>
    </row>
    <row r="402" ht="12.75" customHeight="1">
      <c r="A402" s="162"/>
      <c r="B402" s="162"/>
      <c r="C402" s="162"/>
      <c r="D402" s="1"/>
      <c r="E402" s="162"/>
      <c r="F402" s="11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4"/>
      <c r="V402" s="164"/>
    </row>
    <row r="403" ht="12.75" customHeight="1">
      <c r="A403" s="162"/>
      <c r="B403" s="162"/>
      <c r="C403" s="162"/>
      <c r="D403" s="1"/>
      <c r="E403" s="162"/>
      <c r="F403" s="11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4"/>
      <c r="V403" s="164"/>
    </row>
    <row r="404" ht="12.75" customHeight="1">
      <c r="A404" s="162"/>
      <c r="B404" s="162"/>
      <c r="C404" s="162"/>
      <c r="D404" s="1"/>
      <c r="E404" s="162"/>
      <c r="F404" s="11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4"/>
      <c r="V404" s="164"/>
    </row>
    <row r="405" ht="12.75" customHeight="1">
      <c r="A405" s="162"/>
      <c r="B405" s="162"/>
      <c r="C405" s="162"/>
      <c r="D405" s="1"/>
      <c r="E405" s="162"/>
      <c r="F405" s="11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4"/>
      <c r="V405" s="164"/>
    </row>
    <row r="406" ht="12.75" customHeight="1">
      <c r="A406" s="162"/>
      <c r="B406" s="162"/>
      <c r="C406" s="162"/>
      <c r="D406" s="1"/>
      <c r="E406" s="162"/>
      <c r="F406" s="11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4"/>
      <c r="V406" s="164"/>
    </row>
    <row r="407" ht="12.75" customHeight="1">
      <c r="A407" s="162"/>
      <c r="B407" s="162"/>
      <c r="C407" s="162"/>
      <c r="D407" s="1"/>
      <c r="E407" s="162"/>
      <c r="F407" s="11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4"/>
      <c r="V407" s="164"/>
    </row>
    <row r="408" ht="12.75" customHeight="1">
      <c r="A408" s="162"/>
      <c r="B408" s="162"/>
      <c r="C408" s="162"/>
      <c r="D408" s="1"/>
      <c r="E408" s="162"/>
      <c r="F408" s="11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4"/>
      <c r="V408" s="164"/>
    </row>
    <row r="409" ht="12.75" customHeight="1">
      <c r="A409" s="162"/>
      <c r="B409" s="162"/>
      <c r="C409" s="162"/>
      <c r="D409" s="1"/>
      <c r="E409" s="162"/>
      <c r="F409" s="11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4"/>
      <c r="V409" s="164"/>
    </row>
    <row r="410" ht="12.75" customHeight="1">
      <c r="A410" s="162"/>
      <c r="B410" s="162"/>
      <c r="C410" s="162"/>
      <c r="D410" s="1"/>
      <c r="E410" s="162"/>
      <c r="F410" s="11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4"/>
      <c r="V410" s="164"/>
    </row>
    <row r="411" ht="12.75" customHeight="1">
      <c r="A411" s="162"/>
      <c r="B411" s="162"/>
      <c r="C411" s="162"/>
      <c r="D411" s="1"/>
      <c r="E411" s="162"/>
      <c r="F411" s="11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4"/>
      <c r="V411" s="164"/>
    </row>
    <row r="412" ht="12.75" customHeight="1">
      <c r="A412" s="162"/>
      <c r="B412" s="162"/>
      <c r="C412" s="162"/>
      <c r="D412" s="1"/>
      <c r="E412" s="162"/>
      <c r="F412" s="11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4"/>
      <c r="V412" s="164"/>
    </row>
    <row r="413" ht="12.75" customHeight="1">
      <c r="A413" s="162"/>
      <c r="B413" s="162"/>
      <c r="C413" s="162"/>
      <c r="D413" s="1"/>
      <c r="E413" s="162"/>
      <c r="F413" s="11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4"/>
      <c r="V413" s="164"/>
    </row>
    <row r="414" ht="12.75" customHeight="1">
      <c r="A414" s="162"/>
      <c r="B414" s="162"/>
      <c r="C414" s="162"/>
      <c r="D414" s="1"/>
      <c r="E414" s="162"/>
      <c r="F414" s="11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4"/>
      <c r="V414" s="164"/>
    </row>
    <row r="415" ht="12.75" customHeight="1">
      <c r="A415" s="162"/>
      <c r="B415" s="162"/>
      <c r="C415" s="162"/>
      <c r="D415" s="1"/>
      <c r="E415" s="162"/>
      <c r="F415" s="11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4"/>
      <c r="V415" s="164"/>
    </row>
    <row r="416" ht="12.75" customHeight="1">
      <c r="A416" s="162"/>
      <c r="B416" s="162"/>
      <c r="C416" s="162"/>
      <c r="D416" s="1"/>
      <c r="E416" s="162"/>
      <c r="F416" s="11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4"/>
      <c r="V416" s="164"/>
    </row>
    <row r="417" ht="12.75" customHeight="1">
      <c r="A417" s="162"/>
      <c r="B417" s="162"/>
      <c r="C417" s="162"/>
      <c r="D417" s="1"/>
      <c r="E417" s="162"/>
      <c r="F417" s="11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4"/>
      <c r="V417" s="164"/>
    </row>
    <row r="418" ht="12.75" customHeight="1">
      <c r="A418" s="162"/>
      <c r="B418" s="162"/>
      <c r="C418" s="162"/>
      <c r="D418" s="1"/>
      <c r="E418" s="162"/>
      <c r="F418" s="11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4"/>
      <c r="V418" s="164"/>
    </row>
    <row r="419" ht="12.75" customHeight="1">
      <c r="A419" s="162"/>
      <c r="B419" s="162"/>
      <c r="C419" s="162"/>
      <c r="D419" s="1"/>
      <c r="E419" s="162"/>
      <c r="F419" s="11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4"/>
      <c r="V419" s="164"/>
    </row>
    <row r="420" ht="12.75" customHeight="1">
      <c r="A420" s="162"/>
      <c r="B420" s="162"/>
      <c r="C420" s="162"/>
      <c r="D420" s="1"/>
      <c r="E420" s="162"/>
      <c r="F420" s="11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4"/>
      <c r="V420" s="164"/>
    </row>
    <row r="421" ht="12.75" customHeight="1">
      <c r="A421" s="162"/>
      <c r="B421" s="162"/>
      <c r="C421" s="162"/>
      <c r="D421" s="1"/>
      <c r="E421" s="162"/>
      <c r="F421" s="11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4"/>
      <c r="V421" s="164"/>
    </row>
    <row r="422" ht="12.75" customHeight="1">
      <c r="A422" s="162"/>
      <c r="B422" s="162"/>
      <c r="C422" s="162"/>
      <c r="D422" s="1"/>
      <c r="E422" s="162"/>
      <c r="F422" s="11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4"/>
      <c r="V422" s="164"/>
    </row>
    <row r="423" ht="12.75" customHeight="1">
      <c r="A423" s="162"/>
      <c r="B423" s="162"/>
      <c r="C423" s="162"/>
      <c r="D423" s="1"/>
      <c r="E423" s="162"/>
      <c r="F423" s="11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4"/>
      <c r="V423" s="164"/>
    </row>
    <row r="424" ht="12.75" customHeight="1">
      <c r="A424" s="162"/>
      <c r="B424" s="162"/>
      <c r="C424" s="162"/>
      <c r="D424" s="1"/>
      <c r="E424" s="162"/>
      <c r="F424" s="11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4"/>
      <c r="V424" s="164"/>
    </row>
    <row r="425" ht="12.75" customHeight="1">
      <c r="A425" s="162"/>
      <c r="B425" s="162"/>
      <c r="C425" s="162"/>
      <c r="D425" s="1"/>
      <c r="E425" s="162"/>
      <c r="F425" s="11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4"/>
      <c r="V425" s="164"/>
    </row>
    <row r="426" ht="12.75" customHeight="1">
      <c r="A426" s="162"/>
      <c r="B426" s="162"/>
      <c r="C426" s="162"/>
      <c r="D426" s="1"/>
      <c r="E426" s="162"/>
      <c r="F426" s="11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4"/>
      <c r="V426" s="164"/>
    </row>
    <row r="427" ht="12.75" customHeight="1">
      <c r="A427" s="162"/>
      <c r="B427" s="162"/>
      <c r="C427" s="162"/>
      <c r="D427" s="1"/>
      <c r="E427" s="162"/>
      <c r="F427" s="11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4"/>
      <c r="V427" s="164"/>
    </row>
    <row r="428" ht="12.75" customHeight="1">
      <c r="A428" s="162"/>
      <c r="B428" s="162"/>
      <c r="C428" s="162"/>
      <c r="D428" s="1"/>
      <c r="E428" s="162"/>
      <c r="F428" s="11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4"/>
      <c r="V428" s="164"/>
    </row>
    <row r="429" ht="12.75" customHeight="1">
      <c r="A429" s="162"/>
      <c r="B429" s="162"/>
      <c r="C429" s="162"/>
      <c r="D429" s="1"/>
      <c r="E429" s="162"/>
      <c r="F429" s="11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4"/>
      <c r="V429" s="164"/>
    </row>
    <row r="430" ht="12.75" customHeight="1">
      <c r="A430" s="162"/>
      <c r="B430" s="162"/>
      <c r="C430" s="162"/>
      <c r="D430" s="1"/>
      <c r="E430" s="162"/>
      <c r="F430" s="11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4"/>
      <c r="V430" s="164"/>
    </row>
    <row r="431" ht="12.75" customHeight="1">
      <c r="A431" s="162"/>
      <c r="B431" s="162"/>
      <c r="C431" s="162"/>
      <c r="D431" s="1"/>
      <c r="E431" s="162"/>
      <c r="F431" s="11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4"/>
      <c r="V431" s="164"/>
    </row>
    <row r="432" ht="12.75" customHeight="1">
      <c r="A432" s="162"/>
      <c r="B432" s="162"/>
      <c r="C432" s="162"/>
      <c r="D432" s="1"/>
      <c r="E432" s="162"/>
      <c r="F432" s="11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4"/>
      <c r="V432" s="164"/>
    </row>
    <row r="433" ht="12.75" customHeight="1">
      <c r="A433" s="162"/>
      <c r="B433" s="162"/>
      <c r="C433" s="162"/>
      <c r="D433" s="1"/>
      <c r="E433" s="162"/>
      <c r="F433" s="11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4"/>
      <c r="V433" s="164"/>
    </row>
    <row r="434" ht="12.75" customHeight="1">
      <c r="A434" s="162"/>
      <c r="B434" s="162"/>
      <c r="C434" s="162"/>
      <c r="D434" s="1"/>
      <c r="E434" s="162"/>
      <c r="F434" s="11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4"/>
      <c r="V434" s="164"/>
    </row>
    <row r="435" ht="12.75" customHeight="1">
      <c r="A435" s="162"/>
      <c r="B435" s="162"/>
      <c r="C435" s="162"/>
      <c r="D435" s="1"/>
      <c r="E435" s="162"/>
      <c r="F435" s="11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4"/>
      <c r="V435" s="164"/>
    </row>
    <row r="436" ht="12.75" customHeight="1">
      <c r="A436" s="162"/>
      <c r="B436" s="162"/>
      <c r="C436" s="162"/>
      <c r="D436" s="1"/>
      <c r="E436" s="162"/>
      <c r="F436" s="11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4"/>
      <c r="V436" s="164"/>
    </row>
    <row r="437" ht="12.75" customHeight="1">
      <c r="A437" s="162"/>
      <c r="B437" s="162"/>
      <c r="C437" s="162"/>
      <c r="D437" s="1"/>
      <c r="E437" s="162"/>
      <c r="F437" s="11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4"/>
      <c r="V437" s="164"/>
    </row>
    <row r="438" ht="12.75" customHeight="1">
      <c r="A438" s="162"/>
      <c r="B438" s="162"/>
      <c r="C438" s="162"/>
      <c r="D438" s="1"/>
      <c r="E438" s="162"/>
      <c r="F438" s="11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4"/>
      <c r="V438" s="164"/>
    </row>
    <row r="439" ht="12.75" customHeight="1">
      <c r="A439" s="162"/>
      <c r="B439" s="162"/>
      <c r="C439" s="162"/>
      <c r="D439" s="1"/>
      <c r="E439" s="162"/>
      <c r="F439" s="11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4"/>
      <c r="V439" s="164"/>
    </row>
    <row r="440" ht="12.75" customHeight="1">
      <c r="A440" s="162"/>
      <c r="B440" s="162"/>
      <c r="C440" s="162"/>
      <c r="D440" s="1"/>
      <c r="E440" s="162"/>
      <c r="F440" s="11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4"/>
      <c r="V440" s="164"/>
    </row>
    <row r="441" ht="12.75" customHeight="1">
      <c r="A441" s="162"/>
      <c r="B441" s="162"/>
      <c r="C441" s="162"/>
      <c r="D441" s="1"/>
      <c r="E441" s="162"/>
      <c r="F441" s="11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4"/>
      <c r="V441" s="164"/>
    </row>
    <row r="442" ht="12.75" customHeight="1">
      <c r="A442" s="162"/>
      <c r="B442" s="162"/>
      <c r="C442" s="162"/>
      <c r="D442" s="1"/>
      <c r="E442" s="162"/>
      <c r="F442" s="11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4"/>
      <c r="V442" s="164"/>
    </row>
    <row r="443" ht="12.75" customHeight="1">
      <c r="A443" s="162"/>
      <c r="B443" s="162"/>
      <c r="C443" s="162"/>
      <c r="D443" s="1"/>
      <c r="E443" s="162"/>
      <c r="F443" s="11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4"/>
      <c r="V443" s="164"/>
    </row>
    <row r="444" ht="12.75" customHeight="1">
      <c r="A444" s="162"/>
      <c r="B444" s="162"/>
      <c r="C444" s="162"/>
      <c r="D444" s="1"/>
      <c r="E444" s="162"/>
      <c r="F444" s="11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4"/>
      <c r="V444" s="164"/>
    </row>
    <row r="445" ht="12.75" customHeight="1">
      <c r="A445" s="162"/>
      <c r="B445" s="162"/>
      <c r="C445" s="162"/>
      <c r="D445" s="1"/>
      <c r="E445" s="162"/>
      <c r="F445" s="11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4"/>
      <c r="V445" s="164"/>
    </row>
    <row r="446" ht="12.75" customHeight="1">
      <c r="A446" s="162"/>
      <c r="B446" s="162"/>
      <c r="C446" s="162"/>
      <c r="D446" s="1"/>
      <c r="E446" s="162"/>
      <c r="F446" s="11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4"/>
      <c r="V446" s="164"/>
    </row>
    <row r="447" ht="12.75" customHeight="1">
      <c r="A447" s="162"/>
      <c r="B447" s="162"/>
      <c r="C447" s="162"/>
      <c r="D447" s="1"/>
      <c r="E447" s="162"/>
      <c r="F447" s="11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4"/>
      <c r="V447" s="164"/>
    </row>
    <row r="448" ht="12.75" customHeight="1">
      <c r="A448" s="162"/>
      <c r="B448" s="162"/>
      <c r="C448" s="162"/>
      <c r="D448" s="1"/>
      <c r="E448" s="162"/>
      <c r="F448" s="11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4"/>
      <c r="V448" s="164"/>
    </row>
    <row r="449" ht="12.75" customHeight="1">
      <c r="A449" s="162"/>
      <c r="B449" s="162"/>
      <c r="C449" s="162"/>
      <c r="D449" s="1"/>
      <c r="E449" s="162"/>
      <c r="F449" s="11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4"/>
      <c r="V449" s="164"/>
    </row>
    <row r="450" ht="12.75" customHeight="1">
      <c r="A450" s="162"/>
      <c r="B450" s="162"/>
      <c r="C450" s="162"/>
      <c r="D450" s="1"/>
      <c r="E450" s="162"/>
      <c r="F450" s="11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4"/>
      <c r="V450" s="164"/>
    </row>
    <row r="451" ht="12.75" customHeight="1">
      <c r="A451" s="162"/>
      <c r="B451" s="162"/>
      <c r="C451" s="162"/>
      <c r="D451" s="1"/>
      <c r="E451" s="162"/>
      <c r="F451" s="11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4"/>
      <c r="V451" s="164"/>
    </row>
    <row r="452" ht="12.75" customHeight="1">
      <c r="A452" s="162"/>
      <c r="B452" s="162"/>
      <c r="C452" s="162"/>
      <c r="D452" s="1"/>
      <c r="E452" s="162"/>
      <c r="F452" s="11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4"/>
      <c r="V452" s="164"/>
    </row>
    <row r="453" ht="12.75" customHeight="1">
      <c r="A453" s="162"/>
      <c r="B453" s="162"/>
      <c r="C453" s="162"/>
      <c r="D453" s="1"/>
      <c r="E453" s="162"/>
      <c r="F453" s="11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4"/>
      <c r="V453" s="164"/>
    </row>
    <row r="454" ht="12.75" customHeight="1">
      <c r="A454" s="162"/>
      <c r="B454" s="162"/>
      <c r="C454" s="162"/>
      <c r="D454" s="1"/>
      <c r="E454" s="162"/>
      <c r="F454" s="11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4"/>
      <c r="V454" s="164"/>
    </row>
    <row r="455" ht="12.75" customHeight="1">
      <c r="A455" s="162"/>
      <c r="B455" s="162"/>
      <c r="C455" s="162"/>
      <c r="D455" s="1"/>
      <c r="E455" s="162"/>
      <c r="F455" s="11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4"/>
      <c r="V455" s="164"/>
    </row>
    <row r="456" ht="12.75" customHeight="1">
      <c r="A456" s="162"/>
      <c r="B456" s="162"/>
      <c r="C456" s="162"/>
      <c r="D456" s="1"/>
      <c r="E456" s="162"/>
      <c r="F456" s="11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4"/>
      <c r="V456" s="164"/>
    </row>
    <row r="457" ht="12.75" customHeight="1">
      <c r="A457" s="162"/>
      <c r="B457" s="162"/>
      <c r="C457" s="162"/>
      <c r="D457" s="1"/>
      <c r="E457" s="162"/>
      <c r="F457" s="11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4"/>
      <c r="V457" s="164"/>
    </row>
    <row r="458" ht="12.75" customHeight="1">
      <c r="A458" s="162"/>
      <c r="B458" s="162"/>
      <c r="C458" s="162"/>
      <c r="D458" s="1"/>
      <c r="E458" s="162"/>
      <c r="F458" s="11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4"/>
      <c r="V458" s="164"/>
    </row>
    <row r="459" ht="12.75" customHeight="1">
      <c r="A459" s="162"/>
      <c r="B459" s="162"/>
      <c r="C459" s="162"/>
      <c r="D459" s="1"/>
      <c r="E459" s="162"/>
      <c r="F459" s="11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4"/>
      <c r="V459" s="164"/>
    </row>
    <row r="460" ht="12.75" customHeight="1">
      <c r="A460" s="162"/>
      <c r="B460" s="162"/>
      <c r="C460" s="162"/>
      <c r="D460" s="1"/>
      <c r="E460" s="162"/>
      <c r="F460" s="11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4"/>
      <c r="V460" s="164"/>
    </row>
    <row r="461" ht="12.75" customHeight="1">
      <c r="A461" s="162"/>
      <c r="B461" s="162"/>
      <c r="C461" s="162"/>
      <c r="D461" s="1"/>
      <c r="E461" s="162"/>
      <c r="F461" s="11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4"/>
      <c r="V461" s="164"/>
    </row>
    <row r="462" ht="12.75" customHeight="1">
      <c r="A462" s="162"/>
      <c r="B462" s="162"/>
      <c r="C462" s="162"/>
      <c r="D462" s="1"/>
      <c r="E462" s="162"/>
      <c r="F462" s="11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4"/>
      <c r="V462" s="164"/>
    </row>
    <row r="463" ht="12.75" customHeight="1">
      <c r="A463" s="162"/>
      <c r="B463" s="162"/>
      <c r="C463" s="162"/>
      <c r="D463" s="1"/>
      <c r="E463" s="162"/>
      <c r="F463" s="11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4"/>
      <c r="V463" s="164"/>
    </row>
    <row r="464" ht="12.75" customHeight="1">
      <c r="A464" s="162"/>
      <c r="B464" s="162"/>
      <c r="C464" s="162"/>
      <c r="D464" s="1"/>
      <c r="E464" s="162"/>
      <c r="F464" s="11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4"/>
      <c r="V464" s="164"/>
    </row>
    <row r="465" ht="12.75" customHeight="1">
      <c r="A465" s="162"/>
      <c r="B465" s="162"/>
      <c r="C465" s="162"/>
      <c r="D465" s="1"/>
      <c r="E465" s="162"/>
      <c r="F465" s="11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4"/>
      <c r="V465" s="164"/>
    </row>
    <row r="466" ht="12.75" customHeight="1">
      <c r="A466" s="162"/>
      <c r="B466" s="162"/>
      <c r="C466" s="162"/>
      <c r="D466" s="1"/>
      <c r="E466" s="162"/>
      <c r="F466" s="11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4"/>
      <c r="V466" s="164"/>
    </row>
    <row r="467" ht="12.75" customHeight="1">
      <c r="A467" s="162"/>
      <c r="B467" s="162"/>
      <c r="C467" s="162"/>
      <c r="D467" s="1"/>
      <c r="E467" s="162"/>
      <c r="F467" s="11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4"/>
      <c r="V467" s="164"/>
    </row>
    <row r="468" ht="12.75" customHeight="1">
      <c r="A468" s="162"/>
      <c r="B468" s="162"/>
      <c r="C468" s="162"/>
      <c r="D468" s="1"/>
      <c r="E468" s="162"/>
      <c r="F468" s="11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4"/>
      <c r="V468" s="164"/>
    </row>
    <row r="469" ht="12.75" customHeight="1">
      <c r="A469" s="162"/>
      <c r="B469" s="162"/>
      <c r="C469" s="162"/>
      <c r="D469" s="1"/>
      <c r="E469" s="162"/>
      <c r="F469" s="11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4"/>
      <c r="V469" s="164"/>
    </row>
    <row r="470" ht="12.75" customHeight="1">
      <c r="A470" s="162"/>
      <c r="B470" s="162"/>
      <c r="C470" s="162"/>
      <c r="D470" s="1"/>
      <c r="E470" s="162"/>
      <c r="F470" s="11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4"/>
      <c r="V470" s="164"/>
    </row>
    <row r="471" ht="12.75" customHeight="1">
      <c r="A471" s="162"/>
      <c r="B471" s="162"/>
      <c r="C471" s="162"/>
      <c r="D471" s="1"/>
      <c r="E471" s="162"/>
      <c r="F471" s="11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4"/>
      <c r="V471" s="164"/>
    </row>
    <row r="472" ht="12.75" customHeight="1">
      <c r="A472" s="162"/>
      <c r="B472" s="162"/>
      <c r="C472" s="162"/>
      <c r="D472" s="1"/>
      <c r="E472" s="162"/>
      <c r="F472" s="11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4"/>
      <c r="V472" s="164"/>
    </row>
    <row r="473" ht="12.75" customHeight="1">
      <c r="A473" s="162"/>
      <c r="B473" s="162"/>
      <c r="C473" s="162"/>
      <c r="D473" s="1"/>
      <c r="E473" s="162"/>
      <c r="F473" s="11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4"/>
      <c r="V473" s="164"/>
    </row>
    <row r="474" ht="12.75" customHeight="1">
      <c r="A474" s="162"/>
      <c r="B474" s="162"/>
      <c r="C474" s="162"/>
      <c r="D474" s="1"/>
      <c r="E474" s="162"/>
      <c r="F474" s="11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4"/>
      <c r="V474" s="164"/>
    </row>
    <row r="475" ht="12.75" customHeight="1">
      <c r="A475" s="162"/>
      <c r="B475" s="162"/>
      <c r="C475" s="162"/>
      <c r="D475" s="1"/>
      <c r="E475" s="162"/>
      <c r="F475" s="11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4"/>
      <c r="V475" s="164"/>
    </row>
    <row r="476" ht="12.75" customHeight="1">
      <c r="A476" s="162"/>
      <c r="B476" s="162"/>
      <c r="C476" s="162"/>
      <c r="D476" s="1"/>
      <c r="E476" s="162"/>
      <c r="F476" s="11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4"/>
      <c r="V476" s="164"/>
    </row>
    <row r="477" ht="12.75" customHeight="1">
      <c r="A477" s="162"/>
      <c r="B477" s="162"/>
      <c r="C477" s="162"/>
      <c r="D477" s="1"/>
      <c r="E477" s="162"/>
      <c r="F477" s="11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4"/>
      <c r="V477" s="164"/>
    </row>
    <row r="478" ht="12.75" customHeight="1">
      <c r="A478" s="162"/>
      <c r="B478" s="162"/>
      <c r="C478" s="162"/>
      <c r="D478" s="1"/>
      <c r="E478" s="162"/>
      <c r="F478" s="11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4"/>
      <c r="V478" s="164"/>
    </row>
    <row r="479" ht="12.75" customHeight="1">
      <c r="A479" s="162"/>
      <c r="B479" s="162"/>
      <c r="C479" s="162"/>
      <c r="D479" s="1"/>
      <c r="E479" s="162"/>
      <c r="F479" s="11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4"/>
      <c r="V479" s="164"/>
    </row>
    <row r="480" ht="12.75" customHeight="1">
      <c r="A480" s="162"/>
      <c r="B480" s="162"/>
      <c r="C480" s="162"/>
      <c r="D480" s="1"/>
      <c r="E480" s="162"/>
      <c r="F480" s="11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4"/>
      <c r="V480" s="164"/>
    </row>
    <row r="481" ht="12.75" customHeight="1">
      <c r="A481" s="162"/>
      <c r="B481" s="162"/>
      <c r="C481" s="162"/>
      <c r="D481" s="1"/>
      <c r="E481" s="162"/>
      <c r="F481" s="11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4"/>
      <c r="V481" s="164"/>
    </row>
    <row r="482" ht="12.75" customHeight="1">
      <c r="A482" s="162"/>
      <c r="B482" s="162"/>
      <c r="C482" s="162"/>
      <c r="D482" s="1"/>
      <c r="E482" s="162"/>
      <c r="F482" s="11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4"/>
      <c r="V482" s="164"/>
    </row>
    <row r="483" ht="12.75" customHeight="1">
      <c r="A483" s="162"/>
      <c r="B483" s="162"/>
      <c r="C483" s="162"/>
      <c r="D483" s="1"/>
      <c r="E483" s="162"/>
      <c r="F483" s="11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4"/>
      <c r="V483" s="164"/>
    </row>
    <row r="484" ht="12.75" customHeight="1">
      <c r="A484" s="162"/>
      <c r="B484" s="162"/>
      <c r="C484" s="162"/>
      <c r="D484" s="1"/>
      <c r="E484" s="162"/>
      <c r="F484" s="11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4"/>
      <c r="V484" s="164"/>
    </row>
    <row r="485" ht="12.75" customHeight="1">
      <c r="A485" s="162"/>
      <c r="B485" s="162"/>
      <c r="C485" s="162"/>
      <c r="D485" s="1"/>
      <c r="E485" s="162"/>
      <c r="F485" s="11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4"/>
      <c r="V485" s="164"/>
    </row>
    <row r="486" ht="12.75" customHeight="1">
      <c r="A486" s="162"/>
      <c r="B486" s="162"/>
      <c r="C486" s="162"/>
      <c r="D486" s="1"/>
      <c r="E486" s="162"/>
      <c r="F486" s="11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4"/>
      <c r="V486" s="164"/>
    </row>
    <row r="487" ht="12.75" customHeight="1">
      <c r="A487" s="162"/>
      <c r="B487" s="162"/>
      <c r="C487" s="162"/>
      <c r="D487" s="1"/>
      <c r="E487" s="162"/>
      <c r="F487" s="11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4"/>
      <c r="V487" s="164"/>
    </row>
    <row r="488" ht="12.75" customHeight="1">
      <c r="A488" s="162"/>
      <c r="B488" s="162"/>
      <c r="C488" s="162"/>
      <c r="D488" s="1"/>
      <c r="E488" s="162"/>
      <c r="F488" s="11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4"/>
      <c r="V488" s="164"/>
    </row>
    <row r="489" ht="12.75" customHeight="1">
      <c r="A489" s="162"/>
      <c r="B489" s="162"/>
      <c r="C489" s="162"/>
      <c r="D489" s="1"/>
      <c r="E489" s="162"/>
      <c r="F489" s="11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4"/>
      <c r="V489" s="164"/>
    </row>
    <row r="490" ht="12.75" customHeight="1">
      <c r="A490" s="162"/>
      <c r="B490" s="162"/>
      <c r="C490" s="162"/>
      <c r="D490" s="1"/>
      <c r="E490" s="162"/>
      <c r="F490" s="11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4"/>
      <c r="V490" s="164"/>
    </row>
    <row r="491" ht="12.75" customHeight="1">
      <c r="A491" s="162"/>
      <c r="B491" s="162"/>
      <c r="C491" s="162"/>
      <c r="D491" s="1"/>
      <c r="E491" s="162"/>
      <c r="F491" s="11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4"/>
      <c r="V491" s="164"/>
    </row>
    <row r="492" ht="12.75" customHeight="1">
      <c r="A492" s="162"/>
      <c r="B492" s="162"/>
      <c r="C492" s="162"/>
      <c r="D492" s="1"/>
      <c r="E492" s="162"/>
      <c r="F492" s="11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4"/>
      <c r="V492" s="164"/>
    </row>
    <row r="493" ht="12.75" customHeight="1">
      <c r="A493" s="162"/>
      <c r="B493" s="162"/>
      <c r="C493" s="162"/>
      <c r="D493" s="1"/>
      <c r="E493" s="162"/>
      <c r="F493" s="11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4"/>
      <c r="V493" s="164"/>
    </row>
    <row r="494" ht="12.75" customHeight="1">
      <c r="A494" s="162"/>
      <c r="B494" s="162"/>
      <c r="C494" s="162"/>
      <c r="D494" s="1"/>
      <c r="E494" s="162"/>
      <c r="F494" s="11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4"/>
      <c r="V494" s="164"/>
    </row>
    <row r="495" ht="12.75" customHeight="1">
      <c r="A495" s="162"/>
      <c r="B495" s="162"/>
      <c r="C495" s="162"/>
      <c r="D495" s="1"/>
      <c r="E495" s="162"/>
      <c r="F495" s="11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4"/>
      <c r="V495" s="164"/>
    </row>
    <row r="496" ht="12.75" customHeight="1">
      <c r="A496" s="162"/>
      <c r="B496" s="162"/>
      <c r="C496" s="162"/>
      <c r="D496" s="1"/>
      <c r="E496" s="162"/>
      <c r="F496" s="11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4"/>
      <c r="V496" s="164"/>
    </row>
    <row r="497" ht="12.75" customHeight="1">
      <c r="A497" s="162"/>
      <c r="B497" s="162"/>
      <c r="C497" s="162"/>
      <c r="D497" s="1"/>
      <c r="E497" s="162"/>
      <c r="F497" s="11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4"/>
      <c r="V497" s="164"/>
    </row>
    <row r="498" ht="12.75" customHeight="1">
      <c r="A498" s="162"/>
      <c r="B498" s="162"/>
      <c r="C498" s="162"/>
      <c r="D498" s="1"/>
      <c r="E498" s="162"/>
      <c r="F498" s="11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4"/>
      <c r="V498" s="164"/>
    </row>
    <row r="499" ht="12.75" customHeight="1">
      <c r="A499" s="162"/>
      <c r="B499" s="162"/>
      <c r="C499" s="162"/>
      <c r="D499" s="1"/>
      <c r="E499" s="162"/>
      <c r="F499" s="11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4"/>
      <c r="V499" s="164"/>
    </row>
    <row r="500" ht="12.75" customHeight="1">
      <c r="A500" s="162"/>
      <c r="B500" s="162"/>
      <c r="C500" s="162"/>
      <c r="D500" s="1"/>
      <c r="E500" s="162"/>
      <c r="F500" s="11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4"/>
      <c r="V500" s="164"/>
    </row>
    <row r="501" ht="12.75" customHeight="1">
      <c r="A501" s="162"/>
      <c r="B501" s="162"/>
      <c r="C501" s="162"/>
      <c r="D501" s="1"/>
      <c r="E501" s="162"/>
      <c r="F501" s="11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4"/>
      <c r="V501" s="164"/>
    </row>
    <row r="502" ht="12.75" customHeight="1">
      <c r="A502" s="162"/>
      <c r="B502" s="162"/>
      <c r="C502" s="162"/>
      <c r="D502" s="1"/>
      <c r="E502" s="162"/>
      <c r="F502" s="11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4"/>
      <c r="V502" s="164"/>
    </row>
    <row r="503" ht="12.75" customHeight="1">
      <c r="A503" s="162"/>
      <c r="B503" s="162"/>
      <c r="C503" s="162"/>
      <c r="D503" s="1"/>
      <c r="E503" s="162"/>
      <c r="F503" s="11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4"/>
      <c r="V503" s="164"/>
    </row>
    <row r="504" ht="12.75" customHeight="1">
      <c r="A504" s="162"/>
      <c r="B504" s="162"/>
      <c r="C504" s="162"/>
      <c r="D504" s="1"/>
      <c r="E504" s="162"/>
      <c r="F504" s="11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4"/>
      <c r="V504" s="164"/>
    </row>
    <row r="505" ht="12.75" customHeight="1">
      <c r="A505" s="162"/>
      <c r="B505" s="162"/>
      <c r="C505" s="162"/>
      <c r="D505" s="1"/>
      <c r="E505" s="162"/>
      <c r="F505" s="11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4"/>
      <c r="V505" s="164"/>
    </row>
    <row r="506" ht="12.75" customHeight="1">
      <c r="A506" s="162"/>
      <c r="B506" s="162"/>
      <c r="C506" s="162"/>
      <c r="D506" s="1"/>
      <c r="E506" s="162"/>
      <c r="F506" s="11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4"/>
      <c r="V506" s="164"/>
    </row>
    <row r="507" ht="12.75" customHeight="1">
      <c r="A507" s="162"/>
      <c r="B507" s="162"/>
      <c r="C507" s="162"/>
      <c r="D507" s="1"/>
      <c r="E507" s="162"/>
      <c r="F507" s="11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4"/>
      <c r="V507" s="164"/>
    </row>
    <row r="508" ht="12.75" customHeight="1">
      <c r="A508" s="162"/>
      <c r="B508" s="162"/>
      <c r="C508" s="162"/>
      <c r="D508" s="1"/>
      <c r="E508" s="162"/>
      <c r="F508" s="11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4"/>
      <c r="V508" s="164"/>
    </row>
    <row r="509" ht="12.75" customHeight="1">
      <c r="A509" s="162"/>
      <c r="B509" s="162"/>
      <c r="C509" s="162"/>
      <c r="D509" s="1"/>
      <c r="E509" s="162"/>
      <c r="F509" s="11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4"/>
      <c r="V509" s="164"/>
    </row>
    <row r="510" ht="12.75" customHeight="1">
      <c r="A510" s="162"/>
      <c r="B510" s="162"/>
      <c r="C510" s="162"/>
      <c r="D510" s="1"/>
      <c r="E510" s="162"/>
      <c r="F510" s="11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4"/>
      <c r="V510" s="164"/>
    </row>
    <row r="511" ht="12.75" customHeight="1">
      <c r="A511" s="162"/>
      <c r="B511" s="162"/>
      <c r="C511" s="162"/>
      <c r="D511" s="1"/>
      <c r="E511" s="162"/>
      <c r="F511" s="11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4"/>
      <c r="V511" s="164"/>
    </row>
    <row r="512" ht="12.75" customHeight="1">
      <c r="A512" s="162"/>
      <c r="B512" s="162"/>
      <c r="C512" s="162"/>
      <c r="D512" s="1"/>
      <c r="E512" s="162"/>
      <c r="F512" s="11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4"/>
      <c r="V512" s="164"/>
    </row>
    <row r="513" ht="12.75" customHeight="1">
      <c r="A513" s="162"/>
      <c r="B513" s="162"/>
      <c r="C513" s="162"/>
      <c r="D513" s="1"/>
      <c r="E513" s="162"/>
      <c r="F513" s="11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4"/>
      <c r="V513" s="164"/>
    </row>
    <row r="514" ht="12.75" customHeight="1">
      <c r="A514" s="162"/>
      <c r="B514" s="162"/>
      <c r="C514" s="162"/>
      <c r="D514" s="1"/>
      <c r="E514" s="162"/>
      <c r="F514" s="11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4"/>
      <c r="V514" s="164"/>
    </row>
    <row r="515" ht="12.75" customHeight="1">
      <c r="A515" s="162"/>
      <c r="B515" s="162"/>
      <c r="C515" s="162"/>
      <c r="D515" s="1"/>
      <c r="E515" s="162"/>
      <c r="F515" s="11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4"/>
      <c r="V515" s="164"/>
    </row>
    <row r="516" ht="12.75" customHeight="1">
      <c r="A516" s="162"/>
      <c r="B516" s="162"/>
      <c r="C516" s="162"/>
      <c r="D516" s="1"/>
      <c r="E516" s="162"/>
      <c r="F516" s="11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4"/>
      <c r="V516" s="164"/>
    </row>
    <row r="517" ht="12.75" customHeight="1">
      <c r="A517" s="162"/>
      <c r="B517" s="162"/>
      <c r="C517" s="162"/>
      <c r="D517" s="1"/>
      <c r="E517" s="162"/>
      <c r="F517" s="11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4"/>
      <c r="V517" s="164"/>
    </row>
    <row r="518" ht="12.75" customHeight="1">
      <c r="A518" s="162"/>
      <c r="B518" s="162"/>
      <c r="C518" s="162"/>
      <c r="D518" s="1"/>
      <c r="E518" s="162"/>
      <c r="F518" s="11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4"/>
      <c r="V518" s="164"/>
    </row>
    <row r="519" ht="12.75" customHeight="1">
      <c r="A519" s="162"/>
      <c r="B519" s="162"/>
      <c r="C519" s="162"/>
      <c r="D519" s="1"/>
      <c r="E519" s="162"/>
      <c r="F519" s="11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4"/>
      <c r="V519" s="164"/>
    </row>
    <row r="520" ht="12.75" customHeight="1">
      <c r="A520" s="162"/>
      <c r="B520" s="162"/>
      <c r="C520" s="162"/>
      <c r="D520" s="1"/>
      <c r="E520" s="162"/>
      <c r="F520" s="11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4"/>
      <c r="V520" s="164"/>
    </row>
    <row r="521" ht="12.75" customHeight="1">
      <c r="A521" s="162"/>
      <c r="B521" s="162"/>
      <c r="C521" s="162"/>
      <c r="D521" s="1"/>
      <c r="E521" s="162"/>
      <c r="F521" s="11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4"/>
      <c r="V521" s="164"/>
    </row>
    <row r="522" ht="12.75" customHeight="1">
      <c r="A522" s="162"/>
      <c r="B522" s="162"/>
      <c r="C522" s="162"/>
      <c r="D522" s="1"/>
      <c r="E522" s="162"/>
      <c r="F522" s="11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4"/>
      <c r="V522" s="164"/>
    </row>
    <row r="523" ht="12.75" customHeight="1">
      <c r="A523" s="162"/>
      <c r="B523" s="162"/>
      <c r="C523" s="162"/>
      <c r="D523" s="1"/>
      <c r="E523" s="162"/>
      <c r="F523" s="11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4"/>
      <c r="V523" s="164"/>
    </row>
    <row r="524" ht="12.75" customHeight="1">
      <c r="A524" s="162"/>
      <c r="B524" s="162"/>
      <c r="C524" s="162"/>
      <c r="D524" s="1"/>
      <c r="E524" s="162"/>
      <c r="F524" s="11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4"/>
      <c r="V524" s="164"/>
    </row>
    <row r="525" ht="12.75" customHeight="1">
      <c r="A525" s="162"/>
      <c r="B525" s="162"/>
      <c r="C525" s="162"/>
      <c r="D525" s="1"/>
      <c r="E525" s="162"/>
      <c r="F525" s="11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4"/>
      <c r="V525" s="164"/>
    </row>
    <row r="526" ht="12.75" customHeight="1">
      <c r="A526" s="162"/>
      <c r="B526" s="162"/>
      <c r="C526" s="162"/>
      <c r="D526" s="1"/>
      <c r="E526" s="162"/>
      <c r="F526" s="11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4"/>
      <c r="V526" s="164"/>
    </row>
    <row r="527" ht="12.75" customHeight="1">
      <c r="A527" s="162"/>
      <c r="B527" s="162"/>
      <c r="C527" s="162"/>
      <c r="D527" s="1"/>
      <c r="E527" s="162"/>
      <c r="F527" s="11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4"/>
      <c r="V527" s="164"/>
    </row>
    <row r="528" ht="12.75" customHeight="1">
      <c r="A528" s="162"/>
      <c r="B528" s="162"/>
      <c r="C528" s="162"/>
      <c r="D528" s="1"/>
      <c r="E528" s="162"/>
      <c r="F528" s="11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4"/>
      <c r="V528" s="164"/>
    </row>
    <row r="529" ht="12.75" customHeight="1">
      <c r="A529" s="162"/>
      <c r="B529" s="162"/>
      <c r="C529" s="162"/>
      <c r="D529" s="1"/>
      <c r="E529" s="162"/>
      <c r="F529" s="11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4"/>
      <c r="V529" s="164"/>
    </row>
    <row r="530" ht="12.75" customHeight="1">
      <c r="A530" s="162"/>
      <c r="B530" s="162"/>
      <c r="C530" s="162"/>
      <c r="D530" s="1"/>
      <c r="E530" s="162"/>
      <c r="F530" s="11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4"/>
      <c r="V530" s="164"/>
    </row>
    <row r="531" ht="12.75" customHeight="1">
      <c r="A531" s="162"/>
      <c r="B531" s="162"/>
      <c r="C531" s="162"/>
      <c r="D531" s="1"/>
      <c r="E531" s="162"/>
      <c r="F531" s="11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4"/>
      <c r="V531" s="164"/>
    </row>
    <row r="532" ht="12.75" customHeight="1">
      <c r="A532" s="162"/>
      <c r="B532" s="162"/>
      <c r="C532" s="162"/>
      <c r="D532" s="1"/>
      <c r="E532" s="162"/>
      <c r="F532" s="11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4"/>
      <c r="V532" s="164"/>
    </row>
    <row r="533" ht="12.75" customHeight="1">
      <c r="A533" s="162"/>
      <c r="B533" s="162"/>
      <c r="C533" s="162"/>
      <c r="D533" s="1"/>
      <c r="E533" s="162"/>
      <c r="F533" s="11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4"/>
      <c r="V533" s="164"/>
    </row>
    <row r="534" ht="12.75" customHeight="1">
      <c r="A534" s="162"/>
      <c r="B534" s="162"/>
      <c r="C534" s="162"/>
      <c r="D534" s="1"/>
      <c r="E534" s="162"/>
      <c r="F534" s="11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4"/>
      <c r="V534" s="164"/>
    </row>
    <row r="535" ht="12.75" customHeight="1">
      <c r="A535" s="162"/>
      <c r="B535" s="162"/>
      <c r="C535" s="162"/>
      <c r="D535" s="1"/>
      <c r="E535" s="162"/>
      <c r="F535" s="11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4"/>
      <c r="V535" s="164"/>
    </row>
    <row r="536" ht="12.75" customHeight="1">
      <c r="A536" s="162"/>
      <c r="B536" s="162"/>
      <c r="C536" s="162"/>
      <c r="D536" s="1"/>
      <c r="E536" s="162"/>
      <c r="F536" s="11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4"/>
      <c r="V536" s="164"/>
    </row>
    <row r="537" ht="12.75" customHeight="1">
      <c r="A537" s="162"/>
      <c r="B537" s="162"/>
      <c r="C537" s="162"/>
      <c r="D537" s="1"/>
      <c r="E537" s="162"/>
      <c r="F537" s="11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4"/>
      <c r="V537" s="164"/>
    </row>
    <row r="538" ht="12.75" customHeight="1">
      <c r="A538" s="162"/>
      <c r="B538" s="162"/>
      <c r="C538" s="162"/>
      <c r="D538" s="1"/>
      <c r="E538" s="162"/>
      <c r="F538" s="11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4"/>
      <c r="V538" s="164"/>
    </row>
    <row r="539" ht="12.75" customHeight="1">
      <c r="A539" s="162"/>
      <c r="B539" s="162"/>
      <c r="C539" s="162"/>
      <c r="D539" s="1"/>
      <c r="E539" s="162"/>
      <c r="F539" s="11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4"/>
      <c r="V539" s="164"/>
    </row>
    <row r="540" ht="12.75" customHeight="1">
      <c r="A540" s="162"/>
      <c r="B540" s="162"/>
      <c r="C540" s="162"/>
      <c r="D540" s="1"/>
      <c r="E540" s="162"/>
      <c r="F540" s="11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4"/>
      <c r="V540" s="164"/>
    </row>
    <row r="541" ht="12.75" customHeight="1">
      <c r="A541" s="162"/>
      <c r="B541" s="162"/>
      <c r="C541" s="162"/>
      <c r="D541" s="1"/>
      <c r="E541" s="162"/>
      <c r="F541" s="11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4"/>
      <c r="V541" s="164"/>
    </row>
    <row r="542" ht="12.75" customHeight="1">
      <c r="A542" s="162"/>
      <c r="B542" s="162"/>
      <c r="C542" s="162"/>
      <c r="D542" s="1"/>
      <c r="E542" s="162"/>
      <c r="F542" s="11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4"/>
      <c r="V542" s="164"/>
    </row>
    <row r="543" ht="12.75" customHeight="1">
      <c r="A543" s="162"/>
      <c r="B543" s="162"/>
      <c r="C543" s="162"/>
      <c r="D543" s="1"/>
      <c r="E543" s="162"/>
      <c r="F543" s="11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4"/>
      <c r="V543" s="164"/>
    </row>
    <row r="544" ht="12.75" customHeight="1">
      <c r="A544" s="162"/>
      <c r="B544" s="162"/>
      <c r="C544" s="162"/>
      <c r="D544" s="1"/>
      <c r="E544" s="162"/>
      <c r="F544" s="11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4"/>
      <c r="V544" s="164"/>
    </row>
    <row r="545" ht="12.75" customHeight="1">
      <c r="A545" s="162"/>
      <c r="B545" s="162"/>
      <c r="C545" s="162"/>
      <c r="D545" s="1"/>
      <c r="E545" s="162"/>
      <c r="F545" s="11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4"/>
      <c r="V545" s="164"/>
    </row>
    <row r="546" ht="12.75" customHeight="1">
      <c r="A546" s="162"/>
      <c r="B546" s="162"/>
      <c r="C546" s="162"/>
      <c r="D546" s="1"/>
      <c r="E546" s="162"/>
      <c r="F546" s="11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4"/>
      <c r="V546" s="164"/>
    </row>
    <row r="547" ht="12.75" customHeight="1">
      <c r="A547" s="162"/>
      <c r="B547" s="162"/>
      <c r="C547" s="162"/>
      <c r="D547" s="1"/>
      <c r="E547" s="162"/>
      <c r="F547" s="11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4"/>
      <c r="V547" s="164"/>
    </row>
    <row r="548" ht="12.75" customHeight="1">
      <c r="A548" s="162"/>
      <c r="B548" s="162"/>
      <c r="C548" s="162"/>
      <c r="D548" s="1"/>
      <c r="E548" s="162"/>
      <c r="F548" s="11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4"/>
      <c r="V548" s="164"/>
    </row>
    <row r="549" ht="12.75" customHeight="1">
      <c r="A549" s="162"/>
      <c r="B549" s="162"/>
      <c r="C549" s="162"/>
      <c r="D549" s="1"/>
      <c r="E549" s="162"/>
      <c r="F549" s="11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4"/>
      <c r="V549" s="164"/>
    </row>
    <row r="550" ht="12.75" customHeight="1">
      <c r="A550" s="162"/>
      <c r="B550" s="162"/>
      <c r="C550" s="162"/>
      <c r="D550" s="1"/>
      <c r="E550" s="162"/>
      <c r="F550" s="11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4"/>
      <c r="V550" s="164"/>
    </row>
    <row r="551" ht="12.75" customHeight="1">
      <c r="A551" s="162"/>
      <c r="B551" s="162"/>
      <c r="C551" s="162"/>
      <c r="D551" s="1"/>
      <c r="E551" s="162"/>
      <c r="F551" s="11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4"/>
      <c r="V551" s="164"/>
    </row>
    <row r="552" ht="12.75" customHeight="1">
      <c r="A552" s="162"/>
      <c r="B552" s="162"/>
      <c r="C552" s="162"/>
      <c r="D552" s="1"/>
      <c r="E552" s="162"/>
      <c r="F552" s="11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4"/>
      <c r="V552" s="164"/>
    </row>
    <row r="553" ht="12.75" customHeight="1">
      <c r="A553" s="162"/>
      <c r="B553" s="162"/>
      <c r="C553" s="162"/>
      <c r="D553" s="1"/>
      <c r="E553" s="162"/>
      <c r="F553" s="11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4"/>
      <c r="V553" s="164"/>
    </row>
    <row r="554" ht="12.75" customHeight="1">
      <c r="A554" s="162"/>
      <c r="B554" s="162"/>
      <c r="C554" s="162"/>
      <c r="D554" s="1"/>
      <c r="E554" s="162"/>
      <c r="F554" s="11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4"/>
      <c r="V554" s="164"/>
    </row>
    <row r="555" ht="12.75" customHeight="1">
      <c r="A555" s="162"/>
      <c r="B555" s="162"/>
      <c r="C555" s="162"/>
      <c r="D555" s="1"/>
      <c r="E555" s="162"/>
      <c r="F555" s="11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4"/>
      <c r="V555" s="164"/>
    </row>
    <row r="556" ht="12.75" customHeight="1">
      <c r="A556" s="162"/>
      <c r="B556" s="162"/>
      <c r="C556" s="162"/>
      <c r="D556" s="1"/>
      <c r="E556" s="162"/>
      <c r="F556" s="11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4"/>
      <c r="V556" s="164"/>
    </row>
    <row r="557" ht="12.75" customHeight="1">
      <c r="A557" s="162"/>
      <c r="B557" s="162"/>
      <c r="C557" s="162"/>
      <c r="D557" s="1"/>
      <c r="E557" s="162"/>
      <c r="F557" s="11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4"/>
      <c r="V557" s="164"/>
    </row>
    <row r="558" ht="12.75" customHeight="1">
      <c r="A558" s="162"/>
      <c r="B558" s="162"/>
      <c r="C558" s="162"/>
      <c r="D558" s="1"/>
      <c r="E558" s="162"/>
      <c r="F558" s="11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2"/>
      <c r="B559" s="162"/>
      <c r="C559" s="162"/>
      <c r="D559" s="1"/>
      <c r="E559" s="162"/>
      <c r="F559" s="11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2"/>
      <c r="B560" s="162"/>
      <c r="C560" s="162"/>
      <c r="D560" s="1"/>
      <c r="E560" s="162"/>
      <c r="F560" s="11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2"/>
      <c r="B561" s="162"/>
      <c r="C561" s="162"/>
      <c r="D561" s="1"/>
      <c r="E561" s="162"/>
      <c r="F561" s="11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2"/>
      <c r="B562" s="162"/>
      <c r="C562" s="162"/>
      <c r="D562" s="1"/>
      <c r="E562" s="162"/>
      <c r="F562" s="11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06"/>
      <c r="B563" s="106"/>
      <c r="C563" s="106"/>
      <c r="D563" s="101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9"/>
      <c r="V563" s="109"/>
    </row>
    <row r="564" ht="12.75" customHeight="1">
      <c r="A564" s="106"/>
      <c r="B564" s="106"/>
      <c r="C564" s="106"/>
      <c r="D564" s="101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9"/>
      <c r="V564" s="109"/>
    </row>
    <row r="565" ht="12.75" customHeight="1">
      <c r="A565" s="106"/>
      <c r="B565" s="106"/>
      <c r="C565" s="106"/>
      <c r="D565" s="101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9"/>
      <c r="V565" s="109"/>
    </row>
    <row r="566" ht="12.75" customHeight="1">
      <c r="A566" s="106"/>
      <c r="B566" s="106"/>
      <c r="C566" s="106"/>
      <c r="D566" s="101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9"/>
      <c r="V566" s="109"/>
    </row>
    <row r="567" ht="12.75" customHeight="1">
      <c r="A567" s="106"/>
      <c r="B567" s="106"/>
      <c r="C567" s="106"/>
      <c r="D567" s="101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9"/>
      <c r="V567" s="109"/>
    </row>
    <row r="568" ht="12.75" customHeight="1">
      <c r="A568" s="106"/>
      <c r="B568" s="106"/>
      <c r="C568" s="106"/>
      <c r="D568" s="101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9"/>
      <c r="V568" s="109"/>
    </row>
    <row r="569" ht="12.75" customHeight="1">
      <c r="A569" s="106"/>
      <c r="B569" s="106"/>
      <c r="C569" s="106"/>
      <c r="D569" s="101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9"/>
      <c r="V569" s="109"/>
    </row>
    <row r="570" ht="12.75" customHeight="1">
      <c r="A570" s="106"/>
      <c r="B570" s="106"/>
      <c r="C570" s="106"/>
      <c r="D570" s="101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9"/>
      <c r="V570" s="109"/>
    </row>
    <row r="571" ht="12.75" customHeight="1">
      <c r="A571" s="106"/>
      <c r="B571" s="106"/>
      <c r="C571" s="106"/>
      <c r="D571" s="101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9"/>
      <c r="V571" s="109"/>
    </row>
    <row r="572" ht="12.75" customHeight="1">
      <c r="A572" s="106"/>
      <c r="B572" s="106"/>
      <c r="C572" s="106"/>
      <c r="D572" s="101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9"/>
      <c r="V572" s="109"/>
    </row>
    <row r="573" ht="12.75" customHeight="1">
      <c r="A573" s="106"/>
      <c r="B573" s="106"/>
      <c r="C573" s="106"/>
      <c r="D573" s="101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9"/>
      <c r="V573" s="109"/>
    </row>
    <row r="574" ht="12.75" customHeight="1">
      <c r="A574" s="106"/>
      <c r="B574" s="106"/>
      <c r="C574" s="106"/>
      <c r="D574" s="101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9"/>
      <c r="V574" s="109"/>
    </row>
    <row r="575" ht="12.75" customHeight="1">
      <c r="A575" s="106"/>
      <c r="B575" s="106"/>
      <c r="C575" s="106"/>
      <c r="D575" s="101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9"/>
      <c r="V575" s="109"/>
    </row>
    <row r="576" ht="12.75" customHeight="1">
      <c r="A576" s="106"/>
      <c r="B576" s="106"/>
      <c r="C576" s="106"/>
      <c r="D576" s="101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9"/>
      <c r="V576" s="109"/>
    </row>
    <row r="577" ht="12.75" customHeight="1">
      <c r="A577" s="106"/>
      <c r="B577" s="106"/>
      <c r="C577" s="106"/>
      <c r="D577" s="101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9"/>
      <c r="V577" s="109"/>
    </row>
    <row r="578" ht="12.75" customHeight="1">
      <c r="A578" s="106"/>
      <c r="B578" s="106"/>
      <c r="C578" s="106"/>
      <c r="D578" s="101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9"/>
      <c r="V578" s="109"/>
    </row>
    <row r="579" ht="12.75" customHeight="1">
      <c r="A579" s="106"/>
      <c r="B579" s="106"/>
      <c r="C579" s="106"/>
      <c r="D579" s="101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9"/>
      <c r="V579" s="109"/>
    </row>
    <row r="580" ht="12.75" customHeight="1">
      <c r="A580" s="106"/>
      <c r="B580" s="106"/>
      <c r="C580" s="106"/>
      <c r="D580" s="101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9"/>
      <c r="V580" s="109"/>
    </row>
    <row r="581" ht="12.75" customHeight="1">
      <c r="A581" s="106"/>
      <c r="B581" s="106"/>
      <c r="C581" s="106"/>
      <c r="D581" s="101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9"/>
      <c r="V581" s="109"/>
    </row>
    <row r="582" ht="12.75" customHeight="1">
      <c r="A582" s="106"/>
      <c r="B582" s="106"/>
      <c r="C582" s="106"/>
      <c r="D582" s="101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9"/>
      <c r="V582" s="109"/>
    </row>
    <row r="583" ht="12.75" customHeight="1">
      <c r="A583" s="106"/>
      <c r="B583" s="106"/>
      <c r="C583" s="106"/>
      <c r="D583" s="101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9"/>
      <c r="V583" s="109"/>
    </row>
    <row r="584" ht="12.75" customHeight="1">
      <c r="A584" s="106"/>
      <c r="B584" s="106"/>
      <c r="C584" s="106"/>
      <c r="D584" s="101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9"/>
      <c r="V584" s="109"/>
    </row>
    <row r="585" ht="12.75" customHeight="1">
      <c r="A585" s="106"/>
      <c r="B585" s="106"/>
      <c r="C585" s="106"/>
      <c r="D585" s="101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9"/>
      <c r="V585" s="109"/>
    </row>
    <row r="586" ht="12.75" customHeight="1">
      <c r="A586" s="106"/>
      <c r="B586" s="106"/>
      <c r="C586" s="106"/>
      <c r="D586" s="101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9"/>
      <c r="V586" s="109"/>
    </row>
    <row r="587" ht="12.75" customHeight="1">
      <c r="A587" s="106"/>
      <c r="B587" s="106"/>
      <c r="C587" s="106"/>
      <c r="D587" s="101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9"/>
      <c r="V587" s="109"/>
    </row>
    <row r="588" ht="12.75" customHeight="1">
      <c r="A588" s="106"/>
      <c r="B588" s="106"/>
      <c r="C588" s="106"/>
      <c r="D588" s="101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9"/>
      <c r="V588" s="109"/>
    </row>
    <row r="589" ht="12.75" customHeight="1">
      <c r="A589" s="106"/>
      <c r="B589" s="106"/>
      <c r="C589" s="106"/>
      <c r="D589" s="101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9"/>
      <c r="V589" s="109"/>
    </row>
    <row r="590" ht="12.75" customHeight="1">
      <c r="A590" s="106"/>
      <c r="B590" s="106"/>
      <c r="C590" s="106"/>
      <c r="D590" s="101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9"/>
      <c r="V590" s="109"/>
    </row>
    <row r="591" ht="12.75" customHeight="1">
      <c r="A591" s="106"/>
      <c r="B591" s="106"/>
      <c r="C591" s="106"/>
      <c r="D591" s="101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9"/>
      <c r="V591" s="109"/>
    </row>
    <row r="592" ht="12.75" customHeight="1">
      <c r="A592" s="106"/>
      <c r="B592" s="106"/>
      <c r="C592" s="106"/>
      <c r="D592" s="101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9"/>
      <c r="V592" s="109"/>
    </row>
    <row r="593" ht="12.75" customHeight="1">
      <c r="A593" s="106"/>
      <c r="B593" s="106"/>
      <c r="C593" s="106"/>
      <c r="D593" s="101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9"/>
      <c r="V593" s="109"/>
    </row>
    <row r="594" ht="12.75" customHeight="1">
      <c r="A594" s="106"/>
      <c r="B594" s="106"/>
      <c r="C594" s="106"/>
      <c r="D594" s="101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9"/>
      <c r="V594" s="109"/>
    </row>
    <row r="595" ht="12.75" customHeight="1">
      <c r="A595" s="106"/>
      <c r="B595" s="106"/>
      <c r="C595" s="106"/>
      <c r="D595" s="101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9"/>
      <c r="V595" s="109"/>
    </row>
    <row r="596" ht="12.75" customHeight="1">
      <c r="A596" s="106"/>
      <c r="B596" s="106"/>
      <c r="C596" s="106"/>
      <c r="D596" s="101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9"/>
      <c r="V596" s="109"/>
    </row>
    <row r="597" ht="12.75" customHeight="1">
      <c r="A597" s="106"/>
      <c r="B597" s="106"/>
      <c r="C597" s="106"/>
      <c r="D597" s="101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9"/>
      <c r="V597" s="109"/>
    </row>
    <row r="598" ht="12.75" customHeight="1">
      <c r="A598" s="106"/>
      <c r="B598" s="106"/>
      <c r="C598" s="106"/>
      <c r="D598" s="101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9"/>
      <c r="V598" s="109"/>
    </row>
    <row r="599" ht="12.75" customHeight="1">
      <c r="A599" s="106"/>
      <c r="B599" s="106"/>
      <c r="C599" s="106"/>
      <c r="D599" s="101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9"/>
      <c r="V599" s="109"/>
    </row>
    <row r="600" ht="12.75" customHeight="1">
      <c r="A600" s="106"/>
      <c r="B600" s="106"/>
      <c r="C600" s="106"/>
      <c r="D600" s="101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9"/>
      <c r="V600" s="109"/>
    </row>
    <row r="601" ht="12.75" customHeight="1">
      <c r="A601" s="106"/>
      <c r="B601" s="106"/>
      <c r="C601" s="106"/>
      <c r="D601" s="101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9"/>
      <c r="V601" s="109"/>
    </row>
    <row r="602" ht="12.75" customHeight="1">
      <c r="A602" s="106"/>
      <c r="B602" s="106"/>
      <c r="C602" s="106"/>
      <c r="D602" s="101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9"/>
      <c r="V602" s="109"/>
    </row>
    <row r="603" ht="12.75" customHeight="1">
      <c r="A603" s="106"/>
      <c r="B603" s="106"/>
      <c r="C603" s="106"/>
      <c r="D603" s="101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9"/>
      <c r="V603" s="109"/>
    </row>
    <row r="604" ht="12.75" customHeight="1">
      <c r="A604" s="106"/>
      <c r="B604" s="106"/>
      <c r="C604" s="106"/>
      <c r="D604" s="101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9"/>
      <c r="V604" s="109"/>
    </row>
    <row r="605" ht="12.75" customHeight="1">
      <c r="A605" s="106"/>
      <c r="B605" s="106"/>
      <c r="C605" s="106"/>
      <c r="D605" s="101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9"/>
      <c r="V605" s="109"/>
    </row>
    <row r="606" ht="12.75" customHeight="1">
      <c r="A606" s="106"/>
      <c r="B606" s="106"/>
      <c r="C606" s="106"/>
      <c r="D606" s="101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9"/>
      <c r="V606" s="109"/>
    </row>
    <row r="607" ht="12.75" customHeight="1">
      <c r="A607" s="106"/>
      <c r="B607" s="106"/>
      <c r="C607" s="106"/>
      <c r="D607" s="101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9"/>
      <c r="V607" s="109"/>
    </row>
    <row r="608" ht="12.75" customHeight="1">
      <c r="A608" s="106"/>
      <c r="B608" s="106"/>
      <c r="C608" s="106"/>
      <c r="D608" s="101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9"/>
      <c r="V608" s="109"/>
    </row>
    <row r="609" ht="12.75" customHeight="1">
      <c r="A609" s="106"/>
      <c r="B609" s="106"/>
      <c r="C609" s="106"/>
      <c r="D609" s="101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9"/>
      <c r="V609" s="109"/>
    </row>
    <row r="610" ht="12.75" customHeight="1">
      <c r="A610" s="106"/>
      <c r="B610" s="106"/>
      <c r="C610" s="106"/>
      <c r="D610" s="101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9"/>
      <c r="V610" s="109"/>
    </row>
    <row r="611" ht="12.75" customHeight="1">
      <c r="A611" s="106"/>
      <c r="B611" s="106"/>
      <c r="C611" s="106"/>
      <c r="D611" s="101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9"/>
      <c r="V611" s="109"/>
    </row>
    <row r="612" ht="12.75" customHeight="1">
      <c r="A612" s="106"/>
      <c r="B612" s="106"/>
      <c r="C612" s="106"/>
      <c r="D612" s="101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9"/>
      <c r="V612" s="109"/>
    </row>
    <row r="613" ht="12.75" customHeight="1">
      <c r="A613" s="106"/>
      <c r="B613" s="106"/>
      <c r="C613" s="106"/>
      <c r="D613" s="101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9"/>
      <c r="V613" s="109"/>
    </row>
    <row r="614" ht="12.75" customHeight="1">
      <c r="A614" s="106"/>
      <c r="B614" s="106"/>
      <c r="C614" s="106"/>
      <c r="D614" s="101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9"/>
      <c r="V614" s="109"/>
    </row>
    <row r="615" ht="12.75" customHeight="1">
      <c r="A615" s="106"/>
      <c r="B615" s="106"/>
      <c r="C615" s="106"/>
      <c r="D615" s="101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9"/>
      <c r="V615" s="109"/>
    </row>
    <row r="616" ht="12.75" customHeight="1">
      <c r="A616" s="106"/>
      <c r="B616" s="106"/>
      <c r="C616" s="106"/>
      <c r="D616" s="101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9"/>
      <c r="V616" s="109"/>
    </row>
    <row r="617" ht="12.75" customHeight="1">
      <c r="A617" s="106"/>
      <c r="B617" s="106"/>
      <c r="C617" s="106"/>
      <c r="D617" s="101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9"/>
      <c r="V617" s="109"/>
    </row>
    <row r="618" ht="12.75" customHeight="1">
      <c r="A618" s="106"/>
      <c r="B618" s="106"/>
      <c r="C618" s="106"/>
      <c r="D618" s="101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9"/>
      <c r="V618" s="109"/>
    </row>
    <row r="619" ht="12.75" customHeight="1">
      <c r="A619" s="106"/>
      <c r="B619" s="106"/>
      <c r="C619" s="106"/>
      <c r="D619" s="101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9"/>
      <c r="V619" s="109"/>
    </row>
    <row r="620" ht="12.75" customHeight="1">
      <c r="A620" s="106"/>
      <c r="B620" s="106"/>
      <c r="C620" s="106"/>
      <c r="D620" s="101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9"/>
      <c r="V620" s="109"/>
    </row>
    <row r="621" ht="12.75" customHeight="1">
      <c r="A621" s="106"/>
      <c r="B621" s="106"/>
      <c r="C621" s="106"/>
      <c r="D621" s="101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9"/>
      <c r="V621" s="109"/>
    </row>
    <row r="622" ht="12.75" customHeight="1">
      <c r="A622" s="106"/>
      <c r="B622" s="106"/>
      <c r="C622" s="106"/>
      <c r="D622" s="101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9"/>
      <c r="V622" s="109"/>
    </row>
    <row r="623" ht="12.75" customHeight="1">
      <c r="A623" s="106"/>
      <c r="B623" s="106"/>
      <c r="C623" s="106"/>
      <c r="D623" s="101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9"/>
      <c r="V623" s="109"/>
    </row>
    <row r="624" ht="12.75" customHeight="1">
      <c r="A624" s="106"/>
      <c r="B624" s="106"/>
      <c r="C624" s="106"/>
      <c r="D624" s="101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9"/>
      <c r="V624" s="109"/>
    </row>
    <row r="625" ht="12.75" customHeight="1">
      <c r="A625" s="106"/>
      <c r="B625" s="106"/>
      <c r="C625" s="106"/>
      <c r="D625" s="101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9"/>
      <c r="V625" s="109"/>
    </row>
    <row r="626" ht="12.75" customHeight="1">
      <c r="A626" s="106"/>
      <c r="B626" s="106"/>
      <c r="C626" s="106"/>
      <c r="D626" s="101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9"/>
      <c r="V626" s="109"/>
    </row>
    <row r="627" ht="12.75" customHeight="1">
      <c r="A627" s="106"/>
      <c r="B627" s="106"/>
      <c r="C627" s="106"/>
      <c r="D627" s="101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9"/>
      <c r="V627" s="109"/>
    </row>
    <row r="628" ht="12.75" customHeight="1">
      <c r="A628" s="106"/>
      <c r="B628" s="106"/>
      <c r="C628" s="106"/>
      <c r="D628" s="101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9"/>
      <c r="V628" s="109"/>
    </row>
    <row r="629" ht="12.75" customHeight="1">
      <c r="A629" s="106"/>
      <c r="B629" s="106"/>
      <c r="C629" s="106"/>
      <c r="D629" s="101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9"/>
      <c r="V629" s="109"/>
    </row>
    <row r="630" ht="12.75" customHeight="1">
      <c r="A630" s="106"/>
      <c r="B630" s="106"/>
      <c r="C630" s="106"/>
      <c r="D630" s="101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9"/>
      <c r="V630" s="109"/>
    </row>
    <row r="631" ht="12.75" customHeight="1">
      <c r="A631" s="106"/>
      <c r="B631" s="106"/>
      <c r="C631" s="106"/>
      <c r="D631" s="101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9"/>
      <c r="V631" s="109"/>
    </row>
    <row r="632" ht="12.75" customHeight="1">
      <c r="A632" s="106"/>
      <c r="B632" s="106"/>
      <c r="C632" s="106"/>
      <c r="D632" s="101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9"/>
      <c r="V632" s="109"/>
    </row>
    <row r="633" ht="12.75" customHeight="1">
      <c r="A633" s="106"/>
      <c r="B633" s="106"/>
      <c r="C633" s="106"/>
      <c r="D633" s="101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9"/>
      <c r="V633" s="109"/>
    </row>
    <row r="634" ht="12.75" customHeight="1">
      <c r="A634" s="106"/>
      <c r="B634" s="106"/>
      <c r="C634" s="106"/>
      <c r="D634" s="101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9"/>
      <c r="V634" s="109"/>
    </row>
    <row r="635" ht="12.75" customHeight="1">
      <c r="A635" s="106"/>
      <c r="B635" s="106"/>
      <c r="C635" s="106"/>
      <c r="D635" s="101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9"/>
      <c r="V635" s="109"/>
    </row>
    <row r="636" ht="12.75" customHeight="1">
      <c r="A636" s="106"/>
      <c r="B636" s="106"/>
      <c r="C636" s="106"/>
      <c r="D636" s="101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9"/>
      <c r="V636" s="109"/>
    </row>
    <row r="637" ht="12.75" customHeight="1">
      <c r="A637" s="106"/>
      <c r="B637" s="106"/>
      <c r="C637" s="106"/>
      <c r="D637" s="101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9"/>
      <c r="V637" s="109"/>
    </row>
    <row r="638" ht="12.75" customHeight="1">
      <c r="A638" s="106"/>
      <c r="B638" s="106"/>
      <c r="C638" s="106"/>
      <c r="D638" s="101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9"/>
      <c r="V638" s="109"/>
    </row>
    <row r="639" ht="12.75" customHeight="1">
      <c r="A639" s="106"/>
      <c r="B639" s="106"/>
      <c r="C639" s="106"/>
      <c r="D639" s="101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9"/>
      <c r="V639" s="109"/>
    </row>
    <row r="640" ht="12.75" customHeight="1">
      <c r="A640" s="106"/>
      <c r="B640" s="106"/>
      <c r="C640" s="106"/>
      <c r="D640" s="101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9"/>
      <c r="V640" s="109"/>
    </row>
    <row r="641" ht="12.75" customHeight="1">
      <c r="A641" s="106"/>
      <c r="B641" s="106"/>
      <c r="C641" s="106"/>
      <c r="D641" s="101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9"/>
      <c r="V641" s="109"/>
    </row>
    <row r="642" ht="12.75" customHeight="1">
      <c r="A642" s="106"/>
      <c r="B642" s="106"/>
      <c r="C642" s="106"/>
      <c r="D642" s="101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9"/>
      <c r="V642" s="109"/>
    </row>
    <row r="643" ht="12.75" customHeight="1">
      <c r="A643" s="106"/>
      <c r="B643" s="106"/>
      <c r="C643" s="106"/>
      <c r="D643" s="101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9"/>
      <c r="V643" s="109"/>
    </row>
    <row r="644" ht="12.75" customHeight="1">
      <c r="A644" s="106"/>
      <c r="B644" s="106"/>
      <c r="C644" s="106"/>
      <c r="D644" s="101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9"/>
      <c r="V644" s="109"/>
    </row>
    <row r="645" ht="12.75" customHeight="1">
      <c r="A645" s="106"/>
      <c r="B645" s="106"/>
      <c r="C645" s="106"/>
      <c r="D645" s="101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9"/>
      <c r="V645" s="109"/>
    </row>
    <row r="646" ht="12.75" customHeight="1">
      <c r="A646" s="106"/>
      <c r="B646" s="106"/>
      <c r="C646" s="106"/>
      <c r="D646" s="101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9"/>
      <c r="V646" s="109"/>
    </row>
    <row r="647" ht="12.75" customHeight="1">
      <c r="A647" s="106"/>
      <c r="B647" s="106"/>
      <c r="C647" s="106"/>
      <c r="D647" s="101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9"/>
      <c r="V647" s="109"/>
    </row>
    <row r="648" ht="12.75" customHeight="1">
      <c r="A648" s="106"/>
      <c r="B648" s="106"/>
      <c r="C648" s="106"/>
      <c r="D648" s="101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9"/>
      <c r="V648" s="109"/>
    </row>
    <row r="649" ht="12.75" customHeight="1">
      <c r="A649" s="106"/>
      <c r="B649" s="106"/>
      <c r="C649" s="106"/>
      <c r="D649" s="101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9"/>
      <c r="V649" s="109"/>
    </row>
    <row r="650" ht="12.75" customHeight="1">
      <c r="A650" s="106"/>
      <c r="B650" s="106"/>
      <c r="C650" s="106"/>
      <c r="D650" s="101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9"/>
      <c r="V650" s="109"/>
    </row>
    <row r="651" ht="12.75" customHeight="1">
      <c r="A651" s="106"/>
      <c r="B651" s="106"/>
      <c r="C651" s="106"/>
      <c r="D651" s="101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9"/>
      <c r="V651" s="109"/>
    </row>
    <row r="652" ht="12.75" customHeight="1">
      <c r="A652" s="106"/>
      <c r="B652" s="106"/>
      <c r="C652" s="106"/>
      <c r="D652" s="101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9"/>
      <c r="V652" s="109"/>
    </row>
    <row r="653" ht="12.75" customHeight="1">
      <c r="A653" s="106"/>
      <c r="B653" s="106"/>
      <c r="C653" s="106"/>
      <c r="D653" s="101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9"/>
      <c r="V653" s="109"/>
    </row>
    <row r="654" ht="12.75" customHeight="1">
      <c r="A654" s="106"/>
      <c r="B654" s="106"/>
      <c r="C654" s="106"/>
      <c r="D654" s="101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9"/>
      <c r="V654" s="109"/>
    </row>
    <row r="655" ht="12.75" customHeight="1">
      <c r="A655" s="106"/>
      <c r="B655" s="106"/>
      <c r="C655" s="106"/>
      <c r="D655" s="101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9"/>
      <c r="V655" s="109"/>
    </row>
    <row r="656" ht="12.75" customHeight="1">
      <c r="A656" s="106"/>
      <c r="B656" s="106"/>
      <c r="C656" s="106"/>
      <c r="D656" s="101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9"/>
      <c r="V656" s="109"/>
    </row>
    <row r="657" ht="12.75" customHeight="1">
      <c r="A657" s="106"/>
      <c r="B657" s="106"/>
      <c r="C657" s="106"/>
      <c r="D657" s="101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9"/>
      <c r="V657" s="109"/>
    </row>
    <row r="658" ht="12.75" customHeight="1">
      <c r="A658" s="106"/>
      <c r="B658" s="106"/>
      <c r="C658" s="106"/>
      <c r="D658" s="101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9"/>
      <c r="V658" s="109"/>
    </row>
    <row r="659" ht="12.75" customHeight="1">
      <c r="A659" s="106"/>
      <c r="B659" s="106"/>
      <c r="C659" s="106"/>
      <c r="D659" s="101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9"/>
      <c r="V659" s="109"/>
    </row>
    <row r="660" ht="12.75" customHeight="1">
      <c r="A660" s="106"/>
      <c r="B660" s="106"/>
      <c r="C660" s="106"/>
      <c r="D660" s="101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9"/>
      <c r="V660" s="109"/>
    </row>
    <row r="661" ht="12.75" customHeight="1">
      <c r="A661" s="106"/>
      <c r="B661" s="106"/>
      <c r="C661" s="106"/>
      <c r="D661" s="101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9"/>
      <c r="V661" s="109"/>
    </row>
    <row r="662" ht="12.75" customHeight="1">
      <c r="A662" s="106"/>
      <c r="B662" s="106"/>
      <c r="C662" s="106"/>
      <c r="D662" s="101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9"/>
      <c r="V662" s="109"/>
    </row>
    <row r="663" ht="12.75" customHeight="1">
      <c r="A663" s="106"/>
      <c r="B663" s="106"/>
      <c r="C663" s="106"/>
      <c r="D663" s="101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9"/>
      <c r="V663" s="109"/>
    </row>
    <row r="664" ht="12.75" customHeight="1">
      <c r="A664" s="106"/>
      <c r="B664" s="106"/>
      <c r="C664" s="106"/>
      <c r="D664" s="101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9"/>
      <c r="V664" s="109"/>
    </row>
    <row r="665" ht="12.75" customHeight="1">
      <c r="A665" s="106"/>
      <c r="B665" s="106"/>
      <c r="C665" s="106"/>
      <c r="D665" s="101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9"/>
      <c r="V665" s="109"/>
    </row>
    <row r="666" ht="12.75" customHeight="1">
      <c r="A666" s="106"/>
      <c r="B666" s="106"/>
      <c r="C666" s="106"/>
      <c r="D666" s="101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9"/>
      <c r="V666" s="109"/>
    </row>
    <row r="667" ht="12.75" customHeight="1">
      <c r="A667" s="106"/>
      <c r="B667" s="106"/>
      <c r="C667" s="106"/>
      <c r="D667" s="101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9"/>
      <c r="V667" s="109"/>
    </row>
    <row r="668" ht="12.75" customHeight="1">
      <c r="A668" s="106"/>
      <c r="B668" s="106"/>
      <c r="C668" s="106"/>
      <c r="D668" s="101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9"/>
      <c r="V668" s="109"/>
    </row>
    <row r="669" ht="12.75" customHeight="1">
      <c r="A669" s="106"/>
      <c r="B669" s="106"/>
      <c r="C669" s="106"/>
      <c r="D669" s="101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9"/>
      <c r="V669" s="109"/>
    </row>
    <row r="670" ht="12.75" customHeight="1">
      <c r="A670" s="106"/>
      <c r="B670" s="106"/>
      <c r="C670" s="106"/>
      <c r="D670" s="101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9"/>
      <c r="V670" s="109"/>
    </row>
    <row r="671" ht="12.75" customHeight="1">
      <c r="A671" s="106"/>
      <c r="B671" s="106"/>
      <c r="C671" s="106"/>
      <c r="D671" s="101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9"/>
      <c r="V671" s="109"/>
    </row>
    <row r="672" ht="12.75" customHeight="1">
      <c r="A672" s="106"/>
      <c r="B672" s="106"/>
      <c r="C672" s="106"/>
      <c r="D672" s="101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9"/>
      <c r="V672" s="109"/>
    </row>
    <row r="673" ht="12.75" customHeight="1">
      <c r="A673" s="106"/>
      <c r="B673" s="106"/>
      <c r="C673" s="106"/>
      <c r="D673" s="101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9"/>
      <c r="V673" s="109"/>
    </row>
    <row r="674" ht="12.75" customHeight="1">
      <c r="A674" s="106"/>
      <c r="B674" s="106"/>
      <c r="C674" s="106"/>
      <c r="D674" s="101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9"/>
      <c r="V674" s="109"/>
    </row>
    <row r="675" ht="12.75" customHeight="1">
      <c r="A675" s="106"/>
      <c r="B675" s="106"/>
      <c r="C675" s="106"/>
      <c r="D675" s="101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9"/>
      <c r="V675" s="109"/>
    </row>
    <row r="676" ht="12.75" customHeight="1">
      <c r="A676" s="106"/>
      <c r="B676" s="106"/>
      <c r="C676" s="106"/>
      <c r="D676" s="101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9"/>
      <c r="V676" s="109"/>
    </row>
    <row r="677" ht="12.75" customHeight="1">
      <c r="A677" s="106"/>
      <c r="B677" s="106"/>
      <c r="C677" s="106"/>
      <c r="D677" s="101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9"/>
      <c r="V677" s="109"/>
    </row>
    <row r="678" ht="12.75" customHeight="1">
      <c r="A678" s="106"/>
      <c r="B678" s="106"/>
      <c r="C678" s="106"/>
      <c r="D678" s="101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9"/>
      <c r="V678" s="109"/>
    </row>
    <row r="679" ht="12.75" customHeight="1">
      <c r="A679" s="106"/>
      <c r="B679" s="106"/>
      <c r="C679" s="106"/>
      <c r="D679" s="101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9"/>
      <c r="V679" s="109"/>
    </row>
    <row r="680" ht="12.75" customHeight="1">
      <c r="A680" s="106"/>
      <c r="B680" s="106"/>
      <c r="C680" s="106"/>
      <c r="D680" s="101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9"/>
      <c r="V680" s="109"/>
    </row>
    <row r="681" ht="12.75" customHeight="1">
      <c r="A681" s="106"/>
      <c r="B681" s="106"/>
      <c r="C681" s="106"/>
      <c r="D681" s="101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9"/>
      <c r="V681" s="109"/>
    </row>
    <row r="682" ht="12.75" customHeight="1">
      <c r="A682" s="106"/>
      <c r="B682" s="106"/>
      <c r="C682" s="106"/>
      <c r="D682" s="101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9"/>
      <c r="V682" s="109"/>
    </row>
    <row r="683" ht="12.75" customHeight="1">
      <c r="A683" s="106"/>
      <c r="B683" s="106"/>
      <c r="C683" s="106"/>
      <c r="D683" s="101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9"/>
      <c r="V683" s="109"/>
    </row>
    <row r="684" ht="12.75" customHeight="1">
      <c r="A684" s="106"/>
      <c r="B684" s="106"/>
      <c r="C684" s="106"/>
      <c r="D684" s="101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9"/>
      <c r="V684" s="109"/>
    </row>
    <row r="685" ht="12.75" customHeight="1">
      <c r="A685" s="106"/>
      <c r="B685" s="106"/>
      <c r="C685" s="106"/>
      <c r="D685" s="101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9"/>
      <c r="V685" s="109"/>
    </row>
    <row r="686" ht="12.75" customHeight="1">
      <c r="A686" s="106"/>
      <c r="B686" s="106"/>
      <c r="C686" s="106"/>
      <c r="D686" s="101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9"/>
      <c r="V686" s="109"/>
    </row>
    <row r="687" ht="12.75" customHeight="1">
      <c r="A687" s="106"/>
      <c r="B687" s="106"/>
      <c r="C687" s="106"/>
      <c r="D687" s="101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9"/>
      <c r="V687" s="109"/>
    </row>
    <row r="688" ht="12.75" customHeight="1">
      <c r="A688" s="106"/>
      <c r="B688" s="106"/>
      <c r="C688" s="106"/>
      <c r="D688" s="101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9"/>
      <c r="V688" s="109"/>
    </row>
    <row r="689" ht="12.75" customHeight="1">
      <c r="A689" s="106"/>
      <c r="B689" s="106"/>
      <c r="C689" s="106"/>
      <c r="D689" s="101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9"/>
      <c r="V689" s="109"/>
    </row>
    <row r="690" ht="12.75" customHeight="1">
      <c r="A690" s="106"/>
      <c r="B690" s="106"/>
      <c r="C690" s="106"/>
      <c r="D690" s="101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9"/>
      <c r="V690" s="109"/>
    </row>
    <row r="691" ht="12.75" customHeight="1">
      <c r="A691" s="106"/>
      <c r="B691" s="106"/>
      <c r="C691" s="106"/>
      <c r="D691" s="101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9"/>
      <c r="V691" s="109"/>
    </row>
    <row r="692" ht="12.75" customHeight="1">
      <c r="A692" s="106"/>
      <c r="B692" s="106"/>
      <c r="C692" s="106"/>
      <c r="D692" s="101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9"/>
      <c r="V692" s="109"/>
    </row>
    <row r="693" ht="12.75" customHeight="1">
      <c r="A693" s="106"/>
      <c r="B693" s="106"/>
      <c r="C693" s="106"/>
      <c r="D693" s="101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9"/>
      <c r="V693" s="109"/>
    </row>
    <row r="694" ht="12.75" customHeight="1">
      <c r="A694" s="106"/>
      <c r="B694" s="106"/>
      <c r="C694" s="106"/>
      <c r="D694" s="101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9"/>
      <c r="V694" s="109"/>
    </row>
    <row r="695" ht="12.75" customHeight="1">
      <c r="A695" s="106"/>
      <c r="B695" s="106"/>
      <c r="C695" s="106"/>
      <c r="D695" s="101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9"/>
      <c r="V695" s="109"/>
    </row>
    <row r="696" ht="12.75" customHeight="1">
      <c r="A696" s="106"/>
      <c r="B696" s="106"/>
      <c r="C696" s="106"/>
      <c r="D696" s="101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9"/>
      <c r="V696" s="109"/>
    </row>
    <row r="697" ht="12.75" customHeight="1">
      <c r="A697" s="106"/>
      <c r="B697" s="106"/>
      <c r="C697" s="106"/>
      <c r="D697" s="101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9"/>
      <c r="V697" s="109"/>
    </row>
    <row r="698" ht="12.75" customHeight="1">
      <c r="A698" s="106"/>
      <c r="B698" s="106"/>
      <c r="C698" s="106"/>
      <c r="D698" s="101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9"/>
      <c r="V698" s="109"/>
    </row>
    <row r="699" ht="12.75" customHeight="1">
      <c r="A699" s="106"/>
      <c r="B699" s="106"/>
      <c r="C699" s="106"/>
      <c r="D699" s="101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9"/>
      <c r="V699" s="109"/>
    </row>
    <row r="700" ht="12.75" customHeight="1">
      <c r="A700" s="106"/>
      <c r="B700" s="106"/>
      <c r="C700" s="106"/>
      <c r="D700" s="101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9"/>
      <c r="V700" s="109"/>
    </row>
    <row r="701" ht="12.75" customHeight="1">
      <c r="A701" s="106"/>
      <c r="B701" s="106"/>
      <c r="C701" s="106"/>
      <c r="D701" s="101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9"/>
      <c r="V701" s="109"/>
    </row>
    <row r="702" ht="12.75" customHeight="1">
      <c r="A702" s="106"/>
      <c r="B702" s="106"/>
      <c r="C702" s="106"/>
      <c r="D702" s="101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9"/>
      <c r="V702" s="109"/>
    </row>
    <row r="703" ht="12.75" customHeight="1">
      <c r="A703" s="106"/>
      <c r="B703" s="106"/>
      <c r="C703" s="106"/>
      <c r="D703" s="101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9"/>
      <c r="V703" s="109"/>
    </row>
    <row r="704" ht="12.75" customHeight="1">
      <c r="A704" s="106"/>
      <c r="B704" s="106"/>
      <c r="C704" s="106"/>
      <c r="D704" s="101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9"/>
      <c r="V704" s="109"/>
    </row>
    <row r="705" ht="12.75" customHeight="1">
      <c r="A705" s="106"/>
      <c r="B705" s="106"/>
      <c r="C705" s="106"/>
      <c r="D705" s="101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9"/>
      <c r="V705" s="109"/>
    </row>
    <row r="706" ht="12.75" customHeight="1">
      <c r="A706" s="106"/>
      <c r="B706" s="106"/>
      <c r="C706" s="106"/>
      <c r="D706" s="101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9"/>
      <c r="V706" s="109"/>
    </row>
    <row r="707" ht="12.75" customHeight="1">
      <c r="A707" s="106"/>
      <c r="B707" s="106"/>
      <c r="C707" s="106"/>
      <c r="D707" s="101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9"/>
      <c r="V707" s="109"/>
    </row>
    <row r="708" ht="12.75" customHeight="1">
      <c r="A708" s="106"/>
      <c r="B708" s="106"/>
      <c r="C708" s="106"/>
      <c r="D708" s="101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9"/>
      <c r="V708" s="109"/>
    </row>
    <row r="709" ht="12.75" customHeight="1">
      <c r="A709" s="106"/>
      <c r="B709" s="106"/>
      <c r="C709" s="106"/>
      <c r="D709" s="101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9"/>
      <c r="V709" s="109"/>
    </row>
    <row r="710" ht="12.75" customHeight="1">
      <c r="A710" s="106"/>
      <c r="B710" s="106"/>
      <c r="C710" s="106"/>
      <c r="D710" s="101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9"/>
      <c r="V710" s="109"/>
    </row>
    <row r="711" ht="12.75" customHeight="1">
      <c r="A711" s="106"/>
      <c r="B711" s="106"/>
      <c r="C711" s="106"/>
      <c r="D711" s="101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9"/>
      <c r="V711" s="109"/>
    </row>
    <row r="712" ht="12.75" customHeight="1">
      <c r="A712" s="106"/>
      <c r="B712" s="106"/>
      <c r="C712" s="106"/>
      <c r="D712" s="101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9"/>
      <c r="V712" s="109"/>
    </row>
    <row r="713" ht="12.75" customHeight="1">
      <c r="A713" s="106"/>
      <c r="B713" s="106"/>
      <c r="C713" s="106"/>
      <c r="D713" s="101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9"/>
      <c r="V713" s="109"/>
    </row>
    <row r="714" ht="12.75" customHeight="1">
      <c r="A714" s="106"/>
      <c r="B714" s="106"/>
      <c r="C714" s="106"/>
      <c r="D714" s="101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9"/>
      <c r="V714" s="109"/>
    </row>
    <row r="715" ht="12.75" customHeight="1">
      <c r="A715" s="106"/>
      <c r="B715" s="106"/>
      <c r="C715" s="106"/>
      <c r="D715" s="101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9"/>
      <c r="V715" s="109"/>
    </row>
    <row r="716" ht="12.75" customHeight="1">
      <c r="A716" s="106"/>
      <c r="B716" s="106"/>
      <c r="C716" s="106"/>
      <c r="D716" s="101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9"/>
      <c r="V716" s="109"/>
    </row>
    <row r="717" ht="12.75" customHeight="1">
      <c r="A717" s="106"/>
      <c r="B717" s="106"/>
      <c r="C717" s="106"/>
      <c r="D717" s="101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9"/>
      <c r="V717" s="109"/>
    </row>
    <row r="718" ht="12.75" customHeight="1">
      <c r="A718" s="106"/>
      <c r="B718" s="106"/>
      <c r="C718" s="106"/>
      <c r="D718" s="101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9"/>
      <c r="V718" s="109"/>
    </row>
    <row r="719" ht="12.75" customHeight="1">
      <c r="A719" s="106"/>
      <c r="B719" s="106"/>
      <c r="C719" s="106"/>
      <c r="D719" s="101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9"/>
      <c r="V719" s="109"/>
    </row>
    <row r="720" ht="12.75" customHeight="1">
      <c r="A720" s="106"/>
      <c r="B720" s="106"/>
      <c r="C720" s="106"/>
      <c r="D720" s="101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9"/>
      <c r="V720" s="109"/>
    </row>
    <row r="721" ht="12.75" customHeight="1">
      <c r="A721" s="106"/>
      <c r="B721" s="106"/>
      <c r="C721" s="106"/>
      <c r="D721" s="101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9"/>
      <c r="V721" s="109"/>
    </row>
    <row r="722" ht="12.75" customHeight="1">
      <c r="A722" s="106"/>
      <c r="B722" s="106"/>
      <c r="C722" s="106"/>
      <c r="D722" s="101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9"/>
      <c r="V722" s="109"/>
    </row>
    <row r="723" ht="12.75" customHeight="1">
      <c r="A723" s="106"/>
      <c r="B723" s="106"/>
      <c r="C723" s="106"/>
      <c r="D723" s="101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9"/>
      <c r="V723" s="109"/>
    </row>
    <row r="724" ht="12.75" customHeight="1">
      <c r="A724" s="106"/>
      <c r="B724" s="106"/>
      <c r="C724" s="106"/>
      <c r="D724" s="101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9"/>
      <c r="V724" s="109"/>
    </row>
    <row r="725" ht="12.75" customHeight="1">
      <c r="A725" s="106"/>
      <c r="B725" s="106"/>
      <c r="C725" s="106"/>
      <c r="D725" s="101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9"/>
      <c r="V725" s="109"/>
    </row>
    <row r="726" ht="12.75" customHeight="1">
      <c r="A726" s="106"/>
      <c r="B726" s="106"/>
      <c r="C726" s="106"/>
      <c r="D726" s="101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9"/>
      <c r="V726" s="109"/>
    </row>
    <row r="727" ht="12.75" customHeight="1">
      <c r="A727" s="106"/>
      <c r="B727" s="106"/>
      <c r="C727" s="106"/>
      <c r="D727" s="101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9"/>
      <c r="V727" s="109"/>
    </row>
    <row r="728" ht="12.75" customHeight="1">
      <c r="A728" s="106"/>
      <c r="B728" s="106"/>
      <c r="C728" s="106"/>
      <c r="D728" s="101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9"/>
      <c r="V728" s="109"/>
    </row>
    <row r="729" ht="12.75" customHeight="1">
      <c r="A729" s="106"/>
      <c r="B729" s="106"/>
      <c r="C729" s="106"/>
      <c r="D729" s="101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9"/>
      <c r="V729" s="109"/>
    </row>
    <row r="730" ht="12.75" customHeight="1">
      <c r="A730" s="106"/>
      <c r="B730" s="106"/>
      <c r="C730" s="106"/>
      <c r="D730" s="101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9"/>
      <c r="V730" s="109"/>
    </row>
    <row r="731" ht="12.75" customHeight="1">
      <c r="A731" s="106"/>
      <c r="B731" s="106"/>
      <c r="C731" s="106"/>
      <c r="D731" s="101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9"/>
      <c r="V731" s="109"/>
    </row>
    <row r="732" ht="12.75" customHeight="1">
      <c r="A732" s="106"/>
      <c r="B732" s="106"/>
      <c r="C732" s="106"/>
      <c r="D732" s="101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9"/>
      <c r="V732" s="109"/>
    </row>
    <row r="733" ht="12.75" customHeight="1">
      <c r="A733" s="106"/>
      <c r="B733" s="106"/>
      <c r="C733" s="106"/>
      <c r="D733" s="101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9"/>
      <c r="V733" s="109"/>
    </row>
    <row r="734" ht="12.75" customHeight="1">
      <c r="A734" s="106"/>
      <c r="B734" s="106"/>
      <c r="C734" s="106"/>
      <c r="D734" s="101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9"/>
      <c r="V734" s="109"/>
    </row>
    <row r="735" ht="12.75" customHeight="1">
      <c r="A735" s="106"/>
      <c r="B735" s="106"/>
      <c r="C735" s="106"/>
      <c r="D735" s="101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9"/>
      <c r="V735" s="109"/>
    </row>
    <row r="736" ht="12.75" customHeight="1">
      <c r="A736" s="106"/>
      <c r="B736" s="106"/>
      <c r="C736" s="106"/>
      <c r="D736" s="101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9"/>
      <c r="V736" s="109"/>
    </row>
    <row r="737" ht="12.75" customHeight="1">
      <c r="A737" s="106"/>
      <c r="B737" s="106"/>
      <c r="C737" s="106"/>
      <c r="D737" s="101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9"/>
      <c r="V737" s="109"/>
    </row>
    <row r="738" ht="12.75" customHeight="1">
      <c r="A738" s="106"/>
      <c r="B738" s="106"/>
      <c r="C738" s="106"/>
      <c r="D738" s="101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9"/>
      <c r="V738" s="109"/>
    </row>
    <row r="739" ht="12.75" customHeight="1">
      <c r="A739" s="106"/>
      <c r="B739" s="106"/>
      <c r="C739" s="106"/>
      <c r="D739" s="101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9"/>
      <c r="V739" s="109"/>
    </row>
    <row r="740" ht="12.75" customHeight="1">
      <c r="A740" s="106"/>
      <c r="B740" s="106"/>
      <c r="C740" s="106"/>
      <c r="D740" s="101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9"/>
      <c r="V740" s="109"/>
    </row>
    <row r="741" ht="12.75" customHeight="1">
      <c r="A741" s="106"/>
      <c r="B741" s="106"/>
      <c r="C741" s="106"/>
      <c r="D741" s="101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9"/>
      <c r="V741" s="109"/>
    </row>
    <row r="742" ht="12.75" customHeight="1">
      <c r="A742" s="106"/>
      <c r="B742" s="106"/>
      <c r="C742" s="106"/>
      <c r="D742" s="101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9"/>
      <c r="V742" s="109"/>
    </row>
    <row r="743" ht="12.75" customHeight="1">
      <c r="A743" s="106"/>
      <c r="B743" s="106"/>
      <c r="C743" s="106"/>
      <c r="D743" s="101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9"/>
      <c r="V743" s="109"/>
    </row>
    <row r="744" ht="12.75" customHeight="1">
      <c r="A744" s="106"/>
      <c r="B744" s="106"/>
      <c r="C744" s="106"/>
      <c r="D744" s="101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9"/>
      <c r="V744" s="109"/>
    </row>
    <row r="745" ht="12.75" customHeight="1">
      <c r="A745" s="106"/>
      <c r="B745" s="106"/>
      <c r="C745" s="106"/>
      <c r="D745" s="101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9"/>
      <c r="V745" s="109"/>
    </row>
    <row r="746" ht="12.75" customHeight="1">
      <c r="A746" s="106"/>
      <c r="B746" s="106"/>
      <c r="C746" s="106"/>
      <c r="D746" s="101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9"/>
      <c r="V746" s="109"/>
    </row>
    <row r="747" ht="12.75" customHeight="1">
      <c r="A747" s="106"/>
      <c r="B747" s="106"/>
      <c r="C747" s="106"/>
      <c r="D747" s="101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9"/>
      <c r="V747" s="109"/>
    </row>
    <row r="748" ht="12.75" customHeight="1">
      <c r="A748" s="106"/>
      <c r="B748" s="106"/>
      <c r="C748" s="106"/>
      <c r="D748" s="101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9"/>
      <c r="V748" s="109"/>
    </row>
    <row r="749" ht="12.75" customHeight="1">
      <c r="A749" s="106"/>
      <c r="B749" s="106"/>
      <c r="C749" s="106"/>
      <c r="D749" s="101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9"/>
      <c r="V749" s="109"/>
    </row>
    <row r="750" ht="12.75" customHeight="1">
      <c r="A750" s="106"/>
      <c r="B750" s="106"/>
      <c r="C750" s="106"/>
      <c r="D750" s="101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9"/>
      <c r="V750" s="109"/>
    </row>
    <row r="751" ht="12.75" customHeight="1">
      <c r="A751" s="106"/>
      <c r="B751" s="106"/>
      <c r="C751" s="106"/>
      <c r="D751" s="101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9"/>
      <c r="V751" s="109"/>
    </row>
    <row r="752" ht="12.75" customHeight="1">
      <c r="A752" s="106"/>
      <c r="B752" s="106"/>
      <c r="C752" s="106"/>
      <c r="D752" s="101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9"/>
      <c r="V752" s="109"/>
    </row>
    <row r="753" ht="12.75" customHeight="1">
      <c r="A753" s="106"/>
      <c r="B753" s="106"/>
      <c r="C753" s="106"/>
      <c r="D753" s="101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9"/>
      <c r="V753" s="109"/>
    </row>
    <row r="754" ht="12.75" customHeight="1">
      <c r="A754" s="106"/>
      <c r="B754" s="106"/>
      <c r="C754" s="106"/>
      <c r="D754" s="101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9"/>
      <c r="V754" s="109"/>
    </row>
    <row r="755" ht="12.75" customHeight="1">
      <c r="A755" s="106"/>
      <c r="B755" s="106"/>
      <c r="C755" s="106"/>
      <c r="D755" s="101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9"/>
      <c r="V755" s="109"/>
    </row>
    <row r="756" ht="12.75" customHeight="1">
      <c r="A756" s="106"/>
      <c r="B756" s="106"/>
      <c r="C756" s="106"/>
      <c r="D756" s="101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9"/>
      <c r="V756" s="109"/>
    </row>
    <row r="757" ht="12.75" customHeight="1">
      <c r="A757" s="106"/>
      <c r="B757" s="106"/>
      <c r="C757" s="106"/>
      <c r="D757" s="101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9"/>
      <c r="V757" s="109"/>
    </row>
    <row r="758" ht="12.75" customHeight="1">
      <c r="A758" s="106"/>
      <c r="B758" s="106"/>
      <c r="C758" s="106"/>
      <c r="D758" s="101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9"/>
      <c r="V758" s="109"/>
    </row>
    <row r="759" ht="12.75" customHeight="1">
      <c r="A759" s="106"/>
      <c r="B759" s="106"/>
      <c r="C759" s="106"/>
      <c r="D759" s="101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9"/>
      <c r="V759" s="109"/>
    </row>
    <row r="760" ht="12.75" customHeight="1">
      <c r="A760" s="106"/>
      <c r="B760" s="106"/>
      <c r="C760" s="106"/>
      <c r="D760" s="101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9"/>
      <c r="V760" s="109"/>
    </row>
    <row r="761" ht="12.75" customHeight="1">
      <c r="A761" s="106"/>
      <c r="B761" s="106"/>
      <c r="C761" s="106"/>
      <c r="D761" s="101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9"/>
      <c r="V761" s="109"/>
    </row>
    <row r="762" ht="12.75" customHeight="1">
      <c r="A762" s="106"/>
      <c r="B762" s="106"/>
      <c r="C762" s="106"/>
      <c r="D762" s="101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9"/>
      <c r="V762" s="109"/>
    </row>
    <row r="763" ht="12.75" customHeight="1">
      <c r="A763" s="106"/>
      <c r="B763" s="106"/>
      <c r="C763" s="106"/>
      <c r="D763" s="101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9"/>
      <c r="V763" s="109"/>
    </row>
    <row r="764" ht="12.75" customHeight="1">
      <c r="A764" s="106"/>
      <c r="B764" s="106"/>
      <c r="C764" s="106"/>
      <c r="D764" s="101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9"/>
      <c r="V764" s="109"/>
    </row>
    <row r="765" ht="12.75" customHeight="1">
      <c r="A765" s="106"/>
      <c r="B765" s="106"/>
      <c r="C765" s="106"/>
      <c r="D765" s="101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9"/>
      <c r="V765" s="109"/>
    </row>
    <row r="766" ht="12.75" customHeight="1">
      <c r="A766" s="106"/>
      <c r="B766" s="106"/>
      <c r="C766" s="106"/>
      <c r="D766" s="101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9"/>
      <c r="V766" s="109"/>
    </row>
    <row r="767" ht="12.75" customHeight="1">
      <c r="A767" s="106"/>
      <c r="B767" s="106"/>
      <c r="C767" s="106"/>
      <c r="D767" s="101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9"/>
      <c r="V767" s="109"/>
    </row>
    <row r="768" ht="12.75" customHeight="1">
      <c r="A768" s="106"/>
      <c r="B768" s="106"/>
      <c r="C768" s="106"/>
      <c r="D768" s="101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9"/>
      <c r="V768" s="109"/>
    </row>
    <row r="769" ht="12.75" customHeight="1">
      <c r="A769" s="106"/>
      <c r="B769" s="106"/>
      <c r="C769" s="106"/>
      <c r="D769" s="101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9"/>
      <c r="V769" s="109"/>
    </row>
    <row r="770" ht="12.75" customHeight="1">
      <c r="A770" s="106"/>
      <c r="B770" s="106"/>
      <c r="C770" s="106"/>
      <c r="D770" s="101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9"/>
      <c r="V770" s="109"/>
    </row>
    <row r="771" ht="12.75" customHeight="1">
      <c r="A771" s="106"/>
      <c r="B771" s="106"/>
      <c r="C771" s="106"/>
      <c r="D771" s="101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9"/>
      <c r="V771" s="109"/>
    </row>
    <row r="772" ht="12.75" customHeight="1">
      <c r="A772" s="106"/>
      <c r="B772" s="106"/>
      <c r="C772" s="106"/>
      <c r="D772" s="101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9"/>
      <c r="V772" s="109"/>
    </row>
    <row r="773" ht="12.75" customHeight="1">
      <c r="A773" s="106"/>
      <c r="B773" s="106"/>
      <c r="C773" s="106"/>
      <c r="D773" s="101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9"/>
      <c r="V773" s="109"/>
    </row>
    <row r="774" ht="12.75" customHeight="1">
      <c r="A774" s="106"/>
      <c r="B774" s="106"/>
      <c r="C774" s="106"/>
      <c r="D774" s="101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9"/>
      <c r="V774" s="109"/>
    </row>
    <row r="775" ht="12.75" customHeight="1">
      <c r="A775" s="106"/>
      <c r="B775" s="106"/>
      <c r="C775" s="106"/>
      <c r="D775" s="101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9"/>
      <c r="V775" s="109"/>
    </row>
    <row r="776" ht="12.75" customHeight="1">
      <c r="A776" s="106"/>
      <c r="B776" s="106"/>
      <c r="C776" s="106"/>
      <c r="D776" s="101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9"/>
      <c r="V776" s="109"/>
    </row>
    <row r="777" ht="12.75" customHeight="1">
      <c r="A777" s="106"/>
      <c r="B777" s="106"/>
      <c r="C777" s="106"/>
      <c r="D777" s="101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9"/>
      <c r="V777" s="109"/>
    </row>
    <row r="778" ht="12.75" customHeight="1">
      <c r="A778" s="106"/>
      <c r="B778" s="106"/>
      <c r="C778" s="106"/>
      <c r="D778" s="101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9"/>
      <c r="V778" s="109"/>
    </row>
    <row r="779" ht="12.75" customHeight="1">
      <c r="A779" s="106"/>
      <c r="B779" s="106"/>
      <c r="C779" s="106"/>
      <c r="D779" s="101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9"/>
      <c r="V779" s="109"/>
    </row>
    <row r="780" ht="12.75" customHeight="1">
      <c r="A780" s="106"/>
      <c r="B780" s="106"/>
      <c r="C780" s="106"/>
      <c r="D780" s="101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9"/>
      <c r="V780" s="109"/>
    </row>
    <row r="781" ht="12.75" customHeight="1">
      <c r="A781" s="106"/>
      <c r="B781" s="106"/>
      <c r="C781" s="106"/>
      <c r="D781" s="101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9"/>
      <c r="V781" s="109"/>
    </row>
    <row r="782" ht="12.75" customHeight="1">
      <c r="A782" s="106"/>
      <c r="B782" s="106"/>
      <c r="C782" s="106"/>
      <c r="D782" s="101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9"/>
      <c r="V782" s="109"/>
    </row>
    <row r="783" ht="12.75" customHeight="1">
      <c r="A783" s="106"/>
      <c r="B783" s="106"/>
      <c r="C783" s="106"/>
      <c r="D783" s="101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9"/>
      <c r="V783" s="109"/>
    </row>
    <row r="784" ht="12.75" customHeight="1">
      <c r="A784" s="106"/>
      <c r="B784" s="106"/>
      <c r="C784" s="106"/>
      <c r="D784" s="101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9"/>
      <c r="V784" s="109"/>
    </row>
    <row r="785" ht="12.75" customHeight="1">
      <c r="A785" s="106"/>
      <c r="B785" s="106"/>
      <c r="C785" s="106"/>
      <c r="D785" s="101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9"/>
      <c r="V785" s="109"/>
    </row>
    <row r="786" ht="12.75" customHeight="1">
      <c r="A786" s="106"/>
      <c r="B786" s="106"/>
      <c r="C786" s="106"/>
      <c r="D786" s="101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9"/>
      <c r="V786" s="109"/>
    </row>
    <row r="787" ht="12.75" customHeight="1">
      <c r="A787" s="106"/>
      <c r="B787" s="106"/>
      <c r="C787" s="106"/>
      <c r="D787" s="101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9"/>
      <c r="V787" s="109"/>
    </row>
    <row r="788" ht="12.75" customHeight="1">
      <c r="A788" s="106"/>
      <c r="B788" s="106"/>
      <c r="C788" s="106"/>
      <c r="D788" s="101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9"/>
      <c r="V788" s="109"/>
    </row>
    <row r="789" ht="12.75" customHeight="1">
      <c r="A789" s="106"/>
      <c r="B789" s="106"/>
      <c r="C789" s="106"/>
      <c r="D789" s="101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9"/>
      <c r="V789" s="109"/>
    </row>
    <row r="790" ht="12.75" customHeight="1">
      <c r="A790" s="106"/>
      <c r="B790" s="106"/>
      <c r="C790" s="106"/>
      <c r="D790" s="101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9"/>
      <c r="V790" s="109"/>
    </row>
    <row r="791" ht="12.75" customHeight="1">
      <c r="A791" s="106"/>
      <c r="B791" s="106"/>
      <c r="C791" s="106"/>
      <c r="D791" s="101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9"/>
      <c r="V791" s="109"/>
    </row>
    <row r="792" ht="12.75" customHeight="1">
      <c r="A792" s="106"/>
      <c r="B792" s="106"/>
      <c r="C792" s="106"/>
      <c r="D792" s="101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9"/>
      <c r="V792" s="109"/>
    </row>
    <row r="793" ht="12.75" customHeight="1">
      <c r="A793" s="106"/>
      <c r="B793" s="106"/>
      <c r="C793" s="106"/>
      <c r="D793" s="101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9"/>
      <c r="V793" s="109"/>
    </row>
    <row r="794" ht="12.75" customHeight="1">
      <c r="A794" s="106"/>
      <c r="B794" s="106"/>
      <c r="C794" s="106"/>
      <c r="D794" s="101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9"/>
      <c r="V794" s="109"/>
    </row>
    <row r="795" ht="12.75" customHeight="1">
      <c r="A795" s="106"/>
      <c r="B795" s="106"/>
      <c r="C795" s="106"/>
      <c r="D795" s="101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9"/>
      <c r="V795" s="109"/>
    </row>
    <row r="796" ht="12.75" customHeight="1">
      <c r="A796" s="106"/>
      <c r="B796" s="106"/>
      <c r="C796" s="106"/>
      <c r="D796" s="101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9"/>
      <c r="V796" s="109"/>
    </row>
    <row r="797" ht="12.75" customHeight="1">
      <c r="A797" s="106"/>
      <c r="B797" s="106"/>
      <c r="C797" s="106"/>
      <c r="D797" s="101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9"/>
      <c r="V797" s="109"/>
    </row>
    <row r="798" ht="12.75" customHeight="1">
      <c r="A798" s="106"/>
      <c r="B798" s="106"/>
      <c r="C798" s="106"/>
      <c r="D798" s="101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9"/>
      <c r="V798" s="109"/>
    </row>
    <row r="799" ht="12.75" customHeight="1">
      <c r="A799" s="106"/>
      <c r="B799" s="106"/>
      <c r="C799" s="106"/>
      <c r="D799" s="101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9"/>
      <c r="V799" s="109"/>
    </row>
    <row r="800" ht="12.75" customHeight="1">
      <c r="A800" s="106"/>
      <c r="B800" s="106"/>
      <c r="C800" s="106"/>
      <c r="D800" s="101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9"/>
      <c r="V800" s="109"/>
    </row>
    <row r="801" ht="12.75" customHeight="1">
      <c r="A801" s="106"/>
      <c r="B801" s="106"/>
      <c r="C801" s="106"/>
      <c r="D801" s="101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9"/>
      <c r="V801" s="109"/>
    </row>
    <row r="802" ht="12.75" customHeight="1">
      <c r="A802" s="106"/>
      <c r="B802" s="106"/>
      <c r="C802" s="106"/>
      <c r="D802" s="101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9"/>
      <c r="V802" s="109"/>
    </row>
    <row r="803" ht="12.75" customHeight="1">
      <c r="A803" s="106"/>
      <c r="B803" s="106"/>
      <c r="C803" s="106"/>
      <c r="D803" s="101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9"/>
      <c r="V803" s="109"/>
    </row>
    <row r="804" ht="12.75" customHeight="1">
      <c r="A804" s="106"/>
      <c r="B804" s="106"/>
      <c r="C804" s="106"/>
      <c r="D804" s="101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9"/>
      <c r="V804" s="109"/>
    </row>
    <row r="805" ht="12.75" customHeight="1">
      <c r="A805" s="106"/>
      <c r="B805" s="106"/>
      <c r="C805" s="106"/>
      <c r="D805" s="101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9"/>
      <c r="V805" s="109"/>
    </row>
    <row r="806" ht="12.75" customHeight="1">
      <c r="A806" s="106"/>
      <c r="B806" s="106"/>
      <c r="C806" s="106"/>
      <c r="D806" s="101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9"/>
      <c r="V806" s="109"/>
    </row>
    <row r="807" ht="12.75" customHeight="1">
      <c r="A807" s="106"/>
      <c r="B807" s="106"/>
      <c r="C807" s="106"/>
      <c r="D807" s="101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9"/>
      <c r="V807" s="109"/>
    </row>
    <row r="808" ht="12.75" customHeight="1">
      <c r="A808" s="106"/>
      <c r="B808" s="106"/>
      <c r="C808" s="106"/>
      <c r="D808" s="101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9"/>
      <c r="V808" s="109"/>
    </row>
    <row r="809" ht="12.75" customHeight="1">
      <c r="A809" s="106"/>
      <c r="B809" s="106"/>
      <c r="C809" s="106"/>
      <c r="D809" s="101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9"/>
      <c r="V809" s="109"/>
    </row>
    <row r="810" ht="12.75" customHeight="1">
      <c r="A810" s="106"/>
      <c r="B810" s="106"/>
      <c r="C810" s="106"/>
      <c r="D810" s="101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9"/>
      <c r="V810" s="109"/>
    </row>
    <row r="811" ht="12.75" customHeight="1">
      <c r="A811" s="106"/>
      <c r="B811" s="106"/>
      <c r="C811" s="106"/>
      <c r="D811" s="101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9"/>
      <c r="V811" s="109"/>
    </row>
    <row r="812" ht="12.75" customHeight="1">
      <c r="A812" s="106"/>
      <c r="B812" s="106"/>
      <c r="C812" s="106"/>
      <c r="D812" s="101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9"/>
      <c r="V812" s="109"/>
    </row>
    <row r="813" ht="12.75" customHeight="1">
      <c r="A813" s="106"/>
      <c r="B813" s="106"/>
      <c r="C813" s="106"/>
      <c r="D813" s="101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9"/>
      <c r="V813" s="109"/>
    </row>
    <row r="814" ht="12.75" customHeight="1">
      <c r="A814" s="106"/>
      <c r="B814" s="106"/>
      <c r="C814" s="106"/>
      <c r="D814" s="101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9"/>
      <c r="V814" s="109"/>
    </row>
    <row r="815" ht="12.75" customHeight="1">
      <c r="A815" s="106"/>
      <c r="B815" s="106"/>
      <c r="C815" s="106"/>
      <c r="D815" s="101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9"/>
      <c r="V815" s="109"/>
    </row>
    <row r="816" ht="12.75" customHeight="1">
      <c r="A816" s="106"/>
      <c r="B816" s="106"/>
      <c r="C816" s="106"/>
      <c r="D816" s="101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9"/>
      <c r="V816" s="109"/>
    </row>
    <row r="817" ht="12.75" customHeight="1">
      <c r="A817" s="106"/>
      <c r="B817" s="106"/>
      <c r="C817" s="106"/>
      <c r="D817" s="101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9"/>
      <c r="V817" s="109"/>
    </row>
    <row r="818" ht="12.75" customHeight="1">
      <c r="A818" s="106"/>
      <c r="B818" s="106"/>
      <c r="C818" s="106"/>
      <c r="D818" s="101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9"/>
      <c r="V818" s="109"/>
    </row>
    <row r="819" ht="12.75" customHeight="1">
      <c r="A819" s="106"/>
      <c r="B819" s="106"/>
      <c r="C819" s="106"/>
      <c r="D819" s="101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9"/>
      <c r="V819" s="109"/>
    </row>
    <row r="820" ht="12.75" customHeight="1">
      <c r="A820" s="106"/>
      <c r="B820" s="106"/>
      <c r="C820" s="106"/>
      <c r="D820" s="101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9"/>
      <c r="V820" s="109"/>
    </row>
    <row r="821" ht="12.75" customHeight="1">
      <c r="A821" s="106"/>
      <c r="B821" s="106"/>
      <c r="C821" s="106"/>
      <c r="D821" s="101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9"/>
      <c r="V821" s="109"/>
    </row>
    <row r="822" ht="12.75" customHeight="1">
      <c r="A822" s="106"/>
      <c r="B822" s="106"/>
      <c r="C822" s="106"/>
      <c r="D822" s="101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9"/>
      <c r="V822" s="109"/>
    </row>
    <row r="823" ht="12.75" customHeight="1">
      <c r="A823" s="106"/>
      <c r="B823" s="106"/>
      <c r="C823" s="106"/>
      <c r="D823" s="101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9"/>
      <c r="V823" s="109"/>
    </row>
    <row r="824" ht="12.75" customHeight="1">
      <c r="A824" s="106"/>
      <c r="B824" s="106"/>
      <c r="C824" s="106"/>
      <c r="D824" s="101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9"/>
      <c r="V824" s="109"/>
    </row>
    <row r="825" ht="12.75" customHeight="1">
      <c r="A825" s="106"/>
      <c r="B825" s="106"/>
      <c r="C825" s="106"/>
      <c r="D825" s="101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9"/>
      <c r="V825" s="109"/>
    </row>
    <row r="826" ht="12.75" customHeight="1">
      <c r="A826" s="106"/>
      <c r="B826" s="106"/>
      <c r="C826" s="106"/>
      <c r="D826" s="101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9"/>
      <c r="V826" s="109"/>
    </row>
    <row r="827" ht="12.75" customHeight="1">
      <c r="A827" s="106"/>
      <c r="B827" s="106"/>
      <c r="C827" s="106"/>
      <c r="D827" s="101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9"/>
      <c r="V827" s="109"/>
    </row>
    <row r="828" ht="12.75" customHeight="1">
      <c r="A828" s="106"/>
      <c r="B828" s="106"/>
      <c r="C828" s="106"/>
      <c r="D828" s="101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9"/>
      <c r="V828" s="109"/>
    </row>
    <row r="829" ht="12.75" customHeight="1">
      <c r="A829" s="106"/>
      <c r="B829" s="106"/>
      <c r="C829" s="106"/>
      <c r="D829" s="101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9"/>
      <c r="V829" s="109"/>
    </row>
    <row r="830" ht="12.75" customHeight="1">
      <c r="A830" s="106"/>
      <c r="B830" s="106"/>
      <c r="C830" s="106"/>
      <c r="D830" s="101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9"/>
      <c r="V830" s="109"/>
    </row>
    <row r="831" ht="12.75" customHeight="1">
      <c r="A831" s="106"/>
      <c r="B831" s="106"/>
      <c r="C831" s="106"/>
      <c r="D831" s="101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9"/>
      <c r="V831" s="109"/>
    </row>
    <row r="832" ht="12.75" customHeight="1">
      <c r="A832" s="106"/>
      <c r="B832" s="106"/>
      <c r="C832" s="106"/>
      <c r="D832" s="101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9"/>
      <c r="V832" s="109"/>
    </row>
    <row r="833" ht="12.75" customHeight="1">
      <c r="A833" s="106"/>
      <c r="B833" s="106"/>
      <c r="C833" s="106"/>
      <c r="D833" s="101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9"/>
      <c r="V833" s="109"/>
    </row>
    <row r="834" ht="12.75" customHeight="1">
      <c r="A834" s="106"/>
      <c r="B834" s="106"/>
      <c r="C834" s="106"/>
      <c r="D834" s="101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9"/>
      <c r="V834" s="109"/>
    </row>
    <row r="835" ht="12.75" customHeight="1">
      <c r="A835" s="106"/>
      <c r="B835" s="106"/>
      <c r="C835" s="106"/>
      <c r="D835" s="101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9"/>
      <c r="V835" s="109"/>
    </row>
    <row r="836" ht="12.75" customHeight="1">
      <c r="A836" s="106"/>
      <c r="B836" s="106"/>
      <c r="C836" s="106"/>
      <c r="D836" s="101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9"/>
      <c r="V836" s="109"/>
    </row>
    <row r="837" ht="12.75" customHeight="1">
      <c r="A837" s="106"/>
      <c r="B837" s="106"/>
      <c r="C837" s="106"/>
      <c r="D837" s="101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9"/>
      <c r="V837" s="109"/>
    </row>
    <row r="838" ht="12.75" customHeight="1">
      <c r="A838" s="106"/>
      <c r="B838" s="106"/>
      <c r="C838" s="106"/>
      <c r="D838" s="101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9"/>
      <c r="V838" s="109"/>
    </row>
    <row r="839" ht="12.75" customHeight="1">
      <c r="A839" s="106"/>
      <c r="B839" s="106"/>
      <c r="C839" s="106"/>
      <c r="D839" s="101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9"/>
      <c r="V839" s="109"/>
    </row>
    <row r="840" ht="12.75" customHeight="1">
      <c r="A840" s="106"/>
      <c r="B840" s="106"/>
      <c r="C840" s="106"/>
      <c r="D840" s="101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9"/>
      <c r="V840" s="109"/>
    </row>
    <row r="841" ht="12.75" customHeight="1">
      <c r="A841" s="106"/>
      <c r="B841" s="106"/>
      <c r="C841" s="106"/>
      <c r="D841" s="101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9"/>
      <c r="V841" s="109"/>
    </row>
    <row r="842" ht="12.75" customHeight="1">
      <c r="A842" s="106"/>
      <c r="B842" s="106"/>
      <c r="C842" s="106"/>
      <c r="D842" s="101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9"/>
      <c r="V842" s="109"/>
    </row>
    <row r="843" ht="12.75" customHeight="1">
      <c r="A843" s="106"/>
      <c r="B843" s="106"/>
      <c r="C843" s="106"/>
      <c r="D843" s="101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9"/>
      <c r="V843" s="109"/>
    </row>
    <row r="844" ht="12.75" customHeight="1">
      <c r="A844" s="106"/>
      <c r="B844" s="106"/>
      <c r="C844" s="106"/>
      <c r="D844" s="101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9"/>
      <c r="V844" s="109"/>
    </row>
    <row r="845" ht="12.75" customHeight="1">
      <c r="A845" s="106"/>
      <c r="B845" s="106"/>
      <c r="C845" s="106"/>
      <c r="D845" s="101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9"/>
      <c r="V845" s="109"/>
    </row>
    <row r="846" ht="12.75" customHeight="1">
      <c r="A846" s="106"/>
      <c r="B846" s="106"/>
      <c r="C846" s="106"/>
      <c r="D846" s="101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9"/>
      <c r="V846" s="109"/>
    </row>
    <row r="847" ht="12.75" customHeight="1">
      <c r="A847" s="106"/>
      <c r="B847" s="106"/>
      <c r="C847" s="106"/>
      <c r="D847" s="101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9"/>
      <c r="V847" s="109"/>
    </row>
    <row r="848" ht="12.75" customHeight="1">
      <c r="A848" s="106"/>
      <c r="B848" s="106"/>
      <c r="C848" s="106"/>
      <c r="D848" s="101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9"/>
      <c r="V848" s="109"/>
    </row>
    <row r="849" ht="12.75" customHeight="1">
      <c r="A849" s="106"/>
      <c r="B849" s="106"/>
      <c r="C849" s="106"/>
      <c r="D849" s="101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9"/>
      <c r="V849" s="109"/>
    </row>
    <row r="850" ht="12.75" customHeight="1">
      <c r="A850" s="106"/>
      <c r="B850" s="106"/>
      <c r="C850" s="106"/>
      <c r="D850" s="101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9"/>
      <c r="V850" s="109"/>
    </row>
    <row r="851" ht="12.75" customHeight="1">
      <c r="A851" s="106"/>
      <c r="B851" s="106"/>
      <c r="C851" s="106"/>
      <c r="D851" s="101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9"/>
      <c r="V851" s="109"/>
    </row>
    <row r="852" ht="12.75" customHeight="1">
      <c r="A852" s="106"/>
      <c r="B852" s="106"/>
      <c r="C852" s="106"/>
      <c r="D852" s="101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9"/>
      <c r="V852" s="109"/>
    </row>
    <row r="853" ht="12.75" customHeight="1">
      <c r="A853" s="106"/>
      <c r="B853" s="106"/>
      <c r="C853" s="106"/>
      <c r="D853" s="101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9"/>
      <c r="V853" s="109"/>
    </row>
    <row r="854" ht="12.75" customHeight="1">
      <c r="A854" s="106"/>
      <c r="B854" s="106"/>
      <c r="C854" s="106"/>
      <c r="D854" s="101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9"/>
      <c r="V854" s="109"/>
    </row>
    <row r="855" ht="12.75" customHeight="1">
      <c r="A855" s="106"/>
      <c r="B855" s="106"/>
      <c r="C855" s="106"/>
      <c r="D855" s="101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9"/>
      <c r="V855" s="109"/>
    </row>
    <row r="856" ht="12.75" customHeight="1">
      <c r="A856" s="106"/>
      <c r="B856" s="106"/>
      <c r="C856" s="106"/>
      <c r="D856" s="101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9"/>
      <c r="V856" s="109"/>
    </row>
    <row r="857" ht="12.75" customHeight="1">
      <c r="A857" s="106"/>
      <c r="B857" s="106"/>
      <c r="C857" s="106"/>
      <c r="D857" s="101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9"/>
      <c r="V857" s="109"/>
    </row>
    <row r="858" ht="12.75" customHeight="1">
      <c r="A858" s="106"/>
      <c r="B858" s="106"/>
      <c r="C858" s="106"/>
      <c r="D858" s="101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9"/>
      <c r="V858" s="109"/>
    </row>
    <row r="859" ht="12.75" customHeight="1">
      <c r="A859" s="106"/>
      <c r="B859" s="106"/>
      <c r="C859" s="106"/>
      <c r="D859" s="101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9"/>
      <c r="V859" s="109"/>
    </row>
    <row r="860" ht="12.75" customHeight="1">
      <c r="A860" s="106"/>
      <c r="B860" s="106"/>
      <c r="C860" s="106"/>
      <c r="D860" s="101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9"/>
      <c r="V860" s="109"/>
    </row>
    <row r="861" ht="12.75" customHeight="1">
      <c r="A861" s="106"/>
      <c r="B861" s="106"/>
      <c r="C861" s="106"/>
      <c r="D861" s="101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9"/>
      <c r="V861" s="109"/>
    </row>
    <row r="862" ht="12.75" customHeight="1">
      <c r="A862" s="106"/>
      <c r="B862" s="106"/>
      <c r="C862" s="106"/>
      <c r="D862" s="101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9"/>
      <c r="V862" s="109"/>
    </row>
    <row r="863" ht="12.75" customHeight="1">
      <c r="A863" s="106"/>
      <c r="B863" s="106"/>
      <c r="C863" s="106"/>
      <c r="D863" s="101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9"/>
      <c r="V863" s="109"/>
    </row>
    <row r="864" ht="12.75" customHeight="1">
      <c r="A864" s="106"/>
      <c r="B864" s="106"/>
      <c r="C864" s="106"/>
      <c r="D864" s="101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9"/>
      <c r="V864" s="109"/>
    </row>
    <row r="865" ht="12.75" customHeight="1">
      <c r="A865" s="106"/>
      <c r="B865" s="106"/>
      <c r="C865" s="106"/>
      <c r="D865" s="101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9"/>
      <c r="V865" s="109"/>
    </row>
    <row r="866" ht="12.75" customHeight="1">
      <c r="A866" s="106"/>
      <c r="B866" s="106"/>
      <c r="C866" s="106"/>
      <c r="D866" s="101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9"/>
      <c r="V866" s="109"/>
    </row>
    <row r="867" ht="12.75" customHeight="1">
      <c r="A867" s="106"/>
      <c r="B867" s="106"/>
      <c r="C867" s="106"/>
      <c r="D867" s="101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9"/>
      <c r="V867" s="109"/>
    </row>
    <row r="868" ht="12.75" customHeight="1">
      <c r="A868" s="106"/>
      <c r="B868" s="106"/>
      <c r="C868" s="106"/>
      <c r="D868" s="101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9"/>
      <c r="V868" s="109"/>
    </row>
    <row r="869" ht="12.75" customHeight="1">
      <c r="A869" s="106"/>
      <c r="B869" s="106"/>
      <c r="C869" s="106"/>
      <c r="D869" s="101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9"/>
      <c r="V869" s="109"/>
    </row>
    <row r="870" ht="12.75" customHeight="1">
      <c r="A870" s="106"/>
      <c r="B870" s="106"/>
      <c r="C870" s="106"/>
      <c r="D870" s="101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9"/>
      <c r="V870" s="109"/>
    </row>
    <row r="871" ht="12.75" customHeight="1">
      <c r="A871" s="106"/>
      <c r="B871" s="106"/>
      <c r="C871" s="106"/>
      <c r="D871" s="101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9"/>
      <c r="V871" s="109"/>
    </row>
    <row r="872" ht="12.75" customHeight="1">
      <c r="A872" s="106"/>
      <c r="B872" s="106"/>
      <c r="C872" s="106"/>
      <c r="D872" s="101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9"/>
      <c r="V872" s="109"/>
    </row>
    <row r="873" ht="12.75" customHeight="1">
      <c r="A873" s="106"/>
      <c r="B873" s="106"/>
      <c r="C873" s="106"/>
      <c r="D873" s="101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9"/>
      <c r="V873" s="109"/>
    </row>
    <row r="874" ht="12.75" customHeight="1">
      <c r="A874" s="106"/>
      <c r="B874" s="106"/>
      <c r="C874" s="106"/>
      <c r="D874" s="101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9"/>
      <c r="V874" s="109"/>
    </row>
    <row r="875" ht="12.75" customHeight="1">
      <c r="A875" s="106"/>
      <c r="B875" s="106"/>
      <c r="C875" s="106"/>
      <c r="D875" s="101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9"/>
      <c r="V875" s="109"/>
    </row>
    <row r="876" ht="12.75" customHeight="1">
      <c r="A876" s="106"/>
      <c r="B876" s="106"/>
      <c r="C876" s="106"/>
      <c r="D876" s="101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9"/>
      <c r="V876" s="109"/>
    </row>
    <row r="877" ht="12.75" customHeight="1">
      <c r="A877" s="106"/>
      <c r="B877" s="106"/>
      <c r="C877" s="106"/>
      <c r="D877" s="101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9"/>
      <c r="V877" s="109"/>
    </row>
    <row r="878" ht="12.75" customHeight="1">
      <c r="A878" s="106"/>
      <c r="B878" s="106"/>
      <c r="C878" s="106"/>
      <c r="D878" s="101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9"/>
      <c r="V878" s="109"/>
    </row>
    <row r="879" ht="12.75" customHeight="1">
      <c r="A879" s="106"/>
      <c r="B879" s="106"/>
      <c r="C879" s="106"/>
      <c r="D879" s="101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9"/>
      <c r="V879" s="109"/>
    </row>
    <row r="880" ht="12.75" customHeight="1">
      <c r="A880" s="106"/>
      <c r="B880" s="106"/>
      <c r="C880" s="106"/>
      <c r="D880" s="101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9"/>
      <c r="V880" s="109"/>
    </row>
    <row r="881" ht="12.75" customHeight="1">
      <c r="A881" s="106"/>
      <c r="B881" s="106"/>
      <c r="C881" s="106"/>
      <c r="D881" s="101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9"/>
      <c r="V881" s="109"/>
    </row>
    <row r="882" ht="12.75" customHeight="1">
      <c r="A882" s="106"/>
      <c r="B882" s="106"/>
      <c r="C882" s="106"/>
      <c r="D882" s="101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9"/>
      <c r="V882" s="109"/>
    </row>
    <row r="883" ht="12.75" customHeight="1">
      <c r="A883" s="106"/>
      <c r="B883" s="106"/>
      <c r="C883" s="106"/>
      <c r="D883" s="101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9"/>
      <c r="V883" s="109"/>
    </row>
    <row r="884" ht="12.75" customHeight="1">
      <c r="A884" s="106"/>
      <c r="B884" s="106"/>
      <c r="C884" s="106"/>
      <c r="D884" s="101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9"/>
      <c r="V884" s="109"/>
    </row>
    <row r="885" ht="12.75" customHeight="1">
      <c r="A885" s="106"/>
      <c r="B885" s="106"/>
      <c r="C885" s="106"/>
      <c r="D885" s="101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9"/>
      <c r="V885" s="109"/>
    </row>
    <row r="886" ht="12.75" customHeight="1">
      <c r="A886" s="106"/>
      <c r="B886" s="106"/>
      <c r="C886" s="106"/>
      <c r="D886" s="101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9"/>
      <c r="V886" s="109"/>
    </row>
    <row r="887" ht="12.75" customHeight="1">
      <c r="A887" s="106"/>
      <c r="B887" s="106"/>
      <c r="C887" s="106"/>
      <c r="D887" s="101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9"/>
      <c r="V887" s="109"/>
    </row>
    <row r="888" ht="12.75" customHeight="1">
      <c r="A888" s="106"/>
      <c r="B888" s="106"/>
      <c r="C888" s="106"/>
      <c r="D888" s="101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9"/>
      <c r="V888" s="109"/>
    </row>
    <row r="889" ht="12.75" customHeight="1">
      <c r="A889" s="106"/>
      <c r="B889" s="106"/>
      <c r="C889" s="106"/>
      <c r="D889" s="101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9"/>
      <c r="V889" s="109"/>
    </row>
    <row r="890" ht="12.75" customHeight="1">
      <c r="A890" s="106"/>
      <c r="B890" s="106"/>
      <c r="C890" s="106"/>
      <c r="D890" s="101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9"/>
      <c r="V890" s="109"/>
    </row>
    <row r="891" ht="12.75" customHeight="1">
      <c r="A891" s="106"/>
      <c r="B891" s="106"/>
      <c r="C891" s="106"/>
      <c r="D891" s="101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9"/>
      <c r="V891" s="109"/>
    </row>
    <row r="892" ht="12.75" customHeight="1">
      <c r="A892" s="106"/>
      <c r="B892" s="106"/>
      <c r="C892" s="106"/>
      <c r="D892" s="101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9"/>
      <c r="V892" s="109"/>
    </row>
    <row r="893" ht="12.75" customHeight="1">
      <c r="A893" s="106"/>
      <c r="B893" s="106"/>
      <c r="C893" s="106"/>
      <c r="D893" s="101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9"/>
      <c r="V893" s="109"/>
    </row>
    <row r="894" ht="12.75" customHeight="1">
      <c r="A894" s="106"/>
      <c r="B894" s="106"/>
      <c r="C894" s="106"/>
      <c r="D894" s="101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9"/>
      <c r="V894" s="109"/>
    </row>
    <row r="895" ht="12.75" customHeight="1">
      <c r="A895" s="106"/>
      <c r="B895" s="106"/>
      <c r="C895" s="106"/>
      <c r="D895" s="101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9"/>
      <c r="V895" s="109"/>
    </row>
    <row r="896" ht="12.75" customHeight="1">
      <c r="A896" s="106"/>
      <c r="B896" s="106"/>
      <c r="C896" s="106"/>
      <c r="D896" s="101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9"/>
      <c r="V896" s="109"/>
    </row>
    <row r="897" ht="12.75" customHeight="1">
      <c r="A897" s="106"/>
      <c r="B897" s="106"/>
      <c r="C897" s="106"/>
      <c r="D897" s="101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9"/>
      <c r="V897" s="109"/>
    </row>
    <row r="898" ht="12.75" customHeight="1">
      <c r="A898" s="106"/>
      <c r="B898" s="106"/>
      <c r="C898" s="106"/>
      <c r="D898" s="101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9"/>
      <c r="V898" s="109"/>
    </row>
    <row r="899" ht="12.75" customHeight="1">
      <c r="A899" s="106"/>
      <c r="B899" s="106"/>
      <c r="C899" s="106"/>
      <c r="D899" s="101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9"/>
      <c r="V899" s="109"/>
    </row>
    <row r="900" ht="12.75" customHeight="1">
      <c r="A900" s="106"/>
      <c r="B900" s="106"/>
      <c r="C900" s="106"/>
      <c r="D900" s="101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9"/>
      <c r="V900" s="109"/>
    </row>
    <row r="901" ht="12.75" customHeight="1">
      <c r="A901" s="106"/>
      <c r="B901" s="106"/>
      <c r="C901" s="106"/>
      <c r="D901" s="101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9"/>
      <c r="V901" s="109"/>
    </row>
    <row r="902" ht="12.75" customHeight="1">
      <c r="A902" s="106"/>
      <c r="B902" s="106"/>
      <c r="C902" s="106"/>
      <c r="D902" s="101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9"/>
      <c r="V902" s="109"/>
    </row>
    <row r="903" ht="12.75" customHeight="1">
      <c r="A903" s="106"/>
      <c r="B903" s="106"/>
      <c r="C903" s="106"/>
      <c r="D903" s="101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9"/>
      <c r="V903" s="109"/>
    </row>
    <row r="904" ht="12.75" customHeight="1">
      <c r="A904" s="106"/>
      <c r="B904" s="106"/>
      <c r="C904" s="106"/>
      <c r="D904" s="101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9"/>
      <c r="V904" s="109"/>
    </row>
    <row r="905" ht="12.75" customHeight="1">
      <c r="A905" s="106"/>
      <c r="B905" s="106"/>
      <c r="C905" s="106"/>
      <c r="D905" s="101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9"/>
      <c r="V905" s="109"/>
    </row>
    <row r="906" ht="12.75" customHeight="1">
      <c r="A906" s="106"/>
      <c r="B906" s="106"/>
      <c r="C906" s="106"/>
      <c r="D906" s="101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9"/>
      <c r="V906" s="109"/>
    </row>
    <row r="907" ht="12.75" customHeight="1">
      <c r="A907" s="106"/>
      <c r="B907" s="106"/>
      <c r="C907" s="106"/>
      <c r="D907" s="101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9"/>
      <c r="V907" s="109"/>
    </row>
    <row r="908" ht="12.75" customHeight="1">
      <c r="A908" s="106"/>
      <c r="B908" s="106"/>
      <c r="C908" s="106"/>
      <c r="D908" s="101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9"/>
      <c r="V908" s="109"/>
    </row>
    <row r="909" ht="12.75" customHeight="1">
      <c r="A909" s="106"/>
      <c r="B909" s="106"/>
      <c r="C909" s="106"/>
      <c r="D909" s="101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9"/>
      <c r="V909" s="109"/>
    </row>
    <row r="910" ht="12.75" customHeight="1">
      <c r="A910" s="106"/>
      <c r="B910" s="106"/>
      <c r="C910" s="106"/>
      <c r="D910" s="101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9"/>
      <c r="V910" s="109"/>
    </row>
    <row r="911" ht="12.75" customHeight="1">
      <c r="A911" s="106"/>
      <c r="B911" s="106"/>
      <c r="C911" s="106"/>
      <c r="D911" s="101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9"/>
      <c r="V911" s="109"/>
    </row>
    <row r="912" ht="12.75" customHeight="1">
      <c r="A912" s="106"/>
      <c r="B912" s="106"/>
      <c r="C912" s="106"/>
      <c r="D912" s="101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9"/>
      <c r="V912" s="109"/>
    </row>
    <row r="913" ht="12.75" customHeight="1">
      <c r="A913" s="106"/>
      <c r="B913" s="106"/>
      <c r="C913" s="106"/>
      <c r="D913" s="101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9"/>
      <c r="V913" s="109"/>
    </row>
    <row r="914" ht="12.75" customHeight="1">
      <c r="A914" s="106"/>
      <c r="B914" s="106"/>
      <c r="C914" s="106"/>
      <c r="D914" s="101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9"/>
      <c r="V914" s="109"/>
    </row>
    <row r="915" ht="12.75" customHeight="1">
      <c r="A915" s="106"/>
      <c r="B915" s="106"/>
      <c r="C915" s="106"/>
      <c r="D915" s="101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9"/>
      <c r="V915" s="109"/>
    </row>
    <row r="916" ht="12.75" customHeight="1">
      <c r="A916" s="106"/>
      <c r="B916" s="106"/>
      <c r="C916" s="106"/>
      <c r="D916" s="101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9"/>
      <c r="V916" s="109"/>
    </row>
    <row r="917" ht="12.75" customHeight="1">
      <c r="A917" s="106"/>
      <c r="B917" s="106"/>
      <c r="C917" s="106"/>
      <c r="D917" s="101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9"/>
      <c r="V917" s="109"/>
    </row>
    <row r="918" ht="12.75" customHeight="1">
      <c r="A918" s="106"/>
      <c r="B918" s="106"/>
      <c r="C918" s="106"/>
      <c r="D918" s="101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9"/>
      <c r="V918" s="109"/>
    </row>
    <row r="919" ht="12.75" customHeight="1">
      <c r="A919" s="106"/>
      <c r="B919" s="106"/>
      <c r="C919" s="106"/>
      <c r="D919" s="101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9"/>
      <c r="V919" s="109"/>
    </row>
    <row r="920" ht="12.75" customHeight="1">
      <c r="A920" s="106"/>
      <c r="B920" s="106"/>
      <c r="C920" s="106"/>
      <c r="D920" s="101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9"/>
      <c r="V920" s="109"/>
    </row>
    <row r="921" ht="12.75" customHeight="1">
      <c r="A921" s="106"/>
      <c r="B921" s="106"/>
      <c r="C921" s="106"/>
      <c r="D921" s="101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9"/>
      <c r="V921" s="109"/>
    </row>
    <row r="922" ht="12.75" customHeight="1">
      <c r="A922" s="106"/>
      <c r="B922" s="106"/>
      <c r="C922" s="106"/>
      <c r="D922" s="101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9"/>
      <c r="V922" s="109"/>
    </row>
    <row r="923" ht="12.75" customHeight="1">
      <c r="A923" s="106"/>
      <c r="B923" s="106"/>
      <c r="C923" s="106"/>
      <c r="D923" s="101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9"/>
      <c r="V923" s="109"/>
    </row>
    <row r="924" ht="12.75" customHeight="1">
      <c r="A924" s="106"/>
      <c r="B924" s="106"/>
      <c r="C924" s="106"/>
      <c r="D924" s="101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9"/>
      <c r="V924" s="109"/>
    </row>
    <row r="925" ht="12.75" customHeight="1">
      <c r="A925" s="106"/>
      <c r="B925" s="106"/>
      <c r="C925" s="106"/>
      <c r="D925" s="101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9"/>
      <c r="V925" s="109"/>
    </row>
    <row r="926" ht="12.75" customHeight="1">
      <c r="A926" s="106"/>
      <c r="B926" s="106"/>
      <c r="C926" s="106"/>
      <c r="D926" s="101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9"/>
      <c r="V926" s="109"/>
    </row>
    <row r="927" ht="12.75" customHeight="1">
      <c r="A927" s="106"/>
      <c r="B927" s="106"/>
      <c r="C927" s="106"/>
      <c r="D927" s="101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9"/>
      <c r="V927" s="109"/>
    </row>
    <row r="928" ht="12.75" customHeight="1">
      <c r="A928" s="106"/>
      <c r="B928" s="106"/>
      <c r="C928" s="106"/>
      <c r="D928" s="101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9"/>
      <c r="V928" s="109"/>
    </row>
    <row r="929" ht="12.75" customHeight="1">
      <c r="A929" s="106"/>
      <c r="B929" s="106"/>
      <c r="C929" s="106"/>
      <c r="D929" s="101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9"/>
      <c r="V929" s="109"/>
    </row>
    <row r="930" ht="12.75" customHeight="1">
      <c r="A930" s="106"/>
      <c r="B930" s="106"/>
      <c r="C930" s="106"/>
      <c r="D930" s="101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9"/>
      <c r="V930" s="109"/>
    </row>
    <row r="931" ht="12.75" customHeight="1">
      <c r="A931" s="106"/>
      <c r="B931" s="106"/>
      <c r="C931" s="106"/>
      <c r="D931" s="101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9"/>
      <c r="V931" s="109"/>
    </row>
    <row r="932" ht="12.75" customHeight="1">
      <c r="A932" s="106"/>
      <c r="B932" s="106"/>
      <c r="C932" s="106"/>
      <c r="D932" s="101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9"/>
      <c r="V932" s="109"/>
    </row>
    <row r="933" ht="12.75" customHeight="1">
      <c r="A933" s="106"/>
      <c r="B933" s="106"/>
      <c r="C933" s="106"/>
      <c r="D933" s="101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9"/>
      <c r="V933" s="109"/>
    </row>
    <row r="934" ht="12.75" customHeight="1">
      <c r="A934" s="106"/>
      <c r="B934" s="106"/>
      <c r="C934" s="106"/>
      <c r="D934" s="101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9"/>
      <c r="V934" s="109"/>
    </row>
    <row r="935" ht="12.75" customHeight="1">
      <c r="A935" s="106"/>
      <c r="B935" s="106"/>
      <c r="C935" s="106"/>
      <c r="D935" s="101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9"/>
      <c r="V935" s="109"/>
    </row>
    <row r="936" ht="12.75" customHeight="1">
      <c r="A936" s="106"/>
      <c r="B936" s="106"/>
      <c r="C936" s="106"/>
      <c r="D936" s="101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9"/>
      <c r="V936" s="109"/>
    </row>
    <row r="937" ht="12.75" customHeight="1">
      <c r="A937" s="106"/>
      <c r="B937" s="106"/>
      <c r="C937" s="106"/>
      <c r="D937" s="101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9"/>
      <c r="V937" s="109"/>
    </row>
    <row r="938" ht="12.75" customHeight="1">
      <c r="A938" s="106"/>
      <c r="B938" s="106"/>
      <c r="C938" s="106"/>
      <c r="D938" s="101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9"/>
      <c r="V938" s="109"/>
    </row>
    <row r="939" ht="12.75" customHeight="1">
      <c r="A939" s="106"/>
      <c r="B939" s="106"/>
      <c r="C939" s="106"/>
      <c r="D939" s="101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9"/>
      <c r="V939" s="109"/>
    </row>
    <row r="940" ht="12.75" customHeight="1">
      <c r="A940" s="106"/>
      <c r="B940" s="106"/>
      <c r="C940" s="106"/>
      <c r="D940" s="101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9"/>
      <c r="V940" s="109"/>
    </row>
    <row r="941" ht="12.75" customHeight="1">
      <c r="A941" s="106"/>
      <c r="B941" s="106"/>
      <c r="C941" s="106"/>
      <c r="D941" s="101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9"/>
      <c r="V941" s="109"/>
    </row>
    <row r="942" ht="12.75" customHeight="1">
      <c r="A942" s="106"/>
      <c r="B942" s="106"/>
      <c r="C942" s="106"/>
      <c r="D942" s="101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9"/>
      <c r="V942" s="109"/>
    </row>
    <row r="943" ht="12.75" customHeight="1">
      <c r="A943" s="106"/>
      <c r="B943" s="106"/>
      <c r="C943" s="106"/>
      <c r="D943" s="101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9"/>
      <c r="V943" s="109"/>
    </row>
    <row r="944" ht="12.75" customHeight="1">
      <c r="A944" s="106"/>
      <c r="B944" s="106"/>
      <c r="C944" s="106"/>
      <c r="D944" s="101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9"/>
      <c r="V944" s="109"/>
    </row>
    <row r="945" ht="12.75" customHeight="1">
      <c r="A945" s="106"/>
      <c r="B945" s="106"/>
      <c r="C945" s="106"/>
      <c r="D945" s="101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9"/>
      <c r="V945" s="109"/>
    </row>
    <row r="946" ht="12.75" customHeight="1">
      <c r="A946" s="106"/>
      <c r="B946" s="106"/>
      <c r="C946" s="106"/>
      <c r="D946" s="101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9"/>
      <c r="V946" s="109"/>
    </row>
    <row r="947" ht="12.75" customHeight="1">
      <c r="A947" s="106"/>
      <c r="B947" s="106"/>
      <c r="C947" s="106"/>
      <c r="D947" s="101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9"/>
      <c r="V947" s="109"/>
    </row>
    <row r="948" ht="12.75" customHeight="1">
      <c r="A948" s="106"/>
      <c r="B948" s="106"/>
      <c r="C948" s="106"/>
      <c r="D948" s="101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9"/>
      <c r="V948" s="109"/>
    </row>
    <row r="949" ht="12.75" customHeight="1">
      <c r="A949" s="106"/>
      <c r="B949" s="106"/>
      <c r="C949" s="106"/>
      <c r="D949" s="101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9"/>
      <c r="V949" s="109"/>
    </row>
    <row r="950" ht="12.75" customHeight="1">
      <c r="A950" s="106"/>
      <c r="B950" s="106"/>
      <c r="C950" s="106"/>
      <c r="D950" s="101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9"/>
      <c r="V950" s="109"/>
    </row>
    <row r="951" ht="12.75" customHeight="1">
      <c r="A951" s="106"/>
      <c r="B951" s="106"/>
      <c r="C951" s="106"/>
      <c r="D951" s="101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9"/>
      <c r="V951" s="109"/>
    </row>
    <row r="952" ht="12.75" customHeight="1">
      <c r="A952" s="106"/>
      <c r="B952" s="106"/>
      <c r="C952" s="106"/>
      <c r="D952" s="101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9"/>
      <c r="V952" s="109"/>
    </row>
    <row r="953" ht="12.75" customHeight="1">
      <c r="A953" s="106"/>
      <c r="B953" s="106"/>
      <c r="C953" s="106"/>
      <c r="D953" s="101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9"/>
      <c r="V953" s="109"/>
    </row>
    <row r="954" ht="12.75" customHeight="1">
      <c r="A954" s="106"/>
      <c r="B954" s="106"/>
      <c r="C954" s="106"/>
      <c r="D954" s="101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9"/>
      <c r="V954" s="109"/>
    </row>
    <row r="955" ht="12.75" customHeight="1">
      <c r="A955" s="106"/>
      <c r="B955" s="106"/>
      <c r="C955" s="106"/>
      <c r="D955" s="101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9"/>
      <c r="V955" s="109"/>
    </row>
    <row r="956" ht="12.75" customHeight="1">
      <c r="A956" s="106"/>
      <c r="B956" s="106"/>
      <c r="C956" s="106"/>
      <c r="D956" s="101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9"/>
      <c r="V956" s="109"/>
    </row>
    <row r="957" ht="12.75" customHeight="1">
      <c r="A957" s="106"/>
      <c r="B957" s="106"/>
      <c r="C957" s="106"/>
      <c r="D957" s="101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9"/>
      <c r="V957" s="109"/>
    </row>
    <row r="958" ht="12.75" customHeight="1">
      <c r="A958" s="106"/>
      <c r="B958" s="106"/>
      <c r="C958" s="106"/>
      <c r="D958" s="101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9"/>
      <c r="V958" s="109"/>
    </row>
    <row r="959" ht="12.75" customHeight="1">
      <c r="A959" s="106"/>
      <c r="B959" s="106"/>
      <c r="C959" s="106"/>
      <c r="D959" s="101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9"/>
      <c r="V959" s="109"/>
    </row>
    <row r="960" ht="12.75" customHeight="1">
      <c r="A960" s="106"/>
      <c r="B960" s="106"/>
      <c r="C960" s="106"/>
      <c r="D960" s="101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9"/>
      <c r="V960" s="109"/>
    </row>
    <row r="961" ht="12.75" customHeight="1">
      <c r="A961" s="106"/>
      <c r="B961" s="106"/>
      <c r="C961" s="106"/>
      <c r="D961" s="101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9"/>
      <c r="V961" s="109"/>
    </row>
    <row r="962" ht="12.75" customHeight="1">
      <c r="A962" s="106"/>
      <c r="B962" s="106"/>
      <c r="C962" s="106"/>
      <c r="D962" s="101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9"/>
      <c r="V962" s="109"/>
    </row>
    <row r="963" ht="12.75" customHeight="1">
      <c r="A963" s="106"/>
      <c r="B963" s="106"/>
      <c r="C963" s="106"/>
      <c r="D963" s="101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9"/>
      <c r="V963" s="109"/>
    </row>
    <row r="964" ht="12.75" customHeight="1">
      <c r="A964" s="106"/>
      <c r="B964" s="106"/>
      <c r="C964" s="106"/>
      <c r="D964" s="101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9"/>
      <c r="V964" s="109"/>
    </row>
    <row r="965" ht="12.75" customHeight="1">
      <c r="A965" s="106"/>
      <c r="B965" s="106"/>
      <c r="C965" s="106"/>
      <c r="D965" s="101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9"/>
      <c r="V965" s="109"/>
    </row>
    <row r="966" ht="12.75" customHeight="1">
      <c r="A966" s="106"/>
      <c r="B966" s="106"/>
      <c r="C966" s="106"/>
      <c r="D966" s="101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9"/>
      <c r="V966" s="109"/>
    </row>
    <row r="967" ht="12.75" customHeight="1">
      <c r="A967" s="106"/>
      <c r="B967" s="106"/>
      <c r="C967" s="106"/>
      <c r="D967" s="101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9"/>
      <c r="V967" s="109"/>
    </row>
    <row r="968" ht="12.75" customHeight="1">
      <c r="A968" s="106"/>
      <c r="B968" s="106"/>
      <c r="C968" s="106"/>
      <c r="D968" s="101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9"/>
      <c r="V968" s="109"/>
    </row>
    <row r="969" ht="12.75" customHeight="1">
      <c r="A969" s="106"/>
      <c r="B969" s="106"/>
      <c r="C969" s="106"/>
      <c r="D969" s="101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9"/>
      <c r="V969" s="109"/>
    </row>
    <row r="970" ht="12.75" customHeight="1">
      <c r="A970" s="106"/>
      <c r="B970" s="106"/>
      <c r="C970" s="106"/>
      <c r="D970" s="101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9"/>
      <c r="V970" s="109"/>
    </row>
    <row r="971" ht="12.75" customHeight="1">
      <c r="A971" s="106"/>
      <c r="B971" s="106"/>
      <c r="C971" s="106"/>
      <c r="D971" s="101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9"/>
      <c r="V971" s="109"/>
    </row>
    <row r="972" ht="12.75" customHeight="1">
      <c r="A972" s="106"/>
      <c r="B972" s="106"/>
      <c r="C972" s="106"/>
      <c r="D972" s="101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9"/>
      <c r="V972" s="109"/>
    </row>
    <row r="973" ht="12.75" customHeight="1">
      <c r="A973" s="106"/>
      <c r="B973" s="106"/>
      <c r="C973" s="106"/>
      <c r="D973" s="101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9"/>
      <c r="V973" s="109"/>
    </row>
    <row r="974" ht="12.75" customHeight="1">
      <c r="A974" s="106"/>
      <c r="B974" s="106"/>
      <c r="C974" s="106"/>
      <c r="D974" s="101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9"/>
      <c r="V974" s="109"/>
    </row>
    <row r="975" ht="12.75" customHeight="1">
      <c r="A975" s="106"/>
      <c r="B975" s="106"/>
      <c r="C975" s="106"/>
      <c r="D975" s="101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9"/>
      <c r="V975" s="109"/>
    </row>
    <row r="976" ht="12.75" customHeight="1">
      <c r="A976" s="106"/>
      <c r="B976" s="106"/>
      <c r="C976" s="106"/>
      <c r="D976" s="101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9"/>
      <c r="V976" s="109"/>
    </row>
    <row r="977" ht="12.75" customHeight="1">
      <c r="A977" s="106"/>
      <c r="B977" s="106"/>
      <c r="C977" s="106"/>
      <c r="D977" s="101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9"/>
      <c r="V977" s="109"/>
    </row>
    <row r="978" ht="12.75" customHeight="1">
      <c r="A978" s="106"/>
      <c r="B978" s="106"/>
      <c r="C978" s="106"/>
      <c r="D978" s="101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9"/>
      <c r="V978" s="109"/>
    </row>
    <row r="979" ht="12.75" customHeight="1">
      <c r="A979" s="106"/>
      <c r="B979" s="106"/>
      <c r="C979" s="106"/>
      <c r="D979" s="101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9"/>
      <c r="V979" s="109"/>
    </row>
    <row r="980" ht="12.75" customHeight="1">
      <c r="A980" s="106"/>
      <c r="B980" s="106"/>
      <c r="C980" s="106"/>
      <c r="D980" s="101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9"/>
      <c r="V980" s="109"/>
    </row>
    <row r="981" ht="12.75" customHeight="1">
      <c r="A981" s="106"/>
      <c r="B981" s="106"/>
      <c r="C981" s="106"/>
      <c r="D981" s="101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9"/>
      <c r="V981" s="109"/>
    </row>
    <row r="982" ht="12.75" customHeight="1">
      <c r="A982" s="106"/>
      <c r="B982" s="106"/>
      <c r="C982" s="106"/>
      <c r="D982" s="101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9"/>
      <c r="V982" s="109"/>
    </row>
    <row r="983" ht="12.75" customHeight="1">
      <c r="A983" s="106"/>
      <c r="B983" s="106"/>
      <c r="C983" s="106"/>
      <c r="D983" s="101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9"/>
      <c r="V983" s="109"/>
    </row>
    <row r="984" ht="12.75" customHeight="1">
      <c r="A984" s="106"/>
      <c r="B984" s="106"/>
      <c r="C984" s="106"/>
      <c r="D984" s="101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9"/>
      <c r="V984" s="109"/>
    </row>
    <row r="985" ht="12.75" customHeight="1">
      <c r="A985" s="106"/>
      <c r="B985" s="106"/>
      <c r="C985" s="106"/>
      <c r="D985" s="101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9"/>
      <c r="V985" s="109"/>
    </row>
    <row r="986" ht="12.75" customHeight="1">
      <c r="A986" s="106"/>
      <c r="B986" s="106"/>
      <c r="C986" s="106"/>
      <c r="D986" s="101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9"/>
      <c r="V986" s="109"/>
    </row>
    <row r="987" ht="12.75" customHeight="1">
      <c r="A987" s="106"/>
      <c r="B987" s="106"/>
      <c r="C987" s="106"/>
      <c r="D987" s="101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9"/>
      <c r="V987" s="109"/>
    </row>
    <row r="988" ht="12.75" customHeight="1">
      <c r="A988" s="106"/>
      <c r="B988" s="106"/>
      <c r="C988" s="106"/>
      <c r="D988" s="101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9"/>
      <c r="V988" s="109"/>
    </row>
    <row r="989" ht="12.75" customHeight="1">
      <c r="A989" s="106"/>
      <c r="B989" s="106"/>
      <c r="C989" s="106"/>
      <c r="D989" s="101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9"/>
      <c r="V989" s="109"/>
    </row>
    <row r="990" ht="12.75" customHeight="1">
      <c r="A990" s="106"/>
      <c r="B990" s="106"/>
      <c r="C990" s="106"/>
      <c r="D990" s="101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9"/>
      <c r="V990" s="109"/>
    </row>
    <row r="991" ht="12.75" customHeight="1">
      <c r="A991" s="106"/>
      <c r="B991" s="106"/>
      <c r="C991" s="106"/>
      <c r="D991" s="101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9"/>
      <c r="V991" s="109"/>
    </row>
    <row r="992" ht="12.75" customHeight="1">
      <c r="A992" s="106"/>
      <c r="B992" s="106"/>
      <c r="C992" s="106"/>
      <c r="D992" s="101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9"/>
      <c r="V992" s="109"/>
    </row>
    <row r="993" ht="12.75" customHeight="1">
      <c r="A993" s="106"/>
      <c r="B993" s="106"/>
      <c r="C993" s="106"/>
      <c r="D993" s="101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9"/>
      <c r="V993" s="109"/>
    </row>
    <row r="994" ht="12.75" customHeight="1">
      <c r="A994" s="106"/>
      <c r="B994" s="106"/>
      <c r="C994" s="106"/>
      <c r="D994" s="101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9"/>
      <c r="V994" s="109"/>
    </row>
    <row r="995" ht="12.75" customHeight="1">
      <c r="A995" s="106"/>
      <c r="B995" s="106"/>
      <c r="C995" s="106"/>
      <c r="D995" s="101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9"/>
      <c r="V995" s="109"/>
    </row>
    <row r="996" ht="12.75" customHeight="1">
      <c r="A996" s="106"/>
      <c r="B996" s="106"/>
      <c r="C996" s="106"/>
      <c r="D996" s="101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9"/>
      <c r="V996" s="109"/>
    </row>
    <row r="997" ht="12.75" customHeight="1">
      <c r="A997" s="106"/>
      <c r="B997" s="106"/>
      <c r="C997" s="106"/>
      <c r="D997" s="101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9"/>
      <c r="V997" s="109"/>
    </row>
    <row r="998" ht="12.75" customHeight="1">
      <c r="A998" s="106"/>
      <c r="B998" s="106"/>
      <c r="C998" s="106"/>
      <c r="D998" s="101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9"/>
      <c r="V998" s="109"/>
    </row>
    <row r="999" ht="12.75" customHeight="1">
      <c r="A999" s="106"/>
      <c r="B999" s="106"/>
      <c r="C999" s="106"/>
      <c r="D999" s="101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9"/>
      <c r="V999" s="109"/>
    </row>
    <row r="1000" ht="12.75" customHeight="1">
      <c r="A1000" s="106"/>
      <c r="B1000" s="106"/>
      <c r="C1000" s="106"/>
      <c r="D1000" s="101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9"/>
      <c r="V1000" s="109"/>
    </row>
    <row r="1001" ht="12.75" customHeight="1">
      <c r="A1001" s="106"/>
      <c r="B1001" s="106"/>
      <c r="C1001" s="106"/>
      <c r="D1001" s="101"/>
      <c r="E1001" s="106"/>
      <c r="F1001" s="107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9"/>
      <c r="V1001" s="109"/>
    </row>
    <row r="1002" ht="12.75" customHeight="1">
      <c r="A1002" s="106"/>
      <c r="B1002" s="106"/>
      <c r="C1002" s="106"/>
      <c r="D1002" s="101"/>
      <c r="E1002" s="106"/>
      <c r="F1002" s="107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9"/>
      <c r="V1002" s="109"/>
    </row>
    <row r="1003" ht="12.75" customHeight="1">
      <c r="A1003" s="106"/>
      <c r="B1003" s="106"/>
      <c r="C1003" s="106"/>
      <c r="D1003" s="101"/>
      <c r="E1003" s="106"/>
      <c r="F1003" s="107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9"/>
      <c r="V1003" s="109"/>
    </row>
    <row r="1004" ht="12.75" customHeight="1">
      <c r="A1004" s="106"/>
      <c r="B1004" s="106"/>
      <c r="C1004" s="106"/>
      <c r="D1004" s="101"/>
      <c r="E1004" s="106"/>
      <c r="F1004" s="107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9"/>
      <c r="V1004" s="109"/>
    </row>
    <row r="1005" ht="12.75" customHeight="1">
      <c r="A1005" s="106"/>
      <c r="B1005" s="106"/>
      <c r="C1005" s="106"/>
      <c r="D1005" s="101"/>
      <c r="E1005" s="106"/>
      <c r="F1005" s="107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9"/>
      <c r="V1005" s="109"/>
    </row>
    <row r="1006" ht="12.75" customHeight="1">
      <c r="A1006" s="106"/>
      <c r="B1006" s="106"/>
      <c r="C1006" s="106"/>
      <c r="D1006" s="101"/>
      <c r="E1006" s="106"/>
      <c r="F1006" s="107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9"/>
      <c r="V1006" s="109"/>
    </row>
    <row r="1007" ht="12.75" customHeight="1">
      <c r="A1007" s="106"/>
      <c r="B1007" s="106"/>
      <c r="C1007" s="106"/>
      <c r="D1007" s="101"/>
      <c r="E1007" s="106"/>
      <c r="F1007" s="107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9"/>
      <c r="V1007" s="109"/>
    </row>
    <row r="1008" ht="12.75" customHeight="1">
      <c r="A1008" s="106"/>
      <c r="B1008" s="106"/>
      <c r="C1008" s="106"/>
      <c r="D1008" s="101"/>
      <c r="E1008" s="106"/>
      <c r="F1008" s="107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9"/>
      <c r="V1008" s="109"/>
    </row>
    <row r="1009" ht="12.75" customHeight="1">
      <c r="A1009" s="106"/>
      <c r="B1009" s="106"/>
      <c r="C1009" s="106"/>
      <c r="D1009" s="101"/>
      <c r="E1009" s="106"/>
      <c r="F1009" s="107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9"/>
      <c r="V1009" s="109"/>
    </row>
    <row r="1010" ht="12.75" customHeight="1">
      <c r="A1010" s="106"/>
      <c r="B1010" s="106"/>
      <c r="C1010" s="106"/>
      <c r="D1010" s="101"/>
      <c r="E1010" s="106"/>
      <c r="F1010" s="107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9"/>
      <c r="V1010" s="109"/>
    </row>
    <row r="1011" ht="12.75" customHeight="1">
      <c r="A1011" s="106"/>
      <c r="B1011" s="106"/>
      <c r="C1011" s="106"/>
      <c r="D1011" s="101"/>
      <c r="E1011" s="106"/>
      <c r="F1011" s="107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9"/>
      <c r="V1011" s="109"/>
    </row>
    <row r="1012" ht="12.75" customHeight="1">
      <c r="A1012" s="106"/>
      <c r="B1012" s="106"/>
      <c r="C1012" s="106"/>
      <c r="D1012" s="101"/>
      <c r="E1012" s="106"/>
      <c r="F1012" s="107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9"/>
      <c r="V1012" s="109"/>
    </row>
    <row r="1013" ht="12.75" customHeight="1">
      <c r="A1013" s="106"/>
      <c r="B1013" s="106"/>
      <c r="C1013" s="106"/>
      <c r="D1013" s="101"/>
      <c r="E1013" s="106"/>
      <c r="F1013" s="107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9"/>
      <c r="V1013" s="109"/>
    </row>
    <row r="1014" ht="12.75" customHeight="1">
      <c r="A1014" s="106"/>
      <c r="B1014" s="106"/>
      <c r="C1014" s="106"/>
      <c r="D1014" s="101"/>
      <c r="E1014" s="106"/>
      <c r="F1014" s="107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9"/>
      <c r="V1014" s="109"/>
    </row>
    <row r="1015" ht="12.75" customHeight="1">
      <c r="A1015" s="106"/>
      <c r="B1015" s="106"/>
      <c r="C1015" s="106"/>
      <c r="D1015" s="101"/>
      <c r="E1015" s="106"/>
      <c r="F1015" s="107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9"/>
      <c r="V1015" s="109"/>
    </row>
    <row r="1016" ht="12.75" customHeight="1">
      <c r="A1016" s="106"/>
      <c r="B1016" s="106"/>
      <c r="C1016" s="106"/>
      <c r="D1016" s="101"/>
      <c r="E1016" s="106"/>
      <c r="F1016" s="107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9"/>
      <c r="V1016" s="109"/>
    </row>
    <row r="1017" ht="12.75" customHeight="1">
      <c r="A1017" s="106"/>
      <c r="B1017" s="106"/>
      <c r="C1017" s="106"/>
      <c r="D1017" s="101"/>
      <c r="E1017" s="106"/>
      <c r="F1017" s="107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9"/>
      <c r="V1017" s="109"/>
    </row>
    <row r="1018" ht="12.75" customHeight="1">
      <c r="A1018" s="106"/>
      <c r="B1018" s="106"/>
      <c r="C1018" s="106"/>
      <c r="D1018" s="101"/>
      <c r="E1018" s="106"/>
      <c r="F1018" s="107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9"/>
      <c r="V1018" s="109"/>
    </row>
    <row r="1019" ht="12.75" customHeight="1">
      <c r="A1019" s="106"/>
      <c r="B1019" s="106"/>
      <c r="C1019" s="106"/>
      <c r="D1019" s="101"/>
      <c r="E1019" s="106"/>
      <c r="F1019" s="107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9"/>
      <c r="V1019" s="109"/>
    </row>
    <row r="1020" ht="12.75" customHeight="1">
      <c r="A1020" s="106"/>
      <c r="B1020" s="106"/>
      <c r="C1020" s="106"/>
      <c r="D1020" s="101"/>
      <c r="E1020" s="106"/>
      <c r="F1020" s="107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9"/>
      <c r="V1020" s="109"/>
    </row>
    <row r="1021" ht="12.75" customHeight="1">
      <c r="A1021" s="106"/>
      <c r="B1021" s="106"/>
      <c r="C1021" s="106"/>
      <c r="D1021" s="101"/>
      <c r="E1021" s="106"/>
      <c r="F1021" s="107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9"/>
      <c r="V1021" s="109"/>
    </row>
    <row r="1022" ht="12.75" customHeight="1">
      <c r="A1022" s="106"/>
      <c r="B1022" s="106"/>
      <c r="C1022" s="106"/>
      <c r="D1022" s="101"/>
      <c r="E1022" s="106"/>
      <c r="F1022" s="107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9"/>
      <c r="V1022" s="109"/>
    </row>
    <row r="1023" ht="12.75" customHeight="1">
      <c r="A1023" s="106"/>
      <c r="B1023" s="106"/>
      <c r="C1023" s="106"/>
      <c r="D1023" s="101"/>
      <c r="E1023" s="106"/>
      <c r="F1023" s="107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9"/>
      <c r="V1023" s="109"/>
    </row>
    <row r="1024" ht="12.75" customHeight="1">
      <c r="A1024" s="106"/>
      <c r="B1024" s="106"/>
      <c r="C1024" s="106"/>
      <c r="D1024" s="101"/>
      <c r="E1024" s="106"/>
      <c r="F1024" s="107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9"/>
      <c r="V1024" s="109"/>
    </row>
    <row r="1025" ht="12.75" customHeight="1">
      <c r="A1025" s="106"/>
      <c r="B1025" s="106"/>
      <c r="C1025" s="106"/>
      <c r="D1025" s="101"/>
      <c r="E1025" s="106"/>
      <c r="F1025" s="107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9"/>
      <c r="V1025" s="109"/>
    </row>
    <row r="1026" ht="12.75" customHeight="1">
      <c r="A1026" s="106"/>
      <c r="B1026" s="106"/>
      <c r="C1026" s="106"/>
      <c r="D1026" s="101"/>
      <c r="E1026" s="106"/>
      <c r="F1026" s="107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9"/>
      <c r="V1026" s="109"/>
    </row>
    <row r="1027" ht="12.75" customHeight="1">
      <c r="A1027" s="106"/>
      <c r="B1027" s="106"/>
      <c r="C1027" s="106"/>
      <c r="D1027" s="101"/>
      <c r="E1027" s="106"/>
      <c r="F1027" s="107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9"/>
      <c r="V1027" s="109"/>
    </row>
    <row r="1028" ht="12.75" customHeight="1">
      <c r="A1028" s="106"/>
      <c r="B1028" s="106"/>
      <c r="C1028" s="106"/>
      <c r="D1028" s="101"/>
      <c r="E1028" s="106"/>
      <c r="F1028" s="107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9"/>
      <c r="V1028" s="109"/>
    </row>
    <row r="1029" ht="12.75" customHeight="1">
      <c r="A1029" s="106"/>
      <c r="B1029" s="106"/>
      <c r="C1029" s="106"/>
      <c r="D1029" s="101"/>
      <c r="E1029" s="106"/>
      <c r="F1029" s="107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9"/>
      <c r="V1029" s="109"/>
    </row>
    <row r="1030" ht="12.75" customHeight="1">
      <c r="A1030" s="106"/>
      <c r="B1030" s="106"/>
      <c r="C1030" s="106"/>
      <c r="D1030" s="101"/>
      <c r="E1030" s="106"/>
      <c r="F1030" s="107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9"/>
      <c r="V1030" s="109"/>
    </row>
    <row r="1031" ht="12.75" customHeight="1">
      <c r="A1031" s="106"/>
      <c r="B1031" s="106"/>
      <c r="C1031" s="106"/>
      <c r="D1031" s="101"/>
      <c r="E1031" s="106"/>
      <c r="F1031" s="107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9"/>
      <c r="V1031" s="109"/>
    </row>
    <row r="1032" ht="12.75" customHeight="1">
      <c r="A1032" s="106"/>
      <c r="B1032" s="106"/>
      <c r="C1032" s="106"/>
      <c r="D1032" s="101"/>
      <c r="E1032" s="106"/>
      <c r="F1032" s="107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9"/>
      <c r="V1032" s="109"/>
    </row>
    <row r="1033" ht="12.75" customHeight="1">
      <c r="A1033" s="106"/>
      <c r="B1033" s="106"/>
      <c r="C1033" s="106"/>
      <c r="D1033" s="101"/>
      <c r="E1033" s="106"/>
      <c r="F1033" s="107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9"/>
      <c r="V1033" s="109"/>
    </row>
    <row r="1034" ht="12.75" customHeight="1">
      <c r="A1034" s="106"/>
      <c r="B1034" s="106"/>
      <c r="C1034" s="106"/>
      <c r="D1034" s="101"/>
      <c r="E1034" s="106"/>
      <c r="F1034" s="107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9"/>
      <c r="V1034" s="109"/>
    </row>
    <row r="1035" ht="12.75" customHeight="1">
      <c r="A1035" s="106"/>
      <c r="B1035" s="106"/>
      <c r="C1035" s="106"/>
      <c r="D1035" s="101"/>
      <c r="E1035" s="106"/>
      <c r="F1035" s="107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9"/>
      <c r="V1035" s="109"/>
    </row>
    <row r="1036" ht="12.75" customHeight="1">
      <c r="A1036" s="106"/>
      <c r="B1036" s="106"/>
      <c r="C1036" s="106"/>
      <c r="D1036" s="101"/>
      <c r="E1036" s="106"/>
      <c r="F1036" s="107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9"/>
      <c r="V1036" s="109"/>
    </row>
    <row r="1037" ht="12.75" customHeight="1">
      <c r="A1037" s="106"/>
      <c r="B1037" s="106"/>
      <c r="C1037" s="106"/>
      <c r="D1037" s="101"/>
      <c r="E1037" s="106"/>
      <c r="F1037" s="107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9"/>
      <c r="V1037" s="109"/>
    </row>
    <row r="1038" ht="12.75" customHeight="1">
      <c r="A1038" s="106"/>
      <c r="B1038" s="106"/>
      <c r="C1038" s="106"/>
      <c r="D1038" s="101"/>
      <c r="E1038" s="106"/>
      <c r="F1038" s="107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9"/>
      <c r="V1038" s="109"/>
    </row>
    <row r="1039" ht="12.75" customHeight="1">
      <c r="A1039" s="106"/>
      <c r="B1039" s="106"/>
      <c r="C1039" s="106"/>
      <c r="D1039" s="101"/>
      <c r="E1039" s="106"/>
      <c r="F1039" s="107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9"/>
      <c r="V1039" s="109"/>
    </row>
    <row r="1040" ht="12.75" customHeight="1">
      <c r="A1040" s="106"/>
      <c r="B1040" s="106"/>
      <c r="C1040" s="106"/>
      <c r="D1040" s="101"/>
      <c r="E1040" s="106"/>
      <c r="F1040" s="107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9"/>
      <c r="V1040" s="109"/>
    </row>
    <row r="1041" ht="12.75" customHeight="1">
      <c r="A1041" s="106"/>
      <c r="B1041" s="106"/>
      <c r="C1041" s="106"/>
      <c r="D1041" s="101"/>
      <c r="E1041" s="106"/>
      <c r="F1041" s="107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9"/>
      <c r="V1041" s="109"/>
    </row>
    <row r="1042" ht="12.75" customHeight="1">
      <c r="A1042" s="106"/>
      <c r="B1042" s="106"/>
      <c r="C1042" s="106"/>
      <c r="D1042" s="101"/>
      <c r="E1042" s="106"/>
      <c r="F1042" s="107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9"/>
      <c r="V1042" s="109"/>
    </row>
    <row r="1043" ht="12.75" customHeight="1">
      <c r="A1043" s="106"/>
      <c r="B1043" s="106"/>
      <c r="C1043" s="106"/>
      <c r="D1043" s="101"/>
      <c r="E1043" s="106"/>
      <c r="F1043" s="107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9"/>
      <c r="V1043" s="109"/>
    </row>
    <row r="1044" ht="12.75" customHeight="1">
      <c r="A1044" s="106"/>
      <c r="B1044" s="106"/>
      <c r="C1044" s="106"/>
      <c r="D1044" s="101"/>
      <c r="E1044" s="106"/>
      <c r="F1044" s="107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9"/>
      <c r="V1044" s="109"/>
    </row>
    <row r="1045" ht="12.75" customHeight="1">
      <c r="A1045" s="106"/>
      <c r="B1045" s="106"/>
      <c r="C1045" s="106"/>
      <c r="D1045" s="101"/>
      <c r="E1045" s="106"/>
      <c r="F1045" s="107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9"/>
      <c r="V1045" s="109"/>
    </row>
    <row r="1046" ht="12.75" customHeight="1">
      <c r="A1046" s="106"/>
      <c r="B1046" s="106"/>
      <c r="C1046" s="106"/>
      <c r="D1046" s="101"/>
      <c r="E1046" s="106"/>
      <c r="F1046" s="107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9"/>
      <c r="V1046" s="109"/>
    </row>
    <row r="1047" ht="12.75" customHeight="1">
      <c r="A1047" s="106"/>
      <c r="B1047" s="106"/>
      <c r="C1047" s="106"/>
      <c r="D1047" s="101"/>
      <c r="E1047" s="106"/>
      <c r="F1047" s="107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9"/>
      <c r="V1047" s="109"/>
    </row>
    <row r="1048" ht="12.75" customHeight="1">
      <c r="A1048" s="106"/>
      <c r="B1048" s="106"/>
      <c r="C1048" s="106"/>
      <c r="D1048" s="101"/>
      <c r="E1048" s="106"/>
      <c r="F1048" s="107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9"/>
      <c r="V1048" s="109"/>
    </row>
    <row r="1049" ht="12.75" customHeight="1">
      <c r="A1049" s="106"/>
      <c r="B1049" s="106"/>
      <c r="C1049" s="106"/>
      <c r="D1049" s="101"/>
      <c r="E1049" s="106"/>
      <c r="F1049" s="107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9"/>
      <c r="V1049" s="109"/>
    </row>
    <row r="1050" ht="12.75" customHeight="1">
      <c r="A1050" s="106"/>
      <c r="B1050" s="106"/>
      <c r="C1050" s="106"/>
      <c r="D1050" s="101"/>
      <c r="E1050" s="106"/>
      <c r="F1050" s="107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9"/>
      <c r="V1050" s="109"/>
    </row>
    <row r="1051" ht="12.75" customHeight="1">
      <c r="A1051" s="106"/>
      <c r="B1051" s="106"/>
      <c r="C1051" s="106"/>
      <c r="D1051" s="101"/>
      <c r="E1051" s="106"/>
      <c r="F1051" s="107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9"/>
      <c r="V1051" s="109"/>
    </row>
    <row r="1052" ht="12.75" customHeight="1">
      <c r="A1052" s="106"/>
      <c r="B1052" s="106"/>
      <c r="C1052" s="106"/>
      <c r="D1052" s="101"/>
      <c r="E1052" s="106"/>
      <c r="F1052" s="107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9"/>
      <c r="V1052" s="109"/>
    </row>
    <row r="1053" ht="12.75" customHeight="1">
      <c r="A1053" s="106"/>
      <c r="B1053" s="106"/>
      <c r="C1053" s="106"/>
      <c r="D1053" s="101"/>
      <c r="E1053" s="106"/>
      <c r="F1053" s="107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9"/>
      <c r="V1053" s="109"/>
    </row>
    <row r="1054" ht="12.75" customHeight="1">
      <c r="A1054" s="106"/>
      <c r="B1054" s="106"/>
      <c r="C1054" s="106"/>
      <c r="D1054" s="101"/>
      <c r="E1054" s="106"/>
      <c r="F1054" s="107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9"/>
      <c r="V1054" s="109"/>
    </row>
    <row r="1055" ht="12.75" customHeight="1">
      <c r="A1055" s="106"/>
      <c r="B1055" s="106"/>
      <c r="C1055" s="106"/>
      <c r="D1055" s="101"/>
      <c r="E1055" s="106"/>
      <c r="F1055" s="107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9"/>
      <c r="V1055" s="109"/>
    </row>
    <row r="1056" ht="12.75" customHeight="1">
      <c r="A1056" s="106"/>
      <c r="B1056" s="106"/>
      <c r="C1056" s="106"/>
      <c r="D1056" s="101"/>
      <c r="E1056" s="106"/>
      <c r="F1056" s="107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9"/>
      <c r="V1056" s="109"/>
    </row>
    <row r="1057" ht="12.75" customHeight="1">
      <c r="A1057" s="106"/>
      <c r="B1057" s="106"/>
      <c r="C1057" s="106"/>
      <c r="D1057" s="101"/>
      <c r="E1057" s="106"/>
      <c r="F1057" s="107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9"/>
      <c r="V1057" s="109"/>
    </row>
    <row r="1058" ht="12.75" customHeight="1">
      <c r="A1058" s="106"/>
      <c r="B1058" s="106"/>
      <c r="C1058" s="106"/>
      <c r="D1058" s="101"/>
      <c r="E1058" s="106"/>
      <c r="F1058" s="107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9"/>
      <c r="V1058" s="109"/>
    </row>
    <row r="1059" ht="12.75" customHeight="1">
      <c r="A1059" s="106"/>
      <c r="B1059" s="106"/>
      <c r="C1059" s="106"/>
      <c r="D1059" s="101"/>
      <c r="E1059" s="106"/>
      <c r="F1059" s="107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9"/>
      <c r="V1059" s="109"/>
    </row>
    <row r="1060" ht="12.75" customHeight="1">
      <c r="A1060" s="106"/>
      <c r="B1060" s="106"/>
      <c r="C1060" s="106"/>
      <c r="D1060" s="101"/>
      <c r="E1060" s="106"/>
      <c r="F1060" s="107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9"/>
      <c r="V1060" s="109"/>
    </row>
    <row r="1061" ht="12.75" customHeight="1">
      <c r="A1061" s="106"/>
      <c r="B1061" s="106"/>
      <c r="C1061" s="106"/>
      <c r="D1061" s="101"/>
      <c r="E1061" s="106"/>
      <c r="F1061" s="107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9"/>
      <c r="V1061" s="109"/>
    </row>
    <row r="1062" ht="12.75" customHeight="1">
      <c r="A1062" s="106"/>
      <c r="B1062" s="106"/>
      <c r="C1062" s="106"/>
      <c r="D1062" s="101"/>
      <c r="E1062" s="106"/>
      <c r="F1062" s="107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9"/>
      <c r="V1062" s="109"/>
    </row>
    <row r="1063" ht="12.75" customHeight="1">
      <c r="A1063" s="106"/>
      <c r="B1063" s="106"/>
      <c r="C1063" s="106"/>
      <c r="D1063" s="101"/>
      <c r="E1063" s="106"/>
      <c r="F1063" s="107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9"/>
      <c r="V1063" s="109"/>
    </row>
    <row r="1064" ht="12.75" customHeight="1">
      <c r="A1064" s="106"/>
      <c r="B1064" s="106"/>
      <c r="C1064" s="106"/>
      <c r="D1064" s="101"/>
      <c r="E1064" s="106"/>
      <c r="F1064" s="107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9"/>
      <c r="V1064" s="109"/>
    </row>
    <row r="1065" ht="12.75" customHeight="1">
      <c r="A1065" s="106"/>
      <c r="B1065" s="106"/>
      <c r="C1065" s="106"/>
      <c r="D1065" s="101"/>
      <c r="E1065" s="106"/>
      <c r="F1065" s="107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9"/>
      <c r="V1065" s="109"/>
    </row>
    <row r="1066" ht="12.75" customHeight="1">
      <c r="A1066" s="106"/>
      <c r="B1066" s="106"/>
      <c r="C1066" s="106"/>
      <c r="D1066" s="101"/>
      <c r="E1066" s="106"/>
      <c r="F1066" s="107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9"/>
      <c r="V1066" s="109"/>
    </row>
    <row r="1067" ht="12.75" customHeight="1">
      <c r="A1067" s="106"/>
      <c r="B1067" s="106"/>
      <c r="C1067" s="106"/>
      <c r="D1067" s="101"/>
      <c r="E1067" s="106"/>
      <c r="F1067" s="107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9"/>
      <c r="V1067" s="109"/>
    </row>
    <row r="1068" ht="12.75" customHeight="1">
      <c r="A1068" s="106"/>
      <c r="B1068" s="106"/>
      <c r="C1068" s="106"/>
      <c r="D1068" s="101"/>
      <c r="E1068" s="106"/>
      <c r="F1068" s="107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9"/>
      <c r="V1068" s="109"/>
    </row>
    <row r="1069" ht="12.75" customHeight="1">
      <c r="A1069" s="106"/>
      <c r="B1069" s="106"/>
      <c r="C1069" s="106"/>
      <c r="D1069" s="101"/>
      <c r="E1069" s="106"/>
      <c r="F1069" s="107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9"/>
      <c r="V1069" s="109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0</v>
      </c>
      <c r="D2" s="117"/>
      <c r="E2" s="116">
        <f t="shared" ref="E2:R2" si="1">SUM(E5,E11)</f>
        <v>0</v>
      </c>
      <c r="F2" s="116">
        <f t="shared" si="1"/>
        <v>0</v>
      </c>
      <c r="G2" s="118">
        <f t="shared" si="1"/>
        <v>0</v>
      </c>
      <c r="H2" s="118">
        <f t="shared" si="1"/>
        <v>0</v>
      </c>
      <c r="I2" s="118">
        <f t="shared" si="1"/>
        <v>0</v>
      </c>
      <c r="J2" s="118">
        <f t="shared" si="1"/>
        <v>0</v>
      </c>
      <c r="K2" s="118">
        <f t="shared" si="1"/>
        <v>0</v>
      </c>
      <c r="L2" s="118">
        <f t="shared" si="1"/>
        <v>0</v>
      </c>
      <c r="M2" s="118">
        <f t="shared" si="1"/>
        <v>0</v>
      </c>
      <c r="N2" s="118">
        <f t="shared" si="1"/>
        <v>0</v>
      </c>
      <c r="O2" s="118">
        <f t="shared" si="1"/>
        <v>0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36</v>
      </c>
      <c r="D4" s="120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0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19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6" si="2">IFERROR(I20/H20,0)</f>
        <v>0</v>
      </c>
      <c r="V20" s="131">
        <f t="shared" ref="V20:V36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6" t="s">
        <v>26</v>
      </c>
      <c r="B22" s="137" t="s">
        <v>27</v>
      </c>
      <c r="C22" s="137" t="s">
        <v>48</v>
      </c>
      <c r="D22" s="138" t="s">
        <v>46</v>
      </c>
      <c r="E22" s="137" t="s">
        <v>47</v>
      </c>
      <c r="F22" s="137" t="s">
        <v>49</v>
      </c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1">
        <f t="shared" si="2"/>
        <v>0</v>
      </c>
      <c r="V22" s="131">
        <f t="shared" si="3"/>
        <v>0</v>
      </c>
    </row>
    <row r="23" ht="12.75" customHeight="1">
      <c r="A23" s="139" t="s">
        <v>26</v>
      </c>
      <c r="B23" s="140" t="s">
        <v>27</v>
      </c>
      <c r="C23" s="140" t="s">
        <v>48</v>
      </c>
      <c r="D23" s="75"/>
      <c r="E23" s="141"/>
      <c r="F23" s="63" t="s">
        <v>50</v>
      </c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1">
        <f t="shared" si="2"/>
        <v>0</v>
      </c>
      <c r="V23" s="131">
        <f t="shared" si="3"/>
        <v>0</v>
      </c>
    </row>
    <row r="24" ht="12.75" customHeight="1">
      <c r="A24" s="142" t="s">
        <v>26</v>
      </c>
      <c r="B24" s="143" t="s">
        <v>27</v>
      </c>
      <c r="C24" s="144" t="s">
        <v>51</v>
      </c>
      <c r="D24" s="145" t="s">
        <v>46</v>
      </c>
      <c r="E24" s="143" t="s">
        <v>47</v>
      </c>
      <c r="F24" s="144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6" t="s">
        <v>26</v>
      </c>
      <c r="B25" s="147" t="s">
        <v>27</v>
      </c>
      <c r="C25" s="148" t="s">
        <v>51</v>
      </c>
      <c r="D25" s="84"/>
      <c r="E25" s="147" t="s">
        <v>47</v>
      </c>
      <c r="F25" s="148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46" t="s">
        <v>26</v>
      </c>
      <c r="B26" s="147" t="s">
        <v>27</v>
      </c>
      <c r="C26" s="148" t="s">
        <v>51</v>
      </c>
      <c r="D26" s="84"/>
      <c r="E26" s="147" t="s">
        <v>47</v>
      </c>
      <c r="F26" s="148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6" t="s">
        <v>26</v>
      </c>
      <c r="B27" s="147" t="s">
        <v>27</v>
      </c>
      <c r="C27" s="148" t="s">
        <v>51</v>
      </c>
      <c r="D27" s="84"/>
      <c r="E27" s="147" t="s">
        <v>47</v>
      </c>
      <c r="F27" s="148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6" t="s">
        <v>26</v>
      </c>
      <c r="B28" s="137" t="s">
        <v>27</v>
      </c>
      <c r="C28" s="149" t="s">
        <v>55</v>
      </c>
      <c r="D28" s="150" t="s">
        <v>46</v>
      </c>
      <c r="E28" s="151" t="s">
        <v>47</v>
      </c>
      <c r="F28" s="149" t="s">
        <v>55</v>
      </c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1">
        <f t="shared" si="2"/>
        <v>0</v>
      </c>
      <c r="V28" s="131">
        <f t="shared" si="3"/>
        <v>0</v>
      </c>
    </row>
    <row r="29" ht="12.75" customHeight="1">
      <c r="A29" s="139" t="s">
        <v>26</v>
      </c>
      <c r="B29" s="140" t="s">
        <v>27</v>
      </c>
      <c r="C29" s="140" t="s">
        <v>55</v>
      </c>
      <c r="D29" s="75"/>
      <c r="E29" s="140" t="s">
        <v>47</v>
      </c>
      <c r="F29" s="63" t="s">
        <v>56</v>
      </c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1">
        <f t="shared" si="2"/>
        <v>0</v>
      </c>
      <c r="V29" s="131">
        <f t="shared" si="3"/>
        <v>0</v>
      </c>
    </row>
    <row r="30" ht="12.75" customHeight="1">
      <c r="A30" s="139" t="s">
        <v>26</v>
      </c>
      <c r="B30" s="140" t="s">
        <v>27</v>
      </c>
      <c r="C30" s="140" t="s">
        <v>55</v>
      </c>
      <c r="D30" s="75"/>
      <c r="E30" s="141"/>
      <c r="F30" s="63" t="s">
        <v>57</v>
      </c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1">
        <f t="shared" si="2"/>
        <v>0</v>
      </c>
      <c r="V30" s="131">
        <f t="shared" si="3"/>
        <v>0</v>
      </c>
    </row>
    <row r="31" ht="12.75" customHeight="1">
      <c r="A31" s="139" t="s">
        <v>26</v>
      </c>
      <c r="B31" s="140" t="s">
        <v>27</v>
      </c>
      <c r="C31" s="140" t="s">
        <v>55</v>
      </c>
      <c r="D31" s="75"/>
      <c r="E31" s="140" t="s">
        <v>58</v>
      </c>
      <c r="F31" s="63" t="s">
        <v>59</v>
      </c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1">
        <f t="shared" si="2"/>
        <v>0</v>
      </c>
      <c r="V31" s="131">
        <f t="shared" si="3"/>
        <v>0</v>
      </c>
    </row>
    <row r="32" ht="12.75" customHeight="1">
      <c r="A32" s="142" t="s">
        <v>26</v>
      </c>
      <c r="B32" s="143" t="s">
        <v>27</v>
      </c>
      <c r="C32" s="154" t="s">
        <v>60</v>
      </c>
      <c r="D32" s="145" t="s">
        <v>46</v>
      </c>
      <c r="E32" s="155"/>
      <c r="F32" s="154" t="s">
        <v>60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2"/>
        <v>0</v>
      </c>
      <c r="V32" s="131">
        <f t="shared" si="3"/>
        <v>0</v>
      </c>
    </row>
    <row r="33" ht="12.75" customHeight="1">
      <c r="A33" s="146" t="s">
        <v>26</v>
      </c>
      <c r="B33" s="147" t="s">
        <v>27</v>
      </c>
      <c r="C33" s="147" t="s">
        <v>60</v>
      </c>
      <c r="D33" s="84"/>
      <c r="E33" s="155"/>
      <c r="F33" s="156" t="s">
        <v>61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2"/>
        <v>0</v>
      </c>
      <c r="V33" s="131">
        <f t="shared" si="3"/>
        <v>0</v>
      </c>
    </row>
    <row r="34" ht="12.75" customHeight="1">
      <c r="A34" s="146" t="s">
        <v>26</v>
      </c>
      <c r="B34" s="147" t="s">
        <v>27</v>
      </c>
      <c r="C34" s="147" t="s">
        <v>60</v>
      </c>
      <c r="D34" s="84"/>
      <c r="E34" s="155"/>
      <c r="F34" s="156" t="s">
        <v>62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2"/>
        <v>0</v>
      </c>
      <c r="V34" s="131">
        <f t="shared" si="3"/>
        <v>0</v>
      </c>
    </row>
    <row r="35" ht="12.75" customHeight="1">
      <c r="A35" s="146" t="s">
        <v>26</v>
      </c>
      <c r="B35" s="147" t="s">
        <v>27</v>
      </c>
      <c r="C35" s="147" t="s">
        <v>60</v>
      </c>
      <c r="D35" s="84"/>
      <c r="E35" s="155"/>
      <c r="F35" s="156" t="s">
        <v>63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2"/>
        <v>0</v>
      </c>
      <c r="V35" s="131">
        <f t="shared" si="3"/>
        <v>0</v>
      </c>
    </row>
    <row r="36" ht="12.75" customHeight="1">
      <c r="A36" s="146" t="s">
        <v>26</v>
      </c>
      <c r="B36" s="147" t="s">
        <v>27</v>
      </c>
      <c r="C36" s="147" t="s">
        <v>60</v>
      </c>
      <c r="D36" s="84"/>
      <c r="E36" s="155"/>
      <c r="F36" s="156" t="s">
        <v>64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1">
        <f t="shared" si="2"/>
        <v>0</v>
      </c>
      <c r="V36" s="131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128" t="s">
        <v>28</v>
      </c>
      <c r="B38" s="129"/>
      <c r="C38" s="129"/>
      <c r="D38" s="157" t="s">
        <v>46</v>
      </c>
      <c r="E38" s="128" t="s">
        <v>47</v>
      </c>
      <c r="F38" s="128" t="s">
        <v>28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ref="U38:U56" si="4">IFERROR(I38/H38,0)</f>
        <v>0</v>
      </c>
      <c r="V38" s="131">
        <f t="shared" ref="V38:V56" si="5">IFERROR(SUM(H38+L38)/G38,0)</f>
        <v>0</v>
      </c>
    </row>
    <row r="39" ht="12.75" customHeight="1">
      <c r="A39" s="132" t="s">
        <v>28</v>
      </c>
      <c r="B39" s="124" t="s">
        <v>29</v>
      </c>
      <c r="C39" s="158"/>
      <c r="D39" s="159" t="s">
        <v>46</v>
      </c>
      <c r="E39" s="135" t="s">
        <v>47</v>
      </c>
      <c r="F39" s="124" t="s">
        <v>29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4"/>
        <v>0</v>
      </c>
      <c r="V39" s="131">
        <f t="shared" si="5"/>
        <v>0</v>
      </c>
    </row>
    <row r="40" ht="12.75" customHeight="1">
      <c r="A40" s="142" t="s">
        <v>28</v>
      </c>
      <c r="B40" s="143" t="s">
        <v>29</v>
      </c>
      <c r="C40" s="144" t="s">
        <v>65</v>
      </c>
      <c r="D40" s="145" t="s">
        <v>46</v>
      </c>
      <c r="E40" s="143" t="s">
        <v>47</v>
      </c>
      <c r="F40" s="144" t="s">
        <v>65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4"/>
        <v>0</v>
      </c>
      <c r="V40" s="131">
        <f t="shared" si="5"/>
        <v>0</v>
      </c>
    </row>
    <row r="41" ht="12.75" customHeight="1">
      <c r="A41" s="146" t="s">
        <v>28</v>
      </c>
      <c r="B41" s="147" t="s">
        <v>29</v>
      </c>
      <c r="C41" s="146" t="s">
        <v>65</v>
      </c>
      <c r="D41" s="155"/>
      <c r="E41" s="147" t="s">
        <v>47</v>
      </c>
      <c r="F41" s="146" t="s">
        <v>66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4"/>
        <v>0</v>
      </c>
      <c r="V41" s="131">
        <f t="shared" si="5"/>
        <v>0</v>
      </c>
    </row>
    <row r="42" ht="12.75" customHeight="1">
      <c r="A42" s="146" t="s">
        <v>28</v>
      </c>
      <c r="B42" s="147" t="s">
        <v>29</v>
      </c>
      <c r="C42" s="146" t="s">
        <v>65</v>
      </c>
      <c r="D42" s="84"/>
      <c r="E42" s="160" t="s">
        <v>47</v>
      </c>
      <c r="F42" s="148" t="s">
        <v>67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4"/>
        <v>0</v>
      </c>
      <c r="V42" s="131">
        <f t="shared" si="5"/>
        <v>0</v>
      </c>
    </row>
    <row r="43" ht="12.75" customHeight="1">
      <c r="A43" s="146" t="s">
        <v>28</v>
      </c>
      <c r="B43" s="147" t="s">
        <v>29</v>
      </c>
      <c r="C43" s="146" t="s">
        <v>65</v>
      </c>
      <c r="D43" s="84"/>
      <c r="E43" s="160" t="s">
        <v>47</v>
      </c>
      <c r="F43" s="148" t="s">
        <v>68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4"/>
        <v>0</v>
      </c>
      <c r="V43" s="131">
        <f t="shared" si="5"/>
        <v>0</v>
      </c>
    </row>
    <row r="44" ht="12.75" customHeight="1">
      <c r="A44" s="146" t="s">
        <v>28</v>
      </c>
      <c r="B44" s="147" t="s">
        <v>29</v>
      </c>
      <c r="C44" s="146" t="s">
        <v>65</v>
      </c>
      <c r="D44" s="84"/>
      <c r="E44" s="160" t="s">
        <v>47</v>
      </c>
      <c r="F44" s="148" t="s">
        <v>69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4"/>
        <v>0</v>
      </c>
      <c r="V44" s="131">
        <f t="shared" si="5"/>
        <v>0</v>
      </c>
    </row>
    <row r="45" ht="12.75" customHeight="1">
      <c r="A45" s="146" t="s">
        <v>28</v>
      </c>
      <c r="B45" s="147" t="s">
        <v>29</v>
      </c>
      <c r="C45" s="146" t="s">
        <v>65</v>
      </c>
      <c r="D45" s="84"/>
      <c r="E45" s="160" t="s">
        <v>47</v>
      </c>
      <c r="F45" s="148" t="s">
        <v>70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4"/>
        <v>0</v>
      </c>
      <c r="V45" s="131">
        <f t="shared" si="5"/>
        <v>0</v>
      </c>
    </row>
    <row r="46" ht="12.75" customHeight="1">
      <c r="A46" s="146" t="s">
        <v>28</v>
      </c>
      <c r="B46" s="147" t="s">
        <v>29</v>
      </c>
      <c r="C46" s="146" t="s">
        <v>65</v>
      </c>
      <c r="D46" s="84"/>
      <c r="E46" s="147" t="s">
        <v>47</v>
      </c>
      <c r="F46" s="148" t="s">
        <v>71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4"/>
        <v>0</v>
      </c>
      <c r="V46" s="131">
        <f t="shared" si="5"/>
        <v>0</v>
      </c>
    </row>
    <row r="47" ht="12.75" customHeight="1">
      <c r="A47" s="146" t="s">
        <v>28</v>
      </c>
      <c r="B47" s="147" t="s">
        <v>29</v>
      </c>
      <c r="C47" s="146" t="s">
        <v>65</v>
      </c>
      <c r="D47" s="84"/>
      <c r="E47" s="147" t="s">
        <v>47</v>
      </c>
      <c r="F47" s="148" t="s">
        <v>72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4"/>
        <v>0</v>
      </c>
      <c r="V47" s="131">
        <f t="shared" si="5"/>
        <v>0</v>
      </c>
    </row>
    <row r="48" ht="12.75" customHeight="1">
      <c r="A48" s="146" t="s">
        <v>28</v>
      </c>
      <c r="B48" s="147" t="s">
        <v>29</v>
      </c>
      <c r="C48" s="146" t="s">
        <v>65</v>
      </c>
      <c r="D48" s="161"/>
      <c r="E48" s="147" t="s">
        <v>47</v>
      </c>
      <c r="F48" s="156" t="s">
        <v>73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4"/>
        <v>0</v>
      </c>
      <c r="V48" s="131">
        <f t="shared" si="5"/>
        <v>0</v>
      </c>
    </row>
    <row r="49" ht="12.75" customHeight="1">
      <c r="A49" s="146" t="s">
        <v>28</v>
      </c>
      <c r="B49" s="147" t="s">
        <v>29</v>
      </c>
      <c r="C49" s="146" t="s">
        <v>65</v>
      </c>
      <c r="D49" s="161"/>
      <c r="E49" s="147" t="s">
        <v>47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4"/>
        <v>0</v>
      </c>
      <c r="V49" s="131">
        <f t="shared" si="5"/>
        <v>0</v>
      </c>
    </row>
    <row r="50" ht="12.75" customHeight="1">
      <c r="A50" s="146" t="s">
        <v>28</v>
      </c>
      <c r="B50" s="147" t="s">
        <v>29</v>
      </c>
      <c r="C50" s="146" t="s">
        <v>65</v>
      </c>
      <c r="D50" s="161"/>
      <c r="E50" s="147" t="s">
        <v>47</v>
      </c>
      <c r="F50" s="156" t="s">
        <v>75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4"/>
        <v>0</v>
      </c>
      <c r="V50" s="131">
        <f t="shared" si="5"/>
        <v>0</v>
      </c>
    </row>
    <row r="51" ht="12.75" customHeight="1">
      <c r="A51" s="146" t="s">
        <v>28</v>
      </c>
      <c r="B51" s="147" t="s">
        <v>29</v>
      </c>
      <c r="C51" s="146" t="s">
        <v>65</v>
      </c>
      <c r="D51" s="161"/>
      <c r="E51" s="147" t="s">
        <v>47</v>
      </c>
      <c r="F51" s="156" t="s">
        <v>76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4"/>
        <v>0</v>
      </c>
      <c r="V51" s="131">
        <f t="shared" si="5"/>
        <v>0</v>
      </c>
    </row>
    <row r="52" ht="12.75" customHeight="1">
      <c r="A52" s="146" t="s">
        <v>28</v>
      </c>
      <c r="B52" s="147" t="s">
        <v>29</v>
      </c>
      <c r="C52" s="146" t="s">
        <v>65</v>
      </c>
      <c r="D52" s="161"/>
      <c r="E52" s="147" t="s">
        <v>77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4"/>
        <v>0</v>
      </c>
      <c r="V52" s="131">
        <f t="shared" si="5"/>
        <v>0</v>
      </c>
    </row>
    <row r="53" ht="12.75" customHeight="1">
      <c r="A53" s="146" t="s">
        <v>28</v>
      </c>
      <c r="B53" s="147" t="s">
        <v>29</v>
      </c>
      <c r="C53" s="146" t="s">
        <v>65</v>
      </c>
      <c r="D53" s="161"/>
      <c r="E53" s="147" t="s">
        <v>79</v>
      </c>
      <c r="F53" s="156" t="s">
        <v>80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4"/>
        <v>0</v>
      </c>
      <c r="V53" s="131">
        <f t="shared" si="5"/>
        <v>0</v>
      </c>
    </row>
    <row r="54" ht="12.75" customHeight="1">
      <c r="A54" s="146" t="s">
        <v>28</v>
      </c>
      <c r="B54" s="147" t="s">
        <v>29</v>
      </c>
      <c r="C54" s="146" t="s">
        <v>65</v>
      </c>
      <c r="D54" s="161"/>
      <c r="E54" s="155"/>
      <c r="F54" s="156" t="s">
        <v>81</v>
      </c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1">
        <f t="shared" si="4"/>
        <v>0</v>
      </c>
      <c r="V54" s="131">
        <f t="shared" si="5"/>
        <v>0</v>
      </c>
    </row>
    <row r="55" ht="12.75" customHeight="1">
      <c r="A55" s="146" t="s">
        <v>28</v>
      </c>
      <c r="B55" s="147" t="s">
        <v>29</v>
      </c>
      <c r="C55" s="146" t="s">
        <v>65</v>
      </c>
      <c r="D55" s="161"/>
      <c r="E55" s="147" t="s">
        <v>47</v>
      </c>
      <c r="F55" s="156" t="s">
        <v>82</v>
      </c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1">
        <f t="shared" si="4"/>
        <v>0</v>
      </c>
      <c r="V55" s="131">
        <f t="shared" si="5"/>
        <v>0</v>
      </c>
    </row>
    <row r="56" ht="12.75" customHeight="1">
      <c r="A56" s="146" t="s">
        <v>28</v>
      </c>
      <c r="B56" s="147" t="s">
        <v>29</v>
      </c>
      <c r="C56" s="146" t="s">
        <v>65</v>
      </c>
      <c r="D56" s="161"/>
      <c r="E56" s="147" t="s">
        <v>47</v>
      </c>
      <c r="F56" s="156" t="s">
        <v>83</v>
      </c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1">
        <f t="shared" si="4"/>
        <v>0</v>
      </c>
      <c r="V56" s="131">
        <f t="shared" si="5"/>
        <v>0</v>
      </c>
    </row>
    <row r="57" ht="12.75" customHeight="1">
      <c r="A57" s="162"/>
      <c r="B57" s="162"/>
      <c r="C57" s="162"/>
      <c r="D57" s="1"/>
      <c r="E57" s="162"/>
      <c r="F57" s="11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</row>
    <row r="58" ht="12.75" customHeight="1">
      <c r="A58" s="162"/>
      <c r="B58" s="162"/>
      <c r="C58" s="162"/>
      <c r="D58" s="1"/>
      <c r="E58" s="162"/>
      <c r="F58" s="11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</row>
    <row r="59" ht="12.75" customHeight="1">
      <c r="A59" s="162"/>
      <c r="B59" s="162"/>
      <c r="C59" s="162"/>
      <c r="D59" s="1"/>
      <c r="E59" s="162"/>
      <c r="F59" s="11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</row>
    <row r="60" ht="12.75" customHeight="1">
      <c r="A60" s="162"/>
      <c r="B60" s="162"/>
      <c r="C60" s="162"/>
      <c r="D60" s="1"/>
      <c r="E60" s="162"/>
      <c r="F60" s="11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</row>
    <row r="61" ht="12.75" customHeight="1">
      <c r="A61" s="162"/>
      <c r="B61" s="162"/>
      <c r="C61" s="162"/>
      <c r="D61" s="1"/>
      <c r="E61" s="162"/>
      <c r="F61" s="11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</row>
    <row r="62" ht="12.75" customHeight="1">
      <c r="A62" s="162"/>
      <c r="B62" s="162"/>
      <c r="C62" s="162"/>
      <c r="D62" s="1"/>
      <c r="E62" s="162"/>
      <c r="F62" s="11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4"/>
      <c r="V62" s="164"/>
    </row>
    <row r="63" ht="12.75" customHeight="1">
      <c r="A63" s="162"/>
      <c r="B63" s="162"/>
      <c r="C63" s="162"/>
      <c r="D63" s="1"/>
      <c r="E63" s="162"/>
      <c r="F63" s="11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4"/>
      <c r="V63" s="164"/>
    </row>
    <row r="64" ht="12.75" customHeight="1">
      <c r="A64" s="162"/>
      <c r="B64" s="162"/>
      <c r="C64" s="162"/>
      <c r="D64" s="1"/>
      <c r="E64" s="162"/>
      <c r="F64" s="11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4"/>
      <c r="V64" s="164"/>
    </row>
    <row r="65" ht="12.75" customHeight="1">
      <c r="A65" s="162"/>
      <c r="B65" s="162"/>
      <c r="C65" s="162"/>
      <c r="D65" s="1"/>
      <c r="E65" s="162"/>
      <c r="F65" s="11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4"/>
      <c r="V65" s="164"/>
    </row>
    <row r="66" ht="12.75" customHeight="1">
      <c r="A66" s="162"/>
      <c r="B66" s="162"/>
      <c r="C66" s="162"/>
      <c r="D66" s="1"/>
      <c r="E66" s="162"/>
      <c r="F66" s="11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4"/>
      <c r="V66" s="164"/>
    </row>
    <row r="67" ht="12.75" customHeight="1">
      <c r="A67" s="162"/>
      <c r="B67" s="162"/>
      <c r="C67" s="162"/>
      <c r="D67" s="1"/>
      <c r="E67" s="162"/>
      <c r="F67" s="11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4"/>
      <c r="V67" s="164"/>
    </row>
    <row r="68" ht="12.75" customHeight="1">
      <c r="A68" s="162"/>
      <c r="B68" s="162"/>
      <c r="C68" s="162"/>
      <c r="D68" s="1"/>
      <c r="E68" s="162"/>
      <c r="F68" s="11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4"/>
      <c r="V68" s="164"/>
    </row>
    <row r="69" ht="12.75" customHeight="1">
      <c r="A69" s="162"/>
      <c r="B69" s="162"/>
      <c r="C69" s="162"/>
      <c r="D69" s="1"/>
      <c r="E69" s="162"/>
      <c r="F69" s="11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4"/>
      <c r="V69" s="164"/>
    </row>
    <row r="70" ht="12.75" customHeight="1">
      <c r="A70" s="162"/>
      <c r="B70" s="162"/>
      <c r="C70" s="162"/>
      <c r="D70" s="1"/>
      <c r="E70" s="162"/>
      <c r="F70" s="11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4"/>
      <c r="V70" s="164"/>
    </row>
    <row r="71" ht="12.75" customHeight="1">
      <c r="A71" s="162"/>
      <c r="B71" s="162"/>
      <c r="C71" s="162"/>
      <c r="D71" s="1"/>
      <c r="E71" s="162"/>
      <c r="F71" s="11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4"/>
      <c r="V71" s="164"/>
    </row>
    <row r="72" ht="12.75" customHeight="1">
      <c r="A72" s="162"/>
      <c r="B72" s="162"/>
      <c r="C72" s="162"/>
      <c r="D72" s="1"/>
      <c r="E72" s="162"/>
      <c r="F72" s="11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4"/>
      <c r="V72" s="164"/>
    </row>
    <row r="73" ht="12.75" customHeight="1">
      <c r="A73" s="162"/>
      <c r="B73" s="162"/>
      <c r="C73" s="162"/>
      <c r="D73" s="1"/>
      <c r="E73" s="162"/>
      <c r="F73" s="11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164"/>
    </row>
    <row r="74" ht="12.75" customHeight="1">
      <c r="A74" s="162"/>
      <c r="B74" s="162"/>
      <c r="C74" s="162"/>
      <c r="D74" s="1"/>
      <c r="E74" s="162"/>
      <c r="F74" s="11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164"/>
    </row>
    <row r="75" ht="12.75" customHeight="1">
      <c r="A75" s="162"/>
      <c r="B75" s="162"/>
      <c r="C75" s="162"/>
      <c r="D75" s="1"/>
      <c r="E75" s="162"/>
      <c r="F75" s="11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4"/>
      <c r="V75" s="164"/>
    </row>
    <row r="76" ht="12.75" customHeight="1">
      <c r="A76" s="162"/>
      <c r="B76" s="162"/>
      <c r="C76" s="162"/>
      <c r="D76" s="1"/>
      <c r="E76" s="162"/>
      <c r="F76" s="11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4"/>
      <c r="V76" s="164"/>
    </row>
    <row r="77" ht="12.75" customHeight="1">
      <c r="A77" s="162"/>
      <c r="B77" s="162"/>
      <c r="C77" s="162"/>
      <c r="D77" s="1"/>
      <c r="E77" s="162"/>
      <c r="F77" s="11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4"/>
      <c r="V77" s="164"/>
    </row>
    <row r="78" ht="12.75" customHeight="1">
      <c r="A78" s="162"/>
      <c r="B78" s="162"/>
      <c r="C78" s="162"/>
      <c r="D78" s="1"/>
      <c r="E78" s="162"/>
      <c r="F78" s="11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4"/>
      <c r="V78" s="164"/>
    </row>
    <row r="79" ht="12.75" customHeight="1">
      <c r="A79" s="162"/>
      <c r="B79" s="162"/>
      <c r="C79" s="162"/>
      <c r="D79" s="1"/>
      <c r="E79" s="162"/>
      <c r="F79" s="11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4"/>
      <c r="V79" s="164"/>
    </row>
    <row r="80" ht="12.75" customHeight="1">
      <c r="A80" s="162"/>
      <c r="B80" s="162"/>
      <c r="C80" s="162"/>
      <c r="D80" s="1"/>
      <c r="E80" s="162"/>
      <c r="F80" s="11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4"/>
      <c r="V80" s="164"/>
    </row>
    <row r="81" ht="12.75" customHeight="1">
      <c r="A81" s="162"/>
      <c r="B81" s="162"/>
      <c r="C81" s="162"/>
      <c r="D81" s="1"/>
      <c r="E81" s="162"/>
      <c r="F81" s="11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4"/>
      <c r="V81" s="164"/>
    </row>
    <row r="82" ht="12.75" customHeight="1">
      <c r="A82" s="162"/>
      <c r="B82" s="162"/>
      <c r="C82" s="162"/>
      <c r="D82" s="1"/>
      <c r="E82" s="162"/>
      <c r="F82" s="11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4"/>
      <c r="V82" s="164"/>
    </row>
    <row r="83" ht="12.75" customHeight="1">
      <c r="A83" s="162"/>
      <c r="B83" s="162"/>
      <c r="C83" s="162"/>
      <c r="D83" s="1"/>
      <c r="E83" s="162"/>
      <c r="F83" s="11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4"/>
      <c r="V83" s="164"/>
    </row>
    <row r="84" ht="12.75" customHeight="1">
      <c r="A84" s="162"/>
      <c r="B84" s="162"/>
      <c r="C84" s="162"/>
      <c r="D84" s="1"/>
      <c r="E84" s="162"/>
      <c r="F84" s="11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4"/>
      <c r="V84" s="164"/>
    </row>
    <row r="85" ht="12.75" customHeight="1">
      <c r="A85" s="162"/>
      <c r="B85" s="162"/>
      <c r="C85" s="162"/>
      <c r="D85" s="1"/>
      <c r="E85" s="162"/>
      <c r="F85" s="11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4"/>
      <c r="V85" s="164"/>
    </row>
    <row r="86" ht="12.75" customHeight="1">
      <c r="A86" s="162"/>
      <c r="B86" s="162"/>
      <c r="C86" s="162"/>
      <c r="D86" s="1"/>
      <c r="E86" s="162"/>
      <c r="F86" s="11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4"/>
      <c r="V86" s="164"/>
    </row>
    <row r="87" ht="12.75" customHeight="1">
      <c r="A87" s="162"/>
      <c r="B87" s="162"/>
      <c r="C87" s="162"/>
      <c r="D87" s="1"/>
      <c r="E87" s="162"/>
      <c r="F87" s="11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4"/>
      <c r="V87" s="164"/>
    </row>
    <row r="88" ht="12.75" customHeight="1">
      <c r="A88" s="162"/>
      <c r="B88" s="162"/>
      <c r="C88" s="162"/>
      <c r="D88" s="1"/>
      <c r="E88" s="162"/>
      <c r="F88" s="11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4"/>
      <c r="V88" s="164"/>
    </row>
    <row r="89" ht="12.75" customHeight="1">
      <c r="A89" s="162"/>
      <c r="B89" s="162"/>
      <c r="C89" s="162"/>
      <c r="D89" s="1"/>
      <c r="E89" s="162"/>
      <c r="F89" s="11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4"/>
      <c r="V89" s="164"/>
    </row>
    <row r="90" ht="12.75" customHeight="1">
      <c r="A90" s="162"/>
      <c r="B90" s="162"/>
      <c r="C90" s="162"/>
      <c r="D90" s="1"/>
      <c r="E90" s="162"/>
      <c r="F90" s="11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4"/>
      <c r="V90" s="164"/>
    </row>
    <row r="91" ht="12.75" customHeight="1">
      <c r="A91" s="162"/>
      <c r="B91" s="162"/>
      <c r="C91" s="162"/>
      <c r="D91" s="1"/>
      <c r="E91" s="162"/>
      <c r="F91" s="11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4"/>
      <c r="V91" s="164"/>
    </row>
    <row r="92" ht="12.75" customHeight="1">
      <c r="A92" s="162"/>
      <c r="B92" s="162"/>
      <c r="C92" s="162"/>
      <c r="D92" s="1"/>
      <c r="E92" s="162"/>
      <c r="F92" s="11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4"/>
      <c r="V92" s="164"/>
    </row>
    <row r="93" ht="12.75" customHeight="1">
      <c r="A93" s="162"/>
      <c r="B93" s="162"/>
      <c r="C93" s="162"/>
      <c r="D93" s="1"/>
      <c r="E93" s="162"/>
      <c r="F93" s="11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4"/>
      <c r="V93" s="164"/>
    </row>
    <row r="94" ht="12.75" customHeight="1">
      <c r="A94" s="162"/>
      <c r="B94" s="162"/>
      <c r="C94" s="162"/>
      <c r="D94" s="1"/>
      <c r="E94" s="162"/>
      <c r="F94" s="11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4"/>
      <c r="V94" s="164"/>
    </row>
    <row r="95" ht="12.75" customHeight="1">
      <c r="A95" s="162"/>
      <c r="B95" s="162"/>
      <c r="C95" s="162"/>
      <c r="D95" s="1"/>
      <c r="E95" s="162"/>
      <c r="F95" s="11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4"/>
      <c r="V95" s="164"/>
    </row>
    <row r="96" ht="12.75" customHeight="1">
      <c r="A96" s="162"/>
      <c r="B96" s="162"/>
      <c r="C96" s="162"/>
      <c r="D96" s="1"/>
      <c r="E96" s="162"/>
      <c r="F96" s="11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4"/>
      <c r="V96" s="164"/>
    </row>
    <row r="97" ht="12.75" customHeight="1">
      <c r="A97" s="162"/>
      <c r="B97" s="162"/>
      <c r="C97" s="162"/>
      <c r="D97" s="1"/>
      <c r="E97" s="162"/>
      <c r="F97" s="11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4"/>
      <c r="V97" s="164"/>
    </row>
    <row r="98" ht="12.75" customHeight="1">
      <c r="A98" s="162"/>
      <c r="B98" s="162"/>
      <c r="C98" s="162"/>
      <c r="D98" s="1"/>
      <c r="E98" s="162"/>
      <c r="F98" s="11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4"/>
      <c r="V98" s="164"/>
    </row>
    <row r="99" ht="12.75" customHeight="1">
      <c r="A99" s="162"/>
      <c r="B99" s="162"/>
      <c r="C99" s="162"/>
      <c r="D99" s="1"/>
      <c r="E99" s="162"/>
      <c r="F99" s="11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4"/>
      <c r="V99" s="164"/>
    </row>
    <row r="100" ht="12.75" customHeight="1">
      <c r="A100" s="162"/>
      <c r="B100" s="162"/>
      <c r="C100" s="162"/>
      <c r="D100" s="1"/>
      <c r="E100" s="162"/>
      <c r="F100" s="11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4"/>
      <c r="V100" s="164"/>
    </row>
    <row r="101" ht="12.75" customHeight="1">
      <c r="A101" s="162"/>
      <c r="B101" s="162"/>
      <c r="C101" s="162"/>
      <c r="D101" s="1"/>
      <c r="E101" s="162"/>
      <c r="F101" s="11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4"/>
      <c r="V101" s="164"/>
    </row>
    <row r="102" ht="12.75" customHeight="1">
      <c r="A102" s="162"/>
      <c r="B102" s="162"/>
      <c r="C102" s="162"/>
      <c r="D102" s="1"/>
      <c r="E102" s="162"/>
      <c r="F102" s="11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4"/>
      <c r="V102" s="164"/>
    </row>
    <row r="103" ht="12.75" customHeight="1">
      <c r="A103" s="162"/>
      <c r="B103" s="162"/>
      <c r="C103" s="162"/>
      <c r="D103" s="1"/>
      <c r="E103" s="162"/>
      <c r="F103" s="11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4"/>
      <c r="V103" s="164"/>
    </row>
    <row r="104" ht="12.75" customHeight="1">
      <c r="A104" s="162"/>
      <c r="B104" s="162"/>
      <c r="C104" s="162"/>
      <c r="D104" s="1"/>
      <c r="E104" s="162"/>
      <c r="F104" s="11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4"/>
      <c r="V104" s="164"/>
    </row>
    <row r="105" ht="12.75" customHeight="1">
      <c r="A105" s="162"/>
      <c r="B105" s="162"/>
      <c r="C105" s="162"/>
      <c r="D105" s="1"/>
      <c r="E105" s="162"/>
      <c r="F105" s="11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4"/>
      <c r="V105" s="164"/>
    </row>
    <row r="106" ht="12.75" customHeight="1">
      <c r="A106" s="162"/>
      <c r="B106" s="162"/>
      <c r="C106" s="162"/>
      <c r="D106" s="1"/>
      <c r="E106" s="162"/>
      <c r="F106" s="11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4"/>
      <c r="V106" s="164"/>
    </row>
    <row r="107" ht="12.75" customHeight="1">
      <c r="A107" s="162"/>
      <c r="B107" s="162"/>
      <c r="C107" s="162"/>
      <c r="D107" s="1"/>
      <c r="E107" s="162"/>
      <c r="F107" s="11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4"/>
      <c r="V107" s="164"/>
    </row>
    <row r="108" ht="12.75" customHeight="1">
      <c r="A108" s="162"/>
      <c r="B108" s="162"/>
      <c r="C108" s="162"/>
      <c r="D108" s="1"/>
      <c r="E108" s="162"/>
      <c r="F108" s="11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4"/>
      <c r="V108" s="164"/>
    </row>
    <row r="109" ht="12.75" customHeight="1">
      <c r="A109" s="162"/>
      <c r="B109" s="162"/>
      <c r="C109" s="162"/>
      <c r="D109" s="1"/>
      <c r="E109" s="162"/>
      <c r="F109" s="11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4"/>
      <c r="V109" s="164"/>
    </row>
    <row r="110" ht="12.75" customHeight="1">
      <c r="A110" s="162"/>
      <c r="B110" s="162"/>
      <c r="C110" s="162"/>
      <c r="D110" s="1"/>
      <c r="E110" s="162"/>
      <c r="F110" s="11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4"/>
      <c r="V110" s="164"/>
    </row>
    <row r="111" ht="12.75" customHeight="1">
      <c r="A111" s="162"/>
      <c r="B111" s="162"/>
      <c r="C111" s="162"/>
      <c r="D111" s="1"/>
      <c r="E111" s="162"/>
      <c r="F111" s="11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4"/>
      <c r="V111" s="164"/>
    </row>
    <row r="112" ht="12.75" customHeight="1">
      <c r="A112" s="162"/>
      <c r="B112" s="162"/>
      <c r="C112" s="162"/>
      <c r="D112" s="1"/>
      <c r="E112" s="162"/>
      <c r="F112" s="11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4"/>
      <c r="V112" s="164"/>
    </row>
    <row r="113" ht="12.75" customHeight="1">
      <c r="A113" s="162"/>
      <c r="B113" s="162"/>
      <c r="C113" s="162"/>
      <c r="D113" s="1"/>
      <c r="E113" s="162"/>
      <c r="F113" s="11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4"/>
      <c r="V113" s="164"/>
    </row>
    <row r="114" ht="12.75" customHeight="1">
      <c r="A114" s="162"/>
      <c r="B114" s="162"/>
      <c r="C114" s="162"/>
      <c r="D114" s="1"/>
      <c r="E114" s="162"/>
      <c r="F114" s="11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4"/>
      <c r="V114" s="164"/>
    </row>
    <row r="115" ht="12.75" customHeight="1">
      <c r="A115" s="162"/>
      <c r="B115" s="162"/>
      <c r="C115" s="162"/>
      <c r="D115" s="1"/>
      <c r="E115" s="162"/>
      <c r="F115" s="11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4"/>
      <c r="V115" s="164"/>
    </row>
    <row r="116" ht="12.75" customHeight="1">
      <c r="A116" s="162"/>
      <c r="B116" s="162"/>
      <c r="C116" s="162"/>
      <c r="D116" s="1"/>
      <c r="E116" s="162"/>
      <c r="F116" s="11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4"/>
      <c r="V116" s="164"/>
    </row>
    <row r="117" ht="12.75" customHeight="1">
      <c r="A117" s="162"/>
      <c r="B117" s="162"/>
      <c r="C117" s="162"/>
      <c r="D117" s="1"/>
      <c r="E117" s="162"/>
      <c r="F117" s="11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4"/>
      <c r="V117" s="164"/>
    </row>
    <row r="118" ht="12.75" customHeight="1">
      <c r="A118" s="162"/>
      <c r="B118" s="162"/>
      <c r="C118" s="162"/>
      <c r="D118" s="1"/>
      <c r="E118" s="162"/>
      <c r="F118" s="11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4"/>
      <c r="V118" s="164"/>
    </row>
    <row r="119" ht="12.75" customHeight="1">
      <c r="A119" s="162"/>
      <c r="B119" s="162"/>
      <c r="C119" s="162"/>
      <c r="D119" s="1"/>
      <c r="E119" s="162"/>
      <c r="F119" s="11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4"/>
      <c r="V119" s="164"/>
    </row>
    <row r="120" ht="12.75" customHeight="1">
      <c r="A120" s="162"/>
      <c r="B120" s="162"/>
      <c r="C120" s="162"/>
      <c r="D120" s="1"/>
      <c r="E120" s="162"/>
      <c r="F120" s="11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4"/>
      <c r="V120" s="164"/>
    </row>
    <row r="121" ht="12.75" customHeight="1">
      <c r="A121" s="162"/>
      <c r="B121" s="162"/>
      <c r="C121" s="162"/>
      <c r="D121" s="1"/>
      <c r="E121" s="162"/>
      <c r="F121" s="11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4"/>
      <c r="V121" s="164"/>
    </row>
    <row r="122" ht="12.75" customHeight="1">
      <c r="A122" s="162"/>
      <c r="B122" s="162"/>
      <c r="C122" s="162"/>
      <c r="D122" s="1"/>
      <c r="E122" s="162"/>
      <c r="F122" s="11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4"/>
      <c r="V122" s="164"/>
    </row>
    <row r="123" ht="12.75" customHeight="1">
      <c r="A123" s="162"/>
      <c r="B123" s="162"/>
      <c r="C123" s="162"/>
      <c r="D123" s="1"/>
      <c r="E123" s="162"/>
      <c r="F123" s="11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4"/>
      <c r="V123" s="164"/>
    </row>
    <row r="124" ht="12.75" customHeight="1">
      <c r="A124" s="162"/>
      <c r="B124" s="162"/>
      <c r="C124" s="162"/>
      <c r="D124" s="1"/>
      <c r="E124" s="162"/>
      <c r="F124" s="11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4"/>
      <c r="V124" s="164"/>
    </row>
    <row r="125" ht="12.75" customHeight="1">
      <c r="A125" s="162"/>
      <c r="B125" s="162"/>
      <c r="C125" s="162"/>
      <c r="D125" s="1"/>
      <c r="E125" s="162"/>
      <c r="F125" s="11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4"/>
      <c r="V125" s="164"/>
    </row>
    <row r="126" ht="12.75" customHeight="1">
      <c r="A126" s="162"/>
      <c r="B126" s="162"/>
      <c r="C126" s="162"/>
      <c r="D126" s="1"/>
      <c r="E126" s="162"/>
      <c r="F126" s="11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4"/>
      <c r="V126" s="164"/>
    </row>
    <row r="127" ht="12.75" customHeight="1">
      <c r="A127" s="162"/>
      <c r="B127" s="162"/>
      <c r="C127" s="162"/>
      <c r="D127" s="1"/>
      <c r="E127" s="162"/>
      <c r="F127" s="11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4"/>
      <c r="V127" s="164"/>
    </row>
    <row r="128" ht="12.75" customHeight="1">
      <c r="A128" s="162"/>
      <c r="B128" s="162"/>
      <c r="C128" s="162"/>
      <c r="D128" s="1"/>
      <c r="E128" s="162"/>
      <c r="F128" s="11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4"/>
      <c r="V128" s="164"/>
    </row>
    <row r="129" ht="12.75" customHeight="1">
      <c r="A129" s="162"/>
      <c r="B129" s="162"/>
      <c r="C129" s="162"/>
      <c r="D129" s="1"/>
      <c r="E129" s="162"/>
      <c r="F129" s="11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4"/>
      <c r="V129" s="164"/>
    </row>
    <row r="130" ht="12.75" customHeight="1">
      <c r="A130" s="162"/>
      <c r="B130" s="162"/>
      <c r="C130" s="162"/>
      <c r="D130" s="1"/>
      <c r="E130" s="162"/>
      <c r="F130" s="11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4"/>
      <c r="V130" s="164"/>
    </row>
    <row r="131" ht="12.75" customHeight="1">
      <c r="A131" s="162"/>
      <c r="B131" s="162"/>
      <c r="C131" s="162"/>
      <c r="D131" s="1"/>
      <c r="E131" s="162"/>
      <c r="F131" s="11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4"/>
      <c r="V131" s="164"/>
    </row>
    <row r="132" ht="12.75" customHeight="1">
      <c r="A132" s="162"/>
      <c r="B132" s="162"/>
      <c r="C132" s="162"/>
      <c r="D132" s="1"/>
      <c r="E132" s="162"/>
      <c r="F132" s="11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4"/>
      <c r="V132" s="164"/>
    </row>
    <row r="133" ht="12.75" customHeight="1">
      <c r="A133" s="162"/>
      <c r="B133" s="162"/>
      <c r="C133" s="162"/>
      <c r="D133" s="1"/>
      <c r="E133" s="162"/>
      <c r="F133" s="11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4"/>
      <c r="V133" s="164"/>
    </row>
    <row r="134" ht="12.75" customHeight="1">
      <c r="A134" s="162"/>
      <c r="B134" s="162"/>
      <c r="C134" s="162"/>
      <c r="D134" s="1"/>
      <c r="E134" s="162"/>
      <c r="F134" s="11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4"/>
      <c r="V134" s="164"/>
    </row>
    <row r="135" ht="12.75" customHeight="1">
      <c r="A135" s="162"/>
      <c r="B135" s="162"/>
      <c r="C135" s="162"/>
      <c r="D135" s="1"/>
      <c r="E135" s="162"/>
      <c r="F135" s="11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4"/>
      <c r="V135" s="164"/>
    </row>
    <row r="136" ht="12.75" customHeight="1">
      <c r="A136" s="162"/>
      <c r="B136" s="162"/>
      <c r="C136" s="162"/>
      <c r="D136" s="1"/>
      <c r="E136" s="162"/>
      <c r="F136" s="11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4"/>
      <c r="V136" s="164"/>
    </row>
    <row r="137" ht="12.75" customHeight="1">
      <c r="A137" s="162"/>
      <c r="B137" s="162"/>
      <c r="C137" s="162"/>
      <c r="D137" s="1"/>
      <c r="E137" s="162"/>
      <c r="F137" s="11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4"/>
      <c r="V137" s="164"/>
    </row>
    <row r="138" ht="12.75" customHeight="1">
      <c r="A138" s="162"/>
      <c r="B138" s="162"/>
      <c r="C138" s="162"/>
      <c r="D138" s="1"/>
      <c r="E138" s="162"/>
      <c r="F138" s="11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4"/>
      <c r="V138" s="164"/>
    </row>
    <row r="139" ht="12.75" customHeight="1">
      <c r="A139" s="162"/>
      <c r="B139" s="162"/>
      <c r="C139" s="162"/>
      <c r="D139" s="1"/>
      <c r="E139" s="162"/>
      <c r="F139" s="11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4"/>
      <c r="V139" s="164"/>
    </row>
    <row r="140" ht="12.75" customHeight="1">
      <c r="A140" s="162"/>
      <c r="B140" s="162"/>
      <c r="C140" s="162"/>
      <c r="D140" s="1"/>
      <c r="E140" s="162"/>
      <c r="F140" s="11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4"/>
      <c r="V140" s="164"/>
    </row>
    <row r="141" ht="12.75" customHeight="1">
      <c r="A141" s="162"/>
      <c r="B141" s="162"/>
      <c r="C141" s="162"/>
      <c r="D141" s="1"/>
      <c r="E141" s="162"/>
      <c r="F141" s="11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4"/>
      <c r="V141" s="164"/>
    </row>
    <row r="142" ht="12.75" customHeight="1">
      <c r="A142" s="162"/>
      <c r="B142" s="162"/>
      <c r="C142" s="162"/>
      <c r="D142" s="1"/>
      <c r="E142" s="162"/>
      <c r="F142" s="11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4"/>
      <c r="V142" s="164"/>
    </row>
    <row r="143" ht="12.75" customHeight="1">
      <c r="A143" s="162"/>
      <c r="B143" s="162"/>
      <c r="C143" s="162"/>
      <c r="D143" s="1"/>
      <c r="E143" s="162"/>
      <c r="F143" s="11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4"/>
      <c r="V143" s="164"/>
    </row>
    <row r="144" ht="12.75" customHeight="1">
      <c r="A144" s="162"/>
      <c r="B144" s="162"/>
      <c r="C144" s="162"/>
      <c r="D144" s="1"/>
      <c r="E144" s="162"/>
      <c r="F144" s="11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4"/>
      <c r="V144" s="164"/>
    </row>
    <row r="145" ht="12.75" customHeight="1">
      <c r="A145" s="162"/>
      <c r="B145" s="162"/>
      <c r="C145" s="162"/>
      <c r="D145" s="1"/>
      <c r="E145" s="162"/>
      <c r="F145" s="11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4"/>
      <c r="V145" s="164"/>
    </row>
    <row r="146" ht="12.75" customHeight="1">
      <c r="A146" s="162"/>
      <c r="B146" s="162"/>
      <c r="C146" s="162"/>
      <c r="D146" s="1"/>
      <c r="E146" s="162"/>
      <c r="F146" s="11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4"/>
      <c r="V146" s="164"/>
    </row>
    <row r="147" ht="12.75" customHeight="1">
      <c r="A147" s="162"/>
      <c r="B147" s="162"/>
      <c r="C147" s="162"/>
      <c r="D147" s="1"/>
      <c r="E147" s="162"/>
      <c r="F147" s="11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4"/>
      <c r="V147" s="164"/>
    </row>
    <row r="148" ht="12.75" customHeight="1">
      <c r="A148" s="162"/>
      <c r="B148" s="162"/>
      <c r="C148" s="162"/>
      <c r="D148" s="1"/>
      <c r="E148" s="162"/>
      <c r="F148" s="11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4"/>
      <c r="V148" s="164"/>
    </row>
    <row r="149" ht="12.75" customHeight="1">
      <c r="A149" s="162"/>
      <c r="B149" s="162"/>
      <c r="C149" s="162"/>
      <c r="D149" s="1"/>
      <c r="E149" s="162"/>
      <c r="F149" s="11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4"/>
      <c r="V149" s="164"/>
    </row>
    <row r="150" ht="12.75" customHeight="1">
      <c r="A150" s="162"/>
      <c r="B150" s="162"/>
      <c r="C150" s="162"/>
      <c r="D150" s="1"/>
      <c r="E150" s="162"/>
      <c r="F150" s="11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4"/>
      <c r="V150" s="164"/>
    </row>
    <row r="151" ht="12.75" customHeight="1">
      <c r="A151" s="162"/>
      <c r="B151" s="162"/>
      <c r="C151" s="162"/>
      <c r="D151" s="1"/>
      <c r="E151" s="162"/>
      <c r="F151" s="11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4"/>
      <c r="V151" s="164"/>
    </row>
    <row r="152" ht="12.75" customHeight="1">
      <c r="A152" s="162"/>
      <c r="B152" s="162"/>
      <c r="C152" s="162"/>
      <c r="D152" s="1"/>
      <c r="E152" s="162"/>
      <c r="F152" s="11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4"/>
      <c r="V152" s="164"/>
    </row>
    <row r="153" ht="12.75" customHeight="1">
      <c r="A153" s="162"/>
      <c r="B153" s="162"/>
      <c r="C153" s="162"/>
      <c r="D153" s="1"/>
      <c r="E153" s="162"/>
      <c r="F153" s="11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4"/>
      <c r="V153" s="164"/>
    </row>
    <row r="154" ht="12.75" customHeight="1">
      <c r="A154" s="162"/>
      <c r="B154" s="162"/>
      <c r="C154" s="162"/>
      <c r="D154" s="1"/>
      <c r="E154" s="162"/>
      <c r="F154" s="11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4"/>
      <c r="V154" s="164"/>
    </row>
    <row r="155" ht="12.75" customHeight="1">
      <c r="A155" s="162"/>
      <c r="B155" s="162"/>
      <c r="C155" s="162"/>
      <c r="D155" s="1"/>
      <c r="E155" s="162"/>
      <c r="F155" s="11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4"/>
      <c r="V155" s="164"/>
    </row>
    <row r="156" ht="12.75" customHeight="1">
      <c r="A156" s="162"/>
      <c r="B156" s="162"/>
      <c r="C156" s="162"/>
      <c r="D156" s="1"/>
      <c r="E156" s="162"/>
      <c r="F156" s="11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4"/>
      <c r="V156" s="164"/>
    </row>
    <row r="157" ht="12.75" customHeight="1">
      <c r="A157" s="162"/>
      <c r="B157" s="162"/>
      <c r="C157" s="162"/>
      <c r="D157" s="1"/>
      <c r="E157" s="162"/>
      <c r="F157" s="11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4"/>
      <c r="V157" s="164"/>
    </row>
    <row r="158" ht="12.75" customHeight="1">
      <c r="A158" s="162"/>
      <c r="B158" s="162"/>
      <c r="C158" s="162"/>
      <c r="D158" s="1"/>
      <c r="E158" s="162"/>
      <c r="F158" s="11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4"/>
      <c r="V158" s="164"/>
    </row>
    <row r="159" ht="12.75" customHeight="1">
      <c r="A159" s="162"/>
      <c r="B159" s="162"/>
      <c r="C159" s="162"/>
      <c r="D159" s="1"/>
      <c r="E159" s="162"/>
      <c r="F159" s="11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4"/>
      <c r="V159" s="164"/>
    </row>
    <row r="160" ht="12.75" customHeight="1">
      <c r="A160" s="162"/>
      <c r="B160" s="162"/>
      <c r="C160" s="162"/>
      <c r="D160" s="1"/>
      <c r="E160" s="162"/>
      <c r="F160" s="11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4"/>
      <c r="V160" s="164"/>
    </row>
    <row r="161" ht="12.75" customHeight="1">
      <c r="A161" s="162"/>
      <c r="B161" s="162"/>
      <c r="C161" s="162"/>
      <c r="D161" s="1"/>
      <c r="E161" s="162"/>
      <c r="F161" s="11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4"/>
      <c r="V161" s="164"/>
    </row>
    <row r="162" ht="12.75" customHeight="1">
      <c r="A162" s="162"/>
      <c r="B162" s="162"/>
      <c r="C162" s="162"/>
      <c r="D162" s="1"/>
      <c r="E162" s="162"/>
      <c r="F162" s="11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4"/>
      <c r="V162" s="164"/>
    </row>
    <row r="163" ht="12.75" customHeight="1">
      <c r="A163" s="162"/>
      <c r="B163" s="162"/>
      <c r="C163" s="162"/>
      <c r="D163" s="1"/>
      <c r="E163" s="162"/>
      <c r="F163" s="11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4"/>
      <c r="V163" s="164"/>
    </row>
    <row r="164" ht="12.75" customHeight="1">
      <c r="A164" s="162"/>
      <c r="B164" s="162"/>
      <c r="C164" s="162"/>
      <c r="D164" s="1"/>
      <c r="E164" s="162"/>
      <c r="F164" s="11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4"/>
      <c r="V164" s="164"/>
    </row>
    <row r="165" ht="12.75" customHeight="1">
      <c r="A165" s="162"/>
      <c r="B165" s="162"/>
      <c r="C165" s="162"/>
      <c r="D165" s="1"/>
      <c r="E165" s="162"/>
      <c r="F165" s="11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4"/>
      <c r="V165" s="164"/>
    </row>
    <row r="166" ht="12.75" customHeight="1">
      <c r="A166" s="162"/>
      <c r="B166" s="162"/>
      <c r="C166" s="162"/>
      <c r="D166" s="1"/>
      <c r="E166" s="162"/>
      <c r="F166" s="11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4"/>
      <c r="V166" s="164"/>
    </row>
    <row r="167" ht="12.75" customHeight="1">
      <c r="A167" s="162"/>
      <c r="B167" s="162"/>
      <c r="C167" s="162"/>
      <c r="D167" s="1"/>
      <c r="E167" s="162"/>
      <c r="F167" s="11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4"/>
      <c r="V167" s="164"/>
    </row>
    <row r="168" ht="12.75" customHeight="1">
      <c r="A168" s="162"/>
      <c r="B168" s="162"/>
      <c r="C168" s="162"/>
      <c r="D168" s="1"/>
      <c r="E168" s="162"/>
      <c r="F168" s="11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4"/>
      <c r="V168" s="164"/>
    </row>
    <row r="169" ht="12.75" customHeight="1">
      <c r="A169" s="162"/>
      <c r="B169" s="162"/>
      <c r="C169" s="162"/>
      <c r="D169" s="1"/>
      <c r="E169" s="162"/>
      <c r="F169" s="11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4"/>
      <c r="V169" s="164"/>
    </row>
    <row r="170" ht="12.75" customHeight="1">
      <c r="A170" s="162"/>
      <c r="B170" s="162"/>
      <c r="C170" s="162"/>
      <c r="D170" s="1"/>
      <c r="E170" s="162"/>
      <c r="F170" s="11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4"/>
      <c r="V170" s="164"/>
    </row>
    <row r="171" ht="12.75" customHeight="1">
      <c r="A171" s="162"/>
      <c r="B171" s="162"/>
      <c r="C171" s="162"/>
      <c r="D171" s="1"/>
      <c r="E171" s="162"/>
      <c r="F171" s="11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4"/>
      <c r="V171" s="164"/>
    </row>
    <row r="172" ht="12.75" customHeight="1">
      <c r="A172" s="162"/>
      <c r="B172" s="162"/>
      <c r="C172" s="162"/>
      <c r="D172" s="1"/>
      <c r="E172" s="162"/>
      <c r="F172" s="11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4"/>
      <c r="V172" s="164"/>
    </row>
    <row r="173" ht="12.75" customHeight="1">
      <c r="A173" s="162"/>
      <c r="B173" s="162"/>
      <c r="C173" s="162"/>
      <c r="D173" s="1"/>
      <c r="E173" s="162"/>
      <c r="F173" s="11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4"/>
      <c r="V173" s="164"/>
    </row>
    <row r="174" ht="12.75" customHeight="1">
      <c r="A174" s="162"/>
      <c r="B174" s="162"/>
      <c r="C174" s="162"/>
      <c r="D174" s="1"/>
      <c r="E174" s="162"/>
      <c r="F174" s="11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4"/>
      <c r="V174" s="164"/>
    </row>
    <row r="175" ht="12.75" customHeight="1">
      <c r="A175" s="162"/>
      <c r="B175" s="162"/>
      <c r="C175" s="162"/>
      <c r="D175" s="1"/>
      <c r="E175" s="162"/>
      <c r="F175" s="11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4"/>
      <c r="V175" s="164"/>
    </row>
    <row r="176" ht="12.75" customHeight="1">
      <c r="A176" s="162"/>
      <c r="B176" s="162"/>
      <c r="C176" s="162"/>
      <c r="D176" s="1"/>
      <c r="E176" s="162"/>
      <c r="F176" s="11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4"/>
      <c r="V176" s="164"/>
    </row>
    <row r="177" ht="12.75" customHeight="1">
      <c r="A177" s="162"/>
      <c r="B177" s="162"/>
      <c r="C177" s="162"/>
      <c r="D177" s="1"/>
      <c r="E177" s="162"/>
      <c r="F177" s="11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4"/>
      <c r="V177" s="164"/>
    </row>
    <row r="178" ht="12.75" customHeight="1">
      <c r="A178" s="162"/>
      <c r="B178" s="162"/>
      <c r="C178" s="162"/>
      <c r="D178" s="1"/>
      <c r="E178" s="162"/>
      <c r="F178" s="11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4"/>
      <c r="V178" s="164"/>
    </row>
    <row r="179" ht="12.75" customHeight="1">
      <c r="A179" s="162"/>
      <c r="B179" s="162"/>
      <c r="C179" s="162"/>
      <c r="D179" s="1"/>
      <c r="E179" s="162"/>
      <c r="F179" s="11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4"/>
      <c r="V179" s="164"/>
    </row>
    <row r="180" ht="12.75" customHeight="1">
      <c r="A180" s="162"/>
      <c r="B180" s="162"/>
      <c r="C180" s="162"/>
      <c r="D180" s="1"/>
      <c r="E180" s="162"/>
      <c r="F180" s="11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4"/>
      <c r="V180" s="164"/>
    </row>
    <row r="181" ht="12.75" customHeight="1">
      <c r="A181" s="162"/>
      <c r="B181" s="162"/>
      <c r="C181" s="162"/>
      <c r="D181" s="1"/>
      <c r="E181" s="162"/>
      <c r="F181" s="11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4"/>
      <c r="V181" s="164"/>
    </row>
    <row r="182" ht="12.75" customHeight="1">
      <c r="A182" s="162"/>
      <c r="B182" s="162"/>
      <c r="C182" s="162"/>
      <c r="D182" s="1"/>
      <c r="E182" s="162"/>
      <c r="F182" s="11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4"/>
      <c r="V182" s="164"/>
    </row>
    <row r="183" ht="12.75" customHeight="1">
      <c r="A183" s="162"/>
      <c r="B183" s="162"/>
      <c r="C183" s="162"/>
      <c r="D183" s="1"/>
      <c r="E183" s="162"/>
      <c r="F183" s="11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4"/>
      <c r="V183" s="164"/>
    </row>
    <row r="184" ht="12.75" customHeight="1">
      <c r="A184" s="162"/>
      <c r="B184" s="162"/>
      <c r="C184" s="162"/>
      <c r="D184" s="1"/>
      <c r="E184" s="162"/>
      <c r="F184" s="11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4"/>
      <c r="V184" s="164"/>
    </row>
    <row r="185" ht="12.75" customHeight="1">
      <c r="A185" s="162"/>
      <c r="B185" s="162"/>
      <c r="C185" s="162"/>
      <c r="D185" s="1"/>
      <c r="E185" s="162"/>
      <c r="F185" s="11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4"/>
      <c r="V185" s="164"/>
    </row>
    <row r="186" ht="12.75" customHeight="1">
      <c r="A186" s="162"/>
      <c r="B186" s="162"/>
      <c r="C186" s="162"/>
      <c r="D186" s="1"/>
      <c r="E186" s="162"/>
      <c r="F186" s="11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4"/>
      <c r="V186" s="164"/>
    </row>
    <row r="187" ht="12.75" customHeight="1">
      <c r="A187" s="162"/>
      <c r="B187" s="162"/>
      <c r="C187" s="162"/>
      <c r="D187" s="1"/>
      <c r="E187" s="162"/>
      <c r="F187" s="11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4"/>
      <c r="V187" s="164"/>
    </row>
    <row r="188" ht="12.75" customHeight="1">
      <c r="A188" s="162"/>
      <c r="B188" s="162"/>
      <c r="C188" s="162"/>
      <c r="D188" s="1"/>
      <c r="E188" s="162"/>
      <c r="F188" s="11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4"/>
      <c r="V188" s="164"/>
    </row>
    <row r="189" ht="12.75" customHeight="1">
      <c r="A189" s="162"/>
      <c r="B189" s="162"/>
      <c r="C189" s="162"/>
      <c r="D189" s="1"/>
      <c r="E189" s="162"/>
      <c r="F189" s="11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4"/>
      <c r="V189" s="164"/>
    </row>
    <row r="190" ht="12.75" customHeight="1">
      <c r="A190" s="162"/>
      <c r="B190" s="162"/>
      <c r="C190" s="162"/>
      <c r="D190" s="1"/>
      <c r="E190" s="162"/>
      <c r="F190" s="11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4"/>
      <c r="V190" s="164"/>
    </row>
    <row r="191" ht="12.75" customHeight="1">
      <c r="A191" s="162"/>
      <c r="B191" s="162"/>
      <c r="C191" s="162"/>
      <c r="D191" s="1"/>
      <c r="E191" s="162"/>
      <c r="F191" s="11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4"/>
      <c r="V191" s="164"/>
    </row>
    <row r="192" ht="12.75" customHeight="1">
      <c r="A192" s="162"/>
      <c r="B192" s="162"/>
      <c r="C192" s="162"/>
      <c r="D192" s="1"/>
      <c r="E192" s="162"/>
      <c r="F192" s="11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4"/>
      <c r="V192" s="164"/>
    </row>
    <row r="193" ht="12.75" customHeight="1">
      <c r="A193" s="162"/>
      <c r="B193" s="162"/>
      <c r="C193" s="162"/>
      <c r="D193" s="1"/>
      <c r="E193" s="162"/>
      <c r="F193" s="11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4"/>
      <c r="V193" s="164"/>
    </row>
    <row r="194" ht="12.75" customHeight="1">
      <c r="A194" s="162"/>
      <c r="B194" s="162"/>
      <c r="C194" s="162"/>
      <c r="D194" s="1"/>
      <c r="E194" s="162"/>
      <c r="F194" s="11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4"/>
      <c r="V194" s="164"/>
    </row>
    <row r="195" ht="12.75" customHeight="1">
      <c r="A195" s="162"/>
      <c r="B195" s="162"/>
      <c r="C195" s="162"/>
      <c r="D195" s="1"/>
      <c r="E195" s="162"/>
      <c r="F195" s="11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4"/>
      <c r="V195" s="164"/>
    </row>
    <row r="196" ht="12.75" customHeight="1">
      <c r="A196" s="162"/>
      <c r="B196" s="162"/>
      <c r="C196" s="162"/>
      <c r="D196" s="1"/>
      <c r="E196" s="162"/>
      <c r="F196" s="11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4"/>
      <c r="V196" s="164"/>
    </row>
    <row r="197" ht="12.75" customHeight="1">
      <c r="A197" s="162"/>
      <c r="B197" s="162"/>
      <c r="C197" s="162"/>
      <c r="D197" s="1"/>
      <c r="E197" s="162"/>
      <c r="F197" s="11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4"/>
      <c r="V197" s="164"/>
    </row>
    <row r="198" ht="12.75" customHeight="1">
      <c r="A198" s="162"/>
      <c r="B198" s="162"/>
      <c r="C198" s="162"/>
      <c r="D198" s="1"/>
      <c r="E198" s="162"/>
      <c r="F198" s="11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4"/>
      <c r="V198" s="164"/>
    </row>
    <row r="199" ht="12.75" customHeight="1">
      <c r="A199" s="162"/>
      <c r="B199" s="162"/>
      <c r="C199" s="162"/>
      <c r="D199" s="1"/>
      <c r="E199" s="162"/>
      <c r="F199" s="11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4"/>
      <c r="V199" s="164"/>
    </row>
    <row r="200" ht="12.75" customHeight="1">
      <c r="A200" s="162"/>
      <c r="B200" s="162"/>
      <c r="C200" s="162"/>
      <c r="D200" s="1"/>
      <c r="E200" s="162"/>
      <c r="F200" s="11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4"/>
      <c r="V200" s="164"/>
    </row>
    <row r="201" ht="12.75" customHeight="1">
      <c r="A201" s="162"/>
      <c r="B201" s="162"/>
      <c r="C201" s="162"/>
      <c r="D201" s="1"/>
      <c r="E201" s="162"/>
      <c r="F201" s="11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4"/>
      <c r="V201" s="164"/>
    </row>
    <row r="202" ht="12.75" customHeight="1">
      <c r="A202" s="162"/>
      <c r="B202" s="162"/>
      <c r="C202" s="162"/>
      <c r="D202" s="1"/>
      <c r="E202" s="162"/>
      <c r="F202" s="11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4"/>
      <c r="V202" s="164"/>
    </row>
    <row r="203" ht="12.75" customHeight="1">
      <c r="A203" s="162"/>
      <c r="B203" s="162"/>
      <c r="C203" s="162"/>
      <c r="D203" s="1"/>
      <c r="E203" s="162"/>
      <c r="F203" s="11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4"/>
      <c r="V203" s="164"/>
    </row>
    <row r="204" ht="12.75" customHeight="1">
      <c r="A204" s="162"/>
      <c r="B204" s="162"/>
      <c r="C204" s="162"/>
      <c r="D204" s="1"/>
      <c r="E204" s="162"/>
      <c r="F204" s="11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4"/>
      <c r="V204" s="164"/>
    </row>
    <row r="205" ht="12.75" customHeight="1">
      <c r="A205" s="162"/>
      <c r="B205" s="162"/>
      <c r="C205" s="162"/>
      <c r="D205" s="1"/>
      <c r="E205" s="162"/>
      <c r="F205" s="11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4"/>
      <c r="V205" s="164"/>
    </row>
    <row r="206" ht="12.75" customHeight="1">
      <c r="A206" s="162"/>
      <c r="B206" s="162"/>
      <c r="C206" s="162"/>
      <c r="D206" s="1"/>
      <c r="E206" s="162"/>
      <c r="F206" s="11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4"/>
      <c r="V206" s="164"/>
    </row>
    <row r="207" ht="12.75" customHeight="1">
      <c r="A207" s="162"/>
      <c r="B207" s="162"/>
      <c r="C207" s="162"/>
      <c r="D207" s="1"/>
      <c r="E207" s="162"/>
      <c r="F207" s="11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4"/>
      <c r="V207" s="164"/>
    </row>
    <row r="208" ht="12.75" customHeight="1">
      <c r="A208" s="162"/>
      <c r="B208" s="162"/>
      <c r="C208" s="162"/>
      <c r="D208" s="1"/>
      <c r="E208" s="162"/>
      <c r="F208" s="11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4"/>
      <c r="V208" s="164"/>
    </row>
    <row r="209" ht="12.75" customHeight="1">
      <c r="A209" s="162"/>
      <c r="B209" s="162"/>
      <c r="C209" s="162"/>
      <c r="D209" s="1"/>
      <c r="E209" s="162"/>
      <c r="F209" s="11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4"/>
      <c r="V209" s="164"/>
    </row>
    <row r="210" ht="12.75" customHeight="1">
      <c r="A210" s="162"/>
      <c r="B210" s="162"/>
      <c r="C210" s="162"/>
      <c r="D210" s="1"/>
      <c r="E210" s="162"/>
      <c r="F210" s="11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4"/>
      <c r="V210" s="164"/>
    </row>
    <row r="211" ht="12.75" customHeight="1">
      <c r="A211" s="162"/>
      <c r="B211" s="162"/>
      <c r="C211" s="162"/>
      <c r="D211" s="1"/>
      <c r="E211" s="162"/>
      <c r="F211" s="11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4"/>
      <c r="V211" s="164"/>
    </row>
    <row r="212" ht="12.75" customHeight="1">
      <c r="A212" s="162"/>
      <c r="B212" s="162"/>
      <c r="C212" s="162"/>
      <c r="D212" s="1"/>
      <c r="E212" s="162"/>
      <c r="F212" s="11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4"/>
      <c r="V212" s="164"/>
    </row>
    <row r="213" ht="12.75" customHeight="1">
      <c r="A213" s="162"/>
      <c r="B213" s="162"/>
      <c r="C213" s="162"/>
      <c r="D213" s="1"/>
      <c r="E213" s="162"/>
      <c r="F213" s="11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4"/>
      <c r="V213" s="164"/>
    </row>
    <row r="214" ht="12.75" customHeight="1">
      <c r="A214" s="162"/>
      <c r="B214" s="162"/>
      <c r="C214" s="162"/>
      <c r="D214" s="1"/>
      <c r="E214" s="162"/>
      <c r="F214" s="11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4"/>
      <c r="V214" s="164"/>
    </row>
    <row r="215" ht="12.75" customHeight="1">
      <c r="A215" s="162"/>
      <c r="B215" s="162"/>
      <c r="C215" s="162"/>
      <c r="D215" s="1"/>
      <c r="E215" s="162"/>
      <c r="F215" s="11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4"/>
      <c r="V215" s="164"/>
    </row>
    <row r="216" ht="12.75" customHeight="1">
      <c r="A216" s="162"/>
      <c r="B216" s="162"/>
      <c r="C216" s="162"/>
      <c r="D216" s="1"/>
      <c r="E216" s="162"/>
      <c r="F216" s="11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4"/>
      <c r="V216" s="164"/>
    </row>
    <row r="217" ht="12.75" customHeight="1">
      <c r="A217" s="162"/>
      <c r="B217" s="162"/>
      <c r="C217" s="162"/>
      <c r="D217" s="1"/>
      <c r="E217" s="162"/>
      <c r="F217" s="11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4"/>
      <c r="V217" s="164"/>
    </row>
    <row r="218" ht="12.75" customHeight="1">
      <c r="A218" s="162"/>
      <c r="B218" s="162"/>
      <c r="C218" s="162"/>
      <c r="D218" s="1"/>
      <c r="E218" s="162"/>
      <c r="F218" s="11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4"/>
      <c r="V218" s="164"/>
    </row>
    <row r="219" ht="12.75" customHeight="1">
      <c r="A219" s="162"/>
      <c r="B219" s="162"/>
      <c r="C219" s="162"/>
      <c r="D219" s="1"/>
      <c r="E219" s="162"/>
      <c r="F219" s="11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4"/>
      <c r="V219" s="164"/>
    </row>
    <row r="220" ht="12.75" customHeight="1">
      <c r="A220" s="162"/>
      <c r="B220" s="162"/>
      <c r="C220" s="162"/>
      <c r="D220" s="1"/>
      <c r="E220" s="162"/>
      <c r="F220" s="11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4"/>
      <c r="V220" s="164"/>
    </row>
    <row r="221" ht="12.75" customHeight="1">
      <c r="A221" s="162"/>
      <c r="B221" s="162"/>
      <c r="C221" s="162"/>
      <c r="D221" s="1"/>
      <c r="E221" s="162"/>
      <c r="F221" s="11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4"/>
      <c r="V221" s="164"/>
    </row>
    <row r="222" ht="12.75" customHeight="1">
      <c r="A222" s="162"/>
      <c r="B222" s="162"/>
      <c r="C222" s="162"/>
      <c r="D222" s="1"/>
      <c r="E222" s="162"/>
      <c r="F222" s="11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4"/>
      <c r="V222" s="164"/>
    </row>
    <row r="223" ht="12.75" customHeight="1">
      <c r="A223" s="162"/>
      <c r="B223" s="162"/>
      <c r="C223" s="162"/>
      <c r="D223" s="1"/>
      <c r="E223" s="162"/>
      <c r="F223" s="11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4"/>
      <c r="V223" s="164"/>
    </row>
    <row r="224" ht="12.75" customHeight="1">
      <c r="A224" s="162"/>
      <c r="B224" s="162"/>
      <c r="C224" s="162"/>
      <c r="D224" s="1"/>
      <c r="E224" s="162"/>
      <c r="F224" s="11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4"/>
      <c r="V224" s="164"/>
    </row>
    <row r="225" ht="12.75" customHeight="1">
      <c r="A225" s="162"/>
      <c r="B225" s="162"/>
      <c r="C225" s="162"/>
      <c r="D225" s="1"/>
      <c r="E225" s="162"/>
      <c r="F225" s="11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4"/>
      <c r="V225" s="164"/>
    </row>
    <row r="226" ht="12.75" customHeight="1">
      <c r="A226" s="162"/>
      <c r="B226" s="162"/>
      <c r="C226" s="162"/>
      <c r="D226" s="1"/>
      <c r="E226" s="162"/>
      <c r="F226" s="11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4"/>
      <c r="V226" s="164"/>
    </row>
    <row r="227" ht="12.75" customHeight="1">
      <c r="A227" s="162"/>
      <c r="B227" s="162"/>
      <c r="C227" s="162"/>
      <c r="D227" s="1"/>
      <c r="E227" s="162"/>
      <c r="F227" s="11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4"/>
      <c r="V227" s="164"/>
    </row>
    <row r="228" ht="12.75" customHeight="1">
      <c r="A228" s="162"/>
      <c r="B228" s="162"/>
      <c r="C228" s="162"/>
      <c r="D228" s="1"/>
      <c r="E228" s="162"/>
      <c r="F228" s="11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4"/>
      <c r="V228" s="164"/>
    </row>
    <row r="229" ht="12.75" customHeight="1">
      <c r="A229" s="162"/>
      <c r="B229" s="162"/>
      <c r="C229" s="162"/>
      <c r="D229" s="1"/>
      <c r="E229" s="162"/>
      <c r="F229" s="11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4"/>
      <c r="V229" s="164"/>
    </row>
    <row r="230" ht="12.75" customHeight="1">
      <c r="A230" s="162"/>
      <c r="B230" s="162"/>
      <c r="C230" s="162"/>
      <c r="D230" s="1"/>
      <c r="E230" s="162"/>
      <c r="F230" s="11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4"/>
      <c r="V230" s="164"/>
    </row>
    <row r="231" ht="12.75" customHeight="1">
      <c r="A231" s="162"/>
      <c r="B231" s="162"/>
      <c r="C231" s="162"/>
      <c r="D231" s="1"/>
      <c r="E231" s="162"/>
      <c r="F231" s="11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4"/>
      <c r="V231" s="164"/>
    </row>
    <row r="232" ht="12.75" customHeight="1">
      <c r="A232" s="162"/>
      <c r="B232" s="162"/>
      <c r="C232" s="162"/>
      <c r="D232" s="1"/>
      <c r="E232" s="162"/>
      <c r="F232" s="11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4"/>
      <c r="V232" s="164"/>
    </row>
    <row r="233" ht="12.75" customHeight="1">
      <c r="A233" s="162"/>
      <c r="B233" s="162"/>
      <c r="C233" s="162"/>
      <c r="D233" s="1"/>
      <c r="E233" s="162"/>
      <c r="F233" s="11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4"/>
      <c r="V233" s="164"/>
    </row>
    <row r="234" ht="12.75" customHeight="1">
      <c r="A234" s="162"/>
      <c r="B234" s="162"/>
      <c r="C234" s="162"/>
      <c r="D234" s="1"/>
      <c r="E234" s="162"/>
      <c r="F234" s="11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4"/>
      <c r="V234" s="164"/>
    </row>
    <row r="235" ht="12.75" customHeight="1">
      <c r="A235" s="162"/>
      <c r="B235" s="162"/>
      <c r="C235" s="162"/>
      <c r="D235" s="1"/>
      <c r="E235" s="162"/>
      <c r="F235" s="11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4"/>
      <c r="V235" s="164"/>
    </row>
    <row r="236" ht="12.75" customHeight="1">
      <c r="A236" s="162"/>
      <c r="B236" s="162"/>
      <c r="C236" s="162"/>
      <c r="D236" s="1"/>
      <c r="E236" s="162"/>
      <c r="F236" s="11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4"/>
      <c r="V236" s="164"/>
    </row>
    <row r="237" ht="12.75" customHeight="1">
      <c r="A237" s="162"/>
      <c r="B237" s="162"/>
      <c r="C237" s="162"/>
      <c r="D237" s="1"/>
      <c r="E237" s="162"/>
      <c r="F237" s="11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4"/>
      <c r="V237" s="164"/>
    </row>
    <row r="238" ht="12.75" customHeight="1">
      <c r="A238" s="162"/>
      <c r="B238" s="162"/>
      <c r="C238" s="162"/>
      <c r="D238" s="1"/>
      <c r="E238" s="162"/>
      <c r="F238" s="11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4"/>
      <c r="V238" s="164"/>
    </row>
    <row r="239" ht="12.75" customHeight="1">
      <c r="A239" s="162"/>
      <c r="B239" s="162"/>
      <c r="C239" s="162"/>
      <c r="D239" s="1"/>
      <c r="E239" s="162"/>
      <c r="F239" s="11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4"/>
      <c r="V239" s="164"/>
    </row>
    <row r="240" ht="12.75" customHeight="1">
      <c r="A240" s="162"/>
      <c r="B240" s="162"/>
      <c r="C240" s="162"/>
      <c r="D240" s="1"/>
      <c r="E240" s="162"/>
      <c r="F240" s="11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4"/>
      <c r="V240" s="164"/>
    </row>
    <row r="241" ht="12.75" customHeight="1">
      <c r="A241" s="162"/>
      <c r="B241" s="162"/>
      <c r="C241" s="162"/>
      <c r="D241" s="1"/>
      <c r="E241" s="162"/>
      <c r="F241" s="11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4"/>
      <c r="V241" s="164"/>
    </row>
    <row r="242" ht="12.75" customHeight="1">
      <c r="A242" s="162"/>
      <c r="B242" s="162"/>
      <c r="C242" s="162"/>
      <c r="D242" s="1"/>
      <c r="E242" s="162"/>
      <c r="F242" s="11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4"/>
      <c r="V242" s="164"/>
    </row>
    <row r="243" ht="12.75" customHeight="1">
      <c r="A243" s="162"/>
      <c r="B243" s="162"/>
      <c r="C243" s="162"/>
      <c r="D243" s="1"/>
      <c r="E243" s="162"/>
      <c r="F243" s="11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4"/>
      <c r="V243" s="164"/>
    </row>
    <row r="244" ht="12.75" customHeight="1">
      <c r="A244" s="162"/>
      <c r="B244" s="162"/>
      <c r="C244" s="162"/>
      <c r="D244" s="1"/>
      <c r="E244" s="162"/>
      <c r="F244" s="11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4"/>
      <c r="V244" s="164"/>
    </row>
    <row r="245" ht="12.75" customHeight="1">
      <c r="A245" s="162"/>
      <c r="B245" s="162"/>
      <c r="C245" s="162"/>
      <c r="D245" s="1"/>
      <c r="E245" s="162"/>
      <c r="F245" s="11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4"/>
      <c r="V245" s="164"/>
    </row>
    <row r="246" ht="12.75" customHeight="1">
      <c r="A246" s="162"/>
      <c r="B246" s="162"/>
      <c r="C246" s="162"/>
      <c r="D246" s="1"/>
      <c r="E246" s="162"/>
      <c r="F246" s="11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4"/>
      <c r="V246" s="164"/>
    </row>
    <row r="247" ht="12.75" customHeight="1">
      <c r="A247" s="162"/>
      <c r="B247" s="162"/>
      <c r="C247" s="162"/>
      <c r="D247" s="1"/>
      <c r="E247" s="162"/>
      <c r="F247" s="11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4"/>
      <c r="V247" s="164"/>
    </row>
    <row r="248" ht="12.75" customHeight="1">
      <c r="A248" s="162"/>
      <c r="B248" s="162"/>
      <c r="C248" s="162"/>
      <c r="D248" s="1"/>
      <c r="E248" s="162"/>
      <c r="F248" s="11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4"/>
      <c r="V248" s="164"/>
    </row>
    <row r="249" ht="12.75" customHeight="1">
      <c r="A249" s="162"/>
      <c r="B249" s="162"/>
      <c r="C249" s="162"/>
      <c r="D249" s="1"/>
      <c r="E249" s="162"/>
      <c r="F249" s="11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4"/>
      <c r="V249" s="164"/>
    </row>
    <row r="250" ht="12.75" customHeight="1">
      <c r="A250" s="162"/>
      <c r="B250" s="162"/>
      <c r="C250" s="162"/>
      <c r="D250" s="1"/>
      <c r="E250" s="162"/>
      <c r="F250" s="11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4"/>
      <c r="V250" s="164"/>
    </row>
    <row r="251" ht="12.75" customHeight="1">
      <c r="A251" s="162"/>
      <c r="B251" s="162"/>
      <c r="C251" s="162"/>
      <c r="D251" s="1"/>
      <c r="E251" s="162"/>
      <c r="F251" s="11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4"/>
      <c r="V251" s="164"/>
    </row>
    <row r="252" ht="12.75" customHeight="1">
      <c r="A252" s="162"/>
      <c r="B252" s="162"/>
      <c r="C252" s="162"/>
      <c r="D252" s="1"/>
      <c r="E252" s="162"/>
      <c r="F252" s="11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4"/>
      <c r="V252" s="164"/>
    </row>
    <row r="253" ht="12.75" customHeight="1">
      <c r="A253" s="162"/>
      <c r="B253" s="162"/>
      <c r="C253" s="162"/>
      <c r="D253" s="1"/>
      <c r="E253" s="162"/>
      <c r="F253" s="11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4"/>
      <c r="V253" s="164"/>
    </row>
    <row r="254" ht="12.75" customHeight="1">
      <c r="A254" s="162"/>
      <c r="B254" s="162"/>
      <c r="C254" s="162"/>
      <c r="D254" s="1"/>
      <c r="E254" s="162"/>
      <c r="F254" s="11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4"/>
      <c r="V254" s="164"/>
    </row>
    <row r="255" ht="12.75" customHeight="1">
      <c r="A255" s="162"/>
      <c r="B255" s="162"/>
      <c r="C255" s="162"/>
      <c r="D255" s="1"/>
      <c r="E255" s="162"/>
      <c r="F255" s="11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4"/>
      <c r="V255" s="164"/>
    </row>
    <row r="256" ht="12.75" customHeight="1">
      <c r="A256" s="162"/>
      <c r="B256" s="162"/>
      <c r="C256" s="162"/>
      <c r="D256" s="1"/>
      <c r="E256" s="162"/>
      <c r="F256" s="1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4"/>
      <c r="V256" s="164"/>
    </row>
    <row r="257" ht="12.75" customHeight="1">
      <c r="A257" s="162"/>
      <c r="B257" s="162"/>
      <c r="C257" s="162"/>
      <c r="D257" s="1"/>
      <c r="E257" s="162"/>
      <c r="F257" s="11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4"/>
      <c r="V257" s="164"/>
    </row>
    <row r="258" ht="12.75" customHeight="1">
      <c r="A258" s="162"/>
      <c r="B258" s="162"/>
      <c r="C258" s="162"/>
      <c r="D258" s="1"/>
      <c r="E258" s="162"/>
      <c r="F258" s="11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4"/>
      <c r="V258" s="164"/>
    </row>
    <row r="259" ht="12.75" customHeight="1">
      <c r="A259" s="162"/>
      <c r="B259" s="162"/>
      <c r="C259" s="162"/>
      <c r="D259" s="1"/>
      <c r="E259" s="162"/>
      <c r="F259" s="11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4"/>
      <c r="V259" s="164"/>
    </row>
    <row r="260" ht="12.75" customHeight="1">
      <c r="A260" s="162"/>
      <c r="B260" s="162"/>
      <c r="C260" s="162"/>
      <c r="D260" s="1"/>
      <c r="E260" s="162"/>
      <c r="F260" s="11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4"/>
      <c r="V260" s="164"/>
    </row>
    <row r="261" ht="12.75" customHeight="1">
      <c r="A261" s="162"/>
      <c r="B261" s="162"/>
      <c r="C261" s="162"/>
      <c r="D261" s="1"/>
      <c r="E261" s="162"/>
      <c r="F261" s="11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4"/>
      <c r="V261" s="164"/>
    </row>
    <row r="262" ht="12.75" customHeight="1">
      <c r="A262" s="162"/>
      <c r="B262" s="162"/>
      <c r="C262" s="162"/>
      <c r="D262" s="1"/>
      <c r="E262" s="162"/>
      <c r="F262" s="11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4"/>
      <c r="V262" s="164"/>
    </row>
    <row r="263" ht="12.75" customHeight="1">
      <c r="A263" s="162"/>
      <c r="B263" s="162"/>
      <c r="C263" s="162"/>
      <c r="D263" s="1"/>
      <c r="E263" s="162"/>
      <c r="F263" s="11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4"/>
      <c r="V263" s="164"/>
    </row>
    <row r="264" ht="12.75" customHeight="1">
      <c r="A264" s="162"/>
      <c r="B264" s="162"/>
      <c r="C264" s="162"/>
      <c r="D264" s="1"/>
      <c r="E264" s="162"/>
      <c r="F264" s="11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4"/>
      <c r="V264" s="164"/>
    </row>
    <row r="265" ht="12.75" customHeight="1">
      <c r="A265" s="162"/>
      <c r="B265" s="162"/>
      <c r="C265" s="162"/>
      <c r="D265" s="1"/>
      <c r="E265" s="162"/>
      <c r="F265" s="11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4"/>
      <c r="V265" s="164"/>
    </row>
    <row r="266" ht="12.75" customHeight="1">
      <c r="A266" s="162"/>
      <c r="B266" s="162"/>
      <c r="C266" s="162"/>
      <c r="D266" s="1"/>
      <c r="E266" s="162"/>
      <c r="F266" s="11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4"/>
      <c r="V266" s="164"/>
    </row>
    <row r="267" ht="12.75" customHeight="1">
      <c r="A267" s="162"/>
      <c r="B267" s="162"/>
      <c r="C267" s="162"/>
      <c r="D267" s="1"/>
      <c r="E267" s="162"/>
      <c r="F267" s="11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4"/>
      <c r="V267" s="164"/>
    </row>
    <row r="268" ht="12.75" customHeight="1">
      <c r="A268" s="162"/>
      <c r="B268" s="162"/>
      <c r="C268" s="162"/>
      <c r="D268" s="1"/>
      <c r="E268" s="162"/>
      <c r="F268" s="11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4"/>
      <c r="V268" s="164"/>
    </row>
    <row r="269" ht="12.75" customHeight="1">
      <c r="A269" s="162"/>
      <c r="B269" s="162"/>
      <c r="C269" s="162"/>
      <c r="D269" s="1"/>
      <c r="E269" s="162"/>
      <c r="F269" s="11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4"/>
      <c r="V269" s="164"/>
    </row>
    <row r="270" ht="12.75" customHeight="1">
      <c r="A270" s="162"/>
      <c r="B270" s="162"/>
      <c r="C270" s="162"/>
      <c r="D270" s="1"/>
      <c r="E270" s="162"/>
      <c r="F270" s="11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4"/>
      <c r="V270" s="164"/>
    </row>
    <row r="271" ht="12.75" customHeight="1">
      <c r="A271" s="162"/>
      <c r="B271" s="162"/>
      <c r="C271" s="162"/>
      <c r="D271" s="1"/>
      <c r="E271" s="162"/>
      <c r="F271" s="11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4"/>
      <c r="V271" s="164"/>
    </row>
    <row r="272" ht="12.75" customHeight="1">
      <c r="A272" s="162"/>
      <c r="B272" s="162"/>
      <c r="C272" s="162"/>
      <c r="D272" s="1"/>
      <c r="E272" s="162"/>
      <c r="F272" s="11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4"/>
      <c r="V272" s="164"/>
    </row>
    <row r="273" ht="12.75" customHeight="1">
      <c r="A273" s="162"/>
      <c r="B273" s="162"/>
      <c r="C273" s="162"/>
      <c r="D273" s="1"/>
      <c r="E273" s="162"/>
      <c r="F273" s="11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4"/>
      <c r="V273" s="164"/>
    </row>
    <row r="274" ht="12.75" customHeight="1">
      <c r="A274" s="162"/>
      <c r="B274" s="162"/>
      <c r="C274" s="162"/>
      <c r="D274" s="1"/>
      <c r="E274" s="162"/>
      <c r="F274" s="11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4"/>
      <c r="V274" s="164"/>
    </row>
    <row r="275" ht="12.75" customHeight="1">
      <c r="A275" s="162"/>
      <c r="B275" s="162"/>
      <c r="C275" s="162"/>
      <c r="D275" s="1"/>
      <c r="E275" s="162"/>
      <c r="F275" s="11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4"/>
      <c r="V275" s="164"/>
    </row>
    <row r="276" ht="12.75" customHeight="1">
      <c r="A276" s="162"/>
      <c r="B276" s="162"/>
      <c r="C276" s="162"/>
      <c r="D276" s="1"/>
      <c r="E276" s="162"/>
      <c r="F276" s="11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4"/>
      <c r="V276" s="164"/>
    </row>
    <row r="277" ht="12.75" customHeight="1">
      <c r="A277" s="162"/>
      <c r="B277" s="162"/>
      <c r="C277" s="162"/>
      <c r="D277" s="1"/>
      <c r="E277" s="162"/>
      <c r="F277" s="11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4"/>
      <c r="V277" s="164"/>
    </row>
    <row r="278" ht="12.75" customHeight="1">
      <c r="A278" s="162"/>
      <c r="B278" s="162"/>
      <c r="C278" s="162"/>
      <c r="D278" s="1"/>
      <c r="E278" s="162"/>
      <c r="F278" s="11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4"/>
      <c r="V278" s="164"/>
    </row>
    <row r="279" ht="12.75" customHeight="1">
      <c r="A279" s="162"/>
      <c r="B279" s="162"/>
      <c r="C279" s="162"/>
      <c r="D279" s="1"/>
      <c r="E279" s="162"/>
      <c r="F279" s="11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4"/>
      <c r="V279" s="164"/>
    </row>
    <row r="280" ht="12.75" customHeight="1">
      <c r="A280" s="162"/>
      <c r="B280" s="162"/>
      <c r="C280" s="162"/>
      <c r="D280" s="1"/>
      <c r="E280" s="162"/>
      <c r="F280" s="11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4"/>
      <c r="V280" s="164"/>
    </row>
    <row r="281" ht="12.75" customHeight="1">
      <c r="A281" s="162"/>
      <c r="B281" s="162"/>
      <c r="C281" s="162"/>
      <c r="D281" s="1"/>
      <c r="E281" s="162"/>
      <c r="F281" s="11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4"/>
      <c r="V281" s="164"/>
    </row>
    <row r="282" ht="12.75" customHeight="1">
      <c r="A282" s="162"/>
      <c r="B282" s="162"/>
      <c r="C282" s="162"/>
      <c r="D282" s="1"/>
      <c r="E282" s="162"/>
      <c r="F282" s="11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4"/>
      <c r="V282" s="164"/>
    </row>
    <row r="283" ht="12.75" customHeight="1">
      <c r="A283" s="162"/>
      <c r="B283" s="162"/>
      <c r="C283" s="162"/>
      <c r="D283" s="1"/>
      <c r="E283" s="162"/>
      <c r="F283" s="11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4"/>
      <c r="V283" s="164"/>
    </row>
    <row r="284" ht="12.75" customHeight="1">
      <c r="A284" s="162"/>
      <c r="B284" s="162"/>
      <c r="C284" s="162"/>
      <c r="D284" s="1"/>
      <c r="E284" s="162"/>
      <c r="F284" s="11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4"/>
      <c r="V284" s="164"/>
    </row>
    <row r="285" ht="12.75" customHeight="1">
      <c r="A285" s="162"/>
      <c r="B285" s="162"/>
      <c r="C285" s="162"/>
      <c r="D285" s="1"/>
      <c r="E285" s="162"/>
      <c r="F285" s="11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4"/>
      <c r="V285" s="164"/>
    </row>
    <row r="286" ht="12.75" customHeight="1">
      <c r="A286" s="162"/>
      <c r="B286" s="162"/>
      <c r="C286" s="162"/>
      <c r="D286" s="1"/>
      <c r="E286" s="162"/>
      <c r="F286" s="11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4"/>
      <c r="V286" s="164"/>
    </row>
    <row r="287" ht="12.75" customHeight="1">
      <c r="A287" s="162"/>
      <c r="B287" s="162"/>
      <c r="C287" s="162"/>
      <c r="D287" s="1"/>
      <c r="E287" s="162"/>
      <c r="F287" s="11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4"/>
      <c r="V287" s="164"/>
    </row>
    <row r="288" ht="12.75" customHeight="1">
      <c r="A288" s="162"/>
      <c r="B288" s="162"/>
      <c r="C288" s="162"/>
      <c r="D288" s="1"/>
      <c r="E288" s="162"/>
      <c r="F288" s="11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4"/>
      <c r="V288" s="164"/>
    </row>
    <row r="289" ht="12.75" customHeight="1">
      <c r="A289" s="162"/>
      <c r="B289" s="162"/>
      <c r="C289" s="162"/>
      <c r="D289" s="1"/>
      <c r="E289" s="162"/>
      <c r="F289" s="11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4"/>
      <c r="V289" s="164"/>
    </row>
    <row r="290" ht="12.75" customHeight="1">
      <c r="A290" s="162"/>
      <c r="B290" s="162"/>
      <c r="C290" s="162"/>
      <c r="D290" s="1"/>
      <c r="E290" s="162"/>
      <c r="F290" s="11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4"/>
      <c r="V290" s="164"/>
    </row>
    <row r="291" ht="12.75" customHeight="1">
      <c r="A291" s="162"/>
      <c r="B291" s="162"/>
      <c r="C291" s="162"/>
      <c r="D291" s="1"/>
      <c r="E291" s="162"/>
      <c r="F291" s="11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4"/>
      <c r="V291" s="164"/>
    </row>
    <row r="292" ht="12.75" customHeight="1">
      <c r="A292" s="162"/>
      <c r="B292" s="162"/>
      <c r="C292" s="162"/>
      <c r="D292" s="1"/>
      <c r="E292" s="162"/>
      <c r="F292" s="11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4"/>
      <c r="V292" s="164"/>
    </row>
    <row r="293" ht="12.75" customHeight="1">
      <c r="A293" s="162"/>
      <c r="B293" s="162"/>
      <c r="C293" s="162"/>
      <c r="D293" s="1"/>
      <c r="E293" s="162"/>
      <c r="F293" s="11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4"/>
      <c r="V293" s="164"/>
    </row>
    <row r="294" ht="12.75" customHeight="1">
      <c r="A294" s="162"/>
      <c r="B294" s="162"/>
      <c r="C294" s="162"/>
      <c r="D294" s="1"/>
      <c r="E294" s="162"/>
      <c r="F294" s="11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4"/>
      <c r="V294" s="164"/>
    </row>
    <row r="295" ht="12.75" customHeight="1">
      <c r="A295" s="162"/>
      <c r="B295" s="162"/>
      <c r="C295" s="162"/>
      <c r="D295" s="1"/>
      <c r="E295" s="162"/>
      <c r="F295" s="11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4"/>
      <c r="V295" s="164"/>
    </row>
    <row r="296" ht="12.75" customHeight="1">
      <c r="A296" s="162"/>
      <c r="B296" s="162"/>
      <c r="C296" s="162"/>
      <c r="D296" s="1"/>
      <c r="E296" s="162"/>
      <c r="F296" s="11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4"/>
      <c r="V296" s="164"/>
    </row>
    <row r="297" ht="12.75" customHeight="1">
      <c r="A297" s="162"/>
      <c r="B297" s="162"/>
      <c r="C297" s="162"/>
      <c r="D297" s="1"/>
      <c r="E297" s="162"/>
      <c r="F297" s="11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4"/>
      <c r="V297" s="164"/>
    </row>
    <row r="298" ht="12.75" customHeight="1">
      <c r="A298" s="162"/>
      <c r="B298" s="162"/>
      <c r="C298" s="162"/>
      <c r="D298" s="1"/>
      <c r="E298" s="162"/>
      <c r="F298" s="11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4"/>
      <c r="V298" s="164"/>
    </row>
    <row r="299" ht="12.75" customHeight="1">
      <c r="A299" s="162"/>
      <c r="B299" s="162"/>
      <c r="C299" s="162"/>
      <c r="D299" s="1"/>
      <c r="E299" s="162"/>
      <c r="F299" s="11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4"/>
      <c r="V299" s="164"/>
    </row>
    <row r="300" ht="12.75" customHeight="1">
      <c r="A300" s="162"/>
      <c r="B300" s="162"/>
      <c r="C300" s="162"/>
      <c r="D300" s="1"/>
      <c r="E300" s="162"/>
      <c r="F300" s="11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4"/>
      <c r="V300" s="164"/>
    </row>
    <row r="301" ht="12.75" customHeight="1">
      <c r="A301" s="162"/>
      <c r="B301" s="162"/>
      <c r="C301" s="162"/>
      <c r="D301" s="1"/>
      <c r="E301" s="162"/>
      <c r="F301" s="11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4"/>
      <c r="V301" s="164"/>
    </row>
    <row r="302" ht="12.75" customHeight="1">
      <c r="A302" s="162"/>
      <c r="B302" s="162"/>
      <c r="C302" s="162"/>
      <c r="D302" s="1"/>
      <c r="E302" s="162"/>
      <c r="F302" s="11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4"/>
      <c r="V302" s="164"/>
    </row>
    <row r="303" ht="12.75" customHeight="1">
      <c r="A303" s="162"/>
      <c r="B303" s="162"/>
      <c r="C303" s="162"/>
      <c r="D303" s="1"/>
      <c r="E303" s="162"/>
      <c r="F303" s="11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4"/>
      <c r="V303" s="164"/>
    </row>
    <row r="304" ht="12.75" customHeight="1">
      <c r="A304" s="162"/>
      <c r="B304" s="162"/>
      <c r="C304" s="162"/>
      <c r="D304" s="1"/>
      <c r="E304" s="162"/>
      <c r="F304" s="11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4"/>
      <c r="V304" s="164"/>
    </row>
    <row r="305" ht="12.75" customHeight="1">
      <c r="A305" s="162"/>
      <c r="B305" s="162"/>
      <c r="C305" s="162"/>
      <c r="D305" s="1"/>
      <c r="E305" s="162"/>
      <c r="F305" s="11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4"/>
      <c r="V305" s="164"/>
    </row>
    <row r="306" ht="12.75" customHeight="1">
      <c r="A306" s="162"/>
      <c r="B306" s="162"/>
      <c r="C306" s="162"/>
      <c r="D306" s="1"/>
      <c r="E306" s="162"/>
      <c r="F306" s="11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4"/>
      <c r="V306" s="164"/>
    </row>
    <row r="307" ht="12.75" customHeight="1">
      <c r="A307" s="162"/>
      <c r="B307" s="162"/>
      <c r="C307" s="162"/>
      <c r="D307" s="1"/>
      <c r="E307" s="162"/>
      <c r="F307" s="11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4"/>
      <c r="V307" s="164"/>
    </row>
    <row r="308" ht="12.75" customHeight="1">
      <c r="A308" s="162"/>
      <c r="B308" s="162"/>
      <c r="C308" s="162"/>
      <c r="D308" s="1"/>
      <c r="E308" s="162"/>
      <c r="F308" s="11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4"/>
      <c r="V308" s="164"/>
    </row>
    <row r="309" ht="12.75" customHeight="1">
      <c r="A309" s="162"/>
      <c r="B309" s="162"/>
      <c r="C309" s="162"/>
      <c r="D309" s="1"/>
      <c r="E309" s="162"/>
      <c r="F309" s="11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4"/>
      <c r="V309" s="164"/>
    </row>
    <row r="310" ht="12.75" customHeight="1">
      <c r="A310" s="162"/>
      <c r="B310" s="162"/>
      <c r="C310" s="162"/>
      <c r="D310" s="1"/>
      <c r="E310" s="162"/>
      <c r="F310" s="11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4"/>
      <c r="V310" s="164"/>
    </row>
    <row r="311" ht="12.75" customHeight="1">
      <c r="A311" s="162"/>
      <c r="B311" s="162"/>
      <c r="C311" s="162"/>
      <c r="D311" s="1"/>
      <c r="E311" s="162"/>
      <c r="F311" s="11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4"/>
      <c r="V311" s="164"/>
    </row>
    <row r="312" ht="12.75" customHeight="1">
      <c r="A312" s="162"/>
      <c r="B312" s="162"/>
      <c r="C312" s="162"/>
      <c r="D312" s="1"/>
      <c r="E312" s="162"/>
      <c r="F312" s="11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4"/>
      <c r="V312" s="164"/>
    </row>
    <row r="313" ht="12.75" customHeight="1">
      <c r="A313" s="162"/>
      <c r="B313" s="162"/>
      <c r="C313" s="162"/>
      <c r="D313" s="1"/>
      <c r="E313" s="162"/>
      <c r="F313" s="11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4"/>
      <c r="V313" s="164"/>
    </row>
    <row r="314" ht="12.75" customHeight="1">
      <c r="A314" s="162"/>
      <c r="B314" s="162"/>
      <c r="C314" s="162"/>
      <c r="D314" s="1"/>
      <c r="E314" s="162"/>
      <c r="F314" s="11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4"/>
      <c r="V314" s="164"/>
    </row>
    <row r="315" ht="12.75" customHeight="1">
      <c r="A315" s="162"/>
      <c r="B315" s="162"/>
      <c r="C315" s="162"/>
      <c r="D315" s="1"/>
      <c r="E315" s="162"/>
      <c r="F315" s="11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4"/>
      <c r="V315" s="164"/>
    </row>
    <row r="316" ht="12.75" customHeight="1">
      <c r="A316" s="162"/>
      <c r="B316" s="162"/>
      <c r="C316" s="162"/>
      <c r="D316" s="1"/>
      <c r="E316" s="162"/>
      <c r="F316" s="11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4"/>
      <c r="V316" s="164"/>
    </row>
    <row r="317" ht="12.75" customHeight="1">
      <c r="A317" s="162"/>
      <c r="B317" s="162"/>
      <c r="C317" s="162"/>
      <c r="D317" s="1"/>
      <c r="E317" s="162"/>
      <c r="F317" s="11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4"/>
      <c r="V317" s="164"/>
    </row>
    <row r="318" ht="12.75" customHeight="1">
      <c r="A318" s="162"/>
      <c r="B318" s="162"/>
      <c r="C318" s="162"/>
      <c r="D318" s="1"/>
      <c r="E318" s="162"/>
      <c r="F318" s="11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4"/>
      <c r="V318" s="164"/>
    </row>
    <row r="319" ht="12.75" customHeight="1">
      <c r="A319" s="162"/>
      <c r="B319" s="162"/>
      <c r="C319" s="162"/>
      <c r="D319" s="1"/>
      <c r="E319" s="162"/>
      <c r="F319" s="11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4"/>
      <c r="V319" s="164"/>
    </row>
    <row r="320" ht="12.75" customHeight="1">
      <c r="A320" s="162"/>
      <c r="B320" s="162"/>
      <c r="C320" s="162"/>
      <c r="D320" s="1"/>
      <c r="E320" s="162"/>
      <c r="F320" s="11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4"/>
      <c r="V320" s="164"/>
    </row>
    <row r="321" ht="12.75" customHeight="1">
      <c r="A321" s="162"/>
      <c r="B321" s="162"/>
      <c r="C321" s="162"/>
      <c r="D321" s="1"/>
      <c r="E321" s="162"/>
      <c r="F321" s="11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4"/>
      <c r="V321" s="164"/>
    </row>
    <row r="322" ht="12.75" customHeight="1">
      <c r="A322" s="162"/>
      <c r="B322" s="162"/>
      <c r="C322" s="162"/>
      <c r="D322" s="1"/>
      <c r="E322" s="162"/>
      <c r="F322" s="11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4"/>
      <c r="V322" s="164"/>
    </row>
    <row r="323" ht="12.75" customHeight="1">
      <c r="A323" s="162"/>
      <c r="B323" s="162"/>
      <c r="C323" s="162"/>
      <c r="D323" s="1"/>
      <c r="E323" s="162"/>
      <c r="F323" s="11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4"/>
      <c r="V323" s="164"/>
    </row>
    <row r="324" ht="12.75" customHeight="1">
      <c r="A324" s="162"/>
      <c r="B324" s="162"/>
      <c r="C324" s="162"/>
      <c r="D324" s="1"/>
      <c r="E324" s="162"/>
      <c r="F324" s="11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4"/>
      <c r="V324" s="164"/>
    </row>
    <row r="325" ht="12.75" customHeight="1">
      <c r="A325" s="162"/>
      <c r="B325" s="162"/>
      <c r="C325" s="162"/>
      <c r="D325" s="1"/>
      <c r="E325" s="162"/>
      <c r="F325" s="11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4"/>
      <c r="V325" s="164"/>
    </row>
    <row r="326" ht="12.75" customHeight="1">
      <c r="A326" s="162"/>
      <c r="B326" s="162"/>
      <c r="C326" s="162"/>
      <c r="D326" s="1"/>
      <c r="E326" s="162"/>
      <c r="F326" s="11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4"/>
      <c r="V326" s="164"/>
    </row>
    <row r="327" ht="12.75" customHeight="1">
      <c r="A327" s="162"/>
      <c r="B327" s="162"/>
      <c r="C327" s="162"/>
      <c r="D327" s="1"/>
      <c r="E327" s="162"/>
      <c r="F327" s="11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4"/>
      <c r="V327" s="164"/>
    </row>
    <row r="328" ht="12.75" customHeight="1">
      <c r="A328" s="162"/>
      <c r="B328" s="162"/>
      <c r="C328" s="162"/>
      <c r="D328" s="1"/>
      <c r="E328" s="162"/>
      <c r="F328" s="11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4"/>
      <c r="V328" s="164"/>
    </row>
    <row r="329" ht="12.75" customHeight="1">
      <c r="A329" s="162"/>
      <c r="B329" s="162"/>
      <c r="C329" s="162"/>
      <c r="D329" s="1"/>
      <c r="E329" s="162"/>
      <c r="F329" s="11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4"/>
      <c r="V329" s="164"/>
    </row>
    <row r="330" ht="12.75" customHeight="1">
      <c r="A330" s="162"/>
      <c r="B330" s="162"/>
      <c r="C330" s="162"/>
      <c r="D330" s="1"/>
      <c r="E330" s="162"/>
      <c r="F330" s="11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4"/>
      <c r="V330" s="164"/>
    </row>
    <row r="331" ht="12.75" customHeight="1">
      <c r="A331" s="162"/>
      <c r="B331" s="162"/>
      <c r="C331" s="162"/>
      <c r="D331" s="1"/>
      <c r="E331" s="162"/>
      <c r="F331" s="11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4"/>
      <c r="V331" s="164"/>
    </row>
    <row r="332" ht="12.75" customHeight="1">
      <c r="A332" s="162"/>
      <c r="B332" s="162"/>
      <c r="C332" s="162"/>
      <c r="D332" s="1"/>
      <c r="E332" s="162"/>
      <c r="F332" s="11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4"/>
      <c r="V332" s="164"/>
    </row>
    <row r="333" ht="12.75" customHeight="1">
      <c r="A333" s="162"/>
      <c r="B333" s="162"/>
      <c r="C333" s="162"/>
      <c r="D333" s="1"/>
      <c r="E333" s="162"/>
      <c r="F333" s="11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4"/>
      <c r="V333" s="164"/>
    </row>
    <row r="334" ht="12.75" customHeight="1">
      <c r="A334" s="162"/>
      <c r="B334" s="162"/>
      <c r="C334" s="162"/>
      <c r="D334" s="1"/>
      <c r="E334" s="162"/>
      <c r="F334" s="11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4"/>
      <c r="V334" s="164"/>
    </row>
    <row r="335" ht="12.75" customHeight="1">
      <c r="A335" s="162"/>
      <c r="B335" s="162"/>
      <c r="C335" s="162"/>
      <c r="D335" s="1"/>
      <c r="E335" s="162"/>
      <c r="F335" s="11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4"/>
      <c r="V335" s="164"/>
    </row>
    <row r="336" ht="12.75" customHeight="1">
      <c r="A336" s="162"/>
      <c r="B336" s="162"/>
      <c r="C336" s="162"/>
      <c r="D336" s="1"/>
      <c r="E336" s="162"/>
      <c r="F336" s="11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4"/>
      <c r="V336" s="164"/>
    </row>
    <row r="337" ht="12.75" customHeight="1">
      <c r="A337" s="162"/>
      <c r="B337" s="162"/>
      <c r="C337" s="162"/>
      <c r="D337" s="1"/>
      <c r="E337" s="162"/>
      <c r="F337" s="11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4"/>
      <c r="V337" s="164"/>
    </row>
    <row r="338" ht="12.75" customHeight="1">
      <c r="A338" s="162"/>
      <c r="B338" s="162"/>
      <c r="C338" s="162"/>
      <c r="D338" s="1"/>
      <c r="E338" s="162"/>
      <c r="F338" s="11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4"/>
      <c r="V338" s="164"/>
    </row>
    <row r="339" ht="12.75" customHeight="1">
      <c r="A339" s="162"/>
      <c r="B339" s="162"/>
      <c r="C339" s="162"/>
      <c r="D339" s="1"/>
      <c r="E339" s="162"/>
      <c r="F339" s="11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4"/>
      <c r="V339" s="164"/>
    </row>
    <row r="340" ht="12.75" customHeight="1">
      <c r="A340" s="162"/>
      <c r="B340" s="162"/>
      <c r="C340" s="162"/>
      <c r="D340" s="1"/>
      <c r="E340" s="162"/>
      <c r="F340" s="11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4"/>
      <c r="V340" s="164"/>
    </row>
    <row r="341" ht="12.75" customHeight="1">
      <c r="A341" s="162"/>
      <c r="B341" s="162"/>
      <c r="C341" s="162"/>
      <c r="D341" s="1"/>
      <c r="E341" s="162"/>
      <c r="F341" s="11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4"/>
      <c r="V341" s="164"/>
    </row>
    <row r="342" ht="12.75" customHeight="1">
      <c r="A342" s="162"/>
      <c r="B342" s="162"/>
      <c r="C342" s="162"/>
      <c r="D342" s="1"/>
      <c r="E342" s="162"/>
      <c r="F342" s="11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4"/>
      <c r="V342" s="164"/>
    </row>
    <row r="343" ht="12.75" customHeight="1">
      <c r="A343" s="162"/>
      <c r="B343" s="162"/>
      <c r="C343" s="162"/>
      <c r="D343" s="1"/>
      <c r="E343" s="162"/>
      <c r="F343" s="11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4"/>
      <c r="V343" s="164"/>
    </row>
    <row r="344" ht="12.75" customHeight="1">
      <c r="A344" s="162"/>
      <c r="B344" s="162"/>
      <c r="C344" s="162"/>
      <c r="D344" s="1"/>
      <c r="E344" s="162"/>
      <c r="F344" s="11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4"/>
      <c r="V344" s="164"/>
    </row>
    <row r="345" ht="12.75" customHeight="1">
      <c r="A345" s="162"/>
      <c r="B345" s="162"/>
      <c r="C345" s="162"/>
      <c r="D345" s="1"/>
      <c r="E345" s="162"/>
      <c r="F345" s="11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4"/>
      <c r="V345" s="164"/>
    </row>
    <row r="346" ht="12.75" customHeight="1">
      <c r="A346" s="162"/>
      <c r="B346" s="162"/>
      <c r="C346" s="162"/>
      <c r="D346" s="1"/>
      <c r="E346" s="162"/>
      <c r="F346" s="11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4"/>
      <c r="V346" s="164"/>
    </row>
    <row r="347" ht="12.75" customHeight="1">
      <c r="A347" s="162"/>
      <c r="B347" s="162"/>
      <c r="C347" s="162"/>
      <c r="D347" s="1"/>
      <c r="E347" s="162"/>
      <c r="F347" s="11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4"/>
      <c r="V347" s="164"/>
    </row>
    <row r="348" ht="12.75" customHeight="1">
      <c r="A348" s="162"/>
      <c r="B348" s="162"/>
      <c r="C348" s="162"/>
      <c r="D348" s="1"/>
      <c r="E348" s="162"/>
      <c r="F348" s="11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4"/>
      <c r="V348" s="164"/>
    </row>
    <row r="349" ht="12.75" customHeight="1">
      <c r="A349" s="162"/>
      <c r="B349" s="162"/>
      <c r="C349" s="162"/>
      <c r="D349" s="1"/>
      <c r="E349" s="162"/>
      <c r="F349" s="11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4"/>
      <c r="V349" s="164"/>
    </row>
    <row r="350" ht="12.75" customHeight="1">
      <c r="A350" s="162"/>
      <c r="B350" s="162"/>
      <c r="C350" s="162"/>
      <c r="D350" s="1"/>
      <c r="E350" s="162"/>
      <c r="F350" s="11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4"/>
      <c r="V350" s="164"/>
    </row>
    <row r="351" ht="12.75" customHeight="1">
      <c r="A351" s="162"/>
      <c r="B351" s="162"/>
      <c r="C351" s="162"/>
      <c r="D351" s="1"/>
      <c r="E351" s="162"/>
      <c r="F351" s="11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4"/>
      <c r="V351" s="164"/>
    </row>
    <row r="352" ht="12.75" customHeight="1">
      <c r="A352" s="162"/>
      <c r="B352" s="162"/>
      <c r="C352" s="162"/>
      <c r="D352" s="1"/>
      <c r="E352" s="162"/>
      <c r="F352" s="11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4"/>
      <c r="V352" s="164"/>
    </row>
    <row r="353" ht="12.75" customHeight="1">
      <c r="A353" s="162"/>
      <c r="B353" s="162"/>
      <c r="C353" s="162"/>
      <c r="D353" s="1"/>
      <c r="E353" s="162"/>
      <c r="F353" s="11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4"/>
      <c r="V353" s="164"/>
    </row>
    <row r="354" ht="12.75" customHeight="1">
      <c r="A354" s="162"/>
      <c r="B354" s="162"/>
      <c r="C354" s="162"/>
      <c r="D354" s="1"/>
      <c r="E354" s="162"/>
      <c r="F354" s="11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4"/>
      <c r="V354" s="164"/>
    </row>
    <row r="355" ht="12.75" customHeight="1">
      <c r="A355" s="162"/>
      <c r="B355" s="162"/>
      <c r="C355" s="162"/>
      <c r="D355" s="1"/>
      <c r="E355" s="162"/>
      <c r="F355" s="11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4"/>
      <c r="V355" s="164"/>
    </row>
    <row r="356" ht="12.75" customHeight="1">
      <c r="A356" s="162"/>
      <c r="B356" s="162"/>
      <c r="C356" s="162"/>
      <c r="D356" s="1"/>
      <c r="E356" s="162"/>
      <c r="F356" s="11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4"/>
      <c r="V356" s="164"/>
    </row>
    <row r="357" ht="12.75" customHeight="1">
      <c r="A357" s="162"/>
      <c r="B357" s="162"/>
      <c r="C357" s="162"/>
      <c r="D357" s="1"/>
      <c r="E357" s="162"/>
      <c r="F357" s="11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4"/>
      <c r="V357" s="164"/>
    </row>
    <row r="358" ht="12.75" customHeight="1">
      <c r="A358" s="162"/>
      <c r="B358" s="162"/>
      <c r="C358" s="162"/>
      <c r="D358" s="1"/>
      <c r="E358" s="162"/>
      <c r="F358" s="11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4"/>
      <c r="V358" s="164"/>
    </row>
    <row r="359" ht="12.75" customHeight="1">
      <c r="A359" s="162"/>
      <c r="B359" s="162"/>
      <c r="C359" s="162"/>
      <c r="D359" s="1"/>
      <c r="E359" s="162"/>
      <c r="F359" s="11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4"/>
      <c r="V359" s="164"/>
    </row>
    <row r="360" ht="12.75" customHeight="1">
      <c r="A360" s="162"/>
      <c r="B360" s="162"/>
      <c r="C360" s="162"/>
      <c r="D360" s="1"/>
      <c r="E360" s="162"/>
      <c r="F360" s="11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4"/>
      <c r="V360" s="164"/>
    </row>
    <row r="361" ht="12.75" customHeight="1">
      <c r="A361" s="162"/>
      <c r="B361" s="162"/>
      <c r="C361" s="162"/>
      <c r="D361" s="1"/>
      <c r="E361" s="162"/>
      <c r="F361" s="11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4"/>
      <c r="V361" s="164"/>
    </row>
    <row r="362" ht="12.75" customHeight="1">
      <c r="A362" s="162"/>
      <c r="B362" s="162"/>
      <c r="C362" s="162"/>
      <c r="D362" s="1"/>
      <c r="E362" s="162"/>
      <c r="F362" s="11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4"/>
      <c r="V362" s="164"/>
    </row>
    <row r="363" ht="12.75" customHeight="1">
      <c r="A363" s="162"/>
      <c r="B363" s="162"/>
      <c r="C363" s="162"/>
      <c r="D363" s="1"/>
      <c r="E363" s="162"/>
      <c r="F363" s="11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4"/>
      <c r="V363" s="164"/>
    </row>
    <row r="364" ht="12.75" customHeight="1">
      <c r="A364" s="162"/>
      <c r="B364" s="162"/>
      <c r="C364" s="162"/>
      <c r="D364" s="1"/>
      <c r="E364" s="162"/>
      <c r="F364" s="11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4"/>
      <c r="V364" s="164"/>
    </row>
    <row r="365" ht="12.75" customHeight="1">
      <c r="A365" s="162"/>
      <c r="B365" s="162"/>
      <c r="C365" s="162"/>
      <c r="D365" s="1"/>
      <c r="E365" s="162"/>
      <c r="F365" s="11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4"/>
      <c r="V365" s="164"/>
    </row>
    <row r="366" ht="12.75" customHeight="1">
      <c r="A366" s="162"/>
      <c r="B366" s="162"/>
      <c r="C366" s="162"/>
      <c r="D366" s="1"/>
      <c r="E366" s="162"/>
      <c r="F366" s="11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4"/>
      <c r="V366" s="164"/>
    </row>
    <row r="367" ht="12.75" customHeight="1">
      <c r="A367" s="162"/>
      <c r="B367" s="162"/>
      <c r="C367" s="162"/>
      <c r="D367" s="1"/>
      <c r="E367" s="162"/>
      <c r="F367" s="11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4"/>
      <c r="V367" s="164"/>
    </row>
    <row r="368" ht="12.75" customHeight="1">
      <c r="A368" s="162"/>
      <c r="B368" s="162"/>
      <c r="C368" s="162"/>
      <c r="D368" s="1"/>
      <c r="E368" s="162"/>
      <c r="F368" s="11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4"/>
      <c r="V368" s="164"/>
    </row>
    <row r="369" ht="12.75" customHeight="1">
      <c r="A369" s="162"/>
      <c r="B369" s="162"/>
      <c r="C369" s="162"/>
      <c r="D369" s="1"/>
      <c r="E369" s="162"/>
      <c r="F369" s="11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4"/>
      <c r="V369" s="164"/>
    </row>
    <row r="370" ht="12.75" customHeight="1">
      <c r="A370" s="162"/>
      <c r="B370" s="162"/>
      <c r="C370" s="162"/>
      <c r="D370" s="1"/>
      <c r="E370" s="162"/>
      <c r="F370" s="11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4"/>
      <c r="V370" s="164"/>
    </row>
    <row r="371" ht="12.75" customHeight="1">
      <c r="A371" s="162"/>
      <c r="B371" s="162"/>
      <c r="C371" s="162"/>
      <c r="D371" s="1"/>
      <c r="E371" s="162"/>
      <c r="F371" s="11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4"/>
      <c r="V371" s="164"/>
    </row>
    <row r="372" ht="12.75" customHeight="1">
      <c r="A372" s="162"/>
      <c r="B372" s="162"/>
      <c r="C372" s="162"/>
      <c r="D372" s="1"/>
      <c r="E372" s="162"/>
      <c r="F372" s="11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4"/>
      <c r="V372" s="164"/>
    </row>
    <row r="373" ht="12.75" customHeight="1">
      <c r="A373" s="162"/>
      <c r="B373" s="162"/>
      <c r="C373" s="162"/>
      <c r="D373" s="1"/>
      <c r="E373" s="162"/>
      <c r="F373" s="11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4"/>
      <c r="V373" s="164"/>
    </row>
    <row r="374" ht="12.75" customHeight="1">
      <c r="A374" s="162"/>
      <c r="B374" s="162"/>
      <c r="C374" s="162"/>
      <c r="D374" s="1"/>
      <c r="E374" s="162"/>
      <c r="F374" s="11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4"/>
      <c r="V374" s="164"/>
    </row>
    <row r="375" ht="12.75" customHeight="1">
      <c r="A375" s="162"/>
      <c r="B375" s="162"/>
      <c r="C375" s="162"/>
      <c r="D375" s="1"/>
      <c r="E375" s="162"/>
      <c r="F375" s="11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4"/>
      <c r="V375" s="164"/>
    </row>
    <row r="376" ht="12.75" customHeight="1">
      <c r="A376" s="162"/>
      <c r="B376" s="162"/>
      <c r="C376" s="162"/>
      <c r="D376" s="1"/>
      <c r="E376" s="162"/>
      <c r="F376" s="11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4"/>
      <c r="V376" s="164"/>
    </row>
    <row r="377" ht="12.75" customHeight="1">
      <c r="A377" s="162"/>
      <c r="B377" s="162"/>
      <c r="C377" s="162"/>
      <c r="D377" s="1"/>
      <c r="E377" s="162"/>
      <c r="F377" s="11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4"/>
      <c r="V377" s="164"/>
    </row>
    <row r="378" ht="12.75" customHeight="1">
      <c r="A378" s="162"/>
      <c r="B378" s="162"/>
      <c r="C378" s="162"/>
      <c r="D378" s="1"/>
      <c r="E378" s="162"/>
      <c r="F378" s="11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4"/>
      <c r="V378" s="164"/>
    </row>
    <row r="379" ht="12.75" customHeight="1">
      <c r="A379" s="162"/>
      <c r="B379" s="162"/>
      <c r="C379" s="162"/>
      <c r="D379" s="1"/>
      <c r="E379" s="162"/>
      <c r="F379" s="11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4"/>
      <c r="V379" s="164"/>
    </row>
    <row r="380" ht="12.75" customHeight="1">
      <c r="A380" s="162"/>
      <c r="B380" s="162"/>
      <c r="C380" s="162"/>
      <c r="D380" s="1"/>
      <c r="E380" s="162"/>
      <c r="F380" s="11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4"/>
      <c r="V380" s="164"/>
    </row>
    <row r="381" ht="12.75" customHeight="1">
      <c r="A381" s="162"/>
      <c r="B381" s="162"/>
      <c r="C381" s="162"/>
      <c r="D381" s="1"/>
      <c r="E381" s="162"/>
      <c r="F381" s="11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4"/>
      <c r="V381" s="164"/>
    </row>
    <row r="382" ht="12.75" customHeight="1">
      <c r="A382" s="162"/>
      <c r="B382" s="162"/>
      <c r="C382" s="162"/>
      <c r="D382" s="1"/>
      <c r="E382" s="162"/>
      <c r="F382" s="11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4"/>
      <c r="V382" s="164"/>
    </row>
    <row r="383" ht="12.75" customHeight="1">
      <c r="A383" s="162"/>
      <c r="B383" s="162"/>
      <c r="C383" s="162"/>
      <c r="D383" s="1"/>
      <c r="E383" s="162"/>
      <c r="F383" s="11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4"/>
      <c r="V383" s="164"/>
    </row>
    <row r="384" ht="12.75" customHeight="1">
      <c r="A384" s="162"/>
      <c r="B384" s="162"/>
      <c r="C384" s="162"/>
      <c r="D384" s="1"/>
      <c r="E384" s="162"/>
      <c r="F384" s="11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4"/>
      <c r="V384" s="164"/>
    </row>
    <row r="385" ht="12.75" customHeight="1">
      <c r="A385" s="162"/>
      <c r="B385" s="162"/>
      <c r="C385" s="162"/>
      <c r="D385" s="1"/>
      <c r="E385" s="162"/>
      <c r="F385" s="11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4"/>
      <c r="V385" s="164"/>
    </row>
    <row r="386" ht="12.75" customHeight="1">
      <c r="A386" s="162"/>
      <c r="B386" s="162"/>
      <c r="C386" s="162"/>
      <c r="D386" s="1"/>
      <c r="E386" s="162"/>
      <c r="F386" s="11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4"/>
      <c r="V386" s="164"/>
    </row>
    <row r="387" ht="12.75" customHeight="1">
      <c r="A387" s="162"/>
      <c r="B387" s="162"/>
      <c r="C387" s="162"/>
      <c r="D387" s="1"/>
      <c r="E387" s="162"/>
      <c r="F387" s="11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4"/>
      <c r="V387" s="164"/>
    </row>
    <row r="388" ht="12.75" customHeight="1">
      <c r="A388" s="162"/>
      <c r="B388" s="162"/>
      <c r="C388" s="162"/>
      <c r="D388" s="1"/>
      <c r="E388" s="162"/>
      <c r="F388" s="11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4"/>
      <c r="V388" s="164"/>
    </row>
    <row r="389" ht="12.75" customHeight="1">
      <c r="A389" s="162"/>
      <c r="B389" s="162"/>
      <c r="C389" s="162"/>
      <c r="D389" s="1"/>
      <c r="E389" s="162"/>
      <c r="F389" s="11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4"/>
      <c r="V389" s="164"/>
    </row>
    <row r="390" ht="12.75" customHeight="1">
      <c r="A390" s="162"/>
      <c r="B390" s="162"/>
      <c r="C390" s="162"/>
      <c r="D390" s="1"/>
      <c r="E390" s="162"/>
      <c r="F390" s="11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4"/>
      <c r="V390" s="164"/>
    </row>
    <row r="391" ht="12.75" customHeight="1">
      <c r="A391" s="162"/>
      <c r="B391" s="162"/>
      <c r="C391" s="162"/>
      <c r="D391" s="1"/>
      <c r="E391" s="162"/>
      <c r="F391" s="11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4"/>
      <c r="V391" s="164"/>
    </row>
    <row r="392" ht="12.75" customHeight="1">
      <c r="A392" s="162"/>
      <c r="B392" s="162"/>
      <c r="C392" s="162"/>
      <c r="D392" s="1"/>
      <c r="E392" s="162"/>
      <c r="F392" s="11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4"/>
      <c r="V392" s="164"/>
    </row>
    <row r="393" ht="12.75" customHeight="1">
      <c r="A393" s="162"/>
      <c r="B393" s="162"/>
      <c r="C393" s="162"/>
      <c r="D393" s="1"/>
      <c r="E393" s="162"/>
      <c r="F393" s="11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4"/>
      <c r="V393" s="164"/>
    </row>
    <row r="394" ht="12.75" customHeight="1">
      <c r="A394" s="162"/>
      <c r="B394" s="162"/>
      <c r="C394" s="162"/>
      <c r="D394" s="1"/>
      <c r="E394" s="162"/>
      <c r="F394" s="11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4"/>
      <c r="V394" s="164"/>
    </row>
    <row r="395" ht="12.75" customHeight="1">
      <c r="A395" s="162"/>
      <c r="B395" s="162"/>
      <c r="C395" s="162"/>
      <c r="D395" s="1"/>
      <c r="E395" s="162"/>
      <c r="F395" s="11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4"/>
      <c r="V395" s="164"/>
    </row>
    <row r="396" ht="12.75" customHeight="1">
      <c r="A396" s="162"/>
      <c r="B396" s="162"/>
      <c r="C396" s="162"/>
      <c r="D396" s="1"/>
      <c r="E396" s="162"/>
      <c r="F396" s="11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4"/>
      <c r="V396" s="164"/>
    </row>
    <row r="397" ht="12.75" customHeight="1">
      <c r="A397" s="162"/>
      <c r="B397" s="162"/>
      <c r="C397" s="162"/>
      <c r="D397" s="1"/>
      <c r="E397" s="162"/>
      <c r="F397" s="11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4"/>
      <c r="V397" s="164"/>
    </row>
    <row r="398" ht="12.75" customHeight="1">
      <c r="A398" s="162"/>
      <c r="B398" s="162"/>
      <c r="C398" s="162"/>
      <c r="D398" s="1"/>
      <c r="E398" s="162"/>
      <c r="F398" s="11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4"/>
      <c r="V398" s="164"/>
    </row>
    <row r="399" ht="12.75" customHeight="1">
      <c r="A399" s="162"/>
      <c r="B399" s="162"/>
      <c r="C399" s="162"/>
      <c r="D399" s="1"/>
      <c r="E399" s="162"/>
      <c r="F399" s="11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4"/>
      <c r="V399" s="164"/>
    </row>
    <row r="400" ht="12.75" customHeight="1">
      <c r="A400" s="162"/>
      <c r="B400" s="162"/>
      <c r="C400" s="162"/>
      <c r="D400" s="1"/>
      <c r="E400" s="162"/>
      <c r="F400" s="11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4"/>
      <c r="V400" s="164"/>
    </row>
    <row r="401" ht="12.75" customHeight="1">
      <c r="A401" s="162"/>
      <c r="B401" s="162"/>
      <c r="C401" s="162"/>
      <c r="D401" s="1"/>
      <c r="E401" s="162"/>
      <c r="F401" s="11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4"/>
      <c r="V401" s="164"/>
    </row>
    <row r="402" ht="12.75" customHeight="1">
      <c r="A402" s="162"/>
      <c r="B402" s="162"/>
      <c r="C402" s="162"/>
      <c r="D402" s="1"/>
      <c r="E402" s="162"/>
      <c r="F402" s="11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4"/>
      <c r="V402" s="164"/>
    </row>
    <row r="403" ht="12.75" customHeight="1">
      <c r="A403" s="162"/>
      <c r="B403" s="162"/>
      <c r="C403" s="162"/>
      <c r="D403" s="1"/>
      <c r="E403" s="162"/>
      <c r="F403" s="11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4"/>
      <c r="V403" s="164"/>
    </row>
    <row r="404" ht="12.75" customHeight="1">
      <c r="A404" s="162"/>
      <c r="B404" s="162"/>
      <c r="C404" s="162"/>
      <c r="D404" s="1"/>
      <c r="E404" s="162"/>
      <c r="F404" s="11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4"/>
      <c r="V404" s="164"/>
    </row>
    <row r="405" ht="12.75" customHeight="1">
      <c r="A405" s="162"/>
      <c r="B405" s="162"/>
      <c r="C405" s="162"/>
      <c r="D405" s="1"/>
      <c r="E405" s="162"/>
      <c r="F405" s="11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4"/>
      <c r="V405" s="164"/>
    </row>
    <row r="406" ht="12.75" customHeight="1">
      <c r="A406" s="162"/>
      <c r="B406" s="162"/>
      <c r="C406" s="162"/>
      <c r="D406" s="1"/>
      <c r="E406" s="162"/>
      <c r="F406" s="11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4"/>
      <c r="V406" s="164"/>
    </row>
    <row r="407" ht="12.75" customHeight="1">
      <c r="A407" s="162"/>
      <c r="B407" s="162"/>
      <c r="C407" s="162"/>
      <c r="D407" s="1"/>
      <c r="E407" s="162"/>
      <c r="F407" s="11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4"/>
      <c r="V407" s="164"/>
    </row>
    <row r="408" ht="12.75" customHeight="1">
      <c r="A408" s="162"/>
      <c r="B408" s="162"/>
      <c r="C408" s="162"/>
      <c r="D408" s="1"/>
      <c r="E408" s="162"/>
      <c r="F408" s="11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4"/>
      <c r="V408" s="164"/>
    </row>
    <row r="409" ht="12.75" customHeight="1">
      <c r="A409" s="162"/>
      <c r="B409" s="162"/>
      <c r="C409" s="162"/>
      <c r="D409" s="1"/>
      <c r="E409" s="162"/>
      <c r="F409" s="11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4"/>
      <c r="V409" s="164"/>
    </row>
    <row r="410" ht="12.75" customHeight="1">
      <c r="A410" s="162"/>
      <c r="B410" s="162"/>
      <c r="C410" s="162"/>
      <c r="D410" s="1"/>
      <c r="E410" s="162"/>
      <c r="F410" s="11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4"/>
      <c r="V410" s="164"/>
    </row>
    <row r="411" ht="12.75" customHeight="1">
      <c r="A411" s="162"/>
      <c r="B411" s="162"/>
      <c r="C411" s="162"/>
      <c r="D411" s="1"/>
      <c r="E411" s="162"/>
      <c r="F411" s="11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4"/>
      <c r="V411" s="164"/>
    </row>
    <row r="412" ht="12.75" customHeight="1">
      <c r="A412" s="162"/>
      <c r="B412" s="162"/>
      <c r="C412" s="162"/>
      <c r="D412" s="1"/>
      <c r="E412" s="162"/>
      <c r="F412" s="11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4"/>
      <c r="V412" s="164"/>
    </row>
    <row r="413" ht="12.75" customHeight="1">
      <c r="A413" s="162"/>
      <c r="B413" s="162"/>
      <c r="C413" s="162"/>
      <c r="D413" s="1"/>
      <c r="E413" s="162"/>
      <c r="F413" s="11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4"/>
      <c r="V413" s="164"/>
    </row>
    <row r="414" ht="12.75" customHeight="1">
      <c r="A414" s="162"/>
      <c r="B414" s="162"/>
      <c r="C414" s="162"/>
      <c r="D414" s="1"/>
      <c r="E414" s="162"/>
      <c r="F414" s="11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4"/>
      <c r="V414" s="164"/>
    </row>
    <row r="415" ht="12.75" customHeight="1">
      <c r="A415" s="162"/>
      <c r="B415" s="162"/>
      <c r="C415" s="162"/>
      <c r="D415" s="1"/>
      <c r="E415" s="162"/>
      <c r="F415" s="11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4"/>
      <c r="V415" s="164"/>
    </row>
    <row r="416" ht="12.75" customHeight="1">
      <c r="A416" s="162"/>
      <c r="B416" s="162"/>
      <c r="C416" s="162"/>
      <c r="D416" s="1"/>
      <c r="E416" s="162"/>
      <c r="F416" s="11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4"/>
      <c r="V416" s="164"/>
    </row>
    <row r="417" ht="12.75" customHeight="1">
      <c r="A417" s="162"/>
      <c r="B417" s="162"/>
      <c r="C417" s="162"/>
      <c r="D417" s="1"/>
      <c r="E417" s="162"/>
      <c r="F417" s="11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4"/>
      <c r="V417" s="164"/>
    </row>
    <row r="418" ht="12.75" customHeight="1">
      <c r="A418" s="162"/>
      <c r="B418" s="162"/>
      <c r="C418" s="162"/>
      <c r="D418" s="1"/>
      <c r="E418" s="162"/>
      <c r="F418" s="11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4"/>
      <c r="V418" s="164"/>
    </row>
    <row r="419" ht="12.75" customHeight="1">
      <c r="A419" s="162"/>
      <c r="B419" s="162"/>
      <c r="C419" s="162"/>
      <c r="D419" s="1"/>
      <c r="E419" s="162"/>
      <c r="F419" s="11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4"/>
      <c r="V419" s="164"/>
    </row>
    <row r="420" ht="12.75" customHeight="1">
      <c r="A420" s="162"/>
      <c r="B420" s="162"/>
      <c r="C420" s="162"/>
      <c r="D420" s="1"/>
      <c r="E420" s="162"/>
      <c r="F420" s="11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4"/>
      <c r="V420" s="164"/>
    </row>
    <row r="421" ht="12.75" customHeight="1">
      <c r="A421" s="162"/>
      <c r="B421" s="162"/>
      <c r="C421" s="162"/>
      <c r="D421" s="1"/>
      <c r="E421" s="162"/>
      <c r="F421" s="11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4"/>
      <c r="V421" s="164"/>
    </row>
    <row r="422" ht="12.75" customHeight="1">
      <c r="A422" s="162"/>
      <c r="B422" s="162"/>
      <c r="C422" s="162"/>
      <c r="D422" s="1"/>
      <c r="E422" s="162"/>
      <c r="F422" s="11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4"/>
      <c r="V422" s="164"/>
    </row>
    <row r="423" ht="12.75" customHeight="1">
      <c r="A423" s="162"/>
      <c r="B423" s="162"/>
      <c r="C423" s="162"/>
      <c r="D423" s="1"/>
      <c r="E423" s="162"/>
      <c r="F423" s="11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4"/>
      <c r="V423" s="164"/>
    </row>
    <row r="424" ht="12.75" customHeight="1">
      <c r="A424" s="162"/>
      <c r="B424" s="162"/>
      <c r="C424" s="162"/>
      <c r="D424" s="1"/>
      <c r="E424" s="162"/>
      <c r="F424" s="11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4"/>
      <c r="V424" s="164"/>
    </row>
    <row r="425" ht="12.75" customHeight="1">
      <c r="A425" s="162"/>
      <c r="B425" s="162"/>
      <c r="C425" s="162"/>
      <c r="D425" s="1"/>
      <c r="E425" s="162"/>
      <c r="F425" s="11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4"/>
      <c r="V425" s="164"/>
    </row>
    <row r="426" ht="12.75" customHeight="1">
      <c r="A426" s="162"/>
      <c r="B426" s="162"/>
      <c r="C426" s="162"/>
      <c r="D426" s="1"/>
      <c r="E426" s="162"/>
      <c r="F426" s="11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4"/>
      <c r="V426" s="164"/>
    </row>
    <row r="427" ht="12.75" customHeight="1">
      <c r="A427" s="162"/>
      <c r="B427" s="162"/>
      <c r="C427" s="162"/>
      <c r="D427" s="1"/>
      <c r="E427" s="162"/>
      <c r="F427" s="11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4"/>
      <c r="V427" s="164"/>
    </row>
    <row r="428" ht="12.75" customHeight="1">
      <c r="A428" s="162"/>
      <c r="B428" s="162"/>
      <c r="C428" s="162"/>
      <c r="D428" s="1"/>
      <c r="E428" s="162"/>
      <c r="F428" s="11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4"/>
      <c r="V428" s="164"/>
    </row>
    <row r="429" ht="12.75" customHeight="1">
      <c r="A429" s="162"/>
      <c r="B429" s="162"/>
      <c r="C429" s="162"/>
      <c r="D429" s="1"/>
      <c r="E429" s="162"/>
      <c r="F429" s="11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4"/>
      <c r="V429" s="164"/>
    </row>
    <row r="430" ht="12.75" customHeight="1">
      <c r="A430" s="162"/>
      <c r="B430" s="162"/>
      <c r="C430" s="162"/>
      <c r="D430" s="1"/>
      <c r="E430" s="162"/>
      <c r="F430" s="11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4"/>
      <c r="V430" s="164"/>
    </row>
    <row r="431" ht="12.75" customHeight="1">
      <c r="A431" s="162"/>
      <c r="B431" s="162"/>
      <c r="C431" s="162"/>
      <c r="D431" s="1"/>
      <c r="E431" s="162"/>
      <c r="F431" s="11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4"/>
      <c r="V431" s="164"/>
    </row>
    <row r="432" ht="12.75" customHeight="1">
      <c r="A432" s="162"/>
      <c r="B432" s="162"/>
      <c r="C432" s="162"/>
      <c r="D432" s="1"/>
      <c r="E432" s="162"/>
      <c r="F432" s="11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4"/>
      <c r="V432" s="164"/>
    </row>
    <row r="433" ht="12.75" customHeight="1">
      <c r="A433" s="162"/>
      <c r="B433" s="162"/>
      <c r="C433" s="162"/>
      <c r="D433" s="1"/>
      <c r="E433" s="162"/>
      <c r="F433" s="11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4"/>
      <c r="V433" s="164"/>
    </row>
    <row r="434" ht="12.75" customHeight="1">
      <c r="A434" s="162"/>
      <c r="B434" s="162"/>
      <c r="C434" s="162"/>
      <c r="D434" s="1"/>
      <c r="E434" s="162"/>
      <c r="F434" s="11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4"/>
      <c r="V434" s="164"/>
    </row>
    <row r="435" ht="12.75" customHeight="1">
      <c r="A435" s="162"/>
      <c r="B435" s="162"/>
      <c r="C435" s="162"/>
      <c r="D435" s="1"/>
      <c r="E435" s="162"/>
      <c r="F435" s="11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4"/>
      <c r="V435" s="164"/>
    </row>
    <row r="436" ht="12.75" customHeight="1">
      <c r="A436" s="162"/>
      <c r="B436" s="162"/>
      <c r="C436" s="162"/>
      <c r="D436" s="1"/>
      <c r="E436" s="162"/>
      <c r="F436" s="11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4"/>
      <c r="V436" s="164"/>
    </row>
    <row r="437" ht="12.75" customHeight="1">
      <c r="A437" s="162"/>
      <c r="B437" s="162"/>
      <c r="C437" s="162"/>
      <c r="D437" s="1"/>
      <c r="E437" s="162"/>
      <c r="F437" s="11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4"/>
      <c r="V437" s="164"/>
    </row>
    <row r="438" ht="12.75" customHeight="1">
      <c r="A438" s="162"/>
      <c r="B438" s="162"/>
      <c r="C438" s="162"/>
      <c r="D438" s="1"/>
      <c r="E438" s="162"/>
      <c r="F438" s="11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4"/>
      <c r="V438" s="164"/>
    </row>
    <row r="439" ht="12.75" customHeight="1">
      <c r="A439" s="162"/>
      <c r="B439" s="162"/>
      <c r="C439" s="162"/>
      <c r="D439" s="1"/>
      <c r="E439" s="162"/>
      <c r="F439" s="11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4"/>
      <c r="V439" s="164"/>
    </row>
    <row r="440" ht="12.75" customHeight="1">
      <c r="A440" s="162"/>
      <c r="B440" s="162"/>
      <c r="C440" s="162"/>
      <c r="D440" s="1"/>
      <c r="E440" s="162"/>
      <c r="F440" s="11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4"/>
      <c r="V440" s="164"/>
    </row>
    <row r="441" ht="12.75" customHeight="1">
      <c r="A441" s="162"/>
      <c r="B441" s="162"/>
      <c r="C441" s="162"/>
      <c r="D441" s="1"/>
      <c r="E441" s="162"/>
      <c r="F441" s="11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4"/>
      <c r="V441" s="164"/>
    </row>
    <row r="442" ht="12.75" customHeight="1">
      <c r="A442" s="162"/>
      <c r="B442" s="162"/>
      <c r="C442" s="162"/>
      <c r="D442" s="1"/>
      <c r="E442" s="162"/>
      <c r="F442" s="11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4"/>
      <c r="V442" s="164"/>
    </row>
    <row r="443" ht="12.75" customHeight="1">
      <c r="A443" s="162"/>
      <c r="B443" s="162"/>
      <c r="C443" s="162"/>
      <c r="D443" s="1"/>
      <c r="E443" s="162"/>
      <c r="F443" s="11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4"/>
      <c r="V443" s="164"/>
    </row>
    <row r="444" ht="12.75" customHeight="1">
      <c r="A444" s="162"/>
      <c r="B444" s="162"/>
      <c r="C444" s="162"/>
      <c r="D444" s="1"/>
      <c r="E444" s="162"/>
      <c r="F444" s="11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4"/>
      <c r="V444" s="164"/>
    </row>
    <row r="445" ht="12.75" customHeight="1">
      <c r="A445" s="162"/>
      <c r="B445" s="162"/>
      <c r="C445" s="162"/>
      <c r="D445" s="1"/>
      <c r="E445" s="162"/>
      <c r="F445" s="11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4"/>
      <c r="V445" s="164"/>
    </row>
    <row r="446" ht="12.75" customHeight="1">
      <c r="A446" s="162"/>
      <c r="B446" s="162"/>
      <c r="C446" s="162"/>
      <c r="D446" s="1"/>
      <c r="E446" s="162"/>
      <c r="F446" s="11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4"/>
      <c r="V446" s="164"/>
    </row>
    <row r="447" ht="12.75" customHeight="1">
      <c r="A447" s="162"/>
      <c r="B447" s="162"/>
      <c r="C447" s="162"/>
      <c r="D447" s="1"/>
      <c r="E447" s="162"/>
      <c r="F447" s="11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4"/>
      <c r="V447" s="164"/>
    </row>
    <row r="448" ht="12.75" customHeight="1">
      <c r="A448" s="162"/>
      <c r="B448" s="162"/>
      <c r="C448" s="162"/>
      <c r="D448" s="1"/>
      <c r="E448" s="162"/>
      <c r="F448" s="11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4"/>
      <c r="V448" s="164"/>
    </row>
    <row r="449" ht="12.75" customHeight="1">
      <c r="A449" s="162"/>
      <c r="B449" s="162"/>
      <c r="C449" s="162"/>
      <c r="D449" s="1"/>
      <c r="E449" s="162"/>
      <c r="F449" s="11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4"/>
      <c r="V449" s="164"/>
    </row>
    <row r="450" ht="12.75" customHeight="1">
      <c r="A450" s="162"/>
      <c r="B450" s="162"/>
      <c r="C450" s="162"/>
      <c r="D450" s="1"/>
      <c r="E450" s="162"/>
      <c r="F450" s="11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4"/>
      <c r="V450" s="164"/>
    </row>
    <row r="451" ht="12.75" customHeight="1">
      <c r="A451" s="162"/>
      <c r="B451" s="162"/>
      <c r="C451" s="162"/>
      <c r="D451" s="1"/>
      <c r="E451" s="162"/>
      <c r="F451" s="11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4"/>
      <c r="V451" s="164"/>
    </row>
    <row r="452" ht="12.75" customHeight="1">
      <c r="A452" s="162"/>
      <c r="B452" s="162"/>
      <c r="C452" s="162"/>
      <c r="D452" s="1"/>
      <c r="E452" s="162"/>
      <c r="F452" s="11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4"/>
      <c r="V452" s="164"/>
    </row>
    <row r="453" ht="12.75" customHeight="1">
      <c r="A453" s="162"/>
      <c r="B453" s="162"/>
      <c r="C453" s="162"/>
      <c r="D453" s="1"/>
      <c r="E453" s="162"/>
      <c r="F453" s="11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4"/>
      <c r="V453" s="164"/>
    </row>
    <row r="454" ht="12.75" customHeight="1">
      <c r="A454" s="162"/>
      <c r="B454" s="162"/>
      <c r="C454" s="162"/>
      <c r="D454" s="1"/>
      <c r="E454" s="162"/>
      <c r="F454" s="11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4"/>
      <c r="V454" s="164"/>
    </row>
    <row r="455" ht="12.75" customHeight="1">
      <c r="A455" s="162"/>
      <c r="B455" s="162"/>
      <c r="C455" s="162"/>
      <c r="D455" s="1"/>
      <c r="E455" s="162"/>
      <c r="F455" s="11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4"/>
      <c r="V455" s="164"/>
    </row>
    <row r="456" ht="12.75" customHeight="1">
      <c r="A456" s="162"/>
      <c r="B456" s="162"/>
      <c r="C456" s="162"/>
      <c r="D456" s="1"/>
      <c r="E456" s="162"/>
      <c r="F456" s="11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4"/>
      <c r="V456" s="164"/>
    </row>
    <row r="457" ht="12.75" customHeight="1">
      <c r="A457" s="162"/>
      <c r="B457" s="162"/>
      <c r="C457" s="162"/>
      <c r="D457" s="1"/>
      <c r="E457" s="162"/>
      <c r="F457" s="11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4"/>
      <c r="V457" s="164"/>
    </row>
    <row r="458" ht="12.75" customHeight="1">
      <c r="A458" s="162"/>
      <c r="B458" s="162"/>
      <c r="C458" s="162"/>
      <c r="D458" s="1"/>
      <c r="E458" s="162"/>
      <c r="F458" s="11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4"/>
      <c r="V458" s="164"/>
    </row>
    <row r="459" ht="12.75" customHeight="1">
      <c r="A459" s="162"/>
      <c r="B459" s="162"/>
      <c r="C459" s="162"/>
      <c r="D459" s="1"/>
      <c r="E459" s="162"/>
      <c r="F459" s="11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4"/>
      <c r="V459" s="164"/>
    </row>
    <row r="460" ht="12.75" customHeight="1">
      <c r="A460" s="162"/>
      <c r="B460" s="162"/>
      <c r="C460" s="162"/>
      <c r="D460" s="1"/>
      <c r="E460" s="162"/>
      <c r="F460" s="11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4"/>
      <c r="V460" s="164"/>
    </row>
    <row r="461" ht="12.75" customHeight="1">
      <c r="A461" s="162"/>
      <c r="B461" s="162"/>
      <c r="C461" s="162"/>
      <c r="D461" s="1"/>
      <c r="E461" s="162"/>
      <c r="F461" s="11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4"/>
      <c r="V461" s="164"/>
    </row>
    <row r="462" ht="12.75" customHeight="1">
      <c r="A462" s="162"/>
      <c r="B462" s="162"/>
      <c r="C462" s="162"/>
      <c r="D462" s="1"/>
      <c r="E462" s="162"/>
      <c r="F462" s="11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4"/>
      <c r="V462" s="164"/>
    </row>
    <row r="463" ht="12.75" customHeight="1">
      <c r="A463" s="162"/>
      <c r="B463" s="162"/>
      <c r="C463" s="162"/>
      <c r="D463" s="1"/>
      <c r="E463" s="162"/>
      <c r="F463" s="11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4"/>
      <c r="V463" s="164"/>
    </row>
    <row r="464" ht="12.75" customHeight="1">
      <c r="A464" s="162"/>
      <c r="B464" s="162"/>
      <c r="C464" s="162"/>
      <c r="D464" s="1"/>
      <c r="E464" s="162"/>
      <c r="F464" s="11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4"/>
      <c r="V464" s="164"/>
    </row>
    <row r="465" ht="12.75" customHeight="1">
      <c r="A465" s="162"/>
      <c r="B465" s="162"/>
      <c r="C465" s="162"/>
      <c r="D465" s="1"/>
      <c r="E465" s="162"/>
      <c r="F465" s="11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4"/>
      <c r="V465" s="164"/>
    </row>
    <row r="466" ht="12.75" customHeight="1">
      <c r="A466" s="162"/>
      <c r="B466" s="162"/>
      <c r="C466" s="162"/>
      <c r="D466" s="1"/>
      <c r="E466" s="162"/>
      <c r="F466" s="11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4"/>
      <c r="V466" s="164"/>
    </row>
    <row r="467" ht="12.75" customHeight="1">
      <c r="A467" s="162"/>
      <c r="B467" s="162"/>
      <c r="C467" s="162"/>
      <c r="D467" s="1"/>
      <c r="E467" s="162"/>
      <c r="F467" s="11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4"/>
      <c r="V467" s="164"/>
    </row>
    <row r="468" ht="12.75" customHeight="1">
      <c r="A468" s="162"/>
      <c r="B468" s="162"/>
      <c r="C468" s="162"/>
      <c r="D468" s="1"/>
      <c r="E468" s="162"/>
      <c r="F468" s="11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4"/>
      <c r="V468" s="164"/>
    </row>
    <row r="469" ht="12.75" customHeight="1">
      <c r="A469" s="162"/>
      <c r="B469" s="162"/>
      <c r="C469" s="162"/>
      <c r="D469" s="1"/>
      <c r="E469" s="162"/>
      <c r="F469" s="11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4"/>
      <c r="V469" s="164"/>
    </row>
    <row r="470" ht="12.75" customHeight="1">
      <c r="A470" s="162"/>
      <c r="B470" s="162"/>
      <c r="C470" s="162"/>
      <c r="D470" s="1"/>
      <c r="E470" s="162"/>
      <c r="F470" s="11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4"/>
      <c r="V470" s="164"/>
    </row>
    <row r="471" ht="12.75" customHeight="1">
      <c r="A471" s="162"/>
      <c r="B471" s="162"/>
      <c r="C471" s="162"/>
      <c r="D471" s="1"/>
      <c r="E471" s="162"/>
      <c r="F471" s="11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4"/>
      <c r="V471" s="164"/>
    </row>
    <row r="472" ht="12.75" customHeight="1">
      <c r="A472" s="162"/>
      <c r="B472" s="162"/>
      <c r="C472" s="162"/>
      <c r="D472" s="1"/>
      <c r="E472" s="162"/>
      <c r="F472" s="11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4"/>
      <c r="V472" s="164"/>
    </row>
    <row r="473" ht="12.75" customHeight="1">
      <c r="A473" s="162"/>
      <c r="B473" s="162"/>
      <c r="C473" s="162"/>
      <c r="D473" s="1"/>
      <c r="E473" s="162"/>
      <c r="F473" s="11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4"/>
      <c r="V473" s="164"/>
    </row>
    <row r="474" ht="12.75" customHeight="1">
      <c r="A474" s="162"/>
      <c r="B474" s="162"/>
      <c r="C474" s="162"/>
      <c r="D474" s="1"/>
      <c r="E474" s="162"/>
      <c r="F474" s="11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4"/>
      <c r="V474" s="164"/>
    </row>
    <row r="475" ht="12.75" customHeight="1">
      <c r="A475" s="162"/>
      <c r="B475" s="162"/>
      <c r="C475" s="162"/>
      <c r="D475" s="1"/>
      <c r="E475" s="162"/>
      <c r="F475" s="11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4"/>
      <c r="V475" s="164"/>
    </row>
    <row r="476" ht="12.75" customHeight="1">
      <c r="A476" s="162"/>
      <c r="B476" s="162"/>
      <c r="C476" s="162"/>
      <c r="D476" s="1"/>
      <c r="E476" s="162"/>
      <c r="F476" s="11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4"/>
      <c r="V476" s="164"/>
    </row>
    <row r="477" ht="12.75" customHeight="1">
      <c r="A477" s="162"/>
      <c r="B477" s="162"/>
      <c r="C477" s="162"/>
      <c r="D477" s="1"/>
      <c r="E477" s="162"/>
      <c r="F477" s="11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4"/>
      <c r="V477" s="164"/>
    </row>
    <row r="478" ht="12.75" customHeight="1">
      <c r="A478" s="162"/>
      <c r="B478" s="162"/>
      <c r="C478" s="162"/>
      <c r="D478" s="1"/>
      <c r="E478" s="162"/>
      <c r="F478" s="11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4"/>
      <c r="V478" s="164"/>
    </row>
    <row r="479" ht="12.75" customHeight="1">
      <c r="A479" s="162"/>
      <c r="B479" s="162"/>
      <c r="C479" s="162"/>
      <c r="D479" s="1"/>
      <c r="E479" s="162"/>
      <c r="F479" s="11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4"/>
      <c r="V479" s="164"/>
    </row>
    <row r="480" ht="12.75" customHeight="1">
      <c r="A480" s="162"/>
      <c r="B480" s="162"/>
      <c r="C480" s="162"/>
      <c r="D480" s="1"/>
      <c r="E480" s="162"/>
      <c r="F480" s="11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4"/>
      <c r="V480" s="164"/>
    </row>
    <row r="481" ht="12.75" customHeight="1">
      <c r="A481" s="162"/>
      <c r="B481" s="162"/>
      <c r="C481" s="162"/>
      <c r="D481" s="1"/>
      <c r="E481" s="162"/>
      <c r="F481" s="11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4"/>
      <c r="V481" s="164"/>
    </row>
    <row r="482" ht="12.75" customHeight="1">
      <c r="A482" s="162"/>
      <c r="B482" s="162"/>
      <c r="C482" s="162"/>
      <c r="D482" s="1"/>
      <c r="E482" s="162"/>
      <c r="F482" s="11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4"/>
      <c r="V482" s="164"/>
    </row>
    <row r="483" ht="12.75" customHeight="1">
      <c r="A483" s="162"/>
      <c r="B483" s="162"/>
      <c r="C483" s="162"/>
      <c r="D483" s="1"/>
      <c r="E483" s="162"/>
      <c r="F483" s="11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4"/>
      <c r="V483" s="164"/>
    </row>
    <row r="484" ht="12.75" customHeight="1">
      <c r="A484" s="162"/>
      <c r="B484" s="162"/>
      <c r="C484" s="162"/>
      <c r="D484" s="1"/>
      <c r="E484" s="162"/>
      <c r="F484" s="11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4"/>
      <c r="V484" s="164"/>
    </row>
    <row r="485" ht="12.75" customHeight="1">
      <c r="A485" s="162"/>
      <c r="B485" s="162"/>
      <c r="C485" s="162"/>
      <c r="D485" s="1"/>
      <c r="E485" s="162"/>
      <c r="F485" s="11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4"/>
      <c r="V485" s="164"/>
    </row>
    <row r="486" ht="12.75" customHeight="1">
      <c r="A486" s="162"/>
      <c r="B486" s="162"/>
      <c r="C486" s="162"/>
      <c r="D486" s="1"/>
      <c r="E486" s="162"/>
      <c r="F486" s="11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4"/>
      <c r="V486" s="164"/>
    </row>
    <row r="487" ht="12.75" customHeight="1">
      <c r="A487" s="162"/>
      <c r="B487" s="162"/>
      <c r="C487" s="162"/>
      <c r="D487" s="1"/>
      <c r="E487" s="162"/>
      <c r="F487" s="11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4"/>
      <c r="V487" s="164"/>
    </row>
    <row r="488" ht="12.75" customHeight="1">
      <c r="A488" s="162"/>
      <c r="B488" s="162"/>
      <c r="C488" s="162"/>
      <c r="D488" s="1"/>
      <c r="E488" s="162"/>
      <c r="F488" s="11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4"/>
      <c r="V488" s="164"/>
    </row>
    <row r="489" ht="12.75" customHeight="1">
      <c r="A489" s="162"/>
      <c r="B489" s="162"/>
      <c r="C489" s="162"/>
      <c r="D489" s="1"/>
      <c r="E489" s="162"/>
      <c r="F489" s="11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4"/>
      <c r="V489" s="164"/>
    </row>
    <row r="490" ht="12.75" customHeight="1">
      <c r="A490" s="162"/>
      <c r="B490" s="162"/>
      <c r="C490" s="162"/>
      <c r="D490" s="1"/>
      <c r="E490" s="162"/>
      <c r="F490" s="11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4"/>
      <c r="V490" s="164"/>
    </row>
    <row r="491" ht="12.75" customHeight="1">
      <c r="A491" s="162"/>
      <c r="B491" s="162"/>
      <c r="C491" s="162"/>
      <c r="D491" s="1"/>
      <c r="E491" s="162"/>
      <c r="F491" s="11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4"/>
      <c r="V491" s="164"/>
    </row>
    <row r="492" ht="12.75" customHeight="1">
      <c r="A492" s="162"/>
      <c r="B492" s="162"/>
      <c r="C492" s="162"/>
      <c r="D492" s="1"/>
      <c r="E492" s="162"/>
      <c r="F492" s="11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4"/>
      <c r="V492" s="164"/>
    </row>
    <row r="493" ht="12.75" customHeight="1">
      <c r="A493" s="162"/>
      <c r="B493" s="162"/>
      <c r="C493" s="162"/>
      <c r="D493" s="1"/>
      <c r="E493" s="162"/>
      <c r="F493" s="11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4"/>
      <c r="V493" s="164"/>
    </row>
    <row r="494" ht="12.75" customHeight="1">
      <c r="A494" s="162"/>
      <c r="B494" s="162"/>
      <c r="C494" s="162"/>
      <c r="D494" s="1"/>
      <c r="E494" s="162"/>
      <c r="F494" s="11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4"/>
      <c r="V494" s="164"/>
    </row>
    <row r="495" ht="12.75" customHeight="1">
      <c r="A495" s="162"/>
      <c r="B495" s="162"/>
      <c r="C495" s="162"/>
      <c r="D495" s="1"/>
      <c r="E495" s="162"/>
      <c r="F495" s="11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4"/>
      <c r="V495" s="164"/>
    </row>
    <row r="496" ht="12.75" customHeight="1">
      <c r="A496" s="162"/>
      <c r="B496" s="162"/>
      <c r="C496" s="162"/>
      <c r="D496" s="1"/>
      <c r="E496" s="162"/>
      <c r="F496" s="11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4"/>
      <c r="V496" s="164"/>
    </row>
    <row r="497" ht="12.75" customHeight="1">
      <c r="A497" s="162"/>
      <c r="B497" s="162"/>
      <c r="C497" s="162"/>
      <c r="D497" s="1"/>
      <c r="E497" s="162"/>
      <c r="F497" s="11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4"/>
      <c r="V497" s="164"/>
    </row>
    <row r="498" ht="12.75" customHeight="1">
      <c r="A498" s="162"/>
      <c r="B498" s="162"/>
      <c r="C498" s="162"/>
      <c r="D498" s="1"/>
      <c r="E498" s="162"/>
      <c r="F498" s="11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4"/>
      <c r="V498" s="164"/>
    </row>
    <row r="499" ht="12.75" customHeight="1">
      <c r="A499" s="162"/>
      <c r="B499" s="162"/>
      <c r="C499" s="162"/>
      <c r="D499" s="1"/>
      <c r="E499" s="162"/>
      <c r="F499" s="11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4"/>
      <c r="V499" s="164"/>
    </row>
    <row r="500" ht="12.75" customHeight="1">
      <c r="A500" s="162"/>
      <c r="B500" s="162"/>
      <c r="C500" s="162"/>
      <c r="D500" s="1"/>
      <c r="E500" s="162"/>
      <c r="F500" s="11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4"/>
      <c r="V500" s="164"/>
    </row>
    <row r="501" ht="12.75" customHeight="1">
      <c r="A501" s="162"/>
      <c r="B501" s="162"/>
      <c r="C501" s="162"/>
      <c r="D501" s="1"/>
      <c r="E501" s="162"/>
      <c r="F501" s="11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4"/>
      <c r="V501" s="164"/>
    </row>
    <row r="502" ht="12.75" customHeight="1">
      <c r="A502" s="162"/>
      <c r="B502" s="162"/>
      <c r="C502" s="162"/>
      <c r="D502" s="1"/>
      <c r="E502" s="162"/>
      <c r="F502" s="11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4"/>
      <c r="V502" s="164"/>
    </row>
    <row r="503" ht="12.75" customHeight="1">
      <c r="A503" s="162"/>
      <c r="B503" s="162"/>
      <c r="C503" s="162"/>
      <c r="D503" s="1"/>
      <c r="E503" s="162"/>
      <c r="F503" s="11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4"/>
      <c r="V503" s="164"/>
    </row>
    <row r="504" ht="12.75" customHeight="1">
      <c r="A504" s="162"/>
      <c r="B504" s="162"/>
      <c r="C504" s="162"/>
      <c r="D504" s="1"/>
      <c r="E504" s="162"/>
      <c r="F504" s="11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4"/>
      <c r="V504" s="164"/>
    </row>
    <row r="505" ht="12.75" customHeight="1">
      <c r="A505" s="162"/>
      <c r="B505" s="162"/>
      <c r="C505" s="162"/>
      <c r="D505" s="1"/>
      <c r="E505" s="162"/>
      <c r="F505" s="11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4"/>
      <c r="V505" s="164"/>
    </row>
    <row r="506" ht="12.75" customHeight="1">
      <c r="A506" s="162"/>
      <c r="B506" s="162"/>
      <c r="C506" s="162"/>
      <c r="D506" s="1"/>
      <c r="E506" s="162"/>
      <c r="F506" s="11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4"/>
      <c r="V506" s="164"/>
    </row>
    <row r="507" ht="12.75" customHeight="1">
      <c r="A507" s="162"/>
      <c r="B507" s="162"/>
      <c r="C507" s="162"/>
      <c r="D507" s="1"/>
      <c r="E507" s="162"/>
      <c r="F507" s="11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4"/>
      <c r="V507" s="164"/>
    </row>
    <row r="508" ht="12.75" customHeight="1">
      <c r="A508" s="162"/>
      <c r="B508" s="162"/>
      <c r="C508" s="162"/>
      <c r="D508" s="1"/>
      <c r="E508" s="162"/>
      <c r="F508" s="11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4"/>
      <c r="V508" s="164"/>
    </row>
    <row r="509" ht="12.75" customHeight="1">
      <c r="A509" s="162"/>
      <c r="B509" s="162"/>
      <c r="C509" s="162"/>
      <c r="D509" s="1"/>
      <c r="E509" s="162"/>
      <c r="F509" s="11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4"/>
      <c r="V509" s="164"/>
    </row>
    <row r="510" ht="12.75" customHeight="1">
      <c r="A510" s="162"/>
      <c r="B510" s="162"/>
      <c r="C510" s="162"/>
      <c r="D510" s="1"/>
      <c r="E510" s="162"/>
      <c r="F510" s="11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4"/>
      <c r="V510" s="164"/>
    </row>
    <row r="511" ht="12.75" customHeight="1">
      <c r="A511" s="162"/>
      <c r="B511" s="162"/>
      <c r="C511" s="162"/>
      <c r="D511" s="1"/>
      <c r="E511" s="162"/>
      <c r="F511" s="11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4"/>
      <c r="V511" s="164"/>
    </row>
    <row r="512" ht="12.75" customHeight="1">
      <c r="A512" s="162"/>
      <c r="B512" s="162"/>
      <c r="C512" s="162"/>
      <c r="D512" s="1"/>
      <c r="E512" s="162"/>
      <c r="F512" s="11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4"/>
      <c r="V512" s="164"/>
    </row>
    <row r="513" ht="12.75" customHeight="1">
      <c r="A513" s="162"/>
      <c r="B513" s="162"/>
      <c r="C513" s="162"/>
      <c r="D513" s="1"/>
      <c r="E513" s="162"/>
      <c r="F513" s="11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4"/>
      <c r="V513" s="164"/>
    </row>
    <row r="514" ht="12.75" customHeight="1">
      <c r="A514" s="162"/>
      <c r="B514" s="162"/>
      <c r="C514" s="162"/>
      <c r="D514" s="1"/>
      <c r="E514" s="162"/>
      <c r="F514" s="11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4"/>
      <c r="V514" s="164"/>
    </row>
    <row r="515" ht="12.75" customHeight="1">
      <c r="A515" s="162"/>
      <c r="B515" s="162"/>
      <c r="C515" s="162"/>
      <c r="D515" s="1"/>
      <c r="E515" s="162"/>
      <c r="F515" s="11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4"/>
      <c r="V515" s="164"/>
    </row>
    <row r="516" ht="12.75" customHeight="1">
      <c r="A516" s="162"/>
      <c r="B516" s="162"/>
      <c r="C516" s="162"/>
      <c r="D516" s="1"/>
      <c r="E516" s="162"/>
      <c r="F516" s="11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4"/>
      <c r="V516" s="164"/>
    </row>
    <row r="517" ht="12.75" customHeight="1">
      <c r="A517" s="162"/>
      <c r="B517" s="162"/>
      <c r="C517" s="162"/>
      <c r="D517" s="1"/>
      <c r="E517" s="162"/>
      <c r="F517" s="11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4"/>
      <c r="V517" s="164"/>
    </row>
    <row r="518" ht="12.75" customHeight="1">
      <c r="A518" s="162"/>
      <c r="B518" s="162"/>
      <c r="C518" s="162"/>
      <c r="D518" s="1"/>
      <c r="E518" s="162"/>
      <c r="F518" s="11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4"/>
      <c r="V518" s="164"/>
    </row>
    <row r="519" ht="12.75" customHeight="1">
      <c r="A519" s="162"/>
      <c r="B519" s="162"/>
      <c r="C519" s="162"/>
      <c r="D519" s="1"/>
      <c r="E519" s="162"/>
      <c r="F519" s="11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4"/>
      <c r="V519" s="164"/>
    </row>
    <row r="520" ht="12.75" customHeight="1">
      <c r="A520" s="162"/>
      <c r="B520" s="162"/>
      <c r="C520" s="162"/>
      <c r="D520" s="1"/>
      <c r="E520" s="162"/>
      <c r="F520" s="11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4"/>
      <c r="V520" s="164"/>
    </row>
    <row r="521" ht="12.75" customHeight="1">
      <c r="A521" s="162"/>
      <c r="B521" s="162"/>
      <c r="C521" s="162"/>
      <c r="D521" s="1"/>
      <c r="E521" s="162"/>
      <c r="F521" s="11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4"/>
      <c r="V521" s="164"/>
    </row>
    <row r="522" ht="12.75" customHeight="1">
      <c r="A522" s="162"/>
      <c r="B522" s="162"/>
      <c r="C522" s="162"/>
      <c r="D522" s="1"/>
      <c r="E522" s="162"/>
      <c r="F522" s="11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4"/>
      <c r="V522" s="164"/>
    </row>
    <row r="523" ht="12.75" customHeight="1">
      <c r="A523" s="162"/>
      <c r="B523" s="162"/>
      <c r="C523" s="162"/>
      <c r="D523" s="1"/>
      <c r="E523" s="162"/>
      <c r="F523" s="11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4"/>
      <c r="V523" s="164"/>
    </row>
    <row r="524" ht="12.75" customHeight="1">
      <c r="A524" s="162"/>
      <c r="B524" s="162"/>
      <c r="C524" s="162"/>
      <c r="D524" s="1"/>
      <c r="E524" s="162"/>
      <c r="F524" s="11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4"/>
      <c r="V524" s="164"/>
    </row>
    <row r="525" ht="12.75" customHeight="1">
      <c r="A525" s="162"/>
      <c r="B525" s="162"/>
      <c r="C525" s="162"/>
      <c r="D525" s="1"/>
      <c r="E525" s="162"/>
      <c r="F525" s="11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4"/>
      <c r="V525" s="164"/>
    </row>
    <row r="526" ht="12.75" customHeight="1">
      <c r="A526" s="162"/>
      <c r="B526" s="162"/>
      <c r="C526" s="162"/>
      <c r="D526" s="1"/>
      <c r="E526" s="162"/>
      <c r="F526" s="11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4"/>
      <c r="V526" s="164"/>
    </row>
    <row r="527" ht="12.75" customHeight="1">
      <c r="A527" s="162"/>
      <c r="B527" s="162"/>
      <c r="C527" s="162"/>
      <c r="D527" s="1"/>
      <c r="E527" s="162"/>
      <c r="F527" s="11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4"/>
      <c r="V527" s="164"/>
    </row>
    <row r="528" ht="12.75" customHeight="1">
      <c r="A528" s="162"/>
      <c r="B528" s="162"/>
      <c r="C528" s="162"/>
      <c r="D528" s="1"/>
      <c r="E528" s="162"/>
      <c r="F528" s="11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4"/>
      <c r="V528" s="164"/>
    </row>
    <row r="529" ht="12.75" customHeight="1">
      <c r="A529" s="162"/>
      <c r="B529" s="162"/>
      <c r="C529" s="162"/>
      <c r="D529" s="1"/>
      <c r="E529" s="162"/>
      <c r="F529" s="11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4"/>
      <c r="V529" s="164"/>
    </row>
    <row r="530" ht="12.75" customHeight="1">
      <c r="A530" s="162"/>
      <c r="B530" s="162"/>
      <c r="C530" s="162"/>
      <c r="D530" s="1"/>
      <c r="E530" s="162"/>
      <c r="F530" s="11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4"/>
      <c r="V530" s="164"/>
    </row>
    <row r="531" ht="12.75" customHeight="1">
      <c r="A531" s="162"/>
      <c r="B531" s="162"/>
      <c r="C531" s="162"/>
      <c r="D531" s="1"/>
      <c r="E531" s="162"/>
      <c r="F531" s="11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4"/>
      <c r="V531" s="164"/>
    </row>
    <row r="532" ht="12.75" customHeight="1">
      <c r="A532" s="162"/>
      <c r="B532" s="162"/>
      <c r="C532" s="162"/>
      <c r="D532" s="1"/>
      <c r="E532" s="162"/>
      <c r="F532" s="11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4"/>
      <c r="V532" s="164"/>
    </row>
    <row r="533" ht="12.75" customHeight="1">
      <c r="A533" s="162"/>
      <c r="B533" s="162"/>
      <c r="C533" s="162"/>
      <c r="D533" s="1"/>
      <c r="E533" s="162"/>
      <c r="F533" s="11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4"/>
      <c r="V533" s="164"/>
    </row>
    <row r="534" ht="12.75" customHeight="1">
      <c r="A534" s="162"/>
      <c r="B534" s="162"/>
      <c r="C534" s="162"/>
      <c r="D534" s="1"/>
      <c r="E534" s="162"/>
      <c r="F534" s="11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4"/>
      <c r="V534" s="164"/>
    </row>
    <row r="535" ht="12.75" customHeight="1">
      <c r="A535" s="162"/>
      <c r="B535" s="162"/>
      <c r="C535" s="162"/>
      <c r="D535" s="1"/>
      <c r="E535" s="162"/>
      <c r="F535" s="11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4"/>
      <c r="V535" s="164"/>
    </row>
    <row r="536" ht="12.75" customHeight="1">
      <c r="A536" s="162"/>
      <c r="B536" s="162"/>
      <c r="C536" s="162"/>
      <c r="D536" s="1"/>
      <c r="E536" s="162"/>
      <c r="F536" s="11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4"/>
      <c r="V536" s="164"/>
    </row>
    <row r="537" ht="12.75" customHeight="1">
      <c r="A537" s="162"/>
      <c r="B537" s="162"/>
      <c r="C537" s="162"/>
      <c r="D537" s="1"/>
      <c r="E537" s="162"/>
      <c r="F537" s="11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4"/>
      <c r="V537" s="164"/>
    </row>
    <row r="538" ht="12.75" customHeight="1">
      <c r="A538" s="162"/>
      <c r="B538" s="162"/>
      <c r="C538" s="162"/>
      <c r="D538" s="1"/>
      <c r="E538" s="162"/>
      <c r="F538" s="11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4"/>
      <c r="V538" s="164"/>
    </row>
    <row r="539" ht="12.75" customHeight="1">
      <c r="A539" s="162"/>
      <c r="B539" s="162"/>
      <c r="C539" s="162"/>
      <c r="D539" s="1"/>
      <c r="E539" s="162"/>
      <c r="F539" s="11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4"/>
      <c r="V539" s="164"/>
    </row>
    <row r="540" ht="12.75" customHeight="1">
      <c r="A540" s="162"/>
      <c r="B540" s="162"/>
      <c r="C540" s="162"/>
      <c r="D540" s="1"/>
      <c r="E540" s="162"/>
      <c r="F540" s="11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4"/>
      <c r="V540" s="164"/>
    </row>
    <row r="541" ht="12.75" customHeight="1">
      <c r="A541" s="162"/>
      <c r="B541" s="162"/>
      <c r="C541" s="162"/>
      <c r="D541" s="1"/>
      <c r="E541" s="162"/>
      <c r="F541" s="11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4"/>
      <c r="V541" s="164"/>
    </row>
    <row r="542" ht="12.75" customHeight="1">
      <c r="A542" s="162"/>
      <c r="B542" s="162"/>
      <c r="C542" s="162"/>
      <c r="D542" s="1"/>
      <c r="E542" s="162"/>
      <c r="F542" s="11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4"/>
      <c r="V542" s="164"/>
    </row>
    <row r="543" ht="12.75" customHeight="1">
      <c r="A543" s="162"/>
      <c r="B543" s="162"/>
      <c r="C543" s="162"/>
      <c r="D543" s="1"/>
      <c r="E543" s="162"/>
      <c r="F543" s="11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4"/>
      <c r="V543" s="164"/>
    </row>
    <row r="544" ht="12.75" customHeight="1">
      <c r="A544" s="162"/>
      <c r="B544" s="162"/>
      <c r="C544" s="162"/>
      <c r="D544" s="1"/>
      <c r="E544" s="162"/>
      <c r="F544" s="11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4"/>
      <c r="V544" s="164"/>
    </row>
    <row r="545" ht="12.75" customHeight="1">
      <c r="A545" s="162"/>
      <c r="B545" s="162"/>
      <c r="C545" s="162"/>
      <c r="D545" s="1"/>
      <c r="E545" s="162"/>
      <c r="F545" s="11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4"/>
      <c r="V545" s="164"/>
    </row>
    <row r="546" ht="12.75" customHeight="1">
      <c r="A546" s="162"/>
      <c r="B546" s="162"/>
      <c r="C546" s="162"/>
      <c r="D546" s="1"/>
      <c r="E546" s="162"/>
      <c r="F546" s="11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4"/>
      <c r="V546" s="164"/>
    </row>
    <row r="547" ht="12.75" customHeight="1">
      <c r="A547" s="162"/>
      <c r="B547" s="162"/>
      <c r="C547" s="162"/>
      <c r="D547" s="1"/>
      <c r="E547" s="162"/>
      <c r="F547" s="11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4"/>
      <c r="V547" s="164"/>
    </row>
    <row r="548" ht="12.75" customHeight="1">
      <c r="A548" s="162"/>
      <c r="B548" s="162"/>
      <c r="C548" s="162"/>
      <c r="D548" s="1"/>
      <c r="E548" s="162"/>
      <c r="F548" s="11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4"/>
      <c r="V548" s="164"/>
    </row>
    <row r="549" ht="12.75" customHeight="1">
      <c r="A549" s="162"/>
      <c r="B549" s="162"/>
      <c r="C549" s="162"/>
      <c r="D549" s="1"/>
      <c r="E549" s="162"/>
      <c r="F549" s="11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4"/>
      <c r="V549" s="164"/>
    </row>
    <row r="550" ht="12.75" customHeight="1">
      <c r="A550" s="162"/>
      <c r="B550" s="162"/>
      <c r="C550" s="162"/>
      <c r="D550" s="1"/>
      <c r="E550" s="162"/>
      <c r="F550" s="11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4"/>
      <c r="V550" s="164"/>
    </row>
    <row r="551" ht="12.75" customHeight="1">
      <c r="A551" s="162"/>
      <c r="B551" s="162"/>
      <c r="C551" s="162"/>
      <c r="D551" s="1"/>
      <c r="E551" s="162"/>
      <c r="F551" s="11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4"/>
      <c r="V551" s="164"/>
    </row>
    <row r="552" ht="12.75" customHeight="1">
      <c r="A552" s="162"/>
      <c r="B552" s="162"/>
      <c r="C552" s="162"/>
      <c r="D552" s="1"/>
      <c r="E552" s="162"/>
      <c r="F552" s="11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4"/>
      <c r="V552" s="164"/>
    </row>
    <row r="553" ht="12.75" customHeight="1">
      <c r="A553" s="162"/>
      <c r="B553" s="162"/>
      <c r="C553" s="162"/>
      <c r="D553" s="1"/>
      <c r="E553" s="162"/>
      <c r="F553" s="11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4"/>
      <c r="V553" s="164"/>
    </row>
    <row r="554" ht="12.75" customHeight="1">
      <c r="A554" s="162"/>
      <c r="B554" s="162"/>
      <c r="C554" s="162"/>
      <c r="D554" s="1"/>
      <c r="E554" s="162"/>
      <c r="F554" s="11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4"/>
      <c r="V554" s="164"/>
    </row>
    <row r="555" ht="12.75" customHeight="1">
      <c r="A555" s="162"/>
      <c r="B555" s="162"/>
      <c r="C555" s="162"/>
      <c r="D555" s="1"/>
      <c r="E555" s="162"/>
      <c r="F555" s="11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4"/>
      <c r="V555" s="164"/>
    </row>
    <row r="556" ht="12.75" customHeight="1">
      <c r="A556" s="162"/>
      <c r="B556" s="162"/>
      <c r="C556" s="162"/>
      <c r="D556" s="1"/>
      <c r="E556" s="162"/>
      <c r="F556" s="11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4"/>
      <c r="V556" s="164"/>
    </row>
    <row r="557" ht="12.75" customHeight="1">
      <c r="A557" s="162"/>
      <c r="B557" s="162"/>
      <c r="C557" s="162"/>
      <c r="D557" s="1"/>
      <c r="E557" s="162"/>
      <c r="F557" s="11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4"/>
      <c r="V557" s="164"/>
    </row>
    <row r="558" ht="12.75" customHeight="1">
      <c r="A558" s="162"/>
      <c r="B558" s="162"/>
      <c r="C558" s="162"/>
      <c r="D558" s="1"/>
      <c r="E558" s="162"/>
      <c r="F558" s="11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2"/>
      <c r="B559" s="162"/>
      <c r="C559" s="162"/>
      <c r="D559" s="1"/>
      <c r="E559" s="162"/>
      <c r="F559" s="11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2"/>
      <c r="B560" s="162"/>
      <c r="C560" s="162"/>
      <c r="D560" s="1"/>
      <c r="E560" s="162"/>
      <c r="F560" s="11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2"/>
      <c r="B561" s="162"/>
      <c r="C561" s="162"/>
      <c r="D561" s="1"/>
      <c r="E561" s="162"/>
      <c r="F561" s="11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2"/>
      <c r="B562" s="162"/>
      <c r="C562" s="162"/>
      <c r="D562" s="1"/>
      <c r="E562" s="162"/>
      <c r="F562" s="11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06"/>
      <c r="B563" s="106"/>
      <c r="C563" s="106"/>
      <c r="D563" s="101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9"/>
      <c r="V563" s="109"/>
    </row>
    <row r="564" ht="12.75" customHeight="1">
      <c r="A564" s="106"/>
      <c r="B564" s="106"/>
      <c r="C564" s="106"/>
      <c r="D564" s="101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9"/>
      <c r="V564" s="109"/>
    </row>
    <row r="565" ht="12.75" customHeight="1">
      <c r="A565" s="106"/>
      <c r="B565" s="106"/>
      <c r="C565" s="106"/>
      <c r="D565" s="101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9"/>
      <c r="V565" s="109"/>
    </row>
    <row r="566" ht="12.75" customHeight="1">
      <c r="A566" s="106"/>
      <c r="B566" s="106"/>
      <c r="C566" s="106"/>
      <c r="D566" s="101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9"/>
      <c r="V566" s="109"/>
    </row>
    <row r="567" ht="12.75" customHeight="1">
      <c r="A567" s="106"/>
      <c r="B567" s="106"/>
      <c r="C567" s="106"/>
      <c r="D567" s="101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9"/>
      <c r="V567" s="109"/>
    </row>
    <row r="568" ht="12.75" customHeight="1">
      <c r="A568" s="106"/>
      <c r="B568" s="106"/>
      <c r="C568" s="106"/>
      <c r="D568" s="101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9"/>
      <c r="V568" s="109"/>
    </row>
    <row r="569" ht="12.75" customHeight="1">
      <c r="A569" s="106"/>
      <c r="B569" s="106"/>
      <c r="C569" s="106"/>
      <c r="D569" s="101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9"/>
      <c r="V569" s="109"/>
    </row>
    <row r="570" ht="12.75" customHeight="1">
      <c r="A570" s="106"/>
      <c r="B570" s="106"/>
      <c r="C570" s="106"/>
      <c r="D570" s="101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9"/>
      <c r="V570" s="109"/>
    </row>
    <row r="571" ht="12.75" customHeight="1">
      <c r="A571" s="106"/>
      <c r="B571" s="106"/>
      <c r="C571" s="106"/>
      <c r="D571" s="101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9"/>
      <c r="V571" s="109"/>
    </row>
    <row r="572" ht="12.75" customHeight="1">
      <c r="A572" s="106"/>
      <c r="B572" s="106"/>
      <c r="C572" s="106"/>
      <c r="D572" s="101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9"/>
      <c r="V572" s="109"/>
    </row>
    <row r="573" ht="12.75" customHeight="1">
      <c r="A573" s="106"/>
      <c r="B573" s="106"/>
      <c r="C573" s="106"/>
      <c r="D573" s="101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9"/>
      <c r="V573" s="109"/>
    </row>
    <row r="574" ht="12.75" customHeight="1">
      <c r="A574" s="106"/>
      <c r="B574" s="106"/>
      <c r="C574" s="106"/>
      <c r="D574" s="101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9"/>
      <c r="V574" s="109"/>
    </row>
    <row r="575" ht="12.75" customHeight="1">
      <c r="A575" s="106"/>
      <c r="B575" s="106"/>
      <c r="C575" s="106"/>
      <c r="D575" s="101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9"/>
      <c r="V575" s="109"/>
    </row>
    <row r="576" ht="12.75" customHeight="1">
      <c r="A576" s="106"/>
      <c r="B576" s="106"/>
      <c r="C576" s="106"/>
      <c r="D576" s="101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9"/>
      <c r="V576" s="109"/>
    </row>
    <row r="577" ht="12.75" customHeight="1">
      <c r="A577" s="106"/>
      <c r="B577" s="106"/>
      <c r="C577" s="106"/>
      <c r="D577" s="101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9"/>
      <c r="V577" s="109"/>
    </row>
    <row r="578" ht="12.75" customHeight="1">
      <c r="A578" s="106"/>
      <c r="B578" s="106"/>
      <c r="C578" s="106"/>
      <c r="D578" s="101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9"/>
      <c r="V578" s="109"/>
    </row>
    <row r="579" ht="12.75" customHeight="1">
      <c r="A579" s="106"/>
      <c r="B579" s="106"/>
      <c r="C579" s="106"/>
      <c r="D579" s="101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9"/>
      <c r="V579" s="109"/>
    </row>
    <row r="580" ht="12.75" customHeight="1">
      <c r="A580" s="106"/>
      <c r="B580" s="106"/>
      <c r="C580" s="106"/>
      <c r="D580" s="101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9"/>
      <c r="V580" s="109"/>
    </row>
    <row r="581" ht="12.75" customHeight="1">
      <c r="A581" s="106"/>
      <c r="B581" s="106"/>
      <c r="C581" s="106"/>
      <c r="D581" s="101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9"/>
      <c r="V581" s="109"/>
    </row>
    <row r="582" ht="12.75" customHeight="1">
      <c r="A582" s="106"/>
      <c r="B582" s="106"/>
      <c r="C582" s="106"/>
      <c r="D582" s="101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9"/>
      <c r="V582" s="109"/>
    </row>
    <row r="583" ht="12.75" customHeight="1">
      <c r="A583" s="106"/>
      <c r="B583" s="106"/>
      <c r="C583" s="106"/>
      <c r="D583" s="101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9"/>
      <c r="V583" s="109"/>
    </row>
    <row r="584" ht="12.75" customHeight="1">
      <c r="A584" s="106"/>
      <c r="B584" s="106"/>
      <c r="C584" s="106"/>
      <c r="D584" s="101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9"/>
      <c r="V584" s="109"/>
    </row>
    <row r="585" ht="12.75" customHeight="1">
      <c r="A585" s="106"/>
      <c r="B585" s="106"/>
      <c r="C585" s="106"/>
      <c r="D585" s="101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9"/>
      <c r="V585" s="109"/>
    </row>
    <row r="586" ht="12.75" customHeight="1">
      <c r="A586" s="106"/>
      <c r="B586" s="106"/>
      <c r="C586" s="106"/>
      <c r="D586" s="101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9"/>
      <c r="V586" s="109"/>
    </row>
    <row r="587" ht="12.75" customHeight="1">
      <c r="A587" s="106"/>
      <c r="B587" s="106"/>
      <c r="C587" s="106"/>
      <c r="D587" s="101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9"/>
      <c r="V587" s="109"/>
    </row>
    <row r="588" ht="12.75" customHeight="1">
      <c r="A588" s="106"/>
      <c r="B588" s="106"/>
      <c r="C588" s="106"/>
      <c r="D588" s="101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9"/>
      <c r="V588" s="109"/>
    </row>
    <row r="589" ht="12.75" customHeight="1">
      <c r="A589" s="106"/>
      <c r="B589" s="106"/>
      <c r="C589" s="106"/>
      <c r="D589" s="101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9"/>
      <c r="V589" s="109"/>
    </row>
    <row r="590" ht="12.75" customHeight="1">
      <c r="A590" s="106"/>
      <c r="B590" s="106"/>
      <c r="C590" s="106"/>
      <c r="D590" s="101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9"/>
      <c r="V590" s="109"/>
    </row>
    <row r="591" ht="12.75" customHeight="1">
      <c r="A591" s="106"/>
      <c r="B591" s="106"/>
      <c r="C591" s="106"/>
      <c r="D591" s="101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9"/>
      <c r="V591" s="109"/>
    </row>
    <row r="592" ht="12.75" customHeight="1">
      <c r="A592" s="106"/>
      <c r="B592" s="106"/>
      <c r="C592" s="106"/>
      <c r="D592" s="101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9"/>
      <c r="V592" s="109"/>
    </row>
    <row r="593" ht="12.75" customHeight="1">
      <c r="A593" s="106"/>
      <c r="B593" s="106"/>
      <c r="C593" s="106"/>
      <c r="D593" s="101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9"/>
      <c r="V593" s="109"/>
    </row>
    <row r="594" ht="12.75" customHeight="1">
      <c r="A594" s="106"/>
      <c r="B594" s="106"/>
      <c r="C594" s="106"/>
      <c r="D594" s="101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9"/>
      <c r="V594" s="109"/>
    </row>
    <row r="595" ht="12.75" customHeight="1">
      <c r="A595" s="106"/>
      <c r="B595" s="106"/>
      <c r="C595" s="106"/>
      <c r="D595" s="101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9"/>
      <c r="V595" s="109"/>
    </row>
    <row r="596" ht="12.75" customHeight="1">
      <c r="A596" s="106"/>
      <c r="B596" s="106"/>
      <c r="C596" s="106"/>
      <c r="D596" s="101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9"/>
      <c r="V596" s="109"/>
    </row>
    <row r="597" ht="12.75" customHeight="1">
      <c r="A597" s="106"/>
      <c r="B597" s="106"/>
      <c r="C597" s="106"/>
      <c r="D597" s="101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9"/>
      <c r="V597" s="109"/>
    </row>
    <row r="598" ht="12.75" customHeight="1">
      <c r="A598" s="106"/>
      <c r="B598" s="106"/>
      <c r="C598" s="106"/>
      <c r="D598" s="101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9"/>
      <c r="V598" s="109"/>
    </row>
    <row r="599" ht="12.75" customHeight="1">
      <c r="A599" s="106"/>
      <c r="B599" s="106"/>
      <c r="C599" s="106"/>
      <c r="D599" s="101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9"/>
      <c r="V599" s="109"/>
    </row>
    <row r="600" ht="12.75" customHeight="1">
      <c r="A600" s="106"/>
      <c r="B600" s="106"/>
      <c r="C600" s="106"/>
      <c r="D600" s="101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9"/>
      <c r="V600" s="109"/>
    </row>
    <row r="601" ht="12.75" customHeight="1">
      <c r="A601" s="106"/>
      <c r="B601" s="106"/>
      <c r="C601" s="106"/>
      <c r="D601" s="101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9"/>
      <c r="V601" s="109"/>
    </row>
    <row r="602" ht="12.75" customHeight="1">
      <c r="A602" s="106"/>
      <c r="B602" s="106"/>
      <c r="C602" s="106"/>
      <c r="D602" s="101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9"/>
      <c r="V602" s="109"/>
    </row>
    <row r="603" ht="12.75" customHeight="1">
      <c r="A603" s="106"/>
      <c r="B603" s="106"/>
      <c r="C603" s="106"/>
      <c r="D603" s="101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9"/>
      <c r="V603" s="109"/>
    </row>
    <row r="604" ht="12.75" customHeight="1">
      <c r="A604" s="106"/>
      <c r="B604" s="106"/>
      <c r="C604" s="106"/>
      <c r="D604" s="101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9"/>
      <c r="V604" s="109"/>
    </row>
    <row r="605" ht="12.75" customHeight="1">
      <c r="A605" s="106"/>
      <c r="B605" s="106"/>
      <c r="C605" s="106"/>
      <c r="D605" s="101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9"/>
      <c r="V605" s="109"/>
    </row>
    <row r="606" ht="12.75" customHeight="1">
      <c r="A606" s="106"/>
      <c r="B606" s="106"/>
      <c r="C606" s="106"/>
      <c r="D606" s="101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9"/>
      <c r="V606" s="109"/>
    </row>
    <row r="607" ht="12.75" customHeight="1">
      <c r="A607" s="106"/>
      <c r="B607" s="106"/>
      <c r="C607" s="106"/>
      <c r="D607" s="101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9"/>
      <c r="V607" s="109"/>
    </row>
    <row r="608" ht="12.75" customHeight="1">
      <c r="A608" s="106"/>
      <c r="B608" s="106"/>
      <c r="C608" s="106"/>
      <c r="D608" s="101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9"/>
      <c r="V608" s="109"/>
    </row>
    <row r="609" ht="12.75" customHeight="1">
      <c r="A609" s="106"/>
      <c r="B609" s="106"/>
      <c r="C609" s="106"/>
      <c r="D609" s="101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9"/>
      <c r="V609" s="109"/>
    </row>
    <row r="610" ht="12.75" customHeight="1">
      <c r="A610" s="106"/>
      <c r="B610" s="106"/>
      <c r="C610" s="106"/>
      <c r="D610" s="101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9"/>
      <c r="V610" s="109"/>
    </row>
    <row r="611" ht="12.75" customHeight="1">
      <c r="A611" s="106"/>
      <c r="B611" s="106"/>
      <c r="C611" s="106"/>
      <c r="D611" s="101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9"/>
      <c r="V611" s="109"/>
    </row>
    <row r="612" ht="12.75" customHeight="1">
      <c r="A612" s="106"/>
      <c r="B612" s="106"/>
      <c r="C612" s="106"/>
      <c r="D612" s="101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9"/>
      <c r="V612" s="109"/>
    </row>
    <row r="613" ht="12.75" customHeight="1">
      <c r="A613" s="106"/>
      <c r="B613" s="106"/>
      <c r="C613" s="106"/>
      <c r="D613" s="101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9"/>
      <c r="V613" s="109"/>
    </row>
    <row r="614" ht="12.75" customHeight="1">
      <c r="A614" s="106"/>
      <c r="B614" s="106"/>
      <c r="C614" s="106"/>
      <c r="D614" s="101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9"/>
      <c r="V614" s="109"/>
    </row>
    <row r="615" ht="12.75" customHeight="1">
      <c r="A615" s="106"/>
      <c r="B615" s="106"/>
      <c r="C615" s="106"/>
      <c r="D615" s="101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9"/>
      <c r="V615" s="109"/>
    </row>
    <row r="616" ht="12.75" customHeight="1">
      <c r="A616" s="106"/>
      <c r="B616" s="106"/>
      <c r="C616" s="106"/>
      <c r="D616" s="101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9"/>
      <c r="V616" s="109"/>
    </row>
    <row r="617" ht="12.75" customHeight="1">
      <c r="A617" s="106"/>
      <c r="B617" s="106"/>
      <c r="C617" s="106"/>
      <c r="D617" s="101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9"/>
      <c r="V617" s="109"/>
    </row>
    <row r="618" ht="12.75" customHeight="1">
      <c r="A618" s="106"/>
      <c r="B618" s="106"/>
      <c r="C618" s="106"/>
      <c r="D618" s="101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9"/>
      <c r="V618" s="109"/>
    </row>
    <row r="619" ht="12.75" customHeight="1">
      <c r="A619" s="106"/>
      <c r="B619" s="106"/>
      <c r="C619" s="106"/>
      <c r="D619" s="101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9"/>
      <c r="V619" s="109"/>
    </row>
    <row r="620" ht="12.75" customHeight="1">
      <c r="A620" s="106"/>
      <c r="B620" s="106"/>
      <c r="C620" s="106"/>
      <c r="D620" s="101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9"/>
      <c r="V620" s="109"/>
    </row>
    <row r="621" ht="12.75" customHeight="1">
      <c r="A621" s="106"/>
      <c r="B621" s="106"/>
      <c r="C621" s="106"/>
      <c r="D621" s="101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9"/>
      <c r="V621" s="109"/>
    </row>
    <row r="622" ht="12.75" customHeight="1">
      <c r="A622" s="106"/>
      <c r="B622" s="106"/>
      <c r="C622" s="106"/>
      <c r="D622" s="101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9"/>
      <c r="V622" s="109"/>
    </row>
    <row r="623" ht="12.75" customHeight="1">
      <c r="A623" s="106"/>
      <c r="B623" s="106"/>
      <c r="C623" s="106"/>
      <c r="D623" s="101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9"/>
      <c r="V623" s="109"/>
    </row>
    <row r="624" ht="12.75" customHeight="1">
      <c r="A624" s="106"/>
      <c r="B624" s="106"/>
      <c r="C624" s="106"/>
      <c r="D624" s="101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9"/>
      <c r="V624" s="109"/>
    </row>
    <row r="625" ht="12.75" customHeight="1">
      <c r="A625" s="106"/>
      <c r="B625" s="106"/>
      <c r="C625" s="106"/>
      <c r="D625" s="101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9"/>
      <c r="V625" s="109"/>
    </row>
    <row r="626" ht="12.75" customHeight="1">
      <c r="A626" s="106"/>
      <c r="B626" s="106"/>
      <c r="C626" s="106"/>
      <c r="D626" s="101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9"/>
      <c r="V626" s="109"/>
    </row>
    <row r="627" ht="12.75" customHeight="1">
      <c r="A627" s="106"/>
      <c r="B627" s="106"/>
      <c r="C627" s="106"/>
      <c r="D627" s="101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9"/>
      <c r="V627" s="109"/>
    </row>
    <row r="628" ht="12.75" customHeight="1">
      <c r="A628" s="106"/>
      <c r="B628" s="106"/>
      <c r="C628" s="106"/>
      <c r="D628" s="101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9"/>
      <c r="V628" s="109"/>
    </row>
    <row r="629" ht="12.75" customHeight="1">
      <c r="A629" s="106"/>
      <c r="B629" s="106"/>
      <c r="C629" s="106"/>
      <c r="D629" s="101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9"/>
      <c r="V629" s="109"/>
    </row>
    <row r="630" ht="12.75" customHeight="1">
      <c r="A630" s="106"/>
      <c r="B630" s="106"/>
      <c r="C630" s="106"/>
      <c r="D630" s="101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9"/>
      <c r="V630" s="109"/>
    </row>
    <row r="631" ht="12.75" customHeight="1">
      <c r="A631" s="106"/>
      <c r="B631" s="106"/>
      <c r="C631" s="106"/>
      <c r="D631" s="101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9"/>
      <c r="V631" s="109"/>
    </row>
    <row r="632" ht="12.75" customHeight="1">
      <c r="A632" s="106"/>
      <c r="B632" s="106"/>
      <c r="C632" s="106"/>
      <c r="D632" s="101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9"/>
      <c r="V632" s="109"/>
    </row>
    <row r="633" ht="12.75" customHeight="1">
      <c r="A633" s="106"/>
      <c r="B633" s="106"/>
      <c r="C633" s="106"/>
      <c r="D633" s="101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9"/>
      <c r="V633" s="109"/>
    </row>
    <row r="634" ht="12.75" customHeight="1">
      <c r="A634" s="106"/>
      <c r="B634" s="106"/>
      <c r="C634" s="106"/>
      <c r="D634" s="101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9"/>
      <c r="V634" s="109"/>
    </row>
    <row r="635" ht="12.75" customHeight="1">
      <c r="A635" s="106"/>
      <c r="B635" s="106"/>
      <c r="C635" s="106"/>
      <c r="D635" s="101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9"/>
      <c r="V635" s="109"/>
    </row>
    <row r="636" ht="12.75" customHeight="1">
      <c r="A636" s="106"/>
      <c r="B636" s="106"/>
      <c r="C636" s="106"/>
      <c r="D636" s="101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9"/>
      <c r="V636" s="109"/>
    </row>
    <row r="637" ht="12.75" customHeight="1">
      <c r="A637" s="106"/>
      <c r="B637" s="106"/>
      <c r="C637" s="106"/>
      <c r="D637" s="101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9"/>
      <c r="V637" s="109"/>
    </row>
    <row r="638" ht="12.75" customHeight="1">
      <c r="A638" s="106"/>
      <c r="B638" s="106"/>
      <c r="C638" s="106"/>
      <c r="D638" s="101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9"/>
      <c r="V638" s="109"/>
    </row>
    <row r="639" ht="12.75" customHeight="1">
      <c r="A639" s="106"/>
      <c r="B639" s="106"/>
      <c r="C639" s="106"/>
      <c r="D639" s="101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9"/>
      <c r="V639" s="109"/>
    </row>
    <row r="640" ht="12.75" customHeight="1">
      <c r="A640" s="106"/>
      <c r="B640" s="106"/>
      <c r="C640" s="106"/>
      <c r="D640" s="101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9"/>
      <c r="V640" s="109"/>
    </row>
    <row r="641" ht="12.75" customHeight="1">
      <c r="A641" s="106"/>
      <c r="B641" s="106"/>
      <c r="C641" s="106"/>
      <c r="D641" s="101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9"/>
      <c r="V641" s="109"/>
    </row>
    <row r="642" ht="12.75" customHeight="1">
      <c r="A642" s="106"/>
      <c r="B642" s="106"/>
      <c r="C642" s="106"/>
      <c r="D642" s="101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9"/>
      <c r="V642" s="109"/>
    </row>
    <row r="643" ht="12.75" customHeight="1">
      <c r="A643" s="106"/>
      <c r="B643" s="106"/>
      <c r="C643" s="106"/>
      <c r="D643" s="101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9"/>
      <c r="V643" s="109"/>
    </row>
    <row r="644" ht="12.75" customHeight="1">
      <c r="A644" s="106"/>
      <c r="B644" s="106"/>
      <c r="C644" s="106"/>
      <c r="D644" s="101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9"/>
      <c r="V644" s="109"/>
    </row>
    <row r="645" ht="12.75" customHeight="1">
      <c r="A645" s="106"/>
      <c r="B645" s="106"/>
      <c r="C645" s="106"/>
      <c r="D645" s="101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9"/>
      <c r="V645" s="109"/>
    </row>
    <row r="646" ht="12.75" customHeight="1">
      <c r="A646" s="106"/>
      <c r="B646" s="106"/>
      <c r="C646" s="106"/>
      <c r="D646" s="101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9"/>
      <c r="V646" s="109"/>
    </row>
    <row r="647" ht="12.75" customHeight="1">
      <c r="A647" s="106"/>
      <c r="B647" s="106"/>
      <c r="C647" s="106"/>
      <c r="D647" s="101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9"/>
      <c r="V647" s="109"/>
    </row>
    <row r="648" ht="12.75" customHeight="1">
      <c r="A648" s="106"/>
      <c r="B648" s="106"/>
      <c r="C648" s="106"/>
      <c r="D648" s="101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9"/>
      <c r="V648" s="109"/>
    </row>
    <row r="649" ht="12.75" customHeight="1">
      <c r="A649" s="106"/>
      <c r="B649" s="106"/>
      <c r="C649" s="106"/>
      <c r="D649" s="101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9"/>
      <c r="V649" s="109"/>
    </row>
    <row r="650" ht="12.75" customHeight="1">
      <c r="A650" s="106"/>
      <c r="B650" s="106"/>
      <c r="C650" s="106"/>
      <c r="D650" s="101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9"/>
      <c r="V650" s="109"/>
    </row>
    <row r="651" ht="12.75" customHeight="1">
      <c r="A651" s="106"/>
      <c r="B651" s="106"/>
      <c r="C651" s="106"/>
      <c r="D651" s="101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9"/>
      <c r="V651" s="109"/>
    </row>
    <row r="652" ht="12.75" customHeight="1">
      <c r="A652" s="106"/>
      <c r="B652" s="106"/>
      <c r="C652" s="106"/>
      <c r="D652" s="101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9"/>
      <c r="V652" s="109"/>
    </row>
    <row r="653" ht="12.75" customHeight="1">
      <c r="A653" s="106"/>
      <c r="B653" s="106"/>
      <c r="C653" s="106"/>
      <c r="D653" s="101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9"/>
      <c r="V653" s="109"/>
    </row>
    <row r="654" ht="12.75" customHeight="1">
      <c r="A654" s="106"/>
      <c r="B654" s="106"/>
      <c r="C654" s="106"/>
      <c r="D654" s="101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9"/>
      <c r="V654" s="109"/>
    </row>
    <row r="655" ht="12.75" customHeight="1">
      <c r="A655" s="106"/>
      <c r="B655" s="106"/>
      <c r="C655" s="106"/>
      <c r="D655" s="101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9"/>
      <c r="V655" s="109"/>
    </row>
    <row r="656" ht="12.75" customHeight="1">
      <c r="A656" s="106"/>
      <c r="B656" s="106"/>
      <c r="C656" s="106"/>
      <c r="D656" s="101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9"/>
      <c r="V656" s="109"/>
    </row>
    <row r="657" ht="12.75" customHeight="1">
      <c r="A657" s="106"/>
      <c r="B657" s="106"/>
      <c r="C657" s="106"/>
      <c r="D657" s="101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9"/>
      <c r="V657" s="109"/>
    </row>
    <row r="658" ht="12.75" customHeight="1">
      <c r="A658" s="106"/>
      <c r="B658" s="106"/>
      <c r="C658" s="106"/>
      <c r="D658" s="101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9"/>
      <c r="V658" s="109"/>
    </row>
    <row r="659" ht="12.75" customHeight="1">
      <c r="A659" s="106"/>
      <c r="B659" s="106"/>
      <c r="C659" s="106"/>
      <c r="D659" s="101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9"/>
      <c r="V659" s="109"/>
    </row>
    <row r="660" ht="12.75" customHeight="1">
      <c r="A660" s="106"/>
      <c r="B660" s="106"/>
      <c r="C660" s="106"/>
      <c r="D660" s="101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9"/>
      <c r="V660" s="109"/>
    </row>
    <row r="661" ht="12.75" customHeight="1">
      <c r="A661" s="106"/>
      <c r="B661" s="106"/>
      <c r="C661" s="106"/>
      <c r="D661" s="101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9"/>
      <c r="V661" s="109"/>
    </row>
    <row r="662" ht="12.75" customHeight="1">
      <c r="A662" s="106"/>
      <c r="B662" s="106"/>
      <c r="C662" s="106"/>
      <c r="D662" s="101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9"/>
      <c r="V662" s="109"/>
    </row>
    <row r="663" ht="12.75" customHeight="1">
      <c r="A663" s="106"/>
      <c r="B663" s="106"/>
      <c r="C663" s="106"/>
      <c r="D663" s="101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9"/>
      <c r="V663" s="109"/>
    </row>
    <row r="664" ht="12.75" customHeight="1">
      <c r="A664" s="106"/>
      <c r="B664" s="106"/>
      <c r="C664" s="106"/>
      <c r="D664" s="101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9"/>
      <c r="V664" s="109"/>
    </row>
    <row r="665" ht="12.75" customHeight="1">
      <c r="A665" s="106"/>
      <c r="B665" s="106"/>
      <c r="C665" s="106"/>
      <c r="D665" s="101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9"/>
      <c r="V665" s="109"/>
    </row>
    <row r="666" ht="12.75" customHeight="1">
      <c r="A666" s="106"/>
      <c r="B666" s="106"/>
      <c r="C666" s="106"/>
      <c r="D666" s="101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9"/>
      <c r="V666" s="109"/>
    </row>
    <row r="667" ht="12.75" customHeight="1">
      <c r="A667" s="106"/>
      <c r="B667" s="106"/>
      <c r="C667" s="106"/>
      <c r="D667" s="101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9"/>
      <c r="V667" s="109"/>
    </row>
    <row r="668" ht="12.75" customHeight="1">
      <c r="A668" s="106"/>
      <c r="B668" s="106"/>
      <c r="C668" s="106"/>
      <c r="D668" s="101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9"/>
      <c r="V668" s="109"/>
    </row>
    <row r="669" ht="12.75" customHeight="1">
      <c r="A669" s="106"/>
      <c r="B669" s="106"/>
      <c r="C669" s="106"/>
      <c r="D669" s="101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9"/>
      <c r="V669" s="109"/>
    </row>
    <row r="670" ht="12.75" customHeight="1">
      <c r="A670" s="106"/>
      <c r="B670" s="106"/>
      <c r="C670" s="106"/>
      <c r="D670" s="101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9"/>
      <c r="V670" s="109"/>
    </row>
    <row r="671" ht="12.75" customHeight="1">
      <c r="A671" s="106"/>
      <c r="B671" s="106"/>
      <c r="C671" s="106"/>
      <c r="D671" s="101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9"/>
      <c r="V671" s="109"/>
    </row>
    <row r="672" ht="12.75" customHeight="1">
      <c r="A672" s="106"/>
      <c r="B672" s="106"/>
      <c r="C672" s="106"/>
      <c r="D672" s="101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9"/>
      <c r="V672" s="109"/>
    </row>
    <row r="673" ht="12.75" customHeight="1">
      <c r="A673" s="106"/>
      <c r="B673" s="106"/>
      <c r="C673" s="106"/>
      <c r="D673" s="101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9"/>
      <c r="V673" s="109"/>
    </row>
    <row r="674" ht="12.75" customHeight="1">
      <c r="A674" s="106"/>
      <c r="B674" s="106"/>
      <c r="C674" s="106"/>
      <c r="D674" s="101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9"/>
      <c r="V674" s="109"/>
    </row>
    <row r="675" ht="12.75" customHeight="1">
      <c r="A675" s="106"/>
      <c r="B675" s="106"/>
      <c r="C675" s="106"/>
      <c r="D675" s="101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9"/>
      <c r="V675" s="109"/>
    </row>
    <row r="676" ht="12.75" customHeight="1">
      <c r="A676" s="106"/>
      <c r="B676" s="106"/>
      <c r="C676" s="106"/>
      <c r="D676" s="101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9"/>
      <c r="V676" s="109"/>
    </row>
    <row r="677" ht="12.75" customHeight="1">
      <c r="A677" s="106"/>
      <c r="B677" s="106"/>
      <c r="C677" s="106"/>
      <c r="D677" s="101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9"/>
      <c r="V677" s="109"/>
    </row>
    <row r="678" ht="12.75" customHeight="1">
      <c r="A678" s="106"/>
      <c r="B678" s="106"/>
      <c r="C678" s="106"/>
      <c r="D678" s="101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9"/>
      <c r="V678" s="109"/>
    </row>
    <row r="679" ht="12.75" customHeight="1">
      <c r="A679" s="106"/>
      <c r="B679" s="106"/>
      <c r="C679" s="106"/>
      <c r="D679" s="101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9"/>
      <c r="V679" s="109"/>
    </row>
    <row r="680" ht="12.75" customHeight="1">
      <c r="A680" s="106"/>
      <c r="B680" s="106"/>
      <c r="C680" s="106"/>
      <c r="D680" s="101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9"/>
      <c r="V680" s="109"/>
    </row>
    <row r="681" ht="12.75" customHeight="1">
      <c r="A681" s="106"/>
      <c r="B681" s="106"/>
      <c r="C681" s="106"/>
      <c r="D681" s="101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9"/>
      <c r="V681" s="109"/>
    </row>
    <row r="682" ht="12.75" customHeight="1">
      <c r="A682" s="106"/>
      <c r="B682" s="106"/>
      <c r="C682" s="106"/>
      <c r="D682" s="101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9"/>
      <c r="V682" s="109"/>
    </row>
    <row r="683" ht="12.75" customHeight="1">
      <c r="A683" s="106"/>
      <c r="B683" s="106"/>
      <c r="C683" s="106"/>
      <c r="D683" s="101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9"/>
      <c r="V683" s="109"/>
    </row>
    <row r="684" ht="12.75" customHeight="1">
      <c r="A684" s="106"/>
      <c r="B684" s="106"/>
      <c r="C684" s="106"/>
      <c r="D684" s="101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9"/>
      <c r="V684" s="109"/>
    </row>
    <row r="685" ht="12.75" customHeight="1">
      <c r="A685" s="106"/>
      <c r="B685" s="106"/>
      <c r="C685" s="106"/>
      <c r="D685" s="101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9"/>
      <c r="V685" s="109"/>
    </row>
    <row r="686" ht="12.75" customHeight="1">
      <c r="A686" s="106"/>
      <c r="B686" s="106"/>
      <c r="C686" s="106"/>
      <c r="D686" s="101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9"/>
      <c r="V686" s="109"/>
    </row>
    <row r="687" ht="12.75" customHeight="1">
      <c r="A687" s="106"/>
      <c r="B687" s="106"/>
      <c r="C687" s="106"/>
      <c r="D687" s="101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9"/>
      <c r="V687" s="109"/>
    </row>
    <row r="688" ht="12.75" customHeight="1">
      <c r="A688" s="106"/>
      <c r="B688" s="106"/>
      <c r="C688" s="106"/>
      <c r="D688" s="101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9"/>
      <c r="V688" s="109"/>
    </row>
    <row r="689" ht="12.75" customHeight="1">
      <c r="A689" s="106"/>
      <c r="B689" s="106"/>
      <c r="C689" s="106"/>
      <c r="D689" s="101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9"/>
      <c r="V689" s="109"/>
    </row>
    <row r="690" ht="12.75" customHeight="1">
      <c r="A690" s="106"/>
      <c r="B690" s="106"/>
      <c r="C690" s="106"/>
      <c r="D690" s="101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9"/>
      <c r="V690" s="109"/>
    </row>
    <row r="691" ht="12.75" customHeight="1">
      <c r="A691" s="106"/>
      <c r="B691" s="106"/>
      <c r="C691" s="106"/>
      <c r="D691" s="101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9"/>
      <c r="V691" s="109"/>
    </row>
    <row r="692" ht="12.75" customHeight="1">
      <c r="A692" s="106"/>
      <c r="B692" s="106"/>
      <c r="C692" s="106"/>
      <c r="D692" s="101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9"/>
      <c r="V692" s="109"/>
    </row>
    <row r="693" ht="12.75" customHeight="1">
      <c r="A693" s="106"/>
      <c r="B693" s="106"/>
      <c r="C693" s="106"/>
      <c r="D693" s="101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9"/>
      <c r="V693" s="109"/>
    </row>
    <row r="694" ht="12.75" customHeight="1">
      <c r="A694" s="106"/>
      <c r="B694" s="106"/>
      <c r="C694" s="106"/>
      <c r="D694" s="101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9"/>
      <c r="V694" s="109"/>
    </row>
    <row r="695" ht="12.75" customHeight="1">
      <c r="A695" s="106"/>
      <c r="B695" s="106"/>
      <c r="C695" s="106"/>
      <c r="D695" s="101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9"/>
      <c r="V695" s="109"/>
    </row>
    <row r="696" ht="12.75" customHeight="1">
      <c r="A696" s="106"/>
      <c r="B696" s="106"/>
      <c r="C696" s="106"/>
      <c r="D696" s="101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9"/>
      <c r="V696" s="109"/>
    </row>
    <row r="697" ht="12.75" customHeight="1">
      <c r="A697" s="106"/>
      <c r="B697" s="106"/>
      <c r="C697" s="106"/>
      <c r="D697" s="101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9"/>
      <c r="V697" s="109"/>
    </row>
    <row r="698" ht="12.75" customHeight="1">
      <c r="A698" s="106"/>
      <c r="B698" s="106"/>
      <c r="C698" s="106"/>
      <c r="D698" s="101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9"/>
      <c r="V698" s="109"/>
    </row>
    <row r="699" ht="12.75" customHeight="1">
      <c r="A699" s="106"/>
      <c r="B699" s="106"/>
      <c r="C699" s="106"/>
      <c r="D699" s="101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9"/>
      <c r="V699" s="109"/>
    </row>
    <row r="700" ht="12.75" customHeight="1">
      <c r="A700" s="106"/>
      <c r="B700" s="106"/>
      <c r="C700" s="106"/>
      <c r="D700" s="101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9"/>
      <c r="V700" s="109"/>
    </row>
    <row r="701" ht="12.75" customHeight="1">
      <c r="A701" s="106"/>
      <c r="B701" s="106"/>
      <c r="C701" s="106"/>
      <c r="D701" s="101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9"/>
      <c r="V701" s="109"/>
    </row>
    <row r="702" ht="12.75" customHeight="1">
      <c r="A702" s="106"/>
      <c r="B702" s="106"/>
      <c r="C702" s="106"/>
      <c r="D702" s="101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9"/>
      <c r="V702" s="109"/>
    </row>
    <row r="703" ht="12.75" customHeight="1">
      <c r="A703" s="106"/>
      <c r="B703" s="106"/>
      <c r="C703" s="106"/>
      <c r="D703" s="101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9"/>
      <c r="V703" s="109"/>
    </row>
    <row r="704" ht="12.75" customHeight="1">
      <c r="A704" s="106"/>
      <c r="B704" s="106"/>
      <c r="C704" s="106"/>
      <c r="D704" s="101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9"/>
      <c r="V704" s="109"/>
    </row>
    <row r="705" ht="12.75" customHeight="1">
      <c r="A705" s="106"/>
      <c r="B705" s="106"/>
      <c r="C705" s="106"/>
      <c r="D705" s="101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9"/>
      <c r="V705" s="109"/>
    </row>
    <row r="706" ht="12.75" customHeight="1">
      <c r="A706" s="106"/>
      <c r="B706" s="106"/>
      <c r="C706" s="106"/>
      <c r="D706" s="101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9"/>
      <c r="V706" s="109"/>
    </row>
    <row r="707" ht="12.75" customHeight="1">
      <c r="A707" s="106"/>
      <c r="B707" s="106"/>
      <c r="C707" s="106"/>
      <c r="D707" s="101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9"/>
      <c r="V707" s="109"/>
    </row>
    <row r="708" ht="12.75" customHeight="1">
      <c r="A708" s="106"/>
      <c r="B708" s="106"/>
      <c r="C708" s="106"/>
      <c r="D708" s="101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9"/>
      <c r="V708" s="109"/>
    </row>
    <row r="709" ht="12.75" customHeight="1">
      <c r="A709" s="106"/>
      <c r="B709" s="106"/>
      <c r="C709" s="106"/>
      <c r="D709" s="101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9"/>
      <c r="V709" s="109"/>
    </row>
    <row r="710" ht="12.75" customHeight="1">
      <c r="A710" s="106"/>
      <c r="B710" s="106"/>
      <c r="C710" s="106"/>
      <c r="D710" s="101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9"/>
      <c r="V710" s="109"/>
    </row>
    <row r="711" ht="12.75" customHeight="1">
      <c r="A711" s="106"/>
      <c r="B711" s="106"/>
      <c r="C711" s="106"/>
      <c r="D711" s="101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9"/>
      <c r="V711" s="109"/>
    </row>
    <row r="712" ht="12.75" customHeight="1">
      <c r="A712" s="106"/>
      <c r="B712" s="106"/>
      <c r="C712" s="106"/>
      <c r="D712" s="101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9"/>
      <c r="V712" s="109"/>
    </row>
    <row r="713" ht="12.75" customHeight="1">
      <c r="A713" s="106"/>
      <c r="B713" s="106"/>
      <c r="C713" s="106"/>
      <c r="D713" s="101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9"/>
      <c r="V713" s="109"/>
    </row>
    <row r="714" ht="12.75" customHeight="1">
      <c r="A714" s="106"/>
      <c r="B714" s="106"/>
      <c r="C714" s="106"/>
      <c r="D714" s="101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9"/>
      <c r="V714" s="109"/>
    </row>
    <row r="715" ht="12.75" customHeight="1">
      <c r="A715" s="106"/>
      <c r="B715" s="106"/>
      <c r="C715" s="106"/>
      <c r="D715" s="101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9"/>
      <c r="V715" s="109"/>
    </row>
    <row r="716" ht="12.75" customHeight="1">
      <c r="A716" s="106"/>
      <c r="B716" s="106"/>
      <c r="C716" s="106"/>
      <c r="D716" s="101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9"/>
      <c r="V716" s="109"/>
    </row>
    <row r="717" ht="12.75" customHeight="1">
      <c r="A717" s="106"/>
      <c r="B717" s="106"/>
      <c r="C717" s="106"/>
      <c r="D717" s="101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9"/>
      <c r="V717" s="109"/>
    </row>
    <row r="718" ht="12.75" customHeight="1">
      <c r="A718" s="106"/>
      <c r="B718" s="106"/>
      <c r="C718" s="106"/>
      <c r="D718" s="101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9"/>
      <c r="V718" s="109"/>
    </row>
    <row r="719" ht="12.75" customHeight="1">
      <c r="A719" s="106"/>
      <c r="B719" s="106"/>
      <c r="C719" s="106"/>
      <c r="D719" s="101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9"/>
      <c r="V719" s="109"/>
    </row>
    <row r="720" ht="12.75" customHeight="1">
      <c r="A720" s="106"/>
      <c r="B720" s="106"/>
      <c r="C720" s="106"/>
      <c r="D720" s="101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9"/>
      <c r="V720" s="109"/>
    </row>
    <row r="721" ht="12.75" customHeight="1">
      <c r="A721" s="106"/>
      <c r="B721" s="106"/>
      <c r="C721" s="106"/>
      <c r="D721" s="101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9"/>
      <c r="V721" s="109"/>
    </row>
    <row r="722" ht="12.75" customHeight="1">
      <c r="A722" s="106"/>
      <c r="B722" s="106"/>
      <c r="C722" s="106"/>
      <c r="D722" s="101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9"/>
      <c r="V722" s="109"/>
    </row>
    <row r="723" ht="12.75" customHeight="1">
      <c r="A723" s="106"/>
      <c r="B723" s="106"/>
      <c r="C723" s="106"/>
      <c r="D723" s="101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9"/>
      <c r="V723" s="109"/>
    </row>
    <row r="724" ht="12.75" customHeight="1">
      <c r="A724" s="106"/>
      <c r="B724" s="106"/>
      <c r="C724" s="106"/>
      <c r="D724" s="101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9"/>
      <c r="V724" s="109"/>
    </row>
    <row r="725" ht="12.75" customHeight="1">
      <c r="A725" s="106"/>
      <c r="B725" s="106"/>
      <c r="C725" s="106"/>
      <c r="D725" s="101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9"/>
      <c r="V725" s="109"/>
    </row>
    <row r="726" ht="12.75" customHeight="1">
      <c r="A726" s="106"/>
      <c r="B726" s="106"/>
      <c r="C726" s="106"/>
      <c r="D726" s="101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9"/>
      <c r="V726" s="109"/>
    </row>
    <row r="727" ht="12.75" customHeight="1">
      <c r="A727" s="106"/>
      <c r="B727" s="106"/>
      <c r="C727" s="106"/>
      <c r="D727" s="101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9"/>
      <c r="V727" s="109"/>
    </row>
    <row r="728" ht="12.75" customHeight="1">
      <c r="A728" s="106"/>
      <c r="B728" s="106"/>
      <c r="C728" s="106"/>
      <c r="D728" s="101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9"/>
      <c r="V728" s="109"/>
    </row>
    <row r="729" ht="12.75" customHeight="1">
      <c r="A729" s="106"/>
      <c r="B729" s="106"/>
      <c r="C729" s="106"/>
      <c r="D729" s="101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9"/>
      <c r="V729" s="109"/>
    </row>
    <row r="730" ht="12.75" customHeight="1">
      <c r="A730" s="106"/>
      <c r="B730" s="106"/>
      <c r="C730" s="106"/>
      <c r="D730" s="101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9"/>
      <c r="V730" s="109"/>
    </row>
    <row r="731" ht="12.75" customHeight="1">
      <c r="A731" s="106"/>
      <c r="B731" s="106"/>
      <c r="C731" s="106"/>
      <c r="D731" s="101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9"/>
      <c r="V731" s="109"/>
    </row>
    <row r="732" ht="12.75" customHeight="1">
      <c r="A732" s="106"/>
      <c r="B732" s="106"/>
      <c r="C732" s="106"/>
      <c r="D732" s="101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9"/>
      <c r="V732" s="109"/>
    </row>
    <row r="733" ht="12.75" customHeight="1">
      <c r="A733" s="106"/>
      <c r="B733" s="106"/>
      <c r="C733" s="106"/>
      <c r="D733" s="101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9"/>
      <c r="V733" s="109"/>
    </row>
    <row r="734" ht="12.75" customHeight="1">
      <c r="A734" s="106"/>
      <c r="B734" s="106"/>
      <c r="C734" s="106"/>
      <c r="D734" s="101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9"/>
      <c r="V734" s="109"/>
    </row>
    <row r="735" ht="12.75" customHeight="1">
      <c r="A735" s="106"/>
      <c r="B735" s="106"/>
      <c r="C735" s="106"/>
      <c r="D735" s="101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9"/>
      <c r="V735" s="109"/>
    </row>
    <row r="736" ht="12.75" customHeight="1">
      <c r="A736" s="106"/>
      <c r="B736" s="106"/>
      <c r="C736" s="106"/>
      <c r="D736" s="101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9"/>
      <c r="V736" s="109"/>
    </row>
    <row r="737" ht="12.75" customHeight="1">
      <c r="A737" s="106"/>
      <c r="B737" s="106"/>
      <c r="C737" s="106"/>
      <c r="D737" s="101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9"/>
      <c r="V737" s="109"/>
    </row>
    <row r="738" ht="12.75" customHeight="1">
      <c r="A738" s="106"/>
      <c r="B738" s="106"/>
      <c r="C738" s="106"/>
      <c r="D738" s="101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9"/>
      <c r="V738" s="109"/>
    </row>
    <row r="739" ht="12.75" customHeight="1">
      <c r="A739" s="106"/>
      <c r="B739" s="106"/>
      <c r="C739" s="106"/>
      <c r="D739" s="101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9"/>
      <c r="V739" s="109"/>
    </row>
    <row r="740" ht="12.75" customHeight="1">
      <c r="A740" s="106"/>
      <c r="B740" s="106"/>
      <c r="C740" s="106"/>
      <c r="D740" s="101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9"/>
      <c r="V740" s="109"/>
    </row>
    <row r="741" ht="12.75" customHeight="1">
      <c r="A741" s="106"/>
      <c r="B741" s="106"/>
      <c r="C741" s="106"/>
      <c r="D741" s="101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9"/>
      <c r="V741" s="109"/>
    </row>
    <row r="742" ht="12.75" customHeight="1">
      <c r="A742" s="106"/>
      <c r="B742" s="106"/>
      <c r="C742" s="106"/>
      <c r="D742" s="101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9"/>
      <c r="V742" s="109"/>
    </row>
    <row r="743" ht="12.75" customHeight="1">
      <c r="A743" s="106"/>
      <c r="B743" s="106"/>
      <c r="C743" s="106"/>
      <c r="D743" s="101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9"/>
      <c r="V743" s="109"/>
    </row>
    <row r="744" ht="12.75" customHeight="1">
      <c r="A744" s="106"/>
      <c r="B744" s="106"/>
      <c r="C744" s="106"/>
      <c r="D744" s="101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9"/>
      <c r="V744" s="109"/>
    </row>
    <row r="745" ht="12.75" customHeight="1">
      <c r="A745" s="106"/>
      <c r="B745" s="106"/>
      <c r="C745" s="106"/>
      <c r="D745" s="101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9"/>
      <c r="V745" s="109"/>
    </row>
    <row r="746" ht="12.75" customHeight="1">
      <c r="A746" s="106"/>
      <c r="B746" s="106"/>
      <c r="C746" s="106"/>
      <c r="D746" s="101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9"/>
      <c r="V746" s="109"/>
    </row>
    <row r="747" ht="12.75" customHeight="1">
      <c r="A747" s="106"/>
      <c r="B747" s="106"/>
      <c r="C747" s="106"/>
      <c r="D747" s="101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9"/>
      <c r="V747" s="109"/>
    </row>
    <row r="748" ht="12.75" customHeight="1">
      <c r="A748" s="106"/>
      <c r="B748" s="106"/>
      <c r="C748" s="106"/>
      <c r="D748" s="101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9"/>
      <c r="V748" s="109"/>
    </row>
    <row r="749" ht="12.75" customHeight="1">
      <c r="A749" s="106"/>
      <c r="B749" s="106"/>
      <c r="C749" s="106"/>
      <c r="D749" s="101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9"/>
      <c r="V749" s="109"/>
    </row>
    <row r="750" ht="12.75" customHeight="1">
      <c r="A750" s="106"/>
      <c r="B750" s="106"/>
      <c r="C750" s="106"/>
      <c r="D750" s="101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9"/>
      <c r="V750" s="109"/>
    </row>
    <row r="751" ht="12.75" customHeight="1">
      <c r="A751" s="106"/>
      <c r="B751" s="106"/>
      <c r="C751" s="106"/>
      <c r="D751" s="101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9"/>
      <c r="V751" s="109"/>
    </row>
    <row r="752" ht="12.75" customHeight="1">
      <c r="A752" s="106"/>
      <c r="B752" s="106"/>
      <c r="C752" s="106"/>
      <c r="D752" s="101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9"/>
      <c r="V752" s="109"/>
    </row>
    <row r="753" ht="12.75" customHeight="1">
      <c r="A753" s="106"/>
      <c r="B753" s="106"/>
      <c r="C753" s="106"/>
      <c r="D753" s="101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9"/>
      <c r="V753" s="109"/>
    </row>
    <row r="754" ht="12.75" customHeight="1">
      <c r="A754" s="106"/>
      <c r="B754" s="106"/>
      <c r="C754" s="106"/>
      <c r="D754" s="101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9"/>
      <c r="V754" s="109"/>
    </row>
    <row r="755" ht="12.75" customHeight="1">
      <c r="A755" s="106"/>
      <c r="B755" s="106"/>
      <c r="C755" s="106"/>
      <c r="D755" s="101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9"/>
      <c r="V755" s="109"/>
    </row>
    <row r="756" ht="12.75" customHeight="1">
      <c r="A756" s="106"/>
      <c r="B756" s="106"/>
      <c r="C756" s="106"/>
      <c r="D756" s="101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9"/>
      <c r="V756" s="109"/>
    </row>
    <row r="757" ht="12.75" customHeight="1">
      <c r="A757" s="106"/>
      <c r="B757" s="106"/>
      <c r="C757" s="106"/>
      <c r="D757" s="101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9"/>
      <c r="V757" s="109"/>
    </row>
    <row r="758" ht="12.75" customHeight="1">
      <c r="A758" s="106"/>
      <c r="B758" s="106"/>
      <c r="C758" s="106"/>
      <c r="D758" s="101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9"/>
      <c r="V758" s="109"/>
    </row>
    <row r="759" ht="12.75" customHeight="1">
      <c r="A759" s="106"/>
      <c r="B759" s="106"/>
      <c r="C759" s="106"/>
      <c r="D759" s="101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9"/>
      <c r="V759" s="109"/>
    </row>
    <row r="760" ht="12.75" customHeight="1">
      <c r="A760" s="106"/>
      <c r="B760" s="106"/>
      <c r="C760" s="106"/>
      <c r="D760" s="101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9"/>
      <c r="V760" s="109"/>
    </row>
    <row r="761" ht="12.75" customHeight="1">
      <c r="A761" s="106"/>
      <c r="B761" s="106"/>
      <c r="C761" s="106"/>
      <c r="D761" s="101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9"/>
      <c r="V761" s="109"/>
    </row>
    <row r="762" ht="12.75" customHeight="1">
      <c r="A762" s="106"/>
      <c r="B762" s="106"/>
      <c r="C762" s="106"/>
      <c r="D762" s="101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9"/>
      <c r="V762" s="109"/>
    </row>
    <row r="763" ht="12.75" customHeight="1">
      <c r="A763" s="106"/>
      <c r="B763" s="106"/>
      <c r="C763" s="106"/>
      <c r="D763" s="101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9"/>
      <c r="V763" s="109"/>
    </row>
    <row r="764" ht="12.75" customHeight="1">
      <c r="A764" s="106"/>
      <c r="B764" s="106"/>
      <c r="C764" s="106"/>
      <c r="D764" s="101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9"/>
      <c r="V764" s="109"/>
    </row>
    <row r="765" ht="12.75" customHeight="1">
      <c r="A765" s="106"/>
      <c r="B765" s="106"/>
      <c r="C765" s="106"/>
      <c r="D765" s="101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9"/>
      <c r="V765" s="109"/>
    </row>
    <row r="766" ht="12.75" customHeight="1">
      <c r="A766" s="106"/>
      <c r="B766" s="106"/>
      <c r="C766" s="106"/>
      <c r="D766" s="101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9"/>
      <c r="V766" s="109"/>
    </row>
    <row r="767" ht="12.75" customHeight="1">
      <c r="A767" s="106"/>
      <c r="B767" s="106"/>
      <c r="C767" s="106"/>
      <c r="D767" s="101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9"/>
      <c r="V767" s="109"/>
    </row>
    <row r="768" ht="12.75" customHeight="1">
      <c r="A768" s="106"/>
      <c r="B768" s="106"/>
      <c r="C768" s="106"/>
      <c r="D768" s="101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9"/>
      <c r="V768" s="109"/>
    </row>
    <row r="769" ht="12.75" customHeight="1">
      <c r="A769" s="106"/>
      <c r="B769" s="106"/>
      <c r="C769" s="106"/>
      <c r="D769" s="101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9"/>
      <c r="V769" s="109"/>
    </row>
    <row r="770" ht="12.75" customHeight="1">
      <c r="A770" s="106"/>
      <c r="B770" s="106"/>
      <c r="C770" s="106"/>
      <c r="D770" s="101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9"/>
      <c r="V770" s="109"/>
    </row>
    <row r="771" ht="12.75" customHeight="1">
      <c r="A771" s="106"/>
      <c r="B771" s="106"/>
      <c r="C771" s="106"/>
      <c r="D771" s="101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9"/>
      <c r="V771" s="109"/>
    </row>
    <row r="772" ht="12.75" customHeight="1">
      <c r="A772" s="106"/>
      <c r="B772" s="106"/>
      <c r="C772" s="106"/>
      <c r="D772" s="101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9"/>
      <c r="V772" s="109"/>
    </row>
    <row r="773" ht="12.75" customHeight="1">
      <c r="A773" s="106"/>
      <c r="B773" s="106"/>
      <c r="C773" s="106"/>
      <c r="D773" s="101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9"/>
      <c r="V773" s="109"/>
    </row>
    <row r="774" ht="12.75" customHeight="1">
      <c r="A774" s="106"/>
      <c r="B774" s="106"/>
      <c r="C774" s="106"/>
      <c r="D774" s="101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9"/>
      <c r="V774" s="109"/>
    </row>
    <row r="775" ht="12.75" customHeight="1">
      <c r="A775" s="106"/>
      <c r="B775" s="106"/>
      <c r="C775" s="106"/>
      <c r="D775" s="101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9"/>
      <c r="V775" s="109"/>
    </row>
    <row r="776" ht="12.75" customHeight="1">
      <c r="A776" s="106"/>
      <c r="B776" s="106"/>
      <c r="C776" s="106"/>
      <c r="D776" s="101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9"/>
      <c r="V776" s="109"/>
    </row>
    <row r="777" ht="12.75" customHeight="1">
      <c r="A777" s="106"/>
      <c r="B777" s="106"/>
      <c r="C777" s="106"/>
      <c r="D777" s="101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9"/>
      <c r="V777" s="109"/>
    </row>
    <row r="778" ht="12.75" customHeight="1">
      <c r="A778" s="106"/>
      <c r="B778" s="106"/>
      <c r="C778" s="106"/>
      <c r="D778" s="101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9"/>
      <c r="V778" s="109"/>
    </row>
    <row r="779" ht="12.75" customHeight="1">
      <c r="A779" s="106"/>
      <c r="B779" s="106"/>
      <c r="C779" s="106"/>
      <c r="D779" s="101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9"/>
      <c r="V779" s="109"/>
    </row>
    <row r="780" ht="12.75" customHeight="1">
      <c r="A780" s="106"/>
      <c r="B780" s="106"/>
      <c r="C780" s="106"/>
      <c r="D780" s="101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9"/>
      <c r="V780" s="109"/>
    </row>
    <row r="781" ht="12.75" customHeight="1">
      <c r="A781" s="106"/>
      <c r="B781" s="106"/>
      <c r="C781" s="106"/>
      <c r="D781" s="101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9"/>
      <c r="V781" s="109"/>
    </row>
    <row r="782" ht="12.75" customHeight="1">
      <c r="A782" s="106"/>
      <c r="B782" s="106"/>
      <c r="C782" s="106"/>
      <c r="D782" s="101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9"/>
      <c r="V782" s="109"/>
    </row>
    <row r="783" ht="12.75" customHeight="1">
      <c r="A783" s="106"/>
      <c r="B783" s="106"/>
      <c r="C783" s="106"/>
      <c r="D783" s="101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9"/>
      <c r="V783" s="109"/>
    </row>
    <row r="784" ht="12.75" customHeight="1">
      <c r="A784" s="106"/>
      <c r="B784" s="106"/>
      <c r="C784" s="106"/>
      <c r="D784" s="101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9"/>
      <c r="V784" s="109"/>
    </row>
    <row r="785" ht="12.75" customHeight="1">
      <c r="A785" s="106"/>
      <c r="B785" s="106"/>
      <c r="C785" s="106"/>
      <c r="D785" s="101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9"/>
      <c r="V785" s="109"/>
    </row>
    <row r="786" ht="12.75" customHeight="1">
      <c r="A786" s="106"/>
      <c r="B786" s="106"/>
      <c r="C786" s="106"/>
      <c r="D786" s="101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9"/>
      <c r="V786" s="109"/>
    </row>
    <row r="787" ht="12.75" customHeight="1">
      <c r="A787" s="106"/>
      <c r="B787" s="106"/>
      <c r="C787" s="106"/>
      <c r="D787" s="101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9"/>
      <c r="V787" s="109"/>
    </row>
    <row r="788" ht="12.75" customHeight="1">
      <c r="A788" s="106"/>
      <c r="B788" s="106"/>
      <c r="C788" s="106"/>
      <c r="D788" s="101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9"/>
      <c r="V788" s="109"/>
    </row>
    <row r="789" ht="12.75" customHeight="1">
      <c r="A789" s="106"/>
      <c r="B789" s="106"/>
      <c r="C789" s="106"/>
      <c r="D789" s="101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9"/>
      <c r="V789" s="109"/>
    </row>
    <row r="790" ht="12.75" customHeight="1">
      <c r="A790" s="106"/>
      <c r="B790" s="106"/>
      <c r="C790" s="106"/>
      <c r="D790" s="101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9"/>
      <c r="V790" s="109"/>
    </row>
    <row r="791" ht="12.75" customHeight="1">
      <c r="A791" s="106"/>
      <c r="B791" s="106"/>
      <c r="C791" s="106"/>
      <c r="D791" s="101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9"/>
      <c r="V791" s="109"/>
    </row>
    <row r="792" ht="12.75" customHeight="1">
      <c r="A792" s="106"/>
      <c r="B792" s="106"/>
      <c r="C792" s="106"/>
      <c r="D792" s="101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9"/>
      <c r="V792" s="109"/>
    </row>
    <row r="793" ht="12.75" customHeight="1">
      <c r="A793" s="106"/>
      <c r="B793" s="106"/>
      <c r="C793" s="106"/>
      <c r="D793" s="101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9"/>
      <c r="V793" s="109"/>
    </row>
    <row r="794" ht="12.75" customHeight="1">
      <c r="A794" s="106"/>
      <c r="B794" s="106"/>
      <c r="C794" s="106"/>
      <c r="D794" s="101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9"/>
      <c r="V794" s="109"/>
    </row>
    <row r="795" ht="12.75" customHeight="1">
      <c r="A795" s="106"/>
      <c r="B795" s="106"/>
      <c r="C795" s="106"/>
      <c r="D795" s="101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9"/>
      <c r="V795" s="109"/>
    </row>
    <row r="796" ht="12.75" customHeight="1">
      <c r="A796" s="106"/>
      <c r="B796" s="106"/>
      <c r="C796" s="106"/>
      <c r="D796" s="101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9"/>
      <c r="V796" s="109"/>
    </row>
    <row r="797" ht="12.75" customHeight="1">
      <c r="A797" s="106"/>
      <c r="B797" s="106"/>
      <c r="C797" s="106"/>
      <c r="D797" s="101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9"/>
      <c r="V797" s="109"/>
    </row>
    <row r="798" ht="12.75" customHeight="1">
      <c r="A798" s="106"/>
      <c r="B798" s="106"/>
      <c r="C798" s="106"/>
      <c r="D798" s="101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9"/>
      <c r="V798" s="109"/>
    </row>
    <row r="799" ht="12.75" customHeight="1">
      <c r="A799" s="106"/>
      <c r="B799" s="106"/>
      <c r="C799" s="106"/>
      <c r="D799" s="101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9"/>
      <c r="V799" s="109"/>
    </row>
    <row r="800" ht="12.75" customHeight="1">
      <c r="A800" s="106"/>
      <c r="B800" s="106"/>
      <c r="C800" s="106"/>
      <c r="D800" s="101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9"/>
      <c r="V800" s="109"/>
    </row>
    <row r="801" ht="12.75" customHeight="1">
      <c r="A801" s="106"/>
      <c r="B801" s="106"/>
      <c r="C801" s="106"/>
      <c r="D801" s="101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9"/>
      <c r="V801" s="109"/>
    </row>
    <row r="802" ht="12.75" customHeight="1">
      <c r="A802" s="106"/>
      <c r="B802" s="106"/>
      <c r="C802" s="106"/>
      <c r="D802" s="101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9"/>
      <c r="V802" s="109"/>
    </row>
    <row r="803" ht="12.75" customHeight="1">
      <c r="A803" s="106"/>
      <c r="B803" s="106"/>
      <c r="C803" s="106"/>
      <c r="D803" s="101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9"/>
      <c r="V803" s="109"/>
    </row>
    <row r="804" ht="12.75" customHeight="1">
      <c r="A804" s="106"/>
      <c r="B804" s="106"/>
      <c r="C804" s="106"/>
      <c r="D804" s="101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9"/>
      <c r="V804" s="109"/>
    </row>
    <row r="805" ht="12.75" customHeight="1">
      <c r="A805" s="106"/>
      <c r="B805" s="106"/>
      <c r="C805" s="106"/>
      <c r="D805" s="101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9"/>
      <c r="V805" s="109"/>
    </row>
    <row r="806" ht="12.75" customHeight="1">
      <c r="A806" s="106"/>
      <c r="B806" s="106"/>
      <c r="C806" s="106"/>
      <c r="D806" s="101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9"/>
      <c r="V806" s="109"/>
    </row>
    <row r="807" ht="12.75" customHeight="1">
      <c r="A807" s="106"/>
      <c r="B807" s="106"/>
      <c r="C807" s="106"/>
      <c r="D807" s="101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9"/>
      <c r="V807" s="109"/>
    </row>
    <row r="808" ht="12.75" customHeight="1">
      <c r="A808" s="106"/>
      <c r="B808" s="106"/>
      <c r="C808" s="106"/>
      <c r="D808" s="101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9"/>
      <c r="V808" s="109"/>
    </row>
    <row r="809" ht="12.75" customHeight="1">
      <c r="A809" s="106"/>
      <c r="B809" s="106"/>
      <c r="C809" s="106"/>
      <c r="D809" s="101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9"/>
      <c r="V809" s="109"/>
    </row>
    <row r="810" ht="12.75" customHeight="1">
      <c r="A810" s="106"/>
      <c r="B810" s="106"/>
      <c r="C810" s="106"/>
      <c r="D810" s="101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9"/>
      <c r="V810" s="109"/>
    </row>
    <row r="811" ht="12.75" customHeight="1">
      <c r="A811" s="106"/>
      <c r="B811" s="106"/>
      <c r="C811" s="106"/>
      <c r="D811" s="101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9"/>
      <c r="V811" s="109"/>
    </row>
    <row r="812" ht="12.75" customHeight="1">
      <c r="A812" s="106"/>
      <c r="B812" s="106"/>
      <c r="C812" s="106"/>
      <c r="D812" s="101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9"/>
      <c r="V812" s="109"/>
    </row>
    <row r="813" ht="12.75" customHeight="1">
      <c r="A813" s="106"/>
      <c r="B813" s="106"/>
      <c r="C813" s="106"/>
      <c r="D813" s="101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9"/>
      <c r="V813" s="109"/>
    </row>
    <row r="814" ht="12.75" customHeight="1">
      <c r="A814" s="106"/>
      <c r="B814" s="106"/>
      <c r="C814" s="106"/>
      <c r="D814" s="101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9"/>
      <c r="V814" s="109"/>
    </row>
    <row r="815" ht="12.75" customHeight="1">
      <c r="A815" s="106"/>
      <c r="B815" s="106"/>
      <c r="C815" s="106"/>
      <c r="D815" s="101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9"/>
      <c r="V815" s="109"/>
    </row>
    <row r="816" ht="12.75" customHeight="1">
      <c r="A816" s="106"/>
      <c r="B816" s="106"/>
      <c r="C816" s="106"/>
      <c r="D816" s="101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9"/>
      <c r="V816" s="109"/>
    </row>
    <row r="817" ht="12.75" customHeight="1">
      <c r="A817" s="106"/>
      <c r="B817" s="106"/>
      <c r="C817" s="106"/>
      <c r="D817" s="101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9"/>
      <c r="V817" s="109"/>
    </row>
    <row r="818" ht="12.75" customHeight="1">
      <c r="A818" s="106"/>
      <c r="B818" s="106"/>
      <c r="C818" s="106"/>
      <c r="D818" s="101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9"/>
      <c r="V818" s="109"/>
    </row>
    <row r="819" ht="12.75" customHeight="1">
      <c r="A819" s="106"/>
      <c r="B819" s="106"/>
      <c r="C819" s="106"/>
      <c r="D819" s="101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9"/>
      <c r="V819" s="109"/>
    </row>
    <row r="820" ht="12.75" customHeight="1">
      <c r="A820" s="106"/>
      <c r="B820" s="106"/>
      <c r="C820" s="106"/>
      <c r="D820" s="101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9"/>
      <c r="V820" s="109"/>
    </row>
    <row r="821" ht="12.75" customHeight="1">
      <c r="A821" s="106"/>
      <c r="B821" s="106"/>
      <c r="C821" s="106"/>
      <c r="D821" s="101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9"/>
      <c r="V821" s="109"/>
    </row>
    <row r="822" ht="12.75" customHeight="1">
      <c r="A822" s="106"/>
      <c r="B822" s="106"/>
      <c r="C822" s="106"/>
      <c r="D822" s="101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9"/>
      <c r="V822" s="109"/>
    </row>
    <row r="823" ht="12.75" customHeight="1">
      <c r="A823" s="106"/>
      <c r="B823" s="106"/>
      <c r="C823" s="106"/>
      <c r="D823" s="101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9"/>
      <c r="V823" s="109"/>
    </row>
    <row r="824" ht="12.75" customHeight="1">
      <c r="A824" s="106"/>
      <c r="B824" s="106"/>
      <c r="C824" s="106"/>
      <c r="D824" s="101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9"/>
      <c r="V824" s="109"/>
    </row>
    <row r="825" ht="12.75" customHeight="1">
      <c r="A825" s="106"/>
      <c r="B825" s="106"/>
      <c r="C825" s="106"/>
      <c r="D825" s="101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9"/>
      <c r="V825" s="109"/>
    </row>
    <row r="826" ht="12.75" customHeight="1">
      <c r="A826" s="106"/>
      <c r="B826" s="106"/>
      <c r="C826" s="106"/>
      <c r="D826" s="101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9"/>
      <c r="V826" s="109"/>
    </row>
    <row r="827" ht="12.75" customHeight="1">
      <c r="A827" s="106"/>
      <c r="B827" s="106"/>
      <c r="C827" s="106"/>
      <c r="D827" s="101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9"/>
      <c r="V827" s="109"/>
    </row>
    <row r="828" ht="12.75" customHeight="1">
      <c r="A828" s="106"/>
      <c r="B828" s="106"/>
      <c r="C828" s="106"/>
      <c r="D828" s="101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9"/>
      <c r="V828" s="109"/>
    </row>
    <row r="829" ht="12.75" customHeight="1">
      <c r="A829" s="106"/>
      <c r="B829" s="106"/>
      <c r="C829" s="106"/>
      <c r="D829" s="101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9"/>
      <c r="V829" s="109"/>
    </row>
    <row r="830" ht="12.75" customHeight="1">
      <c r="A830" s="106"/>
      <c r="B830" s="106"/>
      <c r="C830" s="106"/>
      <c r="D830" s="101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9"/>
      <c r="V830" s="109"/>
    </row>
    <row r="831" ht="12.75" customHeight="1">
      <c r="A831" s="106"/>
      <c r="B831" s="106"/>
      <c r="C831" s="106"/>
      <c r="D831" s="101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9"/>
      <c r="V831" s="109"/>
    </row>
    <row r="832" ht="12.75" customHeight="1">
      <c r="A832" s="106"/>
      <c r="B832" s="106"/>
      <c r="C832" s="106"/>
      <c r="D832" s="101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9"/>
      <c r="V832" s="109"/>
    </row>
    <row r="833" ht="12.75" customHeight="1">
      <c r="A833" s="106"/>
      <c r="B833" s="106"/>
      <c r="C833" s="106"/>
      <c r="D833" s="101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9"/>
      <c r="V833" s="109"/>
    </row>
    <row r="834" ht="12.75" customHeight="1">
      <c r="A834" s="106"/>
      <c r="B834" s="106"/>
      <c r="C834" s="106"/>
      <c r="D834" s="101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9"/>
      <c r="V834" s="109"/>
    </row>
    <row r="835" ht="12.75" customHeight="1">
      <c r="A835" s="106"/>
      <c r="B835" s="106"/>
      <c r="C835" s="106"/>
      <c r="D835" s="101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9"/>
      <c r="V835" s="109"/>
    </row>
    <row r="836" ht="12.75" customHeight="1">
      <c r="A836" s="106"/>
      <c r="B836" s="106"/>
      <c r="C836" s="106"/>
      <c r="D836" s="101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9"/>
      <c r="V836" s="109"/>
    </row>
    <row r="837" ht="12.75" customHeight="1">
      <c r="A837" s="106"/>
      <c r="B837" s="106"/>
      <c r="C837" s="106"/>
      <c r="D837" s="101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9"/>
      <c r="V837" s="109"/>
    </row>
    <row r="838" ht="12.75" customHeight="1">
      <c r="A838" s="106"/>
      <c r="B838" s="106"/>
      <c r="C838" s="106"/>
      <c r="D838" s="101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9"/>
      <c r="V838" s="109"/>
    </row>
    <row r="839" ht="12.75" customHeight="1">
      <c r="A839" s="106"/>
      <c r="B839" s="106"/>
      <c r="C839" s="106"/>
      <c r="D839" s="101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9"/>
      <c r="V839" s="109"/>
    </row>
    <row r="840" ht="12.75" customHeight="1">
      <c r="A840" s="106"/>
      <c r="B840" s="106"/>
      <c r="C840" s="106"/>
      <c r="D840" s="101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9"/>
      <c r="V840" s="109"/>
    </row>
    <row r="841" ht="12.75" customHeight="1">
      <c r="A841" s="106"/>
      <c r="B841" s="106"/>
      <c r="C841" s="106"/>
      <c r="D841" s="101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9"/>
      <c r="V841" s="109"/>
    </row>
    <row r="842" ht="12.75" customHeight="1">
      <c r="A842" s="106"/>
      <c r="B842" s="106"/>
      <c r="C842" s="106"/>
      <c r="D842" s="101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9"/>
      <c r="V842" s="109"/>
    </row>
    <row r="843" ht="12.75" customHeight="1">
      <c r="A843" s="106"/>
      <c r="B843" s="106"/>
      <c r="C843" s="106"/>
      <c r="D843" s="101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9"/>
      <c r="V843" s="109"/>
    </row>
    <row r="844" ht="12.75" customHeight="1">
      <c r="A844" s="106"/>
      <c r="B844" s="106"/>
      <c r="C844" s="106"/>
      <c r="D844" s="101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9"/>
      <c r="V844" s="109"/>
    </row>
    <row r="845" ht="12.75" customHeight="1">
      <c r="A845" s="106"/>
      <c r="B845" s="106"/>
      <c r="C845" s="106"/>
      <c r="D845" s="101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9"/>
      <c r="V845" s="109"/>
    </row>
    <row r="846" ht="12.75" customHeight="1">
      <c r="A846" s="106"/>
      <c r="B846" s="106"/>
      <c r="C846" s="106"/>
      <c r="D846" s="101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9"/>
      <c r="V846" s="109"/>
    </row>
    <row r="847" ht="12.75" customHeight="1">
      <c r="A847" s="106"/>
      <c r="B847" s="106"/>
      <c r="C847" s="106"/>
      <c r="D847" s="101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9"/>
      <c r="V847" s="109"/>
    </row>
    <row r="848" ht="12.75" customHeight="1">
      <c r="A848" s="106"/>
      <c r="B848" s="106"/>
      <c r="C848" s="106"/>
      <c r="D848" s="101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9"/>
      <c r="V848" s="109"/>
    </row>
    <row r="849" ht="12.75" customHeight="1">
      <c r="A849" s="106"/>
      <c r="B849" s="106"/>
      <c r="C849" s="106"/>
      <c r="D849" s="101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9"/>
      <c r="V849" s="109"/>
    </row>
    <row r="850" ht="12.75" customHeight="1">
      <c r="A850" s="106"/>
      <c r="B850" s="106"/>
      <c r="C850" s="106"/>
      <c r="D850" s="101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9"/>
      <c r="V850" s="109"/>
    </row>
    <row r="851" ht="12.75" customHeight="1">
      <c r="A851" s="106"/>
      <c r="B851" s="106"/>
      <c r="C851" s="106"/>
      <c r="D851" s="101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9"/>
      <c r="V851" s="109"/>
    </row>
    <row r="852" ht="12.75" customHeight="1">
      <c r="A852" s="106"/>
      <c r="B852" s="106"/>
      <c r="C852" s="106"/>
      <c r="D852" s="101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9"/>
      <c r="V852" s="109"/>
    </row>
    <row r="853" ht="12.75" customHeight="1">
      <c r="A853" s="106"/>
      <c r="B853" s="106"/>
      <c r="C853" s="106"/>
      <c r="D853" s="101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9"/>
      <c r="V853" s="109"/>
    </row>
    <row r="854" ht="12.75" customHeight="1">
      <c r="A854" s="106"/>
      <c r="B854" s="106"/>
      <c r="C854" s="106"/>
      <c r="D854" s="101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9"/>
      <c r="V854" s="109"/>
    </row>
    <row r="855" ht="12.75" customHeight="1">
      <c r="A855" s="106"/>
      <c r="B855" s="106"/>
      <c r="C855" s="106"/>
      <c r="D855" s="101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9"/>
      <c r="V855" s="109"/>
    </row>
    <row r="856" ht="12.75" customHeight="1">
      <c r="A856" s="106"/>
      <c r="B856" s="106"/>
      <c r="C856" s="106"/>
      <c r="D856" s="101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9"/>
      <c r="V856" s="109"/>
    </row>
    <row r="857" ht="12.75" customHeight="1">
      <c r="A857" s="106"/>
      <c r="B857" s="106"/>
      <c r="C857" s="106"/>
      <c r="D857" s="101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9"/>
      <c r="V857" s="109"/>
    </row>
    <row r="858" ht="12.75" customHeight="1">
      <c r="A858" s="106"/>
      <c r="B858" s="106"/>
      <c r="C858" s="106"/>
      <c r="D858" s="101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9"/>
      <c r="V858" s="109"/>
    </row>
    <row r="859" ht="12.75" customHeight="1">
      <c r="A859" s="106"/>
      <c r="B859" s="106"/>
      <c r="C859" s="106"/>
      <c r="D859" s="101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9"/>
      <c r="V859" s="109"/>
    </row>
    <row r="860" ht="12.75" customHeight="1">
      <c r="A860" s="106"/>
      <c r="B860" s="106"/>
      <c r="C860" s="106"/>
      <c r="D860" s="101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9"/>
      <c r="V860" s="109"/>
    </row>
    <row r="861" ht="12.75" customHeight="1">
      <c r="A861" s="106"/>
      <c r="B861" s="106"/>
      <c r="C861" s="106"/>
      <c r="D861" s="101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9"/>
      <c r="V861" s="109"/>
    </row>
    <row r="862" ht="12.75" customHeight="1">
      <c r="A862" s="106"/>
      <c r="B862" s="106"/>
      <c r="C862" s="106"/>
      <c r="D862" s="101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9"/>
      <c r="V862" s="109"/>
    </row>
    <row r="863" ht="12.75" customHeight="1">
      <c r="A863" s="106"/>
      <c r="B863" s="106"/>
      <c r="C863" s="106"/>
      <c r="D863" s="101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9"/>
      <c r="V863" s="109"/>
    </row>
    <row r="864" ht="12.75" customHeight="1">
      <c r="A864" s="106"/>
      <c r="B864" s="106"/>
      <c r="C864" s="106"/>
      <c r="D864" s="101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9"/>
      <c r="V864" s="109"/>
    </row>
    <row r="865" ht="12.75" customHeight="1">
      <c r="A865" s="106"/>
      <c r="B865" s="106"/>
      <c r="C865" s="106"/>
      <c r="D865" s="101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9"/>
      <c r="V865" s="109"/>
    </row>
    <row r="866" ht="12.75" customHeight="1">
      <c r="A866" s="106"/>
      <c r="B866" s="106"/>
      <c r="C866" s="106"/>
      <c r="D866" s="101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9"/>
      <c r="V866" s="109"/>
    </row>
    <row r="867" ht="12.75" customHeight="1">
      <c r="A867" s="106"/>
      <c r="B867" s="106"/>
      <c r="C867" s="106"/>
      <c r="D867" s="101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9"/>
      <c r="V867" s="109"/>
    </row>
    <row r="868" ht="12.75" customHeight="1">
      <c r="A868" s="106"/>
      <c r="B868" s="106"/>
      <c r="C868" s="106"/>
      <c r="D868" s="101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9"/>
      <c r="V868" s="109"/>
    </row>
    <row r="869" ht="12.75" customHeight="1">
      <c r="A869" s="106"/>
      <c r="B869" s="106"/>
      <c r="C869" s="106"/>
      <c r="D869" s="101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9"/>
      <c r="V869" s="109"/>
    </row>
    <row r="870" ht="12.75" customHeight="1">
      <c r="A870" s="106"/>
      <c r="B870" s="106"/>
      <c r="C870" s="106"/>
      <c r="D870" s="101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9"/>
      <c r="V870" s="109"/>
    </row>
    <row r="871" ht="12.75" customHeight="1">
      <c r="A871" s="106"/>
      <c r="B871" s="106"/>
      <c r="C871" s="106"/>
      <c r="D871" s="101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9"/>
      <c r="V871" s="109"/>
    </row>
    <row r="872" ht="12.75" customHeight="1">
      <c r="A872" s="106"/>
      <c r="B872" s="106"/>
      <c r="C872" s="106"/>
      <c r="D872" s="101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9"/>
      <c r="V872" s="109"/>
    </row>
    <row r="873" ht="12.75" customHeight="1">
      <c r="A873" s="106"/>
      <c r="B873" s="106"/>
      <c r="C873" s="106"/>
      <c r="D873" s="101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9"/>
      <c r="V873" s="109"/>
    </row>
    <row r="874" ht="12.75" customHeight="1">
      <c r="A874" s="106"/>
      <c r="B874" s="106"/>
      <c r="C874" s="106"/>
      <c r="D874" s="101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9"/>
      <c r="V874" s="109"/>
    </row>
    <row r="875" ht="12.75" customHeight="1">
      <c r="A875" s="106"/>
      <c r="B875" s="106"/>
      <c r="C875" s="106"/>
      <c r="D875" s="101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9"/>
      <c r="V875" s="109"/>
    </row>
    <row r="876" ht="12.75" customHeight="1">
      <c r="A876" s="106"/>
      <c r="B876" s="106"/>
      <c r="C876" s="106"/>
      <c r="D876" s="101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9"/>
      <c r="V876" s="109"/>
    </row>
    <row r="877" ht="12.75" customHeight="1">
      <c r="A877" s="106"/>
      <c r="B877" s="106"/>
      <c r="C877" s="106"/>
      <c r="D877" s="101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9"/>
      <c r="V877" s="109"/>
    </row>
    <row r="878" ht="12.75" customHeight="1">
      <c r="A878" s="106"/>
      <c r="B878" s="106"/>
      <c r="C878" s="106"/>
      <c r="D878" s="101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9"/>
      <c r="V878" s="109"/>
    </row>
    <row r="879" ht="12.75" customHeight="1">
      <c r="A879" s="106"/>
      <c r="B879" s="106"/>
      <c r="C879" s="106"/>
      <c r="D879" s="101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9"/>
      <c r="V879" s="109"/>
    </row>
    <row r="880" ht="12.75" customHeight="1">
      <c r="A880" s="106"/>
      <c r="B880" s="106"/>
      <c r="C880" s="106"/>
      <c r="D880" s="101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9"/>
      <c r="V880" s="109"/>
    </row>
    <row r="881" ht="12.75" customHeight="1">
      <c r="A881" s="106"/>
      <c r="B881" s="106"/>
      <c r="C881" s="106"/>
      <c r="D881" s="101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9"/>
      <c r="V881" s="109"/>
    </row>
    <row r="882" ht="12.75" customHeight="1">
      <c r="A882" s="106"/>
      <c r="B882" s="106"/>
      <c r="C882" s="106"/>
      <c r="D882" s="101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9"/>
      <c r="V882" s="109"/>
    </row>
    <row r="883" ht="12.75" customHeight="1">
      <c r="A883" s="106"/>
      <c r="B883" s="106"/>
      <c r="C883" s="106"/>
      <c r="D883" s="101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9"/>
      <c r="V883" s="109"/>
    </row>
    <row r="884" ht="12.75" customHeight="1">
      <c r="A884" s="106"/>
      <c r="B884" s="106"/>
      <c r="C884" s="106"/>
      <c r="D884" s="101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9"/>
      <c r="V884" s="109"/>
    </row>
    <row r="885" ht="12.75" customHeight="1">
      <c r="A885" s="106"/>
      <c r="B885" s="106"/>
      <c r="C885" s="106"/>
      <c r="D885" s="101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9"/>
      <c r="V885" s="109"/>
    </row>
    <row r="886" ht="12.75" customHeight="1">
      <c r="A886" s="106"/>
      <c r="B886" s="106"/>
      <c r="C886" s="106"/>
      <c r="D886" s="101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9"/>
      <c r="V886" s="109"/>
    </row>
    <row r="887" ht="12.75" customHeight="1">
      <c r="A887" s="106"/>
      <c r="B887" s="106"/>
      <c r="C887" s="106"/>
      <c r="D887" s="101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9"/>
      <c r="V887" s="109"/>
    </row>
    <row r="888" ht="12.75" customHeight="1">
      <c r="A888" s="106"/>
      <c r="B888" s="106"/>
      <c r="C888" s="106"/>
      <c r="D888" s="101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9"/>
      <c r="V888" s="109"/>
    </row>
    <row r="889" ht="12.75" customHeight="1">
      <c r="A889" s="106"/>
      <c r="B889" s="106"/>
      <c r="C889" s="106"/>
      <c r="D889" s="101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9"/>
      <c r="V889" s="109"/>
    </row>
    <row r="890" ht="12.75" customHeight="1">
      <c r="A890" s="106"/>
      <c r="B890" s="106"/>
      <c r="C890" s="106"/>
      <c r="D890" s="101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9"/>
      <c r="V890" s="109"/>
    </row>
    <row r="891" ht="12.75" customHeight="1">
      <c r="A891" s="106"/>
      <c r="B891" s="106"/>
      <c r="C891" s="106"/>
      <c r="D891" s="101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9"/>
      <c r="V891" s="109"/>
    </row>
    <row r="892" ht="12.75" customHeight="1">
      <c r="A892" s="106"/>
      <c r="B892" s="106"/>
      <c r="C892" s="106"/>
      <c r="D892" s="101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9"/>
      <c r="V892" s="109"/>
    </row>
    <row r="893" ht="12.75" customHeight="1">
      <c r="A893" s="106"/>
      <c r="B893" s="106"/>
      <c r="C893" s="106"/>
      <c r="D893" s="101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9"/>
      <c r="V893" s="109"/>
    </row>
    <row r="894" ht="12.75" customHeight="1">
      <c r="A894" s="106"/>
      <c r="B894" s="106"/>
      <c r="C894" s="106"/>
      <c r="D894" s="101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9"/>
      <c r="V894" s="109"/>
    </row>
    <row r="895" ht="12.75" customHeight="1">
      <c r="A895" s="106"/>
      <c r="B895" s="106"/>
      <c r="C895" s="106"/>
      <c r="D895" s="101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9"/>
      <c r="V895" s="109"/>
    </row>
    <row r="896" ht="12.75" customHeight="1">
      <c r="A896" s="106"/>
      <c r="B896" s="106"/>
      <c r="C896" s="106"/>
      <c r="D896" s="101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9"/>
      <c r="V896" s="109"/>
    </row>
    <row r="897" ht="12.75" customHeight="1">
      <c r="A897" s="106"/>
      <c r="B897" s="106"/>
      <c r="C897" s="106"/>
      <c r="D897" s="101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9"/>
      <c r="V897" s="109"/>
    </row>
    <row r="898" ht="12.75" customHeight="1">
      <c r="A898" s="106"/>
      <c r="B898" s="106"/>
      <c r="C898" s="106"/>
      <c r="D898" s="101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9"/>
      <c r="V898" s="109"/>
    </row>
    <row r="899" ht="12.75" customHeight="1">
      <c r="A899" s="106"/>
      <c r="B899" s="106"/>
      <c r="C899" s="106"/>
      <c r="D899" s="101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9"/>
      <c r="V899" s="109"/>
    </row>
    <row r="900" ht="12.75" customHeight="1">
      <c r="A900" s="106"/>
      <c r="B900" s="106"/>
      <c r="C900" s="106"/>
      <c r="D900" s="101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9"/>
      <c r="V900" s="109"/>
    </row>
    <row r="901" ht="12.75" customHeight="1">
      <c r="A901" s="106"/>
      <c r="B901" s="106"/>
      <c r="C901" s="106"/>
      <c r="D901" s="101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9"/>
      <c r="V901" s="109"/>
    </row>
    <row r="902" ht="12.75" customHeight="1">
      <c r="A902" s="106"/>
      <c r="B902" s="106"/>
      <c r="C902" s="106"/>
      <c r="D902" s="101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9"/>
      <c r="V902" s="109"/>
    </row>
    <row r="903" ht="12.75" customHeight="1">
      <c r="A903" s="106"/>
      <c r="B903" s="106"/>
      <c r="C903" s="106"/>
      <c r="D903" s="101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9"/>
      <c r="V903" s="109"/>
    </row>
    <row r="904" ht="12.75" customHeight="1">
      <c r="A904" s="106"/>
      <c r="B904" s="106"/>
      <c r="C904" s="106"/>
      <c r="D904" s="101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9"/>
      <c r="V904" s="109"/>
    </row>
    <row r="905" ht="12.75" customHeight="1">
      <c r="A905" s="106"/>
      <c r="B905" s="106"/>
      <c r="C905" s="106"/>
      <c r="D905" s="101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9"/>
      <c r="V905" s="109"/>
    </row>
    <row r="906" ht="12.75" customHeight="1">
      <c r="A906" s="106"/>
      <c r="B906" s="106"/>
      <c r="C906" s="106"/>
      <c r="D906" s="101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9"/>
      <c r="V906" s="109"/>
    </row>
    <row r="907" ht="12.75" customHeight="1">
      <c r="A907" s="106"/>
      <c r="B907" s="106"/>
      <c r="C907" s="106"/>
      <c r="D907" s="101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9"/>
      <c r="V907" s="109"/>
    </row>
    <row r="908" ht="12.75" customHeight="1">
      <c r="A908" s="106"/>
      <c r="B908" s="106"/>
      <c r="C908" s="106"/>
      <c r="D908" s="101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9"/>
      <c r="V908" s="109"/>
    </row>
    <row r="909" ht="12.75" customHeight="1">
      <c r="A909" s="106"/>
      <c r="B909" s="106"/>
      <c r="C909" s="106"/>
      <c r="D909" s="101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9"/>
      <c r="V909" s="109"/>
    </row>
    <row r="910" ht="12.75" customHeight="1">
      <c r="A910" s="106"/>
      <c r="B910" s="106"/>
      <c r="C910" s="106"/>
      <c r="D910" s="101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9"/>
      <c r="V910" s="109"/>
    </row>
    <row r="911" ht="12.75" customHeight="1">
      <c r="A911" s="106"/>
      <c r="B911" s="106"/>
      <c r="C911" s="106"/>
      <c r="D911" s="101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9"/>
      <c r="V911" s="109"/>
    </row>
    <row r="912" ht="12.75" customHeight="1">
      <c r="A912" s="106"/>
      <c r="B912" s="106"/>
      <c r="C912" s="106"/>
      <c r="D912" s="101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9"/>
      <c r="V912" s="109"/>
    </row>
    <row r="913" ht="12.75" customHeight="1">
      <c r="A913" s="106"/>
      <c r="B913" s="106"/>
      <c r="C913" s="106"/>
      <c r="D913" s="101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9"/>
      <c r="V913" s="109"/>
    </row>
    <row r="914" ht="12.75" customHeight="1">
      <c r="A914" s="106"/>
      <c r="B914" s="106"/>
      <c r="C914" s="106"/>
      <c r="D914" s="101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9"/>
      <c r="V914" s="109"/>
    </row>
    <row r="915" ht="12.75" customHeight="1">
      <c r="A915" s="106"/>
      <c r="B915" s="106"/>
      <c r="C915" s="106"/>
      <c r="D915" s="101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9"/>
      <c r="V915" s="109"/>
    </row>
    <row r="916" ht="12.75" customHeight="1">
      <c r="A916" s="106"/>
      <c r="B916" s="106"/>
      <c r="C916" s="106"/>
      <c r="D916" s="101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9"/>
      <c r="V916" s="109"/>
    </row>
    <row r="917" ht="12.75" customHeight="1">
      <c r="A917" s="106"/>
      <c r="B917" s="106"/>
      <c r="C917" s="106"/>
      <c r="D917" s="101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9"/>
      <c r="V917" s="109"/>
    </row>
    <row r="918" ht="12.75" customHeight="1">
      <c r="A918" s="106"/>
      <c r="B918" s="106"/>
      <c r="C918" s="106"/>
      <c r="D918" s="101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9"/>
      <c r="V918" s="109"/>
    </row>
    <row r="919" ht="12.75" customHeight="1">
      <c r="A919" s="106"/>
      <c r="B919" s="106"/>
      <c r="C919" s="106"/>
      <c r="D919" s="101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9"/>
      <c r="V919" s="109"/>
    </row>
    <row r="920" ht="12.75" customHeight="1">
      <c r="A920" s="106"/>
      <c r="B920" s="106"/>
      <c r="C920" s="106"/>
      <c r="D920" s="101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9"/>
      <c r="V920" s="109"/>
    </row>
    <row r="921" ht="12.75" customHeight="1">
      <c r="A921" s="106"/>
      <c r="B921" s="106"/>
      <c r="C921" s="106"/>
      <c r="D921" s="101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9"/>
      <c r="V921" s="109"/>
    </row>
    <row r="922" ht="12.75" customHeight="1">
      <c r="A922" s="106"/>
      <c r="B922" s="106"/>
      <c r="C922" s="106"/>
      <c r="D922" s="101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9"/>
      <c r="V922" s="109"/>
    </row>
    <row r="923" ht="12.75" customHeight="1">
      <c r="A923" s="106"/>
      <c r="B923" s="106"/>
      <c r="C923" s="106"/>
      <c r="D923" s="101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9"/>
      <c r="V923" s="109"/>
    </row>
    <row r="924" ht="12.75" customHeight="1">
      <c r="A924" s="106"/>
      <c r="B924" s="106"/>
      <c r="C924" s="106"/>
      <c r="D924" s="101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9"/>
      <c r="V924" s="109"/>
    </row>
    <row r="925" ht="12.75" customHeight="1">
      <c r="A925" s="106"/>
      <c r="B925" s="106"/>
      <c r="C925" s="106"/>
      <c r="D925" s="101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9"/>
      <c r="V925" s="109"/>
    </row>
    <row r="926" ht="12.75" customHeight="1">
      <c r="A926" s="106"/>
      <c r="B926" s="106"/>
      <c r="C926" s="106"/>
      <c r="D926" s="101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9"/>
      <c r="V926" s="109"/>
    </row>
    <row r="927" ht="12.75" customHeight="1">
      <c r="A927" s="106"/>
      <c r="B927" s="106"/>
      <c r="C927" s="106"/>
      <c r="D927" s="101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9"/>
      <c r="V927" s="109"/>
    </row>
    <row r="928" ht="12.75" customHeight="1">
      <c r="A928" s="106"/>
      <c r="B928" s="106"/>
      <c r="C928" s="106"/>
      <c r="D928" s="101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9"/>
      <c r="V928" s="109"/>
    </row>
    <row r="929" ht="12.75" customHeight="1">
      <c r="A929" s="106"/>
      <c r="B929" s="106"/>
      <c r="C929" s="106"/>
      <c r="D929" s="101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9"/>
      <c r="V929" s="109"/>
    </row>
    <row r="930" ht="12.75" customHeight="1">
      <c r="A930" s="106"/>
      <c r="B930" s="106"/>
      <c r="C930" s="106"/>
      <c r="D930" s="101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9"/>
      <c r="V930" s="109"/>
    </row>
    <row r="931" ht="12.75" customHeight="1">
      <c r="A931" s="106"/>
      <c r="B931" s="106"/>
      <c r="C931" s="106"/>
      <c r="D931" s="101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9"/>
      <c r="V931" s="109"/>
    </row>
    <row r="932" ht="12.75" customHeight="1">
      <c r="A932" s="106"/>
      <c r="B932" s="106"/>
      <c r="C932" s="106"/>
      <c r="D932" s="101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9"/>
      <c r="V932" s="109"/>
    </row>
    <row r="933" ht="12.75" customHeight="1">
      <c r="A933" s="106"/>
      <c r="B933" s="106"/>
      <c r="C933" s="106"/>
      <c r="D933" s="101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9"/>
      <c r="V933" s="109"/>
    </row>
    <row r="934" ht="12.75" customHeight="1">
      <c r="A934" s="106"/>
      <c r="B934" s="106"/>
      <c r="C934" s="106"/>
      <c r="D934" s="101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9"/>
      <c r="V934" s="109"/>
    </row>
    <row r="935" ht="12.75" customHeight="1">
      <c r="A935" s="106"/>
      <c r="B935" s="106"/>
      <c r="C935" s="106"/>
      <c r="D935" s="101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9"/>
      <c r="V935" s="109"/>
    </row>
    <row r="936" ht="12.75" customHeight="1">
      <c r="A936" s="106"/>
      <c r="B936" s="106"/>
      <c r="C936" s="106"/>
      <c r="D936" s="101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9"/>
      <c r="V936" s="109"/>
    </row>
    <row r="937" ht="12.75" customHeight="1">
      <c r="A937" s="106"/>
      <c r="B937" s="106"/>
      <c r="C937" s="106"/>
      <c r="D937" s="101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9"/>
      <c r="V937" s="109"/>
    </row>
    <row r="938" ht="12.75" customHeight="1">
      <c r="A938" s="106"/>
      <c r="B938" s="106"/>
      <c r="C938" s="106"/>
      <c r="D938" s="101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9"/>
      <c r="V938" s="109"/>
    </row>
    <row r="939" ht="12.75" customHeight="1">
      <c r="A939" s="106"/>
      <c r="B939" s="106"/>
      <c r="C939" s="106"/>
      <c r="D939" s="101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9"/>
      <c r="V939" s="109"/>
    </row>
    <row r="940" ht="12.75" customHeight="1">
      <c r="A940" s="106"/>
      <c r="B940" s="106"/>
      <c r="C940" s="106"/>
      <c r="D940" s="101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9"/>
      <c r="V940" s="109"/>
    </row>
    <row r="941" ht="12.75" customHeight="1">
      <c r="A941" s="106"/>
      <c r="B941" s="106"/>
      <c r="C941" s="106"/>
      <c r="D941" s="101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9"/>
      <c r="V941" s="109"/>
    </row>
    <row r="942" ht="12.75" customHeight="1">
      <c r="A942" s="106"/>
      <c r="B942" s="106"/>
      <c r="C942" s="106"/>
      <c r="D942" s="101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9"/>
      <c r="V942" s="109"/>
    </row>
    <row r="943" ht="12.75" customHeight="1">
      <c r="A943" s="106"/>
      <c r="B943" s="106"/>
      <c r="C943" s="106"/>
      <c r="D943" s="101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9"/>
      <c r="V943" s="109"/>
    </row>
    <row r="944" ht="12.75" customHeight="1">
      <c r="A944" s="106"/>
      <c r="B944" s="106"/>
      <c r="C944" s="106"/>
      <c r="D944" s="101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9"/>
      <c r="V944" s="109"/>
    </row>
    <row r="945" ht="12.75" customHeight="1">
      <c r="A945" s="106"/>
      <c r="B945" s="106"/>
      <c r="C945" s="106"/>
      <c r="D945" s="101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9"/>
      <c r="V945" s="109"/>
    </row>
    <row r="946" ht="12.75" customHeight="1">
      <c r="A946" s="106"/>
      <c r="B946" s="106"/>
      <c r="C946" s="106"/>
      <c r="D946" s="101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9"/>
      <c r="V946" s="109"/>
    </row>
    <row r="947" ht="12.75" customHeight="1">
      <c r="A947" s="106"/>
      <c r="B947" s="106"/>
      <c r="C947" s="106"/>
      <c r="D947" s="101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9"/>
      <c r="V947" s="109"/>
    </row>
    <row r="948" ht="12.75" customHeight="1">
      <c r="A948" s="106"/>
      <c r="B948" s="106"/>
      <c r="C948" s="106"/>
      <c r="D948" s="101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9"/>
      <c r="V948" s="109"/>
    </row>
    <row r="949" ht="12.75" customHeight="1">
      <c r="A949" s="106"/>
      <c r="B949" s="106"/>
      <c r="C949" s="106"/>
      <c r="D949" s="101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9"/>
      <c r="V949" s="109"/>
    </row>
    <row r="950" ht="12.75" customHeight="1">
      <c r="A950" s="106"/>
      <c r="B950" s="106"/>
      <c r="C950" s="106"/>
      <c r="D950" s="101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9"/>
      <c r="V950" s="109"/>
    </row>
    <row r="951" ht="12.75" customHeight="1">
      <c r="A951" s="106"/>
      <c r="B951" s="106"/>
      <c r="C951" s="106"/>
      <c r="D951" s="101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9"/>
      <c r="V951" s="109"/>
    </row>
    <row r="952" ht="12.75" customHeight="1">
      <c r="A952" s="106"/>
      <c r="B952" s="106"/>
      <c r="C952" s="106"/>
      <c r="D952" s="101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9"/>
      <c r="V952" s="109"/>
    </row>
    <row r="953" ht="12.75" customHeight="1">
      <c r="A953" s="106"/>
      <c r="B953" s="106"/>
      <c r="C953" s="106"/>
      <c r="D953" s="101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9"/>
      <c r="V953" s="109"/>
    </row>
    <row r="954" ht="12.75" customHeight="1">
      <c r="A954" s="106"/>
      <c r="B954" s="106"/>
      <c r="C954" s="106"/>
      <c r="D954" s="101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9"/>
      <c r="V954" s="109"/>
    </row>
    <row r="955" ht="12.75" customHeight="1">
      <c r="A955" s="106"/>
      <c r="B955" s="106"/>
      <c r="C955" s="106"/>
      <c r="D955" s="101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9"/>
      <c r="V955" s="109"/>
    </row>
    <row r="956" ht="12.75" customHeight="1">
      <c r="A956" s="106"/>
      <c r="B956" s="106"/>
      <c r="C956" s="106"/>
      <c r="D956" s="101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9"/>
      <c r="V956" s="109"/>
    </row>
    <row r="957" ht="12.75" customHeight="1">
      <c r="A957" s="106"/>
      <c r="B957" s="106"/>
      <c r="C957" s="106"/>
      <c r="D957" s="101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9"/>
      <c r="V957" s="109"/>
    </row>
    <row r="958" ht="12.75" customHeight="1">
      <c r="A958" s="106"/>
      <c r="B958" s="106"/>
      <c r="C958" s="106"/>
      <c r="D958" s="101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9"/>
      <c r="V958" s="109"/>
    </row>
    <row r="959" ht="12.75" customHeight="1">
      <c r="A959" s="106"/>
      <c r="B959" s="106"/>
      <c r="C959" s="106"/>
      <c r="D959" s="101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9"/>
      <c r="V959" s="109"/>
    </row>
    <row r="960" ht="12.75" customHeight="1">
      <c r="A960" s="106"/>
      <c r="B960" s="106"/>
      <c r="C960" s="106"/>
      <c r="D960" s="101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9"/>
      <c r="V960" s="109"/>
    </row>
    <row r="961" ht="12.75" customHeight="1">
      <c r="A961" s="106"/>
      <c r="B961" s="106"/>
      <c r="C961" s="106"/>
      <c r="D961" s="101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9"/>
      <c r="V961" s="109"/>
    </row>
    <row r="962" ht="12.75" customHeight="1">
      <c r="A962" s="106"/>
      <c r="B962" s="106"/>
      <c r="C962" s="106"/>
      <c r="D962" s="101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9"/>
      <c r="V962" s="109"/>
    </row>
    <row r="963" ht="12.75" customHeight="1">
      <c r="A963" s="106"/>
      <c r="B963" s="106"/>
      <c r="C963" s="106"/>
      <c r="D963" s="101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9"/>
      <c r="V963" s="109"/>
    </row>
    <row r="964" ht="12.75" customHeight="1">
      <c r="A964" s="106"/>
      <c r="B964" s="106"/>
      <c r="C964" s="106"/>
      <c r="D964" s="101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9"/>
      <c r="V964" s="109"/>
    </row>
    <row r="965" ht="12.75" customHeight="1">
      <c r="A965" s="106"/>
      <c r="B965" s="106"/>
      <c r="C965" s="106"/>
      <c r="D965" s="101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9"/>
      <c r="V965" s="109"/>
    </row>
    <row r="966" ht="12.75" customHeight="1">
      <c r="A966" s="106"/>
      <c r="B966" s="106"/>
      <c r="C966" s="106"/>
      <c r="D966" s="101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9"/>
      <c r="V966" s="109"/>
    </row>
    <row r="967" ht="12.75" customHeight="1">
      <c r="A967" s="106"/>
      <c r="B967" s="106"/>
      <c r="C967" s="106"/>
      <c r="D967" s="101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9"/>
      <c r="V967" s="109"/>
    </row>
    <row r="968" ht="12.75" customHeight="1">
      <c r="A968" s="106"/>
      <c r="B968" s="106"/>
      <c r="C968" s="106"/>
      <c r="D968" s="101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9"/>
      <c r="V968" s="109"/>
    </row>
    <row r="969" ht="12.75" customHeight="1">
      <c r="A969" s="106"/>
      <c r="B969" s="106"/>
      <c r="C969" s="106"/>
      <c r="D969" s="101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9"/>
      <c r="V969" s="109"/>
    </row>
    <row r="970" ht="12.75" customHeight="1">
      <c r="A970" s="106"/>
      <c r="B970" s="106"/>
      <c r="C970" s="106"/>
      <c r="D970" s="101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9"/>
      <c r="V970" s="109"/>
    </row>
    <row r="971" ht="12.75" customHeight="1">
      <c r="A971" s="106"/>
      <c r="B971" s="106"/>
      <c r="C971" s="106"/>
      <c r="D971" s="101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9"/>
      <c r="V971" s="109"/>
    </row>
    <row r="972" ht="12.75" customHeight="1">
      <c r="A972" s="106"/>
      <c r="B972" s="106"/>
      <c r="C972" s="106"/>
      <c r="D972" s="101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9"/>
      <c r="V972" s="109"/>
    </row>
    <row r="973" ht="12.75" customHeight="1">
      <c r="A973" s="106"/>
      <c r="B973" s="106"/>
      <c r="C973" s="106"/>
      <c r="D973" s="101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9"/>
      <c r="V973" s="109"/>
    </row>
    <row r="974" ht="12.75" customHeight="1">
      <c r="A974" s="106"/>
      <c r="B974" s="106"/>
      <c r="C974" s="106"/>
      <c r="D974" s="101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9"/>
      <c r="V974" s="109"/>
    </row>
    <row r="975" ht="12.75" customHeight="1">
      <c r="A975" s="106"/>
      <c r="B975" s="106"/>
      <c r="C975" s="106"/>
      <c r="D975" s="101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9"/>
      <c r="V975" s="109"/>
    </row>
    <row r="976" ht="12.75" customHeight="1">
      <c r="A976" s="106"/>
      <c r="B976" s="106"/>
      <c r="C976" s="106"/>
      <c r="D976" s="101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9"/>
      <c r="V976" s="109"/>
    </row>
    <row r="977" ht="12.75" customHeight="1">
      <c r="A977" s="106"/>
      <c r="B977" s="106"/>
      <c r="C977" s="106"/>
      <c r="D977" s="101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9"/>
      <c r="V977" s="109"/>
    </row>
    <row r="978" ht="12.75" customHeight="1">
      <c r="A978" s="106"/>
      <c r="B978" s="106"/>
      <c r="C978" s="106"/>
      <c r="D978" s="101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9"/>
      <c r="V978" s="109"/>
    </row>
    <row r="979" ht="12.75" customHeight="1">
      <c r="A979" s="106"/>
      <c r="B979" s="106"/>
      <c r="C979" s="106"/>
      <c r="D979" s="101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9"/>
      <c r="V979" s="109"/>
    </row>
    <row r="980" ht="12.75" customHeight="1">
      <c r="A980" s="106"/>
      <c r="B980" s="106"/>
      <c r="C980" s="106"/>
      <c r="D980" s="101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9"/>
      <c r="V980" s="109"/>
    </row>
    <row r="981" ht="12.75" customHeight="1">
      <c r="A981" s="106"/>
      <c r="B981" s="106"/>
      <c r="C981" s="106"/>
      <c r="D981" s="101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9"/>
      <c r="V981" s="109"/>
    </row>
    <row r="982" ht="12.75" customHeight="1">
      <c r="A982" s="106"/>
      <c r="B982" s="106"/>
      <c r="C982" s="106"/>
      <c r="D982" s="101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9"/>
      <c r="V982" s="109"/>
    </row>
    <row r="983" ht="12.75" customHeight="1">
      <c r="A983" s="106"/>
      <c r="B983" s="106"/>
      <c r="C983" s="106"/>
      <c r="D983" s="101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9"/>
      <c r="V983" s="109"/>
    </row>
    <row r="984" ht="12.75" customHeight="1">
      <c r="A984" s="106"/>
      <c r="B984" s="106"/>
      <c r="C984" s="106"/>
      <c r="D984" s="101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9"/>
      <c r="V984" s="109"/>
    </row>
    <row r="985" ht="12.75" customHeight="1">
      <c r="A985" s="106"/>
      <c r="B985" s="106"/>
      <c r="C985" s="106"/>
      <c r="D985" s="101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9"/>
      <c r="V985" s="109"/>
    </row>
    <row r="986" ht="12.75" customHeight="1">
      <c r="A986" s="106"/>
      <c r="B986" s="106"/>
      <c r="C986" s="106"/>
      <c r="D986" s="101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9"/>
      <c r="V986" s="109"/>
    </row>
    <row r="987" ht="12.75" customHeight="1">
      <c r="A987" s="106"/>
      <c r="B987" s="106"/>
      <c r="C987" s="106"/>
      <c r="D987" s="101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9"/>
      <c r="V987" s="109"/>
    </row>
    <row r="988" ht="12.75" customHeight="1">
      <c r="A988" s="106"/>
      <c r="B988" s="106"/>
      <c r="C988" s="106"/>
      <c r="D988" s="101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9"/>
      <c r="V988" s="109"/>
    </row>
    <row r="989" ht="12.75" customHeight="1">
      <c r="A989" s="106"/>
      <c r="B989" s="106"/>
      <c r="C989" s="106"/>
      <c r="D989" s="101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9"/>
      <c r="V989" s="109"/>
    </row>
    <row r="990" ht="12.75" customHeight="1">
      <c r="A990" s="106"/>
      <c r="B990" s="106"/>
      <c r="C990" s="106"/>
      <c r="D990" s="101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9"/>
      <c r="V990" s="109"/>
    </row>
    <row r="991" ht="12.75" customHeight="1">
      <c r="A991" s="106"/>
      <c r="B991" s="106"/>
      <c r="C991" s="106"/>
      <c r="D991" s="101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9"/>
      <c r="V991" s="109"/>
    </row>
    <row r="992" ht="12.75" customHeight="1">
      <c r="A992" s="106"/>
      <c r="B992" s="106"/>
      <c r="C992" s="106"/>
      <c r="D992" s="101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9"/>
      <c r="V992" s="109"/>
    </row>
    <row r="993" ht="12.75" customHeight="1">
      <c r="A993" s="106"/>
      <c r="B993" s="106"/>
      <c r="C993" s="106"/>
      <c r="D993" s="101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9"/>
      <c r="V993" s="109"/>
    </row>
    <row r="994" ht="12.75" customHeight="1">
      <c r="A994" s="106"/>
      <c r="B994" s="106"/>
      <c r="C994" s="106"/>
      <c r="D994" s="101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9"/>
      <c r="V994" s="109"/>
    </row>
    <row r="995" ht="12.75" customHeight="1">
      <c r="A995" s="106"/>
      <c r="B995" s="106"/>
      <c r="C995" s="106"/>
      <c r="D995" s="101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9"/>
      <c r="V995" s="109"/>
    </row>
    <row r="996" ht="12.75" customHeight="1">
      <c r="A996" s="106"/>
      <c r="B996" s="106"/>
      <c r="C996" s="106"/>
      <c r="D996" s="101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9"/>
      <c r="V996" s="109"/>
    </row>
    <row r="997" ht="12.75" customHeight="1">
      <c r="A997" s="106"/>
      <c r="B997" s="106"/>
      <c r="C997" s="106"/>
      <c r="D997" s="101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9"/>
      <c r="V997" s="109"/>
    </row>
    <row r="998" ht="12.75" customHeight="1">
      <c r="A998" s="106"/>
      <c r="B998" s="106"/>
      <c r="C998" s="106"/>
      <c r="D998" s="101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9"/>
      <c r="V998" s="109"/>
    </row>
    <row r="999" ht="12.75" customHeight="1">
      <c r="A999" s="106"/>
      <c r="B999" s="106"/>
      <c r="C999" s="106"/>
      <c r="D999" s="101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9"/>
      <c r="V999" s="109"/>
    </row>
    <row r="1000" ht="12.75" customHeight="1">
      <c r="A1000" s="106"/>
      <c r="B1000" s="106"/>
      <c r="C1000" s="106"/>
      <c r="D1000" s="101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9"/>
      <c r="V1000" s="109"/>
    </row>
    <row r="1001" ht="12.75" customHeight="1">
      <c r="A1001" s="106"/>
      <c r="B1001" s="106"/>
      <c r="C1001" s="106"/>
      <c r="D1001" s="101"/>
      <c r="E1001" s="106"/>
      <c r="F1001" s="107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9"/>
      <c r="V1001" s="109"/>
    </row>
    <row r="1002" ht="12.75" customHeight="1">
      <c r="A1002" s="106"/>
      <c r="B1002" s="106"/>
      <c r="C1002" s="106"/>
      <c r="D1002" s="101"/>
      <c r="E1002" s="106"/>
      <c r="F1002" s="107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9"/>
      <c r="V1002" s="109"/>
    </row>
    <row r="1003" ht="12.75" customHeight="1">
      <c r="A1003" s="106"/>
      <c r="B1003" s="106"/>
      <c r="C1003" s="106"/>
      <c r="D1003" s="101"/>
      <c r="E1003" s="106"/>
      <c r="F1003" s="107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9"/>
      <c r="V1003" s="109"/>
    </row>
    <row r="1004" ht="12.75" customHeight="1">
      <c r="A1004" s="106"/>
      <c r="B1004" s="106"/>
      <c r="C1004" s="106"/>
      <c r="D1004" s="101"/>
      <c r="E1004" s="106"/>
      <c r="F1004" s="107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9"/>
      <c r="V1004" s="109"/>
    </row>
    <row r="1005" ht="12.75" customHeight="1">
      <c r="A1005" s="106"/>
      <c r="B1005" s="106"/>
      <c r="C1005" s="106"/>
      <c r="D1005" s="101"/>
      <c r="E1005" s="106"/>
      <c r="F1005" s="107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9"/>
      <c r="V1005" s="109"/>
    </row>
    <row r="1006" ht="12.75" customHeight="1">
      <c r="A1006" s="106"/>
      <c r="B1006" s="106"/>
      <c r="C1006" s="106"/>
      <c r="D1006" s="101"/>
      <c r="E1006" s="106"/>
      <c r="F1006" s="107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9"/>
      <c r="V1006" s="109"/>
    </row>
    <row r="1007" ht="12.75" customHeight="1">
      <c r="A1007" s="106"/>
      <c r="B1007" s="106"/>
      <c r="C1007" s="106"/>
      <c r="D1007" s="101"/>
      <c r="E1007" s="106"/>
      <c r="F1007" s="107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9"/>
      <c r="V1007" s="109"/>
    </row>
    <row r="1008" ht="12.75" customHeight="1">
      <c r="A1008" s="106"/>
      <c r="B1008" s="106"/>
      <c r="C1008" s="106"/>
      <c r="D1008" s="101"/>
      <c r="E1008" s="106"/>
      <c r="F1008" s="107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9"/>
      <c r="V1008" s="109"/>
    </row>
    <row r="1009" ht="12.75" customHeight="1">
      <c r="A1009" s="106"/>
      <c r="B1009" s="106"/>
      <c r="C1009" s="106"/>
      <c r="D1009" s="101"/>
      <c r="E1009" s="106"/>
      <c r="F1009" s="107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9"/>
      <c r="V1009" s="109"/>
    </row>
    <row r="1010" ht="12.75" customHeight="1">
      <c r="A1010" s="106"/>
      <c r="B1010" s="106"/>
      <c r="C1010" s="106"/>
      <c r="D1010" s="101"/>
      <c r="E1010" s="106"/>
      <c r="F1010" s="107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9"/>
      <c r="V1010" s="109"/>
    </row>
    <row r="1011" ht="12.75" customHeight="1">
      <c r="A1011" s="106"/>
      <c r="B1011" s="106"/>
      <c r="C1011" s="106"/>
      <c r="D1011" s="101"/>
      <c r="E1011" s="106"/>
      <c r="F1011" s="107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9"/>
      <c r="V1011" s="109"/>
    </row>
    <row r="1012" ht="12.75" customHeight="1">
      <c r="A1012" s="106"/>
      <c r="B1012" s="106"/>
      <c r="C1012" s="106"/>
      <c r="D1012" s="101"/>
      <c r="E1012" s="106"/>
      <c r="F1012" s="107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9"/>
      <c r="V1012" s="109"/>
    </row>
    <row r="1013" ht="12.75" customHeight="1">
      <c r="A1013" s="106"/>
      <c r="B1013" s="106"/>
      <c r="C1013" s="106"/>
      <c r="D1013" s="101"/>
      <c r="E1013" s="106"/>
      <c r="F1013" s="107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9"/>
      <c r="V1013" s="109"/>
    </row>
    <row r="1014" ht="12.75" customHeight="1">
      <c r="A1014" s="106"/>
      <c r="B1014" s="106"/>
      <c r="C1014" s="106"/>
      <c r="D1014" s="101"/>
      <c r="E1014" s="106"/>
      <c r="F1014" s="107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9"/>
      <c r="V1014" s="109"/>
    </row>
    <row r="1015" ht="12.75" customHeight="1">
      <c r="A1015" s="106"/>
      <c r="B1015" s="106"/>
      <c r="C1015" s="106"/>
      <c r="D1015" s="101"/>
      <c r="E1015" s="106"/>
      <c r="F1015" s="107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9"/>
      <c r="V1015" s="109"/>
    </row>
    <row r="1016" ht="12.75" customHeight="1">
      <c r="A1016" s="106"/>
      <c r="B1016" s="106"/>
      <c r="C1016" s="106"/>
      <c r="D1016" s="101"/>
      <c r="E1016" s="106"/>
      <c r="F1016" s="107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9"/>
      <c r="V1016" s="109"/>
    </row>
    <row r="1017" ht="12.75" customHeight="1">
      <c r="A1017" s="106"/>
      <c r="B1017" s="106"/>
      <c r="C1017" s="106"/>
      <c r="D1017" s="101"/>
      <c r="E1017" s="106"/>
      <c r="F1017" s="107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9"/>
      <c r="V1017" s="109"/>
    </row>
    <row r="1018" ht="12.75" customHeight="1">
      <c r="A1018" s="106"/>
      <c r="B1018" s="106"/>
      <c r="C1018" s="106"/>
      <c r="D1018" s="101"/>
      <c r="E1018" s="106"/>
      <c r="F1018" s="107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9"/>
      <c r="V1018" s="109"/>
    </row>
    <row r="1019" ht="12.75" customHeight="1">
      <c r="A1019" s="106"/>
      <c r="B1019" s="106"/>
      <c r="C1019" s="106"/>
      <c r="D1019" s="101"/>
      <c r="E1019" s="106"/>
      <c r="F1019" s="107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9"/>
      <c r="V1019" s="109"/>
    </row>
    <row r="1020" ht="12.75" customHeight="1">
      <c r="A1020" s="106"/>
      <c r="B1020" s="106"/>
      <c r="C1020" s="106"/>
      <c r="D1020" s="101"/>
      <c r="E1020" s="106"/>
      <c r="F1020" s="107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9"/>
      <c r="V1020" s="109"/>
    </row>
    <row r="1021" ht="12.75" customHeight="1">
      <c r="A1021" s="106"/>
      <c r="B1021" s="106"/>
      <c r="C1021" s="106"/>
      <c r="D1021" s="101"/>
      <c r="E1021" s="106"/>
      <c r="F1021" s="107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9"/>
      <c r="V1021" s="109"/>
    </row>
    <row r="1022" ht="12.75" customHeight="1">
      <c r="A1022" s="106"/>
      <c r="B1022" s="106"/>
      <c r="C1022" s="106"/>
      <c r="D1022" s="101"/>
      <c r="E1022" s="106"/>
      <c r="F1022" s="107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9"/>
      <c r="V1022" s="109"/>
    </row>
    <row r="1023" ht="12.75" customHeight="1">
      <c r="A1023" s="106"/>
      <c r="B1023" s="106"/>
      <c r="C1023" s="106"/>
      <c r="D1023" s="101"/>
      <c r="E1023" s="106"/>
      <c r="F1023" s="107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9"/>
      <c r="V1023" s="109"/>
    </row>
    <row r="1024" ht="12.75" customHeight="1">
      <c r="A1024" s="106"/>
      <c r="B1024" s="106"/>
      <c r="C1024" s="106"/>
      <c r="D1024" s="101"/>
      <c r="E1024" s="106"/>
      <c r="F1024" s="107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9"/>
      <c r="V1024" s="109"/>
    </row>
    <row r="1025" ht="12.75" customHeight="1">
      <c r="A1025" s="106"/>
      <c r="B1025" s="106"/>
      <c r="C1025" s="106"/>
      <c r="D1025" s="101"/>
      <c r="E1025" s="106"/>
      <c r="F1025" s="107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9"/>
      <c r="V1025" s="109"/>
    </row>
    <row r="1026" ht="12.75" customHeight="1">
      <c r="A1026" s="106"/>
      <c r="B1026" s="106"/>
      <c r="C1026" s="106"/>
      <c r="D1026" s="101"/>
      <c r="E1026" s="106"/>
      <c r="F1026" s="107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9"/>
      <c r="V1026" s="109"/>
    </row>
    <row r="1027" ht="12.75" customHeight="1">
      <c r="A1027" s="106"/>
      <c r="B1027" s="106"/>
      <c r="C1027" s="106"/>
      <c r="D1027" s="101"/>
      <c r="E1027" s="106"/>
      <c r="F1027" s="107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9"/>
      <c r="V1027" s="109"/>
    </row>
    <row r="1028" ht="12.75" customHeight="1">
      <c r="A1028" s="106"/>
      <c r="B1028" s="106"/>
      <c r="C1028" s="106"/>
      <c r="D1028" s="101"/>
      <c r="E1028" s="106"/>
      <c r="F1028" s="107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9"/>
      <c r="V1028" s="109"/>
    </row>
    <row r="1029" ht="12.75" customHeight="1">
      <c r="A1029" s="106"/>
      <c r="B1029" s="106"/>
      <c r="C1029" s="106"/>
      <c r="D1029" s="101"/>
      <c r="E1029" s="106"/>
      <c r="F1029" s="107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9"/>
      <c r="V1029" s="109"/>
    </row>
    <row r="1030" ht="12.75" customHeight="1">
      <c r="A1030" s="106"/>
      <c r="B1030" s="106"/>
      <c r="C1030" s="106"/>
      <c r="D1030" s="101"/>
      <c r="E1030" s="106"/>
      <c r="F1030" s="107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9"/>
      <c r="V1030" s="109"/>
    </row>
    <row r="1031" ht="12.75" customHeight="1">
      <c r="A1031" s="106"/>
      <c r="B1031" s="106"/>
      <c r="C1031" s="106"/>
      <c r="D1031" s="101"/>
      <c r="E1031" s="106"/>
      <c r="F1031" s="107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9"/>
      <c r="V1031" s="109"/>
    </row>
    <row r="1032" ht="12.75" customHeight="1">
      <c r="A1032" s="106"/>
      <c r="B1032" s="106"/>
      <c r="C1032" s="106"/>
      <c r="D1032" s="101"/>
      <c r="E1032" s="106"/>
      <c r="F1032" s="107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9"/>
      <c r="V1032" s="109"/>
    </row>
    <row r="1033" ht="12.75" customHeight="1">
      <c r="A1033" s="106"/>
      <c r="B1033" s="106"/>
      <c r="C1033" s="106"/>
      <c r="D1033" s="101"/>
      <c r="E1033" s="106"/>
      <c r="F1033" s="107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9"/>
      <c r="V1033" s="109"/>
    </row>
    <row r="1034" ht="12.75" customHeight="1">
      <c r="A1034" s="106"/>
      <c r="B1034" s="106"/>
      <c r="C1034" s="106"/>
      <c r="D1034" s="101"/>
      <c r="E1034" s="106"/>
      <c r="F1034" s="107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9"/>
      <c r="V1034" s="109"/>
    </row>
    <row r="1035" ht="12.75" customHeight="1">
      <c r="A1035" s="106"/>
      <c r="B1035" s="106"/>
      <c r="C1035" s="106"/>
      <c r="D1035" s="101"/>
      <c r="E1035" s="106"/>
      <c r="F1035" s="107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9"/>
      <c r="V1035" s="109"/>
    </row>
    <row r="1036" ht="12.75" customHeight="1">
      <c r="A1036" s="106"/>
      <c r="B1036" s="106"/>
      <c r="C1036" s="106"/>
      <c r="D1036" s="101"/>
      <c r="E1036" s="106"/>
      <c r="F1036" s="107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9"/>
      <c r="V1036" s="109"/>
    </row>
    <row r="1037" ht="12.75" customHeight="1">
      <c r="A1037" s="106"/>
      <c r="B1037" s="106"/>
      <c r="C1037" s="106"/>
      <c r="D1037" s="101"/>
      <c r="E1037" s="106"/>
      <c r="F1037" s="107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9"/>
      <c r="V1037" s="109"/>
    </row>
    <row r="1038" ht="12.75" customHeight="1">
      <c r="A1038" s="106"/>
      <c r="B1038" s="106"/>
      <c r="C1038" s="106"/>
      <c r="D1038" s="101"/>
      <c r="E1038" s="106"/>
      <c r="F1038" s="107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9"/>
      <c r="V1038" s="109"/>
    </row>
    <row r="1039" ht="12.75" customHeight="1">
      <c r="A1039" s="106"/>
      <c r="B1039" s="106"/>
      <c r="C1039" s="106"/>
      <c r="D1039" s="101"/>
      <c r="E1039" s="106"/>
      <c r="F1039" s="107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9"/>
      <c r="V1039" s="109"/>
    </row>
    <row r="1040" ht="12.75" customHeight="1">
      <c r="A1040" s="106"/>
      <c r="B1040" s="106"/>
      <c r="C1040" s="106"/>
      <c r="D1040" s="101"/>
      <c r="E1040" s="106"/>
      <c r="F1040" s="107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9"/>
      <c r="V1040" s="109"/>
    </row>
    <row r="1041" ht="12.75" customHeight="1">
      <c r="A1041" s="106"/>
      <c r="B1041" s="106"/>
      <c r="C1041" s="106"/>
      <c r="D1041" s="101"/>
      <c r="E1041" s="106"/>
      <c r="F1041" s="107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9"/>
      <c r="V1041" s="109"/>
    </row>
    <row r="1042" ht="12.75" customHeight="1">
      <c r="A1042" s="106"/>
      <c r="B1042" s="106"/>
      <c r="C1042" s="106"/>
      <c r="D1042" s="101"/>
      <c r="E1042" s="106"/>
      <c r="F1042" s="107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9"/>
      <c r="V1042" s="109"/>
    </row>
    <row r="1043" ht="12.75" customHeight="1">
      <c r="A1043" s="106"/>
      <c r="B1043" s="106"/>
      <c r="C1043" s="106"/>
      <c r="D1043" s="101"/>
      <c r="E1043" s="106"/>
      <c r="F1043" s="107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9"/>
      <c r="V1043" s="109"/>
    </row>
    <row r="1044" ht="12.75" customHeight="1">
      <c r="A1044" s="106"/>
      <c r="B1044" s="106"/>
      <c r="C1044" s="106"/>
      <c r="D1044" s="101"/>
      <c r="E1044" s="106"/>
      <c r="F1044" s="107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9"/>
      <c r="V1044" s="109"/>
    </row>
    <row r="1045" ht="12.75" customHeight="1">
      <c r="A1045" s="106"/>
      <c r="B1045" s="106"/>
      <c r="C1045" s="106"/>
      <c r="D1045" s="101"/>
      <c r="E1045" s="106"/>
      <c r="F1045" s="107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9"/>
      <c r="V1045" s="109"/>
    </row>
    <row r="1046" ht="12.75" customHeight="1">
      <c r="A1046" s="106"/>
      <c r="B1046" s="106"/>
      <c r="C1046" s="106"/>
      <c r="D1046" s="101"/>
      <c r="E1046" s="106"/>
      <c r="F1046" s="107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9"/>
      <c r="V1046" s="109"/>
    </row>
    <row r="1047" ht="12.75" customHeight="1">
      <c r="A1047" s="106"/>
      <c r="B1047" s="106"/>
      <c r="C1047" s="106"/>
      <c r="D1047" s="101"/>
      <c r="E1047" s="106"/>
      <c r="F1047" s="107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9"/>
      <c r="V1047" s="109"/>
    </row>
    <row r="1048" ht="12.75" customHeight="1">
      <c r="A1048" s="106"/>
      <c r="B1048" s="106"/>
      <c r="C1048" s="106"/>
      <c r="D1048" s="101"/>
      <c r="E1048" s="106"/>
      <c r="F1048" s="107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9"/>
      <c r="V1048" s="109"/>
    </row>
    <row r="1049" ht="12.75" customHeight="1">
      <c r="A1049" s="106"/>
      <c r="B1049" s="106"/>
      <c r="C1049" s="106"/>
      <c r="D1049" s="101"/>
      <c r="E1049" s="106"/>
      <c r="F1049" s="107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9"/>
      <c r="V1049" s="109"/>
    </row>
    <row r="1050" ht="12.75" customHeight="1">
      <c r="A1050" s="106"/>
      <c r="B1050" s="106"/>
      <c r="C1050" s="106"/>
      <c r="D1050" s="101"/>
      <c r="E1050" s="106"/>
      <c r="F1050" s="107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9"/>
      <c r="V1050" s="109"/>
    </row>
    <row r="1051" ht="12.75" customHeight="1">
      <c r="A1051" s="106"/>
      <c r="B1051" s="106"/>
      <c r="C1051" s="106"/>
      <c r="D1051" s="101"/>
      <c r="E1051" s="106"/>
      <c r="F1051" s="107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9"/>
      <c r="V1051" s="109"/>
    </row>
    <row r="1052" ht="12.75" customHeight="1">
      <c r="A1052" s="106"/>
      <c r="B1052" s="106"/>
      <c r="C1052" s="106"/>
      <c r="D1052" s="101"/>
      <c r="E1052" s="106"/>
      <c r="F1052" s="107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9"/>
      <c r="V1052" s="109"/>
    </row>
    <row r="1053" ht="12.75" customHeight="1">
      <c r="A1053" s="106"/>
      <c r="B1053" s="106"/>
      <c r="C1053" s="106"/>
      <c r="D1053" s="101"/>
      <c r="E1053" s="106"/>
      <c r="F1053" s="107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9"/>
      <c r="V1053" s="109"/>
    </row>
    <row r="1054" ht="12.75" customHeight="1">
      <c r="A1054" s="106"/>
      <c r="B1054" s="106"/>
      <c r="C1054" s="106"/>
      <c r="D1054" s="101"/>
      <c r="E1054" s="106"/>
      <c r="F1054" s="107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9"/>
      <c r="V1054" s="109"/>
    </row>
    <row r="1055" ht="12.75" customHeight="1">
      <c r="A1055" s="106"/>
      <c r="B1055" s="106"/>
      <c r="C1055" s="106"/>
      <c r="D1055" s="101"/>
      <c r="E1055" s="106"/>
      <c r="F1055" s="107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9"/>
      <c r="V1055" s="109"/>
    </row>
    <row r="1056" ht="12.75" customHeight="1">
      <c r="A1056" s="106"/>
      <c r="B1056" s="106"/>
      <c r="C1056" s="106"/>
      <c r="D1056" s="101"/>
      <c r="E1056" s="106"/>
      <c r="F1056" s="107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9"/>
      <c r="V1056" s="109"/>
    </row>
    <row r="1057" ht="12.75" customHeight="1">
      <c r="A1057" s="106"/>
      <c r="B1057" s="106"/>
      <c r="C1057" s="106"/>
      <c r="D1057" s="101"/>
      <c r="E1057" s="106"/>
      <c r="F1057" s="107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9"/>
      <c r="V1057" s="109"/>
    </row>
    <row r="1058" ht="12.75" customHeight="1">
      <c r="A1058" s="106"/>
      <c r="B1058" s="106"/>
      <c r="C1058" s="106"/>
      <c r="D1058" s="101"/>
      <c r="E1058" s="106"/>
      <c r="F1058" s="107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9"/>
      <c r="V1058" s="109"/>
    </row>
    <row r="1059" ht="12.75" customHeight="1">
      <c r="A1059" s="106"/>
      <c r="B1059" s="106"/>
      <c r="C1059" s="106"/>
      <c r="D1059" s="101"/>
      <c r="E1059" s="106"/>
      <c r="F1059" s="107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9"/>
      <c r="V1059" s="109"/>
    </row>
    <row r="1060" ht="12.75" customHeight="1">
      <c r="A1060" s="106"/>
      <c r="B1060" s="106"/>
      <c r="C1060" s="106"/>
      <c r="D1060" s="101"/>
      <c r="E1060" s="106"/>
      <c r="F1060" s="107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9"/>
      <c r="V1060" s="109"/>
    </row>
    <row r="1061" ht="12.75" customHeight="1">
      <c r="A1061" s="106"/>
      <c r="B1061" s="106"/>
      <c r="C1061" s="106"/>
      <c r="D1061" s="101"/>
      <c r="E1061" s="106"/>
      <c r="F1061" s="107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9"/>
      <c r="V1061" s="109"/>
    </row>
    <row r="1062" ht="12.75" customHeight="1">
      <c r="A1062" s="106"/>
      <c r="B1062" s="106"/>
      <c r="C1062" s="106"/>
      <c r="D1062" s="101"/>
      <c r="E1062" s="106"/>
      <c r="F1062" s="107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9"/>
      <c r="V1062" s="109"/>
    </row>
    <row r="1063" ht="12.75" customHeight="1">
      <c r="A1063" s="106"/>
      <c r="B1063" s="106"/>
      <c r="C1063" s="106"/>
      <c r="D1063" s="101"/>
      <c r="E1063" s="106"/>
      <c r="F1063" s="107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9"/>
      <c r="V1063" s="109"/>
    </row>
    <row r="1064" ht="12.75" customHeight="1">
      <c r="A1064" s="106"/>
      <c r="B1064" s="106"/>
      <c r="C1064" s="106"/>
      <c r="D1064" s="101"/>
      <c r="E1064" s="106"/>
      <c r="F1064" s="107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9"/>
      <c r="V1064" s="109"/>
    </row>
    <row r="1065" ht="12.75" customHeight="1">
      <c r="A1065" s="106"/>
      <c r="B1065" s="106"/>
      <c r="C1065" s="106"/>
      <c r="D1065" s="101"/>
      <c r="E1065" s="106"/>
      <c r="F1065" s="107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9"/>
      <c r="V1065" s="109"/>
    </row>
    <row r="1066" ht="12.75" customHeight="1">
      <c r="A1066" s="106"/>
      <c r="B1066" s="106"/>
      <c r="C1066" s="106"/>
      <c r="D1066" s="101"/>
      <c r="E1066" s="106"/>
      <c r="F1066" s="107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9"/>
      <c r="V1066" s="109"/>
    </row>
    <row r="1067" ht="12.75" customHeight="1">
      <c r="A1067" s="106"/>
      <c r="B1067" s="106"/>
      <c r="C1067" s="106"/>
      <c r="D1067" s="101"/>
      <c r="E1067" s="106"/>
      <c r="F1067" s="107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9"/>
      <c r="V1067" s="109"/>
    </row>
    <row r="1068" ht="12.75" customHeight="1">
      <c r="A1068" s="106"/>
      <c r="B1068" s="106"/>
      <c r="C1068" s="106"/>
      <c r="D1068" s="101"/>
      <c r="E1068" s="106"/>
      <c r="F1068" s="107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9"/>
      <c r="V1068" s="109"/>
    </row>
    <row r="1069" ht="12.75" customHeight="1">
      <c r="A1069" s="106"/>
      <c r="B1069" s="106"/>
      <c r="C1069" s="106"/>
      <c r="D1069" s="101"/>
      <c r="E1069" s="106"/>
      <c r="F1069" s="107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9"/>
      <c r="V1069" s="109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0</v>
      </c>
      <c r="D2" s="117"/>
      <c r="E2" s="116">
        <f t="shared" ref="E2:R2" si="1">SUM(E5,E11)</f>
        <v>0</v>
      </c>
      <c r="F2" s="116">
        <f t="shared" si="1"/>
        <v>0</v>
      </c>
      <c r="G2" s="118">
        <f t="shared" si="1"/>
        <v>0</v>
      </c>
      <c r="H2" s="118">
        <f t="shared" si="1"/>
        <v>0</v>
      </c>
      <c r="I2" s="118">
        <f t="shared" si="1"/>
        <v>0</v>
      </c>
      <c r="J2" s="118">
        <f t="shared" si="1"/>
        <v>0</v>
      </c>
      <c r="K2" s="118">
        <f t="shared" si="1"/>
        <v>0</v>
      </c>
      <c r="L2" s="118">
        <f t="shared" si="1"/>
        <v>0</v>
      </c>
      <c r="M2" s="118">
        <f t="shared" si="1"/>
        <v>0</v>
      </c>
      <c r="N2" s="118">
        <f t="shared" si="1"/>
        <v>0</v>
      </c>
      <c r="O2" s="118">
        <f t="shared" si="1"/>
        <v>0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36</v>
      </c>
      <c r="D4" s="120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0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19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18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6" si="2">IFERROR(I20/H20,0)</f>
        <v>0</v>
      </c>
      <c r="V20" s="131">
        <f t="shared" ref="V20:V36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6" t="s">
        <v>26</v>
      </c>
      <c r="B22" s="137" t="s">
        <v>27</v>
      </c>
      <c r="C22" s="137" t="s">
        <v>48</v>
      </c>
      <c r="D22" s="138" t="s">
        <v>46</v>
      </c>
      <c r="E22" s="137" t="s">
        <v>47</v>
      </c>
      <c r="F22" s="137" t="s">
        <v>49</v>
      </c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1">
        <f t="shared" si="2"/>
        <v>0</v>
      </c>
      <c r="V22" s="131">
        <f t="shared" si="3"/>
        <v>0</v>
      </c>
    </row>
    <row r="23" ht="12.75" customHeight="1">
      <c r="A23" s="139" t="s">
        <v>26</v>
      </c>
      <c r="B23" s="140" t="s">
        <v>27</v>
      </c>
      <c r="C23" s="140" t="s">
        <v>48</v>
      </c>
      <c r="D23" s="75"/>
      <c r="E23" s="141"/>
      <c r="F23" s="63" t="s">
        <v>50</v>
      </c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1">
        <f t="shared" si="2"/>
        <v>0</v>
      </c>
      <c r="V23" s="131">
        <f t="shared" si="3"/>
        <v>0</v>
      </c>
    </row>
    <row r="24" ht="12.75" customHeight="1">
      <c r="A24" s="142" t="s">
        <v>26</v>
      </c>
      <c r="B24" s="143" t="s">
        <v>27</v>
      </c>
      <c r="C24" s="144" t="s">
        <v>51</v>
      </c>
      <c r="D24" s="145" t="s">
        <v>46</v>
      </c>
      <c r="E24" s="143" t="s">
        <v>47</v>
      </c>
      <c r="F24" s="144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6" t="s">
        <v>26</v>
      </c>
      <c r="B25" s="147" t="s">
        <v>27</v>
      </c>
      <c r="C25" s="148" t="s">
        <v>51</v>
      </c>
      <c r="D25" s="84"/>
      <c r="E25" s="147" t="s">
        <v>47</v>
      </c>
      <c r="F25" s="148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46" t="s">
        <v>26</v>
      </c>
      <c r="B26" s="147" t="s">
        <v>27</v>
      </c>
      <c r="C26" s="148" t="s">
        <v>51</v>
      </c>
      <c r="D26" s="84"/>
      <c r="E26" s="147" t="s">
        <v>47</v>
      </c>
      <c r="F26" s="148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6" t="s">
        <v>26</v>
      </c>
      <c r="B27" s="147" t="s">
        <v>27</v>
      </c>
      <c r="C27" s="148" t="s">
        <v>51</v>
      </c>
      <c r="D27" s="84"/>
      <c r="E27" s="147" t="s">
        <v>47</v>
      </c>
      <c r="F27" s="148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6" t="s">
        <v>26</v>
      </c>
      <c r="B28" s="137" t="s">
        <v>27</v>
      </c>
      <c r="C28" s="149" t="s">
        <v>55</v>
      </c>
      <c r="D28" s="150" t="s">
        <v>46</v>
      </c>
      <c r="E28" s="151" t="s">
        <v>47</v>
      </c>
      <c r="F28" s="149" t="s">
        <v>55</v>
      </c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1">
        <f t="shared" si="2"/>
        <v>0</v>
      </c>
      <c r="V28" s="131">
        <f t="shared" si="3"/>
        <v>0</v>
      </c>
    </row>
    <row r="29" ht="12.75" customHeight="1">
      <c r="A29" s="139" t="s">
        <v>26</v>
      </c>
      <c r="B29" s="140" t="s">
        <v>27</v>
      </c>
      <c r="C29" s="140" t="s">
        <v>55</v>
      </c>
      <c r="D29" s="75"/>
      <c r="E29" s="140" t="s">
        <v>47</v>
      </c>
      <c r="F29" s="63" t="s">
        <v>56</v>
      </c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1">
        <f t="shared" si="2"/>
        <v>0</v>
      </c>
      <c r="V29" s="131">
        <f t="shared" si="3"/>
        <v>0</v>
      </c>
    </row>
    <row r="30" ht="12.75" customHeight="1">
      <c r="A30" s="139" t="s">
        <v>26</v>
      </c>
      <c r="B30" s="140" t="s">
        <v>27</v>
      </c>
      <c r="C30" s="140" t="s">
        <v>55</v>
      </c>
      <c r="D30" s="75"/>
      <c r="E30" s="141"/>
      <c r="F30" s="63" t="s">
        <v>57</v>
      </c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1">
        <f t="shared" si="2"/>
        <v>0</v>
      </c>
      <c r="V30" s="131">
        <f t="shared" si="3"/>
        <v>0</v>
      </c>
    </row>
    <row r="31" ht="12.75" customHeight="1">
      <c r="A31" s="139" t="s">
        <v>26</v>
      </c>
      <c r="B31" s="140" t="s">
        <v>27</v>
      </c>
      <c r="C31" s="140" t="s">
        <v>55</v>
      </c>
      <c r="D31" s="75"/>
      <c r="E31" s="140" t="s">
        <v>58</v>
      </c>
      <c r="F31" s="63" t="s">
        <v>59</v>
      </c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1">
        <f t="shared" si="2"/>
        <v>0</v>
      </c>
      <c r="V31" s="131">
        <f t="shared" si="3"/>
        <v>0</v>
      </c>
    </row>
    <row r="32" ht="12.75" customHeight="1">
      <c r="A32" s="142" t="s">
        <v>26</v>
      </c>
      <c r="B32" s="143" t="s">
        <v>27</v>
      </c>
      <c r="C32" s="154" t="s">
        <v>60</v>
      </c>
      <c r="D32" s="145" t="s">
        <v>46</v>
      </c>
      <c r="E32" s="155"/>
      <c r="F32" s="154" t="s">
        <v>60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2"/>
        <v>0</v>
      </c>
      <c r="V32" s="131">
        <f t="shared" si="3"/>
        <v>0</v>
      </c>
    </row>
    <row r="33" ht="12.75" customHeight="1">
      <c r="A33" s="146" t="s">
        <v>26</v>
      </c>
      <c r="B33" s="147" t="s">
        <v>27</v>
      </c>
      <c r="C33" s="147" t="s">
        <v>60</v>
      </c>
      <c r="D33" s="84"/>
      <c r="E33" s="155"/>
      <c r="F33" s="156" t="s">
        <v>61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2"/>
        <v>0</v>
      </c>
      <c r="V33" s="131">
        <f t="shared" si="3"/>
        <v>0</v>
      </c>
    </row>
    <row r="34" ht="12.75" customHeight="1">
      <c r="A34" s="146" t="s">
        <v>26</v>
      </c>
      <c r="B34" s="147" t="s">
        <v>27</v>
      </c>
      <c r="C34" s="147" t="s">
        <v>60</v>
      </c>
      <c r="D34" s="84"/>
      <c r="E34" s="155"/>
      <c r="F34" s="156" t="s">
        <v>62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2"/>
        <v>0</v>
      </c>
      <c r="V34" s="131">
        <f t="shared" si="3"/>
        <v>0</v>
      </c>
    </row>
    <row r="35" ht="12.75" customHeight="1">
      <c r="A35" s="146" t="s">
        <v>26</v>
      </c>
      <c r="B35" s="147" t="s">
        <v>27</v>
      </c>
      <c r="C35" s="147" t="s">
        <v>60</v>
      </c>
      <c r="D35" s="84"/>
      <c r="E35" s="155"/>
      <c r="F35" s="156" t="s">
        <v>63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2"/>
        <v>0</v>
      </c>
      <c r="V35" s="131">
        <f t="shared" si="3"/>
        <v>0</v>
      </c>
    </row>
    <row r="36" ht="12.75" customHeight="1">
      <c r="A36" s="146" t="s">
        <v>26</v>
      </c>
      <c r="B36" s="147" t="s">
        <v>27</v>
      </c>
      <c r="C36" s="147" t="s">
        <v>60</v>
      </c>
      <c r="D36" s="84"/>
      <c r="E36" s="155"/>
      <c r="F36" s="156" t="s">
        <v>64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1">
        <f t="shared" si="2"/>
        <v>0</v>
      </c>
      <c r="V36" s="131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128" t="s">
        <v>28</v>
      </c>
      <c r="B38" s="129"/>
      <c r="C38" s="129"/>
      <c r="D38" s="157" t="s">
        <v>46</v>
      </c>
      <c r="E38" s="128" t="s">
        <v>47</v>
      </c>
      <c r="F38" s="128" t="s">
        <v>28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ref="U38:U56" si="4">IFERROR(I38/H38,0)</f>
        <v>0</v>
      </c>
      <c r="V38" s="131">
        <f t="shared" ref="V38:V56" si="5">IFERROR(SUM(H38+L38)/G38,0)</f>
        <v>0</v>
      </c>
    </row>
    <row r="39" ht="12.75" customHeight="1">
      <c r="A39" s="132" t="s">
        <v>28</v>
      </c>
      <c r="B39" s="124" t="s">
        <v>29</v>
      </c>
      <c r="C39" s="158"/>
      <c r="D39" s="159" t="s">
        <v>46</v>
      </c>
      <c r="E39" s="135" t="s">
        <v>47</v>
      </c>
      <c r="F39" s="124" t="s">
        <v>29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4"/>
        <v>0</v>
      </c>
      <c r="V39" s="131">
        <f t="shared" si="5"/>
        <v>0</v>
      </c>
    </row>
    <row r="40" ht="12.75" customHeight="1">
      <c r="A40" s="142" t="s">
        <v>28</v>
      </c>
      <c r="B40" s="143" t="s">
        <v>29</v>
      </c>
      <c r="C40" s="144" t="s">
        <v>65</v>
      </c>
      <c r="D40" s="145" t="s">
        <v>46</v>
      </c>
      <c r="E40" s="143" t="s">
        <v>47</v>
      </c>
      <c r="F40" s="144" t="s">
        <v>65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4"/>
        <v>0</v>
      </c>
      <c r="V40" s="131">
        <f t="shared" si="5"/>
        <v>0</v>
      </c>
    </row>
    <row r="41" ht="12.75" customHeight="1">
      <c r="A41" s="146" t="s">
        <v>28</v>
      </c>
      <c r="B41" s="147" t="s">
        <v>29</v>
      </c>
      <c r="C41" s="146" t="s">
        <v>65</v>
      </c>
      <c r="D41" s="155"/>
      <c r="E41" s="147" t="s">
        <v>47</v>
      </c>
      <c r="F41" s="146" t="s">
        <v>66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4"/>
        <v>0</v>
      </c>
      <c r="V41" s="131">
        <f t="shared" si="5"/>
        <v>0</v>
      </c>
    </row>
    <row r="42" ht="12.75" customHeight="1">
      <c r="A42" s="146" t="s">
        <v>28</v>
      </c>
      <c r="B42" s="147" t="s">
        <v>29</v>
      </c>
      <c r="C42" s="146" t="s">
        <v>65</v>
      </c>
      <c r="D42" s="84"/>
      <c r="E42" s="160" t="s">
        <v>47</v>
      </c>
      <c r="F42" s="148" t="s">
        <v>67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4"/>
        <v>0</v>
      </c>
      <c r="V42" s="131">
        <f t="shared" si="5"/>
        <v>0</v>
      </c>
    </row>
    <row r="43" ht="12.75" customHeight="1">
      <c r="A43" s="146" t="s">
        <v>28</v>
      </c>
      <c r="B43" s="147" t="s">
        <v>29</v>
      </c>
      <c r="C43" s="146" t="s">
        <v>65</v>
      </c>
      <c r="D43" s="84"/>
      <c r="E43" s="160" t="s">
        <v>47</v>
      </c>
      <c r="F43" s="148" t="s">
        <v>68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4"/>
        <v>0</v>
      </c>
      <c r="V43" s="131">
        <f t="shared" si="5"/>
        <v>0</v>
      </c>
    </row>
    <row r="44" ht="12.75" customHeight="1">
      <c r="A44" s="146" t="s">
        <v>28</v>
      </c>
      <c r="B44" s="147" t="s">
        <v>29</v>
      </c>
      <c r="C44" s="146" t="s">
        <v>65</v>
      </c>
      <c r="D44" s="84"/>
      <c r="E44" s="160" t="s">
        <v>47</v>
      </c>
      <c r="F44" s="148" t="s">
        <v>69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4"/>
        <v>0</v>
      </c>
      <c r="V44" s="131">
        <f t="shared" si="5"/>
        <v>0</v>
      </c>
    </row>
    <row r="45" ht="12.75" customHeight="1">
      <c r="A45" s="146" t="s">
        <v>28</v>
      </c>
      <c r="B45" s="147" t="s">
        <v>29</v>
      </c>
      <c r="C45" s="146" t="s">
        <v>65</v>
      </c>
      <c r="D45" s="84"/>
      <c r="E45" s="160" t="s">
        <v>47</v>
      </c>
      <c r="F45" s="148" t="s">
        <v>70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4"/>
        <v>0</v>
      </c>
      <c r="V45" s="131">
        <f t="shared" si="5"/>
        <v>0</v>
      </c>
    </row>
    <row r="46" ht="12.75" customHeight="1">
      <c r="A46" s="146" t="s">
        <v>28</v>
      </c>
      <c r="B46" s="147" t="s">
        <v>29</v>
      </c>
      <c r="C46" s="146" t="s">
        <v>65</v>
      </c>
      <c r="D46" s="84"/>
      <c r="E46" s="147" t="s">
        <v>47</v>
      </c>
      <c r="F46" s="148" t="s">
        <v>71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4"/>
        <v>0</v>
      </c>
      <c r="V46" s="131">
        <f t="shared" si="5"/>
        <v>0</v>
      </c>
    </row>
    <row r="47" ht="12.75" customHeight="1">
      <c r="A47" s="146" t="s">
        <v>28</v>
      </c>
      <c r="B47" s="147" t="s">
        <v>29</v>
      </c>
      <c r="C47" s="146" t="s">
        <v>65</v>
      </c>
      <c r="D47" s="84"/>
      <c r="E47" s="147" t="s">
        <v>47</v>
      </c>
      <c r="F47" s="148" t="s">
        <v>72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4"/>
        <v>0</v>
      </c>
      <c r="V47" s="131">
        <f t="shared" si="5"/>
        <v>0</v>
      </c>
    </row>
    <row r="48" ht="12.75" customHeight="1">
      <c r="A48" s="146" t="s">
        <v>28</v>
      </c>
      <c r="B48" s="147" t="s">
        <v>29</v>
      </c>
      <c r="C48" s="146" t="s">
        <v>65</v>
      </c>
      <c r="D48" s="161"/>
      <c r="E48" s="147" t="s">
        <v>47</v>
      </c>
      <c r="F48" s="156" t="s">
        <v>73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4"/>
        <v>0</v>
      </c>
      <c r="V48" s="131">
        <f t="shared" si="5"/>
        <v>0</v>
      </c>
    </row>
    <row r="49" ht="12.75" customHeight="1">
      <c r="A49" s="146" t="s">
        <v>28</v>
      </c>
      <c r="B49" s="147" t="s">
        <v>29</v>
      </c>
      <c r="C49" s="146" t="s">
        <v>65</v>
      </c>
      <c r="D49" s="161"/>
      <c r="E49" s="147" t="s">
        <v>47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4"/>
        <v>0</v>
      </c>
      <c r="V49" s="131">
        <f t="shared" si="5"/>
        <v>0</v>
      </c>
    </row>
    <row r="50" ht="12.75" customHeight="1">
      <c r="A50" s="146" t="s">
        <v>28</v>
      </c>
      <c r="B50" s="147" t="s">
        <v>29</v>
      </c>
      <c r="C50" s="146" t="s">
        <v>65</v>
      </c>
      <c r="D50" s="161"/>
      <c r="E50" s="147" t="s">
        <v>47</v>
      </c>
      <c r="F50" s="156" t="s">
        <v>75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4"/>
        <v>0</v>
      </c>
      <c r="V50" s="131">
        <f t="shared" si="5"/>
        <v>0</v>
      </c>
    </row>
    <row r="51" ht="12.75" customHeight="1">
      <c r="A51" s="146" t="s">
        <v>28</v>
      </c>
      <c r="B51" s="147" t="s">
        <v>29</v>
      </c>
      <c r="C51" s="146" t="s">
        <v>65</v>
      </c>
      <c r="D51" s="161"/>
      <c r="E51" s="147" t="s">
        <v>47</v>
      </c>
      <c r="F51" s="156" t="s">
        <v>76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4"/>
        <v>0</v>
      </c>
      <c r="V51" s="131">
        <f t="shared" si="5"/>
        <v>0</v>
      </c>
    </row>
    <row r="52" ht="12.75" customHeight="1">
      <c r="A52" s="146" t="s">
        <v>28</v>
      </c>
      <c r="B52" s="147" t="s">
        <v>29</v>
      </c>
      <c r="C52" s="146" t="s">
        <v>65</v>
      </c>
      <c r="D52" s="161"/>
      <c r="E52" s="147" t="s">
        <v>77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4"/>
        <v>0</v>
      </c>
      <c r="V52" s="131">
        <f t="shared" si="5"/>
        <v>0</v>
      </c>
    </row>
    <row r="53" ht="12.75" customHeight="1">
      <c r="A53" s="146" t="s">
        <v>28</v>
      </c>
      <c r="B53" s="147" t="s">
        <v>29</v>
      </c>
      <c r="C53" s="146" t="s">
        <v>65</v>
      </c>
      <c r="D53" s="161"/>
      <c r="E53" s="147" t="s">
        <v>79</v>
      </c>
      <c r="F53" s="156" t="s">
        <v>80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4"/>
        <v>0</v>
      </c>
      <c r="V53" s="131">
        <f t="shared" si="5"/>
        <v>0</v>
      </c>
    </row>
    <row r="54" ht="12.75" customHeight="1">
      <c r="A54" s="146" t="s">
        <v>28</v>
      </c>
      <c r="B54" s="147" t="s">
        <v>29</v>
      </c>
      <c r="C54" s="146" t="s">
        <v>65</v>
      </c>
      <c r="D54" s="161"/>
      <c r="E54" s="155"/>
      <c r="F54" s="156" t="s">
        <v>81</v>
      </c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1">
        <f t="shared" si="4"/>
        <v>0</v>
      </c>
      <c r="V54" s="131">
        <f t="shared" si="5"/>
        <v>0</v>
      </c>
    </row>
    <row r="55" ht="12.75" customHeight="1">
      <c r="A55" s="146" t="s">
        <v>28</v>
      </c>
      <c r="B55" s="147" t="s">
        <v>29</v>
      </c>
      <c r="C55" s="146" t="s">
        <v>65</v>
      </c>
      <c r="D55" s="161"/>
      <c r="E55" s="147" t="s">
        <v>47</v>
      </c>
      <c r="F55" s="156" t="s">
        <v>82</v>
      </c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1">
        <f t="shared" si="4"/>
        <v>0</v>
      </c>
      <c r="V55" s="131">
        <f t="shared" si="5"/>
        <v>0</v>
      </c>
    </row>
    <row r="56" ht="12.75" customHeight="1">
      <c r="A56" s="146" t="s">
        <v>28</v>
      </c>
      <c r="B56" s="147" t="s">
        <v>29</v>
      </c>
      <c r="C56" s="146" t="s">
        <v>65</v>
      </c>
      <c r="D56" s="161"/>
      <c r="E56" s="147" t="s">
        <v>47</v>
      </c>
      <c r="F56" s="156" t="s">
        <v>83</v>
      </c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1">
        <f t="shared" si="4"/>
        <v>0</v>
      </c>
      <c r="V56" s="131">
        <f t="shared" si="5"/>
        <v>0</v>
      </c>
    </row>
    <row r="57" ht="12.75" customHeight="1">
      <c r="A57" s="162"/>
      <c r="B57" s="162"/>
      <c r="C57" s="162"/>
      <c r="D57" s="1"/>
      <c r="E57" s="162"/>
      <c r="F57" s="11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/>
      <c r="V57" s="164"/>
    </row>
    <row r="58" ht="12.75" customHeight="1">
      <c r="A58" s="162"/>
      <c r="B58" s="162"/>
      <c r="C58" s="162"/>
      <c r="D58" s="1"/>
      <c r="E58" s="162"/>
      <c r="F58" s="11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4"/>
      <c r="V58" s="164"/>
    </row>
    <row r="59" ht="12.75" customHeight="1">
      <c r="A59" s="162"/>
      <c r="B59" s="162"/>
      <c r="C59" s="162"/>
      <c r="D59" s="1"/>
      <c r="E59" s="162"/>
      <c r="F59" s="11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4"/>
      <c r="V59" s="164"/>
    </row>
    <row r="60" ht="12.75" customHeight="1">
      <c r="A60" s="162"/>
      <c r="B60" s="162"/>
      <c r="C60" s="162"/>
      <c r="D60" s="1"/>
      <c r="E60" s="162"/>
      <c r="F60" s="11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4"/>
      <c r="V60" s="164"/>
    </row>
    <row r="61" ht="12.75" customHeight="1">
      <c r="A61" s="162"/>
      <c r="B61" s="162"/>
      <c r="C61" s="162"/>
      <c r="D61" s="1"/>
      <c r="E61" s="162"/>
      <c r="F61" s="11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4"/>
      <c r="V61" s="164"/>
    </row>
    <row r="62" ht="12.75" customHeight="1">
      <c r="A62" s="162"/>
      <c r="B62" s="162"/>
      <c r="C62" s="162"/>
      <c r="D62" s="1"/>
      <c r="E62" s="162"/>
      <c r="F62" s="11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4"/>
      <c r="V62" s="164"/>
    </row>
    <row r="63" ht="12.75" customHeight="1">
      <c r="A63" s="162"/>
      <c r="B63" s="162"/>
      <c r="C63" s="162"/>
      <c r="D63" s="1"/>
      <c r="E63" s="162"/>
      <c r="F63" s="11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4"/>
      <c r="V63" s="164"/>
    </row>
    <row r="64" ht="12.75" customHeight="1">
      <c r="A64" s="162"/>
      <c r="B64" s="162"/>
      <c r="C64" s="162"/>
      <c r="D64" s="1"/>
      <c r="E64" s="162"/>
      <c r="F64" s="11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4"/>
      <c r="V64" s="164"/>
    </row>
    <row r="65" ht="12.75" customHeight="1">
      <c r="A65" s="162"/>
      <c r="B65" s="162"/>
      <c r="C65" s="162"/>
      <c r="D65" s="1"/>
      <c r="E65" s="162"/>
      <c r="F65" s="11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4"/>
      <c r="V65" s="164"/>
    </row>
    <row r="66" ht="12.75" customHeight="1">
      <c r="A66" s="162"/>
      <c r="B66" s="162"/>
      <c r="C66" s="162"/>
      <c r="D66" s="1"/>
      <c r="E66" s="162"/>
      <c r="F66" s="11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4"/>
      <c r="V66" s="164"/>
    </row>
    <row r="67" ht="12.75" customHeight="1">
      <c r="A67" s="162"/>
      <c r="B67" s="162"/>
      <c r="C67" s="162"/>
      <c r="D67" s="1"/>
      <c r="E67" s="162"/>
      <c r="F67" s="11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4"/>
      <c r="V67" s="164"/>
    </row>
    <row r="68" ht="12.75" customHeight="1">
      <c r="A68" s="162"/>
      <c r="B68" s="162"/>
      <c r="C68" s="162"/>
      <c r="D68" s="1"/>
      <c r="E68" s="162"/>
      <c r="F68" s="11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4"/>
      <c r="V68" s="164"/>
    </row>
    <row r="69" ht="12.75" customHeight="1">
      <c r="A69" s="162"/>
      <c r="B69" s="162"/>
      <c r="C69" s="162"/>
      <c r="D69" s="1"/>
      <c r="E69" s="162"/>
      <c r="F69" s="11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4"/>
      <c r="V69" s="164"/>
    </row>
    <row r="70" ht="12.75" customHeight="1">
      <c r="A70" s="162"/>
      <c r="B70" s="162"/>
      <c r="C70" s="162"/>
      <c r="D70" s="1"/>
      <c r="E70" s="162"/>
      <c r="F70" s="11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4"/>
      <c r="V70" s="164"/>
    </row>
    <row r="71" ht="12.75" customHeight="1">
      <c r="A71" s="162"/>
      <c r="B71" s="162"/>
      <c r="C71" s="162"/>
      <c r="D71" s="1"/>
      <c r="E71" s="162"/>
      <c r="F71" s="11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4"/>
      <c r="V71" s="164"/>
    </row>
    <row r="72" ht="12.75" customHeight="1">
      <c r="A72" s="162"/>
      <c r="B72" s="162"/>
      <c r="C72" s="162"/>
      <c r="D72" s="1"/>
      <c r="E72" s="162"/>
      <c r="F72" s="11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4"/>
      <c r="V72" s="164"/>
    </row>
    <row r="73" ht="12.75" customHeight="1">
      <c r="A73" s="162"/>
      <c r="B73" s="162"/>
      <c r="C73" s="162"/>
      <c r="D73" s="1"/>
      <c r="E73" s="162"/>
      <c r="F73" s="11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4"/>
      <c r="V73" s="164"/>
    </row>
    <row r="74" ht="12.75" customHeight="1">
      <c r="A74" s="162"/>
      <c r="B74" s="162"/>
      <c r="C74" s="162"/>
      <c r="D74" s="1"/>
      <c r="E74" s="162"/>
      <c r="F74" s="11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4"/>
      <c r="V74" s="164"/>
    </row>
    <row r="75" ht="12.75" customHeight="1">
      <c r="A75" s="162"/>
      <c r="B75" s="162"/>
      <c r="C75" s="162"/>
      <c r="D75" s="1"/>
      <c r="E75" s="162"/>
      <c r="F75" s="11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4"/>
      <c r="V75" s="164"/>
    </row>
    <row r="76" ht="12.75" customHeight="1">
      <c r="A76" s="162"/>
      <c r="B76" s="162"/>
      <c r="C76" s="162"/>
      <c r="D76" s="1"/>
      <c r="E76" s="162"/>
      <c r="F76" s="11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4"/>
      <c r="V76" s="164"/>
    </row>
    <row r="77" ht="12.75" customHeight="1">
      <c r="A77" s="162"/>
      <c r="B77" s="162"/>
      <c r="C77" s="162"/>
      <c r="D77" s="1"/>
      <c r="E77" s="162"/>
      <c r="F77" s="11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4"/>
      <c r="V77" s="164"/>
    </row>
    <row r="78" ht="12.75" customHeight="1">
      <c r="A78" s="162"/>
      <c r="B78" s="162"/>
      <c r="C78" s="162"/>
      <c r="D78" s="1"/>
      <c r="E78" s="162"/>
      <c r="F78" s="11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4"/>
      <c r="V78" s="164"/>
    </row>
    <row r="79" ht="12.75" customHeight="1">
      <c r="A79" s="162"/>
      <c r="B79" s="162"/>
      <c r="C79" s="162"/>
      <c r="D79" s="1"/>
      <c r="E79" s="162"/>
      <c r="F79" s="11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4"/>
      <c r="V79" s="164"/>
    </row>
    <row r="80" ht="12.75" customHeight="1">
      <c r="A80" s="162"/>
      <c r="B80" s="162"/>
      <c r="C80" s="162"/>
      <c r="D80" s="1"/>
      <c r="E80" s="162"/>
      <c r="F80" s="11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4"/>
      <c r="V80" s="164"/>
    </row>
    <row r="81" ht="12.75" customHeight="1">
      <c r="A81" s="162"/>
      <c r="B81" s="162"/>
      <c r="C81" s="162"/>
      <c r="D81" s="1"/>
      <c r="E81" s="162"/>
      <c r="F81" s="11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4"/>
      <c r="V81" s="164"/>
    </row>
    <row r="82" ht="12.75" customHeight="1">
      <c r="A82" s="162"/>
      <c r="B82" s="162"/>
      <c r="C82" s="162"/>
      <c r="D82" s="1"/>
      <c r="E82" s="162"/>
      <c r="F82" s="11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4"/>
      <c r="V82" s="164"/>
    </row>
    <row r="83" ht="12.75" customHeight="1">
      <c r="A83" s="162"/>
      <c r="B83" s="162"/>
      <c r="C83" s="162"/>
      <c r="D83" s="1"/>
      <c r="E83" s="162"/>
      <c r="F83" s="11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4"/>
      <c r="V83" s="164"/>
    </row>
    <row r="84" ht="12.75" customHeight="1">
      <c r="A84" s="162"/>
      <c r="B84" s="162"/>
      <c r="C84" s="162"/>
      <c r="D84" s="1"/>
      <c r="E84" s="162"/>
      <c r="F84" s="11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4"/>
      <c r="V84" s="164"/>
    </row>
    <row r="85" ht="12.75" customHeight="1">
      <c r="A85" s="162"/>
      <c r="B85" s="162"/>
      <c r="C85" s="162"/>
      <c r="D85" s="1"/>
      <c r="E85" s="162"/>
      <c r="F85" s="11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4"/>
      <c r="V85" s="164"/>
    </row>
    <row r="86" ht="12.75" customHeight="1">
      <c r="A86" s="162"/>
      <c r="B86" s="162"/>
      <c r="C86" s="162"/>
      <c r="D86" s="1"/>
      <c r="E86" s="162"/>
      <c r="F86" s="11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4"/>
      <c r="V86" s="164"/>
    </row>
    <row r="87" ht="12.75" customHeight="1">
      <c r="A87" s="162"/>
      <c r="B87" s="162"/>
      <c r="C87" s="162"/>
      <c r="D87" s="1"/>
      <c r="E87" s="162"/>
      <c r="F87" s="11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4"/>
      <c r="V87" s="164"/>
    </row>
    <row r="88" ht="12.75" customHeight="1">
      <c r="A88" s="162"/>
      <c r="B88" s="162"/>
      <c r="C88" s="162"/>
      <c r="D88" s="1"/>
      <c r="E88" s="162"/>
      <c r="F88" s="11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4"/>
      <c r="V88" s="164"/>
    </row>
    <row r="89" ht="12.75" customHeight="1">
      <c r="A89" s="162"/>
      <c r="B89" s="162"/>
      <c r="C89" s="162"/>
      <c r="D89" s="1"/>
      <c r="E89" s="162"/>
      <c r="F89" s="11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4"/>
      <c r="V89" s="164"/>
    </row>
    <row r="90" ht="12.75" customHeight="1">
      <c r="A90" s="162"/>
      <c r="B90" s="162"/>
      <c r="C90" s="162"/>
      <c r="D90" s="1"/>
      <c r="E90" s="162"/>
      <c r="F90" s="11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4"/>
      <c r="V90" s="164"/>
    </row>
    <row r="91" ht="12.75" customHeight="1">
      <c r="A91" s="162"/>
      <c r="B91" s="162"/>
      <c r="C91" s="162"/>
      <c r="D91" s="1"/>
      <c r="E91" s="162"/>
      <c r="F91" s="11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4"/>
      <c r="V91" s="164"/>
    </row>
    <row r="92" ht="12.75" customHeight="1">
      <c r="A92" s="162"/>
      <c r="B92" s="162"/>
      <c r="C92" s="162"/>
      <c r="D92" s="1"/>
      <c r="E92" s="162"/>
      <c r="F92" s="11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4"/>
      <c r="V92" s="164"/>
    </row>
    <row r="93" ht="12.75" customHeight="1">
      <c r="A93" s="162"/>
      <c r="B93" s="162"/>
      <c r="C93" s="162"/>
      <c r="D93" s="1"/>
      <c r="E93" s="162"/>
      <c r="F93" s="11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4"/>
      <c r="V93" s="164"/>
    </row>
    <row r="94" ht="12.75" customHeight="1">
      <c r="A94" s="162"/>
      <c r="B94" s="162"/>
      <c r="C94" s="162"/>
      <c r="D94" s="1"/>
      <c r="E94" s="162"/>
      <c r="F94" s="11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4"/>
      <c r="V94" s="164"/>
    </row>
    <row r="95" ht="12.75" customHeight="1">
      <c r="A95" s="162"/>
      <c r="B95" s="162"/>
      <c r="C95" s="162"/>
      <c r="D95" s="1"/>
      <c r="E95" s="162"/>
      <c r="F95" s="11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4"/>
      <c r="V95" s="164"/>
    </row>
    <row r="96" ht="12.75" customHeight="1">
      <c r="A96" s="162"/>
      <c r="B96" s="162"/>
      <c r="C96" s="162"/>
      <c r="D96" s="1"/>
      <c r="E96" s="162"/>
      <c r="F96" s="11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4"/>
      <c r="V96" s="164"/>
    </row>
    <row r="97" ht="12.75" customHeight="1">
      <c r="A97" s="162"/>
      <c r="B97" s="162"/>
      <c r="C97" s="162"/>
      <c r="D97" s="1"/>
      <c r="E97" s="162"/>
      <c r="F97" s="11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4"/>
      <c r="V97" s="164"/>
    </row>
    <row r="98" ht="12.75" customHeight="1">
      <c r="A98" s="162"/>
      <c r="B98" s="162"/>
      <c r="C98" s="162"/>
      <c r="D98" s="1"/>
      <c r="E98" s="162"/>
      <c r="F98" s="11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4"/>
      <c r="V98" s="164"/>
    </row>
    <row r="99" ht="12.75" customHeight="1">
      <c r="A99" s="162"/>
      <c r="B99" s="162"/>
      <c r="C99" s="162"/>
      <c r="D99" s="1"/>
      <c r="E99" s="162"/>
      <c r="F99" s="11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4"/>
      <c r="V99" s="164"/>
    </row>
    <row r="100" ht="12.75" customHeight="1">
      <c r="A100" s="162"/>
      <c r="B100" s="162"/>
      <c r="C100" s="162"/>
      <c r="D100" s="1"/>
      <c r="E100" s="162"/>
      <c r="F100" s="11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4"/>
      <c r="V100" s="164"/>
    </row>
    <row r="101" ht="12.75" customHeight="1">
      <c r="A101" s="162"/>
      <c r="B101" s="162"/>
      <c r="C101" s="162"/>
      <c r="D101" s="1"/>
      <c r="E101" s="162"/>
      <c r="F101" s="11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4"/>
      <c r="V101" s="164"/>
    </row>
    <row r="102" ht="12.75" customHeight="1">
      <c r="A102" s="162"/>
      <c r="B102" s="162"/>
      <c r="C102" s="162"/>
      <c r="D102" s="1"/>
      <c r="E102" s="162"/>
      <c r="F102" s="11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4"/>
      <c r="V102" s="164"/>
    </row>
    <row r="103" ht="12.75" customHeight="1">
      <c r="A103" s="162"/>
      <c r="B103" s="162"/>
      <c r="C103" s="162"/>
      <c r="D103" s="1"/>
      <c r="E103" s="162"/>
      <c r="F103" s="11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4"/>
      <c r="V103" s="164"/>
    </row>
    <row r="104" ht="12.75" customHeight="1">
      <c r="A104" s="162"/>
      <c r="B104" s="162"/>
      <c r="C104" s="162"/>
      <c r="D104" s="1"/>
      <c r="E104" s="162"/>
      <c r="F104" s="11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4"/>
      <c r="V104" s="164"/>
    </row>
    <row r="105" ht="12.75" customHeight="1">
      <c r="A105" s="162"/>
      <c r="B105" s="162"/>
      <c r="C105" s="162"/>
      <c r="D105" s="1"/>
      <c r="E105" s="162"/>
      <c r="F105" s="11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4"/>
      <c r="V105" s="164"/>
    </row>
    <row r="106" ht="12.75" customHeight="1">
      <c r="A106" s="162"/>
      <c r="B106" s="162"/>
      <c r="C106" s="162"/>
      <c r="D106" s="1"/>
      <c r="E106" s="162"/>
      <c r="F106" s="11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4"/>
      <c r="V106" s="164"/>
    </row>
    <row r="107" ht="12.75" customHeight="1">
      <c r="A107" s="162"/>
      <c r="B107" s="162"/>
      <c r="C107" s="162"/>
      <c r="D107" s="1"/>
      <c r="E107" s="162"/>
      <c r="F107" s="11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4"/>
      <c r="V107" s="164"/>
    </row>
    <row r="108" ht="12.75" customHeight="1">
      <c r="A108" s="162"/>
      <c r="B108" s="162"/>
      <c r="C108" s="162"/>
      <c r="D108" s="1"/>
      <c r="E108" s="162"/>
      <c r="F108" s="11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4"/>
      <c r="V108" s="164"/>
    </row>
    <row r="109" ht="12.75" customHeight="1">
      <c r="A109" s="162"/>
      <c r="B109" s="162"/>
      <c r="C109" s="162"/>
      <c r="D109" s="1"/>
      <c r="E109" s="162"/>
      <c r="F109" s="11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4"/>
      <c r="V109" s="164"/>
    </row>
    <row r="110" ht="12.75" customHeight="1">
      <c r="A110" s="162"/>
      <c r="B110" s="162"/>
      <c r="C110" s="162"/>
      <c r="D110" s="1"/>
      <c r="E110" s="162"/>
      <c r="F110" s="11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4"/>
      <c r="V110" s="164"/>
    </row>
    <row r="111" ht="12.75" customHeight="1">
      <c r="A111" s="162"/>
      <c r="B111" s="162"/>
      <c r="C111" s="162"/>
      <c r="D111" s="1"/>
      <c r="E111" s="162"/>
      <c r="F111" s="11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4"/>
      <c r="V111" s="164"/>
    </row>
    <row r="112" ht="12.75" customHeight="1">
      <c r="A112" s="162"/>
      <c r="B112" s="162"/>
      <c r="C112" s="162"/>
      <c r="D112" s="1"/>
      <c r="E112" s="162"/>
      <c r="F112" s="11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4"/>
      <c r="V112" s="164"/>
    </row>
    <row r="113" ht="12.75" customHeight="1">
      <c r="A113" s="162"/>
      <c r="B113" s="162"/>
      <c r="C113" s="162"/>
      <c r="D113" s="1"/>
      <c r="E113" s="162"/>
      <c r="F113" s="11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4"/>
      <c r="V113" s="164"/>
    </row>
    <row r="114" ht="12.75" customHeight="1">
      <c r="A114" s="162"/>
      <c r="B114" s="162"/>
      <c r="C114" s="162"/>
      <c r="D114" s="1"/>
      <c r="E114" s="162"/>
      <c r="F114" s="11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4"/>
      <c r="V114" s="164"/>
    </row>
    <row r="115" ht="12.75" customHeight="1">
      <c r="A115" s="162"/>
      <c r="B115" s="162"/>
      <c r="C115" s="162"/>
      <c r="D115" s="1"/>
      <c r="E115" s="162"/>
      <c r="F115" s="11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4"/>
      <c r="V115" s="164"/>
    </row>
    <row r="116" ht="12.75" customHeight="1">
      <c r="A116" s="162"/>
      <c r="B116" s="162"/>
      <c r="C116" s="162"/>
      <c r="D116" s="1"/>
      <c r="E116" s="162"/>
      <c r="F116" s="11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4"/>
      <c r="V116" s="164"/>
    </row>
    <row r="117" ht="12.75" customHeight="1">
      <c r="A117" s="162"/>
      <c r="B117" s="162"/>
      <c r="C117" s="162"/>
      <c r="D117" s="1"/>
      <c r="E117" s="162"/>
      <c r="F117" s="11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4"/>
      <c r="V117" s="164"/>
    </row>
    <row r="118" ht="12.75" customHeight="1">
      <c r="A118" s="162"/>
      <c r="B118" s="162"/>
      <c r="C118" s="162"/>
      <c r="D118" s="1"/>
      <c r="E118" s="162"/>
      <c r="F118" s="11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4"/>
      <c r="V118" s="164"/>
    </row>
    <row r="119" ht="12.75" customHeight="1">
      <c r="A119" s="162"/>
      <c r="B119" s="162"/>
      <c r="C119" s="162"/>
      <c r="D119" s="1"/>
      <c r="E119" s="162"/>
      <c r="F119" s="11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4"/>
      <c r="V119" s="164"/>
    </row>
    <row r="120" ht="12.75" customHeight="1">
      <c r="A120" s="162"/>
      <c r="B120" s="162"/>
      <c r="C120" s="162"/>
      <c r="D120" s="1"/>
      <c r="E120" s="162"/>
      <c r="F120" s="11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4"/>
      <c r="V120" s="164"/>
    </row>
    <row r="121" ht="12.75" customHeight="1">
      <c r="A121" s="162"/>
      <c r="B121" s="162"/>
      <c r="C121" s="162"/>
      <c r="D121" s="1"/>
      <c r="E121" s="162"/>
      <c r="F121" s="11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4"/>
      <c r="V121" s="164"/>
    </row>
    <row r="122" ht="12.75" customHeight="1">
      <c r="A122" s="162"/>
      <c r="B122" s="162"/>
      <c r="C122" s="162"/>
      <c r="D122" s="1"/>
      <c r="E122" s="162"/>
      <c r="F122" s="11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4"/>
      <c r="V122" s="164"/>
    </row>
    <row r="123" ht="12.75" customHeight="1">
      <c r="A123" s="162"/>
      <c r="B123" s="162"/>
      <c r="C123" s="162"/>
      <c r="D123" s="1"/>
      <c r="E123" s="162"/>
      <c r="F123" s="11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4"/>
      <c r="V123" s="164"/>
    </row>
    <row r="124" ht="12.75" customHeight="1">
      <c r="A124" s="162"/>
      <c r="B124" s="162"/>
      <c r="C124" s="162"/>
      <c r="D124" s="1"/>
      <c r="E124" s="162"/>
      <c r="F124" s="11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4"/>
      <c r="V124" s="164"/>
    </row>
    <row r="125" ht="12.75" customHeight="1">
      <c r="A125" s="162"/>
      <c r="B125" s="162"/>
      <c r="C125" s="162"/>
      <c r="D125" s="1"/>
      <c r="E125" s="162"/>
      <c r="F125" s="11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4"/>
      <c r="V125" s="164"/>
    </row>
    <row r="126" ht="12.75" customHeight="1">
      <c r="A126" s="162"/>
      <c r="B126" s="162"/>
      <c r="C126" s="162"/>
      <c r="D126" s="1"/>
      <c r="E126" s="162"/>
      <c r="F126" s="11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4"/>
      <c r="V126" s="164"/>
    </row>
    <row r="127" ht="12.75" customHeight="1">
      <c r="A127" s="162"/>
      <c r="B127" s="162"/>
      <c r="C127" s="162"/>
      <c r="D127" s="1"/>
      <c r="E127" s="162"/>
      <c r="F127" s="11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4"/>
      <c r="V127" s="164"/>
    </row>
    <row r="128" ht="12.75" customHeight="1">
      <c r="A128" s="162"/>
      <c r="B128" s="162"/>
      <c r="C128" s="162"/>
      <c r="D128" s="1"/>
      <c r="E128" s="162"/>
      <c r="F128" s="11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4"/>
      <c r="V128" s="164"/>
    </row>
    <row r="129" ht="12.75" customHeight="1">
      <c r="A129" s="162"/>
      <c r="B129" s="162"/>
      <c r="C129" s="162"/>
      <c r="D129" s="1"/>
      <c r="E129" s="162"/>
      <c r="F129" s="11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4"/>
      <c r="V129" s="164"/>
    </row>
    <row r="130" ht="12.75" customHeight="1">
      <c r="A130" s="162"/>
      <c r="B130" s="162"/>
      <c r="C130" s="162"/>
      <c r="D130" s="1"/>
      <c r="E130" s="162"/>
      <c r="F130" s="11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4"/>
      <c r="V130" s="164"/>
    </row>
    <row r="131" ht="12.75" customHeight="1">
      <c r="A131" s="162"/>
      <c r="B131" s="162"/>
      <c r="C131" s="162"/>
      <c r="D131" s="1"/>
      <c r="E131" s="162"/>
      <c r="F131" s="11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4"/>
      <c r="V131" s="164"/>
    </row>
    <row r="132" ht="12.75" customHeight="1">
      <c r="A132" s="162"/>
      <c r="B132" s="162"/>
      <c r="C132" s="162"/>
      <c r="D132" s="1"/>
      <c r="E132" s="162"/>
      <c r="F132" s="11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4"/>
      <c r="V132" s="164"/>
    </row>
    <row r="133" ht="12.75" customHeight="1">
      <c r="A133" s="162"/>
      <c r="B133" s="162"/>
      <c r="C133" s="162"/>
      <c r="D133" s="1"/>
      <c r="E133" s="162"/>
      <c r="F133" s="11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4"/>
      <c r="V133" s="164"/>
    </row>
    <row r="134" ht="12.75" customHeight="1">
      <c r="A134" s="162"/>
      <c r="B134" s="162"/>
      <c r="C134" s="162"/>
      <c r="D134" s="1"/>
      <c r="E134" s="162"/>
      <c r="F134" s="11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4"/>
      <c r="V134" s="164"/>
    </row>
    <row r="135" ht="12.75" customHeight="1">
      <c r="A135" s="162"/>
      <c r="B135" s="162"/>
      <c r="C135" s="162"/>
      <c r="D135" s="1"/>
      <c r="E135" s="162"/>
      <c r="F135" s="11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4"/>
      <c r="V135" s="164"/>
    </row>
    <row r="136" ht="12.75" customHeight="1">
      <c r="A136" s="162"/>
      <c r="B136" s="162"/>
      <c r="C136" s="162"/>
      <c r="D136" s="1"/>
      <c r="E136" s="162"/>
      <c r="F136" s="11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4"/>
      <c r="V136" s="164"/>
    </row>
    <row r="137" ht="12.75" customHeight="1">
      <c r="A137" s="162"/>
      <c r="B137" s="162"/>
      <c r="C137" s="162"/>
      <c r="D137" s="1"/>
      <c r="E137" s="162"/>
      <c r="F137" s="11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4"/>
      <c r="V137" s="164"/>
    </row>
    <row r="138" ht="12.75" customHeight="1">
      <c r="A138" s="162"/>
      <c r="B138" s="162"/>
      <c r="C138" s="162"/>
      <c r="D138" s="1"/>
      <c r="E138" s="162"/>
      <c r="F138" s="11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4"/>
      <c r="V138" s="164"/>
    </row>
    <row r="139" ht="12.75" customHeight="1">
      <c r="A139" s="162"/>
      <c r="B139" s="162"/>
      <c r="C139" s="162"/>
      <c r="D139" s="1"/>
      <c r="E139" s="162"/>
      <c r="F139" s="11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4"/>
      <c r="V139" s="164"/>
    </row>
    <row r="140" ht="12.75" customHeight="1">
      <c r="A140" s="162"/>
      <c r="B140" s="162"/>
      <c r="C140" s="162"/>
      <c r="D140" s="1"/>
      <c r="E140" s="162"/>
      <c r="F140" s="11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4"/>
      <c r="V140" s="164"/>
    </row>
    <row r="141" ht="12.75" customHeight="1">
      <c r="A141" s="162"/>
      <c r="B141" s="162"/>
      <c r="C141" s="162"/>
      <c r="D141" s="1"/>
      <c r="E141" s="162"/>
      <c r="F141" s="11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4"/>
      <c r="V141" s="164"/>
    </row>
    <row r="142" ht="12.75" customHeight="1">
      <c r="A142" s="162"/>
      <c r="B142" s="162"/>
      <c r="C142" s="162"/>
      <c r="D142" s="1"/>
      <c r="E142" s="162"/>
      <c r="F142" s="11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4"/>
      <c r="V142" s="164"/>
    </row>
    <row r="143" ht="12.75" customHeight="1">
      <c r="A143" s="162"/>
      <c r="B143" s="162"/>
      <c r="C143" s="162"/>
      <c r="D143" s="1"/>
      <c r="E143" s="162"/>
      <c r="F143" s="11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4"/>
      <c r="V143" s="164"/>
    </row>
    <row r="144" ht="12.75" customHeight="1">
      <c r="A144" s="162"/>
      <c r="B144" s="162"/>
      <c r="C144" s="162"/>
      <c r="D144" s="1"/>
      <c r="E144" s="162"/>
      <c r="F144" s="11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4"/>
      <c r="V144" s="164"/>
    </row>
    <row r="145" ht="12.75" customHeight="1">
      <c r="A145" s="162"/>
      <c r="B145" s="162"/>
      <c r="C145" s="162"/>
      <c r="D145" s="1"/>
      <c r="E145" s="162"/>
      <c r="F145" s="11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4"/>
      <c r="V145" s="164"/>
    </row>
    <row r="146" ht="12.75" customHeight="1">
      <c r="A146" s="162"/>
      <c r="B146" s="162"/>
      <c r="C146" s="162"/>
      <c r="D146" s="1"/>
      <c r="E146" s="162"/>
      <c r="F146" s="11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4"/>
      <c r="V146" s="164"/>
    </row>
    <row r="147" ht="12.75" customHeight="1">
      <c r="A147" s="162"/>
      <c r="B147" s="162"/>
      <c r="C147" s="162"/>
      <c r="D147" s="1"/>
      <c r="E147" s="162"/>
      <c r="F147" s="11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4"/>
      <c r="V147" s="164"/>
    </row>
    <row r="148" ht="12.75" customHeight="1">
      <c r="A148" s="162"/>
      <c r="B148" s="162"/>
      <c r="C148" s="162"/>
      <c r="D148" s="1"/>
      <c r="E148" s="162"/>
      <c r="F148" s="11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4"/>
      <c r="V148" s="164"/>
    </row>
    <row r="149" ht="12.75" customHeight="1">
      <c r="A149" s="162"/>
      <c r="B149" s="162"/>
      <c r="C149" s="162"/>
      <c r="D149" s="1"/>
      <c r="E149" s="162"/>
      <c r="F149" s="11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4"/>
      <c r="V149" s="164"/>
    </row>
    <row r="150" ht="12.75" customHeight="1">
      <c r="A150" s="162"/>
      <c r="B150" s="162"/>
      <c r="C150" s="162"/>
      <c r="D150" s="1"/>
      <c r="E150" s="162"/>
      <c r="F150" s="11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4"/>
      <c r="V150" s="164"/>
    </row>
    <row r="151" ht="12.75" customHeight="1">
      <c r="A151" s="162"/>
      <c r="B151" s="162"/>
      <c r="C151" s="162"/>
      <c r="D151" s="1"/>
      <c r="E151" s="162"/>
      <c r="F151" s="11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4"/>
      <c r="V151" s="164"/>
    </row>
    <row r="152" ht="12.75" customHeight="1">
      <c r="A152" s="162"/>
      <c r="B152" s="162"/>
      <c r="C152" s="162"/>
      <c r="D152" s="1"/>
      <c r="E152" s="162"/>
      <c r="F152" s="11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4"/>
      <c r="V152" s="164"/>
    </row>
    <row r="153" ht="12.75" customHeight="1">
      <c r="A153" s="162"/>
      <c r="B153" s="162"/>
      <c r="C153" s="162"/>
      <c r="D153" s="1"/>
      <c r="E153" s="162"/>
      <c r="F153" s="11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4"/>
      <c r="V153" s="164"/>
    </row>
    <row r="154" ht="12.75" customHeight="1">
      <c r="A154" s="162"/>
      <c r="B154" s="162"/>
      <c r="C154" s="162"/>
      <c r="D154" s="1"/>
      <c r="E154" s="162"/>
      <c r="F154" s="11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4"/>
      <c r="V154" s="164"/>
    </row>
    <row r="155" ht="12.75" customHeight="1">
      <c r="A155" s="162"/>
      <c r="B155" s="162"/>
      <c r="C155" s="162"/>
      <c r="D155" s="1"/>
      <c r="E155" s="162"/>
      <c r="F155" s="11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4"/>
      <c r="V155" s="164"/>
    </row>
    <row r="156" ht="12.75" customHeight="1">
      <c r="A156" s="162"/>
      <c r="B156" s="162"/>
      <c r="C156" s="162"/>
      <c r="D156" s="1"/>
      <c r="E156" s="162"/>
      <c r="F156" s="11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4"/>
      <c r="V156" s="164"/>
    </row>
    <row r="157" ht="12.75" customHeight="1">
      <c r="A157" s="162"/>
      <c r="B157" s="162"/>
      <c r="C157" s="162"/>
      <c r="D157" s="1"/>
      <c r="E157" s="162"/>
      <c r="F157" s="11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4"/>
      <c r="V157" s="164"/>
    </row>
    <row r="158" ht="12.75" customHeight="1">
      <c r="A158" s="162"/>
      <c r="B158" s="162"/>
      <c r="C158" s="162"/>
      <c r="D158" s="1"/>
      <c r="E158" s="162"/>
      <c r="F158" s="11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4"/>
      <c r="V158" s="164"/>
    </row>
    <row r="159" ht="12.75" customHeight="1">
      <c r="A159" s="162"/>
      <c r="B159" s="162"/>
      <c r="C159" s="162"/>
      <c r="D159" s="1"/>
      <c r="E159" s="162"/>
      <c r="F159" s="11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4"/>
      <c r="V159" s="164"/>
    </row>
    <row r="160" ht="12.75" customHeight="1">
      <c r="A160" s="162"/>
      <c r="B160" s="162"/>
      <c r="C160" s="162"/>
      <c r="D160" s="1"/>
      <c r="E160" s="162"/>
      <c r="F160" s="11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4"/>
      <c r="V160" s="164"/>
    </row>
    <row r="161" ht="12.75" customHeight="1">
      <c r="A161" s="162"/>
      <c r="B161" s="162"/>
      <c r="C161" s="162"/>
      <c r="D161" s="1"/>
      <c r="E161" s="162"/>
      <c r="F161" s="11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4"/>
      <c r="V161" s="164"/>
    </row>
    <row r="162" ht="12.75" customHeight="1">
      <c r="A162" s="162"/>
      <c r="B162" s="162"/>
      <c r="C162" s="162"/>
      <c r="D162" s="1"/>
      <c r="E162" s="162"/>
      <c r="F162" s="11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4"/>
      <c r="V162" s="164"/>
    </row>
    <row r="163" ht="12.75" customHeight="1">
      <c r="A163" s="162"/>
      <c r="B163" s="162"/>
      <c r="C163" s="162"/>
      <c r="D163" s="1"/>
      <c r="E163" s="162"/>
      <c r="F163" s="11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4"/>
      <c r="V163" s="164"/>
    </row>
    <row r="164" ht="12.75" customHeight="1">
      <c r="A164" s="162"/>
      <c r="B164" s="162"/>
      <c r="C164" s="162"/>
      <c r="D164" s="1"/>
      <c r="E164" s="162"/>
      <c r="F164" s="11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4"/>
      <c r="V164" s="164"/>
    </row>
    <row r="165" ht="12.75" customHeight="1">
      <c r="A165" s="162"/>
      <c r="B165" s="162"/>
      <c r="C165" s="162"/>
      <c r="D165" s="1"/>
      <c r="E165" s="162"/>
      <c r="F165" s="11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4"/>
      <c r="V165" s="164"/>
    </row>
    <row r="166" ht="12.75" customHeight="1">
      <c r="A166" s="162"/>
      <c r="B166" s="162"/>
      <c r="C166" s="162"/>
      <c r="D166" s="1"/>
      <c r="E166" s="162"/>
      <c r="F166" s="11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4"/>
      <c r="V166" s="164"/>
    </row>
    <row r="167" ht="12.75" customHeight="1">
      <c r="A167" s="162"/>
      <c r="B167" s="162"/>
      <c r="C167" s="162"/>
      <c r="D167" s="1"/>
      <c r="E167" s="162"/>
      <c r="F167" s="11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4"/>
      <c r="V167" s="164"/>
    </row>
    <row r="168" ht="12.75" customHeight="1">
      <c r="A168" s="162"/>
      <c r="B168" s="162"/>
      <c r="C168" s="162"/>
      <c r="D168" s="1"/>
      <c r="E168" s="162"/>
      <c r="F168" s="11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4"/>
      <c r="V168" s="164"/>
    </row>
    <row r="169" ht="12.75" customHeight="1">
      <c r="A169" s="162"/>
      <c r="B169" s="162"/>
      <c r="C169" s="162"/>
      <c r="D169" s="1"/>
      <c r="E169" s="162"/>
      <c r="F169" s="11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4"/>
      <c r="V169" s="164"/>
    </row>
    <row r="170" ht="12.75" customHeight="1">
      <c r="A170" s="162"/>
      <c r="B170" s="162"/>
      <c r="C170" s="162"/>
      <c r="D170" s="1"/>
      <c r="E170" s="162"/>
      <c r="F170" s="11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4"/>
      <c r="V170" s="164"/>
    </row>
    <row r="171" ht="12.75" customHeight="1">
      <c r="A171" s="162"/>
      <c r="B171" s="162"/>
      <c r="C171" s="162"/>
      <c r="D171" s="1"/>
      <c r="E171" s="162"/>
      <c r="F171" s="11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4"/>
      <c r="V171" s="164"/>
    </row>
    <row r="172" ht="12.75" customHeight="1">
      <c r="A172" s="162"/>
      <c r="B172" s="162"/>
      <c r="C172" s="162"/>
      <c r="D172" s="1"/>
      <c r="E172" s="162"/>
      <c r="F172" s="11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4"/>
      <c r="V172" s="164"/>
    </row>
    <row r="173" ht="12.75" customHeight="1">
      <c r="A173" s="162"/>
      <c r="B173" s="162"/>
      <c r="C173" s="162"/>
      <c r="D173" s="1"/>
      <c r="E173" s="162"/>
      <c r="F173" s="11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4"/>
      <c r="V173" s="164"/>
    </row>
    <row r="174" ht="12.75" customHeight="1">
      <c r="A174" s="162"/>
      <c r="B174" s="162"/>
      <c r="C174" s="162"/>
      <c r="D174" s="1"/>
      <c r="E174" s="162"/>
      <c r="F174" s="11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4"/>
      <c r="V174" s="164"/>
    </row>
    <row r="175" ht="12.75" customHeight="1">
      <c r="A175" s="162"/>
      <c r="B175" s="162"/>
      <c r="C175" s="162"/>
      <c r="D175" s="1"/>
      <c r="E175" s="162"/>
      <c r="F175" s="11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4"/>
      <c r="V175" s="164"/>
    </row>
    <row r="176" ht="12.75" customHeight="1">
      <c r="A176" s="162"/>
      <c r="B176" s="162"/>
      <c r="C176" s="162"/>
      <c r="D176" s="1"/>
      <c r="E176" s="162"/>
      <c r="F176" s="11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4"/>
      <c r="V176" s="164"/>
    </row>
    <row r="177" ht="12.75" customHeight="1">
      <c r="A177" s="162"/>
      <c r="B177" s="162"/>
      <c r="C177" s="162"/>
      <c r="D177" s="1"/>
      <c r="E177" s="162"/>
      <c r="F177" s="11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4"/>
      <c r="V177" s="164"/>
    </row>
    <row r="178" ht="12.75" customHeight="1">
      <c r="A178" s="162"/>
      <c r="B178" s="162"/>
      <c r="C178" s="162"/>
      <c r="D178" s="1"/>
      <c r="E178" s="162"/>
      <c r="F178" s="11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4"/>
      <c r="V178" s="164"/>
    </row>
    <row r="179" ht="12.75" customHeight="1">
      <c r="A179" s="162"/>
      <c r="B179" s="162"/>
      <c r="C179" s="162"/>
      <c r="D179" s="1"/>
      <c r="E179" s="162"/>
      <c r="F179" s="11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4"/>
      <c r="V179" s="164"/>
    </row>
    <row r="180" ht="12.75" customHeight="1">
      <c r="A180" s="162"/>
      <c r="B180" s="162"/>
      <c r="C180" s="162"/>
      <c r="D180" s="1"/>
      <c r="E180" s="162"/>
      <c r="F180" s="11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4"/>
      <c r="V180" s="164"/>
    </row>
    <row r="181" ht="12.75" customHeight="1">
      <c r="A181" s="162"/>
      <c r="B181" s="162"/>
      <c r="C181" s="162"/>
      <c r="D181" s="1"/>
      <c r="E181" s="162"/>
      <c r="F181" s="11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4"/>
      <c r="V181" s="164"/>
    </row>
    <row r="182" ht="12.75" customHeight="1">
      <c r="A182" s="162"/>
      <c r="B182" s="162"/>
      <c r="C182" s="162"/>
      <c r="D182" s="1"/>
      <c r="E182" s="162"/>
      <c r="F182" s="11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4"/>
      <c r="V182" s="164"/>
    </row>
    <row r="183" ht="12.75" customHeight="1">
      <c r="A183" s="162"/>
      <c r="B183" s="162"/>
      <c r="C183" s="162"/>
      <c r="D183" s="1"/>
      <c r="E183" s="162"/>
      <c r="F183" s="11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4"/>
      <c r="V183" s="164"/>
    </row>
    <row r="184" ht="12.75" customHeight="1">
      <c r="A184" s="162"/>
      <c r="B184" s="162"/>
      <c r="C184" s="162"/>
      <c r="D184" s="1"/>
      <c r="E184" s="162"/>
      <c r="F184" s="11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4"/>
      <c r="V184" s="164"/>
    </row>
    <row r="185" ht="12.75" customHeight="1">
      <c r="A185" s="162"/>
      <c r="B185" s="162"/>
      <c r="C185" s="162"/>
      <c r="D185" s="1"/>
      <c r="E185" s="162"/>
      <c r="F185" s="11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4"/>
      <c r="V185" s="164"/>
    </row>
    <row r="186" ht="12.75" customHeight="1">
      <c r="A186" s="162"/>
      <c r="B186" s="162"/>
      <c r="C186" s="162"/>
      <c r="D186" s="1"/>
      <c r="E186" s="162"/>
      <c r="F186" s="11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4"/>
      <c r="V186" s="164"/>
    </row>
    <row r="187" ht="12.75" customHeight="1">
      <c r="A187" s="162"/>
      <c r="B187" s="162"/>
      <c r="C187" s="162"/>
      <c r="D187" s="1"/>
      <c r="E187" s="162"/>
      <c r="F187" s="11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4"/>
      <c r="V187" s="164"/>
    </row>
    <row r="188" ht="12.75" customHeight="1">
      <c r="A188" s="162"/>
      <c r="B188" s="162"/>
      <c r="C188" s="162"/>
      <c r="D188" s="1"/>
      <c r="E188" s="162"/>
      <c r="F188" s="11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4"/>
      <c r="V188" s="164"/>
    </row>
    <row r="189" ht="12.75" customHeight="1">
      <c r="A189" s="162"/>
      <c r="B189" s="162"/>
      <c r="C189" s="162"/>
      <c r="D189" s="1"/>
      <c r="E189" s="162"/>
      <c r="F189" s="11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4"/>
      <c r="V189" s="164"/>
    </row>
    <row r="190" ht="12.75" customHeight="1">
      <c r="A190" s="162"/>
      <c r="B190" s="162"/>
      <c r="C190" s="162"/>
      <c r="D190" s="1"/>
      <c r="E190" s="162"/>
      <c r="F190" s="11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4"/>
      <c r="V190" s="164"/>
    </row>
    <row r="191" ht="12.75" customHeight="1">
      <c r="A191" s="162"/>
      <c r="B191" s="162"/>
      <c r="C191" s="162"/>
      <c r="D191" s="1"/>
      <c r="E191" s="162"/>
      <c r="F191" s="11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4"/>
      <c r="V191" s="164"/>
    </row>
    <row r="192" ht="12.75" customHeight="1">
      <c r="A192" s="162"/>
      <c r="B192" s="162"/>
      <c r="C192" s="162"/>
      <c r="D192" s="1"/>
      <c r="E192" s="162"/>
      <c r="F192" s="11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4"/>
      <c r="V192" s="164"/>
    </row>
    <row r="193" ht="12.75" customHeight="1">
      <c r="A193" s="162"/>
      <c r="B193" s="162"/>
      <c r="C193" s="162"/>
      <c r="D193" s="1"/>
      <c r="E193" s="162"/>
      <c r="F193" s="11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4"/>
      <c r="V193" s="164"/>
    </row>
    <row r="194" ht="12.75" customHeight="1">
      <c r="A194" s="162"/>
      <c r="B194" s="162"/>
      <c r="C194" s="162"/>
      <c r="D194" s="1"/>
      <c r="E194" s="162"/>
      <c r="F194" s="11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4"/>
      <c r="V194" s="164"/>
    </row>
    <row r="195" ht="12.75" customHeight="1">
      <c r="A195" s="162"/>
      <c r="B195" s="162"/>
      <c r="C195" s="162"/>
      <c r="D195" s="1"/>
      <c r="E195" s="162"/>
      <c r="F195" s="11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4"/>
      <c r="V195" s="164"/>
    </row>
    <row r="196" ht="12.75" customHeight="1">
      <c r="A196" s="162"/>
      <c r="B196" s="162"/>
      <c r="C196" s="162"/>
      <c r="D196" s="1"/>
      <c r="E196" s="162"/>
      <c r="F196" s="11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4"/>
      <c r="V196" s="164"/>
    </row>
    <row r="197" ht="12.75" customHeight="1">
      <c r="A197" s="162"/>
      <c r="B197" s="162"/>
      <c r="C197" s="162"/>
      <c r="D197" s="1"/>
      <c r="E197" s="162"/>
      <c r="F197" s="11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4"/>
      <c r="V197" s="164"/>
    </row>
    <row r="198" ht="12.75" customHeight="1">
      <c r="A198" s="162"/>
      <c r="B198" s="162"/>
      <c r="C198" s="162"/>
      <c r="D198" s="1"/>
      <c r="E198" s="162"/>
      <c r="F198" s="11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4"/>
      <c r="V198" s="164"/>
    </row>
    <row r="199" ht="12.75" customHeight="1">
      <c r="A199" s="162"/>
      <c r="B199" s="162"/>
      <c r="C199" s="162"/>
      <c r="D199" s="1"/>
      <c r="E199" s="162"/>
      <c r="F199" s="11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4"/>
      <c r="V199" s="164"/>
    </row>
    <row r="200" ht="12.75" customHeight="1">
      <c r="A200" s="162"/>
      <c r="B200" s="162"/>
      <c r="C200" s="162"/>
      <c r="D200" s="1"/>
      <c r="E200" s="162"/>
      <c r="F200" s="11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4"/>
      <c r="V200" s="164"/>
    </row>
    <row r="201" ht="12.75" customHeight="1">
      <c r="A201" s="162"/>
      <c r="B201" s="162"/>
      <c r="C201" s="162"/>
      <c r="D201" s="1"/>
      <c r="E201" s="162"/>
      <c r="F201" s="11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4"/>
      <c r="V201" s="164"/>
    </row>
    <row r="202" ht="12.75" customHeight="1">
      <c r="A202" s="162"/>
      <c r="B202" s="162"/>
      <c r="C202" s="162"/>
      <c r="D202" s="1"/>
      <c r="E202" s="162"/>
      <c r="F202" s="11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4"/>
      <c r="V202" s="164"/>
    </row>
    <row r="203" ht="12.75" customHeight="1">
      <c r="A203" s="162"/>
      <c r="B203" s="162"/>
      <c r="C203" s="162"/>
      <c r="D203" s="1"/>
      <c r="E203" s="162"/>
      <c r="F203" s="11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4"/>
      <c r="V203" s="164"/>
    </row>
    <row r="204" ht="12.75" customHeight="1">
      <c r="A204" s="162"/>
      <c r="B204" s="162"/>
      <c r="C204" s="162"/>
      <c r="D204" s="1"/>
      <c r="E204" s="162"/>
      <c r="F204" s="11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4"/>
      <c r="V204" s="164"/>
    </row>
    <row r="205" ht="12.75" customHeight="1">
      <c r="A205" s="162"/>
      <c r="B205" s="162"/>
      <c r="C205" s="162"/>
      <c r="D205" s="1"/>
      <c r="E205" s="162"/>
      <c r="F205" s="11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4"/>
      <c r="V205" s="164"/>
    </row>
    <row r="206" ht="12.75" customHeight="1">
      <c r="A206" s="162"/>
      <c r="B206" s="162"/>
      <c r="C206" s="162"/>
      <c r="D206" s="1"/>
      <c r="E206" s="162"/>
      <c r="F206" s="11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4"/>
      <c r="V206" s="164"/>
    </row>
    <row r="207" ht="12.75" customHeight="1">
      <c r="A207" s="162"/>
      <c r="B207" s="162"/>
      <c r="C207" s="162"/>
      <c r="D207" s="1"/>
      <c r="E207" s="162"/>
      <c r="F207" s="11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4"/>
      <c r="V207" s="164"/>
    </row>
    <row r="208" ht="12.75" customHeight="1">
      <c r="A208" s="162"/>
      <c r="B208" s="162"/>
      <c r="C208" s="162"/>
      <c r="D208" s="1"/>
      <c r="E208" s="162"/>
      <c r="F208" s="11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4"/>
      <c r="V208" s="164"/>
    </row>
    <row r="209" ht="12.75" customHeight="1">
      <c r="A209" s="162"/>
      <c r="B209" s="162"/>
      <c r="C209" s="162"/>
      <c r="D209" s="1"/>
      <c r="E209" s="162"/>
      <c r="F209" s="11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4"/>
      <c r="V209" s="164"/>
    </row>
    <row r="210" ht="12.75" customHeight="1">
      <c r="A210" s="162"/>
      <c r="B210" s="162"/>
      <c r="C210" s="162"/>
      <c r="D210" s="1"/>
      <c r="E210" s="162"/>
      <c r="F210" s="11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4"/>
      <c r="V210" s="164"/>
    </row>
    <row r="211" ht="12.75" customHeight="1">
      <c r="A211" s="162"/>
      <c r="B211" s="162"/>
      <c r="C211" s="162"/>
      <c r="D211" s="1"/>
      <c r="E211" s="162"/>
      <c r="F211" s="11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4"/>
      <c r="V211" s="164"/>
    </row>
    <row r="212" ht="12.75" customHeight="1">
      <c r="A212" s="162"/>
      <c r="B212" s="162"/>
      <c r="C212" s="162"/>
      <c r="D212" s="1"/>
      <c r="E212" s="162"/>
      <c r="F212" s="11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4"/>
      <c r="V212" s="164"/>
    </row>
    <row r="213" ht="12.75" customHeight="1">
      <c r="A213" s="162"/>
      <c r="B213" s="162"/>
      <c r="C213" s="162"/>
      <c r="D213" s="1"/>
      <c r="E213" s="162"/>
      <c r="F213" s="11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4"/>
      <c r="V213" s="164"/>
    </row>
    <row r="214" ht="12.75" customHeight="1">
      <c r="A214" s="162"/>
      <c r="B214" s="162"/>
      <c r="C214" s="162"/>
      <c r="D214" s="1"/>
      <c r="E214" s="162"/>
      <c r="F214" s="11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4"/>
      <c r="V214" s="164"/>
    </row>
    <row r="215" ht="12.75" customHeight="1">
      <c r="A215" s="162"/>
      <c r="B215" s="162"/>
      <c r="C215" s="162"/>
      <c r="D215" s="1"/>
      <c r="E215" s="162"/>
      <c r="F215" s="11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4"/>
      <c r="V215" s="164"/>
    </row>
    <row r="216" ht="12.75" customHeight="1">
      <c r="A216" s="162"/>
      <c r="B216" s="162"/>
      <c r="C216" s="162"/>
      <c r="D216" s="1"/>
      <c r="E216" s="162"/>
      <c r="F216" s="11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4"/>
      <c r="V216" s="164"/>
    </row>
    <row r="217" ht="12.75" customHeight="1">
      <c r="A217" s="162"/>
      <c r="B217" s="162"/>
      <c r="C217" s="162"/>
      <c r="D217" s="1"/>
      <c r="E217" s="162"/>
      <c r="F217" s="11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4"/>
      <c r="V217" s="164"/>
    </row>
    <row r="218" ht="12.75" customHeight="1">
      <c r="A218" s="162"/>
      <c r="B218" s="162"/>
      <c r="C218" s="162"/>
      <c r="D218" s="1"/>
      <c r="E218" s="162"/>
      <c r="F218" s="11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4"/>
      <c r="V218" s="164"/>
    </row>
    <row r="219" ht="12.75" customHeight="1">
      <c r="A219" s="162"/>
      <c r="B219" s="162"/>
      <c r="C219" s="162"/>
      <c r="D219" s="1"/>
      <c r="E219" s="162"/>
      <c r="F219" s="11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4"/>
      <c r="V219" s="164"/>
    </row>
    <row r="220" ht="12.75" customHeight="1">
      <c r="A220" s="162"/>
      <c r="B220" s="162"/>
      <c r="C220" s="162"/>
      <c r="D220" s="1"/>
      <c r="E220" s="162"/>
      <c r="F220" s="11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4"/>
      <c r="V220" s="164"/>
    </row>
    <row r="221" ht="12.75" customHeight="1">
      <c r="A221" s="162"/>
      <c r="B221" s="162"/>
      <c r="C221" s="162"/>
      <c r="D221" s="1"/>
      <c r="E221" s="162"/>
      <c r="F221" s="11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4"/>
      <c r="V221" s="164"/>
    </row>
    <row r="222" ht="12.75" customHeight="1">
      <c r="A222" s="162"/>
      <c r="B222" s="162"/>
      <c r="C222" s="162"/>
      <c r="D222" s="1"/>
      <c r="E222" s="162"/>
      <c r="F222" s="11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4"/>
      <c r="V222" s="164"/>
    </row>
    <row r="223" ht="12.75" customHeight="1">
      <c r="A223" s="162"/>
      <c r="B223" s="162"/>
      <c r="C223" s="162"/>
      <c r="D223" s="1"/>
      <c r="E223" s="162"/>
      <c r="F223" s="11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4"/>
      <c r="V223" s="164"/>
    </row>
    <row r="224" ht="12.75" customHeight="1">
      <c r="A224" s="162"/>
      <c r="B224" s="162"/>
      <c r="C224" s="162"/>
      <c r="D224" s="1"/>
      <c r="E224" s="162"/>
      <c r="F224" s="11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4"/>
      <c r="V224" s="164"/>
    </row>
    <row r="225" ht="12.75" customHeight="1">
      <c r="A225" s="162"/>
      <c r="B225" s="162"/>
      <c r="C225" s="162"/>
      <c r="D225" s="1"/>
      <c r="E225" s="162"/>
      <c r="F225" s="11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4"/>
      <c r="V225" s="164"/>
    </row>
    <row r="226" ht="12.75" customHeight="1">
      <c r="A226" s="162"/>
      <c r="B226" s="162"/>
      <c r="C226" s="162"/>
      <c r="D226" s="1"/>
      <c r="E226" s="162"/>
      <c r="F226" s="11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4"/>
      <c r="V226" s="164"/>
    </row>
    <row r="227" ht="12.75" customHeight="1">
      <c r="A227" s="162"/>
      <c r="B227" s="162"/>
      <c r="C227" s="162"/>
      <c r="D227" s="1"/>
      <c r="E227" s="162"/>
      <c r="F227" s="11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4"/>
      <c r="V227" s="164"/>
    </row>
    <row r="228" ht="12.75" customHeight="1">
      <c r="A228" s="162"/>
      <c r="B228" s="162"/>
      <c r="C228" s="162"/>
      <c r="D228" s="1"/>
      <c r="E228" s="162"/>
      <c r="F228" s="11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4"/>
      <c r="V228" s="164"/>
    </row>
    <row r="229" ht="12.75" customHeight="1">
      <c r="A229" s="162"/>
      <c r="B229" s="162"/>
      <c r="C229" s="162"/>
      <c r="D229" s="1"/>
      <c r="E229" s="162"/>
      <c r="F229" s="11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4"/>
      <c r="V229" s="164"/>
    </row>
    <row r="230" ht="12.75" customHeight="1">
      <c r="A230" s="162"/>
      <c r="B230" s="162"/>
      <c r="C230" s="162"/>
      <c r="D230" s="1"/>
      <c r="E230" s="162"/>
      <c r="F230" s="11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4"/>
      <c r="V230" s="164"/>
    </row>
    <row r="231" ht="12.75" customHeight="1">
      <c r="A231" s="162"/>
      <c r="B231" s="162"/>
      <c r="C231" s="162"/>
      <c r="D231" s="1"/>
      <c r="E231" s="162"/>
      <c r="F231" s="11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4"/>
      <c r="V231" s="164"/>
    </row>
    <row r="232" ht="12.75" customHeight="1">
      <c r="A232" s="162"/>
      <c r="B232" s="162"/>
      <c r="C232" s="162"/>
      <c r="D232" s="1"/>
      <c r="E232" s="162"/>
      <c r="F232" s="11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4"/>
      <c r="V232" s="164"/>
    </row>
    <row r="233" ht="12.75" customHeight="1">
      <c r="A233" s="162"/>
      <c r="B233" s="162"/>
      <c r="C233" s="162"/>
      <c r="D233" s="1"/>
      <c r="E233" s="162"/>
      <c r="F233" s="11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4"/>
      <c r="V233" s="164"/>
    </row>
    <row r="234" ht="12.75" customHeight="1">
      <c r="A234" s="162"/>
      <c r="B234" s="162"/>
      <c r="C234" s="162"/>
      <c r="D234" s="1"/>
      <c r="E234" s="162"/>
      <c r="F234" s="11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4"/>
      <c r="V234" s="164"/>
    </row>
    <row r="235" ht="12.75" customHeight="1">
      <c r="A235" s="162"/>
      <c r="B235" s="162"/>
      <c r="C235" s="162"/>
      <c r="D235" s="1"/>
      <c r="E235" s="162"/>
      <c r="F235" s="11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4"/>
      <c r="V235" s="164"/>
    </row>
    <row r="236" ht="12.75" customHeight="1">
      <c r="A236" s="162"/>
      <c r="B236" s="162"/>
      <c r="C236" s="162"/>
      <c r="D236" s="1"/>
      <c r="E236" s="162"/>
      <c r="F236" s="11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4"/>
      <c r="V236" s="164"/>
    </row>
    <row r="237" ht="12.75" customHeight="1">
      <c r="A237" s="162"/>
      <c r="B237" s="162"/>
      <c r="C237" s="162"/>
      <c r="D237" s="1"/>
      <c r="E237" s="162"/>
      <c r="F237" s="11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4"/>
      <c r="V237" s="164"/>
    </row>
    <row r="238" ht="12.75" customHeight="1">
      <c r="A238" s="162"/>
      <c r="B238" s="162"/>
      <c r="C238" s="162"/>
      <c r="D238" s="1"/>
      <c r="E238" s="162"/>
      <c r="F238" s="11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4"/>
      <c r="V238" s="164"/>
    </row>
    <row r="239" ht="12.75" customHeight="1">
      <c r="A239" s="162"/>
      <c r="B239" s="162"/>
      <c r="C239" s="162"/>
      <c r="D239" s="1"/>
      <c r="E239" s="162"/>
      <c r="F239" s="11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4"/>
      <c r="V239" s="164"/>
    </row>
    <row r="240" ht="12.75" customHeight="1">
      <c r="A240" s="162"/>
      <c r="B240" s="162"/>
      <c r="C240" s="162"/>
      <c r="D240" s="1"/>
      <c r="E240" s="162"/>
      <c r="F240" s="11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4"/>
      <c r="V240" s="164"/>
    </row>
    <row r="241" ht="12.75" customHeight="1">
      <c r="A241" s="162"/>
      <c r="B241" s="162"/>
      <c r="C241" s="162"/>
      <c r="D241" s="1"/>
      <c r="E241" s="162"/>
      <c r="F241" s="11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4"/>
      <c r="V241" s="164"/>
    </row>
    <row r="242" ht="12.75" customHeight="1">
      <c r="A242" s="162"/>
      <c r="B242" s="162"/>
      <c r="C242" s="162"/>
      <c r="D242" s="1"/>
      <c r="E242" s="162"/>
      <c r="F242" s="11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4"/>
      <c r="V242" s="164"/>
    </row>
    <row r="243" ht="12.75" customHeight="1">
      <c r="A243" s="162"/>
      <c r="B243" s="162"/>
      <c r="C243" s="162"/>
      <c r="D243" s="1"/>
      <c r="E243" s="162"/>
      <c r="F243" s="11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4"/>
      <c r="V243" s="164"/>
    </row>
    <row r="244" ht="12.75" customHeight="1">
      <c r="A244" s="162"/>
      <c r="B244" s="162"/>
      <c r="C244" s="162"/>
      <c r="D244" s="1"/>
      <c r="E244" s="162"/>
      <c r="F244" s="11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4"/>
      <c r="V244" s="164"/>
    </row>
    <row r="245" ht="12.75" customHeight="1">
      <c r="A245" s="162"/>
      <c r="B245" s="162"/>
      <c r="C245" s="162"/>
      <c r="D245" s="1"/>
      <c r="E245" s="162"/>
      <c r="F245" s="11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4"/>
      <c r="V245" s="164"/>
    </row>
    <row r="246" ht="12.75" customHeight="1">
      <c r="A246" s="162"/>
      <c r="B246" s="162"/>
      <c r="C246" s="162"/>
      <c r="D246" s="1"/>
      <c r="E246" s="162"/>
      <c r="F246" s="11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4"/>
      <c r="V246" s="164"/>
    </row>
    <row r="247" ht="12.75" customHeight="1">
      <c r="A247" s="162"/>
      <c r="B247" s="162"/>
      <c r="C247" s="162"/>
      <c r="D247" s="1"/>
      <c r="E247" s="162"/>
      <c r="F247" s="11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4"/>
      <c r="V247" s="164"/>
    </row>
    <row r="248" ht="12.75" customHeight="1">
      <c r="A248" s="162"/>
      <c r="B248" s="162"/>
      <c r="C248" s="162"/>
      <c r="D248" s="1"/>
      <c r="E248" s="162"/>
      <c r="F248" s="11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4"/>
      <c r="V248" s="164"/>
    </row>
    <row r="249" ht="12.75" customHeight="1">
      <c r="A249" s="162"/>
      <c r="B249" s="162"/>
      <c r="C249" s="162"/>
      <c r="D249" s="1"/>
      <c r="E249" s="162"/>
      <c r="F249" s="11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4"/>
      <c r="V249" s="164"/>
    </row>
    <row r="250" ht="12.75" customHeight="1">
      <c r="A250" s="162"/>
      <c r="B250" s="162"/>
      <c r="C250" s="162"/>
      <c r="D250" s="1"/>
      <c r="E250" s="162"/>
      <c r="F250" s="11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4"/>
      <c r="V250" s="164"/>
    </row>
    <row r="251" ht="12.75" customHeight="1">
      <c r="A251" s="162"/>
      <c r="B251" s="162"/>
      <c r="C251" s="162"/>
      <c r="D251" s="1"/>
      <c r="E251" s="162"/>
      <c r="F251" s="11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4"/>
      <c r="V251" s="164"/>
    </row>
    <row r="252" ht="12.75" customHeight="1">
      <c r="A252" s="162"/>
      <c r="B252" s="162"/>
      <c r="C252" s="162"/>
      <c r="D252" s="1"/>
      <c r="E252" s="162"/>
      <c r="F252" s="11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4"/>
      <c r="V252" s="164"/>
    </row>
    <row r="253" ht="12.75" customHeight="1">
      <c r="A253" s="162"/>
      <c r="B253" s="162"/>
      <c r="C253" s="162"/>
      <c r="D253" s="1"/>
      <c r="E253" s="162"/>
      <c r="F253" s="11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4"/>
      <c r="V253" s="164"/>
    </row>
    <row r="254" ht="12.75" customHeight="1">
      <c r="A254" s="162"/>
      <c r="B254" s="162"/>
      <c r="C254" s="162"/>
      <c r="D254" s="1"/>
      <c r="E254" s="162"/>
      <c r="F254" s="11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4"/>
      <c r="V254" s="164"/>
    </row>
    <row r="255" ht="12.75" customHeight="1">
      <c r="A255" s="162"/>
      <c r="B255" s="162"/>
      <c r="C255" s="162"/>
      <c r="D255" s="1"/>
      <c r="E255" s="162"/>
      <c r="F255" s="11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4"/>
      <c r="V255" s="164"/>
    </row>
    <row r="256" ht="12.75" customHeight="1">
      <c r="A256" s="162"/>
      <c r="B256" s="162"/>
      <c r="C256" s="162"/>
      <c r="D256" s="1"/>
      <c r="E256" s="162"/>
      <c r="F256" s="11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4"/>
      <c r="V256" s="164"/>
    </row>
    <row r="257" ht="12.75" customHeight="1">
      <c r="A257" s="162"/>
      <c r="B257" s="162"/>
      <c r="C257" s="162"/>
      <c r="D257" s="1"/>
      <c r="E257" s="162"/>
      <c r="F257" s="11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4"/>
      <c r="V257" s="164"/>
    </row>
    <row r="258" ht="12.75" customHeight="1">
      <c r="A258" s="162"/>
      <c r="B258" s="162"/>
      <c r="C258" s="162"/>
      <c r="D258" s="1"/>
      <c r="E258" s="162"/>
      <c r="F258" s="11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4"/>
      <c r="V258" s="164"/>
    </row>
    <row r="259" ht="12.75" customHeight="1">
      <c r="A259" s="162"/>
      <c r="B259" s="162"/>
      <c r="C259" s="162"/>
      <c r="D259" s="1"/>
      <c r="E259" s="162"/>
      <c r="F259" s="11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4"/>
      <c r="V259" s="164"/>
    </row>
    <row r="260" ht="12.75" customHeight="1">
      <c r="A260" s="162"/>
      <c r="B260" s="162"/>
      <c r="C260" s="162"/>
      <c r="D260" s="1"/>
      <c r="E260" s="162"/>
      <c r="F260" s="11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4"/>
      <c r="V260" s="164"/>
    </row>
    <row r="261" ht="12.75" customHeight="1">
      <c r="A261" s="162"/>
      <c r="B261" s="162"/>
      <c r="C261" s="162"/>
      <c r="D261" s="1"/>
      <c r="E261" s="162"/>
      <c r="F261" s="11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4"/>
      <c r="V261" s="164"/>
    </row>
    <row r="262" ht="12.75" customHeight="1">
      <c r="A262" s="162"/>
      <c r="B262" s="162"/>
      <c r="C262" s="162"/>
      <c r="D262" s="1"/>
      <c r="E262" s="162"/>
      <c r="F262" s="11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4"/>
      <c r="V262" s="164"/>
    </row>
    <row r="263" ht="12.75" customHeight="1">
      <c r="A263" s="162"/>
      <c r="B263" s="162"/>
      <c r="C263" s="162"/>
      <c r="D263" s="1"/>
      <c r="E263" s="162"/>
      <c r="F263" s="11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4"/>
      <c r="V263" s="164"/>
    </row>
    <row r="264" ht="12.75" customHeight="1">
      <c r="A264" s="162"/>
      <c r="B264" s="162"/>
      <c r="C264" s="162"/>
      <c r="D264" s="1"/>
      <c r="E264" s="162"/>
      <c r="F264" s="11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4"/>
      <c r="V264" s="164"/>
    </row>
    <row r="265" ht="12.75" customHeight="1">
      <c r="A265" s="162"/>
      <c r="B265" s="162"/>
      <c r="C265" s="162"/>
      <c r="D265" s="1"/>
      <c r="E265" s="162"/>
      <c r="F265" s="11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4"/>
      <c r="V265" s="164"/>
    </row>
    <row r="266" ht="12.75" customHeight="1">
      <c r="A266" s="162"/>
      <c r="B266" s="162"/>
      <c r="C266" s="162"/>
      <c r="D266" s="1"/>
      <c r="E266" s="162"/>
      <c r="F266" s="11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4"/>
      <c r="V266" s="164"/>
    </row>
    <row r="267" ht="12.75" customHeight="1">
      <c r="A267" s="162"/>
      <c r="B267" s="162"/>
      <c r="C267" s="162"/>
      <c r="D267" s="1"/>
      <c r="E267" s="162"/>
      <c r="F267" s="11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4"/>
      <c r="V267" s="164"/>
    </row>
    <row r="268" ht="12.75" customHeight="1">
      <c r="A268" s="162"/>
      <c r="B268" s="162"/>
      <c r="C268" s="162"/>
      <c r="D268" s="1"/>
      <c r="E268" s="162"/>
      <c r="F268" s="11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4"/>
      <c r="V268" s="164"/>
    </row>
    <row r="269" ht="12.75" customHeight="1">
      <c r="A269" s="162"/>
      <c r="B269" s="162"/>
      <c r="C269" s="162"/>
      <c r="D269" s="1"/>
      <c r="E269" s="162"/>
      <c r="F269" s="11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4"/>
      <c r="V269" s="164"/>
    </row>
    <row r="270" ht="12.75" customHeight="1">
      <c r="A270" s="162"/>
      <c r="B270" s="162"/>
      <c r="C270" s="162"/>
      <c r="D270" s="1"/>
      <c r="E270" s="162"/>
      <c r="F270" s="11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4"/>
      <c r="V270" s="164"/>
    </row>
    <row r="271" ht="12.75" customHeight="1">
      <c r="A271" s="162"/>
      <c r="B271" s="162"/>
      <c r="C271" s="162"/>
      <c r="D271" s="1"/>
      <c r="E271" s="162"/>
      <c r="F271" s="11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4"/>
      <c r="V271" s="164"/>
    </row>
    <row r="272" ht="12.75" customHeight="1">
      <c r="A272" s="162"/>
      <c r="B272" s="162"/>
      <c r="C272" s="162"/>
      <c r="D272" s="1"/>
      <c r="E272" s="162"/>
      <c r="F272" s="11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4"/>
      <c r="V272" s="164"/>
    </row>
    <row r="273" ht="12.75" customHeight="1">
      <c r="A273" s="162"/>
      <c r="B273" s="162"/>
      <c r="C273" s="162"/>
      <c r="D273" s="1"/>
      <c r="E273" s="162"/>
      <c r="F273" s="11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4"/>
      <c r="V273" s="164"/>
    </row>
    <row r="274" ht="12.75" customHeight="1">
      <c r="A274" s="162"/>
      <c r="B274" s="162"/>
      <c r="C274" s="162"/>
      <c r="D274" s="1"/>
      <c r="E274" s="162"/>
      <c r="F274" s="11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4"/>
      <c r="V274" s="164"/>
    </row>
    <row r="275" ht="12.75" customHeight="1">
      <c r="A275" s="162"/>
      <c r="B275" s="162"/>
      <c r="C275" s="162"/>
      <c r="D275" s="1"/>
      <c r="E275" s="162"/>
      <c r="F275" s="11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4"/>
      <c r="V275" s="164"/>
    </row>
    <row r="276" ht="12.75" customHeight="1">
      <c r="A276" s="162"/>
      <c r="B276" s="162"/>
      <c r="C276" s="162"/>
      <c r="D276" s="1"/>
      <c r="E276" s="162"/>
      <c r="F276" s="11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4"/>
      <c r="V276" s="164"/>
    </row>
    <row r="277" ht="12.75" customHeight="1">
      <c r="A277" s="162"/>
      <c r="B277" s="162"/>
      <c r="C277" s="162"/>
      <c r="D277" s="1"/>
      <c r="E277" s="162"/>
      <c r="F277" s="11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4"/>
      <c r="V277" s="164"/>
    </row>
    <row r="278" ht="12.75" customHeight="1">
      <c r="A278" s="162"/>
      <c r="B278" s="162"/>
      <c r="C278" s="162"/>
      <c r="D278" s="1"/>
      <c r="E278" s="162"/>
      <c r="F278" s="11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4"/>
      <c r="V278" s="164"/>
    </row>
    <row r="279" ht="12.75" customHeight="1">
      <c r="A279" s="162"/>
      <c r="B279" s="162"/>
      <c r="C279" s="162"/>
      <c r="D279" s="1"/>
      <c r="E279" s="162"/>
      <c r="F279" s="11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4"/>
      <c r="V279" s="164"/>
    </row>
    <row r="280" ht="12.75" customHeight="1">
      <c r="A280" s="162"/>
      <c r="B280" s="162"/>
      <c r="C280" s="162"/>
      <c r="D280" s="1"/>
      <c r="E280" s="162"/>
      <c r="F280" s="11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4"/>
      <c r="V280" s="164"/>
    </row>
    <row r="281" ht="12.75" customHeight="1">
      <c r="A281" s="162"/>
      <c r="B281" s="162"/>
      <c r="C281" s="162"/>
      <c r="D281" s="1"/>
      <c r="E281" s="162"/>
      <c r="F281" s="11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4"/>
      <c r="V281" s="164"/>
    </row>
    <row r="282" ht="12.75" customHeight="1">
      <c r="A282" s="162"/>
      <c r="B282" s="162"/>
      <c r="C282" s="162"/>
      <c r="D282" s="1"/>
      <c r="E282" s="162"/>
      <c r="F282" s="11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4"/>
      <c r="V282" s="164"/>
    </row>
    <row r="283" ht="12.75" customHeight="1">
      <c r="A283" s="162"/>
      <c r="B283" s="162"/>
      <c r="C283" s="162"/>
      <c r="D283" s="1"/>
      <c r="E283" s="162"/>
      <c r="F283" s="11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4"/>
      <c r="V283" s="164"/>
    </row>
    <row r="284" ht="12.75" customHeight="1">
      <c r="A284" s="162"/>
      <c r="B284" s="162"/>
      <c r="C284" s="162"/>
      <c r="D284" s="1"/>
      <c r="E284" s="162"/>
      <c r="F284" s="11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4"/>
      <c r="V284" s="164"/>
    </row>
    <row r="285" ht="12.75" customHeight="1">
      <c r="A285" s="162"/>
      <c r="B285" s="162"/>
      <c r="C285" s="162"/>
      <c r="D285" s="1"/>
      <c r="E285" s="162"/>
      <c r="F285" s="11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4"/>
      <c r="V285" s="164"/>
    </row>
    <row r="286" ht="12.75" customHeight="1">
      <c r="A286" s="162"/>
      <c r="B286" s="162"/>
      <c r="C286" s="162"/>
      <c r="D286" s="1"/>
      <c r="E286" s="162"/>
      <c r="F286" s="11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4"/>
      <c r="V286" s="164"/>
    </row>
    <row r="287" ht="12.75" customHeight="1">
      <c r="A287" s="162"/>
      <c r="B287" s="162"/>
      <c r="C287" s="162"/>
      <c r="D287" s="1"/>
      <c r="E287" s="162"/>
      <c r="F287" s="11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4"/>
      <c r="V287" s="164"/>
    </row>
    <row r="288" ht="12.75" customHeight="1">
      <c r="A288" s="162"/>
      <c r="B288" s="162"/>
      <c r="C288" s="162"/>
      <c r="D288" s="1"/>
      <c r="E288" s="162"/>
      <c r="F288" s="11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4"/>
      <c r="V288" s="164"/>
    </row>
    <row r="289" ht="12.75" customHeight="1">
      <c r="A289" s="162"/>
      <c r="B289" s="162"/>
      <c r="C289" s="162"/>
      <c r="D289" s="1"/>
      <c r="E289" s="162"/>
      <c r="F289" s="11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4"/>
      <c r="V289" s="164"/>
    </row>
    <row r="290" ht="12.75" customHeight="1">
      <c r="A290" s="162"/>
      <c r="B290" s="162"/>
      <c r="C290" s="162"/>
      <c r="D290" s="1"/>
      <c r="E290" s="162"/>
      <c r="F290" s="11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4"/>
      <c r="V290" s="164"/>
    </row>
    <row r="291" ht="12.75" customHeight="1">
      <c r="A291" s="162"/>
      <c r="B291" s="162"/>
      <c r="C291" s="162"/>
      <c r="D291" s="1"/>
      <c r="E291" s="162"/>
      <c r="F291" s="11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4"/>
      <c r="V291" s="164"/>
    </row>
    <row r="292" ht="12.75" customHeight="1">
      <c r="A292" s="162"/>
      <c r="B292" s="162"/>
      <c r="C292" s="162"/>
      <c r="D292" s="1"/>
      <c r="E292" s="162"/>
      <c r="F292" s="11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4"/>
      <c r="V292" s="164"/>
    </row>
    <row r="293" ht="12.75" customHeight="1">
      <c r="A293" s="162"/>
      <c r="B293" s="162"/>
      <c r="C293" s="162"/>
      <c r="D293" s="1"/>
      <c r="E293" s="162"/>
      <c r="F293" s="11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4"/>
      <c r="V293" s="164"/>
    </row>
    <row r="294" ht="12.75" customHeight="1">
      <c r="A294" s="162"/>
      <c r="B294" s="162"/>
      <c r="C294" s="162"/>
      <c r="D294" s="1"/>
      <c r="E294" s="162"/>
      <c r="F294" s="11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4"/>
      <c r="V294" s="164"/>
    </row>
    <row r="295" ht="12.75" customHeight="1">
      <c r="A295" s="162"/>
      <c r="B295" s="162"/>
      <c r="C295" s="162"/>
      <c r="D295" s="1"/>
      <c r="E295" s="162"/>
      <c r="F295" s="11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4"/>
      <c r="V295" s="164"/>
    </row>
    <row r="296" ht="12.75" customHeight="1">
      <c r="A296" s="162"/>
      <c r="B296" s="162"/>
      <c r="C296" s="162"/>
      <c r="D296" s="1"/>
      <c r="E296" s="162"/>
      <c r="F296" s="11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4"/>
      <c r="V296" s="164"/>
    </row>
    <row r="297" ht="12.75" customHeight="1">
      <c r="A297" s="162"/>
      <c r="B297" s="162"/>
      <c r="C297" s="162"/>
      <c r="D297" s="1"/>
      <c r="E297" s="162"/>
      <c r="F297" s="11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4"/>
      <c r="V297" s="164"/>
    </row>
    <row r="298" ht="12.75" customHeight="1">
      <c r="A298" s="162"/>
      <c r="B298" s="162"/>
      <c r="C298" s="162"/>
      <c r="D298" s="1"/>
      <c r="E298" s="162"/>
      <c r="F298" s="11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4"/>
      <c r="V298" s="164"/>
    </row>
    <row r="299" ht="12.75" customHeight="1">
      <c r="A299" s="162"/>
      <c r="B299" s="162"/>
      <c r="C299" s="162"/>
      <c r="D299" s="1"/>
      <c r="E299" s="162"/>
      <c r="F299" s="11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4"/>
      <c r="V299" s="164"/>
    </row>
    <row r="300" ht="12.75" customHeight="1">
      <c r="A300" s="162"/>
      <c r="B300" s="162"/>
      <c r="C300" s="162"/>
      <c r="D300" s="1"/>
      <c r="E300" s="162"/>
      <c r="F300" s="11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4"/>
      <c r="V300" s="164"/>
    </row>
    <row r="301" ht="12.75" customHeight="1">
      <c r="A301" s="162"/>
      <c r="B301" s="162"/>
      <c r="C301" s="162"/>
      <c r="D301" s="1"/>
      <c r="E301" s="162"/>
      <c r="F301" s="11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4"/>
      <c r="V301" s="164"/>
    </row>
    <row r="302" ht="12.75" customHeight="1">
      <c r="A302" s="162"/>
      <c r="B302" s="162"/>
      <c r="C302" s="162"/>
      <c r="D302" s="1"/>
      <c r="E302" s="162"/>
      <c r="F302" s="11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4"/>
      <c r="V302" s="164"/>
    </row>
    <row r="303" ht="12.75" customHeight="1">
      <c r="A303" s="162"/>
      <c r="B303" s="162"/>
      <c r="C303" s="162"/>
      <c r="D303" s="1"/>
      <c r="E303" s="162"/>
      <c r="F303" s="11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4"/>
      <c r="V303" s="164"/>
    </row>
    <row r="304" ht="12.75" customHeight="1">
      <c r="A304" s="162"/>
      <c r="B304" s="162"/>
      <c r="C304" s="162"/>
      <c r="D304" s="1"/>
      <c r="E304" s="162"/>
      <c r="F304" s="11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4"/>
      <c r="V304" s="164"/>
    </row>
    <row r="305" ht="12.75" customHeight="1">
      <c r="A305" s="162"/>
      <c r="B305" s="162"/>
      <c r="C305" s="162"/>
      <c r="D305" s="1"/>
      <c r="E305" s="162"/>
      <c r="F305" s="11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4"/>
      <c r="V305" s="164"/>
    </row>
    <row r="306" ht="12.75" customHeight="1">
      <c r="A306" s="162"/>
      <c r="B306" s="162"/>
      <c r="C306" s="162"/>
      <c r="D306" s="1"/>
      <c r="E306" s="162"/>
      <c r="F306" s="11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4"/>
      <c r="V306" s="164"/>
    </row>
    <row r="307" ht="12.75" customHeight="1">
      <c r="A307" s="162"/>
      <c r="B307" s="162"/>
      <c r="C307" s="162"/>
      <c r="D307" s="1"/>
      <c r="E307" s="162"/>
      <c r="F307" s="11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4"/>
      <c r="V307" s="164"/>
    </row>
    <row r="308" ht="12.75" customHeight="1">
      <c r="A308" s="162"/>
      <c r="B308" s="162"/>
      <c r="C308" s="162"/>
      <c r="D308" s="1"/>
      <c r="E308" s="162"/>
      <c r="F308" s="11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4"/>
      <c r="V308" s="164"/>
    </row>
    <row r="309" ht="12.75" customHeight="1">
      <c r="A309" s="162"/>
      <c r="B309" s="162"/>
      <c r="C309" s="162"/>
      <c r="D309" s="1"/>
      <c r="E309" s="162"/>
      <c r="F309" s="11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4"/>
      <c r="V309" s="164"/>
    </row>
    <row r="310" ht="12.75" customHeight="1">
      <c r="A310" s="162"/>
      <c r="B310" s="162"/>
      <c r="C310" s="162"/>
      <c r="D310" s="1"/>
      <c r="E310" s="162"/>
      <c r="F310" s="11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4"/>
      <c r="V310" s="164"/>
    </row>
    <row r="311" ht="12.75" customHeight="1">
      <c r="A311" s="162"/>
      <c r="B311" s="162"/>
      <c r="C311" s="162"/>
      <c r="D311" s="1"/>
      <c r="E311" s="162"/>
      <c r="F311" s="11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4"/>
      <c r="V311" s="164"/>
    </row>
    <row r="312" ht="12.75" customHeight="1">
      <c r="A312" s="162"/>
      <c r="B312" s="162"/>
      <c r="C312" s="162"/>
      <c r="D312" s="1"/>
      <c r="E312" s="162"/>
      <c r="F312" s="11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4"/>
      <c r="V312" s="164"/>
    </row>
    <row r="313" ht="12.75" customHeight="1">
      <c r="A313" s="162"/>
      <c r="B313" s="162"/>
      <c r="C313" s="162"/>
      <c r="D313" s="1"/>
      <c r="E313" s="162"/>
      <c r="F313" s="11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4"/>
      <c r="V313" s="164"/>
    </row>
    <row r="314" ht="12.75" customHeight="1">
      <c r="A314" s="162"/>
      <c r="B314" s="162"/>
      <c r="C314" s="162"/>
      <c r="D314" s="1"/>
      <c r="E314" s="162"/>
      <c r="F314" s="11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4"/>
      <c r="V314" s="164"/>
    </row>
    <row r="315" ht="12.75" customHeight="1">
      <c r="A315" s="162"/>
      <c r="B315" s="162"/>
      <c r="C315" s="162"/>
      <c r="D315" s="1"/>
      <c r="E315" s="162"/>
      <c r="F315" s="11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4"/>
      <c r="V315" s="164"/>
    </row>
    <row r="316" ht="12.75" customHeight="1">
      <c r="A316" s="162"/>
      <c r="B316" s="162"/>
      <c r="C316" s="162"/>
      <c r="D316" s="1"/>
      <c r="E316" s="162"/>
      <c r="F316" s="11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4"/>
      <c r="V316" s="164"/>
    </row>
    <row r="317" ht="12.75" customHeight="1">
      <c r="A317" s="162"/>
      <c r="B317" s="162"/>
      <c r="C317" s="162"/>
      <c r="D317" s="1"/>
      <c r="E317" s="162"/>
      <c r="F317" s="11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4"/>
      <c r="V317" s="164"/>
    </row>
    <row r="318" ht="12.75" customHeight="1">
      <c r="A318" s="162"/>
      <c r="B318" s="162"/>
      <c r="C318" s="162"/>
      <c r="D318" s="1"/>
      <c r="E318" s="162"/>
      <c r="F318" s="11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4"/>
      <c r="V318" s="164"/>
    </row>
    <row r="319" ht="12.75" customHeight="1">
      <c r="A319" s="162"/>
      <c r="B319" s="162"/>
      <c r="C319" s="162"/>
      <c r="D319" s="1"/>
      <c r="E319" s="162"/>
      <c r="F319" s="11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4"/>
      <c r="V319" s="164"/>
    </row>
    <row r="320" ht="12.75" customHeight="1">
      <c r="A320" s="162"/>
      <c r="B320" s="162"/>
      <c r="C320" s="162"/>
      <c r="D320" s="1"/>
      <c r="E320" s="162"/>
      <c r="F320" s="11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4"/>
      <c r="V320" s="164"/>
    </row>
    <row r="321" ht="12.75" customHeight="1">
      <c r="A321" s="162"/>
      <c r="B321" s="162"/>
      <c r="C321" s="162"/>
      <c r="D321" s="1"/>
      <c r="E321" s="162"/>
      <c r="F321" s="11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4"/>
      <c r="V321" s="164"/>
    </row>
    <row r="322" ht="12.75" customHeight="1">
      <c r="A322" s="162"/>
      <c r="B322" s="162"/>
      <c r="C322" s="162"/>
      <c r="D322" s="1"/>
      <c r="E322" s="162"/>
      <c r="F322" s="11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4"/>
      <c r="V322" s="164"/>
    </row>
    <row r="323" ht="12.75" customHeight="1">
      <c r="A323" s="162"/>
      <c r="B323" s="162"/>
      <c r="C323" s="162"/>
      <c r="D323" s="1"/>
      <c r="E323" s="162"/>
      <c r="F323" s="11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4"/>
      <c r="V323" s="164"/>
    </row>
    <row r="324" ht="12.75" customHeight="1">
      <c r="A324" s="162"/>
      <c r="B324" s="162"/>
      <c r="C324" s="162"/>
      <c r="D324" s="1"/>
      <c r="E324" s="162"/>
      <c r="F324" s="11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4"/>
      <c r="V324" s="164"/>
    </row>
    <row r="325" ht="12.75" customHeight="1">
      <c r="A325" s="162"/>
      <c r="B325" s="162"/>
      <c r="C325" s="162"/>
      <c r="D325" s="1"/>
      <c r="E325" s="162"/>
      <c r="F325" s="11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4"/>
      <c r="V325" s="164"/>
    </row>
    <row r="326" ht="12.75" customHeight="1">
      <c r="A326" s="162"/>
      <c r="B326" s="162"/>
      <c r="C326" s="162"/>
      <c r="D326" s="1"/>
      <c r="E326" s="162"/>
      <c r="F326" s="11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4"/>
      <c r="V326" s="164"/>
    </row>
    <row r="327" ht="12.75" customHeight="1">
      <c r="A327" s="162"/>
      <c r="B327" s="162"/>
      <c r="C327" s="162"/>
      <c r="D327" s="1"/>
      <c r="E327" s="162"/>
      <c r="F327" s="11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4"/>
      <c r="V327" s="164"/>
    </row>
    <row r="328" ht="12.75" customHeight="1">
      <c r="A328" s="162"/>
      <c r="B328" s="162"/>
      <c r="C328" s="162"/>
      <c r="D328" s="1"/>
      <c r="E328" s="162"/>
      <c r="F328" s="11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4"/>
      <c r="V328" s="164"/>
    </row>
    <row r="329" ht="12.75" customHeight="1">
      <c r="A329" s="162"/>
      <c r="B329" s="162"/>
      <c r="C329" s="162"/>
      <c r="D329" s="1"/>
      <c r="E329" s="162"/>
      <c r="F329" s="11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4"/>
      <c r="V329" s="164"/>
    </row>
    <row r="330" ht="12.75" customHeight="1">
      <c r="A330" s="162"/>
      <c r="B330" s="162"/>
      <c r="C330" s="162"/>
      <c r="D330" s="1"/>
      <c r="E330" s="162"/>
      <c r="F330" s="11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4"/>
      <c r="V330" s="164"/>
    </row>
    <row r="331" ht="12.75" customHeight="1">
      <c r="A331" s="162"/>
      <c r="B331" s="162"/>
      <c r="C331" s="162"/>
      <c r="D331" s="1"/>
      <c r="E331" s="162"/>
      <c r="F331" s="11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4"/>
      <c r="V331" s="164"/>
    </row>
    <row r="332" ht="12.75" customHeight="1">
      <c r="A332" s="162"/>
      <c r="B332" s="162"/>
      <c r="C332" s="162"/>
      <c r="D332" s="1"/>
      <c r="E332" s="162"/>
      <c r="F332" s="11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4"/>
      <c r="V332" s="164"/>
    </row>
    <row r="333" ht="12.75" customHeight="1">
      <c r="A333" s="162"/>
      <c r="B333" s="162"/>
      <c r="C333" s="162"/>
      <c r="D333" s="1"/>
      <c r="E333" s="162"/>
      <c r="F333" s="11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4"/>
      <c r="V333" s="164"/>
    </row>
    <row r="334" ht="12.75" customHeight="1">
      <c r="A334" s="162"/>
      <c r="B334" s="162"/>
      <c r="C334" s="162"/>
      <c r="D334" s="1"/>
      <c r="E334" s="162"/>
      <c r="F334" s="11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4"/>
      <c r="V334" s="164"/>
    </row>
    <row r="335" ht="12.75" customHeight="1">
      <c r="A335" s="162"/>
      <c r="B335" s="162"/>
      <c r="C335" s="162"/>
      <c r="D335" s="1"/>
      <c r="E335" s="162"/>
      <c r="F335" s="11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4"/>
      <c r="V335" s="164"/>
    </row>
    <row r="336" ht="12.75" customHeight="1">
      <c r="A336" s="162"/>
      <c r="B336" s="162"/>
      <c r="C336" s="162"/>
      <c r="D336" s="1"/>
      <c r="E336" s="162"/>
      <c r="F336" s="11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4"/>
      <c r="V336" s="164"/>
    </row>
    <row r="337" ht="12.75" customHeight="1">
      <c r="A337" s="162"/>
      <c r="B337" s="162"/>
      <c r="C337" s="162"/>
      <c r="D337" s="1"/>
      <c r="E337" s="162"/>
      <c r="F337" s="11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4"/>
      <c r="V337" s="164"/>
    </row>
    <row r="338" ht="12.75" customHeight="1">
      <c r="A338" s="162"/>
      <c r="B338" s="162"/>
      <c r="C338" s="162"/>
      <c r="D338" s="1"/>
      <c r="E338" s="162"/>
      <c r="F338" s="11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4"/>
      <c r="V338" s="164"/>
    </row>
    <row r="339" ht="12.75" customHeight="1">
      <c r="A339" s="162"/>
      <c r="B339" s="162"/>
      <c r="C339" s="162"/>
      <c r="D339" s="1"/>
      <c r="E339" s="162"/>
      <c r="F339" s="11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4"/>
      <c r="V339" s="164"/>
    </row>
    <row r="340" ht="12.75" customHeight="1">
      <c r="A340" s="162"/>
      <c r="B340" s="162"/>
      <c r="C340" s="162"/>
      <c r="D340" s="1"/>
      <c r="E340" s="162"/>
      <c r="F340" s="11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4"/>
      <c r="V340" s="164"/>
    </row>
    <row r="341" ht="12.75" customHeight="1">
      <c r="A341" s="162"/>
      <c r="B341" s="162"/>
      <c r="C341" s="162"/>
      <c r="D341" s="1"/>
      <c r="E341" s="162"/>
      <c r="F341" s="11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4"/>
      <c r="V341" s="164"/>
    </row>
    <row r="342" ht="12.75" customHeight="1">
      <c r="A342" s="162"/>
      <c r="B342" s="162"/>
      <c r="C342" s="162"/>
      <c r="D342" s="1"/>
      <c r="E342" s="162"/>
      <c r="F342" s="11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4"/>
      <c r="V342" s="164"/>
    </row>
    <row r="343" ht="12.75" customHeight="1">
      <c r="A343" s="162"/>
      <c r="B343" s="162"/>
      <c r="C343" s="162"/>
      <c r="D343" s="1"/>
      <c r="E343" s="162"/>
      <c r="F343" s="11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4"/>
      <c r="V343" s="164"/>
    </row>
    <row r="344" ht="12.75" customHeight="1">
      <c r="A344" s="162"/>
      <c r="B344" s="162"/>
      <c r="C344" s="162"/>
      <c r="D344" s="1"/>
      <c r="E344" s="162"/>
      <c r="F344" s="11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4"/>
      <c r="V344" s="164"/>
    </row>
    <row r="345" ht="12.75" customHeight="1">
      <c r="A345" s="162"/>
      <c r="B345" s="162"/>
      <c r="C345" s="162"/>
      <c r="D345" s="1"/>
      <c r="E345" s="162"/>
      <c r="F345" s="11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4"/>
      <c r="V345" s="164"/>
    </row>
    <row r="346" ht="12.75" customHeight="1">
      <c r="A346" s="162"/>
      <c r="B346" s="162"/>
      <c r="C346" s="162"/>
      <c r="D346" s="1"/>
      <c r="E346" s="162"/>
      <c r="F346" s="11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4"/>
      <c r="V346" s="164"/>
    </row>
    <row r="347" ht="12.75" customHeight="1">
      <c r="A347" s="162"/>
      <c r="B347" s="162"/>
      <c r="C347" s="162"/>
      <c r="D347" s="1"/>
      <c r="E347" s="162"/>
      <c r="F347" s="11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4"/>
      <c r="V347" s="164"/>
    </row>
    <row r="348" ht="12.75" customHeight="1">
      <c r="A348" s="162"/>
      <c r="B348" s="162"/>
      <c r="C348" s="162"/>
      <c r="D348" s="1"/>
      <c r="E348" s="162"/>
      <c r="F348" s="11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4"/>
      <c r="V348" s="164"/>
    </row>
    <row r="349" ht="12.75" customHeight="1">
      <c r="A349" s="162"/>
      <c r="B349" s="162"/>
      <c r="C349" s="162"/>
      <c r="D349" s="1"/>
      <c r="E349" s="162"/>
      <c r="F349" s="11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4"/>
      <c r="V349" s="164"/>
    </row>
    <row r="350" ht="12.75" customHeight="1">
      <c r="A350" s="162"/>
      <c r="B350" s="162"/>
      <c r="C350" s="162"/>
      <c r="D350" s="1"/>
      <c r="E350" s="162"/>
      <c r="F350" s="11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4"/>
      <c r="V350" s="164"/>
    </row>
    <row r="351" ht="12.75" customHeight="1">
      <c r="A351" s="162"/>
      <c r="B351" s="162"/>
      <c r="C351" s="162"/>
      <c r="D351" s="1"/>
      <c r="E351" s="162"/>
      <c r="F351" s="11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4"/>
      <c r="V351" s="164"/>
    </row>
    <row r="352" ht="12.75" customHeight="1">
      <c r="A352" s="162"/>
      <c r="B352" s="162"/>
      <c r="C352" s="162"/>
      <c r="D352" s="1"/>
      <c r="E352" s="162"/>
      <c r="F352" s="11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4"/>
      <c r="V352" s="164"/>
    </row>
    <row r="353" ht="12.75" customHeight="1">
      <c r="A353" s="162"/>
      <c r="B353" s="162"/>
      <c r="C353" s="162"/>
      <c r="D353" s="1"/>
      <c r="E353" s="162"/>
      <c r="F353" s="11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4"/>
      <c r="V353" s="164"/>
    </row>
    <row r="354" ht="12.75" customHeight="1">
      <c r="A354" s="162"/>
      <c r="B354" s="162"/>
      <c r="C354" s="162"/>
      <c r="D354" s="1"/>
      <c r="E354" s="162"/>
      <c r="F354" s="11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4"/>
      <c r="V354" s="164"/>
    </row>
    <row r="355" ht="12.75" customHeight="1">
      <c r="A355" s="162"/>
      <c r="B355" s="162"/>
      <c r="C355" s="162"/>
      <c r="D355" s="1"/>
      <c r="E355" s="162"/>
      <c r="F355" s="11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4"/>
      <c r="V355" s="164"/>
    </row>
    <row r="356" ht="12.75" customHeight="1">
      <c r="A356" s="162"/>
      <c r="B356" s="162"/>
      <c r="C356" s="162"/>
      <c r="D356" s="1"/>
      <c r="E356" s="162"/>
      <c r="F356" s="11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4"/>
      <c r="V356" s="164"/>
    </row>
    <row r="357" ht="12.75" customHeight="1">
      <c r="A357" s="162"/>
      <c r="B357" s="162"/>
      <c r="C357" s="162"/>
      <c r="D357" s="1"/>
      <c r="E357" s="162"/>
      <c r="F357" s="11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4"/>
      <c r="V357" s="164"/>
    </row>
    <row r="358" ht="12.75" customHeight="1">
      <c r="A358" s="162"/>
      <c r="B358" s="162"/>
      <c r="C358" s="162"/>
      <c r="D358" s="1"/>
      <c r="E358" s="162"/>
      <c r="F358" s="11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4"/>
      <c r="V358" s="164"/>
    </row>
    <row r="359" ht="12.75" customHeight="1">
      <c r="A359" s="162"/>
      <c r="B359" s="162"/>
      <c r="C359" s="162"/>
      <c r="D359" s="1"/>
      <c r="E359" s="162"/>
      <c r="F359" s="11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4"/>
      <c r="V359" s="164"/>
    </row>
    <row r="360" ht="12.75" customHeight="1">
      <c r="A360" s="162"/>
      <c r="B360" s="162"/>
      <c r="C360" s="162"/>
      <c r="D360" s="1"/>
      <c r="E360" s="162"/>
      <c r="F360" s="11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4"/>
      <c r="V360" s="164"/>
    </row>
    <row r="361" ht="12.75" customHeight="1">
      <c r="A361" s="162"/>
      <c r="B361" s="162"/>
      <c r="C361" s="162"/>
      <c r="D361" s="1"/>
      <c r="E361" s="162"/>
      <c r="F361" s="11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4"/>
      <c r="V361" s="164"/>
    </row>
    <row r="362" ht="12.75" customHeight="1">
      <c r="A362" s="162"/>
      <c r="B362" s="162"/>
      <c r="C362" s="162"/>
      <c r="D362" s="1"/>
      <c r="E362" s="162"/>
      <c r="F362" s="11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4"/>
      <c r="V362" s="164"/>
    </row>
    <row r="363" ht="12.75" customHeight="1">
      <c r="A363" s="162"/>
      <c r="B363" s="162"/>
      <c r="C363" s="162"/>
      <c r="D363" s="1"/>
      <c r="E363" s="162"/>
      <c r="F363" s="11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4"/>
      <c r="V363" s="164"/>
    </row>
    <row r="364" ht="12.75" customHeight="1">
      <c r="A364" s="162"/>
      <c r="B364" s="162"/>
      <c r="C364" s="162"/>
      <c r="D364" s="1"/>
      <c r="E364" s="162"/>
      <c r="F364" s="11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4"/>
      <c r="V364" s="164"/>
    </row>
    <row r="365" ht="12.75" customHeight="1">
      <c r="A365" s="162"/>
      <c r="B365" s="162"/>
      <c r="C365" s="162"/>
      <c r="D365" s="1"/>
      <c r="E365" s="162"/>
      <c r="F365" s="11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4"/>
      <c r="V365" s="164"/>
    </row>
    <row r="366" ht="12.75" customHeight="1">
      <c r="A366" s="162"/>
      <c r="B366" s="162"/>
      <c r="C366" s="162"/>
      <c r="D366" s="1"/>
      <c r="E366" s="162"/>
      <c r="F366" s="11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4"/>
      <c r="V366" s="164"/>
    </row>
    <row r="367" ht="12.75" customHeight="1">
      <c r="A367" s="162"/>
      <c r="B367" s="162"/>
      <c r="C367" s="162"/>
      <c r="D367" s="1"/>
      <c r="E367" s="162"/>
      <c r="F367" s="11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4"/>
      <c r="V367" s="164"/>
    </row>
    <row r="368" ht="12.75" customHeight="1">
      <c r="A368" s="162"/>
      <c r="B368" s="162"/>
      <c r="C368" s="162"/>
      <c r="D368" s="1"/>
      <c r="E368" s="162"/>
      <c r="F368" s="11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4"/>
      <c r="V368" s="164"/>
    </row>
    <row r="369" ht="12.75" customHeight="1">
      <c r="A369" s="162"/>
      <c r="B369" s="162"/>
      <c r="C369" s="162"/>
      <c r="D369" s="1"/>
      <c r="E369" s="162"/>
      <c r="F369" s="11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4"/>
      <c r="V369" s="164"/>
    </row>
    <row r="370" ht="12.75" customHeight="1">
      <c r="A370" s="162"/>
      <c r="B370" s="162"/>
      <c r="C370" s="162"/>
      <c r="D370" s="1"/>
      <c r="E370" s="162"/>
      <c r="F370" s="11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4"/>
      <c r="V370" s="164"/>
    </row>
    <row r="371" ht="12.75" customHeight="1">
      <c r="A371" s="162"/>
      <c r="B371" s="162"/>
      <c r="C371" s="162"/>
      <c r="D371" s="1"/>
      <c r="E371" s="162"/>
      <c r="F371" s="11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4"/>
      <c r="V371" s="164"/>
    </row>
    <row r="372" ht="12.75" customHeight="1">
      <c r="A372" s="162"/>
      <c r="B372" s="162"/>
      <c r="C372" s="162"/>
      <c r="D372" s="1"/>
      <c r="E372" s="162"/>
      <c r="F372" s="11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4"/>
      <c r="V372" s="164"/>
    </row>
    <row r="373" ht="12.75" customHeight="1">
      <c r="A373" s="162"/>
      <c r="B373" s="162"/>
      <c r="C373" s="162"/>
      <c r="D373" s="1"/>
      <c r="E373" s="162"/>
      <c r="F373" s="11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4"/>
      <c r="V373" s="164"/>
    </row>
    <row r="374" ht="12.75" customHeight="1">
      <c r="A374" s="162"/>
      <c r="B374" s="162"/>
      <c r="C374" s="162"/>
      <c r="D374" s="1"/>
      <c r="E374" s="162"/>
      <c r="F374" s="11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4"/>
      <c r="V374" s="164"/>
    </row>
    <row r="375" ht="12.75" customHeight="1">
      <c r="A375" s="162"/>
      <c r="B375" s="162"/>
      <c r="C375" s="162"/>
      <c r="D375" s="1"/>
      <c r="E375" s="162"/>
      <c r="F375" s="11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4"/>
      <c r="V375" s="164"/>
    </row>
    <row r="376" ht="12.75" customHeight="1">
      <c r="A376" s="162"/>
      <c r="B376" s="162"/>
      <c r="C376" s="162"/>
      <c r="D376" s="1"/>
      <c r="E376" s="162"/>
      <c r="F376" s="11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4"/>
      <c r="V376" s="164"/>
    </row>
    <row r="377" ht="12.75" customHeight="1">
      <c r="A377" s="162"/>
      <c r="B377" s="162"/>
      <c r="C377" s="162"/>
      <c r="D377" s="1"/>
      <c r="E377" s="162"/>
      <c r="F377" s="11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4"/>
      <c r="V377" s="164"/>
    </row>
    <row r="378" ht="12.75" customHeight="1">
      <c r="A378" s="162"/>
      <c r="B378" s="162"/>
      <c r="C378" s="162"/>
      <c r="D378" s="1"/>
      <c r="E378" s="162"/>
      <c r="F378" s="11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4"/>
      <c r="V378" s="164"/>
    </row>
    <row r="379" ht="12.75" customHeight="1">
      <c r="A379" s="162"/>
      <c r="B379" s="162"/>
      <c r="C379" s="162"/>
      <c r="D379" s="1"/>
      <c r="E379" s="162"/>
      <c r="F379" s="11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4"/>
      <c r="V379" s="164"/>
    </row>
    <row r="380" ht="12.75" customHeight="1">
      <c r="A380" s="162"/>
      <c r="B380" s="162"/>
      <c r="C380" s="162"/>
      <c r="D380" s="1"/>
      <c r="E380" s="162"/>
      <c r="F380" s="11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4"/>
      <c r="V380" s="164"/>
    </row>
    <row r="381" ht="12.75" customHeight="1">
      <c r="A381" s="162"/>
      <c r="B381" s="162"/>
      <c r="C381" s="162"/>
      <c r="D381" s="1"/>
      <c r="E381" s="162"/>
      <c r="F381" s="11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4"/>
      <c r="V381" s="164"/>
    </row>
    <row r="382" ht="12.75" customHeight="1">
      <c r="A382" s="162"/>
      <c r="B382" s="162"/>
      <c r="C382" s="162"/>
      <c r="D382" s="1"/>
      <c r="E382" s="162"/>
      <c r="F382" s="11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4"/>
      <c r="V382" s="164"/>
    </row>
    <row r="383" ht="12.75" customHeight="1">
      <c r="A383" s="162"/>
      <c r="B383" s="162"/>
      <c r="C383" s="162"/>
      <c r="D383" s="1"/>
      <c r="E383" s="162"/>
      <c r="F383" s="11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4"/>
      <c r="V383" s="164"/>
    </row>
    <row r="384" ht="12.75" customHeight="1">
      <c r="A384" s="162"/>
      <c r="B384" s="162"/>
      <c r="C384" s="162"/>
      <c r="D384" s="1"/>
      <c r="E384" s="162"/>
      <c r="F384" s="11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4"/>
      <c r="V384" s="164"/>
    </row>
    <row r="385" ht="12.75" customHeight="1">
      <c r="A385" s="162"/>
      <c r="B385" s="162"/>
      <c r="C385" s="162"/>
      <c r="D385" s="1"/>
      <c r="E385" s="162"/>
      <c r="F385" s="11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4"/>
      <c r="V385" s="164"/>
    </row>
    <row r="386" ht="12.75" customHeight="1">
      <c r="A386" s="162"/>
      <c r="B386" s="162"/>
      <c r="C386" s="162"/>
      <c r="D386" s="1"/>
      <c r="E386" s="162"/>
      <c r="F386" s="11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4"/>
      <c r="V386" s="164"/>
    </row>
    <row r="387" ht="12.75" customHeight="1">
      <c r="A387" s="162"/>
      <c r="B387" s="162"/>
      <c r="C387" s="162"/>
      <c r="D387" s="1"/>
      <c r="E387" s="162"/>
      <c r="F387" s="11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4"/>
      <c r="V387" s="164"/>
    </row>
    <row r="388" ht="12.75" customHeight="1">
      <c r="A388" s="162"/>
      <c r="B388" s="162"/>
      <c r="C388" s="162"/>
      <c r="D388" s="1"/>
      <c r="E388" s="162"/>
      <c r="F388" s="11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4"/>
      <c r="V388" s="164"/>
    </row>
    <row r="389" ht="12.75" customHeight="1">
      <c r="A389" s="162"/>
      <c r="B389" s="162"/>
      <c r="C389" s="162"/>
      <c r="D389" s="1"/>
      <c r="E389" s="162"/>
      <c r="F389" s="11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4"/>
      <c r="V389" s="164"/>
    </row>
    <row r="390" ht="12.75" customHeight="1">
      <c r="A390" s="162"/>
      <c r="B390" s="162"/>
      <c r="C390" s="162"/>
      <c r="D390" s="1"/>
      <c r="E390" s="162"/>
      <c r="F390" s="11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4"/>
      <c r="V390" s="164"/>
    </row>
    <row r="391" ht="12.75" customHeight="1">
      <c r="A391" s="162"/>
      <c r="B391" s="162"/>
      <c r="C391" s="162"/>
      <c r="D391" s="1"/>
      <c r="E391" s="162"/>
      <c r="F391" s="11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4"/>
      <c r="V391" s="164"/>
    </row>
    <row r="392" ht="12.75" customHeight="1">
      <c r="A392" s="162"/>
      <c r="B392" s="162"/>
      <c r="C392" s="162"/>
      <c r="D392" s="1"/>
      <c r="E392" s="162"/>
      <c r="F392" s="11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4"/>
      <c r="V392" s="164"/>
    </row>
    <row r="393" ht="12.75" customHeight="1">
      <c r="A393" s="162"/>
      <c r="B393" s="162"/>
      <c r="C393" s="162"/>
      <c r="D393" s="1"/>
      <c r="E393" s="162"/>
      <c r="F393" s="11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4"/>
      <c r="V393" s="164"/>
    </row>
    <row r="394" ht="12.75" customHeight="1">
      <c r="A394" s="162"/>
      <c r="B394" s="162"/>
      <c r="C394" s="162"/>
      <c r="D394" s="1"/>
      <c r="E394" s="162"/>
      <c r="F394" s="11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4"/>
      <c r="V394" s="164"/>
    </row>
    <row r="395" ht="12.75" customHeight="1">
      <c r="A395" s="162"/>
      <c r="B395" s="162"/>
      <c r="C395" s="162"/>
      <c r="D395" s="1"/>
      <c r="E395" s="162"/>
      <c r="F395" s="11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4"/>
      <c r="V395" s="164"/>
    </row>
    <row r="396" ht="12.75" customHeight="1">
      <c r="A396" s="162"/>
      <c r="B396" s="162"/>
      <c r="C396" s="162"/>
      <c r="D396" s="1"/>
      <c r="E396" s="162"/>
      <c r="F396" s="11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4"/>
      <c r="V396" s="164"/>
    </row>
    <row r="397" ht="12.75" customHeight="1">
      <c r="A397" s="162"/>
      <c r="B397" s="162"/>
      <c r="C397" s="162"/>
      <c r="D397" s="1"/>
      <c r="E397" s="162"/>
      <c r="F397" s="11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4"/>
      <c r="V397" s="164"/>
    </row>
    <row r="398" ht="12.75" customHeight="1">
      <c r="A398" s="162"/>
      <c r="B398" s="162"/>
      <c r="C398" s="162"/>
      <c r="D398" s="1"/>
      <c r="E398" s="162"/>
      <c r="F398" s="11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4"/>
      <c r="V398" s="164"/>
    </row>
    <row r="399" ht="12.75" customHeight="1">
      <c r="A399" s="162"/>
      <c r="B399" s="162"/>
      <c r="C399" s="162"/>
      <c r="D399" s="1"/>
      <c r="E399" s="162"/>
      <c r="F399" s="11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4"/>
      <c r="V399" s="164"/>
    </row>
    <row r="400" ht="12.75" customHeight="1">
      <c r="A400" s="162"/>
      <c r="B400" s="162"/>
      <c r="C400" s="162"/>
      <c r="D400" s="1"/>
      <c r="E400" s="162"/>
      <c r="F400" s="11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4"/>
      <c r="V400" s="164"/>
    </row>
    <row r="401" ht="12.75" customHeight="1">
      <c r="A401" s="162"/>
      <c r="B401" s="162"/>
      <c r="C401" s="162"/>
      <c r="D401" s="1"/>
      <c r="E401" s="162"/>
      <c r="F401" s="11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4"/>
      <c r="V401" s="164"/>
    </row>
    <row r="402" ht="12.75" customHeight="1">
      <c r="A402" s="162"/>
      <c r="B402" s="162"/>
      <c r="C402" s="162"/>
      <c r="D402" s="1"/>
      <c r="E402" s="162"/>
      <c r="F402" s="11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4"/>
      <c r="V402" s="164"/>
    </row>
    <row r="403" ht="12.75" customHeight="1">
      <c r="A403" s="162"/>
      <c r="B403" s="162"/>
      <c r="C403" s="162"/>
      <c r="D403" s="1"/>
      <c r="E403" s="162"/>
      <c r="F403" s="11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4"/>
      <c r="V403" s="164"/>
    </row>
    <row r="404" ht="12.75" customHeight="1">
      <c r="A404" s="162"/>
      <c r="B404" s="162"/>
      <c r="C404" s="162"/>
      <c r="D404" s="1"/>
      <c r="E404" s="162"/>
      <c r="F404" s="11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4"/>
      <c r="V404" s="164"/>
    </row>
    <row r="405" ht="12.75" customHeight="1">
      <c r="A405" s="162"/>
      <c r="B405" s="162"/>
      <c r="C405" s="162"/>
      <c r="D405" s="1"/>
      <c r="E405" s="162"/>
      <c r="F405" s="11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4"/>
      <c r="V405" s="164"/>
    </row>
    <row r="406" ht="12.75" customHeight="1">
      <c r="A406" s="162"/>
      <c r="B406" s="162"/>
      <c r="C406" s="162"/>
      <c r="D406" s="1"/>
      <c r="E406" s="162"/>
      <c r="F406" s="11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4"/>
      <c r="V406" s="164"/>
    </row>
    <row r="407" ht="12.75" customHeight="1">
      <c r="A407" s="162"/>
      <c r="B407" s="162"/>
      <c r="C407" s="162"/>
      <c r="D407" s="1"/>
      <c r="E407" s="162"/>
      <c r="F407" s="11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4"/>
      <c r="V407" s="164"/>
    </row>
    <row r="408" ht="12.75" customHeight="1">
      <c r="A408" s="162"/>
      <c r="B408" s="162"/>
      <c r="C408" s="162"/>
      <c r="D408" s="1"/>
      <c r="E408" s="162"/>
      <c r="F408" s="11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4"/>
      <c r="V408" s="164"/>
    </row>
    <row r="409" ht="12.75" customHeight="1">
      <c r="A409" s="162"/>
      <c r="B409" s="162"/>
      <c r="C409" s="162"/>
      <c r="D409" s="1"/>
      <c r="E409" s="162"/>
      <c r="F409" s="11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4"/>
      <c r="V409" s="164"/>
    </row>
    <row r="410" ht="12.75" customHeight="1">
      <c r="A410" s="162"/>
      <c r="B410" s="162"/>
      <c r="C410" s="162"/>
      <c r="D410" s="1"/>
      <c r="E410" s="162"/>
      <c r="F410" s="11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4"/>
      <c r="V410" s="164"/>
    </row>
    <row r="411" ht="12.75" customHeight="1">
      <c r="A411" s="162"/>
      <c r="B411" s="162"/>
      <c r="C411" s="162"/>
      <c r="D411" s="1"/>
      <c r="E411" s="162"/>
      <c r="F411" s="11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4"/>
      <c r="V411" s="164"/>
    </row>
    <row r="412" ht="12.75" customHeight="1">
      <c r="A412" s="162"/>
      <c r="B412" s="162"/>
      <c r="C412" s="162"/>
      <c r="D412" s="1"/>
      <c r="E412" s="162"/>
      <c r="F412" s="11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4"/>
      <c r="V412" s="164"/>
    </row>
    <row r="413" ht="12.75" customHeight="1">
      <c r="A413" s="162"/>
      <c r="B413" s="162"/>
      <c r="C413" s="162"/>
      <c r="D413" s="1"/>
      <c r="E413" s="162"/>
      <c r="F413" s="11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4"/>
      <c r="V413" s="164"/>
    </row>
    <row r="414" ht="12.75" customHeight="1">
      <c r="A414" s="162"/>
      <c r="B414" s="162"/>
      <c r="C414" s="162"/>
      <c r="D414" s="1"/>
      <c r="E414" s="162"/>
      <c r="F414" s="11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4"/>
      <c r="V414" s="164"/>
    </row>
    <row r="415" ht="12.75" customHeight="1">
      <c r="A415" s="162"/>
      <c r="B415" s="162"/>
      <c r="C415" s="162"/>
      <c r="D415" s="1"/>
      <c r="E415" s="162"/>
      <c r="F415" s="11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4"/>
      <c r="V415" s="164"/>
    </row>
    <row r="416" ht="12.75" customHeight="1">
      <c r="A416" s="162"/>
      <c r="B416" s="162"/>
      <c r="C416" s="162"/>
      <c r="D416" s="1"/>
      <c r="E416" s="162"/>
      <c r="F416" s="11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4"/>
      <c r="V416" s="164"/>
    </row>
    <row r="417" ht="12.75" customHeight="1">
      <c r="A417" s="162"/>
      <c r="B417" s="162"/>
      <c r="C417" s="162"/>
      <c r="D417" s="1"/>
      <c r="E417" s="162"/>
      <c r="F417" s="11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4"/>
      <c r="V417" s="164"/>
    </row>
    <row r="418" ht="12.75" customHeight="1">
      <c r="A418" s="162"/>
      <c r="B418" s="162"/>
      <c r="C418" s="162"/>
      <c r="D418" s="1"/>
      <c r="E418" s="162"/>
      <c r="F418" s="11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4"/>
      <c r="V418" s="164"/>
    </row>
    <row r="419" ht="12.75" customHeight="1">
      <c r="A419" s="162"/>
      <c r="B419" s="162"/>
      <c r="C419" s="162"/>
      <c r="D419" s="1"/>
      <c r="E419" s="162"/>
      <c r="F419" s="11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4"/>
      <c r="V419" s="164"/>
    </row>
    <row r="420" ht="12.75" customHeight="1">
      <c r="A420" s="162"/>
      <c r="B420" s="162"/>
      <c r="C420" s="162"/>
      <c r="D420" s="1"/>
      <c r="E420" s="162"/>
      <c r="F420" s="11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4"/>
      <c r="V420" s="164"/>
    </row>
    <row r="421" ht="12.75" customHeight="1">
      <c r="A421" s="162"/>
      <c r="B421" s="162"/>
      <c r="C421" s="162"/>
      <c r="D421" s="1"/>
      <c r="E421" s="162"/>
      <c r="F421" s="11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4"/>
      <c r="V421" s="164"/>
    </row>
    <row r="422" ht="12.75" customHeight="1">
      <c r="A422" s="162"/>
      <c r="B422" s="162"/>
      <c r="C422" s="162"/>
      <c r="D422" s="1"/>
      <c r="E422" s="162"/>
      <c r="F422" s="11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4"/>
      <c r="V422" s="164"/>
    </row>
    <row r="423" ht="12.75" customHeight="1">
      <c r="A423" s="162"/>
      <c r="B423" s="162"/>
      <c r="C423" s="162"/>
      <c r="D423" s="1"/>
      <c r="E423" s="162"/>
      <c r="F423" s="11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4"/>
      <c r="V423" s="164"/>
    </row>
    <row r="424" ht="12.75" customHeight="1">
      <c r="A424" s="162"/>
      <c r="B424" s="162"/>
      <c r="C424" s="162"/>
      <c r="D424" s="1"/>
      <c r="E424" s="162"/>
      <c r="F424" s="11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4"/>
      <c r="V424" s="164"/>
    </row>
    <row r="425" ht="12.75" customHeight="1">
      <c r="A425" s="162"/>
      <c r="B425" s="162"/>
      <c r="C425" s="162"/>
      <c r="D425" s="1"/>
      <c r="E425" s="162"/>
      <c r="F425" s="11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4"/>
      <c r="V425" s="164"/>
    </row>
    <row r="426" ht="12.75" customHeight="1">
      <c r="A426" s="162"/>
      <c r="B426" s="162"/>
      <c r="C426" s="162"/>
      <c r="D426" s="1"/>
      <c r="E426" s="162"/>
      <c r="F426" s="11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4"/>
      <c r="V426" s="164"/>
    </row>
    <row r="427" ht="12.75" customHeight="1">
      <c r="A427" s="162"/>
      <c r="B427" s="162"/>
      <c r="C427" s="162"/>
      <c r="D427" s="1"/>
      <c r="E427" s="162"/>
      <c r="F427" s="11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4"/>
      <c r="V427" s="164"/>
    </row>
    <row r="428" ht="12.75" customHeight="1">
      <c r="A428" s="162"/>
      <c r="B428" s="162"/>
      <c r="C428" s="162"/>
      <c r="D428" s="1"/>
      <c r="E428" s="162"/>
      <c r="F428" s="11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4"/>
      <c r="V428" s="164"/>
    </row>
    <row r="429" ht="12.75" customHeight="1">
      <c r="A429" s="162"/>
      <c r="B429" s="162"/>
      <c r="C429" s="162"/>
      <c r="D429" s="1"/>
      <c r="E429" s="162"/>
      <c r="F429" s="11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4"/>
      <c r="V429" s="164"/>
    </row>
    <row r="430" ht="12.75" customHeight="1">
      <c r="A430" s="162"/>
      <c r="B430" s="162"/>
      <c r="C430" s="162"/>
      <c r="D430" s="1"/>
      <c r="E430" s="162"/>
      <c r="F430" s="11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4"/>
      <c r="V430" s="164"/>
    </row>
    <row r="431" ht="12.75" customHeight="1">
      <c r="A431" s="162"/>
      <c r="B431" s="162"/>
      <c r="C431" s="162"/>
      <c r="D431" s="1"/>
      <c r="E431" s="162"/>
      <c r="F431" s="11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4"/>
      <c r="V431" s="164"/>
    </row>
    <row r="432" ht="12.75" customHeight="1">
      <c r="A432" s="162"/>
      <c r="B432" s="162"/>
      <c r="C432" s="162"/>
      <c r="D432" s="1"/>
      <c r="E432" s="162"/>
      <c r="F432" s="11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4"/>
      <c r="V432" s="164"/>
    </row>
    <row r="433" ht="12.75" customHeight="1">
      <c r="A433" s="162"/>
      <c r="B433" s="162"/>
      <c r="C433" s="162"/>
      <c r="D433" s="1"/>
      <c r="E433" s="162"/>
      <c r="F433" s="11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4"/>
      <c r="V433" s="164"/>
    </row>
    <row r="434" ht="12.75" customHeight="1">
      <c r="A434" s="162"/>
      <c r="B434" s="162"/>
      <c r="C434" s="162"/>
      <c r="D434" s="1"/>
      <c r="E434" s="162"/>
      <c r="F434" s="11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4"/>
      <c r="V434" s="164"/>
    </row>
    <row r="435" ht="12.75" customHeight="1">
      <c r="A435" s="162"/>
      <c r="B435" s="162"/>
      <c r="C435" s="162"/>
      <c r="D435" s="1"/>
      <c r="E435" s="162"/>
      <c r="F435" s="11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4"/>
      <c r="V435" s="164"/>
    </row>
    <row r="436" ht="12.75" customHeight="1">
      <c r="A436" s="162"/>
      <c r="B436" s="162"/>
      <c r="C436" s="162"/>
      <c r="D436" s="1"/>
      <c r="E436" s="162"/>
      <c r="F436" s="11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4"/>
      <c r="V436" s="164"/>
    </row>
    <row r="437" ht="12.75" customHeight="1">
      <c r="A437" s="162"/>
      <c r="B437" s="162"/>
      <c r="C437" s="162"/>
      <c r="D437" s="1"/>
      <c r="E437" s="162"/>
      <c r="F437" s="11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4"/>
      <c r="V437" s="164"/>
    </row>
    <row r="438" ht="12.75" customHeight="1">
      <c r="A438" s="162"/>
      <c r="B438" s="162"/>
      <c r="C438" s="162"/>
      <c r="D438" s="1"/>
      <c r="E438" s="162"/>
      <c r="F438" s="11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4"/>
      <c r="V438" s="164"/>
    </row>
    <row r="439" ht="12.75" customHeight="1">
      <c r="A439" s="162"/>
      <c r="B439" s="162"/>
      <c r="C439" s="162"/>
      <c r="D439" s="1"/>
      <c r="E439" s="162"/>
      <c r="F439" s="11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4"/>
      <c r="V439" s="164"/>
    </row>
    <row r="440" ht="12.75" customHeight="1">
      <c r="A440" s="162"/>
      <c r="B440" s="162"/>
      <c r="C440" s="162"/>
      <c r="D440" s="1"/>
      <c r="E440" s="162"/>
      <c r="F440" s="11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4"/>
      <c r="V440" s="164"/>
    </row>
    <row r="441" ht="12.75" customHeight="1">
      <c r="A441" s="162"/>
      <c r="B441" s="162"/>
      <c r="C441" s="162"/>
      <c r="D441" s="1"/>
      <c r="E441" s="162"/>
      <c r="F441" s="11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4"/>
      <c r="V441" s="164"/>
    </row>
    <row r="442" ht="12.75" customHeight="1">
      <c r="A442" s="162"/>
      <c r="B442" s="162"/>
      <c r="C442" s="162"/>
      <c r="D442" s="1"/>
      <c r="E442" s="162"/>
      <c r="F442" s="11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4"/>
      <c r="V442" s="164"/>
    </row>
    <row r="443" ht="12.75" customHeight="1">
      <c r="A443" s="162"/>
      <c r="B443" s="162"/>
      <c r="C443" s="162"/>
      <c r="D443" s="1"/>
      <c r="E443" s="162"/>
      <c r="F443" s="11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4"/>
      <c r="V443" s="164"/>
    </row>
    <row r="444" ht="12.75" customHeight="1">
      <c r="A444" s="162"/>
      <c r="B444" s="162"/>
      <c r="C444" s="162"/>
      <c r="D444" s="1"/>
      <c r="E444" s="162"/>
      <c r="F444" s="11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4"/>
      <c r="V444" s="164"/>
    </row>
    <row r="445" ht="12.75" customHeight="1">
      <c r="A445" s="162"/>
      <c r="B445" s="162"/>
      <c r="C445" s="162"/>
      <c r="D445" s="1"/>
      <c r="E445" s="162"/>
      <c r="F445" s="11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4"/>
      <c r="V445" s="164"/>
    </row>
    <row r="446" ht="12.75" customHeight="1">
      <c r="A446" s="162"/>
      <c r="B446" s="162"/>
      <c r="C446" s="162"/>
      <c r="D446" s="1"/>
      <c r="E446" s="162"/>
      <c r="F446" s="11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4"/>
      <c r="V446" s="164"/>
    </row>
    <row r="447" ht="12.75" customHeight="1">
      <c r="A447" s="162"/>
      <c r="B447" s="162"/>
      <c r="C447" s="162"/>
      <c r="D447" s="1"/>
      <c r="E447" s="162"/>
      <c r="F447" s="11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4"/>
      <c r="V447" s="164"/>
    </row>
    <row r="448" ht="12.75" customHeight="1">
      <c r="A448" s="162"/>
      <c r="B448" s="162"/>
      <c r="C448" s="162"/>
      <c r="D448" s="1"/>
      <c r="E448" s="162"/>
      <c r="F448" s="11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4"/>
      <c r="V448" s="164"/>
    </row>
    <row r="449" ht="12.75" customHeight="1">
      <c r="A449" s="162"/>
      <c r="B449" s="162"/>
      <c r="C449" s="162"/>
      <c r="D449" s="1"/>
      <c r="E449" s="162"/>
      <c r="F449" s="11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4"/>
      <c r="V449" s="164"/>
    </row>
    <row r="450" ht="12.75" customHeight="1">
      <c r="A450" s="162"/>
      <c r="B450" s="162"/>
      <c r="C450" s="162"/>
      <c r="D450" s="1"/>
      <c r="E450" s="162"/>
      <c r="F450" s="11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4"/>
      <c r="V450" s="164"/>
    </row>
    <row r="451" ht="12.75" customHeight="1">
      <c r="A451" s="162"/>
      <c r="B451" s="162"/>
      <c r="C451" s="162"/>
      <c r="D451" s="1"/>
      <c r="E451" s="162"/>
      <c r="F451" s="11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4"/>
      <c r="V451" s="164"/>
    </row>
    <row r="452" ht="12.75" customHeight="1">
      <c r="A452" s="162"/>
      <c r="B452" s="162"/>
      <c r="C452" s="162"/>
      <c r="D452" s="1"/>
      <c r="E452" s="162"/>
      <c r="F452" s="11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4"/>
      <c r="V452" s="164"/>
    </row>
    <row r="453" ht="12.75" customHeight="1">
      <c r="A453" s="162"/>
      <c r="B453" s="162"/>
      <c r="C453" s="162"/>
      <c r="D453" s="1"/>
      <c r="E453" s="162"/>
      <c r="F453" s="11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4"/>
      <c r="V453" s="164"/>
    </row>
    <row r="454" ht="12.75" customHeight="1">
      <c r="A454" s="162"/>
      <c r="B454" s="162"/>
      <c r="C454" s="162"/>
      <c r="D454" s="1"/>
      <c r="E454" s="162"/>
      <c r="F454" s="11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4"/>
      <c r="V454" s="164"/>
    </row>
    <row r="455" ht="12.75" customHeight="1">
      <c r="A455" s="162"/>
      <c r="B455" s="162"/>
      <c r="C455" s="162"/>
      <c r="D455" s="1"/>
      <c r="E455" s="162"/>
      <c r="F455" s="11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4"/>
      <c r="V455" s="164"/>
    </row>
    <row r="456" ht="12.75" customHeight="1">
      <c r="A456" s="162"/>
      <c r="B456" s="162"/>
      <c r="C456" s="162"/>
      <c r="D456" s="1"/>
      <c r="E456" s="162"/>
      <c r="F456" s="11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4"/>
      <c r="V456" s="164"/>
    </row>
    <row r="457" ht="12.75" customHeight="1">
      <c r="A457" s="162"/>
      <c r="B457" s="162"/>
      <c r="C457" s="162"/>
      <c r="D457" s="1"/>
      <c r="E457" s="162"/>
      <c r="F457" s="11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4"/>
      <c r="V457" s="164"/>
    </row>
    <row r="458" ht="12.75" customHeight="1">
      <c r="A458" s="162"/>
      <c r="B458" s="162"/>
      <c r="C458" s="162"/>
      <c r="D458" s="1"/>
      <c r="E458" s="162"/>
      <c r="F458" s="11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4"/>
      <c r="V458" s="164"/>
    </row>
    <row r="459" ht="12.75" customHeight="1">
      <c r="A459" s="162"/>
      <c r="B459" s="162"/>
      <c r="C459" s="162"/>
      <c r="D459" s="1"/>
      <c r="E459" s="162"/>
      <c r="F459" s="11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4"/>
      <c r="V459" s="164"/>
    </row>
    <row r="460" ht="12.75" customHeight="1">
      <c r="A460" s="162"/>
      <c r="B460" s="162"/>
      <c r="C460" s="162"/>
      <c r="D460" s="1"/>
      <c r="E460" s="162"/>
      <c r="F460" s="11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4"/>
      <c r="V460" s="164"/>
    </row>
    <row r="461" ht="12.75" customHeight="1">
      <c r="A461" s="162"/>
      <c r="B461" s="162"/>
      <c r="C461" s="162"/>
      <c r="D461" s="1"/>
      <c r="E461" s="162"/>
      <c r="F461" s="11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4"/>
      <c r="V461" s="164"/>
    </row>
    <row r="462" ht="12.75" customHeight="1">
      <c r="A462" s="162"/>
      <c r="B462" s="162"/>
      <c r="C462" s="162"/>
      <c r="D462" s="1"/>
      <c r="E462" s="162"/>
      <c r="F462" s="11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4"/>
      <c r="V462" s="164"/>
    </row>
    <row r="463" ht="12.75" customHeight="1">
      <c r="A463" s="162"/>
      <c r="B463" s="162"/>
      <c r="C463" s="162"/>
      <c r="D463" s="1"/>
      <c r="E463" s="162"/>
      <c r="F463" s="11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4"/>
      <c r="V463" s="164"/>
    </row>
    <row r="464" ht="12.75" customHeight="1">
      <c r="A464" s="162"/>
      <c r="B464" s="162"/>
      <c r="C464" s="162"/>
      <c r="D464" s="1"/>
      <c r="E464" s="162"/>
      <c r="F464" s="11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4"/>
      <c r="V464" s="164"/>
    </row>
    <row r="465" ht="12.75" customHeight="1">
      <c r="A465" s="162"/>
      <c r="B465" s="162"/>
      <c r="C465" s="162"/>
      <c r="D465" s="1"/>
      <c r="E465" s="162"/>
      <c r="F465" s="11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4"/>
      <c r="V465" s="164"/>
    </row>
    <row r="466" ht="12.75" customHeight="1">
      <c r="A466" s="162"/>
      <c r="B466" s="162"/>
      <c r="C466" s="162"/>
      <c r="D466" s="1"/>
      <c r="E466" s="162"/>
      <c r="F466" s="11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4"/>
      <c r="V466" s="164"/>
    </row>
    <row r="467" ht="12.75" customHeight="1">
      <c r="A467" s="162"/>
      <c r="B467" s="162"/>
      <c r="C467" s="162"/>
      <c r="D467" s="1"/>
      <c r="E467" s="162"/>
      <c r="F467" s="11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4"/>
      <c r="V467" s="164"/>
    </row>
    <row r="468" ht="12.75" customHeight="1">
      <c r="A468" s="162"/>
      <c r="B468" s="162"/>
      <c r="C468" s="162"/>
      <c r="D468" s="1"/>
      <c r="E468" s="162"/>
      <c r="F468" s="11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4"/>
      <c r="V468" s="164"/>
    </row>
    <row r="469" ht="12.75" customHeight="1">
      <c r="A469" s="162"/>
      <c r="B469" s="162"/>
      <c r="C469" s="162"/>
      <c r="D469" s="1"/>
      <c r="E469" s="162"/>
      <c r="F469" s="11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4"/>
      <c r="V469" s="164"/>
    </row>
    <row r="470" ht="12.75" customHeight="1">
      <c r="A470" s="162"/>
      <c r="B470" s="162"/>
      <c r="C470" s="162"/>
      <c r="D470" s="1"/>
      <c r="E470" s="162"/>
      <c r="F470" s="11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4"/>
      <c r="V470" s="164"/>
    </row>
    <row r="471" ht="12.75" customHeight="1">
      <c r="A471" s="162"/>
      <c r="B471" s="162"/>
      <c r="C471" s="162"/>
      <c r="D471" s="1"/>
      <c r="E471" s="162"/>
      <c r="F471" s="11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4"/>
      <c r="V471" s="164"/>
    </row>
    <row r="472" ht="12.75" customHeight="1">
      <c r="A472" s="162"/>
      <c r="B472" s="162"/>
      <c r="C472" s="162"/>
      <c r="D472" s="1"/>
      <c r="E472" s="162"/>
      <c r="F472" s="11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4"/>
      <c r="V472" s="164"/>
    </row>
    <row r="473" ht="12.75" customHeight="1">
      <c r="A473" s="162"/>
      <c r="B473" s="162"/>
      <c r="C473" s="162"/>
      <c r="D473" s="1"/>
      <c r="E473" s="162"/>
      <c r="F473" s="11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4"/>
      <c r="V473" s="164"/>
    </row>
    <row r="474" ht="12.75" customHeight="1">
      <c r="A474" s="162"/>
      <c r="B474" s="162"/>
      <c r="C474" s="162"/>
      <c r="D474" s="1"/>
      <c r="E474" s="162"/>
      <c r="F474" s="11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4"/>
      <c r="V474" s="164"/>
    </row>
    <row r="475" ht="12.75" customHeight="1">
      <c r="A475" s="162"/>
      <c r="B475" s="162"/>
      <c r="C475" s="162"/>
      <c r="D475" s="1"/>
      <c r="E475" s="162"/>
      <c r="F475" s="11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4"/>
      <c r="V475" s="164"/>
    </row>
    <row r="476" ht="12.75" customHeight="1">
      <c r="A476" s="162"/>
      <c r="B476" s="162"/>
      <c r="C476" s="162"/>
      <c r="D476" s="1"/>
      <c r="E476" s="162"/>
      <c r="F476" s="11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4"/>
      <c r="V476" s="164"/>
    </row>
    <row r="477" ht="12.75" customHeight="1">
      <c r="A477" s="162"/>
      <c r="B477" s="162"/>
      <c r="C477" s="162"/>
      <c r="D477" s="1"/>
      <c r="E477" s="162"/>
      <c r="F477" s="11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4"/>
      <c r="V477" s="164"/>
    </row>
    <row r="478" ht="12.75" customHeight="1">
      <c r="A478" s="162"/>
      <c r="B478" s="162"/>
      <c r="C478" s="162"/>
      <c r="D478" s="1"/>
      <c r="E478" s="162"/>
      <c r="F478" s="11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4"/>
      <c r="V478" s="164"/>
    </row>
    <row r="479" ht="12.75" customHeight="1">
      <c r="A479" s="162"/>
      <c r="B479" s="162"/>
      <c r="C479" s="162"/>
      <c r="D479" s="1"/>
      <c r="E479" s="162"/>
      <c r="F479" s="11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4"/>
      <c r="V479" s="164"/>
    </row>
    <row r="480" ht="12.75" customHeight="1">
      <c r="A480" s="162"/>
      <c r="B480" s="162"/>
      <c r="C480" s="162"/>
      <c r="D480" s="1"/>
      <c r="E480" s="162"/>
      <c r="F480" s="11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4"/>
      <c r="V480" s="164"/>
    </row>
    <row r="481" ht="12.75" customHeight="1">
      <c r="A481" s="162"/>
      <c r="B481" s="162"/>
      <c r="C481" s="162"/>
      <c r="D481" s="1"/>
      <c r="E481" s="162"/>
      <c r="F481" s="11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4"/>
      <c r="V481" s="164"/>
    </row>
    <row r="482" ht="12.75" customHeight="1">
      <c r="A482" s="162"/>
      <c r="B482" s="162"/>
      <c r="C482" s="162"/>
      <c r="D482" s="1"/>
      <c r="E482" s="162"/>
      <c r="F482" s="11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4"/>
      <c r="V482" s="164"/>
    </row>
    <row r="483" ht="12.75" customHeight="1">
      <c r="A483" s="162"/>
      <c r="B483" s="162"/>
      <c r="C483" s="162"/>
      <c r="D483" s="1"/>
      <c r="E483" s="162"/>
      <c r="F483" s="11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4"/>
      <c r="V483" s="164"/>
    </row>
    <row r="484" ht="12.75" customHeight="1">
      <c r="A484" s="162"/>
      <c r="B484" s="162"/>
      <c r="C484" s="162"/>
      <c r="D484" s="1"/>
      <c r="E484" s="162"/>
      <c r="F484" s="11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4"/>
      <c r="V484" s="164"/>
    </row>
    <row r="485" ht="12.75" customHeight="1">
      <c r="A485" s="162"/>
      <c r="B485" s="162"/>
      <c r="C485" s="162"/>
      <c r="D485" s="1"/>
      <c r="E485" s="162"/>
      <c r="F485" s="11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4"/>
      <c r="V485" s="164"/>
    </row>
    <row r="486" ht="12.75" customHeight="1">
      <c r="A486" s="162"/>
      <c r="B486" s="162"/>
      <c r="C486" s="162"/>
      <c r="D486" s="1"/>
      <c r="E486" s="162"/>
      <c r="F486" s="11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4"/>
      <c r="V486" s="164"/>
    </row>
    <row r="487" ht="12.75" customHeight="1">
      <c r="A487" s="162"/>
      <c r="B487" s="162"/>
      <c r="C487" s="162"/>
      <c r="D487" s="1"/>
      <c r="E487" s="162"/>
      <c r="F487" s="11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4"/>
      <c r="V487" s="164"/>
    </row>
    <row r="488" ht="12.75" customHeight="1">
      <c r="A488" s="162"/>
      <c r="B488" s="162"/>
      <c r="C488" s="162"/>
      <c r="D488" s="1"/>
      <c r="E488" s="162"/>
      <c r="F488" s="11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4"/>
      <c r="V488" s="164"/>
    </row>
    <row r="489" ht="12.75" customHeight="1">
      <c r="A489" s="162"/>
      <c r="B489" s="162"/>
      <c r="C489" s="162"/>
      <c r="D489" s="1"/>
      <c r="E489" s="162"/>
      <c r="F489" s="11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4"/>
      <c r="V489" s="164"/>
    </row>
    <row r="490" ht="12.75" customHeight="1">
      <c r="A490" s="162"/>
      <c r="B490" s="162"/>
      <c r="C490" s="162"/>
      <c r="D490" s="1"/>
      <c r="E490" s="162"/>
      <c r="F490" s="11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4"/>
      <c r="V490" s="164"/>
    </row>
    <row r="491" ht="12.75" customHeight="1">
      <c r="A491" s="162"/>
      <c r="B491" s="162"/>
      <c r="C491" s="162"/>
      <c r="D491" s="1"/>
      <c r="E491" s="162"/>
      <c r="F491" s="11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4"/>
      <c r="V491" s="164"/>
    </row>
    <row r="492" ht="12.75" customHeight="1">
      <c r="A492" s="162"/>
      <c r="B492" s="162"/>
      <c r="C492" s="162"/>
      <c r="D492" s="1"/>
      <c r="E492" s="162"/>
      <c r="F492" s="11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4"/>
      <c r="V492" s="164"/>
    </row>
    <row r="493" ht="12.75" customHeight="1">
      <c r="A493" s="162"/>
      <c r="B493" s="162"/>
      <c r="C493" s="162"/>
      <c r="D493" s="1"/>
      <c r="E493" s="162"/>
      <c r="F493" s="11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4"/>
      <c r="V493" s="164"/>
    </row>
    <row r="494" ht="12.75" customHeight="1">
      <c r="A494" s="162"/>
      <c r="B494" s="162"/>
      <c r="C494" s="162"/>
      <c r="D494" s="1"/>
      <c r="E494" s="162"/>
      <c r="F494" s="11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4"/>
      <c r="V494" s="164"/>
    </row>
    <row r="495" ht="12.75" customHeight="1">
      <c r="A495" s="162"/>
      <c r="B495" s="162"/>
      <c r="C495" s="162"/>
      <c r="D495" s="1"/>
      <c r="E495" s="162"/>
      <c r="F495" s="11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4"/>
      <c r="V495" s="164"/>
    </row>
    <row r="496" ht="12.75" customHeight="1">
      <c r="A496" s="162"/>
      <c r="B496" s="162"/>
      <c r="C496" s="162"/>
      <c r="D496" s="1"/>
      <c r="E496" s="162"/>
      <c r="F496" s="11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4"/>
      <c r="V496" s="164"/>
    </row>
    <row r="497" ht="12.75" customHeight="1">
      <c r="A497" s="162"/>
      <c r="B497" s="162"/>
      <c r="C497" s="162"/>
      <c r="D497" s="1"/>
      <c r="E497" s="162"/>
      <c r="F497" s="11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4"/>
      <c r="V497" s="164"/>
    </row>
    <row r="498" ht="12.75" customHeight="1">
      <c r="A498" s="162"/>
      <c r="B498" s="162"/>
      <c r="C498" s="162"/>
      <c r="D498" s="1"/>
      <c r="E498" s="162"/>
      <c r="F498" s="11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4"/>
      <c r="V498" s="164"/>
    </row>
    <row r="499" ht="12.75" customHeight="1">
      <c r="A499" s="162"/>
      <c r="B499" s="162"/>
      <c r="C499" s="162"/>
      <c r="D499" s="1"/>
      <c r="E499" s="162"/>
      <c r="F499" s="11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4"/>
      <c r="V499" s="164"/>
    </row>
    <row r="500" ht="12.75" customHeight="1">
      <c r="A500" s="162"/>
      <c r="B500" s="162"/>
      <c r="C500" s="162"/>
      <c r="D500" s="1"/>
      <c r="E500" s="162"/>
      <c r="F500" s="11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4"/>
      <c r="V500" s="164"/>
    </row>
    <row r="501" ht="12.75" customHeight="1">
      <c r="A501" s="162"/>
      <c r="B501" s="162"/>
      <c r="C501" s="162"/>
      <c r="D501" s="1"/>
      <c r="E501" s="162"/>
      <c r="F501" s="11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4"/>
      <c r="V501" s="164"/>
    </row>
    <row r="502" ht="12.75" customHeight="1">
      <c r="A502" s="162"/>
      <c r="B502" s="162"/>
      <c r="C502" s="162"/>
      <c r="D502" s="1"/>
      <c r="E502" s="162"/>
      <c r="F502" s="11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4"/>
      <c r="V502" s="164"/>
    </row>
    <row r="503" ht="12.75" customHeight="1">
      <c r="A503" s="162"/>
      <c r="B503" s="162"/>
      <c r="C503" s="162"/>
      <c r="D503" s="1"/>
      <c r="E503" s="162"/>
      <c r="F503" s="11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4"/>
      <c r="V503" s="164"/>
    </row>
    <row r="504" ht="12.75" customHeight="1">
      <c r="A504" s="162"/>
      <c r="B504" s="162"/>
      <c r="C504" s="162"/>
      <c r="D504" s="1"/>
      <c r="E504" s="162"/>
      <c r="F504" s="11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4"/>
      <c r="V504" s="164"/>
    </row>
    <row r="505" ht="12.75" customHeight="1">
      <c r="A505" s="162"/>
      <c r="B505" s="162"/>
      <c r="C505" s="162"/>
      <c r="D505" s="1"/>
      <c r="E505" s="162"/>
      <c r="F505" s="11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4"/>
      <c r="V505" s="164"/>
    </row>
    <row r="506" ht="12.75" customHeight="1">
      <c r="A506" s="162"/>
      <c r="B506" s="162"/>
      <c r="C506" s="162"/>
      <c r="D506" s="1"/>
      <c r="E506" s="162"/>
      <c r="F506" s="11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4"/>
      <c r="V506" s="164"/>
    </row>
    <row r="507" ht="12.75" customHeight="1">
      <c r="A507" s="162"/>
      <c r="B507" s="162"/>
      <c r="C507" s="162"/>
      <c r="D507" s="1"/>
      <c r="E507" s="162"/>
      <c r="F507" s="11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4"/>
      <c r="V507" s="164"/>
    </row>
    <row r="508" ht="12.75" customHeight="1">
      <c r="A508" s="162"/>
      <c r="B508" s="162"/>
      <c r="C508" s="162"/>
      <c r="D508" s="1"/>
      <c r="E508" s="162"/>
      <c r="F508" s="11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4"/>
      <c r="V508" s="164"/>
    </row>
    <row r="509" ht="12.75" customHeight="1">
      <c r="A509" s="162"/>
      <c r="B509" s="162"/>
      <c r="C509" s="162"/>
      <c r="D509" s="1"/>
      <c r="E509" s="162"/>
      <c r="F509" s="11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4"/>
      <c r="V509" s="164"/>
    </row>
    <row r="510" ht="12.75" customHeight="1">
      <c r="A510" s="162"/>
      <c r="B510" s="162"/>
      <c r="C510" s="162"/>
      <c r="D510" s="1"/>
      <c r="E510" s="162"/>
      <c r="F510" s="11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4"/>
      <c r="V510" s="164"/>
    </row>
    <row r="511" ht="12.75" customHeight="1">
      <c r="A511" s="162"/>
      <c r="B511" s="162"/>
      <c r="C511" s="162"/>
      <c r="D511" s="1"/>
      <c r="E511" s="162"/>
      <c r="F511" s="11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4"/>
      <c r="V511" s="164"/>
    </row>
    <row r="512" ht="12.75" customHeight="1">
      <c r="A512" s="162"/>
      <c r="B512" s="162"/>
      <c r="C512" s="162"/>
      <c r="D512" s="1"/>
      <c r="E512" s="162"/>
      <c r="F512" s="11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4"/>
      <c r="V512" s="164"/>
    </row>
    <row r="513" ht="12.75" customHeight="1">
      <c r="A513" s="162"/>
      <c r="B513" s="162"/>
      <c r="C513" s="162"/>
      <c r="D513" s="1"/>
      <c r="E513" s="162"/>
      <c r="F513" s="11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4"/>
      <c r="V513" s="164"/>
    </row>
    <row r="514" ht="12.75" customHeight="1">
      <c r="A514" s="162"/>
      <c r="B514" s="162"/>
      <c r="C514" s="162"/>
      <c r="D514" s="1"/>
      <c r="E514" s="162"/>
      <c r="F514" s="11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4"/>
      <c r="V514" s="164"/>
    </row>
    <row r="515" ht="12.75" customHeight="1">
      <c r="A515" s="162"/>
      <c r="B515" s="162"/>
      <c r="C515" s="162"/>
      <c r="D515" s="1"/>
      <c r="E515" s="162"/>
      <c r="F515" s="11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4"/>
      <c r="V515" s="164"/>
    </row>
    <row r="516" ht="12.75" customHeight="1">
      <c r="A516" s="162"/>
      <c r="B516" s="162"/>
      <c r="C516" s="162"/>
      <c r="D516" s="1"/>
      <c r="E516" s="162"/>
      <c r="F516" s="11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4"/>
      <c r="V516" s="164"/>
    </row>
    <row r="517" ht="12.75" customHeight="1">
      <c r="A517" s="162"/>
      <c r="B517" s="162"/>
      <c r="C517" s="162"/>
      <c r="D517" s="1"/>
      <c r="E517" s="162"/>
      <c r="F517" s="11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4"/>
      <c r="V517" s="164"/>
    </row>
    <row r="518" ht="12.75" customHeight="1">
      <c r="A518" s="162"/>
      <c r="B518" s="162"/>
      <c r="C518" s="162"/>
      <c r="D518" s="1"/>
      <c r="E518" s="162"/>
      <c r="F518" s="11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4"/>
      <c r="V518" s="164"/>
    </row>
    <row r="519" ht="12.75" customHeight="1">
      <c r="A519" s="162"/>
      <c r="B519" s="162"/>
      <c r="C519" s="162"/>
      <c r="D519" s="1"/>
      <c r="E519" s="162"/>
      <c r="F519" s="11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4"/>
      <c r="V519" s="164"/>
    </row>
    <row r="520" ht="12.75" customHeight="1">
      <c r="A520" s="162"/>
      <c r="B520" s="162"/>
      <c r="C520" s="162"/>
      <c r="D520" s="1"/>
      <c r="E520" s="162"/>
      <c r="F520" s="11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4"/>
      <c r="V520" s="164"/>
    </row>
    <row r="521" ht="12.75" customHeight="1">
      <c r="A521" s="162"/>
      <c r="B521" s="162"/>
      <c r="C521" s="162"/>
      <c r="D521" s="1"/>
      <c r="E521" s="162"/>
      <c r="F521" s="11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4"/>
      <c r="V521" s="164"/>
    </row>
    <row r="522" ht="12.75" customHeight="1">
      <c r="A522" s="162"/>
      <c r="B522" s="162"/>
      <c r="C522" s="162"/>
      <c r="D522" s="1"/>
      <c r="E522" s="162"/>
      <c r="F522" s="11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4"/>
      <c r="V522" s="164"/>
    </row>
    <row r="523" ht="12.75" customHeight="1">
      <c r="A523" s="162"/>
      <c r="B523" s="162"/>
      <c r="C523" s="162"/>
      <c r="D523" s="1"/>
      <c r="E523" s="162"/>
      <c r="F523" s="11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4"/>
      <c r="V523" s="164"/>
    </row>
    <row r="524" ht="12.75" customHeight="1">
      <c r="A524" s="162"/>
      <c r="B524" s="162"/>
      <c r="C524" s="162"/>
      <c r="D524" s="1"/>
      <c r="E524" s="162"/>
      <c r="F524" s="11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4"/>
      <c r="V524" s="164"/>
    </row>
    <row r="525" ht="12.75" customHeight="1">
      <c r="A525" s="162"/>
      <c r="B525" s="162"/>
      <c r="C525" s="162"/>
      <c r="D525" s="1"/>
      <c r="E525" s="162"/>
      <c r="F525" s="11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4"/>
      <c r="V525" s="164"/>
    </row>
    <row r="526" ht="12.75" customHeight="1">
      <c r="A526" s="162"/>
      <c r="B526" s="162"/>
      <c r="C526" s="162"/>
      <c r="D526" s="1"/>
      <c r="E526" s="162"/>
      <c r="F526" s="11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4"/>
      <c r="V526" s="164"/>
    </row>
    <row r="527" ht="12.75" customHeight="1">
      <c r="A527" s="162"/>
      <c r="B527" s="162"/>
      <c r="C527" s="162"/>
      <c r="D527" s="1"/>
      <c r="E527" s="162"/>
      <c r="F527" s="11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4"/>
      <c r="V527" s="164"/>
    </row>
    <row r="528" ht="12.75" customHeight="1">
      <c r="A528" s="162"/>
      <c r="B528" s="162"/>
      <c r="C528" s="162"/>
      <c r="D528" s="1"/>
      <c r="E528" s="162"/>
      <c r="F528" s="11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4"/>
      <c r="V528" s="164"/>
    </row>
    <row r="529" ht="12.75" customHeight="1">
      <c r="A529" s="162"/>
      <c r="B529" s="162"/>
      <c r="C529" s="162"/>
      <c r="D529" s="1"/>
      <c r="E529" s="162"/>
      <c r="F529" s="11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4"/>
      <c r="V529" s="164"/>
    </row>
    <row r="530" ht="12.75" customHeight="1">
      <c r="A530" s="162"/>
      <c r="B530" s="162"/>
      <c r="C530" s="162"/>
      <c r="D530" s="1"/>
      <c r="E530" s="162"/>
      <c r="F530" s="11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4"/>
      <c r="V530" s="164"/>
    </row>
    <row r="531" ht="12.75" customHeight="1">
      <c r="A531" s="162"/>
      <c r="B531" s="162"/>
      <c r="C531" s="162"/>
      <c r="D531" s="1"/>
      <c r="E531" s="162"/>
      <c r="F531" s="11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4"/>
      <c r="V531" s="164"/>
    </row>
    <row r="532" ht="12.75" customHeight="1">
      <c r="A532" s="162"/>
      <c r="B532" s="162"/>
      <c r="C532" s="162"/>
      <c r="D532" s="1"/>
      <c r="E532" s="162"/>
      <c r="F532" s="11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4"/>
      <c r="V532" s="164"/>
    </row>
    <row r="533" ht="12.75" customHeight="1">
      <c r="A533" s="162"/>
      <c r="B533" s="162"/>
      <c r="C533" s="162"/>
      <c r="D533" s="1"/>
      <c r="E533" s="162"/>
      <c r="F533" s="11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4"/>
      <c r="V533" s="164"/>
    </row>
    <row r="534" ht="12.75" customHeight="1">
      <c r="A534" s="162"/>
      <c r="B534" s="162"/>
      <c r="C534" s="162"/>
      <c r="D534" s="1"/>
      <c r="E534" s="162"/>
      <c r="F534" s="11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4"/>
      <c r="V534" s="164"/>
    </row>
    <row r="535" ht="12.75" customHeight="1">
      <c r="A535" s="162"/>
      <c r="B535" s="162"/>
      <c r="C535" s="162"/>
      <c r="D535" s="1"/>
      <c r="E535" s="162"/>
      <c r="F535" s="11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4"/>
      <c r="V535" s="164"/>
    </row>
    <row r="536" ht="12.75" customHeight="1">
      <c r="A536" s="162"/>
      <c r="B536" s="162"/>
      <c r="C536" s="162"/>
      <c r="D536" s="1"/>
      <c r="E536" s="162"/>
      <c r="F536" s="11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4"/>
      <c r="V536" s="164"/>
    </row>
    <row r="537" ht="12.75" customHeight="1">
      <c r="A537" s="162"/>
      <c r="B537" s="162"/>
      <c r="C537" s="162"/>
      <c r="D537" s="1"/>
      <c r="E537" s="162"/>
      <c r="F537" s="11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4"/>
      <c r="V537" s="164"/>
    </row>
    <row r="538" ht="12.75" customHeight="1">
      <c r="A538" s="162"/>
      <c r="B538" s="162"/>
      <c r="C538" s="162"/>
      <c r="D538" s="1"/>
      <c r="E538" s="162"/>
      <c r="F538" s="11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4"/>
      <c r="V538" s="164"/>
    </row>
    <row r="539" ht="12.75" customHeight="1">
      <c r="A539" s="162"/>
      <c r="B539" s="162"/>
      <c r="C539" s="162"/>
      <c r="D539" s="1"/>
      <c r="E539" s="162"/>
      <c r="F539" s="11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4"/>
      <c r="V539" s="164"/>
    </row>
    <row r="540" ht="12.75" customHeight="1">
      <c r="A540" s="162"/>
      <c r="B540" s="162"/>
      <c r="C540" s="162"/>
      <c r="D540" s="1"/>
      <c r="E540" s="162"/>
      <c r="F540" s="11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4"/>
      <c r="V540" s="164"/>
    </row>
    <row r="541" ht="12.75" customHeight="1">
      <c r="A541" s="162"/>
      <c r="B541" s="162"/>
      <c r="C541" s="162"/>
      <c r="D541" s="1"/>
      <c r="E541" s="162"/>
      <c r="F541" s="11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4"/>
      <c r="V541" s="164"/>
    </row>
    <row r="542" ht="12.75" customHeight="1">
      <c r="A542" s="162"/>
      <c r="B542" s="162"/>
      <c r="C542" s="162"/>
      <c r="D542" s="1"/>
      <c r="E542" s="162"/>
      <c r="F542" s="11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4"/>
      <c r="V542" s="164"/>
    </row>
    <row r="543" ht="12.75" customHeight="1">
      <c r="A543" s="162"/>
      <c r="B543" s="162"/>
      <c r="C543" s="162"/>
      <c r="D543" s="1"/>
      <c r="E543" s="162"/>
      <c r="F543" s="11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4"/>
      <c r="V543" s="164"/>
    </row>
    <row r="544" ht="12.75" customHeight="1">
      <c r="A544" s="162"/>
      <c r="B544" s="162"/>
      <c r="C544" s="162"/>
      <c r="D544" s="1"/>
      <c r="E544" s="162"/>
      <c r="F544" s="11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4"/>
      <c r="V544" s="164"/>
    </row>
    <row r="545" ht="12.75" customHeight="1">
      <c r="A545" s="162"/>
      <c r="B545" s="162"/>
      <c r="C545" s="162"/>
      <c r="D545" s="1"/>
      <c r="E545" s="162"/>
      <c r="F545" s="11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4"/>
      <c r="V545" s="164"/>
    </row>
    <row r="546" ht="12.75" customHeight="1">
      <c r="A546" s="162"/>
      <c r="B546" s="162"/>
      <c r="C546" s="162"/>
      <c r="D546" s="1"/>
      <c r="E546" s="162"/>
      <c r="F546" s="11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4"/>
      <c r="V546" s="164"/>
    </row>
    <row r="547" ht="12.75" customHeight="1">
      <c r="A547" s="162"/>
      <c r="B547" s="162"/>
      <c r="C547" s="162"/>
      <c r="D547" s="1"/>
      <c r="E547" s="162"/>
      <c r="F547" s="11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4"/>
      <c r="V547" s="164"/>
    </row>
    <row r="548" ht="12.75" customHeight="1">
      <c r="A548" s="162"/>
      <c r="B548" s="162"/>
      <c r="C548" s="162"/>
      <c r="D548" s="1"/>
      <c r="E548" s="162"/>
      <c r="F548" s="11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4"/>
      <c r="V548" s="164"/>
    </row>
    <row r="549" ht="12.75" customHeight="1">
      <c r="A549" s="162"/>
      <c r="B549" s="162"/>
      <c r="C549" s="162"/>
      <c r="D549" s="1"/>
      <c r="E549" s="162"/>
      <c r="F549" s="11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4"/>
      <c r="V549" s="164"/>
    </row>
    <row r="550" ht="12.75" customHeight="1">
      <c r="A550" s="162"/>
      <c r="B550" s="162"/>
      <c r="C550" s="162"/>
      <c r="D550" s="1"/>
      <c r="E550" s="162"/>
      <c r="F550" s="11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4"/>
      <c r="V550" s="164"/>
    </row>
    <row r="551" ht="12.75" customHeight="1">
      <c r="A551" s="162"/>
      <c r="B551" s="162"/>
      <c r="C551" s="162"/>
      <c r="D551" s="1"/>
      <c r="E551" s="162"/>
      <c r="F551" s="11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4"/>
      <c r="V551" s="164"/>
    </row>
    <row r="552" ht="12.75" customHeight="1">
      <c r="A552" s="162"/>
      <c r="B552" s="162"/>
      <c r="C552" s="162"/>
      <c r="D552" s="1"/>
      <c r="E552" s="162"/>
      <c r="F552" s="11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4"/>
      <c r="V552" s="164"/>
    </row>
    <row r="553" ht="12.75" customHeight="1">
      <c r="A553" s="162"/>
      <c r="B553" s="162"/>
      <c r="C553" s="162"/>
      <c r="D553" s="1"/>
      <c r="E553" s="162"/>
      <c r="F553" s="11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4"/>
      <c r="V553" s="164"/>
    </row>
    <row r="554" ht="12.75" customHeight="1">
      <c r="A554" s="162"/>
      <c r="B554" s="162"/>
      <c r="C554" s="162"/>
      <c r="D554" s="1"/>
      <c r="E554" s="162"/>
      <c r="F554" s="11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4"/>
      <c r="V554" s="164"/>
    </row>
    <row r="555" ht="12.75" customHeight="1">
      <c r="A555" s="162"/>
      <c r="B555" s="162"/>
      <c r="C555" s="162"/>
      <c r="D555" s="1"/>
      <c r="E555" s="162"/>
      <c r="F555" s="11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4"/>
      <c r="V555" s="164"/>
    </row>
    <row r="556" ht="12.75" customHeight="1">
      <c r="A556" s="162"/>
      <c r="B556" s="162"/>
      <c r="C556" s="162"/>
      <c r="D556" s="1"/>
      <c r="E556" s="162"/>
      <c r="F556" s="11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4"/>
      <c r="V556" s="164"/>
    </row>
    <row r="557" ht="12.75" customHeight="1">
      <c r="A557" s="162"/>
      <c r="B557" s="162"/>
      <c r="C557" s="162"/>
      <c r="D557" s="1"/>
      <c r="E557" s="162"/>
      <c r="F557" s="11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4"/>
      <c r="V557" s="164"/>
    </row>
    <row r="558" ht="12.75" customHeight="1">
      <c r="A558" s="162"/>
      <c r="B558" s="162"/>
      <c r="C558" s="162"/>
      <c r="D558" s="1"/>
      <c r="E558" s="162"/>
      <c r="F558" s="11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2"/>
      <c r="B559" s="162"/>
      <c r="C559" s="162"/>
      <c r="D559" s="1"/>
      <c r="E559" s="162"/>
      <c r="F559" s="11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2"/>
      <c r="B560" s="162"/>
      <c r="C560" s="162"/>
      <c r="D560" s="1"/>
      <c r="E560" s="162"/>
      <c r="F560" s="11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2"/>
      <c r="B561" s="162"/>
      <c r="C561" s="162"/>
      <c r="D561" s="1"/>
      <c r="E561" s="162"/>
      <c r="F561" s="11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2"/>
      <c r="B562" s="162"/>
      <c r="C562" s="162"/>
      <c r="D562" s="1"/>
      <c r="E562" s="162"/>
      <c r="F562" s="11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06"/>
      <c r="B563" s="106"/>
      <c r="C563" s="106"/>
      <c r="D563" s="101"/>
      <c r="E563" s="106"/>
      <c r="F563" s="10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9"/>
      <c r="V563" s="109"/>
    </row>
    <row r="564" ht="12.75" customHeight="1">
      <c r="A564" s="106"/>
      <c r="B564" s="106"/>
      <c r="C564" s="106"/>
      <c r="D564" s="101"/>
      <c r="E564" s="106"/>
      <c r="F564" s="10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9"/>
      <c r="V564" s="109"/>
    </row>
    <row r="565" ht="12.75" customHeight="1">
      <c r="A565" s="106"/>
      <c r="B565" s="106"/>
      <c r="C565" s="106"/>
      <c r="D565" s="101"/>
      <c r="E565" s="106"/>
      <c r="F565" s="10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9"/>
      <c r="V565" s="109"/>
    </row>
    <row r="566" ht="12.75" customHeight="1">
      <c r="A566" s="106"/>
      <c r="B566" s="106"/>
      <c r="C566" s="106"/>
      <c r="D566" s="101"/>
      <c r="E566" s="106"/>
      <c r="F566" s="10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9"/>
      <c r="V566" s="109"/>
    </row>
    <row r="567" ht="12.75" customHeight="1">
      <c r="A567" s="106"/>
      <c r="B567" s="106"/>
      <c r="C567" s="106"/>
      <c r="D567" s="101"/>
      <c r="E567" s="106"/>
      <c r="F567" s="10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9"/>
      <c r="V567" s="109"/>
    </row>
    <row r="568" ht="12.75" customHeight="1">
      <c r="A568" s="106"/>
      <c r="B568" s="106"/>
      <c r="C568" s="106"/>
      <c r="D568" s="101"/>
      <c r="E568" s="106"/>
      <c r="F568" s="10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9"/>
      <c r="V568" s="109"/>
    </row>
    <row r="569" ht="12.75" customHeight="1">
      <c r="A569" s="106"/>
      <c r="B569" s="106"/>
      <c r="C569" s="106"/>
      <c r="D569" s="101"/>
      <c r="E569" s="106"/>
      <c r="F569" s="10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9"/>
      <c r="V569" s="109"/>
    </row>
    <row r="570" ht="12.75" customHeight="1">
      <c r="A570" s="106"/>
      <c r="B570" s="106"/>
      <c r="C570" s="106"/>
      <c r="D570" s="101"/>
      <c r="E570" s="106"/>
      <c r="F570" s="10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9"/>
      <c r="V570" s="109"/>
    </row>
    <row r="571" ht="12.75" customHeight="1">
      <c r="A571" s="106"/>
      <c r="B571" s="106"/>
      <c r="C571" s="106"/>
      <c r="D571" s="101"/>
      <c r="E571" s="106"/>
      <c r="F571" s="10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9"/>
      <c r="V571" s="109"/>
    </row>
    <row r="572" ht="12.75" customHeight="1">
      <c r="A572" s="106"/>
      <c r="B572" s="106"/>
      <c r="C572" s="106"/>
      <c r="D572" s="101"/>
      <c r="E572" s="106"/>
      <c r="F572" s="10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9"/>
      <c r="V572" s="109"/>
    </row>
    <row r="573" ht="12.75" customHeight="1">
      <c r="A573" s="106"/>
      <c r="B573" s="106"/>
      <c r="C573" s="106"/>
      <c r="D573" s="101"/>
      <c r="E573" s="106"/>
      <c r="F573" s="10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9"/>
      <c r="V573" s="109"/>
    </row>
    <row r="574" ht="12.75" customHeight="1">
      <c r="A574" s="106"/>
      <c r="B574" s="106"/>
      <c r="C574" s="106"/>
      <c r="D574" s="101"/>
      <c r="E574" s="106"/>
      <c r="F574" s="10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9"/>
      <c r="V574" s="109"/>
    </row>
    <row r="575" ht="12.75" customHeight="1">
      <c r="A575" s="106"/>
      <c r="B575" s="106"/>
      <c r="C575" s="106"/>
      <c r="D575" s="101"/>
      <c r="E575" s="106"/>
      <c r="F575" s="10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9"/>
      <c r="V575" s="109"/>
    </row>
    <row r="576" ht="12.75" customHeight="1">
      <c r="A576" s="106"/>
      <c r="B576" s="106"/>
      <c r="C576" s="106"/>
      <c r="D576" s="101"/>
      <c r="E576" s="106"/>
      <c r="F576" s="10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9"/>
      <c r="V576" s="109"/>
    </row>
    <row r="577" ht="12.75" customHeight="1">
      <c r="A577" s="106"/>
      <c r="B577" s="106"/>
      <c r="C577" s="106"/>
      <c r="D577" s="101"/>
      <c r="E577" s="106"/>
      <c r="F577" s="10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9"/>
      <c r="V577" s="109"/>
    </row>
    <row r="578" ht="12.75" customHeight="1">
      <c r="A578" s="106"/>
      <c r="B578" s="106"/>
      <c r="C578" s="106"/>
      <c r="D578" s="101"/>
      <c r="E578" s="106"/>
      <c r="F578" s="10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9"/>
      <c r="V578" s="109"/>
    </row>
    <row r="579" ht="12.75" customHeight="1">
      <c r="A579" s="106"/>
      <c r="B579" s="106"/>
      <c r="C579" s="106"/>
      <c r="D579" s="101"/>
      <c r="E579" s="106"/>
      <c r="F579" s="10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9"/>
      <c r="V579" s="109"/>
    </row>
    <row r="580" ht="12.75" customHeight="1">
      <c r="A580" s="106"/>
      <c r="B580" s="106"/>
      <c r="C580" s="106"/>
      <c r="D580" s="101"/>
      <c r="E580" s="106"/>
      <c r="F580" s="10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9"/>
      <c r="V580" s="109"/>
    </row>
    <row r="581" ht="12.75" customHeight="1">
      <c r="A581" s="106"/>
      <c r="B581" s="106"/>
      <c r="C581" s="106"/>
      <c r="D581" s="101"/>
      <c r="E581" s="106"/>
      <c r="F581" s="10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9"/>
      <c r="V581" s="109"/>
    </row>
    <row r="582" ht="12.75" customHeight="1">
      <c r="A582" s="106"/>
      <c r="B582" s="106"/>
      <c r="C582" s="106"/>
      <c r="D582" s="101"/>
      <c r="E582" s="106"/>
      <c r="F582" s="10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9"/>
      <c r="V582" s="109"/>
    </row>
    <row r="583" ht="12.75" customHeight="1">
      <c r="A583" s="106"/>
      <c r="B583" s="106"/>
      <c r="C583" s="106"/>
      <c r="D583" s="101"/>
      <c r="E583" s="106"/>
      <c r="F583" s="10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9"/>
      <c r="V583" s="109"/>
    </row>
    <row r="584" ht="12.75" customHeight="1">
      <c r="A584" s="106"/>
      <c r="B584" s="106"/>
      <c r="C584" s="106"/>
      <c r="D584" s="101"/>
      <c r="E584" s="106"/>
      <c r="F584" s="10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9"/>
      <c r="V584" s="109"/>
    </row>
    <row r="585" ht="12.75" customHeight="1">
      <c r="A585" s="106"/>
      <c r="B585" s="106"/>
      <c r="C585" s="106"/>
      <c r="D585" s="101"/>
      <c r="E585" s="106"/>
      <c r="F585" s="10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9"/>
      <c r="V585" s="109"/>
    </row>
    <row r="586" ht="12.75" customHeight="1">
      <c r="A586" s="106"/>
      <c r="B586" s="106"/>
      <c r="C586" s="106"/>
      <c r="D586" s="101"/>
      <c r="E586" s="106"/>
      <c r="F586" s="10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9"/>
      <c r="V586" s="109"/>
    </row>
    <row r="587" ht="12.75" customHeight="1">
      <c r="A587" s="106"/>
      <c r="B587" s="106"/>
      <c r="C587" s="106"/>
      <c r="D587" s="101"/>
      <c r="E587" s="106"/>
      <c r="F587" s="10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9"/>
      <c r="V587" s="109"/>
    </row>
    <row r="588" ht="12.75" customHeight="1">
      <c r="A588" s="106"/>
      <c r="B588" s="106"/>
      <c r="C588" s="106"/>
      <c r="D588" s="101"/>
      <c r="E588" s="106"/>
      <c r="F588" s="10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9"/>
      <c r="V588" s="109"/>
    </row>
    <row r="589" ht="12.75" customHeight="1">
      <c r="A589" s="106"/>
      <c r="B589" s="106"/>
      <c r="C589" s="106"/>
      <c r="D589" s="101"/>
      <c r="E589" s="106"/>
      <c r="F589" s="10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9"/>
      <c r="V589" s="109"/>
    </row>
    <row r="590" ht="12.75" customHeight="1">
      <c r="A590" s="106"/>
      <c r="B590" s="106"/>
      <c r="C590" s="106"/>
      <c r="D590" s="101"/>
      <c r="E590" s="106"/>
      <c r="F590" s="10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9"/>
      <c r="V590" s="109"/>
    </row>
    <row r="591" ht="12.75" customHeight="1">
      <c r="A591" s="106"/>
      <c r="B591" s="106"/>
      <c r="C591" s="106"/>
      <c r="D591" s="101"/>
      <c r="E591" s="106"/>
      <c r="F591" s="10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9"/>
      <c r="V591" s="109"/>
    </row>
    <row r="592" ht="12.75" customHeight="1">
      <c r="A592" s="106"/>
      <c r="B592" s="106"/>
      <c r="C592" s="106"/>
      <c r="D592" s="101"/>
      <c r="E592" s="106"/>
      <c r="F592" s="10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9"/>
      <c r="V592" s="109"/>
    </row>
    <row r="593" ht="12.75" customHeight="1">
      <c r="A593" s="106"/>
      <c r="B593" s="106"/>
      <c r="C593" s="106"/>
      <c r="D593" s="101"/>
      <c r="E593" s="106"/>
      <c r="F593" s="10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9"/>
      <c r="V593" s="109"/>
    </row>
    <row r="594" ht="12.75" customHeight="1">
      <c r="A594" s="106"/>
      <c r="B594" s="106"/>
      <c r="C594" s="106"/>
      <c r="D594" s="101"/>
      <c r="E594" s="106"/>
      <c r="F594" s="10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9"/>
      <c r="V594" s="109"/>
    </row>
    <row r="595" ht="12.75" customHeight="1">
      <c r="A595" s="106"/>
      <c r="B595" s="106"/>
      <c r="C595" s="106"/>
      <c r="D595" s="101"/>
      <c r="E595" s="106"/>
      <c r="F595" s="10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9"/>
      <c r="V595" s="109"/>
    </row>
    <row r="596" ht="12.75" customHeight="1">
      <c r="A596" s="106"/>
      <c r="B596" s="106"/>
      <c r="C596" s="106"/>
      <c r="D596" s="101"/>
      <c r="E596" s="106"/>
      <c r="F596" s="10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9"/>
      <c r="V596" s="109"/>
    </row>
    <row r="597" ht="12.75" customHeight="1">
      <c r="A597" s="106"/>
      <c r="B597" s="106"/>
      <c r="C597" s="106"/>
      <c r="D597" s="101"/>
      <c r="E597" s="106"/>
      <c r="F597" s="10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9"/>
      <c r="V597" s="109"/>
    </row>
    <row r="598" ht="12.75" customHeight="1">
      <c r="A598" s="106"/>
      <c r="B598" s="106"/>
      <c r="C598" s="106"/>
      <c r="D598" s="101"/>
      <c r="E598" s="106"/>
      <c r="F598" s="10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9"/>
      <c r="V598" s="109"/>
    </row>
    <row r="599" ht="12.75" customHeight="1">
      <c r="A599" s="106"/>
      <c r="B599" s="106"/>
      <c r="C599" s="106"/>
      <c r="D599" s="101"/>
      <c r="E599" s="106"/>
      <c r="F599" s="10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9"/>
      <c r="V599" s="109"/>
    </row>
    <row r="600" ht="12.75" customHeight="1">
      <c r="A600" s="106"/>
      <c r="B600" s="106"/>
      <c r="C600" s="106"/>
      <c r="D600" s="101"/>
      <c r="E600" s="106"/>
      <c r="F600" s="10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9"/>
      <c r="V600" s="109"/>
    </row>
    <row r="601" ht="12.75" customHeight="1">
      <c r="A601" s="106"/>
      <c r="B601" s="106"/>
      <c r="C601" s="106"/>
      <c r="D601" s="101"/>
      <c r="E601" s="106"/>
      <c r="F601" s="10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9"/>
      <c r="V601" s="109"/>
    </row>
    <row r="602" ht="12.75" customHeight="1">
      <c r="A602" s="106"/>
      <c r="B602" s="106"/>
      <c r="C602" s="106"/>
      <c r="D602" s="101"/>
      <c r="E602" s="106"/>
      <c r="F602" s="10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9"/>
      <c r="V602" s="109"/>
    </row>
    <row r="603" ht="12.75" customHeight="1">
      <c r="A603" s="106"/>
      <c r="B603" s="106"/>
      <c r="C603" s="106"/>
      <c r="D603" s="101"/>
      <c r="E603" s="106"/>
      <c r="F603" s="10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9"/>
      <c r="V603" s="109"/>
    </row>
    <row r="604" ht="12.75" customHeight="1">
      <c r="A604" s="106"/>
      <c r="B604" s="106"/>
      <c r="C604" s="106"/>
      <c r="D604" s="101"/>
      <c r="E604" s="106"/>
      <c r="F604" s="10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9"/>
      <c r="V604" s="109"/>
    </row>
    <row r="605" ht="12.75" customHeight="1">
      <c r="A605" s="106"/>
      <c r="B605" s="106"/>
      <c r="C605" s="106"/>
      <c r="D605" s="101"/>
      <c r="E605" s="106"/>
      <c r="F605" s="10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9"/>
      <c r="V605" s="109"/>
    </row>
    <row r="606" ht="12.75" customHeight="1">
      <c r="A606" s="106"/>
      <c r="B606" s="106"/>
      <c r="C606" s="106"/>
      <c r="D606" s="101"/>
      <c r="E606" s="106"/>
      <c r="F606" s="10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9"/>
      <c r="V606" s="109"/>
    </row>
    <row r="607" ht="12.75" customHeight="1">
      <c r="A607" s="106"/>
      <c r="B607" s="106"/>
      <c r="C607" s="106"/>
      <c r="D607" s="101"/>
      <c r="E607" s="106"/>
      <c r="F607" s="10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9"/>
      <c r="V607" s="109"/>
    </row>
    <row r="608" ht="12.75" customHeight="1">
      <c r="A608" s="106"/>
      <c r="B608" s="106"/>
      <c r="C608" s="106"/>
      <c r="D608" s="101"/>
      <c r="E608" s="106"/>
      <c r="F608" s="10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9"/>
      <c r="V608" s="109"/>
    </row>
    <row r="609" ht="12.75" customHeight="1">
      <c r="A609" s="106"/>
      <c r="B609" s="106"/>
      <c r="C609" s="106"/>
      <c r="D609" s="101"/>
      <c r="E609" s="106"/>
      <c r="F609" s="10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9"/>
      <c r="V609" s="109"/>
    </row>
    <row r="610" ht="12.75" customHeight="1">
      <c r="A610" s="106"/>
      <c r="B610" s="106"/>
      <c r="C610" s="106"/>
      <c r="D610" s="101"/>
      <c r="E610" s="106"/>
      <c r="F610" s="10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9"/>
      <c r="V610" s="109"/>
    </row>
    <row r="611" ht="12.75" customHeight="1">
      <c r="A611" s="106"/>
      <c r="B611" s="106"/>
      <c r="C611" s="106"/>
      <c r="D611" s="101"/>
      <c r="E611" s="106"/>
      <c r="F611" s="10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9"/>
      <c r="V611" s="109"/>
    </row>
    <row r="612" ht="12.75" customHeight="1">
      <c r="A612" s="106"/>
      <c r="B612" s="106"/>
      <c r="C612" s="106"/>
      <c r="D612" s="101"/>
      <c r="E612" s="106"/>
      <c r="F612" s="10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9"/>
      <c r="V612" s="109"/>
    </row>
    <row r="613" ht="12.75" customHeight="1">
      <c r="A613" s="106"/>
      <c r="B613" s="106"/>
      <c r="C613" s="106"/>
      <c r="D613" s="101"/>
      <c r="E613" s="106"/>
      <c r="F613" s="10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9"/>
      <c r="V613" s="109"/>
    </row>
    <row r="614" ht="12.75" customHeight="1">
      <c r="A614" s="106"/>
      <c r="B614" s="106"/>
      <c r="C614" s="106"/>
      <c r="D614" s="101"/>
      <c r="E614" s="106"/>
      <c r="F614" s="10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9"/>
      <c r="V614" s="109"/>
    </row>
    <row r="615" ht="12.75" customHeight="1">
      <c r="A615" s="106"/>
      <c r="B615" s="106"/>
      <c r="C615" s="106"/>
      <c r="D615" s="101"/>
      <c r="E615" s="106"/>
      <c r="F615" s="10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9"/>
      <c r="V615" s="109"/>
    </row>
    <row r="616" ht="12.75" customHeight="1">
      <c r="A616" s="106"/>
      <c r="B616" s="106"/>
      <c r="C616" s="106"/>
      <c r="D616" s="101"/>
      <c r="E616" s="106"/>
      <c r="F616" s="10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9"/>
      <c r="V616" s="109"/>
    </row>
    <row r="617" ht="12.75" customHeight="1">
      <c r="A617" s="106"/>
      <c r="B617" s="106"/>
      <c r="C617" s="106"/>
      <c r="D617" s="101"/>
      <c r="E617" s="106"/>
      <c r="F617" s="10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9"/>
      <c r="V617" s="109"/>
    </row>
    <row r="618" ht="12.75" customHeight="1">
      <c r="A618" s="106"/>
      <c r="B618" s="106"/>
      <c r="C618" s="106"/>
      <c r="D618" s="101"/>
      <c r="E618" s="106"/>
      <c r="F618" s="10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9"/>
      <c r="V618" s="109"/>
    </row>
    <row r="619" ht="12.75" customHeight="1">
      <c r="A619" s="106"/>
      <c r="B619" s="106"/>
      <c r="C619" s="106"/>
      <c r="D619" s="101"/>
      <c r="E619" s="106"/>
      <c r="F619" s="10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9"/>
      <c r="V619" s="109"/>
    </row>
    <row r="620" ht="12.75" customHeight="1">
      <c r="A620" s="106"/>
      <c r="B620" s="106"/>
      <c r="C620" s="106"/>
      <c r="D620" s="101"/>
      <c r="E620" s="106"/>
      <c r="F620" s="10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9"/>
      <c r="V620" s="109"/>
    </row>
    <row r="621" ht="12.75" customHeight="1">
      <c r="A621" s="106"/>
      <c r="B621" s="106"/>
      <c r="C621" s="106"/>
      <c r="D621" s="101"/>
      <c r="E621" s="106"/>
      <c r="F621" s="10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9"/>
      <c r="V621" s="109"/>
    </row>
    <row r="622" ht="12.75" customHeight="1">
      <c r="A622" s="106"/>
      <c r="B622" s="106"/>
      <c r="C622" s="106"/>
      <c r="D622" s="101"/>
      <c r="E622" s="106"/>
      <c r="F622" s="10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9"/>
      <c r="V622" s="109"/>
    </row>
    <row r="623" ht="12.75" customHeight="1">
      <c r="A623" s="106"/>
      <c r="B623" s="106"/>
      <c r="C623" s="106"/>
      <c r="D623" s="101"/>
      <c r="E623" s="106"/>
      <c r="F623" s="10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9"/>
      <c r="V623" s="109"/>
    </row>
    <row r="624" ht="12.75" customHeight="1">
      <c r="A624" s="106"/>
      <c r="B624" s="106"/>
      <c r="C624" s="106"/>
      <c r="D624" s="101"/>
      <c r="E624" s="106"/>
      <c r="F624" s="10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9"/>
      <c r="V624" s="109"/>
    </row>
    <row r="625" ht="12.75" customHeight="1">
      <c r="A625" s="106"/>
      <c r="B625" s="106"/>
      <c r="C625" s="106"/>
      <c r="D625" s="101"/>
      <c r="E625" s="106"/>
      <c r="F625" s="10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9"/>
      <c r="V625" s="109"/>
    </row>
    <row r="626" ht="12.75" customHeight="1">
      <c r="A626" s="106"/>
      <c r="B626" s="106"/>
      <c r="C626" s="106"/>
      <c r="D626" s="101"/>
      <c r="E626" s="106"/>
      <c r="F626" s="10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9"/>
      <c r="V626" s="109"/>
    </row>
    <row r="627" ht="12.75" customHeight="1">
      <c r="A627" s="106"/>
      <c r="B627" s="106"/>
      <c r="C627" s="106"/>
      <c r="D627" s="101"/>
      <c r="E627" s="106"/>
      <c r="F627" s="10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9"/>
      <c r="V627" s="109"/>
    </row>
    <row r="628" ht="12.75" customHeight="1">
      <c r="A628" s="106"/>
      <c r="B628" s="106"/>
      <c r="C628" s="106"/>
      <c r="D628" s="101"/>
      <c r="E628" s="106"/>
      <c r="F628" s="10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9"/>
      <c r="V628" s="109"/>
    </row>
    <row r="629" ht="12.75" customHeight="1">
      <c r="A629" s="106"/>
      <c r="B629" s="106"/>
      <c r="C629" s="106"/>
      <c r="D629" s="101"/>
      <c r="E629" s="106"/>
      <c r="F629" s="10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9"/>
      <c r="V629" s="109"/>
    </row>
    <row r="630" ht="12.75" customHeight="1">
      <c r="A630" s="106"/>
      <c r="B630" s="106"/>
      <c r="C630" s="106"/>
      <c r="D630" s="101"/>
      <c r="E630" s="106"/>
      <c r="F630" s="10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9"/>
      <c r="V630" s="109"/>
    </row>
    <row r="631" ht="12.75" customHeight="1">
      <c r="A631" s="106"/>
      <c r="B631" s="106"/>
      <c r="C631" s="106"/>
      <c r="D631" s="101"/>
      <c r="E631" s="106"/>
      <c r="F631" s="10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9"/>
      <c r="V631" s="109"/>
    </row>
    <row r="632" ht="12.75" customHeight="1">
      <c r="A632" s="106"/>
      <c r="B632" s="106"/>
      <c r="C632" s="106"/>
      <c r="D632" s="101"/>
      <c r="E632" s="106"/>
      <c r="F632" s="10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9"/>
      <c r="V632" s="109"/>
    </row>
    <row r="633" ht="12.75" customHeight="1">
      <c r="A633" s="106"/>
      <c r="B633" s="106"/>
      <c r="C633" s="106"/>
      <c r="D633" s="101"/>
      <c r="E633" s="106"/>
      <c r="F633" s="10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9"/>
      <c r="V633" s="109"/>
    </row>
    <row r="634" ht="12.75" customHeight="1">
      <c r="A634" s="106"/>
      <c r="B634" s="106"/>
      <c r="C634" s="106"/>
      <c r="D634" s="101"/>
      <c r="E634" s="106"/>
      <c r="F634" s="10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9"/>
      <c r="V634" s="109"/>
    </row>
    <row r="635" ht="12.75" customHeight="1">
      <c r="A635" s="106"/>
      <c r="B635" s="106"/>
      <c r="C635" s="106"/>
      <c r="D635" s="101"/>
      <c r="E635" s="106"/>
      <c r="F635" s="10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9"/>
      <c r="V635" s="109"/>
    </row>
    <row r="636" ht="12.75" customHeight="1">
      <c r="A636" s="106"/>
      <c r="B636" s="106"/>
      <c r="C636" s="106"/>
      <c r="D636" s="101"/>
      <c r="E636" s="106"/>
      <c r="F636" s="10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9"/>
      <c r="V636" s="109"/>
    </row>
    <row r="637" ht="12.75" customHeight="1">
      <c r="A637" s="106"/>
      <c r="B637" s="106"/>
      <c r="C637" s="106"/>
      <c r="D637" s="101"/>
      <c r="E637" s="106"/>
      <c r="F637" s="10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9"/>
      <c r="V637" s="109"/>
    </row>
    <row r="638" ht="12.75" customHeight="1">
      <c r="A638" s="106"/>
      <c r="B638" s="106"/>
      <c r="C638" s="106"/>
      <c r="D638" s="101"/>
      <c r="E638" s="106"/>
      <c r="F638" s="10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9"/>
      <c r="V638" s="109"/>
    </row>
    <row r="639" ht="12.75" customHeight="1">
      <c r="A639" s="106"/>
      <c r="B639" s="106"/>
      <c r="C639" s="106"/>
      <c r="D639" s="101"/>
      <c r="E639" s="106"/>
      <c r="F639" s="10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9"/>
      <c r="V639" s="109"/>
    </row>
    <row r="640" ht="12.75" customHeight="1">
      <c r="A640" s="106"/>
      <c r="B640" s="106"/>
      <c r="C640" s="106"/>
      <c r="D640" s="101"/>
      <c r="E640" s="106"/>
      <c r="F640" s="10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9"/>
      <c r="V640" s="109"/>
    </row>
    <row r="641" ht="12.75" customHeight="1">
      <c r="A641" s="106"/>
      <c r="B641" s="106"/>
      <c r="C641" s="106"/>
      <c r="D641" s="101"/>
      <c r="E641" s="106"/>
      <c r="F641" s="10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9"/>
      <c r="V641" s="109"/>
    </row>
    <row r="642" ht="12.75" customHeight="1">
      <c r="A642" s="106"/>
      <c r="B642" s="106"/>
      <c r="C642" s="106"/>
      <c r="D642" s="101"/>
      <c r="E642" s="106"/>
      <c r="F642" s="10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9"/>
      <c r="V642" s="109"/>
    </row>
    <row r="643" ht="12.75" customHeight="1">
      <c r="A643" s="106"/>
      <c r="B643" s="106"/>
      <c r="C643" s="106"/>
      <c r="D643" s="101"/>
      <c r="E643" s="106"/>
      <c r="F643" s="10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9"/>
      <c r="V643" s="109"/>
    </row>
    <row r="644" ht="12.75" customHeight="1">
      <c r="A644" s="106"/>
      <c r="B644" s="106"/>
      <c r="C644" s="106"/>
      <c r="D644" s="101"/>
      <c r="E644" s="106"/>
      <c r="F644" s="10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9"/>
      <c r="V644" s="109"/>
    </row>
    <row r="645" ht="12.75" customHeight="1">
      <c r="A645" s="106"/>
      <c r="B645" s="106"/>
      <c r="C645" s="106"/>
      <c r="D645" s="101"/>
      <c r="E645" s="106"/>
      <c r="F645" s="10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9"/>
      <c r="V645" s="109"/>
    </row>
    <row r="646" ht="12.75" customHeight="1">
      <c r="A646" s="106"/>
      <c r="B646" s="106"/>
      <c r="C646" s="106"/>
      <c r="D646" s="101"/>
      <c r="E646" s="106"/>
      <c r="F646" s="10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9"/>
      <c r="V646" s="109"/>
    </row>
    <row r="647" ht="12.75" customHeight="1">
      <c r="A647" s="106"/>
      <c r="B647" s="106"/>
      <c r="C647" s="106"/>
      <c r="D647" s="101"/>
      <c r="E647" s="106"/>
      <c r="F647" s="10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9"/>
      <c r="V647" s="109"/>
    </row>
    <row r="648" ht="12.75" customHeight="1">
      <c r="A648" s="106"/>
      <c r="B648" s="106"/>
      <c r="C648" s="106"/>
      <c r="D648" s="101"/>
      <c r="E648" s="106"/>
      <c r="F648" s="10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9"/>
      <c r="V648" s="109"/>
    </row>
    <row r="649" ht="12.75" customHeight="1">
      <c r="A649" s="106"/>
      <c r="B649" s="106"/>
      <c r="C649" s="106"/>
      <c r="D649" s="101"/>
      <c r="E649" s="106"/>
      <c r="F649" s="10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9"/>
      <c r="V649" s="109"/>
    </row>
    <row r="650" ht="12.75" customHeight="1">
      <c r="A650" s="106"/>
      <c r="B650" s="106"/>
      <c r="C650" s="106"/>
      <c r="D650" s="101"/>
      <c r="E650" s="106"/>
      <c r="F650" s="10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9"/>
      <c r="V650" s="109"/>
    </row>
    <row r="651" ht="12.75" customHeight="1">
      <c r="A651" s="106"/>
      <c r="B651" s="106"/>
      <c r="C651" s="106"/>
      <c r="D651" s="101"/>
      <c r="E651" s="106"/>
      <c r="F651" s="10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9"/>
      <c r="V651" s="109"/>
    </row>
    <row r="652" ht="12.75" customHeight="1">
      <c r="A652" s="106"/>
      <c r="B652" s="106"/>
      <c r="C652" s="106"/>
      <c r="D652" s="101"/>
      <c r="E652" s="106"/>
      <c r="F652" s="10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9"/>
      <c r="V652" s="109"/>
    </row>
    <row r="653" ht="12.75" customHeight="1">
      <c r="A653" s="106"/>
      <c r="B653" s="106"/>
      <c r="C653" s="106"/>
      <c r="D653" s="101"/>
      <c r="E653" s="106"/>
      <c r="F653" s="10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9"/>
      <c r="V653" s="109"/>
    </row>
    <row r="654" ht="12.75" customHeight="1">
      <c r="A654" s="106"/>
      <c r="B654" s="106"/>
      <c r="C654" s="106"/>
      <c r="D654" s="101"/>
      <c r="E654" s="106"/>
      <c r="F654" s="10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9"/>
      <c r="V654" s="109"/>
    </row>
    <row r="655" ht="12.75" customHeight="1">
      <c r="A655" s="106"/>
      <c r="B655" s="106"/>
      <c r="C655" s="106"/>
      <c r="D655" s="101"/>
      <c r="E655" s="106"/>
      <c r="F655" s="10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9"/>
      <c r="V655" s="109"/>
    </row>
    <row r="656" ht="12.75" customHeight="1">
      <c r="A656" s="106"/>
      <c r="B656" s="106"/>
      <c r="C656" s="106"/>
      <c r="D656" s="101"/>
      <c r="E656" s="106"/>
      <c r="F656" s="10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9"/>
      <c r="V656" s="109"/>
    </row>
    <row r="657" ht="12.75" customHeight="1">
      <c r="A657" s="106"/>
      <c r="B657" s="106"/>
      <c r="C657" s="106"/>
      <c r="D657" s="101"/>
      <c r="E657" s="106"/>
      <c r="F657" s="10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9"/>
      <c r="V657" s="109"/>
    </row>
    <row r="658" ht="12.75" customHeight="1">
      <c r="A658" s="106"/>
      <c r="B658" s="106"/>
      <c r="C658" s="106"/>
      <c r="D658" s="101"/>
      <c r="E658" s="106"/>
      <c r="F658" s="10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9"/>
      <c r="V658" s="109"/>
    </row>
    <row r="659" ht="12.75" customHeight="1">
      <c r="A659" s="106"/>
      <c r="B659" s="106"/>
      <c r="C659" s="106"/>
      <c r="D659" s="101"/>
      <c r="E659" s="106"/>
      <c r="F659" s="10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9"/>
      <c r="V659" s="109"/>
    </row>
    <row r="660" ht="12.75" customHeight="1">
      <c r="A660" s="106"/>
      <c r="B660" s="106"/>
      <c r="C660" s="106"/>
      <c r="D660" s="101"/>
      <c r="E660" s="106"/>
      <c r="F660" s="10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9"/>
      <c r="V660" s="109"/>
    </row>
    <row r="661" ht="12.75" customHeight="1">
      <c r="A661" s="106"/>
      <c r="B661" s="106"/>
      <c r="C661" s="106"/>
      <c r="D661" s="101"/>
      <c r="E661" s="106"/>
      <c r="F661" s="10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9"/>
      <c r="V661" s="109"/>
    </row>
    <row r="662" ht="12.75" customHeight="1">
      <c r="A662" s="106"/>
      <c r="B662" s="106"/>
      <c r="C662" s="106"/>
      <c r="D662" s="101"/>
      <c r="E662" s="106"/>
      <c r="F662" s="10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9"/>
      <c r="V662" s="109"/>
    </row>
    <row r="663" ht="12.75" customHeight="1">
      <c r="A663" s="106"/>
      <c r="B663" s="106"/>
      <c r="C663" s="106"/>
      <c r="D663" s="101"/>
      <c r="E663" s="106"/>
      <c r="F663" s="10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9"/>
      <c r="V663" s="109"/>
    </row>
    <row r="664" ht="12.75" customHeight="1">
      <c r="A664" s="106"/>
      <c r="B664" s="106"/>
      <c r="C664" s="106"/>
      <c r="D664" s="101"/>
      <c r="E664" s="106"/>
      <c r="F664" s="10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9"/>
      <c r="V664" s="109"/>
    </row>
    <row r="665" ht="12.75" customHeight="1">
      <c r="A665" s="106"/>
      <c r="B665" s="106"/>
      <c r="C665" s="106"/>
      <c r="D665" s="101"/>
      <c r="E665" s="106"/>
      <c r="F665" s="10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9"/>
      <c r="V665" s="109"/>
    </row>
    <row r="666" ht="12.75" customHeight="1">
      <c r="A666" s="106"/>
      <c r="B666" s="106"/>
      <c r="C666" s="106"/>
      <c r="D666" s="101"/>
      <c r="E666" s="106"/>
      <c r="F666" s="10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9"/>
      <c r="V666" s="109"/>
    </row>
    <row r="667" ht="12.75" customHeight="1">
      <c r="A667" s="106"/>
      <c r="B667" s="106"/>
      <c r="C667" s="106"/>
      <c r="D667" s="101"/>
      <c r="E667" s="106"/>
      <c r="F667" s="10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9"/>
      <c r="V667" s="109"/>
    </row>
    <row r="668" ht="12.75" customHeight="1">
      <c r="A668" s="106"/>
      <c r="B668" s="106"/>
      <c r="C668" s="106"/>
      <c r="D668" s="101"/>
      <c r="E668" s="106"/>
      <c r="F668" s="10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9"/>
      <c r="V668" s="109"/>
    </row>
    <row r="669" ht="12.75" customHeight="1">
      <c r="A669" s="106"/>
      <c r="B669" s="106"/>
      <c r="C669" s="106"/>
      <c r="D669" s="101"/>
      <c r="E669" s="106"/>
      <c r="F669" s="10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9"/>
      <c r="V669" s="109"/>
    </row>
    <row r="670" ht="12.75" customHeight="1">
      <c r="A670" s="106"/>
      <c r="B670" s="106"/>
      <c r="C670" s="106"/>
      <c r="D670" s="101"/>
      <c r="E670" s="106"/>
      <c r="F670" s="10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9"/>
      <c r="V670" s="109"/>
    </row>
    <row r="671" ht="12.75" customHeight="1">
      <c r="A671" s="106"/>
      <c r="B671" s="106"/>
      <c r="C671" s="106"/>
      <c r="D671" s="101"/>
      <c r="E671" s="106"/>
      <c r="F671" s="10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9"/>
      <c r="V671" s="109"/>
    </row>
    <row r="672" ht="12.75" customHeight="1">
      <c r="A672" s="106"/>
      <c r="B672" s="106"/>
      <c r="C672" s="106"/>
      <c r="D672" s="101"/>
      <c r="E672" s="106"/>
      <c r="F672" s="10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9"/>
      <c r="V672" s="109"/>
    </row>
    <row r="673" ht="12.75" customHeight="1">
      <c r="A673" s="106"/>
      <c r="B673" s="106"/>
      <c r="C673" s="106"/>
      <c r="D673" s="101"/>
      <c r="E673" s="106"/>
      <c r="F673" s="10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9"/>
      <c r="V673" s="109"/>
    </row>
    <row r="674" ht="12.75" customHeight="1">
      <c r="A674" s="106"/>
      <c r="B674" s="106"/>
      <c r="C674" s="106"/>
      <c r="D674" s="101"/>
      <c r="E674" s="106"/>
      <c r="F674" s="10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9"/>
      <c r="V674" s="109"/>
    </row>
    <row r="675" ht="12.75" customHeight="1">
      <c r="A675" s="106"/>
      <c r="B675" s="106"/>
      <c r="C675" s="106"/>
      <c r="D675" s="101"/>
      <c r="E675" s="106"/>
      <c r="F675" s="10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9"/>
      <c r="V675" s="109"/>
    </row>
    <row r="676" ht="12.75" customHeight="1">
      <c r="A676" s="106"/>
      <c r="B676" s="106"/>
      <c r="C676" s="106"/>
      <c r="D676" s="101"/>
      <c r="E676" s="106"/>
      <c r="F676" s="10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9"/>
      <c r="V676" s="109"/>
    </row>
    <row r="677" ht="12.75" customHeight="1">
      <c r="A677" s="106"/>
      <c r="B677" s="106"/>
      <c r="C677" s="106"/>
      <c r="D677" s="101"/>
      <c r="E677" s="106"/>
      <c r="F677" s="10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9"/>
      <c r="V677" s="109"/>
    </row>
    <row r="678" ht="12.75" customHeight="1">
      <c r="A678" s="106"/>
      <c r="B678" s="106"/>
      <c r="C678" s="106"/>
      <c r="D678" s="101"/>
      <c r="E678" s="106"/>
      <c r="F678" s="10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9"/>
      <c r="V678" s="109"/>
    </row>
    <row r="679" ht="12.75" customHeight="1">
      <c r="A679" s="106"/>
      <c r="B679" s="106"/>
      <c r="C679" s="106"/>
      <c r="D679" s="101"/>
      <c r="E679" s="106"/>
      <c r="F679" s="10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9"/>
      <c r="V679" s="109"/>
    </row>
    <row r="680" ht="12.75" customHeight="1">
      <c r="A680" s="106"/>
      <c r="B680" s="106"/>
      <c r="C680" s="106"/>
      <c r="D680" s="101"/>
      <c r="E680" s="106"/>
      <c r="F680" s="10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9"/>
      <c r="V680" s="109"/>
    </row>
    <row r="681" ht="12.75" customHeight="1">
      <c r="A681" s="106"/>
      <c r="B681" s="106"/>
      <c r="C681" s="106"/>
      <c r="D681" s="101"/>
      <c r="E681" s="106"/>
      <c r="F681" s="10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9"/>
      <c r="V681" s="109"/>
    </row>
    <row r="682" ht="12.75" customHeight="1">
      <c r="A682" s="106"/>
      <c r="B682" s="106"/>
      <c r="C682" s="106"/>
      <c r="D682" s="101"/>
      <c r="E682" s="106"/>
      <c r="F682" s="10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9"/>
      <c r="V682" s="109"/>
    </row>
    <row r="683" ht="12.75" customHeight="1">
      <c r="A683" s="106"/>
      <c r="B683" s="106"/>
      <c r="C683" s="106"/>
      <c r="D683" s="101"/>
      <c r="E683" s="106"/>
      <c r="F683" s="10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9"/>
      <c r="V683" s="109"/>
    </row>
    <row r="684" ht="12.75" customHeight="1">
      <c r="A684" s="106"/>
      <c r="B684" s="106"/>
      <c r="C684" s="106"/>
      <c r="D684" s="101"/>
      <c r="E684" s="106"/>
      <c r="F684" s="10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9"/>
      <c r="V684" s="109"/>
    </row>
    <row r="685" ht="12.75" customHeight="1">
      <c r="A685" s="106"/>
      <c r="B685" s="106"/>
      <c r="C685" s="106"/>
      <c r="D685" s="101"/>
      <c r="E685" s="106"/>
      <c r="F685" s="10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9"/>
      <c r="V685" s="109"/>
    </row>
    <row r="686" ht="12.75" customHeight="1">
      <c r="A686" s="106"/>
      <c r="B686" s="106"/>
      <c r="C686" s="106"/>
      <c r="D686" s="101"/>
      <c r="E686" s="106"/>
      <c r="F686" s="10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9"/>
      <c r="V686" s="109"/>
    </row>
    <row r="687" ht="12.75" customHeight="1">
      <c r="A687" s="106"/>
      <c r="B687" s="106"/>
      <c r="C687" s="106"/>
      <c r="D687" s="101"/>
      <c r="E687" s="106"/>
      <c r="F687" s="10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9"/>
      <c r="V687" s="109"/>
    </row>
    <row r="688" ht="12.75" customHeight="1">
      <c r="A688" s="106"/>
      <c r="B688" s="106"/>
      <c r="C688" s="106"/>
      <c r="D688" s="101"/>
      <c r="E688" s="106"/>
      <c r="F688" s="10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9"/>
      <c r="V688" s="109"/>
    </row>
    <row r="689" ht="12.75" customHeight="1">
      <c r="A689" s="106"/>
      <c r="B689" s="106"/>
      <c r="C689" s="106"/>
      <c r="D689" s="101"/>
      <c r="E689" s="106"/>
      <c r="F689" s="10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9"/>
      <c r="V689" s="109"/>
    </row>
    <row r="690" ht="12.75" customHeight="1">
      <c r="A690" s="106"/>
      <c r="B690" s="106"/>
      <c r="C690" s="106"/>
      <c r="D690" s="101"/>
      <c r="E690" s="106"/>
      <c r="F690" s="10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9"/>
      <c r="V690" s="109"/>
    </row>
    <row r="691" ht="12.75" customHeight="1">
      <c r="A691" s="106"/>
      <c r="B691" s="106"/>
      <c r="C691" s="106"/>
      <c r="D691" s="101"/>
      <c r="E691" s="106"/>
      <c r="F691" s="10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9"/>
      <c r="V691" s="109"/>
    </row>
    <row r="692" ht="12.75" customHeight="1">
      <c r="A692" s="106"/>
      <c r="B692" s="106"/>
      <c r="C692" s="106"/>
      <c r="D692" s="101"/>
      <c r="E692" s="106"/>
      <c r="F692" s="10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9"/>
      <c r="V692" s="109"/>
    </row>
    <row r="693" ht="12.75" customHeight="1">
      <c r="A693" s="106"/>
      <c r="B693" s="106"/>
      <c r="C693" s="106"/>
      <c r="D693" s="101"/>
      <c r="E693" s="106"/>
      <c r="F693" s="10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9"/>
      <c r="V693" s="109"/>
    </row>
    <row r="694" ht="12.75" customHeight="1">
      <c r="A694" s="106"/>
      <c r="B694" s="106"/>
      <c r="C694" s="106"/>
      <c r="D694" s="101"/>
      <c r="E694" s="106"/>
      <c r="F694" s="10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9"/>
      <c r="V694" s="109"/>
    </row>
    <row r="695" ht="12.75" customHeight="1">
      <c r="A695" s="106"/>
      <c r="B695" s="106"/>
      <c r="C695" s="106"/>
      <c r="D695" s="101"/>
      <c r="E695" s="106"/>
      <c r="F695" s="10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9"/>
      <c r="V695" s="109"/>
    </row>
    <row r="696" ht="12.75" customHeight="1">
      <c r="A696" s="106"/>
      <c r="B696" s="106"/>
      <c r="C696" s="106"/>
      <c r="D696" s="101"/>
      <c r="E696" s="106"/>
      <c r="F696" s="10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9"/>
      <c r="V696" s="109"/>
    </row>
    <row r="697" ht="12.75" customHeight="1">
      <c r="A697" s="106"/>
      <c r="B697" s="106"/>
      <c r="C697" s="106"/>
      <c r="D697" s="101"/>
      <c r="E697" s="106"/>
      <c r="F697" s="10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9"/>
      <c r="V697" s="109"/>
    </row>
    <row r="698" ht="12.75" customHeight="1">
      <c r="A698" s="106"/>
      <c r="B698" s="106"/>
      <c r="C698" s="106"/>
      <c r="D698" s="101"/>
      <c r="E698" s="106"/>
      <c r="F698" s="10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9"/>
      <c r="V698" s="109"/>
    </row>
    <row r="699" ht="12.75" customHeight="1">
      <c r="A699" s="106"/>
      <c r="B699" s="106"/>
      <c r="C699" s="106"/>
      <c r="D699" s="101"/>
      <c r="E699" s="106"/>
      <c r="F699" s="10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9"/>
      <c r="V699" s="109"/>
    </row>
    <row r="700" ht="12.75" customHeight="1">
      <c r="A700" s="106"/>
      <c r="B700" s="106"/>
      <c r="C700" s="106"/>
      <c r="D700" s="101"/>
      <c r="E700" s="106"/>
      <c r="F700" s="10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9"/>
      <c r="V700" s="109"/>
    </row>
    <row r="701" ht="12.75" customHeight="1">
      <c r="A701" s="106"/>
      <c r="B701" s="106"/>
      <c r="C701" s="106"/>
      <c r="D701" s="101"/>
      <c r="E701" s="106"/>
      <c r="F701" s="10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9"/>
      <c r="V701" s="109"/>
    </row>
    <row r="702" ht="12.75" customHeight="1">
      <c r="A702" s="106"/>
      <c r="B702" s="106"/>
      <c r="C702" s="106"/>
      <c r="D702" s="101"/>
      <c r="E702" s="106"/>
      <c r="F702" s="10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9"/>
      <c r="V702" s="109"/>
    </row>
    <row r="703" ht="12.75" customHeight="1">
      <c r="A703" s="106"/>
      <c r="B703" s="106"/>
      <c r="C703" s="106"/>
      <c r="D703" s="101"/>
      <c r="E703" s="106"/>
      <c r="F703" s="10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9"/>
      <c r="V703" s="109"/>
    </row>
    <row r="704" ht="12.75" customHeight="1">
      <c r="A704" s="106"/>
      <c r="B704" s="106"/>
      <c r="C704" s="106"/>
      <c r="D704" s="101"/>
      <c r="E704" s="106"/>
      <c r="F704" s="10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9"/>
      <c r="V704" s="109"/>
    </row>
    <row r="705" ht="12.75" customHeight="1">
      <c r="A705" s="106"/>
      <c r="B705" s="106"/>
      <c r="C705" s="106"/>
      <c r="D705" s="101"/>
      <c r="E705" s="106"/>
      <c r="F705" s="10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9"/>
      <c r="V705" s="109"/>
    </row>
    <row r="706" ht="12.75" customHeight="1">
      <c r="A706" s="106"/>
      <c r="B706" s="106"/>
      <c r="C706" s="106"/>
      <c r="D706" s="101"/>
      <c r="E706" s="106"/>
      <c r="F706" s="10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9"/>
      <c r="V706" s="109"/>
    </row>
    <row r="707" ht="12.75" customHeight="1">
      <c r="A707" s="106"/>
      <c r="B707" s="106"/>
      <c r="C707" s="106"/>
      <c r="D707" s="101"/>
      <c r="E707" s="106"/>
      <c r="F707" s="10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9"/>
      <c r="V707" s="109"/>
    </row>
    <row r="708" ht="12.75" customHeight="1">
      <c r="A708" s="106"/>
      <c r="B708" s="106"/>
      <c r="C708" s="106"/>
      <c r="D708" s="101"/>
      <c r="E708" s="106"/>
      <c r="F708" s="10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9"/>
      <c r="V708" s="109"/>
    </row>
    <row r="709" ht="12.75" customHeight="1">
      <c r="A709" s="106"/>
      <c r="B709" s="106"/>
      <c r="C709" s="106"/>
      <c r="D709" s="101"/>
      <c r="E709" s="106"/>
      <c r="F709" s="10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9"/>
      <c r="V709" s="109"/>
    </row>
    <row r="710" ht="12.75" customHeight="1">
      <c r="A710" s="106"/>
      <c r="B710" s="106"/>
      <c r="C710" s="106"/>
      <c r="D710" s="101"/>
      <c r="E710" s="106"/>
      <c r="F710" s="10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9"/>
      <c r="V710" s="109"/>
    </row>
    <row r="711" ht="12.75" customHeight="1">
      <c r="A711" s="106"/>
      <c r="B711" s="106"/>
      <c r="C711" s="106"/>
      <c r="D711" s="101"/>
      <c r="E711" s="106"/>
      <c r="F711" s="10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9"/>
      <c r="V711" s="109"/>
    </row>
    <row r="712" ht="12.75" customHeight="1">
      <c r="A712" s="106"/>
      <c r="B712" s="106"/>
      <c r="C712" s="106"/>
      <c r="D712" s="101"/>
      <c r="E712" s="106"/>
      <c r="F712" s="10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9"/>
      <c r="V712" s="109"/>
    </row>
    <row r="713" ht="12.75" customHeight="1">
      <c r="A713" s="106"/>
      <c r="B713" s="106"/>
      <c r="C713" s="106"/>
      <c r="D713" s="101"/>
      <c r="E713" s="106"/>
      <c r="F713" s="10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9"/>
      <c r="V713" s="109"/>
    </row>
    <row r="714" ht="12.75" customHeight="1">
      <c r="A714" s="106"/>
      <c r="B714" s="106"/>
      <c r="C714" s="106"/>
      <c r="D714" s="101"/>
      <c r="E714" s="106"/>
      <c r="F714" s="10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9"/>
      <c r="V714" s="109"/>
    </row>
    <row r="715" ht="12.75" customHeight="1">
      <c r="A715" s="106"/>
      <c r="B715" s="106"/>
      <c r="C715" s="106"/>
      <c r="D715" s="101"/>
      <c r="E715" s="106"/>
      <c r="F715" s="10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9"/>
      <c r="V715" s="109"/>
    </row>
    <row r="716" ht="12.75" customHeight="1">
      <c r="A716" s="106"/>
      <c r="B716" s="106"/>
      <c r="C716" s="106"/>
      <c r="D716" s="101"/>
      <c r="E716" s="106"/>
      <c r="F716" s="10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9"/>
      <c r="V716" s="109"/>
    </row>
    <row r="717" ht="12.75" customHeight="1">
      <c r="A717" s="106"/>
      <c r="B717" s="106"/>
      <c r="C717" s="106"/>
      <c r="D717" s="101"/>
      <c r="E717" s="106"/>
      <c r="F717" s="10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9"/>
      <c r="V717" s="109"/>
    </row>
    <row r="718" ht="12.75" customHeight="1">
      <c r="A718" s="106"/>
      <c r="B718" s="106"/>
      <c r="C718" s="106"/>
      <c r="D718" s="101"/>
      <c r="E718" s="106"/>
      <c r="F718" s="10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9"/>
      <c r="V718" s="109"/>
    </row>
    <row r="719" ht="12.75" customHeight="1">
      <c r="A719" s="106"/>
      <c r="B719" s="106"/>
      <c r="C719" s="106"/>
      <c r="D719" s="101"/>
      <c r="E719" s="106"/>
      <c r="F719" s="10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9"/>
      <c r="V719" s="109"/>
    </row>
    <row r="720" ht="12.75" customHeight="1">
      <c r="A720" s="106"/>
      <c r="B720" s="106"/>
      <c r="C720" s="106"/>
      <c r="D720" s="101"/>
      <c r="E720" s="106"/>
      <c r="F720" s="10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9"/>
      <c r="V720" s="109"/>
    </row>
    <row r="721" ht="12.75" customHeight="1">
      <c r="A721" s="106"/>
      <c r="B721" s="106"/>
      <c r="C721" s="106"/>
      <c r="D721" s="101"/>
      <c r="E721" s="106"/>
      <c r="F721" s="10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9"/>
      <c r="V721" s="109"/>
    </row>
    <row r="722" ht="12.75" customHeight="1">
      <c r="A722" s="106"/>
      <c r="B722" s="106"/>
      <c r="C722" s="106"/>
      <c r="D722" s="101"/>
      <c r="E722" s="106"/>
      <c r="F722" s="10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9"/>
      <c r="V722" s="109"/>
    </row>
    <row r="723" ht="12.75" customHeight="1">
      <c r="A723" s="106"/>
      <c r="B723" s="106"/>
      <c r="C723" s="106"/>
      <c r="D723" s="101"/>
      <c r="E723" s="106"/>
      <c r="F723" s="10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9"/>
      <c r="V723" s="109"/>
    </row>
    <row r="724" ht="12.75" customHeight="1">
      <c r="A724" s="106"/>
      <c r="B724" s="106"/>
      <c r="C724" s="106"/>
      <c r="D724" s="101"/>
      <c r="E724" s="106"/>
      <c r="F724" s="10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9"/>
      <c r="V724" s="109"/>
    </row>
    <row r="725" ht="12.75" customHeight="1">
      <c r="A725" s="106"/>
      <c r="B725" s="106"/>
      <c r="C725" s="106"/>
      <c r="D725" s="101"/>
      <c r="E725" s="106"/>
      <c r="F725" s="10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9"/>
      <c r="V725" s="109"/>
    </row>
    <row r="726" ht="12.75" customHeight="1">
      <c r="A726" s="106"/>
      <c r="B726" s="106"/>
      <c r="C726" s="106"/>
      <c r="D726" s="101"/>
      <c r="E726" s="106"/>
      <c r="F726" s="10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9"/>
      <c r="V726" s="109"/>
    </row>
    <row r="727" ht="12.75" customHeight="1">
      <c r="A727" s="106"/>
      <c r="B727" s="106"/>
      <c r="C727" s="106"/>
      <c r="D727" s="101"/>
      <c r="E727" s="106"/>
      <c r="F727" s="10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9"/>
      <c r="V727" s="109"/>
    </row>
    <row r="728" ht="12.75" customHeight="1">
      <c r="A728" s="106"/>
      <c r="B728" s="106"/>
      <c r="C728" s="106"/>
      <c r="D728" s="101"/>
      <c r="E728" s="106"/>
      <c r="F728" s="10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9"/>
      <c r="V728" s="109"/>
    </row>
    <row r="729" ht="12.75" customHeight="1">
      <c r="A729" s="106"/>
      <c r="B729" s="106"/>
      <c r="C729" s="106"/>
      <c r="D729" s="101"/>
      <c r="E729" s="106"/>
      <c r="F729" s="10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9"/>
      <c r="V729" s="109"/>
    </row>
    <row r="730" ht="12.75" customHeight="1">
      <c r="A730" s="106"/>
      <c r="B730" s="106"/>
      <c r="C730" s="106"/>
      <c r="D730" s="101"/>
      <c r="E730" s="106"/>
      <c r="F730" s="10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9"/>
      <c r="V730" s="109"/>
    </row>
    <row r="731" ht="12.75" customHeight="1">
      <c r="A731" s="106"/>
      <c r="B731" s="106"/>
      <c r="C731" s="106"/>
      <c r="D731" s="101"/>
      <c r="E731" s="106"/>
      <c r="F731" s="10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9"/>
      <c r="V731" s="109"/>
    </row>
    <row r="732" ht="12.75" customHeight="1">
      <c r="A732" s="106"/>
      <c r="B732" s="106"/>
      <c r="C732" s="106"/>
      <c r="D732" s="101"/>
      <c r="E732" s="106"/>
      <c r="F732" s="10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9"/>
      <c r="V732" s="109"/>
    </row>
    <row r="733" ht="12.75" customHeight="1">
      <c r="A733" s="106"/>
      <c r="B733" s="106"/>
      <c r="C733" s="106"/>
      <c r="D733" s="101"/>
      <c r="E733" s="106"/>
      <c r="F733" s="10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9"/>
      <c r="V733" s="109"/>
    </row>
    <row r="734" ht="12.75" customHeight="1">
      <c r="A734" s="106"/>
      <c r="B734" s="106"/>
      <c r="C734" s="106"/>
      <c r="D734" s="101"/>
      <c r="E734" s="106"/>
      <c r="F734" s="10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9"/>
      <c r="V734" s="109"/>
    </row>
    <row r="735" ht="12.75" customHeight="1">
      <c r="A735" s="106"/>
      <c r="B735" s="106"/>
      <c r="C735" s="106"/>
      <c r="D735" s="101"/>
      <c r="E735" s="106"/>
      <c r="F735" s="10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9"/>
      <c r="V735" s="109"/>
    </row>
    <row r="736" ht="12.75" customHeight="1">
      <c r="A736" s="106"/>
      <c r="B736" s="106"/>
      <c r="C736" s="106"/>
      <c r="D736" s="101"/>
      <c r="E736" s="106"/>
      <c r="F736" s="10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9"/>
      <c r="V736" s="109"/>
    </row>
    <row r="737" ht="12.75" customHeight="1">
      <c r="A737" s="106"/>
      <c r="B737" s="106"/>
      <c r="C737" s="106"/>
      <c r="D737" s="101"/>
      <c r="E737" s="106"/>
      <c r="F737" s="10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9"/>
      <c r="V737" s="109"/>
    </row>
    <row r="738" ht="12.75" customHeight="1">
      <c r="A738" s="106"/>
      <c r="B738" s="106"/>
      <c r="C738" s="106"/>
      <c r="D738" s="101"/>
      <c r="E738" s="106"/>
      <c r="F738" s="10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9"/>
      <c r="V738" s="109"/>
    </row>
    <row r="739" ht="12.75" customHeight="1">
      <c r="A739" s="106"/>
      <c r="B739" s="106"/>
      <c r="C739" s="106"/>
      <c r="D739" s="101"/>
      <c r="E739" s="106"/>
      <c r="F739" s="10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9"/>
      <c r="V739" s="109"/>
    </row>
    <row r="740" ht="12.75" customHeight="1">
      <c r="A740" s="106"/>
      <c r="B740" s="106"/>
      <c r="C740" s="106"/>
      <c r="D740" s="101"/>
      <c r="E740" s="106"/>
      <c r="F740" s="10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9"/>
      <c r="V740" s="109"/>
    </row>
    <row r="741" ht="12.75" customHeight="1">
      <c r="A741" s="106"/>
      <c r="B741" s="106"/>
      <c r="C741" s="106"/>
      <c r="D741" s="101"/>
      <c r="E741" s="106"/>
      <c r="F741" s="10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9"/>
      <c r="V741" s="109"/>
    </row>
    <row r="742" ht="12.75" customHeight="1">
      <c r="A742" s="106"/>
      <c r="B742" s="106"/>
      <c r="C742" s="106"/>
      <c r="D742" s="101"/>
      <c r="E742" s="106"/>
      <c r="F742" s="10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9"/>
      <c r="V742" s="109"/>
    </row>
    <row r="743" ht="12.75" customHeight="1">
      <c r="A743" s="106"/>
      <c r="B743" s="106"/>
      <c r="C743" s="106"/>
      <c r="D743" s="101"/>
      <c r="E743" s="106"/>
      <c r="F743" s="10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9"/>
      <c r="V743" s="109"/>
    </row>
    <row r="744" ht="12.75" customHeight="1">
      <c r="A744" s="106"/>
      <c r="B744" s="106"/>
      <c r="C744" s="106"/>
      <c r="D744" s="101"/>
      <c r="E744" s="106"/>
      <c r="F744" s="10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9"/>
      <c r="V744" s="109"/>
    </row>
    <row r="745" ht="12.75" customHeight="1">
      <c r="A745" s="106"/>
      <c r="B745" s="106"/>
      <c r="C745" s="106"/>
      <c r="D745" s="101"/>
      <c r="E745" s="106"/>
      <c r="F745" s="10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9"/>
      <c r="V745" s="109"/>
    </row>
    <row r="746" ht="12.75" customHeight="1">
      <c r="A746" s="106"/>
      <c r="B746" s="106"/>
      <c r="C746" s="106"/>
      <c r="D746" s="101"/>
      <c r="E746" s="106"/>
      <c r="F746" s="10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9"/>
      <c r="V746" s="109"/>
    </row>
    <row r="747" ht="12.75" customHeight="1">
      <c r="A747" s="106"/>
      <c r="B747" s="106"/>
      <c r="C747" s="106"/>
      <c r="D747" s="101"/>
      <c r="E747" s="106"/>
      <c r="F747" s="10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9"/>
      <c r="V747" s="109"/>
    </row>
    <row r="748" ht="12.75" customHeight="1">
      <c r="A748" s="106"/>
      <c r="B748" s="106"/>
      <c r="C748" s="106"/>
      <c r="D748" s="101"/>
      <c r="E748" s="106"/>
      <c r="F748" s="10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9"/>
      <c r="V748" s="109"/>
    </row>
    <row r="749" ht="12.75" customHeight="1">
      <c r="A749" s="106"/>
      <c r="B749" s="106"/>
      <c r="C749" s="106"/>
      <c r="D749" s="101"/>
      <c r="E749" s="106"/>
      <c r="F749" s="10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9"/>
      <c r="V749" s="109"/>
    </row>
    <row r="750" ht="12.75" customHeight="1">
      <c r="A750" s="106"/>
      <c r="B750" s="106"/>
      <c r="C750" s="106"/>
      <c r="D750" s="101"/>
      <c r="E750" s="106"/>
      <c r="F750" s="10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9"/>
      <c r="V750" s="109"/>
    </row>
    <row r="751" ht="12.75" customHeight="1">
      <c r="A751" s="106"/>
      <c r="B751" s="106"/>
      <c r="C751" s="106"/>
      <c r="D751" s="101"/>
      <c r="E751" s="106"/>
      <c r="F751" s="10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9"/>
      <c r="V751" s="109"/>
    </row>
    <row r="752" ht="12.75" customHeight="1">
      <c r="A752" s="106"/>
      <c r="B752" s="106"/>
      <c r="C752" s="106"/>
      <c r="D752" s="101"/>
      <c r="E752" s="106"/>
      <c r="F752" s="10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9"/>
      <c r="V752" s="109"/>
    </row>
    <row r="753" ht="12.75" customHeight="1">
      <c r="A753" s="106"/>
      <c r="B753" s="106"/>
      <c r="C753" s="106"/>
      <c r="D753" s="101"/>
      <c r="E753" s="106"/>
      <c r="F753" s="10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9"/>
      <c r="V753" s="109"/>
    </row>
    <row r="754" ht="12.75" customHeight="1">
      <c r="A754" s="106"/>
      <c r="B754" s="106"/>
      <c r="C754" s="106"/>
      <c r="D754" s="101"/>
      <c r="E754" s="106"/>
      <c r="F754" s="10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9"/>
      <c r="V754" s="109"/>
    </row>
    <row r="755" ht="12.75" customHeight="1">
      <c r="A755" s="106"/>
      <c r="B755" s="106"/>
      <c r="C755" s="106"/>
      <c r="D755" s="101"/>
      <c r="E755" s="106"/>
      <c r="F755" s="10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9"/>
      <c r="V755" s="109"/>
    </row>
    <row r="756" ht="12.75" customHeight="1">
      <c r="A756" s="106"/>
      <c r="B756" s="106"/>
      <c r="C756" s="106"/>
      <c r="D756" s="101"/>
      <c r="E756" s="106"/>
      <c r="F756" s="10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9"/>
      <c r="V756" s="109"/>
    </row>
    <row r="757" ht="12.75" customHeight="1">
      <c r="A757" s="106"/>
      <c r="B757" s="106"/>
      <c r="C757" s="106"/>
      <c r="D757" s="101"/>
      <c r="E757" s="106"/>
      <c r="F757" s="10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9"/>
      <c r="V757" s="109"/>
    </row>
    <row r="758" ht="12.75" customHeight="1">
      <c r="A758" s="106"/>
      <c r="B758" s="106"/>
      <c r="C758" s="106"/>
      <c r="D758" s="101"/>
      <c r="E758" s="106"/>
      <c r="F758" s="10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9"/>
      <c r="V758" s="109"/>
    </row>
    <row r="759" ht="12.75" customHeight="1">
      <c r="A759" s="106"/>
      <c r="B759" s="106"/>
      <c r="C759" s="106"/>
      <c r="D759" s="101"/>
      <c r="E759" s="106"/>
      <c r="F759" s="10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9"/>
      <c r="V759" s="109"/>
    </row>
    <row r="760" ht="12.75" customHeight="1">
      <c r="A760" s="106"/>
      <c r="B760" s="106"/>
      <c r="C760" s="106"/>
      <c r="D760" s="101"/>
      <c r="E760" s="106"/>
      <c r="F760" s="10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9"/>
      <c r="V760" s="109"/>
    </row>
    <row r="761" ht="12.75" customHeight="1">
      <c r="A761" s="106"/>
      <c r="B761" s="106"/>
      <c r="C761" s="106"/>
      <c r="D761" s="101"/>
      <c r="E761" s="106"/>
      <c r="F761" s="10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9"/>
      <c r="V761" s="109"/>
    </row>
    <row r="762" ht="12.75" customHeight="1">
      <c r="A762" s="106"/>
      <c r="B762" s="106"/>
      <c r="C762" s="106"/>
      <c r="D762" s="101"/>
      <c r="E762" s="106"/>
      <c r="F762" s="10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9"/>
      <c r="V762" s="109"/>
    </row>
    <row r="763" ht="12.75" customHeight="1">
      <c r="A763" s="106"/>
      <c r="B763" s="106"/>
      <c r="C763" s="106"/>
      <c r="D763" s="101"/>
      <c r="E763" s="106"/>
      <c r="F763" s="10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9"/>
      <c r="V763" s="109"/>
    </row>
    <row r="764" ht="12.75" customHeight="1">
      <c r="A764" s="106"/>
      <c r="B764" s="106"/>
      <c r="C764" s="106"/>
      <c r="D764" s="101"/>
      <c r="E764" s="106"/>
      <c r="F764" s="10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9"/>
      <c r="V764" s="109"/>
    </row>
    <row r="765" ht="12.75" customHeight="1">
      <c r="A765" s="106"/>
      <c r="B765" s="106"/>
      <c r="C765" s="106"/>
      <c r="D765" s="101"/>
      <c r="E765" s="106"/>
      <c r="F765" s="10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9"/>
      <c r="V765" s="109"/>
    </row>
    <row r="766" ht="12.75" customHeight="1">
      <c r="A766" s="106"/>
      <c r="B766" s="106"/>
      <c r="C766" s="106"/>
      <c r="D766" s="101"/>
      <c r="E766" s="106"/>
      <c r="F766" s="10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9"/>
      <c r="V766" s="109"/>
    </row>
    <row r="767" ht="12.75" customHeight="1">
      <c r="A767" s="106"/>
      <c r="B767" s="106"/>
      <c r="C767" s="106"/>
      <c r="D767" s="101"/>
      <c r="E767" s="106"/>
      <c r="F767" s="10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9"/>
      <c r="V767" s="109"/>
    </row>
    <row r="768" ht="12.75" customHeight="1">
      <c r="A768" s="106"/>
      <c r="B768" s="106"/>
      <c r="C768" s="106"/>
      <c r="D768" s="101"/>
      <c r="E768" s="106"/>
      <c r="F768" s="10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9"/>
      <c r="V768" s="109"/>
    </row>
    <row r="769" ht="12.75" customHeight="1">
      <c r="A769" s="106"/>
      <c r="B769" s="106"/>
      <c r="C769" s="106"/>
      <c r="D769" s="101"/>
      <c r="E769" s="106"/>
      <c r="F769" s="10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9"/>
      <c r="V769" s="109"/>
    </row>
    <row r="770" ht="12.75" customHeight="1">
      <c r="A770" s="106"/>
      <c r="B770" s="106"/>
      <c r="C770" s="106"/>
      <c r="D770" s="101"/>
      <c r="E770" s="106"/>
      <c r="F770" s="10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9"/>
      <c r="V770" s="109"/>
    </row>
    <row r="771" ht="12.75" customHeight="1">
      <c r="A771" s="106"/>
      <c r="B771" s="106"/>
      <c r="C771" s="106"/>
      <c r="D771" s="101"/>
      <c r="E771" s="106"/>
      <c r="F771" s="10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9"/>
      <c r="V771" s="109"/>
    </row>
    <row r="772" ht="12.75" customHeight="1">
      <c r="A772" s="106"/>
      <c r="B772" s="106"/>
      <c r="C772" s="106"/>
      <c r="D772" s="101"/>
      <c r="E772" s="106"/>
      <c r="F772" s="10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9"/>
      <c r="V772" s="109"/>
    </row>
    <row r="773" ht="12.75" customHeight="1">
      <c r="A773" s="106"/>
      <c r="B773" s="106"/>
      <c r="C773" s="106"/>
      <c r="D773" s="101"/>
      <c r="E773" s="106"/>
      <c r="F773" s="10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9"/>
      <c r="V773" s="109"/>
    </row>
    <row r="774" ht="12.75" customHeight="1">
      <c r="A774" s="106"/>
      <c r="B774" s="106"/>
      <c r="C774" s="106"/>
      <c r="D774" s="101"/>
      <c r="E774" s="106"/>
      <c r="F774" s="10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9"/>
      <c r="V774" s="109"/>
    </row>
    <row r="775" ht="12.75" customHeight="1">
      <c r="A775" s="106"/>
      <c r="B775" s="106"/>
      <c r="C775" s="106"/>
      <c r="D775" s="101"/>
      <c r="E775" s="106"/>
      <c r="F775" s="10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9"/>
      <c r="V775" s="109"/>
    </row>
    <row r="776" ht="12.75" customHeight="1">
      <c r="A776" s="106"/>
      <c r="B776" s="106"/>
      <c r="C776" s="106"/>
      <c r="D776" s="101"/>
      <c r="E776" s="106"/>
      <c r="F776" s="10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9"/>
      <c r="V776" s="109"/>
    </row>
    <row r="777" ht="12.75" customHeight="1">
      <c r="A777" s="106"/>
      <c r="B777" s="106"/>
      <c r="C777" s="106"/>
      <c r="D777" s="101"/>
      <c r="E777" s="106"/>
      <c r="F777" s="10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9"/>
      <c r="V777" s="109"/>
    </row>
    <row r="778" ht="12.75" customHeight="1">
      <c r="A778" s="106"/>
      <c r="B778" s="106"/>
      <c r="C778" s="106"/>
      <c r="D778" s="101"/>
      <c r="E778" s="106"/>
      <c r="F778" s="10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9"/>
      <c r="V778" s="109"/>
    </row>
    <row r="779" ht="12.75" customHeight="1">
      <c r="A779" s="106"/>
      <c r="B779" s="106"/>
      <c r="C779" s="106"/>
      <c r="D779" s="101"/>
      <c r="E779" s="106"/>
      <c r="F779" s="10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9"/>
      <c r="V779" s="109"/>
    </row>
    <row r="780" ht="12.75" customHeight="1">
      <c r="A780" s="106"/>
      <c r="B780" s="106"/>
      <c r="C780" s="106"/>
      <c r="D780" s="101"/>
      <c r="E780" s="106"/>
      <c r="F780" s="10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9"/>
      <c r="V780" s="109"/>
    </row>
    <row r="781" ht="12.75" customHeight="1">
      <c r="A781" s="106"/>
      <c r="B781" s="106"/>
      <c r="C781" s="106"/>
      <c r="D781" s="101"/>
      <c r="E781" s="106"/>
      <c r="F781" s="10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9"/>
      <c r="V781" s="109"/>
    </row>
    <row r="782" ht="12.75" customHeight="1">
      <c r="A782" s="106"/>
      <c r="B782" s="106"/>
      <c r="C782" s="106"/>
      <c r="D782" s="101"/>
      <c r="E782" s="106"/>
      <c r="F782" s="10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9"/>
      <c r="V782" s="109"/>
    </row>
    <row r="783" ht="12.75" customHeight="1">
      <c r="A783" s="106"/>
      <c r="B783" s="106"/>
      <c r="C783" s="106"/>
      <c r="D783" s="101"/>
      <c r="E783" s="106"/>
      <c r="F783" s="10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9"/>
      <c r="V783" s="109"/>
    </row>
    <row r="784" ht="12.75" customHeight="1">
      <c r="A784" s="106"/>
      <c r="B784" s="106"/>
      <c r="C784" s="106"/>
      <c r="D784" s="101"/>
      <c r="E784" s="106"/>
      <c r="F784" s="10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9"/>
      <c r="V784" s="109"/>
    </row>
    <row r="785" ht="12.75" customHeight="1">
      <c r="A785" s="106"/>
      <c r="B785" s="106"/>
      <c r="C785" s="106"/>
      <c r="D785" s="101"/>
      <c r="E785" s="106"/>
      <c r="F785" s="10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9"/>
      <c r="V785" s="109"/>
    </row>
    <row r="786" ht="12.75" customHeight="1">
      <c r="A786" s="106"/>
      <c r="B786" s="106"/>
      <c r="C786" s="106"/>
      <c r="D786" s="101"/>
      <c r="E786" s="106"/>
      <c r="F786" s="10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9"/>
      <c r="V786" s="109"/>
    </row>
    <row r="787" ht="12.75" customHeight="1">
      <c r="A787" s="106"/>
      <c r="B787" s="106"/>
      <c r="C787" s="106"/>
      <c r="D787" s="101"/>
      <c r="E787" s="106"/>
      <c r="F787" s="10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9"/>
      <c r="V787" s="109"/>
    </row>
    <row r="788" ht="12.75" customHeight="1">
      <c r="A788" s="106"/>
      <c r="B788" s="106"/>
      <c r="C788" s="106"/>
      <c r="D788" s="101"/>
      <c r="E788" s="106"/>
      <c r="F788" s="10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9"/>
      <c r="V788" s="109"/>
    </row>
    <row r="789" ht="12.75" customHeight="1">
      <c r="A789" s="106"/>
      <c r="B789" s="106"/>
      <c r="C789" s="106"/>
      <c r="D789" s="101"/>
      <c r="E789" s="106"/>
      <c r="F789" s="10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9"/>
      <c r="V789" s="109"/>
    </row>
    <row r="790" ht="12.75" customHeight="1">
      <c r="A790" s="106"/>
      <c r="B790" s="106"/>
      <c r="C790" s="106"/>
      <c r="D790" s="101"/>
      <c r="E790" s="106"/>
      <c r="F790" s="10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9"/>
      <c r="V790" s="109"/>
    </row>
    <row r="791" ht="12.75" customHeight="1">
      <c r="A791" s="106"/>
      <c r="B791" s="106"/>
      <c r="C791" s="106"/>
      <c r="D791" s="101"/>
      <c r="E791" s="106"/>
      <c r="F791" s="10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9"/>
      <c r="V791" s="109"/>
    </row>
    <row r="792" ht="12.75" customHeight="1">
      <c r="A792" s="106"/>
      <c r="B792" s="106"/>
      <c r="C792" s="106"/>
      <c r="D792" s="101"/>
      <c r="E792" s="106"/>
      <c r="F792" s="10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9"/>
      <c r="V792" s="109"/>
    </row>
    <row r="793" ht="12.75" customHeight="1">
      <c r="A793" s="106"/>
      <c r="B793" s="106"/>
      <c r="C793" s="106"/>
      <c r="D793" s="101"/>
      <c r="E793" s="106"/>
      <c r="F793" s="10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9"/>
      <c r="V793" s="109"/>
    </row>
    <row r="794" ht="12.75" customHeight="1">
      <c r="A794" s="106"/>
      <c r="B794" s="106"/>
      <c r="C794" s="106"/>
      <c r="D794" s="101"/>
      <c r="E794" s="106"/>
      <c r="F794" s="10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9"/>
      <c r="V794" s="109"/>
    </row>
    <row r="795" ht="12.75" customHeight="1">
      <c r="A795" s="106"/>
      <c r="B795" s="106"/>
      <c r="C795" s="106"/>
      <c r="D795" s="101"/>
      <c r="E795" s="106"/>
      <c r="F795" s="10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9"/>
      <c r="V795" s="109"/>
    </row>
    <row r="796" ht="12.75" customHeight="1">
      <c r="A796" s="106"/>
      <c r="B796" s="106"/>
      <c r="C796" s="106"/>
      <c r="D796" s="101"/>
      <c r="E796" s="106"/>
      <c r="F796" s="10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9"/>
      <c r="V796" s="109"/>
    </row>
    <row r="797" ht="12.75" customHeight="1">
      <c r="A797" s="106"/>
      <c r="B797" s="106"/>
      <c r="C797" s="106"/>
      <c r="D797" s="101"/>
      <c r="E797" s="106"/>
      <c r="F797" s="10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9"/>
      <c r="V797" s="109"/>
    </row>
    <row r="798" ht="12.75" customHeight="1">
      <c r="A798" s="106"/>
      <c r="B798" s="106"/>
      <c r="C798" s="106"/>
      <c r="D798" s="101"/>
      <c r="E798" s="106"/>
      <c r="F798" s="10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9"/>
      <c r="V798" s="109"/>
    </row>
    <row r="799" ht="12.75" customHeight="1">
      <c r="A799" s="106"/>
      <c r="B799" s="106"/>
      <c r="C799" s="106"/>
      <c r="D799" s="101"/>
      <c r="E799" s="106"/>
      <c r="F799" s="10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9"/>
      <c r="V799" s="109"/>
    </row>
    <row r="800" ht="12.75" customHeight="1">
      <c r="A800" s="106"/>
      <c r="B800" s="106"/>
      <c r="C800" s="106"/>
      <c r="D800" s="101"/>
      <c r="E800" s="106"/>
      <c r="F800" s="10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9"/>
      <c r="V800" s="109"/>
    </row>
    <row r="801" ht="12.75" customHeight="1">
      <c r="A801" s="106"/>
      <c r="B801" s="106"/>
      <c r="C801" s="106"/>
      <c r="D801" s="101"/>
      <c r="E801" s="106"/>
      <c r="F801" s="10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9"/>
      <c r="V801" s="109"/>
    </row>
    <row r="802" ht="12.75" customHeight="1">
      <c r="A802" s="106"/>
      <c r="B802" s="106"/>
      <c r="C802" s="106"/>
      <c r="D802" s="101"/>
      <c r="E802" s="106"/>
      <c r="F802" s="10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9"/>
      <c r="V802" s="109"/>
    </row>
    <row r="803" ht="12.75" customHeight="1">
      <c r="A803" s="106"/>
      <c r="B803" s="106"/>
      <c r="C803" s="106"/>
      <c r="D803" s="101"/>
      <c r="E803" s="106"/>
      <c r="F803" s="10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9"/>
      <c r="V803" s="109"/>
    </row>
    <row r="804" ht="12.75" customHeight="1">
      <c r="A804" s="106"/>
      <c r="B804" s="106"/>
      <c r="C804" s="106"/>
      <c r="D804" s="101"/>
      <c r="E804" s="106"/>
      <c r="F804" s="10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9"/>
      <c r="V804" s="109"/>
    </row>
    <row r="805" ht="12.75" customHeight="1">
      <c r="A805" s="106"/>
      <c r="B805" s="106"/>
      <c r="C805" s="106"/>
      <c r="D805" s="101"/>
      <c r="E805" s="106"/>
      <c r="F805" s="10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9"/>
      <c r="V805" s="109"/>
    </row>
    <row r="806" ht="12.75" customHeight="1">
      <c r="A806" s="106"/>
      <c r="B806" s="106"/>
      <c r="C806" s="106"/>
      <c r="D806" s="101"/>
      <c r="E806" s="106"/>
      <c r="F806" s="10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9"/>
      <c r="V806" s="109"/>
    </row>
    <row r="807" ht="12.75" customHeight="1">
      <c r="A807" s="106"/>
      <c r="B807" s="106"/>
      <c r="C807" s="106"/>
      <c r="D807" s="101"/>
      <c r="E807" s="106"/>
      <c r="F807" s="10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9"/>
      <c r="V807" s="109"/>
    </row>
    <row r="808" ht="12.75" customHeight="1">
      <c r="A808" s="106"/>
      <c r="B808" s="106"/>
      <c r="C808" s="106"/>
      <c r="D808" s="101"/>
      <c r="E808" s="106"/>
      <c r="F808" s="10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9"/>
      <c r="V808" s="109"/>
    </row>
    <row r="809" ht="12.75" customHeight="1">
      <c r="A809" s="106"/>
      <c r="B809" s="106"/>
      <c r="C809" s="106"/>
      <c r="D809" s="101"/>
      <c r="E809" s="106"/>
      <c r="F809" s="10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9"/>
      <c r="V809" s="109"/>
    </row>
    <row r="810" ht="12.75" customHeight="1">
      <c r="A810" s="106"/>
      <c r="B810" s="106"/>
      <c r="C810" s="106"/>
      <c r="D810" s="101"/>
      <c r="E810" s="106"/>
      <c r="F810" s="10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9"/>
      <c r="V810" s="109"/>
    </row>
    <row r="811" ht="12.75" customHeight="1">
      <c r="A811" s="106"/>
      <c r="B811" s="106"/>
      <c r="C811" s="106"/>
      <c r="D811" s="101"/>
      <c r="E811" s="106"/>
      <c r="F811" s="10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9"/>
      <c r="V811" s="109"/>
    </row>
    <row r="812" ht="12.75" customHeight="1">
      <c r="A812" s="106"/>
      <c r="B812" s="106"/>
      <c r="C812" s="106"/>
      <c r="D812" s="101"/>
      <c r="E812" s="106"/>
      <c r="F812" s="10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9"/>
      <c r="V812" s="109"/>
    </row>
    <row r="813" ht="12.75" customHeight="1">
      <c r="A813" s="106"/>
      <c r="B813" s="106"/>
      <c r="C813" s="106"/>
      <c r="D813" s="101"/>
      <c r="E813" s="106"/>
      <c r="F813" s="10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9"/>
      <c r="V813" s="109"/>
    </row>
    <row r="814" ht="12.75" customHeight="1">
      <c r="A814" s="106"/>
      <c r="B814" s="106"/>
      <c r="C814" s="106"/>
      <c r="D814" s="101"/>
      <c r="E814" s="106"/>
      <c r="F814" s="10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9"/>
      <c r="V814" s="109"/>
    </row>
    <row r="815" ht="12.75" customHeight="1">
      <c r="A815" s="106"/>
      <c r="B815" s="106"/>
      <c r="C815" s="106"/>
      <c r="D815" s="101"/>
      <c r="E815" s="106"/>
      <c r="F815" s="10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9"/>
      <c r="V815" s="109"/>
    </row>
    <row r="816" ht="12.75" customHeight="1">
      <c r="A816" s="106"/>
      <c r="B816" s="106"/>
      <c r="C816" s="106"/>
      <c r="D816" s="101"/>
      <c r="E816" s="106"/>
      <c r="F816" s="10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9"/>
      <c r="V816" s="109"/>
    </row>
    <row r="817" ht="12.75" customHeight="1">
      <c r="A817" s="106"/>
      <c r="B817" s="106"/>
      <c r="C817" s="106"/>
      <c r="D817" s="101"/>
      <c r="E817" s="106"/>
      <c r="F817" s="10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9"/>
      <c r="V817" s="109"/>
    </row>
    <row r="818" ht="12.75" customHeight="1">
      <c r="A818" s="106"/>
      <c r="B818" s="106"/>
      <c r="C818" s="106"/>
      <c r="D818" s="101"/>
      <c r="E818" s="106"/>
      <c r="F818" s="10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9"/>
      <c r="V818" s="109"/>
    </row>
    <row r="819" ht="12.75" customHeight="1">
      <c r="A819" s="106"/>
      <c r="B819" s="106"/>
      <c r="C819" s="106"/>
      <c r="D819" s="101"/>
      <c r="E819" s="106"/>
      <c r="F819" s="10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9"/>
      <c r="V819" s="109"/>
    </row>
    <row r="820" ht="12.75" customHeight="1">
      <c r="A820" s="106"/>
      <c r="B820" s="106"/>
      <c r="C820" s="106"/>
      <c r="D820" s="101"/>
      <c r="E820" s="106"/>
      <c r="F820" s="10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9"/>
      <c r="V820" s="109"/>
    </row>
    <row r="821" ht="12.75" customHeight="1">
      <c r="A821" s="106"/>
      <c r="B821" s="106"/>
      <c r="C821" s="106"/>
      <c r="D821" s="101"/>
      <c r="E821" s="106"/>
      <c r="F821" s="10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9"/>
      <c r="V821" s="109"/>
    </row>
    <row r="822" ht="12.75" customHeight="1">
      <c r="A822" s="106"/>
      <c r="B822" s="106"/>
      <c r="C822" s="106"/>
      <c r="D822" s="101"/>
      <c r="E822" s="106"/>
      <c r="F822" s="10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9"/>
      <c r="V822" s="109"/>
    </row>
    <row r="823" ht="12.75" customHeight="1">
      <c r="A823" s="106"/>
      <c r="B823" s="106"/>
      <c r="C823" s="106"/>
      <c r="D823" s="101"/>
      <c r="E823" s="106"/>
      <c r="F823" s="10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9"/>
      <c r="V823" s="109"/>
    </row>
    <row r="824" ht="12.75" customHeight="1">
      <c r="A824" s="106"/>
      <c r="B824" s="106"/>
      <c r="C824" s="106"/>
      <c r="D824" s="101"/>
      <c r="E824" s="106"/>
      <c r="F824" s="10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9"/>
      <c r="V824" s="109"/>
    </row>
    <row r="825" ht="12.75" customHeight="1">
      <c r="A825" s="106"/>
      <c r="B825" s="106"/>
      <c r="C825" s="106"/>
      <c r="D825" s="101"/>
      <c r="E825" s="106"/>
      <c r="F825" s="10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9"/>
      <c r="V825" s="109"/>
    </row>
    <row r="826" ht="12.75" customHeight="1">
      <c r="A826" s="106"/>
      <c r="B826" s="106"/>
      <c r="C826" s="106"/>
      <c r="D826" s="101"/>
      <c r="E826" s="106"/>
      <c r="F826" s="10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9"/>
      <c r="V826" s="109"/>
    </row>
    <row r="827" ht="12.75" customHeight="1">
      <c r="A827" s="106"/>
      <c r="B827" s="106"/>
      <c r="C827" s="106"/>
      <c r="D827" s="101"/>
      <c r="E827" s="106"/>
      <c r="F827" s="10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9"/>
      <c r="V827" s="109"/>
    </row>
    <row r="828" ht="12.75" customHeight="1">
      <c r="A828" s="106"/>
      <c r="B828" s="106"/>
      <c r="C828" s="106"/>
      <c r="D828" s="101"/>
      <c r="E828" s="106"/>
      <c r="F828" s="10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9"/>
      <c r="V828" s="109"/>
    </row>
    <row r="829" ht="12.75" customHeight="1">
      <c r="A829" s="106"/>
      <c r="B829" s="106"/>
      <c r="C829" s="106"/>
      <c r="D829" s="101"/>
      <c r="E829" s="106"/>
      <c r="F829" s="10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9"/>
      <c r="V829" s="109"/>
    </row>
    <row r="830" ht="12.75" customHeight="1">
      <c r="A830" s="106"/>
      <c r="B830" s="106"/>
      <c r="C830" s="106"/>
      <c r="D830" s="101"/>
      <c r="E830" s="106"/>
      <c r="F830" s="10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9"/>
      <c r="V830" s="109"/>
    </row>
    <row r="831" ht="12.75" customHeight="1">
      <c r="A831" s="106"/>
      <c r="B831" s="106"/>
      <c r="C831" s="106"/>
      <c r="D831" s="101"/>
      <c r="E831" s="106"/>
      <c r="F831" s="10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9"/>
      <c r="V831" s="109"/>
    </row>
    <row r="832" ht="12.75" customHeight="1">
      <c r="A832" s="106"/>
      <c r="B832" s="106"/>
      <c r="C832" s="106"/>
      <c r="D832" s="101"/>
      <c r="E832" s="106"/>
      <c r="F832" s="10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9"/>
      <c r="V832" s="109"/>
    </row>
    <row r="833" ht="12.75" customHeight="1">
      <c r="A833" s="106"/>
      <c r="B833" s="106"/>
      <c r="C833" s="106"/>
      <c r="D833" s="101"/>
      <c r="E833" s="106"/>
      <c r="F833" s="10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9"/>
      <c r="V833" s="109"/>
    </row>
    <row r="834" ht="12.75" customHeight="1">
      <c r="A834" s="106"/>
      <c r="B834" s="106"/>
      <c r="C834" s="106"/>
      <c r="D834" s="101"/>
      <c r="E834" s="106"/>
      <c r="F834" s="10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9"/>
      <c r="V834" s="109"/>
    </row>
    <row r="835" ht="12.75" customHeight="1">
      <c r="A835" s="106"/>
      <c r="B835" s="106"/>
      <c r="C835" s="106"/>
      <c r="D835" s="101"/>
      <c r="E835" s="106"/>
      <c r="F835" s="10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9"/>
      <c r="V835" s="109"/>
    </row>
    <row r="836" ht="12.75" customHeight="1">
      <c r="A836" s="106"/>
      <c r="B836" s="106"/>
      <c r="C836" s="106"/>
      <c r="D836" s="101"/>
      <c r="E836" s="106"/>
      <c r="F836" s="10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9"/>
      <c r="V836" s="109"/>
    </row>
    <row r="837" ht="12.75" customHeight="1">
      <c r="A837" s="106"/>
      <c r="B837" s="106"/>
      <c r="C837" s="106"/>
      <c r="D837" s="101"/>
      <c r="E837" s="106"/>
      <c r="F837" s="10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9"/>
      <c r="V837" s="109"/>
    </row>
    <row r="838" ht="12.75" customHeight="1">
      <c r="A838" s="106"/>
      <c r="B838" s="106"/>
      <c r="C838" s="106"/>
      <c r="D838" s="101"/>
      <c r="E838" s="106"/>
      <c r="F838" s="10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9"/>
      <c r="V838" s="109"/>
    </row>
    <row r="839" ht="12.75" customHeight="1">
      <c r="A839" s="106"/>
      <c r="B839" s="106"/>
      <c r="C839" s="106"/>
      <c r="D839" s="101"/>
      <c r="E839" s="106"/>
      <c r="F839" s="10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9"/>
      <c r="V839" s="109"/>
    </row>
    <row r="840" ht="12.75" customHeight="1">
      <c r="A840" s="106"/>
      <c r="B840" s="106"/>
      <c r="C840" s="106"/>
      <c r="D840" s="101"/>
      <c r="E840" s="106"/>
      <c r="F840" s="10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9"/>
      <c r="V840" s="109"/>
    </row>
    <row r="841" ht="12.75" customHeight="1">
      <c r="A841" s="106"/>
      <c r="B841" s="106"/>
      <c r="C841" s="106"/>
      <c r="D841" s="101"/>
      <c r="E841" s="106"/>
      <c r="F841" s="10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9"/>
      <c r="V841" s="109"/>
    </row>
    <row r="842" ht="12.75" customHeight="1">
      <c r="A842" s="106"/>
      <c r="B842" s="106"/>
      <c r="C842" s="106"/>
      <c r="D842" s="101"/>
      <c r="E842" s="106"/>
      <c r="F842" s="10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9"/>
      <c r="V842" s="109"/>
    </row>
    <row r="843" ht="12.75" customHeight="1">
      <c r="A843" s="106"/>
      <c r="B843" s="106"/>
      <c r="C843" s="106"/>
      <c r="D843" s="101"/>
      <c r="E843" s="106"/>
      <c r="F843" s="10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9"/>
      <c r="V843" s="109"/>
    </row>
    <row r="844" ht="12.75" customHeight="1">
      <c r="A844" s="106"/>
      <c r="B844" s="106"/>
      <c r="C844" s="106"/>
      <c r="D844" s="101"/>
      <c r="E844" s="106"/>
      <c r="F844" s="10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9"/>
      <c r="V844" s="109"/>
    </row>
    <row r="845" ht="12.75" customHeight="1">
      <c r="A845" s="106"/>
      <c r="B845" s="106"/>
      <c r="C845" s="106"/>
      <c r="D845" s="101"/>
      <c r="E845" s="106"/>
      <c r="F845" s="10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9"/>
      <c r="V845" s="109"/>
    </row>
    <row r="846" ht="12.75" customHeight="1">
      <c r="A846" s="106"/>
      <c r="B846" s="106"/>
      <c r="C846" s="106"/>
      <c r="D846" s="101"/>
      <c r="E846" s="106"/>
      <c r="F846" s="10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9"/>
      <c r="V846" s="109"/>
    </row>
    <row r="847" ht="12.75" customHeight="1">
      <c r="A847" s="106"/>
      <c r="B847" s="106"/>
      <c r="C847" s="106"/>
      <c r="D847" s="101"/>
      <c r="E847" s="106"/>
      <c r="F847" s="10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9"/>
      <c r="V847" s="109"/>
    </row>
    <row r="848" ht="12.75" customHeight="1">
      <c r="A848" s="106"/>
      <c r="B848" s="106"/>
      <c r="C848" s="106"/>
      <c r="D848" s="101"/>
      <c r="E848" s="106"/>
      <c r="F848" s="10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9"/>
      <c r="V848" s="109"/>
    </row>
    <row r="849" ht="12.75" customHeight="1">
      <c r="A849" s="106"/>
      <c r="B849" s="106"/>
      <c r="C849" s="106"/>
      <c r="D849" s="101"/>
      <c r="E849" s="106"/>
      <c r="F849" s="10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9"/>
      <c r="V849" s="109"/>
    </row>
    <row r="850" ht="12.75" customHeight="1">
      <c r="A850" s="106"/>
      <c r="B850" s="106"/>
      <c r="C850" s="106"/>
      <c r="D850" s="101"/>
      <c r="E850" s="106"/>
      <c r="F850" s="10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9"/>
      <c r="V850" s="109"/>
    </row>
    <row r="851" ht="12.75" customHeight="1">
      <c r="A851" s="106"/>
      <c r="B851" s="106"/>
      <c r="C851" s="106"/>
      <c r="D851" s="101"/>
      <c r="E851" s="106"/>
      <c r="F851" s="10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9"/>
      <c r="V851" s="109"/>
    </row>
    <row r="852" ht="12.75" customHeight="1">
      <c r="A852" s="106"/>
      <c r="B852" s="106"/>
      <c r="C852" s="106"/>
      <c r="D852" s="101"/>
      <c r="E852" s="106"/>
      <c r="F852" s="10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9"/>
      <c r="V852" s="109"/>
    </row>
    <row r="853" ht="12.75" customHeight="1">
      <c r="A853" s="106"/>
      <c r="B853" s="106"/>
      <c r="C853" s="106"/>
      <c r="D853" s="101"/>
      <c r="E853" s="106"/>
      <c r="F853" s="10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9"/>
      <c r="V853" s="109"/>
    </row>
    <row r="854" ht="12.75" customHeight="1">
      <c r="A854" s="106"/>
      <c r="B854" s="106"/>
      <c r="C854" s="106"/>
      <c r="D854" s="101"/>
      <c r="E854" s="106"/>
      <c r="F854" s="10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9"/>
      <c r="V854" s="109"/>
    </row>
    <row r="855" ht="12.75" customHeight="1">
      <c r="A855" s="106"/>
      <c r="B855" s="106"/>
      <c r="C855" s="106"/>
      <c r="D855" s="101"/>
      <c r="E855" s="106"/>
      <c r="F855" s="10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9"/>
      <c r="V855" s="109"/>
    </row>
    <row r="856" ht="12.75" customHeight="1">
      <c r="A856" s="106"/>
      <c r="B856" s="106"/>
      <c r="C856" s="106"/>
      <c r="D856" s="101"/>
      <c r="E856" s="106"/>
      <c r="F856" s="10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9"/>
      <c r="V856" s="109"/>
    </row>
    <row r="857" ht="12.75" customHeight="1">
      <c r="A857" s="106"/>
      <c r="B857" s="106"/>
      <c r="C857" s="106"/>
      <c r="D857" s="101"/>
      <c r="E857" s="106"/>
      <c r="F857" s="10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9"/>
      <c r="V857" s="109"/>
    </row>
    <row r="858" ht="12.75" customHeight="1">
      <c r="A858" s="106"/>
      <c r="B858" s="106"/>
      <c r="C858" s="106"/>
      <c r="D858" s="101"/>
      <c r="E858" s="106"/>
      <c r="F858" s="10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9"/>
      <c r="V858" s="109"/>
    </row>
    <row r="859" ht="12.75" customHeight="1">
      <c r="A859" s="106"/>
      <c r="B859" s="106"/>
      <c r="C859" s="106"/>
      <c r="D859" s="101"/>
      <c r="E859" s="106"/>
      <c r="F859" s="10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9"/>
      <c r="V859" s="109"/>
    </row>
    <row r="860" ht="12.75" customHeight="1">
      <c r="A860" s="106"/>
      <c r="B860" s="106"/>
      <c r="C860" s="106"/>
      <c r="D860" s="101"/>
      <c r="E860" s="106"/>
      <c r="F860" s="10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9"/>
      <c r="V860" s="109"/>
    </row>
    <row r="861" ht="12.75" customHeight="1">
      <c r="A861" s="106"/>
      <c r="B861" s="106"/>
      <c r="C861" s="106"/>
      <c r="D861" s="101"/>
      <c r="E861" s="106"/>
      <c r="F861" s="10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9"/>
      <c r="V861" s="109"/>
    </row>
    <row r="862" ht="12.75" customHeight="1">
      <c r="A862" s="106"/>
      <c r="B862" s="106"/>
      <c r="C862" s="106"/>
      <c r="D862" s="101"/>
      <c r="E862" s="106"/>
      <c r="F862" s="10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9"/>
      <c r="V862" s="109"/>
    </row>
    <row r="863" ht="12.75" customHeight="1">
      <c r="A863" s="106"/>
      <c r="B863" s="106"/>
      <c r="C863" s="106"/>
      <c r="D863" s="101"/>
      <c r="E863" s="106"/>
      <c r="F863" s="10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9"/>
      <c r="V863" s="109"/>
    </row>
    <row r="864" ht="12.75" customHeight="1">
      <c r="A864" s="106"/>
      <c r="B864" s="106"/>
      <c r="C864" s="106"/>
      <c r="D864" s="101"/>
      <c r="E864" s="106"/>
      <c r="F864" s="10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9"/>
      <c r="V864" s="109"/>
    </row>
    <row r="865" ht="12.75" customHeight="1">
      <c r="A865" s="106"/>
      <c r="B865" s="106"/>
      <c r="C865" s="106"/>
      <c r="D865" s="101"/>
      <c r="E865" s="106"/>
      <c r="F865" s="10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9"/>
      <c r="V865" s="109"/>
    </row>
    <row r="866" ht="12.75" customHeight="1">
      <c r="A866" s="106"/>
      <c r="B866" s="106"/>
      <c r="C866" s="106"/>
      <c r="D866" s="101"/>
      <c r="E866" s="106"/>
      <c r="F866" s="10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9"/>
      <c r="V866" s="109"/>
    </row>
    <row r="867" ht="12.75" customHeight="1">
      <c r="A867" s="106"/>
      <c r="B867" s="106"/>
      <c r="C867" s="106"/>
      <c r="D867" s="101"/>
      <c r="E867" s="106"/>
      <c r="F867" s="10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9"/>
      <c r="V867" s="109"/>
    </row>
    <row r="868" ht="12.75" customHeight="1">
      <c r="A868" s="106"/>
      <c r="B868" s="106"/>
      <c r="C868" s="106"/>
      <c r="D868" s="101"/>
      <c r="E868" s="106"/>
      <c r="F868" s="10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9"/>
      <c r="V868" s="109"/>
    </row>
    <row r="869" ht="12.75" customHeight="1">
      <c r="A869" s="106"/>
      <c r="B869" s="106"/>
      <c r="C869" s="106"/>
      <c r="D869" s="101"/>
      <c r="E869" s="106"/>
      <c r="F869" s="10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9"/>
      <c r="V869" s="109"/>
    </row>
    <row r="870" ht="12.75" customHeight="1">
      <c r="A870" s="106"/>
      <c r="B870" s="106"/>
      <c r="C870" s="106"/>
      <c r="D870" s="101"/>
      <c r="E870" s="106"/>
      <c r="F870" s="10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9"/>
      <c r="V870" s="109"/>
    </row>
    <row r="871" ht="12.75" customHeight="1">
      <c r="A871" s="106"/>
      <c r="B871" s="106"/>
      <c r="C871" s="106"/>
      <c r="D871" s="101"/>
      <c r="E871" s="106"/>
      <c r="F871" s="10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9"/>
      <c r="V871" s="109"/>
    </row>
    <row r="872" ht="12.75" customHeight="1">
      <c r="A872" s="106"/>
      <c r="B872" s="106"/>
      <c r="C872" s="106"/>
      <c r="D872" s="101"/>
      <c r="E872" s="106"/>
      <c r="F872" s="10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9"/>
      <c r="V872" s="109"/>
    </row>
    <row r="873" ht="12.75" customHeight="1">
      <c r="A873" s="106"/>
      <c r="B873" s="106"/>
      <c r="C873" s="106"/>
      <c r="D873" s="101"/>
      <c r="E873" s="106"/>
      <c r="F873" s="10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9"/>
      <c r="V873" s="109"/>
    </row>
    <row r="874" ht="12.75" customHeight="1">
      <c r="A874" s="106"/>
      <c r="B874" s="106"/>
      <c r="C874" s="106"/>
      <c r="D874" s="101"/>
      <c r="E874" s="106"/>
      <c r="F874" s="10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9"/>
      <c r="V874" s="109"/>
    </row>
    <row r="875" ht="12.75" customHeight="1">
      <c r="A875" s="106"/>
      <c r="B875" s="106"/>
      <c r="C875" s="106"/>
      <c r="D875" s="101"/>
      <c r="E875" s="106"/>
      <c r="F875" s="10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9"/>
      <c r="V875" s="109"/>
    </row>
    <row r="876" ht="12.75" customHeight="1">
      <c r="A876" s="106"/>
      <c r="B876" s="106"/>
      <c r="C876" s="106"/>
      <c r="D876" s="101"/>
      <c r="E876" s="106"/>
      <c r="F876" s="10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9"/>
      <c r="V876" s="109"/>
    </row>
    <row r="877" ht="12.75" customHeight="1">
      <c r="A877" s="106"/>
      <c r="B877" s="106"/>
      <c r="C877" s="106"/>
      <c r="D877" s="101"/>
      <c r="E877" s="106"/>
      <c r="F877" s="10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9"/>
      <c r="V877" s="109"/>
    </row>
    <row r="878" ht="12.75" customHeight="1">
      <c r="A878" s="106"/>
      <c r="B878" s="106"/>
      <c r="C878" s="106"/>
      <c r="D878" s="101"/>
      <c r="E878" s="106"/>
      <c r="F878" s="10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9"/>
      <c r="V878" s="109"/>
    </row>
    <row r="879" ht="12.75" customHeight="1">
      <c r="A879" s="106"/>
      <c r="B879" s="106"/>
      <c r="C879" s="106"/>
      <c r="D879" s="101"/>
      <c r="E879" s="106"/>
      <c r="F879" s="10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9"/>
      <c r="V879" s="109"/>
    </row>
    <row r="880" ht="12.75" customHeight="1">
      <c r="A880" s="106"/>
      <c r="B880" s="106"/>
      <c r="C880" s="106"/>
      <c r="D880" s="101"/>
      <c r="E880" s="106"/>
      <c r="F880" s="10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9"/>
      <c r="V880" s="109"/>
    </row>
    <row r="881" ht="12.75" customHeight="1">
      <c r="A881" s="106"/>
      <c r="B881" s="106"/>
      <c r="C881" s="106"/>
      <c r="D881" s="101"/>
      <c r="E881" s="106"/>
      <c r="F881" s="10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9"/>
      <c r="V881" s="109"/>
    </row>
    <row r="882" ht="12.75" customHeight="1">
      <c r="A882" s="106"/>
      <c r="B882" s="106"/>
      <c r="C882" s="106"/>
      <c r="D882" s="101"/>
      <c r="E882" s="106"/>
      <c r="F882" s="10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9"/>
      <c r="V882" s="109"/>
    </row>
    <row r="883" ht="12.75" customHeight="1">
      <c r="A883" s="106"/>
      <c r="B883" s="106"/>
      <c r="C883" s="106"/>
      <c r="D883" s="101"/>
      <c r="E883" s="106"/>
      <c r="F883" s="10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9"/>
      <c r="V883" s="109"/>
    </row>
    <row r="884" ht="12.75" customHeight="1">
      <c r="A884" s="106"/>
      <c r="B884" s="106"/>
      <c r="C884" s="106"/>
      <c r="D884" s="101"/>
      <c r="E884" s="106"/>
      <c r="F884" s="10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9"/>
      <c r="V884" s="109"/>
    </row>
    <row r="885" ht="12.75" customHeight="1">
      <c r="A885" s="106"/>
      <c r="B885" s="106"/>
      <c r="C885" s="106"/>
      <c r="D885" s="101"/>
      <c r="E885" s="106"/>
      <c r="F885" s="10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9"/>
      <c r="V885" s="109"/>
    </row>
    <row r="886" ht="12.75" customHeight="1">
      <c r="A886" s="106"/>
      <c r="B886" s="106"/>
      <c r="C886" s="106"/>
      <c r="D886" s="101"/>
      <c r="E886" s="106"/>
      <c r="F886" s="10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9"/>
      <c r="V886" s="109"/>
    </row>
    <row r="887" ht="12.75" customHeight="1">
      <c r="A887" s="106"/>
      <c r="B887" s="106"/>
      <c r="C887" s="106"/>
      <c r="D887" s="101"/>
      <c r="E887" s="106"/>
      <c r="F887" s="10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9"/>
      <c r="V887" s="109"/>
    </row>
    <row r="888" ht="12.75" customHeight="1">
      <c r="A888" s="106"/>
      <c r="B888" s="106"/>
      <c r="C888" s="106"/>
      <c r="D888" s="101"/>
      <c r="E888" s="106"/>
      <c r="F888" s="10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9"/>
      <c r="V888" s="109"/>
    </row>
    <row r="889" ht="12.75" customHeight="1">
      <c r="A889" s="106"/>
      <c r="B889" s="106"/>
      <c r="C889" s="106"/>
      <c r="D889" s="101"/>
      <c r="E889" s="106"/>
      <c r="F889" s="10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9"/>
      <c r="V889" s="109"/>
    </row>
    <row r="890" ht="12.75" customHeight="1">
      <c r="A890" s="106"/>
      <c r="B890" s="106"/>
      <c r="C890" s="106"/>
      <c r="D890" s="101"/>
      <c r="E890" s="106"/>
      <c r="F890" s="10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9"/>
      <c r="V890" s="109"/>
    </row>
    <row r="891" ht="12.75" customHeight="1">
      <c r="A891" s="106"/>
      <c r="B891" s="106"/>
      <c r="C891" s="106"/>
      <c r="D891" s="101"/>
      <c r="E891" s="106"/>
      <c r="F891" s="10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9"/>
      <c r="V891" s="109"/>
    </row>
    <row r="892" ht="12.75" customHeight="1">
      <c r="A892" s="106"/>
      <c r="B892" s="106"/>
      <c r="C892" s="106"/>
      <c r="D892" s="101"/>
      <c r="E892" s="106"/>
      <c r="F892" s="10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9"/>
      <c r="V892" s="109"/>
    </row>
    <row r="893" ht="12.75" customHeight="1">
      <c r="A893" s="106"/>
      <c r="B893" s="106"/>
      <c r="C893" s="106"/>
      <c r="D893" s="101"/>
      <c r="E893" s="106"/>
      <c r="F893" s="10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9"/>
      <c r="V893" s="109"/>
    </row>
    <row r="894" ht="12.75" customHeight="1">
      <c r="A894" s="106"/>
      <c r="B894" s="106"/>
      <c r="C894" s="106"/>
      <c r="D894" s="101"/>
      <c r="E894" s="106"/>
      <c r="F894" s="10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9"/>
      <c r="V894" s="109"/>
    </row>
    <row r="895" ht="12.75" customHeight="1">
      <c r="A895" s="106"/>
      <c r="B895" s="106"/>
      <c r="C895" s="106"/>
      <c r="D895" s="101"/>
      <c r="E895" s="106"/>
      <c r="F895" s="10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9"/>
      <c r="V895" s="109"/>
    </row>
    <row r="896" ht="12.75" customHeight="1">
      <c r="A896" s="106"/>
      <c r="B896" s="106"/>
      <c r="C896" s="106"/>
      <c r="D896" s="101"/>
      <c r="E896" s="106"/>
      <c r="F896" s="10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9"/>
      <c r="V896" s="109"/>
    </row>
    <row r="897" ht="12.75" customHeight="1">
      <c r="A897" s="106"/>
      <c r="B897" s="106"/>
      <c r="C897" s="106"/>
      <c r="D897" s="101"/>
      <c r="E897" s="106"/>
      <c r="F897" s="10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9"/>
      <c r="V897" s="109"/>
    </row>
    <row r="898" ht="12.75" customHeight="1">
      <c r="A898" s="106"/>
      <c r="B898" s="106"/>
      <c r="C898" s="106"/>
      <c r="D898" s="101"/>
      <c r="E898" s="106"/>
      <c r="F898" s="10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9"/>
      <c r="V898" s="109"/>
    </row>
    <row r="899" ht="12.75" customHeight="1">
      <c r="A899" s="106"/>
      <c r="B899" s="106"/>
      <c r="C899" s="106"/>
      <c r="D899" s="101"/>
      <c r="E899" s="106"/>
      <c r="F899" s="10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9"/>
      <c r="V899" s="109"/>
    </row>
    <row r="900" ht="12.75" customHeight="1">
      <c r="A900" s="106"/>
      <c r="B900" s="106"/>
      <c r="C900" s="106"/>
      <c r="D900" s="101"/>
      <c r="E900" s="106"/>
      <c r="F900" s="10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9"/>
      <c r="V900" s="109"/>
    </row>
    <row r="901" ht="12.75" customHeight="1">
      <c r="A901" s="106"/>
      <c r="B901" s="106"/>
      <c r="C901" s="106"/>
      <c r="D901" s="101"/>
      <c r="E901" s="106"/>
      <c r="F901" s="10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9"/>
      <c r="V901" s="109"/>
    </row>
    <row r="902" ht="12.75" customHeight="1">
      <c r="A902" s="106"/>
      <c r="B902" s="106"/>
      <c r="C902" s="106"/>
      <c r="D902" s="101"/>
      <c r="E902" s="106"/>
      <c r="F902" s="10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9"/>
      <c r="V902" s="109"/>
    </row>
    <row r="903" ht="12.75" customHeight="1">
      <c r="A903" s="106"/>
      <c r="B903" s="106"/>
      <c r="C903" s="106"/>
      <c r="D903" s="101"/>
      <c r="E903" s="106"/>
      <c r="F903" s="10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9"/>
      <c r="V903" s="109"/>
    </row>
    <row r="904" ht="12.75" customHeight="1">
      <c r="A904" s="106"/>
      <c r="B904" s="106"/>
      <c r="C904" s="106"/>
      <c r="D904" s="101"/>
      <c r="E904" s="106"/>
      <c r="F904" s="10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9"/>
      <c r="V904" s="109"/>
    </row>
    <row r="905" ht="12.75" customHeight="1">
      <c r="A905" s="106"/>
      <c r="B905" s="106"/>
      <c r="C905" s="106"/>
      <c r="D905" s="101"/>
      <c r="E905" s="106"/>
      <c r="F905" s="10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9"/>
      <c r="V905" s="109"/>
    </row>
    <row r="906" ht="12.75" customHeight="1">
      <c r="A906" s="106"/>
      <c r="B906" s="106"/>
      <c r="C906" s="106"/>
      <c r="D906" s="101"/>
      <c r="E906" s="106"/>
      <c r="F906" s="10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9"/>
      <c r="V906" s="109"/>
    </row>
    <row r="907" ht="12.75" customHeight="1">
      <c r="A907" s="106"/>
      <c r="B907" s="106"/>
      <c r="C907" s="106"/>
      <c r="D907" s="101"/>
      <c r="E907" s="106"/>
      <c r="F907" s="10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9"/>
      <c r="V907" s="109"/>
    </row>
    <row r="908" ht="12.75" customHeight="1">
      <c r="A908" s="106"/>
      <c r="B908" s="106"/>
      <c r="C908" s="106"/>
      <c r="D908" s="101"/>
      <c r="E908" s="106"/>
      <c r="F908" s="10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9"/>
      <c r="V908" s="109"/>
    </row>
    <row r="909" ht="12.75" customHeight="1">
      <c r="A909" s="106"/>
      <c r="B909" s="106"/>
      <c r="C909" s="106"/>
      <c r="D909" s="101"/>
      <c r="E909" s="106"/>
      <c r="F909" s="10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9"/>
      <c r="V909" s="109"/>
    </row>
    <row r="910" ht="12.75" customHeight="1">
      <c r="A910" s="106"/>
      <c r="B910" s="106"/>
      <c r="C910" s="106"/>
      <c r="D910" s="101"/>
      <c r="E910" s="106"/>
      <c r="F910" s="10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9"/>
      <c r="V910" s="109"/>
    </row>
    <row r="911" ht="12.75" customHeight="1">
      <c r="A911" s="106"/>
      <c r="B911" s="106"/>
      <c r="C911" s="106"/>
      <c r="D911" s="101"/>
      <c r="E911" s="106"/>
      <c r="F911" s="10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9"/>
      <c r="V911" s="109"/>
    </row>
    <row r="912" ht="12.75" customHeight="1">
      <c r="A912" s="106"/>
      <c r="B912" s="106"/>
      <c r="C912" s="106"/>
      <c r="D912" s="101"/>
      <c r="E912" s="106"/>
      <c r="F912" s="10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9"/>
      <c r="V912" s="109"/>
    </row>
    <row r="913" ht="12.75" customHeight="1">
      <c r="A913" s="106"/>
      <c r="B913" s="106"/>
      <c r="C913" s="106"/>
      <c r="D913" s="101"/>
      <c r="E913" s="106"/>
      <c r="F913" s="10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9"/>
      <c r="V913" s="109"/>
    </row>
    <row r="914" ht="12.75" customHeight="1">
      <c r="A914" s="106"/>
      <c r="B914" s="106"/>
      <c r="C914" s="106"/>
      <c r="D914" s="101"/>
      <c r="E914" s="106"/>
      <c r="F914" s="10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9"/>
      <c r="V914" s="109"/>
    </row>
    <row r="915" ht="12.75" customHeight="1">
      <c r="A915" s="106"/>
      <c r="B915" s="106"/>
      <c r="C915" s="106"/>
      <c r="D915" s="101"/>
      <c r="E915" s="106"/>
      <c r="F915" s="10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9"/>
      <c r="V915" s="109"/>
    </row>
    <row r="916" ht="12.75" customHeight="1">
      <c r="A916" s="106"/>
      <c r="B916" s="106"/>
      <c r="C916" s="106"/>
      <c r="D916" s="101"/>
      <c r="E916" s="106"/>
      <c r="F916" s="10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9"/>
      <c r="V916" s="109"/>
    </row>
    <row r="917" ht="12.75" customHeight="1">
      <c r="A917" s="106"/>
      <c r="B917" s="106"/>
      <c r="C917" s="106"/>
      <c r="D917" s="101"/>
      <c r="E917" s="106"/>
      <c r="F917" s="10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9"/>
      <c r="V917" s="109"/>
    </row>
    <row r="918" ht="12.75" customHeight="1">
      <c r="A918" s="106"/>
      <c r="B918" s="106"/>
      <c r="C918" s="106"/>
      <c r="D918" s="101"/>
      <c r="E918" s="106"/>
      <c r="F918" s="10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9"/>
      <c r="V918" s="109"/>
    </row>
    <row r="919" ht="12.75" customHeight="1">
      <c r="A919" s="106"/>
      <c r="B919" s="106"/>
      <c r="C919" s="106"/>
      <c r="D919" s="101"/>
      <c r="E919" s="106"/>
      <c r="F919" s="10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9"/>
      <c r="V919" s="109"/>
    </row>
    <row r="920" ht="12.75" customHeight="1">
      <c r="A920" s="106"/>
      <c r="B920" s="106"/>
      <c r="C920" s="106"/>
      <c r="D920" s="101"/>
      <c r="E920" s="106"/>
      <c r="F920" s="10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9"/>
      <c r="V920" s="109"/>
    </row>
    <row r="921" ht="12.75" customHeight="1">
      <c r="A921" s="106"/>
      <c r="B921" s="106"/>
      <c r="C921" s="106"/>
      <c r="D921" s="101"/>
      <c r="E921" s="106"/>
      <c r="F921" s="10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9"/>
      <c r="V921" s="109"/>
    </row>
    <row r="922" ht="12.75" customHeight="1">
      <c r="A922" s="106"/>
      <c r="B922" s="106"/>
      <c r="C922" s="106"/>
      <c r="D922" s="101"/>
      <c r="E922" s="106"/>
      <c r="F922" s="10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9"/>
      <c r="V922" s="109"/>
    </row>
    <row r="923" ht="12.75" customHeight="1">
      <c r="A923" s="106"/>
      <c r="B923" s="106"/>
      <c r="C923" s="106"/>
      <c r="D923" s="101"/>
      <c r="E923" s="106"/>
      <c r="F923" s="10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9"/>
      <c r="V923" s="109"/>
    </row>
    <row r="924" ht="12.75" customHeight="1">
      <c r="A924" s="106"/>
      <c r="B924" s="106"/>
      <c r="C924" s="106"/>
      <c r="D924" s="101"/>
      <c r="E924" s="106"/>
      <c r="F924" s="10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9"/>
      <c r="V924" s="109"/>
    </row>
    <row r="925" ht="12.75" customHeight="1">
      <c r="A925" s="106"/>
      <c r="B925" s="106"/>
      <c r="C925" s="106"/>
      <c r="D925" s="101"/>
      <c r="E925" s="106"/>
      <c r="F925" s="10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9"/>
      <c r="V925" s="109"/>
    </row>
    <row r="926" ht="12.75" customHeight="1">
      <c r="A926" s="106"/>
      <c r="B926" s="106"/>
      <c r="C926" s="106"/>
      <c r="D926" s="101"/>
      <c r="E926" s="106"/>
      <c r="F926" s="10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9"/>
      <c r="V926" s="109"/>
    </row>
    <row r="927" ht="12.75" customHeight="1">
      <c r="A927" s="106"/>
      <c r="B927" s="106"/>
      <c r="C927" s="106"/>
      <c r="D927" s="101"/>
      <c r="E927" s="106"/>
      <c r="F927" s="10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9"/>
      <c r="V927" s="109"/>
    </row>
    <row r="928" ht="12.75" customHeight="1">
      <c r="A928" s="106"/>
      <c r="B928" s="106"/>
      <c r="C928" s="106"/>
      <c r="D928" s="101"/>
      <c r="E928" s="106"/>
      <c r="F928" s="10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9"/>
      <c r="V928" s="109"/>
    </row>
    <row r="929" ht="12.75" customHeight="1">
      <c r="A929" s="106"/>
      <c r="B929" s="106"/>
      <c r="C929" s="106"/>
      <c r="D929" s="101"/>
      <c r="E929" s="106"/>
      <c r="F929" s="10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9"/>
      <c r="V929" s="109"/>
    </row>
    <row r="930" ht="12.75" customHeight="1">
      <c r="A930" s="106"/>
      <c r="B930" s="106"/>
      <c r="C930" s="106"/>
      <c r="D930" s="101"/>
      <c r="E930" s="106"/>
      <c r="F930" s="10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9"/>
      <c r="V930" s="109"/>
    </row>
    <row r="931" ht="12.75" customHeight="1">
      <c r="A931" s="106"/>
      <c r="B931" s="106"/>
      <c r="C931" s="106"/>
      <c r="D931" s="101"/>
      <c r="E931" s="106"/>
      <c r="F931" s="10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9"/>
      <c r="V931" s="109"/>
    </row>
    <row r="932" ht="12.75" customHeight="1">
      <c r="A932" s="106"/>
      <c r="B932" s="106"/>
      <c r="C932" s="106"/>
      <c r="D932" s="101"/>
      <c r="E932" s="106"/>
      <c r="F932" s="10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9"/>
      <c r="V932" s="109"/>
    </row>
    <row r="933" ht="12.75" customHeight="1">
      <c r="A933" s="106"/>
      <c r="B933" s="106"/>
      <c r="C933" s="106"/>
      <c r="D933" s="101"/>
      <c r="E933" s="106"/>
      <c r="F933" s="10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9"/>
      <c r="V933" s="109"/>
    </row>
    <row r="934" ht="12.75" customHeight="1">
      <c r="A934" s="106"/>
      <c r="B934" s="106"/>
      <c r="C934" s="106"/>
      <c r="D934" s="101"/>
      <c r="E934" s="106"/>
      <c r="F934" s="10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9"/>
      <c r="V934" s="109"/>
    </row>
    <row r="935" ht="12.75" customHeight="1">
      <c r="A935" s="106"/>
      <c r="B935" s="106"/>
      <c r="C935" s="106"/>
      <c r="D935" s="101"/>
      <c r="E935" s="106"/>
      <c r="F935" s="10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9"/>
      <c r="V935" s="109"/>
    </row>
    <row r="936" ht="12.75" customHeight="1">
      <c r="A936" s="106"/>
      <c r="B936" s="106"/>
      <c r="C936" s="106"/>
      <c r="D936" s="101"/>
      <c r="E936" s="106"/>
      <c r="F936" s="10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9"/>
      <c r="V936" s="109"/>
    </row>
    <row r="937" ht="12.75" customHeight="1">
      <c r="A937" s="106"/>
      <c r="B937" s="106"/>
      <c r="C937" s="106"/>
      <c r="D937" s="101"/>
      <c r="E937" s="106"/>
      <c r="F937" s="10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9"/>
      <c r="V937" s="109"/>
    </row>
    <row r="938" ht="12.75" customHeight="1">
      <c r="A938" s="106"/>
      <c r="B938" s="106"/>
      <c r="C938" s="106"/>
      <c r="D938" s="101"/>
      <c r="E938" s="106"/>
      <c r="F938" s="10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9"/>
      <c r="V938" s="109"/>
    </row>
    <row r="939" ht="12.75" customHeight="1">
      <c r="A939" s="106"/>
      <c r="B939" s="106"/>
      <c r="C939" s="106"/>
      <c r="D939" s="101"/>
      <c r="E939" s="106"/>
      <c r="F939" s="10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9"/>
      <c r="V939" s="109"/>
    </row>
    <row r="940" ht="12.75" customHeight="1">
      <c r="A940" s="106"/>
      <c r="B940" s="106"/>
      <c r="C940" s="106"/>
      <c r="D940" s="101"/>
      <c r="E940" s="106"/>
      <c r="F940" s="10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9"/>
      <c r="V940" s="109"/>
    </row>
    <row r="941" ht="12.75" customHeight="1">
      <c r="A941" s="106"/>
      <c r="B941" s="106"/>
      <c r="C941" s="106"/>
      <c r="D941" s="101"/>
      <c r="E941" s="106"/>
      <c r="F941" s="10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9"/>
      <c r="V941" s="109"/>
    </row>
    <row r="942" ht="12.75" customHeight="1">
      <c r="A942" s="106"/>
      <c r="B942" s="106"/>
      <c r="C942" s="106"/>
      <c r="D942" s="101"/>
      <c r="E942" s="106"/>
      <c r="F942" s="10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9"/>
      <c r="V942" s="109"/>
    </row>
    <row r="943" ht="12.75" customHeight="1">
      <c r="A943" s="106"/>
      <c r="B943" s="106"/>
      <c r="C943" s="106"/>
      <c r="D943" s="101"/>
      <c r="E943" s="106"/>
      <c r="F943" s="10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9"/>
      <c r="V943" s="109"/>
    </row>
    <row r="944" ht="12.75" customHeight="1">
      <c r="A944" s="106"/>
      <c r="B944" s="106"/>
      <c r="C944" s="106"/>
      <c r="D944" s="101"/>
      <c r="E944" s="106"/>
      <c r="F944" s="10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9"/>
      <c r="V944" s="109"/>
    </row>
    <row r="945" ht="12.75" customHeight="1">
      <c r="A945" s="106"/>
      <c r="B945" s="106"/>
      <c r="C945" s="106"/>
      <c r="D945" s="101"/>
      <c r="E945" s="106"/>
      <c r="F945" s="10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9"/>
      <c r="V945" s="109"/>
    </row>
    <row r="946" ht="12.75" customHeight="1">
      <c r="A946" s="106"/>
      <c r="B946" s="106"/>
      <c r="C946" s="106"/>
      <c r="D946" s="101"/>
      <c r="E946" s="106"/>
      <c r="F946" s="10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9"/>
      <c r="V946" s="109"/>
    </row>
    <row r="947" ht="12.75" customHeight="1">
      <c r="A947" s="106"/>
      <c r="B947" s="106"/>
      <c r="C947" s="106"/>
      <c r="D947" s="101"/>
      <c r="E947" s="106"/>
      <c r="F947" s="10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9"/>
      <c r="V947" s="109"/>
    </row>
    <row r="948" ht="12.75" customHeight="1">
      <c r="A948" s="106"/>
      <c r="B948" s="106"/>
      <c r="C948" s="106"/>
      <c r="D948" s="101"/>
      <c r="E948" s="106"/>
      <c r="F948" s="10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9"/>
      <c r="V948" s="109"/>
    </row>
    <row r="949" ht="12.75" customHeight="1">
      <c r="A949" s="106"/>
      <c r="B949" s="106"/>
      <c r="C949" s="106"/>
      <c r="D949" s="101"/>
      <c r="E949" s="106"/>
      <c r="F949" s="10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9"/>
      <c r="V949" s="109"/>
    </row>
    <row r="950" ht="12.75" customHeight="1">
      <c r="A950" s="106"/>
      <c r="B950" s="106"/>
      <c r="C950" s="106"/>
      <c r="D950" s="101"/>
      <c r="E950" s="106"/>
      <c r="F950" s="10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9"/>
      <c r="V950" s="109"/>
    </row>
    <row r="951" ht="12.75" customHeight="1">
      <c r="A951" s="106"/>
      <c r="B951" s="106"/>
      <c r="C951" s="106"/>
      <c r="D951" s="101"/>
      <c r="E951" s="106"/>
      <c r="F951" s="10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9"/>
      <c r="V951" s="109"/>
    </row>
    <row r="952" ht="12.75" customHeight="1">
      <c r="A952" s="106"/>
      <c r="B952" s="106"/>
      <c r="C952" s="106"/>
      <c r="D952" s="101"/>
      <c r="E952" s="106"/>
      <c r="F952" s="10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9"/>
      <c r="V952" s="109"/>
    </row>
    <row r="953" ht="12.75" customHeight="1">
      <c r="A953" s="106"/>
      <c r="B953" s="106"/>
      <c r="C953" s="106"/>
      <c r="D953" s="101"/>
      <c r="E953" s="106"/>
      <c r="F953" s="10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9"/>
      <c r="V953" s="109"/>
    </row>
    <row r="954" ht="12.75" customHeight="1">
      <c r="A954" s="106"/>
      <c r="B954" s="106"/>
      <c r="C954" s="106"/>
      <c r="D954" s="101"/>
      <c r="E954" s="106"/>
      <c r="F954" s="10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9"/>
      <c r="V954" s="109"/>
    </row>
    <row r="955" ht="12.75" customHeight="1">
      <c r="A955" s="106"/>
      <c r="B955" s="106"/>
      <c r="C955" s="106"/>
      <c r="D955" s="101"/>
      <c r="E955" s="106"/>
      <c r="F955" s="10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9"/>
      <c r="V955" s="109"/>
    </row>
    <row r="956" ht="12.75" customHeight="1">
      <c r="A956" s="106"/>
      <c r="B956" s="106"/>
      <c r="C956" s="106"/>
      <c r="D956" s="101"/>
      <c r="E956" s="106"/>
      <c r="F956" s="10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9"/>
      <c r="V956" s="109"/>
    </row>
    <row r="957" ht="12.75" customHeight="1">
      <c r="A957" s="106"/>
      <c r="B957" s="106"/>
      <c r="C957" s="106"/>
      <c r="D957" s="101"/>
      <c r="E957" s="106"/>
      <c r="F957" s="10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9"/>
      <c r="V957" s="109"/>
    </row>
    <row r="958" ht="12.75" customHeight="1">
      <c r="A958" s="106"/>
      <c r="B958" s="106"/>
      <c r="C958" s="106"/>
      <c r="D958" s="101"/>
      <c r="E958" s="106"/>
      <c r="F958" s="10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9"/>
      <c r="V958" s="109"/>
    </row>
    <row r="959" ht="12.75" customHeight="1">
      <c r="A959" s="106"/>
      <c r="B959" s="106"/>
      <c r="C959" s="106"/>
      <c r="D959" s="101"/>
      <c r="E959" s="106"/>
      <c r="F959" s="10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9"/>
      <c r="V959" s="109"/>
    </row>
    <row r="960" ht="12.75" customHeight="1">
      <c r="A960" s="106"/>
      <c r="B960" s="106"/>
      <c r="C960" s="106"/>
      <c r="D960" s="101"/>
      <c r="E960" s="106"/>
      <c r="F960" s="10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9"/>
      <c r="V960" s="109"/>
    </row>
    <row r="961" ht="12.75" customHeight="1">
      <c r="A961" s="106"/>
      <c r="B961" s="106"/>
      <c r="C961" s="106"/>
      <c r="D961" s="101"/>
      <c r="E961" s="106"/>
      <c r="F961" s="10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9"/>
      <c r="V961" s="109"/>
    </row>
    <row r="962" ht="12.75" customHeight="1">
      <c r="A962" s="106"/>
      <c r="B962" s="106"/>
      <c r="C962" s="106"/>
      <c r="D962" s="101"/>
      <c r="E962" s="106"/>
      <c r="F962" s="10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9"/>
      <c r="V962" s="109"/>
    </row>
    <row r="963" ht="12.75" customHeight="1">
      <c r="A963" s="106"/>
      <c r="B963" s="106"/>
      <c r="C963" s="106"/>
      <c r="D963" s="101"/>
      <c r="E963" s="106"/>
      <c r="F963" s="10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9"/>
      <c r="V963" s="109"/>
    </row>
    <row r="964" ht="12.75" customHeight="1">
      <c r="A964" s="106"/>
      <c r="B964" s="106"/>
      <c r="C964" s="106"/>
      <c r="D964" s="101"/>
      <c r="E964" s="106"/>
      <c r="F964" s="10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9"/>
      <c r="V964" s="109"/>
    </row>
    <row r="965" ht="12.75" customHeight="1">
      <c r="A965" s="106"/>
      <c r="B965" s="106"/>
      <c r="C965" s="106"/>
      <c r="D965" s="101"/>
      <c r="E965" s="106"/>
      <c r="F965" s="10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9"/>
      <c r="V965" s="109"/>
    </row>
    <row r="966" ht="12.75" customHeight="1">
      <c r="A966" s="106"/>
      <c r="B966" s="106"/>
      <c r="C966" s="106"/>
      <c r="D966" s="101"/>
      <c r="E966" s="106"/>
      <c r="F966" s="10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9"/>
      <c r="V966" s="109"/>
    </row>
    <row r="967" ht="12.75" customHeight="1">
      <c r="A967" s="106"/>
      <c r="B967" s="106"/>
      <c r="C967" s="106"/>
      <c r="D967" s="101"/>
      <c r="E967" s="106"/>
      <c r="F967" s="10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9"/>
      <c r="V967" s="109"/>
    </row>
    <row r="968" ht="12.75" customHeight="1">
      <c r="A968" s="106"/>
      <c r="B968" s="106"/>
      <c r="C968" s="106"/>
      <c r="D968" s="101"/>
      <c r="E968" s="106"/>
      <c r="F968" s="10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9"/>
      <c r="V968" s="109"/>
    </row>
    <row r="969" ht="12.75" customHeight="1">
      <c r="A969" s="106"/>
      <c r="B969" s="106"/>
      <c r="C969" s="106"/>
      <c r="D969" s="101"/>
      <c r="E969" s="106"/>
      <c r="F969" s="10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9"/>
      <c r="V969" s="109"/>
    </row>
    <row r="970" ht="12.75" customHeight="1">
      <c r="A970" s="106"/>
      <c r="B970" s="106"/>
      <c r="C970" s="106"/>
      <c r="D970" s="101"/>
      <c r="E970" s="106"/>
      <c r="F970" s="10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9"/>
      <c r="V970" s="109"/>
    </row>
    <row r="971" ht="12.75" customHeight="1">
      <c r="A971" s="106"/>
      <c r="B971" s="106"/>
      <c r="C971" s="106"/>
      <c r="D971" s="101"/>
      <c r="E971" s="106"/>
      <c r="F971" s="10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9"/>
      <c r="V971" s="109"/>
    </row>
    <row r="972" ht="12.75" customHeight="1">
      <c r="A972" s="106"/>
      <c r="B972" s="106"/>
      <c r="C972" s="106"/>
      <c r="D972" s="101"/>
      <c r="E972" s="106"/>
      <c r="F972" s="10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9"/>
      <c r="V972" s="109"/>
    </row>
    <row r="973" ht="12.75" customHeight="1">
      <c r="A973" s="106"/>
      <c r="B973" s="106"/>
      <c r="C973" s="106"/>
      <c r="D973" s="101"/>
      <c r="E973" s="106"/>
      <c r="F973" s="10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9"/>
      <c r="V973" s="109"/>
    </row>
    <row r="974" ht="12.75" customHeight="1">
      <c r="A974" s="106"/>
      <c r="B974" s="106"/>
      <c r="C974" s="106"/>
      <c r="D974" s="101"/>
      <c r="E974" s="106"/>
      <c r="F974" s="10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9"/>
      <c r="V974" s="109"/>
    </row>
    <row r="975" ht="12.75" customHeight="1">
      <c r="A975" s="106"/>
      <c r="B975" s="106"/>
      <c r="C975" s="106"/>
      <c r="D975" s="101"/>
      <c r="E975" s="106"/>
      <c r="F975" s="10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9"/>
      <c r="V975" s="109"/>
    </row>
    <row r="976" ht="12.75" customHeight="1">
      <c r="A976" s="106"/>
      <c r="B976" s="106"/>
      <c r="C976" s="106"/>
      <c r="D976" s="101"/>
      <c r="E976" s="106"/>
      <c r="F976" s="10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9"/>
      <c r="V976" s="109"/>
    </row>
    <row r="977" ht="12.75" customHeight="1">
      <c r="A977" s="106"/>
      <c r="B977" s="106"/>
      <c r="C977" s="106"/>
      <c r="D977" s="101"/>
      <c r="E977" s="106"/>
      <c r="F977" s="10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9"/>
      <c r="V977" s="109"/>
    </row>
    <row r="978" ht="12.75" customHeight="1">
      <c r="A978" s="106"/>
      <c r="B978" s="106"/>
      <c r="C978" s="106"/>
      <c r="D978" s="101"/>
      <c r="E978" s="106"/>
      <c r="F978" s="10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9"/>
      <c r="V978" s="109"/>
    </row>
    <row r="979" ht="12.75" customHeight="1">
      <c r="A979" s="106"/>
      <c r="B979" s="106"/>
      <c r="C979" s="106"/>
      <c r="D979" s="101"/>
      <c r="E979" s="106"/>
      <c r="F979" s="10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9"/>
      <c r="V979" s="109"/>
    </row>
    <row r="980" ht="12.75" customHeight="1">
      <c r="A980" s="106"/>
      <c r="B980" s="106"/>
      <c r="C980" s="106"/>
      <c r="D980" s="101"/>
      <c r="E980" s="106"/>
      <c r="F980" s="10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9"/>
      <c r="V980" s="109"/>
    </row>
    <row r="981" ht="12.75" customHeight="1">
      <c r="A981" s="106"/>
      <c r="B981" s="106"/>
      <c r="C981" s="106"/>
      <c r="D981" s="101"/>
      <c r="E981" s="106"/>
      <c r="F981" s="10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9"/>
      <c r="V981" s="109"/>
    </row>
    <row r="982" ht="12.75" customHeight="1">
      <c r="A982" s="106"/>
      <c r="B982" s="106"/>
      <c r="C982" s="106"/>
      <c r="D982" s="101"/>
      <c r="E982" s="106"/>
      <c r="F982" s="10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9"/>
      <c r="V982" s="109"/>
    </row>
    <row r="983" ht="12.75" customHeight="1">
      <c r="A983" s="106"/>
      <c r="B983" s="106"/>
      <c r="C983" s="106"/>
      <c r="D983" s="101"/>
      <c r="E983" s="106"/>
      <c r="F983" s="10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9"/>
      <c r="V983" s="109"/>
    </row>
    <row r="984" ht="12.75" customHeight="1">
      <c r="A984" s="106"/>
      <c r="B984" s="106"/>
      <c r="C984" s="106"/>
      <c r="D984" s="101"/>
      <c r="E984" s="106"/>
      <c r="F984" s="10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9"/>
      <c r="V984" s="109"/>
    </row>
    <row r="985" ht="12.75" customHeight="1">
      <c r="A985" s="106"/>
      <c r="B985" s="106"/>
      <c r="C985" s="106"/>
      <c r="D985" s="101"/>
      <c r="E985" s="106"/>
      <c r="F985" s="10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9"/>
      <c r="V985" s="109"/>
    </row>
    <row r="986" ht="12.75" customHeight="1">
      <c r="A986" s="106"/>
      <c r="B986" s="106"/>
      <c r="C986" s="106"/>
      <c r="D986" s="101"/>
      <c r="E986" s="106"/>
      <c r="F986" s="10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9"/>
      <c r="V986" s="109"/>
    </row>
    <row r="987" ht="12.75" customHeight="1">
      <c r="A987" s="106"/>
      <c r="B987" s="106"/>
      <c r="C987" s="106"/>
      <c r="D987" s="101"/>
      <c r="E987" s="106"/>
      <c r="F987" s="10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9"/>
      <c r="V987" s="109"/>
    </row>
    <row r="988" ht="12.75" customHeight="1">
      <c r="A988" s="106"/>
      <c r="B988" s="106"/>
      <c r="C988" s="106"/>
      <c r="D988" s="101"/>
      <c r="E988" s="106"/>
      <c r="F988" s="10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9"/>
      <c r="V988" s="109"/>
    </row>
    <row r="989" ht="12.75" customHeight="1">
      <c r="A989" s="106"/>
      <c r="B989" s="106"/>
      <c r="C989" s="106"/>
      <c r="D989" s="101"/>
      <c r="E989" s="106"/>
      <c r="F989" s="10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9"/>
      <c r="V989" s="109"/>
    </row>
    <row r="990" ht="12.75" customHeight="1">
      <c r="A990" s="106"/>
      <c r="B990" s="106"/>
      <c r="C990" s="106"/>
      <c r="D990" s="101"/>
      <c r="E990" s="106"/>
      <c r="F990" s="10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9"/>
      <c r="V990" s="109"/>
    </row>
    <row r="991" ht="12.75" customHeight="1">
      <c r="A991" s="106"/>
      <c r="B991" s="106"/>
      <c r="C991" s="106"/>
      <c r="D991" s="101"/>
      <c r="E991" s="106"/>
      <c r="F991" s="10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9"/>
      <c r="V991" s="109"/>
    </row>
    <row r="992" ht="12.75" customHeight="1">
      <c r="A992" s="106"/>
      <c r="B992" s="106"/>
      <c r="C992" s="106"/>
      <c r="D992" s="101"/>
      <c r="E992" s="106"/>
      <c r="F992" s="10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9"/>
      <c r="V992" s="109"/>
    </row>
    <row r="993" ht="12.75" customHeight="1">
      <c r="A993" s="106"/>
      <c r="B993" s="106"/>
      <c r="C993" s="106"/>
      <c r="D993" s="101"/>
      <c r="E993" s="106"/>
      <c r="F993" s="10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9"/>
      <c r="V993" s="109"/>
    </row>
    <row r="994" ht="12.75" customHeight="1">
      <c r="A994" s="106"/>
      <c r="B994" s="106"/>
      <c r="C994" s="106"/>
      <c r="D994" s="101"/>
      <c r="E994" s="106"/>
      <c r="F994" s="10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9"/>
      <c r="V994" s="109"/>
    </row>
    <row r="995" ht="12.75" customHeight="1">
      <c r="A995" s="106"/>
      <c r="B995" s="106"/>
      <c r="C995" s="106"/>
      <c r="D995" s="101"/>
      <c r="E995" s="106"/>
      <c r="F995" s="10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9"/>
      <c r="V995" s="109"/>
    </row>
    <row r="996" ht="12.75" customHeight="1">
      <c r="A996" s="106"/>
      <c r="B996" s="106"/>
      <c r="C996" s="106"/>
      <c r="D996" s="101"/>
      <c r="E996" s="106"/>
      <c r="F996" s="10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9"/>
      <c r="V996" s="109"/>
    </row>
    <row r="997" ht="12.75" customHeight="1">
      <c r="A997" s="106"/>
      <c r="B997" s="106"/>
      <c r="C997" s="106"/>
      <c r="D997" s="101"/>
      <c r="E997" s="106"/>
      <c r="F997" s="10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9"/>
      <c r="V997" s="109"/>
    </row>
    <row r="998" ht="12.75" customHeight="1">
      <c r="A998" s="106"/>
      <c r="B998" s="106"/>
      <c r="C998" s="106"/>
      <c r="D998" s="101"/>
      <c r="E998" s="106"/>
      <c r="F998" s="10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9"/>
      <c r="V998" s="109"/>
    </row>
    <row r="999" ht="12.75" customHeight="1">
      <c r="A999" s="106"/>
      <c r="B999" s="106"/>
      <c r="C999" s="106"/>
      <c r="D999" s="101"/>
      <c r="E999" s="106"/>
      <c r="F999" s="10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9"/>
      <c r="V999" s="109"/>
    </row>
    <row r="1000" ht="12.75" customHeight="1">
      <c r="A1000" s="106"/>
      <c r="B1000" s="106"/>
      <c r="C1000" s="106"/>
      <c r="D1000" s="101"/>
      <c r="E1000" s="106"/>
      <c r="F1000" s="10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9"/>
      <c r="V1000" s="109"/>
    </row>
    <row r="1001" ht="12.75" customHeight="1">
      <c r="A1001" s="106"/>
      <c r="B1001" s="106"/>
      <c r="C1001" s="106"/>
      <c r="D1001" s="101"/>
      <c r="E1001" s="106"/>
      <c r="F1001" s="107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9"/>
      <c r="V1001" s="109"/>
    </row>
    <row r="1002" ht="12.75" customHeight="1">
      <c r="A1002" s="106"/>
      <c r="B1002" s="106"/>
      <c r="C1002" s="106"/>
      <c r="D1002" s="101"/>
      <c r="E1002" s="106"/>
      <c r="F1002" s="107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9"/>
      <c r="V1002" s="109"/>
    </row>
    <row r="1003" ht="12.75" customHeight="1">
      <c r="A1003" s="106"/>
      <c r="B1003" s="106"/>
      <c r="C1003" s="106"/>
      <c r="D1003" s="101"/>
      <c r="E1003" s="106"/>
      <c r="F1003" s="107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9"/>
      <c r="V1003" s="109"/>
    </row>
    <row r="1004" ht="12.75" customHeight="1">
      <c r="A1004" s="106"/>
      <c r="B1004" s="106"/>
      <c r="C1004" s="106"/>
      <c r="D1004" s="101"/>
      <c r="E1004" s="106"/>
      <c r="F1004" s="107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9"/>
      <c r="V1004" s="109"/>
    </row>
    <row r="1005" ht="12.75" customHeight="1">
      <c r="A1005" s="106"/>
      <c r="B1005" s="106"/>
      <c r="C1005" s="106"/>
      <c r="D1005" s="101"/>
      <c r="E1005" s="106"/>
      <c r="F1005" s="107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9"/>
      <c r="V1005" s="109"/>
    </row>
    <row r="1006" ht="12.75" customHeight="1">
      <c r="A1006" s="106"/>
      <c r="B1006" s="106"/>
      <c r="C1006" s="106"/>
      <c r="D1006" s="101"/>
      <c r="E1006" s="106"/>
      <c r="F1006" s="107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9"/>
      <c r="V1006" s="109"/>
    </row>
    <row r="1007" ht="12.75" customHeight="1">
      <c r="A1007" s="106"/>
      <c r="B1007" s="106"/>
      <c r="C1007" s="106"/>
      <c r="D1007" s="101"/>
      <c r="E1007" s="106"/>
      <c r="F1007" s="107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9"/>
      <c r="V1007" s="109"/>
    </row>
    <row r="1008" ht="12.75" customHeight="1">
      <c r="A1008" s="106"/>
      <c r="B1008" s="106"/>
      <c r="C1008" s="106"/>
      <c r="D1008" s="101"/>
      <c r="E1008" s="106"/>
      <c r="F1008" s="107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9"/>
      <c r="V1008" s="109"/>
    </row>
    <row r="1009" ht="12.75" customHeight="1">
      <c r="A1009" s="106"/>
      <c r="B1009" s="106"/>
      <c r="C1009" s="106"/>
      <c r="D1009" s="101"/>
      <c r="E1009" s="106"/>
      <c r="F1009" s="107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9"/>
      <c r="V1009" s="109"/>
    </row>
    <row r="1010" ht="12.75" customHeight="1">
      <c r="A1010" s="106"/>
      <c r="B1010" s="106"/>
      <c r="C1010" s="106"/>
      <c r="D1010" s="101"/>
      <c r="E1010" s="106"/>
      <c r="F1010" s="107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9"/>
      <c r="V1010" s="109"/>
    </row>
    <row r="1011" ht="12.75" customHeight="1">
      <c r="A1011" s="106"/>
      <c r="B1011" s="106"/>
      <c r="C1011" s="106"/>
      <c r="D1011" s="101"/>
      <c r="E1011" s="106"/>
      <c r="F1011" s="107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9"/>
      <c r="V1011" s="109"/>
    </row>
    <row r="1012" ht="12.75" customHeight="1">
      <c r="A1012" s="106"/>
      <c r="B1012" s="106"/>
      <c r="C1012" s="106"/>
      <c r="D1012" s="101"/>
      <c r="E1012" s="106"/>
      <c r="F1012" s="107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9"/>
      <c r="V1012" s="109"/>
    </row>
    <row r="1013" ht="12.75" customHeight="1">
      <c r="A1013" s="106"/>
      <c r="B1013" s="106"/>
      <c r="C1013" s="106"/>
      <c r="D1013" s="101"/>
      <c r="E1013" s="106"/>
      <c r="F1013" s="107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9"/>
      <c r="V1013" s="109"/>
    </row>
    <row r="1014" ht="12.75" customHeight="1">
      <c r="A1014" s="106"/>
      <c r="B1014" s="106"/>
      <c r="C1014" s="106"/>
      <c r="D1014" s="101"/>
      <c r="E1014" s="106"/>
      <c r="F1014" s="107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9"/>
      <c r="V1014" s="109"/>
    </row>
    <row r="1015" ht="12.75" customHeight="1">
      <c r="A1015" s="106"/>
      <c r="B1015" s="106"/>
      <c r="C1015" s="106"/>
      <c r="D1015" s="101"/>
      <c r="E1015" s="106"/>
      <c r="F1015" s="107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9"/>
      <c r="V1015" s="109"/>
    </row>
    <row r="1016" ht="12.75" customHeight="1">
      <c r="A1016" s="106"/>
      <c r="B1016" s="106"/>
      <c r="C1016" s="106"/>
      <c r="D1016" s="101"/>
      <c r="E1016" s="106"/>
      <c r="F1016" s="107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9"/>
      <c r="V1016" s="109"/>
    </row>
    <row r="1017" ht="12.75" customHeight="1">
      <c r="A1017" s="106"/>
      <c r="B1017" s="106"/>
      <c r="C1017" s="106"/>
      <c r="D1017" s="101"/>
      <c r="E1017" s="106"/>
      <c r="F1017" s="107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9"/>
      <c r="V1017" s="109"/>
    </row>
    <row r="1018" ht="12.75" customHeight="1">
      <c r="A1018" s="106"/>
      <c r="B1018" s="106"/>
      <c r="C1018" s="106"/>
      <c r="D1018" s="101"/>
      <c r="E1018" s="106"/>
      <c r="F1018" s="107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9"/>
      <c r="V1018" s="109"/>
    </row>
    <row r="1019" ht="12.75" customHeight="1">
      <c r="A1019" s="106"/>
      <c r="B1019" s="106"/>
      <c r="C1019" s="106"/>
      <c r="D1019" s="101"/>
      <c r="E1019" s="106"/>
      <c r="F1019" s="107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9"/>
      <c r="V1019" s="109"/>
    </row>
    <row r="1020" ht="12.75" customHeight="1">
      <c r="A1020" s="106"/>
      <c r="B1020" s="106"/>
      <c r="C1020" s="106"/>
      <c r="D1020" s="101"/>
      <c r="E1020" s="106"/>
      <c r="F1020" s="107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9"/>
      <c r="V1020" s="109"/>
    </row>
    <row r="1021" ht="12.75" customHeight="1">
      <c r="A1021" s="106"/>
      <c r="B1021" s="106"/>
      <c r="C1021" s="106"/>
      <c r="D1021" s="101"/>
      <c r="E1021" s="106"/>
      <c r="F1021" s="107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9"/>
      <c r="V1021" s="109"/>
    </row>
    <row r="1022" ht="12.75" customHeight="1">
      <c r="A1022" s="106"/>
      <c r="B1022" s="106"/>
      <c r="C1022" s="106"/>
      <c r="D1022" s="101"/>
      <c r="E1022" s="106"/>
      <c r="F1022" s="107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9"/>
      <c r="V1022" s="109"/>
    </row>
    <row r="1023" ht="12.75" customHeight="1">
      <c r="A1023" s="106"/>
      <c r="B1023" s="106"/>
      <c r="C1023" s="106"/>
      <c r="D1023" s="101"/>
      <c r="E1023" s="106"/>
      <c r="F1023" s="107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9"/>
      <c r="V1023" s="109"/>
    </row>
    <row r="1024" ht="12.75" customHeight="1">
      <c r="A1024" s="106"/>
      <c r="B1024" s="106"/>
      <c r="C1024" s="106"/>
      <c r="D1024" s="101"/>
      <c r="E1024" s="106"/>
      <c r="F1024" s="107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9"/>
      <c r="V1024" s="109"/>
    </row>
    <row r="1025" ht="12.75" customHeight="1">
      <c r="A1025" s="106"/>
      <c r="B1025" s="106"/>
      <c r="C1025" s="106"/>
      <c r="D1025" s="101"/>
      <c r="E1025" s="106"/>
      <c r="F1025" s="107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9"/>
      <c r="V1025" s="109"/>
    </row>
    <row r="1026" ht="12.75" customHeight="1">
      <c r="A1026" s="106"/>
      <c r="B1026" s="106"/>
      <c r="C1026" s="106"/>
      <c r="D1026" s="101"/>
      <c r="E1026" s="106"/>
      <c r="F1026" s="107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9"/>
      <c r="V1026" s="109"/>
    </row>
    <row r="1027" ht="12.75" customHeight="1">
      <c r="A1027" s="106"/>
      <c r="B1027" s="106"/>
      <c r="C1027" s="106"/>
      <c r="D1027" s="101"/>
      <c r="E1027" s="106"/>
      <c r="F1027" s="107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9"/>
      <c r="V1027" s="109"/>
    </row>
    <row r="1028" ht="12.75" customHeight="1">
      <c r="A1028" s="106"/>
      <c r="B1028" s="106"/>
      <c r="C1028" s="106"/>
      <c r="D1028" s="101"/>
      <c r="E1028" s="106"/>
      <c r="F1028" s="107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9"/>
      <c r="V1028" s="109"/>
    </row>
    <row r="1029" ht="12.75" customHeight="1">
      <c r="A1029" s="106"/>
      <c r="B1029" s="106"/>
      <c r="C1029" s="106"/>
      <c r="D1029" s="101"/>
      <c r="E1029" s="106"/>
      <c r="F1029" s="107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9"/>
      <c r="V1029" s="109"/>
    </row>
    <row r="1030" ht="12.75" customHeight="1">
      <c r="A1030" s="106"/>
      <c r="B1030" s="106"/>
      <c r="C1030" s="106"/>
      <c r="D1030" s="101"/>
      <c r="E1030" s="106"/>
      <c r="F1030" s="107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9"/>
      <c r="V1030" s="109"/>
    </row>
    <row r="1031" ht="12.75" customHeight="1">
      <c r="A1031" s="106"/>
      <c r="B1031" s="106"/>
      <c r="C1031" s="106"/>
      <c r="D1031" s="101"/>
      <c r="E1031" s="106"/>
      <c r="F1031" s="107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9"/>
      <c r="V1031" s="109"/>
    </row>
    <row r="1032" ht="12.75" customHeight="1">
      <c r="A1032" s="106"/>
      <c r="B1032" s="106"/>
      <c r="C1032" s="106"/>
      <c r="D1032" s="101"/>
      <c r="E1032" s="106"/>
      <c r="F1032" s="107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9"/>
      <c r="V1032" s="109"/>
    </row>
    <row r="1033" ht="12.75" customHeight="1">
      <c r="A1033" s="106"/>
      <c r="B1033" s="106"/>
      <c r="C1033" s="106"/>
      <c r="D1033" s="101"/>
      <c r="E1033" s="106"/>
      <c r="F1033" s="107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9"/>
      <c r="V1033" s="109"/>
    </row>
    <row r="1034" ht="12.75" customHeight="1">
      <c r="A1034" s="106"/>
      <c r="B1034" s="106"/>
      <c r="C1034" s="106"/>
      <c r="D1034" s="101"/>
      <c r="E1034" s="106"/>
      <c r="F1034" s="107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9"/>
      <c r="V1034" s="109"/>
    </row>
    <row r="1035" ht="12.75" customHeight="1">
      <c r="A1035" s="106"/>
      <c r="B1035" s="106"/>
      <c r="C1035" s="106"/>
      <c r="D1035" s="101"/>
      <c r="E1035" s="106"/>
      <c r="F1035" s="107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9"/>
      <c r="V1035" s="109"/>
    </row>
    <row r="1036" ht="12.75" customHeight="1">
      <c r="A1036" s="106"/>
      <c r="B1036" s="106"/>
      <c r="C1036" s="106"/>
      <c r="D1036" s="101"/>
      <c r="E1036" s="106"/>
      <c r="F1036" s="107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9"/>
      <c r="V1036" s="109"/>
    </row>
    <row r="1037" ht="12.75" customHeight="1">
      <c r="A1037" s="106"/>
      <c r="B1037" s="106"/>
      <c r="C1037" s="106"/>
      <c r="D1037" s="101"/>
      <c r="E1037" s="106"/>
      <c r="F1037" s="107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9"/>
      <c r="V1037" s="109"/>
    </row>
    <row r="1038" ht="12.75" customHeight="1">
      <c r="A1038" s="106"/>
      <c r="B1038" s="106"/>
      <c r="C1038" s="106"/>
      <c r="D1038" s="101"/>
      <c r="E1038" s="106"/>
      <c r="F1038" s="107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9"/>
      <c r="V1038" s="109"/>
    </row>
    <row r="1039" ht="12.75" customHeight="1">
      <c r="A1039" s="106"/>
      <c r="B1039" s="106"/>
      <c r="C1039" s="106"/>
      <c r="D1039" s="101"/>
      <c r="E1039" s="106"/>
      <c r="F1039" s="107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9"/>
      <c r="V1039" s="109"/>
    </row>
    <row r="1040" ht="12.75" customHeight="1">
      <c r="A1040" s="106"/>
      <c r="B1040" s="106"/>
      <c r="C1040" s="106"/>
      <c r="D1040" s="101"/>
      <c r="E1040" s="106"/>
      <c r="F1040" s="107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9"/>
      <c r="V1040" s="109"/>
    </row>
    <row r="1041" ht="12.75" customHeight="1">
      <c r="A1041" s="106"/>
      <c r="B1041" s="106"/>
      <c r="C1041" s="106"/>
      <c r="D1041" s="101"/>
      <c r="E1041" s="106"/>
      <c r="F1041" s="107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9"/>
      <c r="V1041" s="109"/>
    </row>
    <row r="1042" ht="12.75" customHeight="1">
      <c r="A1042" s="106"/>
      <c r="B1042" s="106"/>
      <c r="C1042" s="106"/>
      <c r="D1042" s="101"/>
      <c r="E1042" s="106"/>
      <c r="F1042" s="107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9"/>
      <c r="V1042" s="109"/>
    </row>
    <row r="1043" ht="12.75" customHeight="1">
      <c r="A1043" s="106"/>
      <c r="B1043" s="106"/>
      <c r="C1043" s="106"/>
      <c r="D1043" s="101"/>
      <c r="E1043" s="106"/>
      <c r="F1043" s="107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9"/>
      <c r="V1043" s="109"/>
    </row>
    <row r="1044" ht="12.75" customHeight="1">
      <c r="A1044" s="106"/>
      <c r="B1044" s="106"/>
      <c r="C1044" s="106"/>
      <c r="D1044" s="101"/>
      <c r="E1044" s="106"/>
      <c r="F1044" s="107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9"/>
      <c r="V1044" s="109"/>
    </row>
    <row r="1045" ht="12.75" customHeight="1">
      <c r="A1045" s="106"/>
      <c r="B1045" s="106"/>
      <c r="C1045" s="106"/>
      <c r="D1045" s="101"/>
      <c r="E1045" s="106"/>
      <c r="F1045" s="107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9"/>
      <c r="V1045" s="109"/>
    </row>
    <row r="1046" ht="12.75" customHeight="1">
      <c r="A1046" s="106"/>
      <c r="B1046" s="106"/>
      <c r="C1046" s="106"/>
      <c r="D1046" s="101"/>
      <c r="E1046" s="106"/>
      <c r="F1046" s="107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9"/>
      <c r="V1046" s="109"/>
    </row>
    <row r="1047" ht="12.75" customHeight="1">
      <c r="A1047" s="106"/>
      <c r="B1047" s="106"/>
      <c r="C1047" s="106"/>
      <c r="D1047" s="101"/>
      <c r="E1047" s="106"/>
      <c r="F1047" s="107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9"/>
      <c r="V1047" s="109"/>
    </row>
    <row r="1048" ht="12.75" customHeight="1">
      <c r="A1048" s="106"/>
      <c r="B1048" s="106"/>
      <c r="C1048" s="106"/>
      <c r="D1048" s="101"/>
      <c r="E1048" s="106"/>
      <c r="F1048" s="107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9"/>
      <c r="V1048" s="109"/>
    </row>
    <row r="1049" ht="12.75" customHeight="1">
      <c r="A1049" s="106"/>
      <c r="B1049" s="106"/>
      <c r="C1049" s="106"/>
      <c r="D1049" s="101"/>
      <c r="E1049" s="106"/>
      <c r="F1049" s="107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9"/>
      <c r="V1049" s="109"/>
    </row>
    <row r="1050" ht="12.75" customHeight="1">
      <c r="A1050" s="106"/>
      <c r="B1050" s="106"/>
      <c r="C1050" s="106"/>
      <c r="D1050" s="101"/>
      <c r="E1050" s="106"/>
      <c r="F1050" s="107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9"/>
      <c r="V1050" s="109"/>
    </row>
    <row r="1051" ht="12.75" customHeight="1">
      <c r="A1051" s="106"/>
      <c r="B1051" s="106"/>
      <c r="C1051" s="106"/>
      <c r="D1051" s="101"/>
      <c r="E1051" s="106"/>
      <c r="F1051" s="107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9"/>
      <c r="V1051" s="109"/>
    </row>
    <row r="1052" ht="12.75" customHeight="1">
      <c r="A1052" s="106"/>
      <c r="B1052" s="106"/>
      <c r="C1052" s="106"/>
      <c r="D1052" s="101"/>
      <c r="E1052" s="106"/>
      <c r="F1052" s="107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9"/>
      <c r="V1052" s="109"/>
    </row>
    <row r="1053" ht="12.75" customHeight="1">
      <c r="A1053" s="106"/>
      <c r="B1053" s="106"/>
      <c r="C1053" s="106"/>
      <c r="D1053" s="101"/>
      <c r="E1053" s="106"/>
      <c r="F1053" s="107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9"/>
      <c r="V1053" s="109"/>
    </row>
    <row r="1054" ht="12.75" customHeight="1">
      <c r="A1054" s="106"/>
      <c r="B1054" s="106"/>
      <c r="C1054" s="106"/>
      <c r="D1054" s="101"/>
      <c r="E1054" s="106"/>
      <c r="F1054" s="107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9"/>
      <c r="V1054" s="109"/>
    </row>
    <row r="1055" ht="12.75" customHeight="1">
      <c r="A1055" s="106"/>
      <c r="B1055" s="106"/>
      <c r="C1055" s="106"/>
      <c r="D1055" s="101"/>
      <c r="E1055" s="106"/>
      <c r="F1055" s="107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9"/>
      <c r="V1055" s="109"/>
    </row>
    <row r="1056" ht="12.75" customHeight="1">
      <c r="A1056" s="106"/>
      <c r="B1056" s="106"/>
      <c r="C1056" s="106"/>
      <c r="D1056" s="101"/>
      <c r="E1056" s="106"/>
      <c r="F1056" s="107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9"/>
      <c r="V1056" s="109"/>
    </row>
    <row r="1057" ht="12.75" customHeight="1">
      <c r="A1057" s="106"/>
      <c r="B1057" s="106"/>
      <c r="C1057" s="106"/>
      <c r="D1057" s="101"/>
      <c r="E1057" s="106"/>
      <c r="F1057" s="107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9"/>
      <c r="V1057" s="109"/>
    </row>
    <row r="1058" ht="12.75" customHeight="1">
      <c r="A1058" s="106"/>
      <c r="B1058" s="106"/>
      <c r="C1058" s="106"/>
      <c r="D1058" s="101"/>
      <c r="E1058" s="106"/>
      <c r="F1058" s="107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9"/>
      <c r="V1058" s="109"/>
    </row>
    <row r="1059" ht="12.75" customHeight="1">
      <c r="A1059" s="106"/>
      <c r="B1059" s="106"/>
      <c r="C1059" s="106"/>
      <c r="D1059" s="101"/>
      <c r="E1059" s="106"/>
      <c r="F1059" s="107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9"/>
      <c r="V1059" s="109"/>
    </row>
    <row r="1060" ht="12.75" customHeight="1">
      <c r="A1060" s="106"/>
      <c r="B1060" s="106"/>
      <c r="C1060" s="106"/>
      <c r="D1060" s="101"/>
      <c r="E1060" s="106"/>
      <c r="F1060" s="107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9"/>
      <c r="V1060" s="109"/>
    </row>
    <row r="1061" ht="12.75" customHeight="1">
      <c r="A1061" s="106"/>
      <c r="B1061" s="106"/>
      <c r="C1061" s="106"/>
      <c r="D1061" s="101"/>
      <c r="E1061" s="106"/>
      <c r="F1061" s="107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9"/>
      <c r="V1061" s="109"/>
    </row>
    <row r="1062" ht="12.75" customHeight="1">
      <c r="A1062" s="106"/>
      <c r="B1062" s="106"/>
      <c r="C1062" s="106"/>
      <c r="D1062" s="101"/>
      <c r="E1062" s="106"/>
      <c r="F1062" s="107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9"/>
      <c r="V1062" s="109"/>
    </row>
    <row r="1063" ht="12.75" customHeight="1">
      <c r="A1063" s="106"/>
      <c r="B1063" s="106"/>
      <c r="C1063" s="106"/>
      <c r="D1063" s="101"/>
      <c r="E1063" s="106"/>
      <c r="F1063" s="107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9"/>
      <c r="V1063" s="109"/>
    </row>
    <row r="1064" ht="12.75" customHeight="1">
      <c r="A1064" s="106"/>
      <c r="B1064" s="106"/>
      <c r="C1064" s="106"/>
      <c r="D1064" s="101"/>
      <c r="E1064" s="106"/>
      <c r="F1064" s="107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9"/>
      <c r="V1064" s="109"/>
    </row>
    <row r="1065" ht="12.75" customHeight="1">
      <c r="A1065" s="106"/>
      <c r="B1065" s="106"/>
      <c r="C1065" s="106"/>
      <c r="D1065" s="101"/>
      <c r="E1065" s="106"/>
      <c r="F1065" s="107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9"/>
      <c r="V1065" s="109"/>
    </row>
    <row r="1066" ht="12.75" customHeight="1">
      <c r="A1066" s="106"/>
      <c r="B1066" s="106"/>
      <c r="C1066" s="106"/>
      <c r="D1066" s="101"/>
      <c r="E1066" s="106"/>
      <c r="F1066" s="107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9"/>
      <c r="V1066" s="109"/>
    </row>
    <row r="1067" ht="12.75" customHeight="1">
      <c r="A1067" s="106"/>
      <c r="B1067" s="106"/>
      <c r="C1067" s="106"/>
      <c r="D1067" s="101"/>
      <c r="E1067" s="106"/>
      <c r="F1067" s="107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9"/>
      <c r="V1067" s="109"/>
    </row>
    <row r="1068" ht="12.75" customHeight="1">
      <c r="A1068" s="106"/>
      <c r="B1068" s="106"/>
      <c r="C1068" s="106"/>
      <c r="D1068" s="101"/>
      <c r="E1068" s="106"/>
      <c r="F1068" s="107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9"/>
      <c r="V1068" s="109"/>
    </row>
    <row r="1069" ht="12.75" customHeight="1">
      <c r="A1069" s="106"/>
      <c r="B1069" s="106"/>
      <c r="C1069" s="106"/>
      <c r="D1069" s="101"/>
      <c r="E1069" s="106"/>
      <c r="F1069" s="107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9"/>
      <c r="V1069" s="109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67" t="s">
        <v>84</v>
      </c>
      <c r="B1" s="167" t="s">
        <v>85</v>
      </c>
      <c r="C1" s="167" t="s">
        <v>30</v>
      </c>
      <c r="D1" s="167" t="s">
        <v>86</v>
      </c>
      <c r="E1" s="167" t="s">
        <v>0</v>
      </c>
      <c r="F1" s="167" t="s">
        <v>87</v>
      </c>
      <c r="G1" s="167" t="s">
        <v>88</v>
      </c>
      <c r="H1" s="167" t="s">
        <v>89</v>
      </c>
      <c r="I1" s="167" t="s">
        <v>90</v>
      </c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</row>
    <row r="2">
      <c r="A2" s="169" t="s">
        <v>91</v>
      </c>
      <c r="B2" s="169" t="s">
        <v>92</v>
      </c>
      <c r="C2" s="169" t="s">
        <v>93</v>
      </c>
      <c r="D2" s="170">
        <v>46143.0</v>
      </c>
      <c r="E2" s="169">
        <v>11.04</v>
      </c>
      <c r="F2" s="169" t="s">
        <v>94</v>
      </c>
      <c r="G2" s="169" t="s">
        <v>95</v>
      </c>
      <c r="H2" s="169" t="s">
        <v>96</v>
      </c>
      <c r="I2" s="169" t="s">
        <v>97</v>
      </c>
    </row>
    <row r="3">
      <c r="A3" s="169" t="s">
        <v>98</v>
      </c>
      <c r="B3" s="169" t="s">
        <v>99</v>
      </c>
      <c r="C3" s="169" t="s">
        <v>93</v>
      </c>
      <c r="D3" s="171">
        <v>46139.0</v>
      </c>
      <c r="E3" s="169">
        <v>990.72</v>
      </c>
      <c r="F3" s="169" t="s">
        <v>94</v>
      </c>
      <c r="G3" s="169" t="s">
        <v>95</v>
      </c>
      <c r="H3" s="169" t="s">
        <v>100</v>
      </c>
      <c r="I3" s="169" t="s">
        <v>97</v>
      </c>
    </row>
    <row r="4">
      <c r="A4" s="169" t="s">
        <v>101</v>
      </c>
      <c r="B4" s="169" t="s">
        <v>102</v>
      </c>
      <c r="C4" s="169" t="s">
        <v>103</v>
      </c>
      <c r="D4" s="170">
        <v>46146.0</v>
      </c>
      <c r="E4" s="169">
        <v>3106.44</v>
      </c>
      <c r="F4" s="169" t="s">
        <v>94</v>
      </c>
      <c r="G4" s="169" t="s">
        <v>95</v>
      </c>
      <c r="H4" s="169" t="s">
        <v>104</v>
      </c>
      <c r="I4" s="169" t="s">
        <v>105</v>
      </c>
    </row>
    <row r="5">
      <c r="A5" s="169" t="s">
        <v>106</v>
      </c>
      <c r="B5" s="169" t="s">
        <v>99</v>
      </c>
      <c r="C5" s="169" t="s">
        <v>93</v>
      </c>
      <c r="D5" s="170">
        <v>46143.0</v>
      </c>
      <c r="E5" s="169">
        <v>1656.0</v>
      </c>
      <c r="F5" s="169" t="s">
        <v>94</v>
      </c>
      <c r="G5" s="169" t="s">
        <v>95</v>
      </c>
      <c r="H5" s="169" t="s">
        <v>107</v>
      </c>
      <c r="I5" s="169" t="s">
        <v>105</v>
      </c>
    </row>
    <row r="6">
      <c r="A6" s="169" t="s">
        <v>108</v>
      </c>
      <c r="B6" s="169" t="s">
        <v>109</v>
      </c>
      <c r="C6" s="169" t="s">
        <v>103</v>
      </c>
      <c r="D6" s="170">
        <v>46142.0</v>
      </c>
      <c r="E6" s="169">
        <v>2106.96</v>
      </c>
      <c r="F6" s="169" t="s">
        <v>94</v>
      </c>
      <c r="G6" s="169" t="s">
        <v>95</v>
      </c>
      <c r="H6" s="169" t="s">
        <v>104</v>
      </c>
      <c r="I6" s="169" t="s">
        <v>105</v>
      </c>
    </row>
    <row r="7">
      <c r="A7" s="169" t="s">
        <v>110</v>
      </c>
      <c r="B7" s="169" t="s">
        <v>111</v>
      </c>
      <c r="C7" s="169" t="s">
        <v>103</v>
      </c>
      <c r="D7" s="170">
        <v>46143.0</v>
      </c>
      <c r="E7" s="169">
        <v>1809.24</v>
      </c>
      <c r="F7" s="169" t="s">
        <v>94</v>
      </c>
      <c r="G7" s="169" t="s">
        <v>95</v>
      </c>
      <c r="H7" s="169" t="s">
        <v>112</v>
      </c>
      <c r="I7" s="169" t="s">
        <v>105</v>
      </c>
    </row>
  </sheetData>
  <drawing r:id="rId1"/>
</worksheet>
</file>