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<sst xmlns="http://schemas.openxmlformats.org/spreadsheetml/2006/main" count="2244" uniqueCount="103">
  <si>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</si>
  <si>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</si>
  <si>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</si>
  <si>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</si>
  <si>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</si>
  <si>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</si>
  <si>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</si>
  <si>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</si>
  <si>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</si>
  <si>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</si>
  <si>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</si>
  <si>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</si>
  <si>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</si>
  <si>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</si>
  <si>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</si>
  <si>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Mohamed Aljahmi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</si>
  <si>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</si>
  <si>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</si>
  <si>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</si>
  <si>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</si>
  <si>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</si>
  <si>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</si>
  <si>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</si>
  <si>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</si>
  <si>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</si>
  <si>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</si>
  <si>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Mohamed Aljahmi</t>
  </si>
  <si>
    <t>Ali Musa</t>
  </si>
  <si>
    <t>Jeanieliza Solis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</si>
  <si>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</si>
  <si>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</si>
  <si>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</si>
  <si>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</si>
  <si>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</si>
  <si>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</si>
  <si>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</si>
  <si>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</si>
  <si>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</si>
  <si>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</si>
  <si>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</si>
  <si>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</si>
  <si>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</si>
  <si>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</si>
  <si>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</si>
  <si>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</si>
  <si>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</si>
  <si>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</si>
  <si>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Adam Youssef</t>
  </si>
  <si>
    <t>Aleskander Murshed</t>
  </si>
  <si>
    <t>OH</t>
  </si>
  <si>
    <t>Connor Cook</t>
  </si>
  <si>
    <t>Cameron Porter</t>
  </si>
  <si>
    <t>CA</t>
  </si>
  <si>
    <t>Gabriela Romero</t>
  </si>
  <si>
    <t>Hannah Sanders</t>
  </si>
  <si>
    <t>Tyren Cosare</t>
  </si>
  <si>
    <t>Henry Long</t>
  </si>
  <si>
    <t>Awni Shuaib</t>
  </si>
  <si>
    <t>Ali Eltanoukhi</t>
  </si>
  <si>
    <t>Sajad Aljanaby</t>
  </si>
  <si>
    <t>Ali Elrez</t>
  </si>
  <si>
    <t>FL</t>
  </si>
  <si>
    <t>Christine Demaras</t>
  </si>
  <si>
    <t>Maher Altairi</t>
  </si>
  <si>
    <t>Basel Musaed</t>
  </si>
  <si>
    <t>NJ</t>
  </si>
  <si>
    <t>Lamese Bader</t>
  </si>
  <si>
    <t xml:space="preserve">Snoor Qaradaghi </t>
  </si>
  <si>
    <t>Snoor Qaradaghi</t>
  </si>
  <si>
    <t>NC</t>
  </si>
  <si>
    <t xml:space="preserve">Kimberly Villacampa </t>
  </si>
  <si>
    <t>Shiko Qaradaghi</t>
  </si>
  <si>
    <t>LA</t>
  </si>
  <si>
    <t>Tina Tilley</t>
  </si>
  <si>
    <t>Bruce Curry</t>
  </si>
  <si>
    <t>Bilal Olayan</t>
  </si>
  <si>
    <t>CO</t>
  </si>
  <si>
    <t>Daniella Robinson</t>
  </si>
  <si>
    <t>Waleed Othman</t>
  </si>
  <si>
    <t>MO</t>
  </si>
  <si>
    <t>Jeannieliza Solis</t>
  </si>
  <si>
    <t>Jose Bravo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</si>
  <si>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</si>
  <si>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</si>
  <si>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</si>
  <si>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</si>
  <si>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</si>
  <si>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</si>
  <si>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</si>
  <si>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ANNABELLE EDWARDS</t>
  </si>
  <si>
    <t>AWNI SCHUAIB</t>
  </si>
  <si>
    <t>ALJAHMI</t>
  </si>
  <si>
    <t>N/A</t>
  </si>
  <si>
    <t>NO</t>
  </si>
  <si>
    <t>AFTER SPEAKING TO HER MOM, REALIZED SHE WAS 'GULLIBLE' AND DIDN'T KNOW THAT THIS WAS OPTIONAL AND DOESN'T WANT TO MOVE FORWARD W THIS.</t>
  </si>
  <si>
    <t>KENDRA MILLS</t>
  </si>
  <si>
    <t xml:space="preserve">FATHER CALLED ME STATING THAT THERE WAS MISCOMMUNICATION BETWEEN REP AND HIS DAUGHTER- DIDN'T WANT TO START UP ANY BENEFITS, JUST WANTED THE INFO TO LOOK OVER. </t>
  </si>
  <si>
    <t>ANTHONY JUNNILA</t>
  </si>
  <si>
    <t>CLIENT DECIDED TO GO A DIFF DIRECTION DUE TO FINANCIAL SITUATION AT THIS MOMENT.</t>
  </si>
  <si>
    <t>DELORES KOPCZYNSKI</t>
  </si>
  <si>
    <t>ADAM YOUSSEF</t>
  </si>
  <si>
    <t>CLIENTS VERY UNHAPPY- FELT LIKE THEY COULDN'T GET A WORD IN AND WHEN THEY TRIED, WOULD GET SHOT DOWN. WANT TO CANCEL ALL POLICIES.</t>
  </si>
  <si>
    <t>GERALD KOPCZYNSKI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</si>
</sst>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7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b/>
      <color theme="1"/>
      <name val="Calibri"/>
    </font>
    <font>
      <b/>
      <color rgb="FFFFFFFF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color rgb="FF000000"/>
      <name val="Arial"/>
    </font>
    <font>
      <color theme="1"/>
      <name val="Calibri"/>
      <scheme val="minor"/>
    </font>
    <font>
      <b/>
      <sz val="11.0"/>
      <color rgb="FFFFFFFF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1" fillId="3" fontId="3" numFmtId="0" xfId="0" applyAlignment="1" applyBorder="1" applyFont="1">
      <alignment readingOrder="0" vertical="center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2" fillId="5" fontId="9" numFmtId="0" xfId="0" applyAlignment="1" applyBorder="1" applyFont="1">
      <alignment readingOrder="0" shrinkToFit="0" vertical="bottom" wrapText="1"/>
    </xf>
    <xf borderId="3" fillId="5" fontId="10" numFmtId="0" xfId="0" applyAlignment="1" applyBorder="1" applyFont="1">
      <alignment vertical="bottom"/>
    </xf>
    <xf borderId="3" fillId="5" fontId="9" numFmtId="0" xfId="0" applyAlignment="1" applyBorder="1" applyFont="1">
      <alignment shrinkToFit="0" vertical="bottom" wrapText="1"/>
    </xf>
    <xf borderId="3" fillId="5" fontId="9" numFmtId="0" xfId="0" applyAlignment="1" applyBorder="1" applyFont="1">
      <alignment readingOrder="0" shrinkToFit="0" vertical="bottom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3" fillId="3" fontId="4" numFmtId="0" xfId="0" applyAlignment="1" applyBorder="1" applyFont="1">
      <alignment readingOrder="0" shrinkToFit="0" vertical="bottom" wrapText="1"/>
    </xf>
    <xf borderId="4" fillId="3" fontId="11" numFmtId="0" xfId="0" applyAlignment="1" applyBorder="1" applyFont="1">
      <alignment readingOrder="0" vertical="center"/>
    </xf>
    <xf borderId="4" fillId="3" fontId="4" numFmtId="0" xfId="0" applyAlignment="1" applyBorder="1" applyFont="1">
      <alignment readingOrder="0" shrinkToFit="0" vertical="bottom" wrapText="1"/>
    </xf>
    <xf borderId="1" fillId="3" fontId="4" numFmtId="0" xfId="0" applyAlignment="1" applyBorder="1" applyFont="1">
      <alignment readingOrder="0" shrinkToFit="0" vertical="center" wrapText="1"/>
    </xf>
    <xf borderId="1" fillId="5" fontId="12" numFmtId="0" xfId="0" applyAlignment="1" applyBorder="1" applyFont="1">
      <alignment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readingOrder="0" shrinkToFit="0" vertical="bottom" wrapText="1"/>
    </xf>
    <xf borderId="3" fillId="5" fontId="12" numFmtId="0" xfId="0" applyAlignment="1" applyBorder="1" applyFont="1">
      <alignment vertical="center"/>
    </xf>
    <xf borderId="3" fillId="5" fontId="12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readingOrder="0" vertical="center"/>
    </xf>
    <xf borderId="4" fillId="0" fontId="12" numFmtId="0" xfId="0" applyAlignment="1" applyBorder="1" applyFont="1">
      <alignment readingOrder="0" shrinkToFit="0" vertical="bottom" wrapText="1"/>
    </xf>
    <xf borderId="2" fillId="0" fontId="12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center"/>
    </xf>
    <xf borderId="2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9" numFmtId="0" xfId="0" applyAlignment="1" applyBorder="1" applyFont="1">
      <alignment readingOrder="0" vertical="center"/>
    </xf>
    <xf borderId="2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readingOrder="0" shrinkToFit="0" vertical="bottom" wrapText="1"/>
    </xf>
    <xf borderId="3" fillId="4" fontId="12" numFmtId="0" xfId="0" applyAlignment="1" applyBorder="1" applyFont="1">
      <alignment vertical="center"/>
    </xf>
    <xf borderId="1" fillId="4" fontId="12" numFmtId="0" xfId="0" applyAlignment="1" applyBorder="1" applyFont="1">
      <alignment readingOrder="0" shrinkToFit="0" vertical="center" wrapText="1"/>
    </xf>
    <xf borderId="2" fillId="4" fontId="12" numFmtId="0" xfId="0" applyAlignment="1" applyBorder="1" applyFont="1">
      <alignment shrinkToFit="0" vertical="bottom" wrapText="1"/>
    </xf>
    <xf borderId="3" fillId="4" fontId="12" numFmtId="0" xfId="0" applyAlignment="1" applyBorder="1" applyFont="1">
      <alignment shrinkToFit="0" vertical="bottom" wrapText="1"/>
    </xf>
    <xf borderId="3" fillId="4" fontId="1" numFmtId="0" xfId="0" applyAlignment="1" applyBorder="1" applyFont="1">
      <alignment vertical="center"/>
    </xf>
    <xf borderId="1" fillId="4" fontId="12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4" fillId="5" fontId="9" numFmtId="0" xfId="0" applyAlignment="1" applyBorder="1" applyFont="1">
      <alignment readingOrder="0" shrinkToFit="0" vertical="center" wrapText="1"/>
    </xf>
    <xf borderId="4" fillId="5" fontId="10" numFmtId="0" xfId="0" applyAlignment="1" applyBorder="1" applyFont="1">
      <alignment readingOrder="0" vertical="center"/>
    </xf>
    <xf borderId="4" fillId="5" fontId="9" numFmtId="0" xfId="0" applyAlignment="1" applyBorder="1" applyFont="1">
      <alignment readingOrder="0" shrinkToFit="0" vertical="bottom" wrapText="1"/>
    </xf>
    <xf borderId="4" fillId="5" fontId="12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center"/>
    </xf>
    <xf borderId="4" fillId="4" fontId="10" numFmtId="0" xfId="0" applyAlignment="1" applyBorder="1" applyFont="1">
      <alignment readingOrder="0" vertical="center"/>
    </xf>
    <xf borderId="4" fillId="4" fontId="9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3" fillId="4" fontId="12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readingOrder="0" vertical="center"/>
    </xf>
    <xf borderId="1" fillId="5" fontId="13" numFmtId="0" xfId="0" applyAlignment="1" applyBorder="1" applyFont="1">
      <alignment readingOrder="0" shrinkToFit="0" vertical="bottom" wrapText="1"/>
    </xf>
    <xf borderId="1" fillId="5" fontId="14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vertical="center"/>
    </xf>
    <xf borderId="3" fillId="5" fontId="13" numFmtId="0" xfId="0" applyAlignment="1" applyBorder="1" applyFont="1">
      <alignment readingOrder="0" shrinkToFit="0" vertical="bottom" wrapText="1"/>
    </xf>
    <xf borderId="3" fillId="5" fontId="13" numFmtId="0" xfId="0" applyAlignment="1" applyBorder="1" applyFont="1">
      <alignment readingOrder="0" shrinkToFit="0" vertical="center" wrapText="1"/>
    </xf>
    <xf borderId="1" fillId="5" fontId="7" numFmtId="0" xfId="0" applyAlignment="1" applyBorder="1" applyFont="1">
      <alignment readingOrder="0" vertical="center"/>
    </xf>
    <xf borderId="3" fillId="5" fontId="1" numFmtId="0" xfId="0" applyAlignment="1" applyBorder="1" applyFont="1">
      <alignment vertical="center"/>
    </xf>
    <xf borderId="2" fillId="5" fontId="12" numFmtId="0" xfId="0" applyAlignment="1" applyBorder="1" applyFont="1">
      <alignment shrinkToFit="0" vertical="bottom" wrapText="1"/>
    </xf>
    <xf borderId="1" fillId="5" fontId="7" numFmtId="0" xfId="0" applyAlignment="1" applyBorder="1" applyFont="1">
      <alignment vertical="center"/>
    </xf>
    <xf borderId="2" fillId="5" fontId="12" numFmtId="0" xfId="0" applyAlignment="1" applyBorder="1" applyFont="1">
      <alignment readingOrder="0" shrinkToFit="0" vertical="bottom" wrapText="1"/>
    </xf>
    <xf borderId="3" fillId="5" fontId="1" numFmtId="0" xfId="0" applyAlignment="1" applyBorder="1" applyFont="1">
      <alignment readingOrder="0" vertical="center"/>
    </xf>
    <xf borderId="1" fillId="3" fontId="8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shrinkToFit="0" vertical="center" wrapText="1"/>
    </xf>
    <xf borderId="3" fillId="3" fontId="11" numFmtId="0" xfId="0" applyAlignment="1" applyBorder="1" applyFont="1">
      <alignment readingOrder="0" vertical="bottom"/>
    </xf>
    <xf borderId="3" fillId="5" fontId="9" numFmtId="0" xfId="0" applyAlignment="1" applyBorder="1" applyFont="1">
      <alignment readingOrder="0" shrinkToFit="0" vertical="center" wrapText="1"/>
    </xf>
    <xf borderId="3" fillId="5" fontId="10" numFmtId="0" xfId="0" applyAlignment="1" applyBorder="1" applyFont="1">
      <alignment readingOrder="0" vertical="bottom"/>
    </xf>
    <xf borderId="0" fillId="0" fontId="12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2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2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8" fontId="1" numFmtId="0" xfId="0" applyAlignment="1" applyFill="1" applyFont="1">
      <alignment vertical="center"/>
    </xf>
    <xf borderId="0" fillId="8" fontId="1" numFmtId="0" xfId="0" applyAlignment="1" applyFont="1">
      <alignment vertical="center"/>
    </xf>
    <xf borderId="0" fillId="8" fontId="1" numFmtId="3" xfId="0" applyAlignment="1" applyFont="1" applyNumberFormat="1">
      <alignment vertical="center"/>
    </xf>
    <xf borderId="0" fillId="8" fontId="1" numFmtId="9" xfId="0" applyAlignment="1" applyFont="1" applyNumberFormat="1">
      <alignment vertical="center"/>
    </xf>
    <xf borderId="0" fillId="0" fontId="15" numFmtId="0" xfId="0" applyAlignment="1" applyFont="1">
      <alignment readingOrder="0" vertical="center"/>
    </xf>
    <xf borderId="0" fillId="2" fontId="16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48446</v>
      </c>
      <c r="D2" s="9"/>
      <c r="E2" s="8">
        <f t="shared" ref="E2:R2" si="1">SUM(E5)</f>
        <v>17404</v>
      </c>
      <c r="F2" s="10" t="str">
        <f t="shared" si="1"/>
        <v>#REF!</v>
      </c>
      <c r="G2" s="10">
        <f t="shared" si="1"/>
        <v>60</v>
      </c>
      <c r="H2" s="10">
        <f t="shared" si="1"/>
        <v>32</v>
      </c>
      <c r="I2" s="10">
        <f t="shared" si="1"/>
        <v>12</v>
      </c>
      <c r="J2" s="10">
        <f t="shared" si="1"/>
        <v>5</v>
      </c>
      <c r="K2" s="10">
        <f t="shared" si="1"/>
        <v>13</v>
      </c>
      <c r="L2" s="10">
        <f t="shared" si="1"/>
        <v>3</v>
      </c>
      <c r="M2" s="10">
        <f t="shared" si="1"/>
        <v>163</v>
      </c>
      <c r="N2" s="10">
        <f t="shared" si="1"/>
        <v>33</v>
      </c>
      <c r="O2" s="10">
        <f t="shared" si="1"/>
        <v>22</v>
      </c>
      <c r="P2" s="10">
        <f t="shared" si="1"/>
        <v>29</v>
      </c>
      <c r="Q2" s="10">
        <f t="shared" si="1"/>
        <v>14</v>
      </c>
      <c r="R2" s="10">
        <f t="shared" si="1"/>
        <v>11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1513.9375</v>
      </c>
      <c r="F4" s="20">
        <f>IFERROR((G2+R2)/F2,0)</f>
        <v>0</v>
      </c>
      <c r="G4" s="20">
        <f>IFERROR(H2/G2,0)</f>
        <v>0.5333333333</v>
      </c>
      <c r="H4" s="19">
        <f>(C2/C4)</f>
        <v>1730.214286</v>
      </c>
      <c r="I4" s="21"/>
      <c r="J4" s="20">
        <f>IFERROR(J2/I2,0)</f>
        <v>0.4166666667</v>
      </c>
      <c r="K4" s="21"/>
      <c r="L4" s="20">
        <f>IFERROR(L2/K2,0)</f>
        <v>0.2307692308</v>
      </c>
      <c r="M4" s="22">
        <f>IFERROR(M2/G2,0)</f>
        <v>2.716666667</v>
      </c>
      <c r="N4" s="21"/>
      <c r="O4" s="20">
        <f>IFERROR(O2/N2,0)</f>
        <v>0.6666666667</v>
      </c>
      <c r="P4" s="22"/>
      <c r="Q4" s="20">
        <f>IFERROR(Q2/P2,0)</f>
        <v>0.4827586207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48446</v>
      </c>
      <c r="D5" s="26"/>
      <c r="E5" s="27">
        <f>SUMIFS(T:T,A:A,B5,D:D,"Y")</f>
        <v>17404</v>
      </c>
      <c r="F5" s="8" t="str">
        <f>SUMIF(A:A,B5,G:G)</f>
        <v>#REF!</v>
      </c>
      <c r="G5" s="10">
        <f>SUMIF(A:A,B5,H:H)</f>
        <v>60</v>
      </c>
      <c r="H5" s="10">
        <f>SUMIF(A:A,B5,I:I)</f>
        <v>32</v>
      </c>
      <c r="I5" s="10">
        <f>SUMIF(A:A,B5,P:P)</f>
        <v>12</v>
      </c>
      <c r="J5" s="10">
        <f>SUMIF(A:A,B5,Q:Q)</f>
        <v>5</v>
      </c>
      <c r="K5" s="10">
        <f>SUMIF(A:A,B5,R:R)</f>
        <v>13</v>
      </c>
      <c r="L5" s="10">
        <f>SUMIF(A:A,B5,S:S)</f>
        <v>3</v>
      </c>
      <c r="M5" s="10">
        <f>SUMIF(A:A,B5,M:M)</f>
        <v>163</v>
      </c>
      <c r="N5" s="10">
        <f>SUMIF(A:A,B5,N:N)</f>
        <v>33</v>
      </c>
      <c r="O5" s="10">
        <f>SUMIF(A:A,B5,O:O)</f>
        <v>22</v>
      </c>
      <c r="P5" s="10">
        <f>SUMIF(A:A,B5,J:J)</f>
        <v>29</v>
      </c>
      <c r="Q5" s="10">
        <f>SUMIF(A:A,B5,K:K)</f>
        <v>14</v>
      </c>
      <c r="R5" s="10">
        <f>SUMIF(A:A,B5,L:L)</f>
        <v>11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1513.9375</v>
      </c>
      <c r="F7" s="20">
        <f>IFERROR((G5+R5)/F5,0)</f>
        <v>0</v>
      </c>
      <c r="G7" s="20">
        <f>IFERROR(H5/G5,0)</f>
        <v>0.5333333333</v>
      </c>
      <c r="H7" s="19">
        <f>(C5/C7)</f>
        <v>1730.214286</v>
      </c>
      <c r="I7" s="21"/>
      <c r="J7" s="20">
        <f>IFERROR(J5/I5,0)</f>
        <v>0.4166666667</v>
      </c>
      <c r="K7" s="21"/>
      <c r="L7" s="20">
        <f>IFERROR(L5/K5,0)</f>
        <v>0.2307692308</v>
      </c>
      <c r="M7" s="22">
        <f>IFERROR(M5/SUM(R5+G5,0),"")</f>
        <v>2.295774648</v>
      </c>
      <c r="N7" s="21"/>
      <c r="O7" s="20">
        <f>IFERROR(O5/N5,0)</f>
        <v>0.6666666667</v>
      </c>
      <c r="P7" s="22"/>
      <c r="Q7" s="20">
        <f>IFERROR(Q5/P5,0)</f>
        <v>0.4827586207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48446</v>
      </c>
      <c r="D8" s="36"/>
      <c r="E8" s="37">
        <f>SUMIFS(T:T,B:B,B8,D:D,"Y")</f>
        <v>17404</v>
      </c>
      <c r="F8" s="38" t="str">
        <f>SUMIF(B16:B1037,B8,G16:G1037)</f>
        <v>#REF!</v>
      </c>
      <c r="G8" s="39">
        <f>SUMIF(B16:B1037,B8,H16:H1037)</f>
        <v>60</v>
      </c>
      <c r="H8" s="38">
        <f>SUMIF(B16:B1037,B8,I16:I1037)</f>
        <v>32</v>
      </c>
      <c r="I8" s="39">
        <f>SUMIF(B16:B1037,B8,P16:P1037)</f>
        <v>12</v>
      </c>
      <c r="J8" s="39">
        <f>SUMIF(B16:B1037,B8,Q16:Q1037)</f>
        <v>5</v>
      </c>
      <c r="K8" s="39">
        <f>SUMIF(B16:B1037,B8,R16:R1037)</f>
        <v>13</v>
      </c>
      <c r="L8" s="39">
        <f>SUMIF(B16:B1037,B8,S16:S1037)</f>
        <v>3</v>
      </c>
      <c r="M8" s="39">
        <f>SUMIF(B16:B1037,B8,M16:M1037)</f>
        <v>163</v>
      </c>
      <c r="N8" s="39">
        <f>SUMIF(B16:B1037,B8,N16:N1037)</f>
        <v>33</v>
      </c>
      <c r="O8" s="38">
        <f>SUMIF(B16:B1037,B8,O16:O1037)</f>
        <v>22</v>
      </c>
      <c r="P8" s="39">
        <f>SUMIF(B16:B1037,B8,J16:J1037)</f>
        <v>29</v>
      </c>
      <c r="Q8" s="39">
        <f>SUMIF(B16:B1037,B8,K16:K1037)</f>
        <v>14</v>
      </c>
      <c r="R8" s="38">
        <f>SUMIF(B16:B1037,B8,L16:L1037)</f>
        <v>11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COUNTIFS(B16:B1037,B8)</f>
        <v>25</v>
      </c>
      <c r="D10" s="42"/>
      <c r="E10" s="50">
        <f>IFERROR(C8/H8,0)</f>
        <v>1513.9375</v>
      </c>
      <c r="F10" s="51">
        <f>IFERROR((G8+R8)/F8,0)</f>
        <v>0</v>
      </c>
      <c r="G10" s="51">
        <f>IFERROR(H8/G8,0)</f>
        <v>0.5333333333</v>
      </c>
      <c r="H10" s="50">
        <f>(C8/C10)</f>
        <v>1937.84</v>
      </c>
      <c r="I10" s="46"/>
      <c r="J10" s="51">
        <f>IFERROR(J8/I8,0)</f>
        <v>0.4166666667</v>
      </c>
      <c r="K10" s="46"/>
      <c r="L10" s="51">
        <f>IFERROR(L8/K8,0)</f>
        <v>0.2307692308</v>
      </c>
      <c r="M10" s="52">
        <f>IFERROR(M8/SUM(G8+R8,0),"")</f>
        <v>2.295774648</v>
      </c>
      <c r="N10" s="46"/>
      <c r="O10" s="51">
        <f>IFERROR(O8/N8,0)</f>
        <v>0.6666666667</v>
      </c>
      <c r="P10" s="53"/>
      <c r="Q10" s="51">
        <f>IFERROR(Q8/P8,0)</f>
        <v>0.4827586207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SUMIF(B45:B1037,B11,G45:G1037)</f>
        <v>0</v>
      </c>
      <c r="G11" s="39">
        <f>SUMIF(B45:B1037,B11,H45:H1037)</f>
        <v>0</v>
      </c>
      <c r="H11" s="38">
        <f>SUMIF(B45:B1037,B11,I45:I1037)</f>
        <v>0</v>
      </c>
      <c r="I11" s="39">
        <f>SUMIF(B45:B1037,B11,P45:P1037)</f>
        <v>0</v>
      </c>
      <c r="J11" s="39">
        <f>SUMIF(B45:B1037,B11,Q45:Q1037)</f>
        <v>0</v>
      </c>
      <c r="K11" s="39">
        <f>SUMIF(B45:B1037,B11,R45:R1037)</f>
        <v>0</v>
      </c>
      <c r="L11" s="39">
        <f>SUMIF(B45:B1037,B11,S45:S1037)</f>
        <v>0</v>
      </c>
      <c r="M11" s="39">
        <f>SUMIF(B45:B1037,B11,M45:M1037)</f>
        <v>0</v>
      </c>
      <c r="N11" s="39">
        <f>SUMIF(B45:B1037,B11,N45:N1037)</f>
        <v>0</v>
      </c>
      <c r="O11" s="38">
        <f>SUMIF(B45:B1037,B11,O45:O1037)</f>
        <v>0</v>
      </c>
      <c r="P11" s="39">
        <f>SUMIF(B45:B1037,B11,J45:J1037)</f>
        <v>0</v>
      </c>
      <c r="Q11" s="39">
        <f>SUMIF(B45:B1037,B11,K45:K1037)</f>
        <v>0</v>
      </c>
      <c r="R11" s="38">
        <f>SUMIF(B45:B1037,B11,L45:L1037)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COUNTIFS(B16:B1037,B11)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>
        <f>('Thurs (2)'!G17+Thurs!G17+'Tues '!G17+Wed!G17+Fri!G17+'Mon '!G17+'Wed (2)'!G17+Sun!G17+Sat!G17)</f>
        <v>0</v>
      </c>
      <c r="H17" s="66">
        <f>('Thurs (2)'!H17+Thurs!H17+'Tues '!H17+Wed!H17+Fri!H17+'Mon '!H17+'Wed (2)'!H17+Sun!H17+Sat!H17)</f>
        <v>0</v>
      </c>
      <c r="I17" s="66">
        <f>('Thurs (2)'!I17+Thurs!I17+'Tues '!I17+Wed!I17+Fri!I17+'Mon '!I17+'Wed (2)'!I17+Sun!I17+Sat!I17)</f>
        <v>0</v>
      </c>
      <c r="J17" s="66">
        <f>('Thurs (2)'!J17+Thurs!J17+'Tues '!J17+Wed!J17+Fri!J17+'Mon '!J17+'Wed (2)'!J17+Sun!J17+Sat!J17)</f>
        <v>0</v>
      </c>
      <c r="K17" s="66">
        <f>('Thurs (2)'!K17+Thurs!K17+'Tues '!K17+Wed!K17+Fri!K17+'Mon '!K17+'Wed (2)'!K17+Sun!K17+Sat!K17)</f>
        <v>0</v>
      </c>
      <c r="L17" s="66">
        <f>('Thurs (2)'!L17+Thurs!L17+'Tues '!L17+Wed!L17+Fri!L17+'Mon '!L17+'Wed (2)'!L17+Sun!L17+Sat!L17)</f>
        <v>0</v>
      </c>
      <c r="M17" s="66">
        <f>('Thurs (2)'!M17+Thurs!M17+'Tues '!M17+Wed!M17+Fri!M17+'Mon '!M17+'Wed (2)'!M17+Sun!M17+Sat!M17)</f>
        <v>0</v>
      </c>
      <c r="N17" s="66">
        <f>('Thurs (2)'!N17+Thurs!N17+'Tues '!N17+Wed!N17+Fri!N17+'Mon '!N17+'Wed (2)'!N17+Sun!N17+Sat!N17)</f>
        <v>0</v>
      </c>
      <c r="O17" s="66">
        <f>('Thurs (2)'!O17+Thurs!O17+'Tues '!O17+Wed!O17+Fri!O17+'Mon '!O17+'Wed (2)'!O17+Sun!O17+Sat!O17)</f>
        <v>0</v>
      </c>
      <c r="P17" s="66">
        <f>('Thurs (2)'!P17+Thurs!P17+'Tues '!P17+Wed!P17+Fri!P17+'Mon '!P17+'Wed (2)'!P17+Sun!P17+Sat!P17)</f>
        <v>0</v>
      </c>
      <c r="Q17" s="66">
        <f>('Thurs (2)'!Q17+Thurs!Q17+'Tues '!Q17+Wed!Q17+Fri!Q17+'Mon '!Q17+'Wed (2)'!Q17+Sun!Q17+Sat!Q17)</f>
        <v>0</v>
      </c>
      <c r="R17" s="66">
        <f>('Thurs (2)'!R17+Thurs!R17+'Tues '!R17+Wed!R17+Fri!R17+'Mon '!R17+'Wed (2)'!R17+Sun!R17+Sat!R17)</f>
        <v>0</v>
      </c>
      <c r="S17" s="66">
        <f>('Thurs (2)'!S17+Thurs!S17+'Tues '!S17+Wed!S17+Fri!S17+'Mon '!S17+'Wed (2)'!S17+Sun!S17+Sat!S17)</f>
        <v>0</v>
      </c>
      <c r="T17" s="66">
        <f>('Thurs (2)'!T17+Thurs!T17+'Tues '!T17+Wed!T17+Fri!T17+'Mon '!T17+'Wed (2)'!T17+Sun!T17+Sat!T17)</f>
        <v>0</v>
      </c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>
        <f>('Thurs (2)'!G18+Thurs!G18+'Tues '!G18+Wed!G18+Fri!G18+'Mon '!G18+'Wed (2)'!G18+Sun!G18+Sat!G18)</f>
        <v>0</v>
      </c>
      <c r="H18" s="66">
        <f>('Thurs (2)'!H18+Thurs!H18+'Tues '!H18+Wed!H18+Fri!H18+'Mon '!H18+'Wed (2)'!H18+Sun!H18+Sat!H18)</f>
        <v>0</v>
      </c>
      <c r="I18" s="66">
        <f>('Thurs (2)'!I18+Thurs!I18+'Tues '!I18+Wed!I18+Fri!I18+'Mon '!I18+'Wed (2)'!I18+Sun!I18+Sat!I18)</f>
        <v>0</v>
      </c>
      <c r="J18" s="66">
        <f>('Thurs (2)'!J18+Thurs!J18+'Tues '!J18+Wed!J18+Fri!J18+'Mon '!J18+'Wed (2)'!J18+Sun!J18+Sat!J18)</f>
        <v>0</v>
      </c>
      <c r="K18" s="66">
        <f>('Thurs (2)'!K18+Thurs!K18+'Tues '!K18+Wed!K18+Fri!K18+'Mon '!K18+'Wed (2)'!K18+Sun!K18+Sat!K18)</f>
        <v>0</v>
      </c>
      <c r="L18" s="66">
        <f>('Thurs (2)'!L18+Thurs!L18+'Tues '!L18+Wed!L18+Fri!L18+'Mon '!L18+'Wed (2)'!L18+Sun!L18+Sat!L18)</f>
        <v>0</v>
      </c>
      <c r="M18" s="66">
        <f>('Thurs (2)'!M18+Thurs!M18+'Tues '!M18+Wed!M18+Fri!M18+'Mon '!M18+'Wed (2)'!M18+Sun!M18+Sat!M18)</f>
        <v>0</v>
      </c>
      <c r="N18" s="66">
        <f>('Thurs (2)'!N18+Thurs!N18+'Tues '!N18+Wed!N18+Fri!N18+'Mon '!N18+'Wed (2)'!N18+Sun!N18+Sat!N18)</f>
        <v>0</v>
      </c>
      <c r="O18" s="66">
        <f>('Thurs (2)'!O18+Thurs!O18+'Tues '!O18+Wed!O18+Fri!O18+'Mon '!O18+'Wed (2)'!O18+Sun!O18+Sat!O18)</f>
        <v>0</v>
      </c>
      <c r="P18" s="66">
        <f>('Thurs (2)'!P18+Thurs!P18+'Tues '!P18+Wed!P18+Fri!P18+'Mon '!P18+'Wed (2)'!P18+Sun!P18+Sat!P18)</f>
        <v>0</v>
      </c>
      <c r="Q18" s="66">
        <f>('Thurs (2)'!Q18+Thurs!Q18+'Tues '!Q18+Wed!Q18+Fri!Q18+'Mon '!Q18+'Wed (2)'!Q18+Sun!Q18+Sat!Q18)</f>
        <v>0</v>
      </c>
      <c r="R18" s="66">
        <f>('Thurs (2)'!R18+Thurs!R18+'Tues '!R18+Wed!R18+Fri!R18+'Mon '!R18+'Wed (2)'!R18+Sun!R18+Sat!R18)</f>
        <v>0</v>
      </c>
      <c r="S18" s="66">
        <f>('Thurs (2)'!S18+Thurs!S18+'Tues '!S18+Wed!S18+Fri!S18+'Mon '!S18+'Wed (2)'!S18+Sun!S18+Sat!S18)</f>
        <v>0</v>
      </c>
      <c r="T18" s="66">
        <f>('Thurs (2)'!T18+Thurs!T18+'Tues '!T18+Wed!T18+Fri!T18+'Mon '!T18+'Wed (2)'!T18+Sun!T18+Sat!T18)</f>
        <v>0</v>
      </c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>
        <f>('Thurs (2)'!G19+Thurs!G19+'Tues '!G19+Wed!G19+Fri!G19+'Mon '!G19+'Wed (2)'!G19+Sun!G19+Sat!G19)</f>
        <v>0</v>
      </c>
      <c r="H19" s="66">
        <f>('Thurs (2)'!H19+Thurs!H19+'Tues '!H19+Wed!H19+Fri!H19+'Mon '!H19+'Wed (2)'!H19+Sun!H19+Sat!H19)</f>
        <v>0</v>
      </c>
      <c r="I19" s="66">
        <f>('Thurs (2)'!I19+Thurs!I19+'Tues '!I19+Wed!I19+Fri!I19+'Mon '!I19+'Wed (2)'!I19+Sun!I19+Sat!I19)</f>
        <v>0</v>
      </c>
      <c r="J19" s="66">
        <f>('Thurs (2)'!J19+Thurs!J19+'Tues '!J19+Wed!J19+Fri!J19+'Mon '!J19+'Wed (2)'!J19+Sun!J19+Sat!J19)</f>
        <v>0</v>
      </c>
      <c r="K19" s="66">
        <f>('Thurs (2)'!K19+Thurs!K19+'Tues '!K19+Wed!K19+Fri!K19+'Mon '!K19+'Wed (2)'!K19+Sun!K19+Sat!K19)</f>
        <v>0</v>
      </c>
      <c r="L19" s="66">
        <f>('Thurs (2)'!L19+Thurs!L19+'Tues '!L19+Wed!L19+Fri!L19+'Mon '!L19+'Wed (2)'!L19+Sun!L19+Sat!L19)</f>
        <v>0</v>
      </c>
      <c r="M19" s="66">
        <f>('Thurs (2)'!M19+Thurs!M19+'Tues '!M19+Wed!M19+Fri!M19+'Mon '!M19+'Wed (2)'!M19+Sun!M19+Sat!M19)</f>
        <v>0</v>
      </c>
      <c r="N19" s="66">
        <f>('Thurs (2)'!N19+Thurs!N19+'Tues '!N19+Wed!N19+Fri!N19+'Mon '!N19+'Wed (2)'!N19+Sun!N19+Sat!N19)</f>
        <v>0</v>
      </c>
      <c r="O19" s="66">
        <f>('Thurs (2)'!O19+Thurs!O19+'Tues '!O19+Wed!O19+Fri!O19+'Mon '!O19+'Wed (2)'!O19+Sun!O19+Sat!O19)</f>
        <v>0</v>
      </c>
      <c r="P19" s="66">
        <f>('Thurs (2)'!P19+Thurs!P19+'Tues '!P19+Wed!P19+Fri!P19+'Mon '!P19+'Wed (2)'!P19+Sun!P19+Sat!P19)</f>
        <v>0</v>
      </c>
      <c r="Q19" s="66">
        <f>('Thurs (2)'!Q19+Thurs!Q19+'Tues '!Q19+Wed!Q19+Fri!Q19+'Mon '!Q19+'Wed (2)'!Q19+Sun!Q19+Sat!Q19)</f>
        <v>0</v>
      </c>
      <c r="R19" s="66">
        <f>('Thurs (2)'!R19+Thurs!R19+'Tues '!R19+Wed!R19+Fri!R19+'Mon '!R19+'Wed (2)'!R19+Sun!R19+Sat!R19)</f>
        <v>0</v>
      </c>
      <c r="S19" s="66">
        <f>('Thurs (2)'!S19+Thurs!S19+'Tues '!S19+Wed!S19+Fri!S19+'Mon '!S19+'Wed (2)'!S19+Sun!S19+Sat!S19)</f>
        <v>0</v>
      </c>
      <c r="T19" s="66">
        <f>('Thurs (2)'!T19+Thurs!T19+'Tues '!T19+Wed!T19+Fri!T19+'Mon '!T19+'Wed (2)'!T19+Sun!T19+Sat!T19)</f>
        <v>0</v>
      </c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>
        <f>('Thurs (2)'!G20+Thurs!G20+'Tues '!G20+Wed!G20+Fri!G20+'Mon '!G20+'Wed (2)'!G20+Sun!G20+Sat!G20)</f>
        <v>0</v>
      </c>
      <c r="H20" s="66">
        <f>('Thurs (2)'!H20+Thurs!H20+'Tues '!H20+Wed!H20+Fri!H20+'Mon '!H20+'Wed (2)'!H20+Sun!H20+Sat!H20)</f>
        <v>0</v>
      </c>
      <c r="I20" s="66">
        <f>('Thurs (2)'!I20+Thurs!I20+'Tues '!I20+Wed!I20+Fri!I20+'Mon '!I20+'Wed (2)'!I20+Sun!I20+Sat!I20)</f>
        <v>0</v>
      </c>
      <c r="J20" s="66">
        <f>('Thurs (2)'!J20+Thurs!J20+'Tues '!J20+Wed!J20+Fri!J20+'Mon '!J20+'Wed (2)'!J20+Sun!J20+Sat!J20)</f>
        <v>0</v>
      </c>
      <c r="K20" s="66">
        <f>('Thurs (2)'!K20+Thurs!K20+'Tues '!K20+Wed!K20+Fri!K20+'Mon '!K20+'Wed (2)'!K20+Sun!K20+Sat!K20)</f>
        <v>0</v>
      </c>
      <c r="L20" s="66">
        <f>('Thurs (2)'!L20+Thurs!L20+'Tues '!L20+Wed!L20+Fri!L20+'Mon '!L20+'Wed (2)'!L20+Sun!L20+Sat!L20)</f>
        <v>0</v>
      </c>
      <c r="M20" s="66">
        <f>('Thurs (2)'!M20+Thurs!M20+'Tues '!M20+Wed!M20+Fri!M20+'Mon '!M20+'Wed (2)'!M20+Sun!M20+Sat!M20)</f>
        <v>0</v>
      </c>
      <c r="N20" s="66">
        <f>('Thurs (2)'!N20+Thurs!N20+'Tues '!N20+Wed!N20+Fri!N20+'Mon '!N20+'Wed (2)'!N20+Sun!N20+Sat!N20)</f>
        <v>0</v>
      </c>
      <c r="O20" s="66">
        <f>('Thurs (2)'!O20+Thurs!O20+'Tues '!O20+Wed!O20+Fri!O20+'Mon '!O20+'Wed (2)'!O20+Sun!O20+Sat!O20)</f>
        <v>0</v>
      </c>
      <c r="P20" s="66">
        <f>('Thurs (2)'!P20+Thurs!P20+'Tues '!P20+Wed!P20+Fri!P20+'Mon '!P20+'Wed (2)'!P20+Sun!P20+Sat!P20)</f>
        <v>0</v>
      </c>
      <c r="Q20" s="66">
        <f>('Thurs (2)'!Q20+Thurs!Q20+'Tues '!Q20+Wed!Q20+Fri!Q20+'Mon '!Q20+'Wed (2)'!Q20+Sun!Q20+Sat!Q20)</f>
        <v>0</v>
      </c>
      <c r="R20" s="66">
        <f>('Thurs (2)'!R20+Thurs!R20+'Tues '!R20+Wed!R20+Fri!R20+'Mon '!R20+'Wed (2)'!R20+Sun!R20+Sat!R20)</f>
        <v>0</v>
      </c>
      <c r="S20" s="66">
        <f>('Thurs (2)'!S20+Thurs!S20+'Tues '!S20+Wed!S20+Fri!S20+'Mon '!S20+'Wed (2)'!S20+Sun!S20+Sat!S20)</f>
        <v>0</v>
      </c>
      <c r="T20" s="66">
        <f>('Thurs (2)'!T20+Thurs!T20+'Tues '!T20+Wed!T20+Fri!T20+'Mon '!T20+'Wed (2)'!T20+Sun!T20+Sat!T20)</f>
        <v>0</v>
      </c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>
        <f>('Thurs (2)'!G21+Thurs!G21+'Tues '!G21+Wed!G21+Fri!G21+'Mon '!G21+'Wed (2)'!G21+Sun!G21+Sat!G21)</f>
        <v>0</v>
      </c>
      <c r="H21" s="66">
        <f>('Thurs (2)'!H21+Thurs!H21+'Tues '!H21+Wed!H21+Fri!H21+'Mon '!H21+'Wed (2)'!H21+Sun!H21+Sat!H21)</f>
        <v>0</v>
      </c>
      <c r="I21" s="66">
        <f>('Thurs (2)'!I21+Thurs!I21+'Tues '!I21+Wed!I21+Fri!I21+'Mon '!I21+'Wed (2)'!I21+Sun!I21+Sat!I21)</f>
        <v>0</v>
      </c>
      <c r="J21" s="66">
        <f>('Thurs (2)'!J21+Thurs!J21+'Tues '!J21+Wed!J21+Fri!J21+'Mon '!J21+'Wed (2)'!J21+Sun!J21+Sat!J21)</f>
        <v>0</v>
      </c>
      <c r="K21" s="66">
        <f>('Thurs (2)'!K21+Thurs!K21+'Tues '!K21+Wed!K21+Fri!K21+'Mon '!K21+'Wed (2)'!K21+Sun!K21+Sat!K21)</f>
        <v>0</v>
      </c>
      <c r="L21" s="66">
        <f>('Thurs (2)'!L21+Thurs!L21+'Tues '!L21+Wed!L21+Fri!L21+'Mon '!L21+'Wed (2)'!L21+Sun!L21+Sat!L21)</f>
        <v>0</v>
      </c>
      <c r="M21" s="66">
        <f>('Thurs (2)'!M21+Thurs!M21+'Tues '!M21+Wed!M21+Fri!M21+'Mon '!M21+'Wed (2)'!M21+Sun!M21+Sat!M21)</f>
        <v>0</v>
      </c>
      <c r="N21" s="66">
        <f>('Thurs (2)'!N21+Thurs!N21+'Tues '!N21+Wed!N21+Fri!N21+'Mon '!N21+'Wed (2)'!N21+Sun!N21+Sat!N21)</f>
        <v>0</v>
      </c>
      <c r="O21" s="66">
        <f>('Thurs (2)'!O21+Thurs!O21+'Tues '!O21+Wed!O21+Fri!O21+'Mon '!O21+'Wed (2)'!O21+Sun!O21+Sat!O21)</f>
        <v>0</v>
      </c>
      <c r="P21" s="66">
        <f>('Thurs (2)'!P21+Thurs!P21+'Tues '!P21+Wed!P21+Fri!P21+'Mon '!P21+'Wed (2)'!P21+Sun!P21+Sat!P21)</f>
        <v>0</v>
      </c>
      <c r="Q21" s="66">
        <f>('Thurs (2)'!Q21+Thurs!Q21+'Tues '!Q21+Wed!Q21+Fri!Q21+'Mon '!Q21+'Wed (2)'!Q21+Sun!Q21+Sat!Q21)</f>
        <v>0</v>
      </c>
      <c r="R21" s="66">
        <f>('Thurs (2)'!R21+Thurs!R21+'Tues '!R21+Wed!R21+Fri!R21+'Mon '!R21+'Wed (2)'!R21+Sun!R21+Sat!R21)</f>
        <v>0</v>
      </c>
      <c r="S21" s="66">
        <f>('Thurs (2)'!S21+Thurs!S21+'Tues '!S21+Wed!S21+Fri!S21+'Mon '!S21+'Wed (2)'!S21+Sun!S21+Sat!S21)</f>
        <v>0</v>
      </c>
      <c r="T21" s="66">
        <f>('Thurs (2)'!T21+Thurs!T21+'Tues '!T21+Wed!T21+Fri!T21+'Mon '!T21+'Wed (2)'!T21+Sun!T21+Sat!T21)</f>
        <v>0</v>
      </c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>
        <f>('Thurs (2)'!G22+Thurs!G22+'Tues '!G22+Wed!G22+Fri!G22+'Mon '!G22+'Wed (2)'!G22+Sun!G22+Sat!G22)</f>
        <v>10</v>
      </c>
      <c r="H22" s="66">
        <f>('Thurs (2)'!H22+Thurs!H22+'Tues '!H22+Wed!H22+Fri!H22+'Mon '!H22+'Wed (2)'!H22+Sun!H22+Sat!H22)</f>
        <v>5</v>
      </c>
      <c r="I22" s="66">
        <f>('Thurs (2)'!I22+Thurs!I22+'Tues '!I22+Wed!I22+Fri!I22+'Mon '!I22+'Wed (2)'!I22+Sun!I22+Sat!I22)</f>
        <v>3</v>
      </c>
      <c r="J22" s="66">
        <f>('Thurs (2)'!J22+Thurs!J22+'Tues '!J22+Wed!J22+Fri!J22+'Mon '!J22+'Wed (2)'!J22+Sun!J22+Sat!J22)</f>
        <v>1</v>
      </c>
      <c r="K22" s="66">
        <f>('Thurs (2)'!K22+Thurs!K22+'Tues '!K22+Wed!K22+Fri!K22+'Mon '!K22+'Wed (2)'!K22+Sun!K22+Sat!K22)</f>
        <v>1</v>
      </c>
      <c r="L22" s="66">
        <f>('Thurs (2)'!L22+Thurs!L22+'Tues '!L22+Wed!L22+Fri!L22+'Mon '!L22+'Wed (2)'!L22+Sun!L22+Sat!L22)</f>
        <v>0</v>
      </c>
      <c r="M22" s="66">
        <f>('Thurs (2)'!M22+Thurs!M22+'Tues '!M22+Wed!M22+Fri!M22+'Mon '!M22+'Wed (2)'!M22+Sun!M22+Sat!M22)</f>
        <v>14</v>
      </c>
      <c r="N22" s="66">
        <f>('Thurs (2)'!N22+Thurs!N22+'Tues '!N22+Wed!N22+Fri!N22+'Mon '!N22+'Wed (2)'!N22+Sun!N22+Sat!N22)</f>
        <v>0</v>
      </c>
      <c r="O22" s="66">
        <f>('Thurs (2)'!O22+Thurs!O22+'Tues '!O22+Wed!O22+Fri!O22+'Mon '!O22+'Wed (2)'!O22+Sun!O22+Sat!O22)</f>
        <v>0</v>
      </c>
      <c r="P22" s="66">
        <f>('Thurs (2)'!P22+Thurs!P22+'Tues '!P22+Wed!P22+Fri!P22+'Mon '!P22+'Wed (2)'!P22+Sun!P22+Sat!P22)</f>
        <v>0</v>
      </c>
      <c r="Q22" s="66">
        <f>('Thurs (2)'!Q22+Thurs!Q22+'Tues '!Q22+Wed!Q22+Fri!Q22+'Mon '!Q22+'Wed (2)'!Q22+Sun!Q22+Sat!Q22)</f>
        <v>0</v>
      </c>
      <c r="R22" s="66">
        <f>('Thurs (2)'!R22+Thurs!R22+'Tues '!R22+Wed!R22+Fri!R22+'Mon '!R22+'Wed (2)'!R22+Sun!R22+Sat!R22)</f>
        <v>4</v>
      </c>
      <c r="S22" s="66">
        <f>('Thurs (2)'!S22+Thurs!S22+'Tues '!S22+Wed!S22+Fri!S22+'Mon '!S22+'Wed (2)'!S22+Sun!S22+Sat!S22)</f>
        <v>3</v>
      </c>
      <c r="T22" s="66">
        <f>('Thurs (2)'!T22+Thurs!T22+'Tues '!T22+Wed!T22+Fri!T22+'Mon '!T22+'Wed (2)'!T22+Sun!T22+Sat!T22)</f>
        <v>3323</v>
      </c>
      <c r="U22" s="67">
        <f t="shared" si="2"/>
        <v>0.6</v>
      </c>
      <c r="V22" s="67">
        <f t="shared" si="3"/>
        <v>0.5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>
        <f>('Thurs (2)'!G23+Thurs!G23+'Tues '!G23+Wed!G23+Fri!G23+'Mon '!G23+'Wed (2)'!G23+Sun!G23+Sat!G23)</f>
        <v>9</v>
      </c>
      <c r="H23" s="66">
        <f>('Thurs (2)'!H23+Thurs!H23+'Tues '!H23+Wed!H23+Fri!H23+'Mon '!H23+'Wed (2)'!H23+Sun!H23+Sat!H23)</f>
        <v>3</v>
      </c>
      <c r="I23" s="66">
        <f>('Thurs (2)'!I23+Thurs!I23+'Tues '!I23+Wed!I23+Fri!I23+'Mon '!I23+'Wed (2)'!I23+Sun!I23+Sat!I23)</f>
        <v>0</v>
      </c>
      <c r="J23" s="66">
        <f>('Thurs (2)'!J23+Thurs!J23+'Tues '!J23+Wed!J23+Fri!J23+'Mon '!J23+'Wed (2)'!J23+Sun!J23+Sat!J23)</f>
        <v>1</v>
      </c>
      <c r="K23" s="66">
        <f>('Thurs (2)'!K23+Thurs!K23+'Tues '!K23+Wed!K23+Fri!K23+'Mon '!K23+'Wed (2)'!K23+Sun!K23+Sat!K23)</f>
        <v>0</v>
      </c>
      <c r="L23" s="66">
        <f>('Thurs (2)'!L23+Thurs!L23+'Tues '!L23+Wed!L23+Fri!L23+'Mon '!L23+'Wed (2)'!L23+Sun!L23+Sat!L23)</f>
        <v>1</v>
      </c>
      <c r="M23" s="66">
        <f>('Thurs (2)'!M23+Thurs!M23+'Tues '!M23+Wed!M23+Fri!M23+'Mon '!M23+'Wed (2)'!M23+Sun!M23+Sat!M23)</f>
        <v>11</v>
      </c>
      <c r="N23" s="66">
        <f>('Thurs (2)'!N23+Thurs!N23+'Tues '!N23+Wed!N23+Fri!N23+'Mon '!N23+'Wed (2)'!N23+Sun!N23+Sat!N23)</f>
        <v>1</v>
      </c>
      <c r="O23" s="66">
        <f>('Thurs (2)'!O23+Thurs!O23+'Tues '!O23+Wed!O23+Fri!O23+'Mon '!O23+'Wed (2)'!O23+Sun!O23+Sat!O23)</f>
        <v>0</v>
      </c>
      <c r="P23" s="66">
        <f>('Thurs (2)'!P23+Thurs!P23+'Tues '!P23+Wed!P23+Fri!P23+'Mon '!P23+'Wed (2)'!P23+Sun!P23+Sat!P23)</f>
        <v>0</v>
      </c>
      <c r="Q23" s="66">
        <f>('Thurs (2)'!Q23+Thurs!Q23+'Tues '!Q23+Wed!Q23+Fri!Q23+'Mon '!Q23+'Wed (2)'!Q23+Sun!Q23+Sat!Q23)</f>
        <v>0</v>
      </c>
      <c r="R23" s="66">
        <f>('Thurs (2)'!R23+Thurs!R23+'Tues '!R23+Wed!R23+Fri!R23+'Mon '!R23+'Wed (2)'!R23+Sun!R23+Sat!R23)</f>
        <v>2</v>
      </c>
      <c r="S23" s="66">
        <f>('Thurs (2)'!S23+Thurs!S23+'Tues '!S23+Wed!S23+Fri!S23+'Mon '!S23+'Wed (2)'!S23+Sun!S23+Sat!S23)</f>
        <v>0</v>
      </c>
      <c r="T23" s="66">
        <f>('Thurs (2)'!T23+Thurs!T23+'Tues '!T23+Wed!T23+Fri!T23+'Mon '!T23+'Wed (2)'!T23+Sun!T23+Sat!T23)</f>
        <v>0</v>
      </c>
      <c r="U23" s="67">
        <f t="shared" si="2"/>
        <v>0</v>
      </c>
      <c r="V23" s="67">
        <f t="shared" si="3"/>
        <v>0.4444444444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>
        <f>('Thurs (2)'!G24+Thurs!G24+'Tues '!G24+Wed!G24+Fri!G24+'Mon '!G24+'Wed (2)'!G24+Sun!G24+Sat!G25)</f>
        <v>17</v>
      </c>
      <c r="H24" s="66">
        <f>('Thurs (2)'!H24+Thurs!H24+'Tues '!H24+Wed!H24+Fri!H24+'Mon '!H24+'Wed (2)'!H24+Sun!H24+Sat!H24)</f>
        <v>7</v>
      </c>
      <c r="I24" s="66">
        <f>('Thurs (2)'!I24+Thurs!I24+'Tues '!I24+Wed!I24+Fri!I24+'Mon '!I24+'Wed (2)'!I24+Sun!I24+Sat!I24)</f>
        <v>4</v>
      </c>
      <c r="J24" s="66">
        <f>('Thurs (2)'!J24+Thurs!J24+'Tues '!J24+Wed!J24+Fri!J24+'Mon '!J24+'Wed (2)'!J24+Sun!J24+Sat!J24)</f>
        <v>1</v>
      </c>
      <c r="K24" s="66">
        <f>('Thurs (2)'!K24+Thurs!K24+'Tues '!K24+Wed!K24+Fri!K24+'Mon '!K24+'Wed (2)'!K24+Sun!K24+Sat!K24)</f>
        <v>0</v>
      </c>
      <c r="L24" s="66">
        <f>('Thurs (2)'!L24+Thurs!L24+'Tues '!L24+Wed!L24+Fri!L24+'Mon '!L24+'Wed (2)'!L24+Sun!L24+Sat!L24)</f>
        <v>2</v>
      </c>
      <c r="M24" s="66">
        <f>('Thurs (2)'!M24+Thurs!M24+'Tues '!M24+Wed!M24+Fri!M24+'Mon '!M24+'Wed (2)'!M24+Sun!M24+Sat!M24)</f>
        <v>25</v>
      </c>
      <c r="N24" s="66">
        <f>('Thurs (2)'!N24+Thurs!N24+'Tues '!N24+Wed!N24+Fri!N24+'Mon '!N24+'Wed (2)'!N24+Sun!N24+Sat!N24)</f>
        <v>6</v>
      </c>
      <c r="O24" s="66">
        <f>('Thurs (2)'!O24+Thurs!O24+'Tues '!O24+Wed!O24+Fri!O24+'Mon '!O24+'Wed (2)'!O24+Sun!O24+Sat!O24)</f>
        <v>4</v>
      </c>
      <c r="P24" s="66">
        <f>('Thurs (2)'!P24+Thurs!P24+'Tues '!P24+Wed!P24+Fri!P24+'Mon '!P24+'Wed (2)'!P24+Sun!P24+Sat!P24)</f>
        <v>0</v>
      </c>
      <c r="Q24" s="66">
        <f>('Thurs (2)'!Q24+Thurs!Q24+'Tues '!Q24+Wed!Q24+Fri!Q24+'Mon '!Q24+'Wed (2)'!Q24+Sun!Q24+Sat!Q24)</f>
        <v>0</v>
      </c>
      <c r="R24" s="66">
        <f>('Thurs (2)'!R24+Thurs!R24+'Tues '!R24+Wed!R24+Fri!R24+'Mon '!R24+'Wed (2)'!R24+Sun!R24+Sat!R24)</f>
        <v>1</v>
      </c>
      <c r="S24" s="66">
        <f>('Thurs (2)'!S24+Thurs!S24+'Tues '!S24+Wed!S24+Fri!S24+'Mon '!S24+'Wed (2)'!S24+Sun!S24+Sat!S24)</f>
        <v>0</v>
      </c>
      <c r="T24" s="66">
        <f>('Thurs (2)'!T24+Thurs!T24+'Tues '!T24+Wed!T24+Fri!T24+'Mon '!T24+'Wed (2)'!T24+Sun!T24+Sat!T24)</f>
        <v>7121</v>
      </c>
      <c r="U24" s="67">
        <f t="shared" si="2"/>
        <v>0.5714285714</v>
      </c>
      <c r="V24" s="67">
        <f t="shared" si="3"/>
        <v>0.5294117647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 t="str">
        <f>('Thurs (2)'!G25+Thurs!G25+'Tues '!G25+Wed!G25+Fri!G25+'Mon '!G25+'Wed (2)'!G25+Sun!G25+#REF!)</f>
        <v>#REF!</v>
      </c>
      <c r="H25" s="66">
        <f>('Thurs (2)'!H25+Thurs!H25+'Tues '!H25+Wed!H25+Fri!H25+'Mon '!H25+'Wed (2)'!H25+Sun!H25+Sat!H25)</f>
        <v>2</v>
      </c>
      <c r="I25" s="66">
        <f>('Thurs (2)'!I25+Thurs!I25+'Tues '!I25+Wed!I25+Fri!I25+'Mon '!I25+'Wed (2)'!I25+Sun!I25+Sat!I25)</f>
        <v>1</v>
      </c>
      <c r="J25" s="66">
        <f>('Thurs (2)'!J25+Thurs!J25+'Tues '!J25+Wed!J25+Fri!J25+'Mon '!J25+'Wed (2)'!J25+Sun!J25+Sat!J25)</f>
        <v>2</v>
      </c>
      <c r="K25" s="66">
        <f>('Thurs (2)'!K25+Thurs!K25+'Tues '!K25+Wed!K25+Fri!K25+'Mon '!K25+'Wed (2)'!K25+Sun!K25+Sat!K25)</f>
        <v>1</v>
      </c>
      <c r="L25" s="66">
        <f>('Thurs (2)'!L25+Thurs!L25+'Tues '!L25+Wed!L25+Fri!L25+'Mon '!L25+'Wed (2)'!L25+Sun!L25+Sat!L25)</f>
        <v>0</v>
      </c>
      <c r="M25" s="66">
        <f>('Thurs (2)'!M25+Thurs!M25+'Tues '!M25+Wed!M25+Fri!M25+'Mon '!M25+'Wed (2)'!M25+Sun!M25+Sat!M25)</f>
        <v>0</v>
      </c>
      <c r="N25" s="66">
        <f>('Thurs (2)'!N25+Thurs!N25+'Tues '!N25+Wed!N25+Fri!N25+'Mon '!N25+'Wed (2)'!N25+Sun!N25+Sat!N25)</f>
        <v>1</v>
      </c>
      <c r="O25" s="66">
        <f>('Thurs (2)'!O25+Thurs!O25+'Tues '!O25+Wed!O25+Fri!O25+'Mon '!O25+'Wed (2)'!O25+Sun!O25+Sat!O25)</f>
        <v>1</v>
      </c>
      <c r="P25" s="66">
        <f>('Thurs (2)'!P25+Thurs!P25+'Tues '!P25+Wed!P25+Fri!P25+'Mon '!P25+'Wed (2)'!P25+Sun!P25+Sat!P25)</f>
        <v>1</v>
      </c>
      <c r="Q25" s="66">
        <f>('Thurs (2)'!Q25+Thurs!Q25+'Tues '!Q25+Wed!Q25+Fri!Q25+'Mon '!Q25+'Wed (2)'!Q25+Sun!Q25+Sat!Q25)</f>
        <v>0</v>
      </c>
      <c r="R25" s="66">
        <f>('Thurs (2)'!R25+Thurs!R25+'Tues '!R25+Wed!R25+Fri!R25+'Mon '!R25+'Wed (2)'!R25+Sun!R25+Sat!R25)</f>
        <v>0</v>
      </c>
      <c r="S25" s="66">
        <f>('Thurs (2)'!S25+Thurs!S25+'Tues '!S25+Wed!S25+Fri!S25+'Mon '!S25+'Wed (2)'!S25+Sun!S25+Sat!S25)</f>
        <v>0</v>
      </c>
      <c r="T25" s="66">
        <f>('Thurs (2)'!T25+Thurs!T25+'Tues '!T25+Wed!T25+Fri!T25+'Mon '!T25+'Wed (2)'!T25+Sun!T25+Sat!T25)</f>
        <v>909</v>
      </c>
      <c r="U25" s="67">
        <f t="shared" si="2"/>
        <v>0.5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>
        <f>('Thurs (2)'!G26+Thurs!G26+'Tues '!G26+Wed!G26+Fri!G26+'Mon '!G26+'Wed (2)'!G26+Sun!G26+Sat!G26)</f>
        <v>0</v>
      </c>
      <c r="H26" s="66">
        <f>('Thurs (2)'!H26+Thurs!H26+'Tues '!H26+Wed!H26+Fri!H26+'Mon '!H26+'Wed (2)'!H26+Sun!H26+Sat!H26)</f>
        <v>0</v>
      </c>
      <c r="I26" s="66">
        <f>('Thurs (2)'!I26+Thurs!I26+'Tues '!I26+Wed!I26+Fri!I26+'Mon '!I26+'Wed (2)'!I26+Sun!I26+Sat!I26)</f>
        <v>0</v>
      </c>
      <c r="J26" s="66">
        <f>('Thurs (2)'!J26+Thurs!J26+'Tues '!J26+Wed!J26+Fri!J26+'Mon '!J26+'Wed (2)'!J26+Sun!J26+Sat!J26)</f>
        <v>0</v>
      </c>
      <c r="K26" s="66">
        <f>('Thurs (2)'!K26+Thurs!K26+'Tues '!K26+Wed!K26+Fri!K26+'Mon '!K26+'Wed (2)'!K26+Sun!K26+Sat!K26)</f>
        <v>0</v>
      </c>
      <c r="L26" s="66">
        <f>('Thurs (2)'!L26+Thurs!L26+'Tues '!L26+Wed!L26+Fri!L26+'Mon '!L26+'Wed (2)'!L26+Sun!L26+Sat!L26)</f>
        <v>0</v>
      </c>
      <c r="M26" s="66">
        <f>('Thurs (2)'!M26+Thurs!M26+'Tues '!M26+Wed!M26+Fri!M26+'Mon '!M26+'Wed (2)'!M26+Sun!M26+Sat!M26)</f>
        <v>0</v>
      </c>
      <c r="N26" s="66">
        <f>('Thurs (2)'!N26+Thurs!N26+'Tues '!N26+Wed!N26+Fri!N26+'Mon '!N26+'Wed (2)'!N26+Sun!N26+Sat!N26)</f>
        <v>0</v>
      </c>
      <c r="O26" s="66">
        <f>('Thurs (2)'!O26+Thurs!O26+'Tues '!O26+Wed!O26+Fri!O26+'Mon '!O26+'Wed (2)'!O26+Sun!O26+Sat!O26)</f>
        <v>0</v>
      </c>
      <c r="P26" s="66">
        <f>('Thurs (2)'!P26+Thurs!P26+'Tues '!P26+Wed!P26+Fri!P26+'Mon '!P26+'Wed (2)'!P26+Sun!P26+Sat!P26)</f>
        <v>0</v>
      </c>
      <c r="Q26" s="66">
        <f>('Thurs (2)'!Q26+Thurs!Q26+'Tues '!Q26+Wed!Q26+Fri!Q26+'Mon '!Q26+'Wed (2)'!Q26+Sun!Q26+Sat!Q26)</f>
        <v>0</v>
      </c>
      <c r="R26" s="66">
        <f>('Thurs (2)'!R26+Thurs!R26+'Tues '!R26+Wed!R26+Fri!R26+'Mon '!R26+'Wed (2)'!R26+Sun!R26+Sat!R26)</f>
        <v>0</v>
      </c>
      <c r="S26" s="66">
        <f>('Thurs (2)'!S26+Thurs!S26+'Tues '!S26+Wed!S26+Fri!S26+'Mon '!S26+'Wed (2)'!S26+Sun!S26+Sat!S26)</f>
        <v>0</v>
      </c>
      <c r="T26" s="66">
        <f>('Thurs (2)'!T26+Thurs!T26+'Tues '!T26+Wed!T26+Fri!T26+'Mon '!T26+'Wed (2)'!T26+Sun!T26+Sat!T26)</f>
        <v>0</v>
      </c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>
        <f>('Thurs (2)'!G27+Thurs!G27+'Tues '!G27+Wed!G27+Fri!G27+'Mon '!G27+'Wed (2)'!G27+Sun!G27+Sat!G27)</f>
        <v>28</v>
      </c>
      <c r="H27" s="66">
        <f>('Thurs (2)'!H27+Thurs!H27+'Tues '!H27+Wed!H27+Fri!H27+'Mon '!H27+'Wed (2)'!H27+Sun!H27+Sat!H27)</f>
        <v>10</v>
      </c>
      <c r="I27" s="66">
        <f>('Thurs (2)'!I27+Thurs!I27+'Tues '!I27+Wed!I27+Fri!I27+'Mon '!I27+'Wed (2)'!I27+Sun!I27+Sat!I27)</f>
        <v>8</v>
      </c>
      <c r="J27" s="66">
        <f>('Thurs (2)'!J27+Thurs!J27+'Tues '!J27+Wed!J27+Fri!J27+'Mon '!J27+'Wed (2)'!J27+Sun!J27+Sat!J27)</f>
        <v>8</v>
      </c>
      <c r="K27" s="66">
        <f>('Thurs (2)'!K27+Thurs!K27+'Tues '!K27+Wed!K27+Fri!K27+'Mon '!K27+'Wed (2)'!K27+Sun!K27+Sat!K27)</f>
        <v>7</v>
      </c>
      <c r="L27" s="66">
        <f>('Thurs (2)'!L27+Thurs!L27+'Tues '!L27+Wed!L27+Fri!L27+'Mon '!L27+'Wed (2)'!L27+Sun!L27+Sat!L27)</f>
        <v>3</v>
      </c>
      <c r="M27" s="66">
        <f>('Thurs (2)'!M27+Thurs!M27+'Tues '!M27+Wed!M27+Fri!M27+'Mon '!M27+'Wed (2)'!M27+Sun!M27+Sat!M27)</f>
        <v>33</v>
      </c>
      <c r="N27" s="66">
        <f>('Thurs (2)'!N27+Thurs!N27+'Tues '!N27+Wed!N27+Fri!N27+'Mon '!N27+'Wed (2)'!N27+Sun!N27+Sat!N27)</f>
        <v>9</v>
      </c>
      <c r="O27" s="66">
        <f>('Thurs (2)'!O27+Thurs!O27+'Tues '!O27+Wed!O27+Fri!O27+'Mon '!O27+'Wed (2)'!O27+Sun!O27+Sat!O27)</f>
        <v>8</v>
      </c>
      <c r="P27" s="66">
        <f>('Thurs (2)'!P27+Thurs!P27+'Tues '!P27+Wed!P27+Fri!P27+'Mon '!P27+'Wed (2)'!P27+Sun!P27+Sat!P27)</f>
        <v>0</v>
      </c>
      <c r="Q27" s="66">
        <f>('Thurs (2)'!Q27+Thurs!Q27+'Tues '!Q27+Wed!Q27+Fri!Q27+'Mon '!Q27+'Wed (2)'!Q27+Sun!Q27+Sat!Q27)</f>
        <v>0</v>
      </c>
      <c r="R27" s="66">
        <f>('Thurs (2)'!R27+Thurs!R27+'Tues '!R27+Wed!R27+Fri!R27+'Mon '!R27+'Wed (2)'!R27+Sun!R27+Sat!R27)</f>
        <v>1</v>
      </c>
      <c r="S27" s="66">
        <f>('Thurs (2)'!S27+Thurs!S27+'Tues '!S27+Wed!S27+Fri!S27+'Mon '!S27+'Wed (2)'!S27+Sun!S27+Sat!S27)</f>
        <v>0</v>
      </c>
      <c r="T27" s="66">
        <f>('Thurs (2)'!T27+Thurs!T27+'Tues '!T27+Wed!T27+Fri!T27+'Mon '!T27+'Wed (2)'!T27+Sun!T27+Sat!T27)</f>
        <v>13105</v>
      </c>
      <c r="U27" s="67">
        <f t="shared" si="2"/>
        <v>0.8</v>
      </c>
      <c r="V27" s="67">
        <f t="shared" si="3"/>
        <v>0.4642857143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>
        <f>('Thurs (2)'!G28+Thurs!G28+'Tues '!G28+Wed!G28+Fri!G28+'Mon '!G28+'Wed (2)'!G28+Sun!G28+Sat!G28)</f>
        <v>7</v>
      </c>
      <c r="H28" s="66">
        <f>('Thurs (2)'!H28+Thurs!H28+'Tues '!H28+Wed!H28+Fri!H28+'Mon '!H28+'Wed (2)'!H28+Sun!H28+Sat!H28)</f>
        <v>3</v>
      </c>
      <c r="I28" s="66">
        <f>('Thurs (2)'!I28+Thurs!I28+'Tues '!I28+Wed!I28+Fri!I28+'Mon '!I28+'Wed (2)'!I28+Sun!I28+Sat!I28)</f>
        <v>2</v>
      </c>
      <c r="J28" s="66">
        <f>('Thurs (2)'!J28+Thurs!J28+'Tues '!J28+Wed!J28+Fri!J28+'Mon '!J28+'Wed (2)'!J28+Sun!J28+Sat!J28)</f>
        <v>3</v>
      </c>
      <c r="K28" s="66">
        <f>('Thurs (2)'!K28+Thurs!K28+'Tues '!K28+Wed!K28+Fri!K28+'Mon '!K28+'Wed (2)'!K28+Sun!K28+Sat!K28)</f>
        <v>2</v>
      </c>
      <c r="L28" s="66">
        <f>('Thurs (2)'!L28+Thurs!L28+'Tues '!L28+Wed!L28+Fri!L28+'Mon '!L28+'Wed (2)'!L28+Sun!L28+Sat!L28)</f>
        <v>0</v>
      </c>
      <c r="M28" s="66">
        <f>('Thurs (2)'!M28+Thurs!M28+'Tues '!M28+Wed!M28+Fri!M28+'Mon '!M28+'Wed (2)'!M28+Sun!M28+Sat!M28)</f>
        <v>3</v>
      </c>
      <c r="N28" s="66">
        <f>('Thurs (2)'!N28+Thurs!N28+'Tues '!N28+Wed!N28+Fri!N28+'Mon '!N28+'Wed (2)'!N28+Sun!N28+Sat!N28)</f>
        <v>2</v>
      </c>
      <c r="O28" s="66">
        <f>('Thurs (2)'!O28+Thurs!O28+'Tues '!O28+Wed!O28+Fri!O28+'Mon '!O28+'Wed (2)'!O28+Sun!O28+Sat!O28)</f>
        <v>2</v>
      </c>
      <c r="P28" s="66">
        <f>('Thurs (2)'!P28+Thurs!P28+'Tues '!P28+Wed!P28+Fri!P28+'Mon '!P28+'Wed (2)'!P28+Sun!P28+Sat!P28)</f>
        <v>0</v>
      </c>
      <c r="Q28" s="66">
        <f>('Thurs (2)'!Q28+Thurs!Q28+'Tues '!Q28+Wed!Q28+Fri!Q28+'Mon '!Q28+'Wed (2)'!Q28+Sun!Q28+Sat!Q28)</f>
        <v>0</v>
      </c>
      <c r="R28" s="66">
        <f>('Thurs (2)'!R28+Thurs!R28+'Tues '!R28+Wed!R28+Fri!R28+'Mon '!R28+'Wed (2)'!R28+Sun!R28+Sat!R28)</f>
        <v>0</v>
      </c>
      <c r="S28" s="66">
        <f>('Thurs (2)'!S28+Thurs!S28+'Tues '!S28+Wed!S28+Fri!S28+'Mon '!S28+'Wed (2)'!S28+Sun!S28+Sat!S28)</f>
        <v>0</v>
      </c>
      <c r="T28" s="66">
        <f>('Thurs (2)'!T28+Thurs!T28+'Tues '!T28+Wed!T28+Fri!T28+'Mon '!T28+'Wed (2)'!T28+Sun!T28+Sat!T28)</f>
        <v>2800</v>
      </c>
      <c r="U28" s="67">
        <f t="shared" si="2"/>
        <v>0.6666666667</v>
      </c>
      <c r="V28" s="67">
        <f t="shared" si="3"/>
        <v>0.4285714286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>
        <f>('Thurs (2)'!G29+Thurs!G29+'Tues '!G29+Wed!G29+Fri!G29+'Mon '!G29+'Wed (2)'!G29+Sun!G29+Sat!G29)</f>
        <v>2</v>
      </c>
      <c r="H29" s="66">
        <f>('Thurs (2)'!H29+Thurs!H29+'Tues '!H29+Wed!H29+Fri!H29+'Mon '!H29+'Wed (2)'!H29+Sun!H29+Sat!H29)</f>
        <v>0</v>
      </c>
      <c r="I29" s="66">
        <f>('Thurs (2)'!I29+Thurs!I29+'Tues '!I29+Wed!I29+Fri!I29+'Mon '!I29+'Wed (2)'!I29+Sun!I29+Sat!I29)</f>
        <v>0</v>
      </c>
      <c r="J29" s="66">
        <f>('Thurs (2)'!J29+Thurs!J29+'Tues '!J29+Wed!J29+Fri!J29+'Mon '!J29+'Wed (2)'!J29+Sun!J29+Sat!J29)</f>
        <v>0</v>
      </c>
      <c r="K29" s="66">
        <f>('Thurs (2)'!K29+Thurs!K29+'Tues '!K29+Wed!K29+Fri!K29+'Mon '!K29+'Wed (2)'!K29+Sun!K29+Sat!K29)</f>
        <v>0</v>
      </c>
      <c r="L29" s="66">
        <f>('Thurs (2)'!L29+Thurs!L29+'Tues '!L29+Wed!L29+Fri!L29+'Mon '!L29+'Wed (2)'!L29+Sun!L29+Sat!L29)</f>
        <v>0</v>
      </c>
      <c r="M29" s="66">
        <f>('Thurs (2)'!M29+Thurs!M29+'Tues '!M29+Wed!M29+Fri!M29+'Mon '!M29+'Wed (2)'!M29+Sun!M29+Sat!M29)</f>
        <v>0</v>
      </c>
      <c r="N29" s="66">
        <f>('Thurs (2)'!N29+Thurs!N29+'Tues '!N29+Wed!N29+Fri!N29+'Mon '!N29+'Wed (2)'!N29+Sun!N29+Sat!N29)</f>
        <v>0</v>
      </c>
      <c r="O29" s="66">
        <f>('Thurs (2)'!O29+Thurs!O29+'Tues '!O29+Wed!O29+Fri!O29+'Mon '!O29+'Wed (2)'!O29+Sun!O29+Sat!O29)</f>
        <v>0</v>
      </c>
      <c r="P29" s="66">
        <f>('Thurs (2)'!P29+Thurs!P29+'Tues '!P29+Wed!P29+Fri!P29+'Mon '!P29+'Wed (2)'!P29+Sun!P29+Sat!P29)</f>
        <v>0</v>
      </c>
      <c r="Q29" s="66">
        <f>('Thurs (2)'!Q29+Thurs!Q29+'Tues '!Q29+Wed!Q29+Fri!Q29+'Mon '!Q29+'Wed (2)'!Q29+Sun!Q29+Sat!Q29)</f>
        <v>0</v>
      </c>
      <c r="R29" s="66">
        <f>('Thurs (2)'!R29+Thurs!R29+'Tues '!R29+Wed!R29+Fri!R29+'Mon '!R29+'Wed (2)'!R29+Sun!R29+Sat!R29)</f>
        <v>0</v>
      </c>
      <c r="S29" s="66">
        <f>('Thurs (2)'!S29+Thurs!S29+'Tues '!S29+Wed!S29+Fri!S29+'Mon '!S29+'Wed (2)'!S29+Sun!S29+Sat!S29)</f>
        <v>0</v>
      </c>
      <c r="T29" s="66">
        <f>('Thurs (2)'!T29+Thurs!T29+'Tues '!T29+Wed!T29+Fri!T29+'Mon '!T29+'Wed (2)'!T29+Sun!T29+Sat!T29)</f>
        <v>0</v>
      </c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>
        <f>('Thurs (2)'!G30+Thurs!G30+'Tues '!G30+Wed!G30+Fri!G30+'Mon '!G30+'Wed (2)'!G30+Sun!G30+Sat!G30)</f>
        <v>1</v>
      </c>
      <c r="H30" s="66">
        <f>('Thurs (2)'!H30+Thurs!H30+'Tues '!H30+Wed!H30+Fri!H30+'Mon '!H30+'Wed (2)'!H30+Sun!H30+Sat!H30)</f>
        <v>1</v>
      </c>
      <c r="I30" s="66">
        <f>('Thurs (2)'!I30+Thurs!I30+'Tues '!I30+Wed!I30+Fri!I30+'Mon '!I30+'Wed (2)'!I30+Sun!I30+Sat!I30)</f>
        <v>1</v>
      </c>
      <c r="J30" s="66">
        <f>('Thurs (2)'!J30+Thurs!J30+'Tues '!J30+Wed!J30+Fri!J30+'Mon '!J30+'Wed (2)'!J30+Sun!J30+Sat!J30)</f>
        <v>1</v>
      </c>
      <c r="K30" s="66">
        <f>('Thurs (2)'!K30+Thurs!K30+'Tues '!K30+Wed!K30+Fri!K30+'Mon '!K30+'Wed (2)'!K30+Sun!K30+Sat!K30)</f>
        <v>0</v>
      </c>
      <c r="L30" s="66">
        <f>('Thurs (2)'!L30+Thurs!L30+'Tues '!L30+Wed!L30+Fri!L30+'Mon '!L30+'Wed (2)'!L30+Sun!L30+Sat!L30)</f>
        <v>0</v>
      </c>
      <c r="M30" s="66">
        <f>('Thurs (2)'!M30+Thurs!M30+'Tues '!M30+Wed!M30+Fri!M30+'Mon '!M30+'Wed (2)'!M30+Sun!M30+Sat!M30)</f>
        <v>8</v>
      </c>
      <c r="N30" s="66">
        <f>('Thurs (2)'!N30+Thurs!N30+'Tues '!N30+Wed!N30+Fri!N30+'Mon '!N30+'Wed (2)'!N30+Sun!N30+Sat!N30)</f>
        <v>0</v>
      </c>
      <c r="O30" s="66">
        <f>('Thurs (2)'!O30+Thurs!O30+'Tues '!O30+Wed!O30+Fri!O30+'Mon '!O30+'Wed (2)'!O30+Sun!O30+Sat!O30)</f>
        <v>0</v>
      </c>
      <c r="P30" s="66">
        <f>('Thurs (2)'!P30+Thurs!P30+'Tues '!P30+Wed!P30+Fri!P30+'Mon '!P30+'Wed (2)'!P30+Sun!P30+Sat!P30)</f>
        <v>0</v>
      </c>
      <c r="Q30" s="66">
        <f>('Thurs (2)'!Q30+Thurs!Q30+'Tues '!Q30+Wed!Q30+Fri!Q30+'Mon '!Q30+'Wed (2)'!Q30+Sun!Q30+Sat!Q30)</f>
        <v>0</v>
      </c>
      <c r="R30" s="66">
        <f>('Thurs (2)'!R30+Thurs!R30+'Tues '!R30+Wed!R30+Fri!R30+'Mon '!R30+'Wed (2)'!R30+Sun!R30+Sat!R30)</f>
        <v>1</v>
      </c>
      <c r="S30" s="66">
        <f>('Thurs (2)'!S30+Thurs!S30+'Tues '!S30+Wed!S30+Fri!S30+'Mon '!S30+'Wed (2)'!S30+Sun!S30+Sat!S30)</f>
        <v>0</v>
      </c>
      <c r="T30" s="66">
        <f>('Thurs (2)'!T30+Thurs!T30+'Tues '!T30+Wed!T30+Fri!T30+'Mon '!T30+'Wed (2)'!T30+Sun!T30+Sat!T30)</f>
        <v>0</v>
      </c>
      <c r="U30" s="67">
        <f t="shared" si="2"/>
        <v>1</v>
      </c>
      <c r="V30" s="67">
        <f t="shared" si="3"/>
        <v>1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>
        <f>('Thurs (2)'!G31+Thurs!G31+'Tues '!G31+Wed!G31+Fri!G31+'Mon '!G31+'Wed (2)'!G31+Sun!G31+Sat!G31)</f>
        <v>6</v>
      </c>
      <c r="H31" s="66">
        <f>('Thurs (2)'!H31+Thurs!H31+'Tues '!H31+Wed!H31+Fri!H31+'Mon '!H31+'Wed (2)'!H31+Sun!H31+Sat!H31)</f>
        <v>0</v>
      </c>
      <c r="I31" s="66">
        <f>('Thurs (2)'!I31+Thurs!I31+'Tues '!I31+Wed!I31+Fri!I31+'Mon '!I31+'Wed (2)'!I31+Sun!I31+Sat!I31)</f>
        <v>0</v>
      </c>
      <c r="J31" s="66">
        <f>('Thurs (2)'!J31+Thurs!J31+'Tues '!J31+Wed!J31+Fri!J31+'Mon '!J31+'Wed (2)'!J31+Sun!J31+Sat!J31)</f>
        <v>0</v>
      </c>
      <c r="K31" s="66">
        <f>('Thurs (2)'!K31+Thurs!K31+'Tues '!K31+Wed!K31+Fri!K31+'Mon '!K31+'Wed (2)'!K31+Sun!K31+Sat!K31)</f>
        <v>0</v>
      </c>
      <c r="L31" s="66">
        <f>('Thurs (2)'!L31+Thurs!L31+'Tues '!L31+Wed!L31+Fri!L31+'Mon '!L31+'Wed (2)'!L31+Sun!L31+Sat!L31)</f>
        <v>0</v>
      </c>
      <c r="M31" s="66">
        <f>('Thurs (2)'!M31+Thurs!M31+'Tues '!M31+Wed!M31+Fri!M31+'Mon '!M31+'Wed (2)'!M31+Sun!M31+Sat!M31)</f>
        <v>0</v>
      </c>
      <c r="N31" s="66">
        <f>('Thurs (2)'!N31+Thurs!N31+'Tues '!N31+Wed!N31+Fri!N31+'Mon '!N31+'Wed (2)'!N31+Sun!N31+Sat!N31)</f>
        <v>0</v>
      </c>
      <c r="O31" s="66">
        <f>('Thurs (2)'!O31+Thurs!O31+'Tues '!O31+Wed!O31+Fri!O31+'Mon '!O31+'Wed (2)'!O31+Sun!O31+Sat!O31)</f>
        <v>0</v>
      </c>
      <c r="P31" s="66">
        <f>('Thurs (2)'!P31+Thurs!P31+'Tues '!P31+Wed!P31+Fri!P31+'Mon '!P31+'Wed (2)'!P31+Sun!P31+Sat!P31)</f>
        <v>0</v>
      </c>
      <c r="Q31" s="66">
        <f>('Thurs (2)'!Q31+Thurs!Q31+'Tues '!Q31+Wed!Q31+Fri!Q31+'Mon '!Q31+'Wed (2)'!Q31+Sun!Q31+Sat!Q31)</f>
        <v>0</v>
      </c>
      <c r="R31" s="66">
        <f>('Thurs (2)'!R31+Thurs!R31+'Tues '!R31+Wed!R31+Fri!R31+'Mon '!R31+'Wed (2)'!R31+Sun!R31+Sat!R31)</f>
        <v>0</v>
      </c>
      <c r="S31" s="66">
        <f>('Thurs (2)'!S31+Thurs!S31+'Tues '!S31+Wed!S31+Fri!S31+'Mon '!S31+'Wed (2)'!S31+Sun!S31+Sat!S31)</f>
        <v>0</v>
      </c>
      <c r="T31" s="66">
        <f>('Thurs (2)'!T31+Thurs!T31+'Tues '!T31+Wed!T31+Fri!T31+'Mon '!T31+'Wed (2)'!T31+Sun!T31+Sat!T31)</f>
        <v>0</v>
      </c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>
        <f>('Thurs (2)'!G32+Thurs!G32+'Tues '!G32+Wed!G32+Fri!G32+'Mon '!G32+'Wed (2)'!G32+Sun!G32+Sat!G32)</f>
        <v>0</v>
      </c>
      <c r="H32" s="66">
        <f>('Thurs (2)'!H32+Thurs!H32+'Tues '!H32+Wed!H32+Fri!H32+'Mon '!H32+'Wed (2)'!H32+Sun!H32+Sat!H32)</f>
        <v>0</v>
      </c>
      <c r="I32" s="66">
        <f>('Thurs (2)'!I32+Thurs!I32+'Tues '!I32+Wed!I32+Fri!I32+'Mon '!I32+'Wed (2)'!I32+Sun!I32+Sat!I32)</f>
        <v>0</v>
      </c>
      <c r="J32" s="66">
        <f>('Thurs (2)'!J32+Thurs!J32+'Tues '!J32+Wed!J32+Fri!J32+'Mon '!J32+'Wed (2)'!J32+Sun!J32+Sat!J32)</f>
        <v>0</v>
      </c>
      <c r="K32" s="66">
        <f>('Thurs (2)'!K32+Thurs!K32+'Tues '!K32+Wed!K32+Fri!K32+'Mon '!K32+'Wed (2)'!K32+Sun!K32+Sat!K32)</f>
        <v>0</v>
      </c>
      <c r="L32" s="66">
        <f>('Thurs (2)'!L32+Thurs!L32+'Tues '!L32+Wed!L32+Fri!L32+'Mon '!L32+'Wed (2)'!L32+Sun!L32+Sat!L32)</f>
        <v>2</v>
      </c>
      <c r="M32" s="66">
        <f>('Thurs (2)'!M32+Thurs!M32+'Tues '!M32+Wed!M32+Fri!M32+'Mon '!M32+'Wed (2)'!M32+Sun!M32+Sat!M32)</f>
        <v>7</v>
      </c>
      <c r="N32" s="66">
        <f>('Thurs (2)'!N32+Thurs!N32+'Tues '!N32+Wed!N32+Fri!N32+'Mon '!N32+'Wed (2)'!N32+Sun!N32+Sat!N32)</f>
        <v>0</v>
      </c>
      <c r="O32" s="66">
        <f>('Thurs (2)'!O32+Thurs!O32+'Tues '!O32+Wed!O32+Fri!O32+'Mon '!O32+'Wed (2)'!O32+Sun!O32+Sat!O32)</f>
        <v>0</v>
      </c>
      <c r="P32" s="66">
        <f>('Thurs (2)'!P32+Thurs!P32+'Tues '!P32+Wed!P32+Fri!P32+'Mon '!P32+'Wed (2)'!P32+Sun!P32+Sat!P32)</f>
        <v>0</v>
      </c>
      <c r="Q32" s="66">
        <f>('Thurs (2)'!Q32+Thurs!Q32+'Tues '!Q32+Wed!Q32+Fri!Q32+'Mon '!Q32+'Wed (2)'!Q32+Sun!Q32+Sat!Q32)</f>
        <v>0</v>
      </c>
      <c r="R32" s="66">
        <f>('Thurs (2)'!R32+Thurs!R32+'Tues '!R32+Wed!R32+Fri!R32+'Mon '!R32+'Wed (2)'!R32+Sun!R32+Sat!R32)</f>
        <v>0</v>
      </c>
      <c r="S32" s="66">
        <f>('Thurs (2)'!S32+Thurs!S32+'Tues '!S32+Wed!S32+Fri!S32+'Mon '!S32+'Wed (2)'!S32+Sun!S32+Sat!S32)</f>
        <v>0</v>
      </c>
      <c r="T32" s="66">
        <f>('Thurs (2)'!T32+Thurs!T32+'Tues '!T32+Wed!T32+Fri!T32+'Mon '!T32+'Wed (2)'!T32+Sun!T32+Sat!T32)</f>
        <v>0</v>
      </c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>
        <f>('Thurs (2)'!G33+Thurs!G33+'Tues '!G33+Wed!G33+Fri!G33+'Mon '!G33+'Wed (2)'!G33+Sun!G33+Sat!G33)</f>
        <v>7</v>
      </c>
      <c r="H33" s="66">
        <f>('Thurs (2)'!H33+Thurs!H33+'Tues '!H33+Wed!H33+Fri!H33+'Mon '!H33+'Wed (2)'!H33+Sun!H33+Sat!H33)</f>
        <v>5</v>
      </c>
      <c r="I33" s="66">
        <f>('Thurs (2)'!I33+Thurs!I33+'Tues '!I33+Wed!I33+Fri!I33+'Mon '!I33+'Wed (2)'!I33+Sun!I33+Sat!I33)</f>
        <v>1</v>
      </c>
      <c r="J33" s="66">
        <f>('Thurs (2)'!J33+Thurs!J33+'Tues '!J33+Wed!J33+Fri!J33+'Mon '!J33+'Wed (2)'!J33+Sun!J33+Sat!J33)</f>
        <v>5</v>
      </c>
      <c r="K33" s="66">
        <f>('Thurs (2)'!K33+Thurs!K33+'Tues '!K33+Wed!K33+Fri!K33+'Mon '!K33+'Wed (2)'!K33+Sun!K33+Sat!K33)</f>
        <v>1</v>
      </c>
      <c r="L33" s="66">
        <f>('Thurs (2)'!L33+Thurs!L33+'Tues '!L33+Wed!L33+Fri!L33+'Mon '!L33+'Wed (2)'!L33+Sun!L33+Sat!L33)</f>
        <v>0</v>
      </c>
      <c r="M33" s="66">
        <f>('Thurs (2)'!M33+Thurs!M33+'Tues '!M33+Wed!M33+Fri!M33+'Mon '!M33+'Wed (2)'!M33+Sun!M33+Sat!M33)</f>
        <v>18</v>
      </c>
      <c r="N33" s="66">
        <f>('Thurs (2)'!N33+Thurs!N33+'Tues '!N33+Wed!N33+Fri!N33+'Mon '!N33+'Wed (2)'!N33+Sun!N33+Sat!N33)</f>
        <v>3</v>
      </c>
      <c r="O33" s="66">
        <f>('Thurs (2)'!O33+Thurs!O33+'Tues '!O33+Wed!O33+Fri!O33+'Mon '!O33+'Wed (2)'!O33+Sun!O33+Sat!O33)</f>
        <v>1</v>
      </c>
      <c r="P33" s="66">
        <f>('Thurs (2)'!P33+Thurs!P33+'Tues '!P33+Wed!P33+Fri!P33+'Mon '!P33+'Wed (2)'!P33+Sun!P33+Sat!P33)</f>
        <v>0</v>
      </c>
      <c r="Q33" s="66">
        <f>('Thurs (2)'!Q33+Thurs!Q33+'Tues '!Q33+Wed!Q33+Fri!Q33+'Mon '!Q33+'Wed (2)'!Q33+Sun!Q33+Sat!Q33)</f>
        <v>0</v>
      </c>
      <c r="R33" s="66">
        <f>('Thurs (2)'!R33+Thurs!R33+'Tues '!R33+Wed!R33+Fri!R33+'Mon '!R33+'Wed (2)'!R33+Sun!R33+Sat!R33)</f>
        <v>3</v>
      </c>
      <c r="S33" s="66">
        <f>('Thurs (2)'!S33+Thurs!S33+'Tues '!S33+Wed!S33+Fri!S33+'Mon '!S33+'Wed (2)'!S33+Sun!S33+Sat!S33)</f>
        <v>0</v>
      </c>
      <c r="T33" s="66">
        <f>('Thurs (2)'!T33+Thurs!T33+'Tues '!T33+Wed!T33+Fri!T33+'Mon '!T33+'Wed (2)'!T33+Sun!T33+Sat!T33)</f>
        <v>1500</v>
      </c>
      <c r="U33" s="67">
        <f t="shared" si="2"/>
        <v>0.2</v>
      </c>
      <c r="V33" s="67">
        <f t="shared" si="3"/>
        <v>0.7142857143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>
        <f>('Thurs (2)'!G34+Thurs!G34+'Tues '!G34+Wed!G34+Fri!G34+'Mon '!G34+'Wed (2)'!G34+Sun!G34+Sat!G34)</f>
        <v>5</v>
      </c>
      <c r="H34" s="66">
        <f>('Thurs (2)'!H34+Thurs!H34+'Tues '!H34+Wed!H34+Fri!H34+'Mon '!H34+'Wed (2)'!H34+Sun!H34+Sat!H34)</f>
        <v>0</v>
      </c>
      <c r="I34" s="66">
        <f>('Thurs (2)'!I34+Thurs!I34+'Tues '!I34+Wed!I34+Fri!I34+'Mon '!I34+'Wed (2)'!I34+Sun!I34+Sat!I34)</f>
        <v>0</v>
      </c>
      <c r="J34" s="66">
        <f>('Thurs (2)'!J34+Thurs!J34+'Tues '!J34+Wed!J34+Fri!J34+'Mon '!J34+'Wed (2)'!J34+Sun!J34+Sat!J34)</f>
        <v>0</v>
      </c>
      <c r="K34" s="66">
        <f>('Thurs (2)'!K34+Thurs!K34+'Tues '!K34+Wed!K34+Fri!K34+'Mon '!K34+'Wed (2)'!K34+Sun!K34+Sat!K34)</f>
        <v>0</v>
      </c>
      <c r="L34" s="66">
        <f>('Thurs (2)'!L34+Thurs!L34+'Tues '!L34+Wed!L34+Fri!L34+'Mon '!L34+'Wed (2)'!L34+Sun!L34+Sat!L34)</f>
        <v>0</v>
      </c>
      <c r="M34" s="66">
        <f>('Thurs (2)'!M34+Thurs!M34+'Tues '!M34+Wed!M34+Fri!M34+'Mon '!M34+'Wed (2)'!M34+Sun!M34+Sat!M34)</f>
        <v>0</v>
      </c>
      <c r="N34" s="66">
        <f>('Thurs (2)'!N34+Thurs!N34+'Tues '!N34+Wed!N34+Fri!N34+'Mon '!N34+'Wed (2)'!N34+Sun!N34+Sat!N34)</f>
        <v>0</v>
      </c>
      <c r="O34" s="66">
        <f>('Thurs (2)'!O34+Thurs!O34+'Tues '!O34+Wed!O34+Fri!O34+'Mon '!O34+'Wed (2)'!O34+Sun!O34+Sat!O34)</f>
        <v>0</v>
      </c>
      <c r="P34" s="66">
        <f>('Thurs (2)'!P34+Thurs!P34+'Tues '!P34+Wed!P34+Fri!P34+'Mon '!P34+'Wed (2)'!P34+Sun!P34+Sat!P34)</f>
        <v>0</v>
      </c>
      <c r="Q34" s="66">
        <f>('Thurs (2)'!Q34+Thurs!Q34+'Tues '!Q34+Wed!Q34+Fri!Q34+'Mon '!Q34+'Wed (2)'!Q34+Sun!Q34+Sat!Q34)</f>
        <v>0</v>
      </c>
      <c r="R34" s="66">
        <f>('Thurs (2)'!R34+Thurs!R34+'Tues '!R34+Wed!R34+Fri!R34+'Mon '!R34+'Wed (2)'!R34+Sun!R34+Sat!R34)</f>
        <v>0</v>
      </c>
      <c r="S34" s="66">
        <f>('Thurs (2)'!S34+Thurs!S34+'Tues '!S34+Wed!S34+Fri!S34+'Mon '!S34+'Wed (2)'!S34+Sun!S34+Sat!S34)</f>
        <v>0</v>
      </c>
      <c r="T34" s="66">
        <f>('Thurs (2)'!T34+Thurs!T34+'Tues '!T34+Wed!T34+Fri!T34+'Mon '!T34+'Wed (2)'!T34+Sun!T34+Sat!T34)</f>
        <v>0</v>
      </c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>
        <f>('Thurs (2)'!G35+Thurs!G35+'Tues '!G35+Wed!G35+Fri!G35+'Mon '!G35+'Wed (2)'!G35+Sun!G35+Sat!G35)</f>
        <v>21</v>
      </c>
      <c r="H35" s="66">
        <f>('Thurs (2)'!H35+Thurs!H35+'Tues '!H35+Wed!H35+Fri!H35+'Mon '!H35+'Wed (2)'!H35+Sun!H35+Sat!H35)</f>
        <v>12</v>
      </c>
      <c r="I35" s="66">
        <f>('Thurs (2)'!I35+Thurs!I35+'Tues '!I35+Wed!I35+Fri!I35+'Mon '!I35+'Wed (2)'!I35+Sun!I35+Sat!I35)</f>
        <v>6</v>
      </c>
      <c r="J35" s="66">
        <f>('Thurs (2)'!J35+Thurs!J35+'Tues '!J35+Wed!J35+Fri!J35+'Mon '!J35+'Wed (2)'!J35+Sun!J35+Sat!J35)</f>
        <v>3</v>
      </c>
      <c r="K35" s="66">
        <f>('Thurs (2)'!K35+Thurs!K35+'Tues '!K35+Wed!K35+Fri!K35+'Mon '!K35+'Wed (2)'!K35+Sun!K35+Sat!K35)</f>
        <v>2</v>
      </c>
      <c r="L35" s="66">
        <f>('Thurs (2)'!L35+Thurs!L35+'Tues '!L35+Wed!L35+Fri!L35+'Mon '!L35+'Wed (2)'!L35+Sun!L35+Sat!L35)</f>
        <v>1</v>
      </c>
      <c r="M35" s="66">
        <f>('Thurs (2)'!M35+Thurs!M35+'Tues '!M35+Wed!M35+Fri!M35+'Mon '!M35+'Wed (2)'!M35+Sun!M35+Sat!M35)</f>
        <v>17</v>
      </c>
      <c r="N35" s="66">
        <f>('Thurs (2)'!N35+Thurs!N35+'Tues '!N35+Wed!N35+Fri!N35+'Mon '!N35+'Wed (2)'!N35+Sun!N35+Sat!N35)</f>
        <v>0</v>
      </c>
      <c r="O35" s="66">
        <f>('Thurs (2)'!O35+Thurs!O35+'Tues '!O35+Wed!O35+Fri!O35+'Mon '!O35+'Wed (2)'!O35+Sun!O35+Sat!O35)</f>
        <v>0</v>
      </c>
      <c r="P35" s="66">
        <f>('Thurs (2)'!P35+Thurs!P35+'Tues '!P35+Wed!P35+Fri!P35+'Mon '!P35+'Wed (2)'!P35+Sun!P35+Sat!P35)</f>
        <v>11</v>
      </c>
      <c r="Q35" s="66">
        <f>('Thurs (2)'!Q35+Thurs!Q35+'Tues '!Q35+Wed!Q35+Fri!Q35+'Mon '!Q35+'Wed (2)'!Q35+Sun!Q35+Sat!Q35)</f>
        <v>5</v>
      </c>
      <c r="R35" s="66">
        <f>('Thurs (2)'!R35+Thurs!R35+'Tues '!R35+Wed!R35+Fri!R35+'Mon '!R35+'Wed (2)'!R35+Sun!R35+Sat!R35)</f>
        <v>0</v>
      </c>
      <c r="S35" s="66">
        <f>('Thurs (2)'!S35+Thurs!S35+'Tues '!S35+Wed!S35+Fri!S35+'Mon '!S35+'Wed (2)'!S35+Sun!S35+Sat!S35)</f>
        <v>0</v>
      </c>
      <c r="T35" s="66">
        <f>('Thurs (2)'!T35+Thurs!T35+'Tues '!T35+Wed!T35+Fri!T35+'Mon '!T35+'Wed (2)'!T35+Sun!T35+Sat!T35)</f>
        <v>11281</v>
      </c>
      <c r="U35" s="67">
        <f t="shared" si="2"/>
        <v>0.5</v>
      </c>
      <c r="V35" s="67">
        <f t="shared" si="3"/>
        <v>0.619047619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>
        <f>('Thurs (2)'!G36+Thurs!G36+'Tues '!G36+Wed!G36+Fri!G36+'Mon '!G36+'Wed (2)'!G36+Sun!G36+Sat!G36)</f>
        <v>3</v>
      </c>
      <c r="H36" s="66">
        <f>('Thurs (2)'!H36+Thurs!H36+'Tues '!H36+Wed!H36+Fri!H36+'Mon '!H36+'Wed (2)'!H36+Sun!H36+Sat!H36)</f>
        <v>2</v>
      </c>
      <c r="I36" s="66">
        <f>('Thurs (2)'!I36+Thurs!I36+'Tues '!I36+Wed!I36+Fri!I36+'Mon '!I36+'Wed (2)'!I36+Sun!I36+Sat!I36)</f>
        <v>1</v>
      </c>
      <c r="J36" s="66">
        <f>('Thurs (2)'!J36+Thurs!J36+'Tues '!J36+Wed!J36+Fri!J36+'Mon '!J36+'Wed (2)'!J36+Sun!J36+Sat!J36)</f>
        <v>1</v>
      </c>
      <c r="K36" s="66">
        <f>('Thurs (2)'!K36+Thurs!K36+'Tues '!K36+Wed!K36+Fri!K36+'Mon '!K36+'Wed (2)'!K36+Sun!K36+Sat!K36)</f>
        <v>0</v>
      </c>
      <c r="L36" s="66">
        <f>('Thurs (2)'!L36+Thurs!L36+'Tues '!L36+Wed!L36+Fri!L36+'Mon '!L36+'Wed (2)'!L36+Sun!L36+Sat!L36)</f>
        <v>1</v>
      </c>
      <c r="M36" s="66">
        <f>('Thurs (2)'!M36+Thurs!M36+'Tues '!M36+Wed!M36+Fri!M36+'Mon '!M36+'Wed (2)'!M36+Sun!M36+Sat!M36)</f>
        <v>6</v>
      </c>
      <c r="N36" s="66">
        <f>('Thurs (2)'!N36+Thurs!N36+'Tues '!N36+Wed!N36+Fri!N36+'Mon '!N36+'Wed (2)'!N36+Sun!N36+Sat!N36)</f>
        <v>1</v>
      </c>
      <c r="O36" s="66">
        <f>('Thurs (2)'!O36+Thurs!O36+'Tues '!O36+Wed!O36+Fri!O36+'Mon '!O36+'Wed (2)'!O36+Sun!O36+Sat!O36)</f>
        <v>1</v>
      </c>
      <c r="P36" s="66">
        <f>('Thurs (2)'!P36+Thurs!P36+'Tues '!P36+Wed!P36+Fri!P36+'Mon '!P36+'Wed (2)'!P36+Sun!P36+Sat!P36)</f>
        <v>0</v>
      </c>
      <c r="Q36" s="66">
        <f>('Thurs (2)'!Q36+Thurs!Q36+'Tues '!Q36+Wed!Q36+Fri!Q36+'Mon '!Q36+'Wed (2)'!Q36+Sun!Q36+Sat!Q36)</f>
        <v>0</v>
      </c>
      <c r="R36" s="66">
        <f>('Thurs (2)'!R36+Thurs!R36+'Tues '!R36+Wed!R36+Fri!R36+'Mon '!R36+'Wed (2)'!R36+Sun!R36+Sat!R36)</f>
        <v>1</v>
      </c>
      <c r="S36" s="66">
        <f>('Thurs (2)'!S36+Thurs!S36+'Tues '!S36+Wed!S36+Fri!S36+'Mon '!S36+'Wed (2)'!S36+Sun!S36+Sat!S36)</f>
        <v>0</v>
      </c>
      <c r="T36" s="66">
        <f>('Thurs (2)'!T36+Thurs!T36+'Tues '!T36+Wed!T36+Fri!T36+'Mon '!T36+'Wed (2)'!T36+Sun!T36+Sat!T36)</f>
        <v>1325</v>
      </c>
      <c r="U36" s="67">
        <f t="shared" si="2"/>
        <v>0.5</v>
      </c>
      <c r="V36" s="67">
        <f t="shared" si="3"/>
        <v>1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>
        <f>('Thurs (2)'!G37+Thurs!G37+'Tues '!G37+Wed!G37+Fri!G37+'Mon '!G37+'Wed (2)'!G37+Sun!G37+Sat!G37)</f>
        <v>12</v>
      </c>
      <c r="H37" s="66">
        <f>('Thurs (2)'!H37+Thurs!H37+'Tues '!H37+Wed!H37+Fri!H37+'Mon '!H37+'Wed (2)'!H37+Sun!H37+Sat!H37)</f>
        <v>9</v>
      </c>
      <c r="I37" s="66">
        <f>('Thurs (2)'!I37+Thurs!I37+'Tues '!I37+Wed!I37+Fri!I37+'Mon '!I37+'Wed (2)'!I37+Sun!I37+Sat!I37)</f>
        <v>5</v>
      </c>
      <c r="J37" s="66">
        <f>('Thurs (2)'!J37+Thurs!J37+'Tues '!J37+Wed!J37+Fri!J37+'Mon '!J37+'Wed (2)'!J37+Sun!J37+Sat!J37)</f>
        <v>2</v>
      </c>
      <c r="K37" s="66">
        <f>('Thurs (2)'!K37+Thurs!K37+'Tues '!K37+Wed!K37+Fri!K37+'Mon '!K37+'Wed (2)'!K37+Sun!K37+Sat!K37)</f>
        <v>0</v>
      </c>
      <c r="L37" s="66">
        <f>('Thurs (2)'!L37+Thurs!L37+'Tues '!L37+Wed!L37+Fri!L37+'Mon '!L37+'Wed (2)'!L37+Sun!L37+Sat!L37)</f>
        <v>1</v>
      </c>
      <c r="M37" s="66">
        <f>('Thurs (2)'!M37+Thurs!M37+'Tues '!M37+Wed!M37+Fri!M37+'Mon '!M37+'Wed (2)'!M37+Sun!M37+Sat!M37)</f>
        <v>19</v>
      </c>
      <c r="N37" s="66">
        <f>('Thurs (2)'!N37+Thurs!N37+'Tues '!N37+Wed!N37+Fri!N37+'Mon '!N37+'Wed (2)'!N37+Sun!N37+Sat!N37)</f>
        <v>9</v>
      </c>
      <c r="O37" s="66">
        <f>('Thurs (2)'!O37+Thurs!O37+'Tues '!O37+Wed!O37+Fri!O37+'Mon '!O37+'Wed (2)'!O37+Sun!O37+Sat!O37)</f>
        <v>5</v>
      </c>
      <c r="P37" s="66">
        <f>('Thurs (2)'!P37+Thurs!P37+'Tues '!P37+Wed!P37+Fri!P37+'Mon '!P37+'Wed (2)'!P37+Sun!P37+Sat!P37)</f>
        <v>0</v>
      </c>
      <c r="Q37" s="66">
        <f>('Thurs (2)'!Q37+Thurs!Q37+'Tues '!Q37+Wed!Q37+Fri!Q37+'Mon '!Q37+'Wed (2)'!Q37+Sun!Q37+Sat!Q37)</f>
        <v>0</v>
      </c>
      <c r="R37" s="66">
        <f>('Thurs (2)'!R37+Thurs!R37+'Tues '!R37+Wed!R37+Fri!R37+'Mon '!R37+'Wed (2)'!R37+Sun!R37+Sat!R37)</f>
        <v>0</v>
      </c>
      <c r="S37" s="66">
        <f>('Thurs (2)'!S37+Thurs!S37+'Tues '!S37+Wed!S37+Fri!S37+'Mon '!S37+'Wed (2)'!S37+Sun!S37+Sat!S37)</f>
        <v>0</v>
      </c>
      <c r="T37" s="66">
        <f>('Thurs (2)'!T37+Thurs!T37+'Tues '!T37+Wed!T37+Fri!T37+'Mon '!T37+'Wed (2)'!T37+Sun!T37+Sat!T37)</f>
        <v>7082</v>
      </c>
      <c r="U37" s="67">
        <f t="shared" si="2"/>
        <v>0.5555555556</v>
      </c>
      <c r="V37" s="67">
        <f t="shared" si="3"/>
        <v>0.8333333333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>
        <f>('Thurs (2)'!G38+Thurs!G38+'Tues '!G38+Wed!G38+Fri!G38+'Mon '!G38+'Wed (2)'!G38+Sun!G38+Sat!G38)</f>
        <v>1</v>
      </c>
      <c r="H38" s="66">
        <f>('Thurs (2)'!H38+Thurs!H38+'Tues '!H38+Wed!H38+Fri!H38+'Mon '!H38+'Wed (2)'!H38+Sun!H38+Sat!H38)</f>
        <v>1</v>
      </c>
      <c r="I38" s="66">
        <f>('Thurs (2)'!I38+Thurs!I38+'Tues '!I38+Wed!I38+Fri!I38+'Mon '!I38+'Wed (2)'!I38+Sun!I38+Sat!I38)</f>
        <v>0</v>
      </c>
      <c r="J38" s="66">
        <f>('Thurs (2)'!J38+Thurs!J38+'Tues '!J38+Wed!J38+Fri!J38+'Mon '!J38+'Wed (2)'!J38+Sun!J38+Sat!J38)</f>
        <v>1</v>
      </c>
      <c r="K38" s="66">
        <f>('Thurs (2)'!K38+Thurs!K38+'Tues '!K38+Wed!K38+Fri!K38+'Mon '!K38+'Wed (2)'!K38+Sun!K38+Sat!K38)</f>
        <v>0</v>
      </c>
      <c r="L38" s="66">
        <f>('Thurs (2)'!L38+Thurs!L38+'Tues '!L38+Wed!L38+Fri!L38+'Mon '!L38+'Wed (2)'!L38+Sun!L38+Sat!L38)</f>
        <v>0</v>
      </c>
      <c r="M38" s="66">
        <f>('Thurs (2)'!M38+Thurs!M38+'Tues '!M38+Wed!M38+Fri!M38+'Mon '!M38+'Wed (2)'!M38+Sun!M38+Sat!M38)</f>
        <v>2</v>
      </c>
      <c r="N38" s="66">
        <f>('Thurs (2)'!N38+Thurs!N38+'Tues '!N38+Wed!N38+Fri!N38+'Mon '!N38+'Wed (2)'!N38+Sun!N38+Sat!N38)</f>
        <v>1</v>
      </c>
      <c r="O38" s="66">
        <f>('Thurs (2)'!O38+Thurs!O38+'Tues '!O38+Wed!O38+Fri!O38+'Mon '!O38+'Wed (2)'!O38+Sun!O38+Sat!O38)</f>
        <v>0</v>
      </c>
      <c r="P38" s="66">
        <f>('Thurs (2)'!P38+Thurs!P38+'Tues '!P38+Wed!P38+Fri!P38+'Mon '!P38+'Wed (2)'!P38+Sun!P38+Sat!P38)</f>
        <v>0</v>
      </c>
      <c r="Q38" s="66">
        <f>('Thurs (2)'!Q38+Thurs!Q38+'Tues '!Q38+Wed!Q38+Fri!Q38+'Mon '!Q38+'Wed (2)'!Q38+Sun!Q38+Sat!Q38)</f>
        <v>0</v>
      </c>
      <c r="R38" s="66">
        <f>('Thurs (2)'!R38+Thurs!R38+'Tues '!R38+Wed!R38+Fri!R38+'Mon '!R38+'Wed (2)'!R38+Sun!R38+Sat!R38)</f>
        <v>0</v>
      </c>
      <c r="S38" s="66">
        <f>('Thurs (2)'!S38+Thurs!S38+'Tues '!S38+Wed!S38+Fri!S38+'Mon '!S38+'Wed (2)'!S38+Sun!S38+Sat!S38)</f>
        <v>0</v>
      </c>
      <c r="T38" s="66">
        <f>('Thurs (2)'!T38+Thurs!T38+'Tues '!T38+Wed!T38+Fri!T38+'Mon '!T38+'Wed (2)'!T38+Sun!T38+Sat!T38)</f>
        <v>0</v>
      </c>
      <c r="U38" s="67">
        <f t="shared" si="2"/>
        <v>0</v>
      </c>
      <c r="V38" s="67">
        <f t="shared" si="3"/>
        <v>1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>
        <f>('Thurs (2)'!G39+Thurs!G39+'Tues '!G39+Wed!G39+Fri!G39+'Mon '!G39+'Wed (2)'!G39+Sun!G39+Sat!G39)</f>
        <v>0</v>
      </c>
      <c r="H39" s="66">
        <f>('Thurs (2)'!H39+Thurs!H39+'Tues '!H39+Wed!H39+Fri!H39+'Mon '!H39+'Wed (2)'!H39+Sun!H39+Sat!H39)</f>
        <v>0</v>
      </c>
      <c r="I39" s="66">
        <f>('Thurs (2)'!I39+Thurs!I39+'Tues '!I39+Wed!I39+Fri!I39+'Mon '!I39+'Wed (2)'!I39+Sun!I39+Sat!I39)</f>
        <v>0</v>
      </c>
      <c r="J39" s="66">
        <f>('Thurs (2)'!J39+Thurs!J39+'Tues '!J39+Wed!J39+Fri!J39+'Mon '!J39+'Wed (2)'!J39+Sun!J39+Sat!J39)</f>
        <v>0</v>
      </c>
      <c r="K39" s="66">
        <f>('Thurs (2)'!K39+Thurs!K39+'Tues '!K39+Wed!K39+Fri!K39+'Mon '!K39+'Wed (2)'!K39+Sun!K39+Sat!K39)</f>
        <v>0</v>
      </c>
      <c r="L39" s="66">
        <f>('Thurs (2)'!L39+Thurs!L39+'Tues '!L39+Wed!L39+Fri!L39+'Mon '!L39+'Wed (2)'!L39+Sun!L39+Sat!L39)</f>
        <v>0</v>
      </c>
      <c r="M39" s="66">
        <f>('Thurs (2)'!M39+Thurs!M39+'Tues '!M39+Wed!M39+Fri!M39+'Mon '!M39+'Wed (2)'!M39+Sun!M39+Sat!M39)</f>
        <v>0</v>
      </c>
      <c r="N39" s="66">
        <f>('Thurs (2)'!N39+Thurs!N39+'Tues '!N39+Wed!N39+Fri!N39+'Mon '!N39+'Wed (2)'!N39+Sun!N39+Sat!N39)</f>
        <v>0</v>
      </c>
      <c r="O39" s="66">
        <f>('Thurs (2)'!O39+Thurs!O39+'Tues '!O39+Wed!O39+Fri!O39+'Mon '!O39+'Wed (2)'!O39+Sun!O39+Sat!O39)</f>
        <v>0</v>
      </c>
      <c r="P39" s="66">
        <f>('Thurs (2)'!P39+Thurs!P39+'Tues '!P39+Wed!P39+Fri!P39+'Mon '!P39+'Wed (2)'!P39+Sun!P39+Sat!P39)</f>
        <v>0</v>
      </c>
      <c r="Q39" s="66">
        <f>('Thurs (2)'!Q39+Thurs!Q39+'Tues '!Q39+Wed!Q39+Fri!Q39+'Mon '!Q39+'Wed (2)'!Q39+Sun!Q39+Sat!Q39)</f>
        <v>0</v>
      </c>
      <c r="R39" s="66">
        <f>('Thurs (2)'!R39+Thurs!R39+'Tues '!R39+Wed!R39+Fri!R39+'Mon '!R39+'Wed (2)'!R39+Sun!R39+Sat!R39)</f>
        <v>0</v>
      </c>
      <c r="S39" s="66">
        <f>('Thurs (2)'!S39+Thurs!S39+'Tues '!S39+Wed!S39+Fri!S39+'Mon '!S39+'Wed (2)'!S39+Sun!S39+Sat!S39)</f>
        <v>0</v>
      </c>
      <c r="T39" s="66">
        <f>('Thurs (2)'!T39+Thurs!T39+'Tues '!T39+Wed!T39+Fri!T39+'Mon '!T39+'Wed (2)'!T39+Sun!T39+Sat!T39)</f>
        <v>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>
        <f>('Thurs (2)'!G40+Thurs!G40+'Tues '!G40+Wed!G40+Fri!G40+'Mon '!G40+'Wed (2)'!G40+Sun!G40+Sat!G40)</f>
        <v>0</v>
      </c>
      <c r="H40" s="66">
        <f>('Thurs (2)'!H40+Thurs!H40+'Tues '!H40+Wed!H40+Fri!H40+'Mon '!H40+'Wed (2)'!H40+Sun!H40+Sat!H40)</f>
        <v>0</v>
      </c>
      <c r="I40" s="66">
        <f>('Thurs (2)'!I40+Thurs!I40+'Tues '!I40+Wed!I40+Fri!I40+'Mon '!I40+'Wed (2)'!I40+Sun!I40+Sat!I40)</f>
        <v>0</v>
      </c>
      <c r="J40" s="66">
        <f>('Thurs (2)'!J40+Thurs!J40+'Tues '!J40+Wed!J40+Fri!J40+'Mon '!J40+'Wed (2)'!J40+Sun!J40+Sat!J40)</f>
        <v>0</v>
      </c>
      <c r="K40" s="66">
        <f>('Thurs (2)'!K40+Thurs!K40+'Tues '!K40+Wed!K40+Fri!K40+'Mon '!K40+'Wed (2)'!K40+Sun!K40+Sat!K40)</f>
        <v>0</v>
      </c>
      <c r="L40" s="66">
        <f>('Thurs (2)'!L40+Thurs!L40+'Tues '!L40+Wed!L40+Fri!L40+'Mon '!L40+'Wed (2)'!L40+Sun!L40+Sat!L40)</f>
        <v>0</v>
      </c>
      <c r="M40" s="66">
        <f>('Thurs (2)'!M40+Thurs!M40+'Tues '!M40+Wed!M40+Fri!M40+'Mon '!M40+'Wed (2)'!M40+Sun!M40+Sat!M40)</f>
        <v>0</v>
      </c>
      <c r="N40" s="66">
        <f>('Thurs (2)'!N40+Thurs!N40+'Tues '!N40+Wed!N40+Fri!N40+'Mon '!N40+'Wed (2)'!N40+Sun!N40+Sat!N40)</f>
        <v>0</v>
      </c>
      <c r="O40" s="66">
        <f>('Thurs (2)'!O40+Thurs!O40+'Tues '!O40+Wed!O40+Fri!O40+'Mon '!O40+'Wed (2)'!O40+Sun!O40+Sat!O40)</f>
        <v>0</v>
      </c>
      <c r="P40" s="66">
        <f>('Thurs (2)'!P40+Thurs!P40+'Tues '!P40+Wed!P40+Fri!P40+'Mon '!P40+'Wed (2)'!P40+Sun!P40+Sat!P40)</f>
        <v>0</v>
      </c>
      <c r="Q40" s="66">
        <f>('Thurs (2)'!Q40+Thurs!Q40+'Tues '!Q40+Wed!Q40+Fri!Q40+'Mon '!Q40+'Wed (2)'!Q40+Sun!Q40+Sat!Q40)</f>
        <v>0</v>
      </c>
      <c r="R40" s="66">
        <f>('Thurs (2)'!R40+Thurs!R40+'Tues '!R40+Wed!R40+Fri!R40+'Mon '!R40+'Wed (2)'!R40+Sun!R40+Sat!R40)</f>
        <v>0</v>
      </c>
      <c r="S40" s="66">
        <f>('Thurs (2)'!S40+Thurs!S40+'Tues '!S40+Wed!S40+Fri!S40+'Mon '!S40+'Wed (2)'!S40+Sun!S40+Sat!S40)</f>
        <v>0</v>
      </c>
      <c r="T40" s="66">
        <f>('Thurs (2)'!T40+Thurs!T40+'Tues '!T40+Wed!T40+Fri!T40+'Mon '!T40+'Wed (2)'!T40+Sun!T40+Sat!T40)</f>
        <v>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>
        <f>('Thurs (2)'!G41+Thurs!G41+'Tues '!G41+Wed!G41+Fri!G41+'Mon '!G41+'Wed (2)'!G41+Sun!G41+Sat!G41)</f>
        <v>0</v>
      </c>
      <c r="H41" s="66">
        <f>('Thurs (2)'!H41+Thurs!H41+'Tues '!H41+Wed!H41+Fri!H41+'Mon '!H41+'Wed (2)'!H41+Sun!H41+Sat!H41)</f>
        <v>0</v>
      </c>
      <c r="I41" s="66">
        <f>('Thurs (2)'!I41+Thurs!I41+'Tues '!I41+Wed!I41+Fri!I41+'Mon '!I41+'Wed (2)'!I41+Sun!I41+Sat!I41)</f>
        <v>0</v>
      </c>
      <c r="J41" s="66">
        <f>('Thurs (2)'!J41+Thurs!J41+'Tues '!J41+Wed!J41+Fri!J41+'Mon '!J41+'Wed (2)'!J41+Sun!J41+Sat!J41)</f>
        <v>0</v>
      </c>
      <c r="K41" s="66">
        <f>('Thurs (2)'!K41+Thurs!K41+'Tues '!K41+Wed!K41+Fri!K41+'Mon '!K41+'Wed (2)'!K41+Sun!K41+Sat!K41)</f>
        <v>0</v>
      </c>
      <c r="L41" s="66">
        <f>('Thurs (2)'!L41+Thurs!L41+'Tues '!L41+Wed!L41+Fri!L41+'Mon '!L41+'Wed (2)'!L41+Sun!L41+Sat!L41)</f>
        <v>0</v>
      </c>
      <c r="M41" s="66">
        <f>('Thurs (2)'!M41+Thurs!M41+'Tues '!M41+Wed!M41+Fri!M41+'Mon '!M41+'Wed (2)'!M41+Sun!M41+Sat!M41)</f>
        <v>0</v>
      </c>
      <c r="N41" s="66">
        <f>('Thurs (2)'!N41+Thurs!N41+'Tues '!N41+Wed!N41+Fri!N41+'Mon '!N41+'Wed (2)'!N41+Sun!N41+Sat!N41)</f>
        <v>0</v>
      </c>
      <c r="O41" s="66">
        <f>('Thurs (2)'!O41+Thurs!O41+'Tues '!O41+Wed!O41+Fri!O41+'Mon '!O41+'Wed (2)'!O41+Sun!O41+Sat!O41)</f>
        <v>0</v>
      </c>
      <c r="P41" s="66">
        <f>('Thurs (2)'!P41+Thurs!P41+'Tues '!P41+Wed!P41+Fri!P41+'Mon '!P41+'Wed (2)'!P41+Sun!P41+Sat!P41)</f>
        <v>0</v>
      </c>
      <c r="Q41" s="66">
        <f>('Thurs (2)'!Q41+Thurs!Q41+'Tues '!Q41+Wed!Q41+Fri!Q41+'Mon '!Q41+'Wed (2)'!Q41+Sun!Q41+Sat!Q41)</f>
        <v>0</v>
      </c>
      <c r="R41" s="66">
        <f>('Thurs (2)'!R41+Thurs!R41+'Tues '!R41+Wed!R41+Fri!R41+'Mon '!R41+'Wed (2)'!R41+Sun!R41+Sat!R41)</f>
        <v>0</v>
      </c>
      <c r="S41" s="66">
        <f>('Thurs (2)'!S41+Thurs!S41+'Tues '!S41+Wed!S41+Fri!S41+'Mon '!S41+'Wed (2)'!S41+Sun!S41+Sat!S41)</f>
        <v>0</v>
      </c>
      <c r="T41" s="66">
        <f>('Thurs (2)'!T41+Thurs!T41+'Tues '!T41+Wed!T41+Fri!T41+'Mon '!T41+'Wed (2)'!T41+Sun!T41+Sat!T41)</f>
        <v>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66">
        <f>('Thurs (2)'!G42+Thurs!G42+'Tues '!G42+Wed!G42+Fri!G42+'Mon '!G42+'Wed (2)'!G42+Sun!G42+Sat!G42)</f>
        <v>0</v>
      </c>
      <c r="H42" s="66">
        <f>('Thurs (2)'!H42+Thurs!H42+'Tues '!H42+Wed!H42+Fri!H42+'Mon '!H42+'Wed (2)'!H42+Sun!H42+Sat!H42)</f>
        <v>0</v>
      </c>
      <c r="I42" s="66">
        <f>('Thurs (2)'!I42+Thurs!I42+'Tues '!I42+Wed!I42+Fri!I42+'Mon '!I42+'Wed (2)'!I42+Sun!I42+Sat!I42)</f>
        <v>0</v>
      </c>
      <c r="J42" s="66">
        <f>('Thurs (2)'!J42+Thurs!J42+'Tues '!J42+Wed!J42+Fri!J42+'Mon '!J42+'Wed (2)'!J42+Sun!J42+Sat!J42)</f>
        <v>0</v>
      </c>
      <c r="K42" s="66">
        <f>('Thurs (2)'!K42+Thurs!K42+'Tues '!K42+Wed!K42+Fri!K42+'Mon '!K42+'Wed (2)'!K42+Sun!K42+Sat!K42)</f>
        <v>0</v>
      </c>
      <c r="L42" s="66">
        <f>('Thurs (2)'!L42+Thurs!L42+'Tues '!L42+Wed!L42+Fri!L42+'Mon '!L42+'Wed (2)'!L42+Sun!L42+Sat!L42)</f>
        <v>0</v>
      </c>
      <c r="M42" s="66">
        <f>('Thurs (2)'!M42+Thurs!M42+'Tues '!M42+Wed!M42+Fri!M42+'Mon '!M42+'Wed (2)'!M42+Sun!M42+Sat!M42)</f>
        <v>0</v>
      </c>
      <c r="N42" s="66">
        <f>('Thurs (2)'!N42+Thurs!N42+'Tues '!N42+Wed!N42+Fri!N42+'Mon '!N42+'Wed (2)'!N42+Sun!N42+Sat!N42)</f>
        <v>0</v>
      </c>
      <c r="O42" s="66">
        <f>('Thurs (2)'!O42+Thurs!O42+'Tues '!O42+Wed!O42+Fri!O42+'Mon '!O42+'Wed (2)'!O42+Sun!O42+Sat!O42)</f>
        <v>0</v>
      </c>
      <c r="P42" s="66">
        <f>('Thurs (2)'!P42+Thurs!P42+'Tues '!P42+Wed!P42+Fri!P42+'Mon '!P42+'Wed (2)'!P42+Sun!P42+Sat!P42)</f>
        <v>0</v>
      </c>
      <c r="Q42" s="66">
        <f>('Thurs (2)'!Q42+Thurs!Q42+'Tues '!Q42+Wed!Q42+Fri!Q42+'Mon '!Q42+'Wed (2)'!Q42+Sun!Q42+Sat!Q42)</f>
        <v>0</v>
      </c>
      <c r="R42" s="66">
        <f>('Thurs (2)'!R42+Thurs!R42+'Tues '!R42+Wed!R42+Fri!R42+'Mon '!R42+'Wed (2)'!R42+Sun!R42+Sat!R42)</f>
        <v>0</v>
      </c>
      <c r="S42" s="66">
        <f>('Thurs (2)'!S42+Thurs!S42+'Tues '!S42+Wed!S42+Fri!S42+'Mon '!S42+'Wed (2)'!S42+Sun!S42+Sat!S42)</f>
        <v>0</v>
      </c>
      <c r="T42" s="66">
        <f>('Thurs (2)'!T42+Thurs!T42+'Tues '!T42+Wed!T42+Fri!T42+'Mon '!T42+'Wed (2)'!T42+Sun!T42+Sat!T42)</f>
        <v>0</v>
      </c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>
        <f>('Thurs (2)'!G43+Thurs!G43+'Tues '!G43+Wed!G43+Fri!G43+'Mon '!G43+'Wed (2)'!G43+Sun!G43+Sat!G43)</f>
        <v>0</v>
      </c>
      <c r="H43" s="66">
        <f>('Thurs (2)'!H43+Thurs!H43+'Tues '!H43+Wed!H43+Fri!H43+'Mon '!H43+'Wed (2)'!H43+Sun!H43+Sat!H43)</f>
        <v>0</v>
      </c>
      <c r="I43" s="66">
        <f>('Thurs (2)'!I43+Thurs!I43+'Tues '!I43+Wed!I43+Fri!I43+'Mon '!I43+'Wed (2)'!I43+Sun!I43+Sat!I43)</f>
        <v>0</v>
      </c>
      <c r="J43" s="66">
        <f>('Thurs (2)'!J43+Thurs!J43+'Tues '!J43+Wed!J43+Fri!J43+'Mon '!J43+'Wed (2)'!J43+Sun!J43+Sat!J43)</f>
        <v>0</v>
      </c>
      <c r="K43" s="66">
        <f>('Thurs (2)'!K43+Thurs!K43+'Tues '!K43+Wed!K43+Fri!K43+'Mon '!K43+'Wed (2)'!K43+Sun!K43+Sat!K43)</f>
        <v>0</v>
      </c>
      <c r="L43" s="66">
        <f>('Thurs (2)'!L43+Thurs!L43+'Tues '!L43+Wed!L43+Fri!L43+'Mon '!L43+'Wed (2)'!L43+Sun!L43+Sat!L43)</f>
        <v>0</v>
      </c>
      <c r="M43" s="66">
        <f>('Thurs (2)'!M43+Thurs!M43+'Tues '!M43+Wed!M43+Fri!M43+'Mon '!M43+'Wed (2)'!M43+Sun!M43+Sat!M43)</f>
        <v>0</v>
      </c>
      <c r="N43" s="66">
        <f>('Thurs (2)'!N43+Thurs!N43+'Tues '!N43+Wed!N43+Fri!N43+'Mon '!N43+'Wed (2)'!N43+Sun!N43+Sat!N43)</f>
        <v>0</v>
      </c>
      <c r="O43" s="66">
        <f>('Thurs (2)'!O43+Thurs!O43+'Tues '!O43+Wed!O43+Fri!O43+'Mon '!O43+'Wed (2)'!O43+Sun!O43+Sat!O43)</f>
        <v>0</v>
      </c>
      <c r="P43" s="66">
        <f>('Thurs (2)'!P43+Thurs!P43+'Tues '!P43+Wed!P43+Fri!P43+'Mon '!P43+'Wed (2)'!P43+Sun!P43+Sat!P43)</f>
        <v>0</v>
      </c>
      <c r="Q43" s="66">
        <f>('Thurs (2)'!Q43+Thurs!Q43+'Tues '!Q43+Wed!Q43+Fri!Q43+'Mon '!Q43+'Wed (2)'!Q43+Sun!Q43+Sat!Q43)</f>
        <v>0</v>
      </c>
      <c r="R43" s="66">
        <f>('Thurs (2)'!R43+Thurs!R43+'Tues '!R43+Wed!R43+Fri!R43+'Mon '!R43+'Wed (2)'!R43+Sun!R43+Sat!R43)</f>
        <v>0</v>
      </c>
      <c r="S43" s="66">
        <f>('Thurs (2)'!S43+Thurs!S43+'Tues '!S43+Wed!S43+Fri!S43+'Mon '!S43+'Wed (2)'!S43+Sun!S43+Sat!S43)</f>
        <v>0</v>
      </c>
      <c r="T43" s="66">
        <f>('Thurs (2)'!T43+Thurs!T43+'Tues '!T43+Wed!T43+Fri!T43+'Mon '!T43+'Wed (2)'!T43+Sun!T43+Sat!T43)</f>
        <v>0</v>
      </c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>
        <f>('Thurs (2)'!G44+Thurs!G44+'Tues '!G44+Wed!G44+Fri!G44+'Mon '!G44+'Wed (2)'!G44+Sun!G44+Sat!G44)</f>
        <v>0</v>
      </c>
      <c r="H44" s="66">
        <f>('Thurs (2)'!H44+Thurs!H44+'Tues '!H44+Wed!H44+Fri!H44+'Mon '!H44+'Wed (2)'!H44+Sun!H44+Sat!H44)</f>
        <v>0</v>
      </c>
      <c r="I44" s="66">
        <f>('Thurs (2)'!I44+Thurs!I44+'Tues '!I44+Wed!I44+Fri!I44+'Mon '!I44+'Wed (2)'!I44+Sun!I44+Sat!I44)</f>
        <v>0</v>
      </c>
      <c r="J44" s="66">
        <f>('Thurs (2)'!J44+Thurs!J44+'Tues '!J44+Wed!J44+Fri!J44+'Mon '!J44+'Wed (2)'!J44+Sun!J44+Sat!J44)</f>
        <v>0</v>
      </c>
      <c r="K44" s="66">
        <f>('Thurs (2)'!K44+Thurs!K44+'Tues '!K44+Wed!K44+Fri!K44+'Mon '!K44+'Wed (2)'!K44+Sun!K44+Sat!K44)</f>
        <v>0</v>
      </c>
      <c r="L44" s="66">
        <f>('Thurs (2)'!L44+Thurs!L44+'Tues '!L44+Wed!L44+Fri!L44+'Mon '!L44+'Wed (2)'!L44+Sun!L44+Sat!L44)</f>
        <v>0</v>
      </c>
      <c r="M44" s="66">
        <f>('Thurs (2)'!M44+Thurs!M44+'Tues '!M44+Wed!M44+Fri!M44+'Mon '!M44+'Wed (2)'!M44+Sun!M44+Sat!M44)</f>
        <v>0</v>
      </c>
      <c r="N44" s="66">
        <f>('Thurs (2)'!N44+Thurs!N44+'Tues '!N44+Wed!N44+Fri!N44+'Mon '!N44+'Wed (2)'!N44+Sun!N44+Sat!N44)</f>
        <v>0</v>
      </c>
      <c r="O44" s="66">
        <f>('Thurs (2)'!O44+Thurs!O44+'Tues '!O44+Wed!O44+Fri!O44+'Mon '!O44+'Wed (2)'!O44+Sun!O44+Sat!O44)</f>
        <v>0</v>
      </c>
      <c r="P44" s="66">
        <f>('Thurs (2)'!P44+Thurs!P44+'Tues '!P44+Wed!P44+Fri!P44+'Mon '!P44+'Wed (2)'!P44+Sun!P44+Sat!P44)</f>
        <v>0</v>
      </c>
      <c r="Q44" s="66">
        <f>('Thurs (2)'!Q44+Thurs!Q44+'Tues '!Q44+Wed!Q44+Fri!Q44+'Mon '!Q44+'Wed (2)'!Q44+Sun!Q44+Sat!Q44)</f>
        <v>0</v>
      </c>
      <c r="R44" s="66">
        <f>('Thurs (2)'!R44+Thurs!R44+'Tues '!R44+Wed!R44+Fri!R44+'Mon '!R44+'Wed (2)'!R44+Sun!R44+Sat!R44)</f>
        <v>0</v>
      </c>
      <c r="S44" s="66">
        <f>('Thurs (2)'!S44+Thurs!S44+'Tues '!S44+Wed!S44+Fri!S44+'Mon '!S44+'Wed (2)'!S44+Sun!S44+Sat!S44)</f>
        <v>0</v>
      </c>
      <c r="T44" s="66">
        <f>('Thurs (2)'!T44+Thurs!T44+'Tues '!T44+Wed!T44+Fri!T44+'Mon '!T44+'Wed (2)'!T44+Sun!T44+Sat!T44)</f>
        <v>0</v>
      </c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909</v>
      </c>
      <c r="D2" s="9"/>
      <c r="E2" s="8">
        <f t="shared" ref="E2:R2" si="1">SUM(E5)</f>
        <v>0</v>
      </c>
      <c r="F2" s="8">
        <f t="shared" si="1"/>
        <v>25</v>
      </c>
      <c r="G2" s="10">
        <f t="shared" si="1"/>
        <v>5</v>
      </c>
      <c r="H2" s="10">
        <f t="shared" si="1"/>
        <v>1</v>
      </c>
      <c r="I2" s="10">
        <f t="shared" si="1"/>
        <v>3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5</v>
      </c>
      <c r="N2" s="10">
        <f t="shared" si="1"/>
        <v>2</v>
      </c>
      <c r="O2" s="10">
        <f t="shared" si="1"/>
        <v>1</v>
      </c>
      <c r="P2" s="10">
        <f t="shared" si="1"/>
        <v>2</v>
      </c>
      <c r="Q2" s="10">
        <f t="shared" si="1"/>
        <v>1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909</v>
      </c>
      <c r="F4" s="20">
        <f>IFERROR((G2+R2)/F2,0)</f>
        <v>0.24</v>
      </c>
      <c r="G4" s="20">
        <f>IFERROR(H2/G2,0)</f>
        <v>0.2</v>
      </c>
      <c r="H4" s="19">
        <f>(C2/C4)</f>
        <v>32.46428571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1</v>
      </c>
      <c r="N4" s="21"/>
      <c r="O4" s="20">
        <f>IFERROR(O2/N2,0)</f>
        <v>0.5</v>
      </c>
      <c r="P4" s="22"/>
      <c r="Q4" s="20">
        <f>IFERROR(Q2/P2,0)</f>
        <v>0.5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909</v>
      </c>
      <c r="D5" s="26"/>
      <c r="E5" s="27">
        <f>SUMIFS(T:T,A:A,B5,D:D,"Y")</f>
        <v>0</v>
      </c>
      <c r="F5" s="8">
        <f>SUMIF(A:A,B5,G:G)</f>
        <v>25</v>
      </c>
      <c r="G5" s="10">
        <f>SUMIF(A:A,B5,H:H)</f>
        <v>5</v>
      </c>
      <c r="H5" s="10">
        <f>SUMIF(A:A,B5,I:I)</f>
        <v>1</v>
      </c>
      <c r="I5" s="10">
        <f>SUMIF(A:A,B5,P:P)</f>
        <v>3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5</v>
      </c>
      <c r="N5" s="10">
        <f>SUMIF(A:A,B5,N:N)</f>
        <v>2</v>
      </c>
      <c r="O5" s="10">
        <f>SUMIF(A:A,B5,O:O)</f>
        <v>1</v>
      </c>
      <c r="P5" s="10">
        <f>SUMIF(A:A,B5,J:J)</f>
        <v>2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909</v>
      </c>
      <c r="F7" s="20">
        <f>IFERROR((G5+R5)/F5,0)</f>
        <v>0.24</v>
      </c>
      <c r="G7" s="20">
        <f>IFERROR(H5/G5,0)</f>
        <v>0.2</v>
      </c>
      <c r="H7" s="19">
        <f>(C5/C7)</f>
        <v>32.46428571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0.8333333333</v>
      </c>
      <c r="N7" s="21"/>
      <c r="O7" s="20">
        <f>IFERROR(O5/N5,0)</f>
        <v>0.5</v>
      </c>
      <c r="P7" s="22"/>
      <c r="Q7" s="20">
        <f>IFERROR(Q5/P5,0)</f>
        <v>0.5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909</v>
      </c>
      <c r="D8" s="36"/>
      <c r="E8" s="37">
        <f>SUMIFS(T:T,B:B,B8,D:D,"Y")</f>
        <v>0</v>
      </c>
      <c r="F8" s="38">
        <f>SUMIF(B16:B1129,B8,G16:G1129)</f>
        <v>25</v>
      </c>
      <c r="G8" s="39">
        <f>SUMIF(B16:B1129,B8,H16:H1129)</f>
        <v>5</v>
      </c>
      <c r="H8" s="38">
        <f>SUMIF(B16:B1129,B8,I16:I1129)</f>
        <v>1</v>
      </c>
      <c r="I8" s="39">
        <f>SUMIF(B16:B1129,B8,P16:P1129)</f>
        <v>3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5</v>
      </c>
      <c r="N8" s="39">
        <f>SUMIF(B16:B1129,B8,N16:N1129)</f>
        <v>2</v>
      </c>
      <c r="O8" s="38">
        <f>SUMIF(B16:B1129,B8,O16:O1129)</f>
        <v>1</v>
      </c>
      <c r="P8" s="39">
        <f>SUMIF(B16:B1129,B8,J16:J1129)</f>
        <v>2</v>
      </c>
      <c r="Q8" s="39">
        <f>SUMIF(B16:B1129,B8,K16:K1129)</f>
        <v>1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909</v>
      </c>
      <c r="F10" s="51">
        <f>IFERROR((G8+R8)/F8,0)</f>
        <v>0.24</v>
      </c>
      <c r="G10" s="51">
        <f>IFERROR(H8/G8,0)</f>
        <v>0.2</v>
      </c>
      <c r="H10" s="50">
        <f>(C8/C10)</f>
        <v>36.36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0.8333333333</v>
      </c>
      <c r="N10" s="46"/>
      <c r="O10" s="51">
        <f>IFERROR(O8/N8,0)</f>
        <v>0.5</v>
      </c>
      <c r="P10" s="53"/>
      <c r="Q10" s="51">
        <f>IFERROR(Q8/P8,0)</f>
        <v>0.5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6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2.0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2.0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2.0</v>
      </c>
      <c r="H25" s="133">
        <v>2.0</v>
      </c>
      <c r="I25" s="133">
        <v>1.0</v>
      </c>
      <c r="J25" s="133">
        <v>2.0</v>
      </c>
      <c r="K25" s="133">
        <v>1.0</v>
      </c>
      <c r="L25" s="133">
        <v>0.0</v>
      </c>
      <c r="M25" s="133">
        <v>0.0</v>
      </c>
      <c r="N25" s="133">
        <v>1.0</v>
      </c>
      <c r="O25" s="133">
        <v>1.0</v>
      </c>
      <c r="P25" s="133">
        <v>1.0</v>
      </c>
      <c r="Q25" s="133">
        <v>0.0</v>
      </c>
      <c r="R25" s="133">
        <v>0.0</v>
      </c>
      <c r="S25" s="133">
        <v>0.0</v>
      </c>
      <c r="T25" s="133">
        <v>909.0</v>
      </c>
      <c r="U25" s="67">
        <f t="shared" si="2"/>
        <v>0.5</v>
      </c>
      <c r="V25" s="67">
        <f t="shared" si="3"/>
        <v>1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134">
        <v>0.0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2.0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134">
        <v>0.0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2.0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>IFERROR(I30/H30,0)</f>
        <v>0</v>
      </c>
      <c r="V30" s="67">
        <f t="shared" ref="V30:V44" si="4">IFERROR(SUM(H30+L30)/G30,0)</f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2.0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4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ref="U32:U33" si="5">IFERROR(I32/H32,0)</f>
        <v>0</v>
      </c>
      <c r="V32" s="67">
        <f t="shared" si="4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si="5"/>
        <v>0</v>
      </c>
      <c r="V33" s="67">
        <f t="shared" si="4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4.0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134">
        <v>0.0</v>
      </c>
      <c r="V34" s="67">
        <f t="shared" si="4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4.0</v>
      </c>
      <c r="H35" s="133">
        <v>2.0</v>
      </c>
      <c r="I35" s="133">
        <v>0.0</v>
      </c>
      <c r="J35" s="133">
        <v>0.0</v>
      </c>
      <c r="K35" s="133">
        <v>0.0</v>
      </c>
      <c r="L35" s="133">
        <v>1.0</v>
      </c>
      <c r="M35" s="133">
        <v>0.0</v>
      </c>
      <c r="N35" s="133">
        <v>0.0</v>
      </c>
      <c r="O35" s="133">
        <v>0.0</v>
      </c>
      <c r="P35" s="133">
        <v>2.0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ref="U35:U44" si="6">IFERROR(I35/H35,0)</f>
        <v>0</v>
      </c>
      <c r="V35" s="67">
        <f t="shared" si="4"/>
        <v>0.75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1.0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6"/>
        <v>0</v>
      </c>
      <c r="V36" s="67">
        <f t="shared" si="4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0.0</v>
      </c>
      <c r="J37" s="133">
        <v>0.0</v>
      </c>
      <c r="K37" s="133">
        <v>0.0</v>
      </c>
      <c r="L37" s="133">
        <v>0.0</v>
      </c>
      <c r="M37" s="133">
        <v>5.0</v>
      </c>
      <c r="N37" s="133">
        <v>1.0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6"/>
        <v>0</v>
      </c>
      <c r="V37" s="67">
        <f t="shared" si="4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4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4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4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4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4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4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4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1731</v>
      </c>
      <c r="D2" s="9"/>
      <c r="E2" s="8">
        <f t="shared" ref="E2:R2" si="1">SUM(E5)</f>
        <v>0</v>
      </c>
      <c r="F2" s="8">
        <f t="shared" si="1"/>
        <v>19</v>
      </c>
      <c r="G2" s="10">
        <f t="shared" si="1"/>
        <v>9</v>
      </c>
      <c r="H2" s="10">
        <f t="shared" si="1"/>
        <v>1</v>
      </c>
      <c r="I2" s="10">
        <f t="shared" si="1"/>
        <v>3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26</v>
      </c>
      <c r="N2" s="10">
        <f t="shared" si="1"/>
        <v>4</v>
      </c>
      <c r="O2" s="10">
        <f t="shared" si="1"/>
        <v>1</v>
      </c>
      <c r="P2" s="10">
        <f t="shared" si="1"/>
        <v>5</v>
      </c>
      <c r="Q2" s="10">
        <f t="shared" si="1"/>
        <v>0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1731</v>
      </c>
      <c r="F4" s="20">
        <f>IFERROR((G2+R2)/F2,0)</f>
        <v>0.6315789474</v>
      </c>
      <c r="G4" s="20">
        <f>IFERROR(H2/G2,0)</f>
        <v>0.1111111111</v>
      </c>
      <c r="H4" s="19">
        <f>(C2/C4)</f>
        <v>61.82142857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2.888888889</v>
      </c>
      <c r="N4" s="21"/>
      <c r="O4" s="20">
        <f>IFERROR(O2/N2,0)</f>
        <v>0.25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1731</v>
      </c>
      <c r="D5" s="26"/>
      <c r="E5" s="27">
        <f>SUMIFS(T:T,A:A,B5,D:D,"Y")</f>
        <v>0</v>
      </c>
      <c r="F5" s="8">
        <f>SUMIF(A:A,B5,G:G)</f>
        <v>19</v>
      </c>
      <c r="G5" s="10">
        <f>SUMIF(A:A,B5,H:H)</f>
        <v>9</v>
      </c>
      <c r="H5" s="10">
        <f>SUMIF(A:A,B5,I:I)</f>
        <v>1</v>
      </c>
      <c r="I5" s="10">
        <f>SUMIF(A:A,B5,P:P)</f>
        <v>3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26</v>
      </c>
      <c r="N5" s="10">
        <f>SUMIF(A:A,B5,N:N)</f>
        <v>4</v>
      </c>
      <c r="O5" s="10">
        <f>SUMIF(A:A,B5,O:O)</f>
        <v>1</v>
      </c>
      <c r="P5" s="10">
        <f>SUMIF(A:A,B5,J:J)</f>
        <v>5</v>
      </c>
      <c r="Q5" s="10">
        <f>SUMIF(A:A,B5,K:K)</f>
        <v>0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1731</v>
      </c>
      <c r="F7" s="20">
        <f>IFERROR((G5+R5)/F5,0)</f>
        <v>0.6315789474</v>
      </c>
      <c r="G7" s="20">
        <f>IFERROR(H5/G5,0)</f>
        <v>0.1111111111</v>
      </c>
      <c r="H7" s="19">
        <f>(C5/C7)</f>
        <v>61.82142857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2.166666667</v>
      </c>
      <c r="N7" s="21"/>
      <c r="O7" s="20">
        <f>IFERROR(O5/N5,0)</f>
        <v>0.25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1731</v>
      </c>
      <c r="D8" s="36"/>
      <c r="E8" s="37">
        <f>SUMIFS(T:T,B:B,B8,D:D,"Y")</f>
        <v>0</v>
      </c>
      <c r="F8" s="38">
        <f>SUMIF(B16:B1129,B8,G16:G1129)</f>
        <v>19</v>
      </c>
      <c r="G8" s="39">
        <f>SUMIF(B16:B1129,B8,H16:H1129)</f>
        <v>9</v>
      </c>
      <c r="H8" s="38">
        <f>SUMIF(B16:B1129,B8,I16:I1129)</f>
        <v>1</v>
      </c>
      <c r="I8" s="39">
        <f>SUMIF(B16:B1129,B8,P16:P1129)</f>
        <v>3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26</v>
      </c>
      <c r="N8" s="39">
        <f>SUMIF(B16:B1129,B8,N16:N1129)</f>
        <v>4</v>
      </c>
      <c r="O8" s="38">
        <f>SUMIF(B16:B1129,B8,O16:O1129)</f>
        <v>1</v>
      </c>
      <c r="P8" s="39">
        <f>SUMIF(B16:B1129,B8,J16:J1129)</f>
        <v>5</v>
      </c>
      <c r="Q8" s="39">
        <f>SUMIF(B16:B1129,B8,K16:K1129)</f>
        <v>0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1731</v>
      </c>
      <c r="F10" s="51">
        <f>IFERROR((G8+R8)/F8,0)</f>
        <v>0.6315789474</v>
      </c>
      <c r="G10" s="51">
        <f>IFERROR(H8/G8,0)</f>
        <v>0.1111111111</v>
      </c>
      <c r="H10" s="50">
        <f>(C8/C10)</f>
        <v>69.24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2.166666667</v>
      </c>
      <c r="N10" s="46"/>
      <c r="O10" s="51">
        <f>IFERROR(O8/N8,0)</f>
        <v>0.25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2.0</v>
      </c>
      <c r="H22" s="133">
        <v>1.0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0.5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2.0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4.0</v>
      </c>
      <c r="H27" s="133">
        <v>3.0</v>
      </c>
      <c r="I27" s="133">
        <v>1.0</v>
      </c>
      <c r="J27" s="133">
        <v>1.0</v>
      </c>
      <c r="K27" s="133">
        <v>0.0</v>
      </c>
      <c r="L27" s="133">
        <v>1.0</v>
      </c>
      <c r="M27" s="133">
        <v>12.0</v>
      </c>
      <c r="N27" s="133">
        <v>2.0</v>
      </c>
      <c r="O27" s="133">
        <v>1.0</v>
      </c>
      <c r="P27" s="133">
        <v>0.0</v>
      </c>
      <c r="Q27" s="133">
        <v>0.0</v>
      </c>
      <c r="R27" s="133">
        <v>1.0</v>
      </c>
      <c r="S27" s="133">
        <v>0.0</v>
      </c>
      <c r="T27" s="133">
        <v>1731.0</v>
      </c>
      <c r="U27" s="67">
        <f t="shared" si="2"/>
        <v>0.3333333333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2.0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1" si="4">IFERROR(I29/H29,0)</f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4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2.0</v>
      </c>
      <c r="M32" s="133">
        <v>7.0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2.0</v>
      </c>
      <c r="H33" s="133">
        <v>1.0</v>
      </c>
      <c r="I33" s="133">
        <v>0.0</v>
      </c>
      <c r="J33" s="133">
        <v>1.0</v>
      </c>
      <c r="K33" s="133">
        <v>0.0</v>
      </c>
      <c r="L33" s="133">
        <v>0.0</v>
      </c>
      <c r="M33" s="133">
        <v>3.0</v>
      </c>
      <c r="N33" s="133">
        <v>1.0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4" si="5">IFERROR(I33/H33,0)</f>
        <v>0</v>
      </c>
      <c r="V33" s="67">
        <f t="shared" si="3"/>
        <v>0.5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1.0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5.0</v>
      </c>
      <c r="H35" s="133">
        <v>3.0</v>
      </c>
      <c r="I35" s="133">
        <v>0.0</v>
      </c>
      <c r="J35" s="133">
        <v>2.0</v>
      </c>
      <c r="K35" s="133">
        <v>0.0</v>
      </c>
      <c r="L35" s="133">
        <v>0.0</v>
      </c>
      <c r="M35" s="133">
        <v>2.0</v>
      </c>
      <c r="N35" s="133">
        <v>0.0</v>
      </c>
      <c r="O35" s="133">
        <v>0.0</v>
      </c>
      <c r="P35" s="133">
        <v>3.0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5"/>
        <v>0</v>
      </c>
      <c r="V35" s="67">
        <f t="shared" si="3"/>
        <v>0.6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0.0</v>
      </c>
      <c r="H37" s="133">
        <v>0.0</v>
      </c>
      <c r="I37" s="133">
        <v>0.0</v>
      </c>
      <c r="J37" s="133">
        <v>0.0</v>
      </c>
      <c r="K37" s="133">
        <v>0.0</v>
      </c>
      <c r="L37" s="133">
        <v>0.0</v>
      </c>
      <c r="M37" s="133">
        <v>0.0</v>
      </c>
      <c r="N37" s="133">
        <v>0.0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5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1.0</v>
      </c>
      <c r="H38" s="133">
        <v>1.0</v>
      </c>
      <c r="I38" s="133">
        <v>0.0</v>
      </c>
      <c r="J38" s="133">
        <v>1.0</v>
      </c>
      <c r="K38" s="133">
        <v>0.0</v>
      </c>
      <c r="L38" s="133">
        <v>0.0</v>
      </c>
      <c r="M38" s="133">
        <v>2.0</v>
      </c>
      <c r="N38" s="133">
        <v>1.0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3"/>
        <v>1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5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5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9071</v>
      </c>
      <c r="D2" s="9"/>
      <c r="E2" s="8">
        <f t="shared" ref="E2:R2" si="1">SUM(E5)</f>
        <v>4339</v>
      </c>
      <c r="F2" s="8">
        <f t="shared" si="1"/>
        <v>22</v>
      </c>
      <c r="G2" s="10">
        <f t="shared" si="1"/>
        <v>13</v>
      </c>
      <c r="H2" s="10">
        <f t="shared" si="1"/>
        <v>7</v>
      </c>
      <c r="I2" s="10">
        <f t="shared" si="1"/>
        <v>2</v>
      </c>
      <c r="J2" s="10">
        <f t="shared" si="1"/>
        <v>1</v>
      </c>
      <c r="K2" s="10">
        <f t="shared" si="1"/>
        <v>6</v>
      </c>
      <c r="L2" s="10">
        <f t="shared" si="1"/>
        <v>1</v>
      </c>
      <c r="M2" s="10">
        <f t="shared" si="1"/>
        <v>46</v>
      </c>
      <c r="N2" s="10">
        <f t="shared" si="1"/>
        <v>5</v>
      </c>
      <c r="O2" s="10">
        <f t="shared" si="1"/>
        <v>3</v>
      </c>
      <c r="P2" s="10">
        <f t="shared" si="1"/>
        <v>7</v>
      </c>
      <c r="Q2" s="10">
        <f t="shared" si="1"/>
        <v>3</v>
      </c>
      <c r="R2" s="10">
        <f t="shared" si="1"/>
        <v>2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1295.857143</v>
      </c>
      <c r="F4" s="20">
        <f>IFERROR((G2+R2)/F2,0)</f>
        <v>0.6818181818</v>
      </c>
      <c r="G4" s="20">
        <f>IFERROR(H2/G2,0)</f>
        <v>0.5384615385</v>
      </c>
      <c r="H4" s="19">
        <f>(C2/C4)</f>
        <v>323.9642857</v>
      </c>
      <c r="I4" s="21"/>
      <c r="J4" s="20">
        <f>IFERROR(J2/I2,0)</f>
        <v>0.5</v>
      </c>
      <c r="K4" s="21"/>
      <c r="L4" s="20">
        <f>IFERROR(L2/K2,0)</f>
        <v>0.1666666667</v>
      </c>
      <c r="M4" s="22">
        <f>IFERROR(M2/G2,0)</f>
        <v>3.538461538</v>
      </c>
      <c r="N4" s="21"/>
      <c r="O4" s="20">
        <f>IFERROR(O2/N2,0)</f>
        <v>0.6</v>
      </c>
      <c r="P4" s="22"/>
      <c r="Q4" s="20">
        <f>IFERROR(Q2/P2,0)</f>
        <v>0.4285714286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9071</v>
      </c>
      <c r="D5" s="26"/>
      <c r="E5" s="27">
        <f>SUMIFS(T:T,A:A,B5,D:D,"Y")</f>
        <v>4339</v>
      </c>
      <c r="F5" s="8">
        <f>SUMIF(A:A,B5,G:G)</f>
        <v>22</v>
      </c>
      <c r="G5" s="10">
        <f>SUMIF(A:A,B5,H:H)</f>
        <v>13</v>
      </c>
      <c r="H5" s="10">
        <f>SUMIF(A:A,B5,I:I)</f>
        <v>7</v>
      </c>
      <c r="I5" s="10">
        <f>SUMIF(A:A,B5,P:P)</f>
        <v>2</v>
      </c>
      <c r="J5" s="10">
        <f>SUMIF(A:A,B5,Q:Q)</f>
        <v>1</v>
      </c>
      <c r="K5" s="10">
        <f>SUMIF(A:A,B5,R:R)</f>
        <v>6</v>
      </c>
      <c r="L5" s="10">
        <f>SUMIF(A:A,B5,S:S)</f>
        <v>1</v>
      </c>
      <c r="M5" s="10">
        <f>SUMIF(A:A,B5,M:M)</f>
        <v>46</v>
      </c>
      <c r="N5" s="10">
        <f>SUMIF(A:A,B5,N:N)</f>
        <v>5</v>
      </c>
      <c r="O5" s="10">
        <f>SUMIF(A:A,B5,O:O)</f>
        <v>3</v>
      </c>
      <c r="P5" s="10">
        <f>SUMIF(A:A,B5,J:J)</f>
        <v>7</v>
      </c>
      <c r="Q5" s="10">
        <f>SUMIF(A:A,B5,K:K)</f>
        <v>3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1295.857143</v>
      </c>
      <c r="F7" s="20">
        <f>IFERROR((G5+R5)/F5,0)</f>
        <v>0.6818181818</v>
      </c>
      <c r="G7" s="20">
        <f>IFERROR(H5/G5,0)</f>
        <v>0.5384615385</v>
      </c>
      <c r="H7" s="19">
        <f>(C5/C7)</f>
        <v>323.9642857</v>
      </c>
      <c r="I7" s="21"/>
      <c r="J7" s="20">
        <f>IFERROR(J5/I5,0)</f>
        <v>0.5</v>
      </c>
      <c r="K7" s="21"/>
      <c r="L7" s="20">
        <f>IFERROR(L5/K5,0)</f>
        <v>0.1666666667</v>
      </c>
      <c r="M7" s="22">
        <f>IFERROR(M5/SUM(R5+G5,0),"")</f>
        <v>3.066666667</v>
      </c>
      <c r="N7" s="21"/>
      <c r="O7" s="20">
        <f>IFERROR(O5/N5,0)</f>
        <v>0.6</v>
      </c>
      <c r="P7" s="22"/>
      <c r="Q7" s="20">
        <f>IFERROR(Q5/P5,0)</f>
        <v>0.4285714286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9071</v>
      </c>
      <c r="D8" s="36"/>
      <c r="E8" s="37">
        <f>SUMIFS(T:T,B:B,B8,D:D,"Y")</f>
        <v>4339</v>
      </c>
      <c r="F8" s="38">
        <f>SUMIF(B16:B1129,B8,G16:G1129)</f>
        <v>22</v>
      </c>
      <c r="G8" s="39">
        <f>SUMIF(B16:B1129,B8,H16:H1129)</f>
        <v>13</v>
      </c>
      <c r="H8" s="38">
        <f>SUMIF(B16:B1129,B8,I16:I1129)</f>
        <v>7</v>
      </c>
      <c r="I8" s="39">
        <f>SUMIF(B16:B1129,B8,P16:P1129)</f>
        <v>2</v>
      </c>
      <c r="J8" s="39">
        <f>SUMIF(B16:B1129,B8,Q16:Q1129)</f>
        <v>1</v>
      </c>
      <c r="K8" s="39">
        <f>SUMIF(B16:B1129,B8,R16:R1129)</f>
        <v>6</v>
      </c>
      <c r="L8" s="39">
        <f>SUMIF(B16:B1129,B8,S16:S1129)</f>
        <v>1</v>
      </c>
      <c r="M8" s="39">
        <f>SUMIF(B16:B1129,B8,M16:M1129)</f>
        <v>46</v>
      </c>
      <c r="N8" s="39">
        <f>SUMIF(B16:B1129,B8,N16:N1129)</f>
        <v>5</v>
      </c>
      <c r="O8" s="38">
        <f>SUMIF(B16:B1129,B8,O16:O1129)</f>
        <v>3</v>
      </c>
      <c r="P8" s="39">
        <f>SUMIF(B16:B1129,B8,J16:J1129)</f>
        <v>7</v>
      </c>
      <c r="Q8" s="39">
        <f>SUMIF(B16:B1129,B8,K16:K1129)</f>
        <v>3</v>
      </c>
      <c r="R8" s="38">
        <f>SUMIF(B16:B1129,B8,L16:L1129)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1295.857143</v>
      </c>
      <c r="F10" s="51">
        <f>IFERROR((G8+R8)/F8,0)</f>
        <v>0.6818181818</v>
      </c>
      <c r="G10" s="51">
        <f>IFERROR(H8/G8,0)</f>
        <v>0.5384615385</v>
      </c>
      <c r="H10" s="50">
        <f>(C8/C10)</f>
        <v>362.84</v>
      </c>
      <c r="I10" s="46"/>
      <c r="J10" s="51">
        <f>IFERROR(J8/I8,0)</f>
        <v>0.5</v>
      </c>
      <c r="K10" s="46"/>
      <c r="L10" s="51">
        <f>IFERROR(L8/K8,0)</f>
        <v>0.1666666667</v>
      </c>
      <c r="M10" s="52">
        <f>IFERROR(M8/SUM(G8+R8,0),"")</f>
        <v>3.066666667</v>
      </c>
      <c r="N10" s="46"/>
      <c r="O10" s="51">
        <f>IFERROR(O8/N8,0)</f>
        <v>0.6</v>
      </c>
      <c r="P10" s="53"/>
      <c r="Q10" s="51">
        <f>IFERROR(Q8/P8,0)</f>
        <v>0.4285714286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7" si="2">IFERROR(I17/H17,0)</f>
        <v>0</v>
      </c>
      <c r="V17" s="67">
        <f t="shared" ref="V17:V3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2.0</v>
      </c>
      <c r="H22" s="133">
        <v>2.0</v>
      </c>
      <c r="I22" s="133">
        <v>1.0</v>
      </c>
      <c r="J22" s="133">
        <v>1.0</v>
      </c>
      <c r="K22" s="133">
        <v>1.0</v>
      </c>
      <c r="L22" s="133">
        <v>0.0</v>
      </c>
      <c r="M22" s="133">
        <v>6.0</v>
      </c>
      <c r="N22" s="133">
        <v>0.0</v>
      </c>
      <c r="O22" s="133">
        <v>0.0</v>
      </c>
      <c r="P22" s="133">
        <v>0.0</v>
      </c>
      <c r="Q22" s="133">
        <v>0.0</v>
      </c>
      <c r="R22" s="133">
        <v>2.0</v>
      </c>
      <c r="S22" s="133">
        <v>1.0</v>
      </c>
      <c r="T22" s="133">
        <v>804.0</v>
      </c>
      <c r="U22" s="67">
        <f t="shared" si="2"/>
        <v>0.5</v>
      </c>
      <c r="V22" s="67">
        <f t="shared" si="3"/>
        <v>1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3.0</v>
      </c>
      <c r="H23" s="133">
        <v>2.0</v>
      </c>
      <c r="I23" s="133">
        <v>0.0</v>
      </c>
      <c r="J23" s="133">
        <v>1.0</v>
      </c>
      <c r="K23" s="133">
        <v>0.0</v>
      </c>
      <c r="L23" s="133">
        <v>1.0</v>
      </c>
      <c r="M23" s="133">
        <v>7.0</v>
      </c>
      <c r="N23" s="133">
        <v>1.0</v>
      </c>
      <c r="O23" s="133">
        <v>0.0</v>
      </c>
      <c r="P23" s="133">
        <v>0.0</v>
      </c>
      <c r="Q23" s="133">
        <v>0.0</v>
      </c>
      <c r="R23" s="133">
        <v>1.0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1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3.0</v>
      </c>
      <c r="H24" s="133">
        <v>2.0</v>
      </c>
      <c r="I24" s="133">
        <v>1.0</v>
      </c>
      <c r="J24" s="133">
        <v>0.0</v>
      </c>
      <c r="K24" s="133">
        <v>0.0</v>
      </c>
      <c r="L24" s="133">
        <v>1.0</v>
      </c>
      <c r="M24" s="133">
        <v>5.0</v>
      </c>
      <c r="N24" s="133">
        <v>1.0</v>
      </c>
      <c r="O24" s="133">
        <v>1.0</v>
      </c>
      <c r="P24" s="133">
        <v>0.0</v>
      </c>
      <c r="Q24" s="133">
        <v>0.0</v>
      </c>
      <c r="R24" s="133">
        <v>1.0</v>
      </c>
      <c r="S24" s="133">
        <v>0.0</v>
      </c>
      <c r="T24" s="133">
        <v>1692.0</v>
      </c>
      <c r="U24" s="67">
        <f t="shared" si="2"/>
        <v>0.5</v>
      </c>
      <c r="V24" s="67">
        <f t="shared" si="3"/>
        <v>1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2.0</v>
      </c>
      <c r="H27" s="133">
        <v>1.0</v>
      </c>
      <c r="I27" s="133">
        <v>1.0</v>
      </c>
      <c r="J27" s="133">
        <v>1.0</v>
      </c>
      <c r="K27" s="133">
        <v>1.0</v>
      </c>
      <c r="L27" s="133">
        <v>0.0</v>
      </c>
      <c r="M27" s="133">
        <v>3.0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1540.0</v>
      </c>
      <c r="U27" s="67">
        <f t="shared" si="2"/>
        <v>1</v>
      </c>
      <c r="V27" s="67">
        <f t="shared" si="3"/>
        <v>0.5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30" si="4">IFERROR(I29/H29,0)</f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1.0</v>
      </c>
      <c r="H30" s="133">
        <v>1.0</v>
      </c>
      <c r="I30" s="133">
        <v>1.0</v>
      </c>
      <c r="J30" s="133">
        <v>1.0</v>
      </c>
      <c r="K30" s="133">
        <v>0.0</v>
      </c>
      <c r="L30" s="133">
        <v>0.0</v>
      </c>
      <c r="M30" s="133">
        <v>8.0</v>
      </c>
      <c r="N30" s="133">
        <v>0.0</v>
      </c>
      <c r="O30" s="133">
        <v>0.0</v>
      </c>
      <c r="P30" s="133">
        <v>0.0</v>
      </c>
      <c r="Q30" s="133">
        <v>0.0</v>
      </c>
      <c r="R30" s="133">
        <v>1.0</v>
      </c>
      <c r="S30" s="133">
        <v>0.0</v>
      </c>
      <c r="T30" s="133">
        <v>0.0</v>
      </c>
      <c r="U30" s="67">
        <f t="shared" si="4"/>
        <v>1</v>
      </c>
      <c r="V30" s="67">
        <f t="shared" si="3"/>
        <v>1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3.0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134">
        <v>0.0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134">
        <v>0.0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4.0</v>
      </c>
      <c r="H33" s="133">
        <v>3.0</v>
      </c>
      <c r="I33" s="133">
        <v>1.0</v>
      </c>
      <c r="J33" s="133">
        <v>3.0</v>
      </c>
      <c r="K33" s="133">
        <v>1.0</v>
      </c>
      <c r="L33" s="133">
        <v>0.0</v>
      </c>
      <c r="M33" s="133">
        <v>15.0</v>
      </c>
      <c r="N33" s="133">
        <v>2.0</v>
      </c>
      <c r="O33" s="133">
        <v>1.0</v>
      </c>
      <c r="P33" s="133">
        <v>0.0</v>
      </c>
      <c r="Q33" s="133">
        <v>0.0</v>
      </c>
      <c r="R33" s="133">
        <v>1.0</v>
      </c>
      <c r="S33" s="133">
        <v>0.0</v>
      </c>
      <c r="T33" s="133">
        <v>1500.0</v>
      </c>
      <c r="U33" s="67">
        <f t="shared" ref="U33:U44" si="5">IFERROR(I33/H33,0)</f>
        <v>0.3333333333</v>
      </c>
      <c r="V33" s="67">
        <f t="shared" ref="V33:V44" si="6">IFERROR(SUM(H33+L33)/G33,0)</f>
        <v>0.75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6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4.0</v>
      </c>
      <c r="H35" s="133">
        <v>2.0</v>
      </c>
      <c r="I35" s="133">
        <v>2.0</v>
      </c>
      <c r="J35" s="133">
        <v>0.0</v>
      </c>
      <c r="K35" s="133">
        <v>0.0</v>
      </c>
      <c r="L35" s="133">
        <v>0.0</v>
      </c>
      <c r="M35" s="133">
        <v>2.0</v>
      </c>
      <c r="N35" s="133">
        <v>0.0</v>
      </c>
      <c r="O35" s="133">
        <v>0.0</v>
      </c>
      <c r="P35" s="133">
        <v>2.0</v>
      </c>
      <c r="Q35" s="133">
        <v>1.0</v>
      </c>
      <c r="R35" s="133">
        <v>0.0</v>
      </c>
      <c r="S35" s="133">
        <v>0.0</v>
      </c>
      <c r="T35" s="133">
        <v>3535.0</v>
      </c>
      <c r="U35" s="67">
        <f t="shared" si="5"/>
        <v>1</v>
      </c>
      <c r="V35" s="67">
        <f t="shared" si="6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5"/>
        <v>0</v>
      </c>
      <c r="V36" s="67">
        <f t="shared" si="6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5"/>
        <v>0</v>
      </c>
      <c r="V37" s="67">
        <f t="shared" si="6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6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5"/>
        <v>0</v>
      </c>
      <c r="V42" s="67">
        <f t="shared" si="6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6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5"/>
        <v>0</v>
      </c>
      <c r="V44" s="67">
        <f t="shared" si="6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3</v>
      </c>
      <c r="G2" s="10">
        <f t="shared" si="1"/>
        <v>2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9</v>
      </c>
      <c r="N2" s="10">
        <f t="shared" si="1"/>
        <v>2</v>
      </c>
      <c r="O2" s="10">
        <f t="shared" si="1"/>
        <v>0</v>
      </c>
      <c r="P2" s="10">
        <f t="shared" si="1"/>
        <v>2</v>
      </c>
      <c r="Q2" s="10">
        <f t="shared" si="1"/>
        <v>0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0</v>
      </c>
      <c r="F4" s="20">
        <f>IFERROR((G2+R2)/F2,0)</f>
        <v>1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4.5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3</v>
      </c>
      <c r="G5" s="10">
        <f>SUMIF(A:A,B5,H:H)</f>
        <v>2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9</v>
      </c>
      <c r="N5" s="10">
        <f>SUMIF(A:A,B5,N:N)</f>
        <v>2</v>
      </c>
      <c r="O5" s="10">
        <f>SUMIF(A:A,B5,O:O)</f>
        <v>0</v>
      </c>
      <c r="P5" s="10">
        <f>SUMIF(A:A,B5,J:J)</f>
        <v>2</v>
      </c>
      <c r="Q5" s="10">
        <f>SUMIF(A:A,B5,K:K)</f>
        <v>0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0</v>
      </c>
      <c r="F7" s="20">
        <f>IFERROR((G5+R5)/F5,0)</f>
        <v>1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3</v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3</v>
      </c>
      <c r="G8" s="39">
        <f>SUMIF(B16:B1129,B8,H16:H1129)</f>
        <v>2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9</v>
      </c>
      <c r="N8" s="39">
        <f>SUMIF(B16:B1129,B8,N16:N1129)</f>
        <v>2</v>
      </c>
      <c r="O8" s="38">
        <f>SUMIF(B16:B1129,B8,O16:O1129)</f>
        <v>0</v>
      </c>
      <c r="P8" s="39">
        <f>SUMIF(B16:B1129,B8,J16:J1129)</f>
        <v>2</v>
      </c>
      <c r="Q8" s="39">
        <f>SUMIF(B16:B1129,B8,K16:K1129)</f>
        <v>0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1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3</v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6" si="2">IFERROR(I17/H17,0)</f>
        <v>0</v>
      </c>
      <c r="V17" s="67">
        <f t="shared" ref="V17:V23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1.0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9">
        <v>0.0</v>
      </c>
      <c r="H24" s="133">
        <v>0.0</v>
      </c>
      <c r="I24" s="133">
        <v>0.0</v>
      </c>
      <c r="J24" s="133">
        <v>0.0</v>
      </c>
      <c r="K24" s="133">
        <v>0.0</v>
      </c>
      <c r="L24" s="133">
        <v>0.0</v>
      </c>
      <c r="M24" s="133">
        <v>0.0</v>
      </c>
      <c r="N24" s="133">
        <v>0.0</v>
      </c>
      <c r="O24" s="133">
        <v>0.0</v>
      </c>
      <c r="P24" s="133">
        <v>0.0</v>
      </c>
      <c r="Q24" s="133">
        <v>0.0</v>
      </c>
      <c r="R24" s="133">
        <v>0.0</v>
      </c>
      <c r="S24" s="133">
        <v>0.0</v>
      </c>
      <c r="T24" s="133">
        <v>0.0</v>
      </c>
      <c r="U24" s="67">
        <f t="shared" si="2"/>
        <v>0</v>
      </c>
      <c r="V24" s="67">
        <f>IFERROR(SUM(H24+L24)/G25,0)</f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>IFERROR(SUM(H25+L25)/#REF!,0)</f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>IFERROR(SUM(H26+L26)/G26,0)</f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0.0</v>
      </c>
      <c r="H27" s="133">
        <v>0.0</v>
      </c>
      <c r="I27" s="133">
        <v>0.0</v>
      </c>
      <c r="J27" s="133">
        <v>0.0</v>
      </c>
      <c r="K27" s="133">
        <v>0.0</v>
      </c>
      <c r="L27" s="133">
        <v>0.0</v>
      </c>
      <c r="M27" s="133">
        <v>0.0</v>
      </c>
      <c r="N27" s="133">
        <v>0.0</v>
      </c>
      <c r="O27" s="133">
        <v>0.0</v>
      </c>
      <c r="P27" s="133">
        <v>0.0</v>
      </c>
      <c r="Q27" s="133">
        <v>0.0</v>
      </c>
      <c r="R27" s="133">
        <v>0.0</v>
      </c>
      <c r="S27" s="133">
        <v>0.0</v>
      </c>
      <c r="T27" s="133">
        <v>0.0</v>
      </c>
      <c r="U27" s="134">
        <v>0.0</v>
      </c>
      <c r="V27" s="134">
        <v>0.0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0.0</v>
      </c>
      <c r="H28" s="133">
        <v>0.0</v>
      </c>
      <c r="I28" s="133">
        <v>0.0</v>
      </c>
      <c r="J28" s="133">
        <v>0.0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134">
        <v>0.0</v>
      </c>
      <c r="V28" s="67">
        <f t="shared" ref="V28:V30" si="4">IFERROR(SUM(H28+L28)/G28,0)</f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67">
        <f t="shared" ref="U29:U44" si="5">IFERROR(I29/H29,0)</f>
        <v>0</v>
      </c>
      <c r="V29" s="67">
        <f t="shared" si="4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si="5"/>
        <v>0</v>
      </c>
      <c r="V30" s="67">
        <f t="shared" si="4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5"/>
        <v>0</v>
      </c>
      <c r="V31" s="134">
        <v>0.0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67">
        <f t="shared" si="5"/>
        <v>0</v>
      </c>
      <c r="V32" s="67">
        <f t="shared" ref="V32:V44" si="6">IFERROR(SUM(H32+L32)/G32,0)</f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1.0</v>
      </c>
      <c r="S33" s="133">
        <v>0.0</v>
      </c>
      <c r="T33" s="133">
        <v>0.0</v>
      </c>
      <c r="U33" s="67">
        <f t="shared" si="5"/>
        <v>0</v>
      </c>
      <c r="V33" s="67">
        <f t="shared" si="6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6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5"/>
        <v>0</v>
      </c>
      <c r="V35" s="67">
        <f t="shared" si="6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6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2.0</v>
      </c>
      <c r="H37" s="133">
        <v>2.0</v>
      </c>
      <c r="I37" s="133">
        <v>0.0</v>
      </c>
      <c r="J37" s="133">
        <v>2.0</v>
      </c>
      <c r="K37" s="133">
        <v>0.0</v>
      </c>
      <c r="L37" s="133">
        <v>1.0</v>
      </c>
      <c r="M37" s="133">
        <v>9.0</v>
      </c>
      <c r="N37" s="133">
        <v>2.0</v>
      </c>
      <c r="O37" s="133">
        <v>0.0</v>
      </c>
      <c r="P37" s="133">
        <v>0.0</v>
      </c>
      <c r="Q37" s="133">
        <v>0.0</v>
      </c>
      <c r="R37" s="133">
        <v>0.0</v>
      </c>
      <c r="S37" s="133">
        <v>0.0</v>
      </c>
      <c r="T37" s="133">
        <v>0.0</v>
      </c>
      <c r="U37" s="67">
        <f t="shared" si="5"/>
        <v>0</v>
      </c>
      <c r="V37" s="67">
        <f t="shared" si="6"/>
        <v>1.5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6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5"/>
        <v>0</v>
      </c>
      <c r="V42" s="67">
        <f t="shared" si="6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6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5"/>
        <v>0</v>
      </c>
      <c r="V44" s="67">
        <f t="shared" si="6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8641</v>
      </c>
      <c r="D2" s="9"/>
      <c r="E2" s="8">
        <f t="shared" ref="E2:R2" si="1">SUM(E5)</f>
        <v>2800</v>
      </c>
      <c r="F2" s="8">
        <f t="shared" si="1"/>
        <v>15</v>
      </c>
      <c r="G2" s="10">
        <f t="shared" si="1"/>
        <v>8</v>
      </c>
      <c r="H2" s="10">
        <f t="shared" si="1"/>
        <v>6</v>
      </c>
      <c r="I2" s="10">
        <f t="shared" si="1"/>
        <v>0</v>
      </c>
      <c r="J2" s="10">
        <f t="shared" si="1"/>
        <v>0</v>
      </c>
      <c r="K2" s="10">
        <f t="shared" si="1"/>
        <v>1</v>
      </c>
      <c r="L2" s="10">
        <f t="shared" si="1"/>
        <v>0</v>
      </c>
      <c r="M2" s="10">
        <f t="shared" si="1"/>
        <v>17</v>
      </c>
      <c r="N2" s="10">
        <f t="shared" si="1"/>
        <v>7</v>
      </c>
      <c r="O2" s="10">
        <f t="shared" si="1"/>
        <v>6</v>
      </c>
      <c r="P2" s="10">
        <f t="shared" si="1"/>
        <v>5</v>
      </c>
      <c r="Q2" s="10">
        <f t="shared" si="1"/>
        <v>4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1440.166667</v>
      </c>
      <c r="F4" s="20">
        <f>IFERROR((G2+R2)/F2,0)</f>
        <v>0.6</v>
      </c>
      <c r="G4" s="20">
        <f>IFERROR(H2/G2,0)</f>
        <v>0.75</v>
      </c>
      <c r="H4" s="19">
        <f>(C2/C4)</f>
        <v>308.6071429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2.125</v>
      </c>
      <c r="N4" s="21"/>
      <c r="O4" s="20">
        <f>IFERROR(O2/N2,0)</f>
        <v>0.8571428571</v>
      </c>
      <c r="P4" s="22"/>
      <c r="Q4" s="20">
        <f>IFERROR(Q2/P2,0)</f>
        <v>0.8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8641</v>
      </c>
      <c r="D5" s="26"/>
      <c r="E5" s="27">
        <f>SUMIFS(T:T,A:A,B5,D:D,"Y")</f>
        <v>2800</v>
      </c>
      <c r="F5" s="8">
        <f>SUMIF(A:A,B5,G:G)</f>
        <v>15</v>
      </c>
      <c r="G5" s="10">
        <f>SUMIF(A:A,B5,H:H)</f>
        <v>8</v>
      </c>
      <c r="H5" s="10">
        <f>SUMIF(A:A,B5,I:I)</f>
        <v>6</v>
      </c>
      <c r="I5" s="10">
        <f>SUMIF(A:A,B5,P:P)</f>
        <v>0</v>
      </c>
      <c r="J5" s="10">
        <f>SUMIF(A:A,B5,Q:Q)</f>
        <v>0</v>
      </c>
      <c r="K5" s="10">
        <f>SUMIF(A:A,B5,R:R)</f>
        <v>1</v>
      </c>
      <c r="L5" s="10">
        <f>SUMIF(A:A,B5,S:S)</f>
        <v>0</v>
      </c>
      <c r="M5" s="10">
        <f>SUMIF(A:A,B5,M:M)</f>
        <v>17</v>
      </c>
      <c r="N5" s="10">
        <f>SUMIF(A:A,B5,N:N)</f>
        <v>7</v>
      </c>
      <c r="O5" s="10">
        <f>SUMIF(A:A,B5,O:O)</f>
        <v>6</v>
      </c>
      <c r="P5" s="10">
        <f>SUMIF(A:A,B5,J:J)</f>
        <v>5</v>
      </c>
      <c r="Q5" s="10">
        <f>SUMIF(A:A,B5,K:K)</f>
        <v>4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1440.166667</v>
      </c>
      <c r="F7" s="20">
        <f>IFERROR((G5+R5)/F5,0)</f>
        <v>0.6</v>
      </c>
      <c r="G7" s="20">
        <f>IFERROR(H5/G5,0)</f>
        <v>0.75</v>
      </c>
      <c r="H7" s="19">
        <f>(C5/C7)</f>
        <v>308.6071429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1.888888889</v>
      </c>
      <c r="N7" s="21"/>
      <c r="O7" s="20">
        <f>IFERROR(O5/N5,0)</f>
        <v>0.8571428571</v>
      </c>
      <c r="P7" s="22"/>
      <c r="Q7" s="20">
        <f>IFERROR(Q5/P5,0)</f>
        <v>0.8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8641</v>
      </c>
      <c r="D8" s="36"/>
      <c r="E8" s="37">
        <f>SUMIFS(T:T,B:B,B8,D:D,"Y")</f>
        <v>2800</v>
      </c>
      <c r="F8" s="38">
        <f>SUMIF(B16:B1129,B8,G16:G1129)</f>
        <v>15</v>
      </c>
      <c r="G8" s="39">
        <f>SUMIF(B16:B1129,B8,H16:H1129)</f>
        <v>8</v>
      </c>
      <c r="H8" s="38">
        <f>SUMIF(B16:B1129,B8,I16:I1129)</f>
        <v>6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17</v>
      </c>
      <c r="N8" s="39">
        <f>SUMIF(B16:B1129,B8,N16:N1129)</f>
        <v>7</v>
      </c>
      <c r="O8" s="38">
        <f>SUMIF(B16:B1129,B8,O16:O1129)</f>
        <v>6</v>
      </c>
      <c r="P8" s="39">
        <f>SUMIF(B16:B1129,B8,J16:J1129)</f>
        <v>5</v>
      </c>
      <c r="Q8" s="39">
        <f>SUMIF(B16:B1129,B8,K16:K1129)</f>
        <v>4</v>
      </c>
      <c r="R8" s="38">
        <f>SUMIF(B16:B1129,B8,L16:L1129)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1440.166667</v>
      </c>
      <c r="F10" s="51">
        <f>IFERROR((G8+R8)/F8,0)</f>
        <v>0.6</v>
      </c>
      <c r="G10" s="51">
        <f>IFERROR(H8/G8,0)</f>
        <v>0.75</v>
      </c>
      <c r="H10" s="50">
        <f>(C8/C10)</f>
        <v>345.64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1.888888889</v>
      </c>
      <c r="N10" s="46"/>
      <c r="O10" s="51">
        <f>IFERROR(O8/N8,0)</f>
        <v>0.8571428571</v>
      </c>
      <c r="P10" s="53"/>
      <c r="Q10" s="51">
        <f>IFERROR(Q8/P8,0)</f>
        <v>0.8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8" si="2">IFERROR(I17/H17,0)</f>
        <v>0</v>
      </c>
      <c r="V17" s="67">
        <f t="shared" ref="V17:V31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5.0</v>
      </c>
      <c r="H24" s="133">
        <v>1.0</v>
      </c>
      <c r="I24" s="133">
        <v>1.0</v>
      </c>
      <c r="J24" s="133">
        <v>0.0</v>
      </c>
      <c r="K24" s="133">
        <v>0.0</v>
      </c>
      <c r="L24" s="133">
        <v>0.0</v>
      </c>
      <c r="M24" s="133">
        <v>5.0</v>
      </c>
      <c r="N24" s="133">
        <v>1.0</v>
      </c>
      <c r="O24" s="133">
        <v>1.0</v>
      </c>
      <c r="P24" s="133">
        <v>0.0</v>
      </c>
      <c r="Q24" s="133">
        <v>0.0</v>
      </c>
      <c r="R24" s="133">
        <v>0.0</v>
      </c>
      <c r="S24" s="133">
        <v>0.0</v>
      </c>
      <c r="T24" s="133">
        <v>1656.0</v>
      </c>
      <c r="U24" s="67">
        <f t="shared" si="2"/>
        <v>1</v>
      </c>
      <c r="V24" s="67">
        <f t="shared" si="3"/>
        <v>0.2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133">
        <v>0.0</v>
      </c>
      <c r="H25" s="133">
        <v>0.0</v>
      </c>
      <c r="I25" s="133">
        <v>0.0</v>
      </c>
      <c r="J25" s="133">
        <v>0.0</v>
      </c>
      <c r="K25" s="133">
        <v>0.0</v>
      </c>
      <c r="L25" s="133">
        <v>0.0</v>
      </c>
      <c r="M25" s="133">
        <v>0.0</v>
      </c>
      <c r="N25" s="133">
        <v>0.0</v>
      </c>
      <c r="O25" s="133">
        <v>0.0</v>
      </c>
      <c r="P25" s="133">
        <v>0.0</v>
      </c>
      <c r="Q25" s="133">
        <v>0.0</v>
      </c>
      <c r="R25" s="133">
        <v>0.0</v>
      </c>
      <c r="S25" s="133">
        <v>0.0</v>
      </c>
      <c r="T25" s="133">
        <v>0.0</v>
      </c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3.0</v>
      </c>
      <c r="H27" s="133">
        <v>2.0</v>
      </c>
      <c r="I27" s="133">
        <v>2.0</v>
      </c>
      <c r="J27" s="133">
        <v>2.0</v>
      </c>
      <c r="K27" s="133">
        <v>2.0</v>
      </c>
      <c r="L27" s="133">
        <v>1.0</v>
      </c>
      <c r="M27" s="133">
        <v>6.0</v>
      </c>
      <c r="N27" s="133">
        <v>2.0</v>
      </c>
      <c r="O27" s="133">
        <v>2.0</v>
      </c>
      <c r="P27" s="133">
        <v>0.0</v>
      </c>
      <c r="Q27" s="133">
        <v>0.0</v>
      </c>
      <c r="R27" s="133">
        <v>0.0</v>
      </c>
      <c r="S27" s="133">
        <v>0.0</v>
      </c>
      <c r="T27" s="133">
        <v>3035.0</v>
      </c>
      <c r="U27" s="67">
        <f t="shared" si="2"/>
        <v>1</v>
      </c>
      <c r="V27" s="67">
        <f t="shared" si="3"/>
        <v>1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2.0</v>
      </c>
      <c r="H28" s="133">
        <v>2.0</v>
      </c>
      <c r="I28" s="133">
        <v>2.0</v>
      </c>
      <c r="J28" s="133">
        <v>2.0</v>
      </c>
      <c r="K28" s="133">
        <v>2.0</v>
      </c>
      <c r="L28" s="133">
        <v>0.0</v>
      </c>
      <c r="M28" s="133">
        <v>3.0</v>
      </c>
      <c r="N28" s="133">
        <v>2.0</v>
      </c>
      <c r="O28" s="133">
        <v>2.0</v>
      </c>
      <c r="P28" s="133">
        <v>0.0</v>
      </c>
      <c r="Q28" s="133">
        <v>0.0</v>
      </c>
      <c r="R28" s="133">
        <v>0.0</v>
      </c>
      <c r="S28" s="133">
        <v>0.0</v>
      </c>
      <c r="T28" s="133">
        <v>2800.0</v>
      </c>
      <c r="U28" s="67">
        <f t="shared" si="2"/>
        <v>1</v>
      </c>
      <c r="V28" s="67">
        <f t="shared" si="3"/>
        <v>1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ref="U30:U31" si="4">IFERROR(I30/H30,0)</f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0.0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134">
        <v>0.0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1.0</v>
      </c>
      <c r="H33" s="133">
        <v>1.0</v>
      </c>
      <c r="I33" s="133">
        <v>0.0</v>
      </c>
      <c r="J33" s="133">
        <v>1.0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1.0</v>
      </c>
      <c r="S33" s="133">
        <v>0.0</v>
      </c>
      <c r="T33" s="133">
        <v>0.0</v>
      </c>
      <c r="U33" s="67">
        <f t="shared" ref="U33:U44" si="5">IFERROR(I33/H33,0)</f>
        <v>0</v>
      </c>
      <c r="V33" s="67">
        <f t="shared" ref="V33:V44" si="6">IFERROR(SUM(H33+L33)/G33,0)</f>
        <v>1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5"/>
        <v>0</v>
      </c>
      <c r="V34" s="67">
        <f t="shared" si="6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0.0</v>
      </c>
      <c r="H35" s="133">
        <v>0.0</v>
      </c>
      <c r="I35" s="133">
        <v>0.0</v>
      </c>
      <c r="J35" s="133">
        <v>0.0</v>
      </c>
      <c r="K35" s="133">
        <v>0.0</v>
      </c>
      <c r="L35" s="133">
        <v>0.0</v>
      </c>
      <c r="M35" s="133">
        <v>0.0</v>
      </c>
      <c r="N35" s="133">
        <v>0.0</v>
      </c>
      <c r="O35" s="133">
        <v>0.0</v>
      </c>
      <c r="P35" s="133">
        <v>0.0</v>
      </c>
      <c r="Q35" s="133">
        <v>0.0</v>
      </c>
      <c r="R35" s="133">
        <v>0.0</v>
      </c>
      <c r="S35" s="133">
        <v>0.0</v>
      </c>
      <c r="T35" s="133">
        <v>0.0</v>
      </c>
      <c r="U35" s="67">
        <f t="shared" si="5"/>
        <v>0</v>
      </c>
      <c r="V35" s="67">
        <f t="shared" si="6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5"/>
        <v>0</v>
      </c>
      <c r="V36" s="67">
        <f t="shared" si="6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4.0</v>
      </c>
      <c r="H37" s="133">
        <v>2.0</v>
      </c>
      <c r="I37" s="133">
        <v>1.0</v>
      </c>
      <c r="J37" s="133">
        <v>0.0</v>
      </c>
      <c r="K37" s="133">
        <v>0.0</v>
      </c>
      <c r="L37" s="133">
        <v>0.0</v>
      </c>
      <c r="M37" s="133">
        <v>3.0</v>
      </c>
      <c r="N37" s="133">
        <v>2.0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1150.0</v>
      </c>
      <c r="U37" s="67">
        <f t="shared" si="5"/>
        <v>0.5</v>
      </c>
      <c r="V37" s="67">
        <f t="shared" si="6"/>
        <v>0.5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5"/>
        <v>0</v>
      </c>
      <c r="V38" s="67">
        <f t="shared" si="6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5"/>
        <v>0</v>
      </c>
      <c r="V39" s="67">
        <f t="shared" si="6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5"/>
        <v>0</v>
      </c>
      <c r="V40" s="67">
        <f t="shared" si="6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5"/>
        <v>0</v>
      </c>
      <c r="V41" s="67">
        <f t="shared" si="6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5"/>
        <v>0</v>
      </c>
      <c r="V42" s="67">
        <f t="shared" si="6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5"/>
        <v>0</v>
      </c>
      <c r="V43" s="67">
        <f t="shared" si="6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5"/>
        <v>0</v>
      </c>
      <c r="V44" s="67">
        <f t="shared" si="6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9699</v>
      </c>
      <c r="D2" s="9"/>
      <c r="E2" s="8">
        <f t="shared" ref="E2:R2" si="1">SUM(E5)</f>
        <v>3489</v>
      </c>
      <c r="F2" s="8">
        <f t="shared" si="1"/>
        <v>19</v>
      </c>
      <c r="G2" s="10">
        <f t="shared" si="1"/>
        <v>9</v>
      </c>
      <c r="H2" s="10">
        <f t="shared" si="1"/>
        <v>6</v>
      </c>
      <c r="I2" s="10">
        <f t="shared" si="1"/>
        <v>2</v>
      </c>
      <c r="J2" s="10">
        <f t="shared" si="1"/>
        <v>2</v>
      </c>
      <c r="K2" s="10">
        <f t="shared" si="1"/>
        <v>1</v>
      </c>
      <c r="L2" s="10">
        <f t="shared" si="1"/>
        <v>0</v>
      </c>
      <c r="M2" s="10">
        <f t="shared" si="1"/>
        <v>22</v>
      </c>
      <c r="N2" s="10">
        <f t="shared" si="1"/>
        <v>5</v>
      </c>
      <c r="O2" s="10">
        <f t="shared" si="1"/>
        <v>4</v>
      </c>
      <c r="P2" s="10">
        <f t="shared" si="1"/>
        <v>5</v>
      </c>
      <c r="Q2" s="10">
        <f t="shared" si="1"/>
        <v>2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1616.5</v>
      </c>
      <c r="F4" s="20">
        <f>IFERROR((G2+R2)/F2,0)</f>
        <v>0.6315789474</v>
      </c>
      <c r="G4" s="20">
        <f>IFERROR(H2/G2,0)</f>
        <v>0.6666666667</v>
      </c>
      <c r="H4" s="19">
        <f>(C2/C4)</f>
        <v>346.3928571</v>
      </c>
      <c r="I4" s="21"/>
      <c r="J4" s="20">
        <f>IFERROR(J2/I2,0)</f>
        <v>1</v>
      </c>
      <c r="K4" s="21"/>
      <c r="L4" s="20">
        <f>IFERROR(L2/K2,0)</f>
        <v>0</v>
      </c>
      <c r="M4" s="22">
        <f>IFERROR(M2/G2,0)</f>
        <v>2.444444444</v>
      </c>
      <c r="N4" s="21"/>
      <c r="O4" s="20">
        <f>IFERROR(O2/N2,0)</f>
        <v>0.8</v>
      </c>
      <c r="P4" s="22"/>
      <c r="Q4" s="20">
        <f>IFERROR(Q2/P2,0)</f>
        <v>0.4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9699</v>
      </c>
      <c r="D5" s="26"/>
      <c r="E5" s="27">
        <f>SUMIFS(T:T,A:A,B5,D:D,"Y")</f>
        <v>3489</v>
      </c>
      <c r="F5" s="8">
        <f>SUMIF(A:A,B5,G:G)</f>
        <v>19</v>
      </c>
      <c r="G5" s="10">
        <f>SUMIF(A:A,B5,H:H)</f>
        <v>9</v>
      </c>
      <c r="H5" s="10">
        <f>SUMIF(A:A,B5,I:I)</f>
        <v>6</v>
      </c>
      <c r="I5" s="10">
        <f>SUMIF(A:A,B5,P:P)</f>
        <v>2</v>
      </c>
      <c r="J5" s="10">
        <f>SUMIF(A:A,B5,Q:Q)</f>
        <v>2</v>
      </c>
      <c r="K5" s="10">
        <f>SUMIF(A:A,B5,R:R)</f>
        <v>1</v>
      </c>
      <c r="L5" s="10">
        <f>SUMIF(A:A,B5,S:S)</f>
        <v>0</v>
      </c>
      <c r="M5" s="10">
        <f>SUMIF(A:A,B5,M:M)</f>
        <v>22</v>
      </c>
      <c r="N5" s="10">
        <f>SUMIF(A:A,B5,N:N)</f>
        <v>5</v>
      </c>
      <c r="O5" s="10">
        <f>SUMIF(A:A,B5,O:O)</f>
        <v>4</v>
      </c>
      <c r="P5" s="10">
        <f>SUMIF(A:A,B5,J:J)</f>
        <v>5</v>
      </c>
      <c r="Q5" s="10">
        <f>SUMIF(A:A,B5,K:K)</f>
        <v>2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1616.5</v>
      </c>
      <c r="F7" s="20">
        <f>IFERROR((G5+R5)/F5,0)</f>
        <v>0.6315789474</v>
      </c>
      <c r="G7" s="20">
        <f>IFERROR(H5/G5,0)</f>
        <v>0.6666666667</v>
      </c>
      <c r="H7" s="19">
        <f>(C5/C7)</f>
        <v>346.3928571</v>
      </c>
      <c r="I7" s="21"/>
      <c r="J7" s="20">
        <f>IFERROR(J5/I5,0)</f>
        <v>1</v>
      </c>
      <c r="K7" s="21"/>
      <c r="L7" s="20">
        <f>IFERROR(L5/K5,0)</f>
        <v>0</v>
      </c>
      <c r="M7" s="22">
        <f>IFERROR(M5/SUM(R5+G5,0),"")</f>
        <v>1.833333333</v>
      </c>
      <c r="N7" s="21"/>
      <c r="O7" s="20">
        <f>IFERROR(O5/N5,0)</f>
        <v>0.8</v>
      </c>
      <c r="P7" s="22"/>
      <c r="Q7" s="20">
        <f>IFERROR(Q5/P5,0)</f>
        <v>0.4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9699</v>
      </c>
      <c r="D8" s="36"/>
      <c r="E8" s="37">
        <f>SUMIFS(T:T,B:B,B8,D:D,"Y")</f>
        <v>3489</v>
      </c>
      <c r="F8" s="38">
        <f>SUMIF(B16:B1129,B8,G16:G1129)</f>
        <v>19</v>
      </c>
      <c r="G8" s="39">
        <f>SUMIF(B16:B1129,B8,H16:H1129)</f>
        <v>9</v>
      </c>
      <c r="H8" s="38">
        <f>SUMIF(B16:B1129,B8,I16:I1129)</f>
        <v>6</v>
      </c>
      <c r="I8" s="39">
        <f>SUMIF(B16:B1129,B8,P16:P1129)</f>
        <v>2</v>
      </c>
      <c r="J8" s="39">
        <f>SUMIF(B16:B1129,B8,Q16:Q1129)</f>
        <v>2</v>
      </c>
      <c r="K8" s="39">
        <f>SUMIF(B16:B1129,B8,R16:R1129)</f>
        <v>1</v>
      </c>
      <c r="L8" s="39">
        <f>SUMIF(B16:B1129,B8,S16:S1129)</f>
        <v>0</v>
      </c>
      <c r="M8" s="39">
        <f>SUMIF(B16:B1129,B8,M16:M1129)</f>
        <v>22</v>
      </c>
      <c r="N8" s="39">
        <f>SUMIF(B16:B1129,B8,N16:N1129)</f>
        <v>5</v>
      </c>
      <c r="O8" s="38">
        <f>SUMIF(B16:B1129,B8,O16:O1129)</f>
        <v>4</v>
      </c>
      <c r="P8" s="39">
        <f>SUMIF(B16:B1129,B8,J16:J1129)</f>
        <v>5</v>
      </c>
      <c r="Q8" s="39">
        <f>SUMIF(B16:B1129,B8,K16:K1129)</f>
        <v>2</v>
      </c>
      <c r="R8" s="38">
        <f>SUMIF(B16:B1129,B8,L16:L1129)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1616.5</v>
      </c>
      <c r="F10" s="51">
        <f>IFERROR((G8+R8)/F8,0)</f>
        <v>0.6315789474</v>
      </c>
      <c r="G10" s="51">
        <f>IFERROR(H8/G8,0)</f>
        <v>0.6666666667</v>
      </c>
      <c r="H10" s="50">
        <f>(C8/C10)</f>
        <v>387.96</v>
      </c>
      <c r="I10" s="46"/>
      <c r="J10" s="51">
        <f>IFERROR(J8/I8,0)</f>
        <v>1</v>
      </c>
      <c r="K10" s="46"/>
      <c r="L10" s="51">
        <f>IFERROR(L8/K8,0)</f>
        <v>0</v>
      </c>
      <c r="M10" s="52">
        <f>IFERROR(M8/SUM(G8+R8,0),"")</f>
        <v>1.833333333</v>
      </c>
      <c r="N10" s="46"/>
      <c r="O10" s="51">
        <f>IFERROR(O8/N8,0)</f>
        <v>0.8</v>
      </c>
      <c r="P10" s="53"/>
      <c r="Q10" s="51">
        <f>IFERROR(Q8/P8,0)</f>
        <v>0.4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28" si="2">IFERROR(I17/H17,0)</f>
        <v>0</v>
      </c>
      <c r="V17" s="67">
        <f t="shared" ref="V17:V28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0.0</v>
      </c>
      <c r="H22" s="133">
        <v>0.0</v>
      </c>
      <c r="I22" s="133">
        <v>0.0</v>
      </c>
      <c r="J22" s="133">
        <v>0.0</v>
      </c>
      <c r="K22" s="133">
        <v>0.0</v>
      </c>
      <c r="L22" s="133">
        <v>0.0</v>
      </c>
      <c r="M22" s="133">
        <v>0.0</v>
      </c>
      <c r="N22" s="133">
        <v>0.0</v>
      </c>
      <c r="O22" s="133">
        <v>0.0</v>
      </c>
      <c r="P22" s="133">
        <v>0.0</v>
      </c>
      <c r="Q22" s="133">
        <v>0.0</v>
      </c>
      <c r="R22" s="133">
        <v>0.0</v>
      </c>
      <c r="S22" s="133">
        <v>0.0</v>
      </c>
      <c r="T22" s="133">
        <v>0.0</v>
      </c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0.0</v>
      </c>
      <c r="H23" s="133">
        <v>0.0</v>
      </c>
      <c r="I23" s="133">
        <v>0.0</v>
      </c>
      <c r="J23" s="133">
        <v>0.0</v>
      </c>
      <c r="K23" s="133">
        <v>0.0</v>
      </c>
      <c r="L23" s="133">
        <v>0.0</v>
      </c>
      <c r="M23" s="133">
        <v>0.0</v>
      </c>
      <c r="N23" s="133">
        <v>0.0</v>
      </c>
      <c r="O23" s="133">
        <v>0.0</v>
      </c>
      <c r="P23" s="133">
        <v>0.0</v>
      </c>
      <c r="Q23" s="133">
        <v>0.0</v>
      </c>
      <c r="R23" s="133">
        <v>0.0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4.0</v>
      </c>
      <c r="H24" s="133">
        <v>2.0</v>
      </c>
      <c r="I24" s="133">
        <v>1.0</v>
      </c>
      <c r="J24" s="133">
        <v>1.0</v>
      </c>
      <c r="K24" s="133">
        <v>0.0</v>
      </c>
      <c r="L24" s="133">
        <v>1.0</v>
      </c>
      <c r="M24" s="133">
        <v>11.0</v>
      </c>
      <c r="N24" s="133">
        <v>2.0</v>
      </c>
      <c r="O24" s="133">
        <v>1.0</v>
      </c>
      <c r="P24" s="133">
        <v>0.0</v>
      </c>
      <c r="Q24" s="133">
        <v>0.0</v>
      </c>
      <c r="R24" s="133">
        <v>0.0</v>
      </c>
      <c r="S24" s="133">
        <v>0.0</v>
      </c>
      <c r="T24" s="133">
        <v>1673.0</v>
      </c>
      <c r="U24" s="67">
        <f t="shared" si="2"/>
        <v>0.5</v>
      </c>
      <c r="V24" s="67">
        <f t="shared" si="3"/>
        <v>0.75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6.0</v>
      </c>
      <c r="H27" s="133">
        <v>1.0</v>
      </c>
      <c r="I27" s="133">
        <v>1.0</v>
      </c>
      <c r="J27" s="133">
        <v>1.0</v>
      </c>
      <c r="K27" s="133">
        <v>1.0</v>
      </c>
      <c r="L27" s="133">
        <v>1.0</v>
      </c>
      <c r="M27" s="133">
        <v>5.0</v>
      </c>
      <c r="N27" s="133">
        <v>1.0</v>
      </c>
      <c r="O27" s="133">
        <v>1.0</v>
      </c>
      <c r="P27" s="133">
        <v>0.0</v>
      </c>
      <c r="Q27" s="133">
        <v>0.0</v>
      </c>
      <c r="R27" s="133">
        <v>0.0</v>
      </c>
      <c r="S27" s="133">
        <v>0.0</v>
      </c>
      <c r="T27" s="133">
        <v>2217.0</v>
      </c>
      <c r="U27" s="67">
        <f t="shared" si="2"/>
        <v>1</v>
      </c>
      <c r="V27" s="67">
        <f t="shared" si="3"/>
        <v>0.3333333333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133">
        <v>1.0</v>
      </c>
      <c r="H28" s="133">
        <v>1.0</v>
      </c>
      <c r="I28" s="133">
        <v>0.0</v>
      </c>
      <c r="J28" s="133">
        <v>1.0</v>
      </c>
      <c r="K28" s="133">
        <v>0.0</v>
      </c>
      <c r="L28" s="133">
        <v>0.0</v>
      </c>
      <c r="M28" s="133">
        <v>0.0</v>
      </c>
      <c r="N28" s="133">
        <v>0.0</v>
      </c>
      <c r="O28" s="133">
        <v>0.0</v>
      </c>
      <c r="P28" s="133">
        <v>0.0</v>
      </c>
      <c r="Q28" s="133">
        <v>0.0</v>
      </c>
      <c r="R28" s="133">
        <v>0.0</v>
      </c>
      <c r="S28" s="133">
        <v>0.0</v>
      </c>
      <c r="T28" s="133">
        <v>0.0</v>
      </c>
      <c r="U28" s="67">
        <f t="shared" si="2"/>
        <v>0</v>
      </c>
      <c r="V28" s="67">
        <f t="shared" si="3"/>
        <v>1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133">
        <v>0.0</v>
      </c>
      <c r="H29" s="133">
        <v>0.0</v>
      </c>
      <c r="I29" s="133">
        <v>0.0</v>
      </c>
      <c r="J29" s="133">
        <v>0.0</v>
      </c>
      <c r="K29" s="133">
        <v>0.0</v>
      </c>
      <c r="L29" s="133">
        <v>0.0</v>
      </c>
      <c r="M29" s="133">
        <v>0.0</v>
      </c>
      <c r="N29" s="133">
        <v>0.0</v>
      </c>
      <c r="O29" s="133">
        <v>0.0</v>
      </c>
      <c r="P29" s="133">
        <v>0.0</v>
      </c>
      <c r="Q29" s="133">
        <v>0.0</v>
      </c>
      <c r="R29" s="133">
        <v>0.0</v>
      </c>
      <c r="S29" s="133">
        <v>0.0</v>
      </c>
      <c r="T29" s="133">
        <v>0.0</v>
      </c>
      <c r="U29" s="134">
        <v>0.0</v>
      </c>
      <c r="V29" s="134">
        <v>0.0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133">
        <v>0.0</v>
      </c>
      <c r="H30" s="133">
        <v>0.0</v>
      </c>
      <c r="I30" s="133">
        <v>0.0</v>
      </c>
      <c r="J30" s="133">
        <v>0.0</v>
      </c>
      <c r="K30" s="133">
        <v>0.0</v>
      </c>
      <c r="L30" s="133">
        <v>0.0</v>
      </c>
      <c r="M30" s="133">
        <v>0.0</v>
      </c>
      <c r="N30" s="133">
        <v>0.0</v>
      </c>
      <c r="O30" s="133">
        <v>0.0</v>
      </c>
      <c r="P30" s="133">
        <v>0.0</v>
      </c>
      <c r="Q30" s="133">
        <v>0.0</v>
      </c>
      <c r="R30" s="133">
        <v>0.0</v>
      </c>
      <c r="S30" s="133">
        <v>0.0</v>
      </c>
      <c r="T30" s="133">
        <v>0.0</v>
      </c>
      <c r="U30" s="67">
        <f t="shared" ref="U30:U31" si="4">IFERROR(I30/H30,0)</f>
        <v>0</v>
      </c>
      <c r="V30" s="67">
        <f t="shared" ref="V30:V44" si="5">IFERROR(SUM(H30+L30)/G30,0)</f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133">
        <v>1.0</v>
      </c>
      <c r="H31" s="133">
        <v>0.0</v>
      </c>
      <c r="I31" s="133">
        <v>0.0</v>
      </c>
      <c r="J31" s="133">
        <v>0.0</v>
      </c>
      <c r="K31" s="133">
        <v>0.0</v>
      </c>
      <c r="L31" s="133">
        <v>0.0</v>
      </c>
      <c r="M31" s="133">
        <v>0.0</v>
      </c>
      <c r="N31" s="133">
        <v>0.0</v>
      </c>
      <c r="O31" s="133">
        <v>0.0</v>
      </c>
      <c r="P31" s="133">
        <v>0.0</v>
      </c>
      <c r="Q31" s="133">
        <v>0.0</v>
      </c>
      <c r="R31" s="133">
        <v>0.0</v>
      </c>
      <c r="S31" s="133">
        <v>0.0</v>
      </c>
      <c r="T31" s="133">
        <v>0.0</v>
      </c>
      <c r="U31" s="67">
        <f t="shared" si="4"/>
        <v>0</v>
      </c>
      <c r="V31" s="67">
        <f t="shared" si="5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133">
        <v>0.0</v>
      </c>
      <c r="H32" s="133">
        <v>0.0</v>
      </c>
      <c r="I32" s="133">
        <v>0.0</v>
      </c>
      <c r="J32" s="133">
        <v>0.0</v>
      </c>
      <c r="K32" s="133">
        <v>0.0</v>
      </c>
      <c r="L32" s="133">
        <v>0.0</v>
      </c>
      <c r="M32" s="133">
        <v>0.0</v>
      </c>
      <c r="N32" s="133">
        <v>0.0</v>
      </c>
      <c r="O32" s="133">
        <v>0.0</v>
      </c>
      <c r="P32" s="133">
        <v>0.0</v>
      </c>
      <c r="Q32" s="133">
        <v>0.0</v>
      </c>
      <c r="R32" s="133">
        <v>0.0</v>
      </c>
      <c r="S32" s="133">
        <v>0.0</v>
      </c>
      <c r="T32" s="133">
        <v>0.0</v>
      </c>
      <c r="U32" s="134">
        <v>0.0</v>
      </c>
      <c r="V32" s="67">
        <f t="shared" si="5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133">
        <v>0.0</v>
      </c>
      <c r="H33" s="133">
        <v>0.0</v>
      </c>
      <c r="I33" s="133">
        <v>0.0</v>
      </c>
      <c r="J33" s="133">
        <v>0.0</v>
      </c>
      <c r="K33" s="133">
        <v>0.0</v>
      </c>
      <c r="L33" s="133">
        <v>0.0</v>
      </c>
      <c r="M33" s="133">
        <v>0.0</v>
      </c>
      <c r="N33" s="133">
        <v>0.0</v>
      </c>
      <c r="O33" s="133">
        <v>0.0</v>
      </c>
      <c r="P33" s="133">
        <v>0.0</v>
      </c>
      <c r="Q33" s="133">
        <v>0.0</v>
      </c>
      <c r="R33" s="133">
        <v>0.0</v>
      </c>
      <c r="S33" s="133">
        <v>0.0</v>
      </c>
      <c r="T33" s="133">
        <v>0.0</v>
      </c>
      <c r="U33" s="67">
        <f t="shared" ref="U33:U44" si="6">IFERROR(I33/H33,0)</f>
        <v>0</v>
      </c>
      <c r="V33" s="67">
        <f t="shared" si="5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133">
        <v>0.0</v>
      </c>
      <c r="H34" s="133">
        <v>0.0</v>
      </c>
      <c r="I34" s="133">
        <v>0.0</v>
      </c>
      <c r="J34" s="133">
        <v>0.0</v>
      </c>
      <c r="K34" s="133">
        <v>0.0</v>
      </c>
      <c r="L34" s="133">
        <v>0.0</v>
      </c>
      <c r="M34" s="133">
        <v>0.0</v>
      </c>
      <c r="N34" s="133">
        <v>0.0</v>
      </c>
      <c r="O34" s="133">
        <v>0.0</v>
      </c>
      <c r="P34" s="133">
        <v>0.0</v>
      </c>
      <c r="Q34" s="133">
        <v>0.0</v>
      </c>
      <c r="R34" s="133">
        <v>0.0</v>
      </c>
      <c r="S34" s="133">
        <v>0.0</v>
      </c>
      <c r="T34" s="133">
        <v>0.0</v>
      </c>
      <c r="U34" s="67">
        <f t="shared" si="6"/>
        <v>0</v>
      </c>
      <c r="V34" s="67">
        <f t="shared" si="5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3.0</v>
      </c>
      <c r="H35" s="133">
        <v>2.0</v>
      </c>
      <c r="I35" s="133">
        <v>2.0</v>
      </c>
      <c r="J35" s="133">
        <v>1.0</v>
      </c>
      <c r="K35" s="133">
        <v>1.0</v>
      </c>
      <c r="L35" s="133">
        <v>0.0</v>
      </c>
      <c r="M35" s="133">
        <v>3.0</v>
      </c>
      <c r="N35" s="133">
        <v>0.0</v>
      </c>
      <c r="O35" s="133">
        <v>0.0</v>
      </c>
      <c r="P35" s="133">
        <v>2.0</v>
      </c>
      <c r="Q35" s="133">
        <v>2.0</v>
      </c>
      <c r="R35" s="133">
        <v>0.0</v>
      </c>
      <c r="S35" s="133">
        <v>0.0</v>
      </c>
      <c r="T35" s="133">
        <v>3489.0</v>
      </c>
      <c r="U35" s="67">
        <f t="shared" si="6"/>
        <v>1</v>
      </c>
      <c r="V35" s="67">
        <f t="shared" si="5"/>
        <v>0.6666666667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1.0</v>
      </c>
      <c r="H36" s="133">
        <v>1.0</v>
      </c>
      <c r="I36" s="133">
        <v>0.0</v>
      </c>
      <c r="J36" s="133">
        <v>1.0</v>
      </c>
      <c r="K36" s="133">
        <v>0.0</v>
      </c>
      <c r="L36" s="133">
        <v>1.0</v>
      </c>
      <c r="M36" s="133">
        <v>1.0</v>
      </c>
      <c r="N36" s="133">
        <v>0.0</v>
      </c>
      <c r="O36" s="133">
        <v>0.0</v>
      </c>
      <c r="P36" s="133">
        <v>0.0</v>
      </c>
      <c r="Q36" s="133">
        <v>0.0</v>
      </c>
      <c r="R36" s="133">
        <v>1.0</v>
      </c>
      <c r="S36" s="133">
        <v>0.0</v>
      </c>
      <c r="T36" s="133">
        <v>0.0</v>
      </c>
      <c r="U36" s="67">
        <f t="shared" si="6"/>
        <v>0</v>
      </c>
      <c r="V36" s="67">
        <f t="shared" si="5"/>
        <v>2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3.0</v>
      </c>
      <c r="H37" s="133">
        <v>2.0</v>
      </c>
      <c r="I37" s="133">
        <v>2.0</v>
      </c>
      <c r="J37" s="133">
        <v>0.0</v>
      </c>
      <c r="K37" s="133">
        <v>0.0</v>
      </c>
      <c r="L37" s="133">
        <v>0.0</v>
      </c>
      <c r="M37" s="133">
        <v>2.0</v>
      </c>
      <c r="N37" s="133">
        <v>2.0</v>
      </c>
      <c r="O37" s="133">
        <v>2.0</v>
      </c>
      <c r="P37" s="133">
        <v>0.0</v>
      </c>
      <c r="Q37" s="133">
        <v>0.0</v>
      </c>
      <c r="R37" s="133">
        <v>0.0</v>
      </c>
      <c r="S37" s="133">
        <v>0.0</v>
      </c>
      <c r="T37" s="133">
        <v>2320.0</v>
      </c>
      <c r="U37" s="67">
        <f t="shared" si="6"/>
        <v>1</v>
      </c>
      <c r="V37" s="67">
        <f t="shared" si="5"/>
        <v>0.6666666667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6"/>
        <v>0</v>
      </c>
      <c r="V38" s="67">
        <f t="shared" si="5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6"/>
        <v>0</v>
      </c>
      <c r="V39" s="67">
        <f t="shared" si="5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6"/>
        <v>0</v>
      </c>
      <c r="V40" s="67">
        <f t="shared" si="5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6"/>
        <v>0</v>
      </c>
      <c r="V41" s="67">
        <f t="shared" si="5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6"/>
        <v>0</v>
      </c>
      <c r="V42" s="67">
        <f t="shared" si="5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6"/>
        <v>0</v>
      </c>
      <c r="V43" s="67">
        <f t="shared" si="5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6"/>
        <v>0</v>
      </c>
      <c r="V44" s="67">
        <f t="shared" si="5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16589</v>
      </c>
      <c r="D2" s="9"/>
      <c r="E2" s="8">
        <f t="shared" ref="E2:R2" si="1">SUM(E5)</f>
        <v>6776</v>
      </c>
      <c r="F2" s="8">
        <f t="shared" si="1"/>
        <v>25</v>
      </c>
      <c r="G2" s="10">
        <f t="shared" si="1"/>
        <v>12</v>
      </c>
      <c r="H2" s="10">
        <f t="shared" si="1"/>
        <v>10</v>
      </c>
      <c r="I2" s="10">
        <f t="shared" si="1"/>
        <v>2</v>
      </c>
      <c r="J2" s="10">
        <f t="shared" si="1"/>
        <v>2</v>
      </c>
      <c r="K2" s="10">
        <f t="shared" si="1"/>
        <v>3</v>
      </c>
      <c r="L2" s="10">
        <f t="shared" si="1"/>
        <v>2</v>
      </c>
      <c r="M2" s="10">
        <f t="shared" si="1"/>
        <v>37</v>
      </c>
      <c r="N2" s="10">
        <f t="shared" si="1"/>
        <v>7</v>
      </c>
      <c r="O2" s="10">
        <f t="shared" si="1"/>
        <v>6</v>
      </c>
      <c r="P2" s="10">
        <f t="shared" si="1"/>
        <v>4</v>
      </c>
      <c r="Q2" s="10">
        <f t="shared" si="1"/>
        <v>4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1658.9</v>
      </c>
      <c r="F4" s="20">
        <f>IFERROR((G2+R2)/F2,0)</f>
        <v>0.48</v>
      </c>
      <c r="G4" s="20">
        <f>IFERROR(H2/G2,0)</f>
        <v>0.8333333333</v>
      </c>
      <c r="H4" s="19">
        <f>(C2/C4)</f>
        <v>592.4642857</v>
      </c>
      <c r="I4" s="21"/>
      <c r="J4" s="20">
        <f>IFERROR(J2/I2,0)</f>
        <v>1</v>
      </c>
      <c r="K4" s="21"/>
      <c r="L4" s="20">
        <f>IFERROR(L2/K2,0)</f>
        <v>0.6666666667</v>
      </c>
      <c r="M4" s="22">
        <f>IFERROR(M2/G2,0)</f>
        <v>3.083333333</v>
      </c>
      <c r="N4" s="21"/>
      <c r="O4" s="20">
        <f>IFERROR(O2/N2,0)</f>
        <v>0.8571428571</v>
      </c>
      <c r="P4" s="22"/>
      <c r="Q4" s="20">
        <f>IFERROR(Q2/P2,0)</f>
        <v>1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16589</v>
      </c>
      <c r="D5" s="26"/>
      <c r="E5" s="27">
        <f>SUMIFS(T:T,A:A,B5,D:D,"Y")</f>
        <v>6776</v>
      </c>
      <c r="F5" s="8">
        <f>SUMIF(A:A,B5,G:G)</f>
        <v>25</v>
      </c>
      <c r="G5" s="10">
        <f>SUMIF(A:A,B5,H:H)</f>
        <v>12</v>
      </c>
      <c r="H5" s="10">
        <f>SUMIF(A:A,B5,I:I)</f>
        <v>10</v>
      </c>
      <c r="I5" s="10">
        <f>SUMIF(A:A,B5,P:P)</f>
        <v>2</v>
      </c>
      <c r="J5" s="10">
        <f>SUMIF(A:A,B5,Q:Q)</f>
        <v>2</v>
      </c>
      <c r="K5" s="10">
        <f>SUMIF(A:A,B5,R:R)</f>
        <v>3</v>
      </c>
      <c r="L5" s="10">
        <f>SUMIF(A:A,B5,S:S)</f>
        <v>2</v>
      </c>
      <c r="M5" s="10">
        <f>SUMIF(A:A,B5,M:M)</f>
        <v>37</v>
      </c>
      <c r="N5" s="10">
        <f>SUMIF(A:A,B5,N:N)</f>
        <v>7</v>
      </c>
      <c r="O5" s="10">
        <f>SUMIF(A:A,B5,O:O)</f>
        <v>6</v>
      </c>
      <c r="P5" s="10">
        <f>SUMIF(A:A,B5,J:J)</f>
        <v>4</v>
      </c>
      <c r="Q5" s="10">
        <f>SUMIF(A:A,B5,K:K)</f>
        <v>4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1658.9</v>
      </c>
      <c r="F7" s="20">
        <f>IFERROR((G5+R5)/F5,0)</f>
        <v>0.48</v>
      </c>
      <c r="G7" s="20">
        <f>IFERROR(H5/G5,0)</f>
        <v>0.8333333333</v>
      </c>
      <c r="H7" s="19">
        <f>(C5/C7)</f>
        <v>592.4642857</v>
      </c>
      <c r="I7" s="21"/>
      <c r="J7" s="20">
        <f>IFERROR(J5/I5,0)</f>
        <v>1</v>
      </c>
      <c r="K7" s="21"/>
      <c r="L7" s="20">
        <f>IFERROR(L5/K5,0)</f>
        <v>0.6666666667</v>
      </c>
      <c r="M7" s="22">
        <f>IFERROR(M5/SUM(R5+G5,0),"")</f>
        <v>3.083333333</v>
      </c>
      <c r="N7" s="21"/>
      <c r="O7" s="20">
        <f>IFERROR(O5/N5,0)</f>
        <v>0.8571428571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16589</v>
      </c>
      <c r="D8" s="36"/>
      <c r="E8" s="37">
        <f>SUMIFS(T:T,B:B,B8,D:D,"Y")</f>
        <v>6776</v>
      </c>
      <c r="F8" s="38">
        <f>SUMIF(B16:B1129,B8,G16:G1129)</f>
        <v>25</v>
      </c>
      <c r="G8" s="39">
        <f>SUMIF(B16:B1129,B8,H16:H1129)</f>
        <v>12</v>
      </c>
      <c r="H8" s="38">
        <f>SUMIF(B16:B1129,B8,I16:I1129)</f>
        <v>10</v>
      </c>
      <c r="I8" s="39">
        <f>SUMIF(B16:B1129,B8,P16:P1129)</f>
        <v>2</v>
      </c>
      <c r="J8" s="39">
        <f>SUMIF(B16:B1129,B8,Q16:Q1129)</f>
        <v>2</v>
      </c>
      <c r="K8" s="39">
        <f>SUMIF(B16:B1129,B8,R16:R1129)</f>
        <v>3</v>
      </c>
      <c r="L8" s="39">
        <f>SUMIF(B16:B1129,B8,S16:S1129)</f>
        <v>2</v>
      </c>
      <c r="M8" s="39">
        <f>SUMIF(B16:B1129,B8,M16:M1129)</f>
        <v>37</v>
      </c>
      <c r="N8" s="39">
        <f>SUMIF(B16:B1129,B8,N16:N1129)</f>
        <v>7</v>
      </c>
      <c r="O8" s="38">
        <f>SUMIF(B16:B1129,B8,O16:O1129)</f>
        <v>6</v>
      </c>
      <c r="P8" s="39">
        <f>SUMIF(B16:B1129,B8,J16:J1129)</f>
        <v>4</v>
      </c>
      <c r="Q8" s="39">
        <f>SUMIF(B16:B1129,B8,K16:K1129)</f>
        <v>4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1658.9</v>
      </c>
      <c r="F10" s="51">
        <f>IFERROR((G8+R8)/F8,0)</f>
        <v>0.48</v>
      </c>
      <c r="G10" s="51">
        <f>IFERROR(H8/G8,0)</f>
        <v>0.8333333333</v>
      </c>
      <c r="H10" s="50">
        <f>(C8/C10)</f>
        <v>663.56</v>
      </c>
      <c r="I10" s="46"/>
      <c r="J10" s="51">
        <f>IFERROR(J8/I8,0)</f>
        <v>1</v>
      </c>
      <c r="K10" s="46"/>
      <c r="L10" s="51">
        <f>IFERROR(L8/K8,0)</f>
        <v>0.6666666667</v>
      </c>
      <c r="M10" s="52">
        <f>IFERROR(M8/SUM(G8+R8,0),"")</f>
        <v>3.083333333</v>
      </c>
      <c r="N10" s="46"/>
      <c r="O10" s="51">
        <f>IFERROR(O8/N8,0)</f>
        <v>0.8571428571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133">
        <v>3.0</v>
      </c>
      <c r="H22" s="133">
        <v>2.0</v>
      </c>
      <c r="I22" s="133">
        <v>2.0</v>
      </c>
      <c r="J22" s="133">
        <v>0.0</v>
      </c>
      <c r="K22" s="133">
        <v>0.0</v>
      </c>
      <c r="L22" s="133">
        <v>0.0</v>
      </c>
      <c r="M22" s="133">
        <v>8.0</v>
      </c>
      <c r="N22" s="133">
        <v>0.0</v>
      </c>
      <c r="O22" s="133">
        <v>0.0</v>
      </c>
      <c r="P22" s="133">
        <v>0.0</v>
      </c>
      <c r="Q22" s="133">
        <v>0.0</v>
      </c>
      <c r="R22" s="133">
        <v>2.0</v>
      </c>
      <c r="S22" s="133">
        <v>2.0</v>
      </c>
      <c r="T22" s="133">
        <v>2519.0</v>
      </c>
      <c r="U22" s="67">
        <f t="shared" si="2"/>
        <v>1</v>
      </c>
      <c r="V22" s="67">
        <f t="shared" si="3"/>
        <v>0.6666666667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133">
        <v>2.0</v>
      </c>
      <c r="H23" s="133">
        <v>1.0</v>
      </c>
      <c r="I23" s="133">
        <v>0.0</v>
      </c>
      <c r="J23" s="133">
        <v>0.0</v>
      </c>
      <c r="K23" s="133">
        <v>0.0</v>
      </c>
      <c r="L23" s="133">
        <v>0.0</v>
      </c>
      <c r="M23" s="133">
        <v>4.0</v>
      </c>
      <c r="N23" s="133">
        <v>0.0</v>
      </c>
      <c r="O23" s="133">
        <v>0.0</v>
      </c>
      <c r="P23" s="133">
        <v>0.0</v>
      </c>
      <c r="Q23" s="133">
        <v>0.0</v>
      </c>
      <c r="R23" s="133">
        <v>1.0</v>
      </c>
      <c r="S23" s="133">
        <v>0.0</v>
      </c>
      <c r="T23" s="133">
        <v>0.0</v>
      </c>
      <c r="U23" s="67">
        <f t="shared" si="2"/>
        <v>0</v>
      </c>
      <c r="V23" s="67">
        <f t="shared" si="3"/>
        <v>0.5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133">
        <v>5.0</v>
      </c>
      <c r="H24" s="133">
        <v>2.0</v>
      </c>
      <c r="I24" s="133">
        <v>1.0</v>
      </c>
      <c r="J24" s="133">
        <v>0.0</v>
      </c>
      <c r="K24" s="133">
        <v>0.0</v>
      </c>
      <c r="L24" s="133">
        <v>0.0</v>
      </c>
      <c r="M24" s="133">
        <v>4.0</v>
      </c>
      <c r="N24" s="133">
        <v>2.0</v>
      </c>
      <c r="O24" s="133">
        <v>1.0</v>
      </c>
      <c r="P24" s="133">
        <v>0.0</v>
      </c>
      <c r="Q24" s="133">
        <v>0.0</v>
      </c>
      <c r="R24" s="133">
        <v>0.0</v>
      </c>
      <c r="S24" s="133">
        <v>0.0</v>
      </c>
      <c r="T24" s="133">
        <v>2100.0</v>
      </c>
      <c r="U24" s="67">
        <f t="shared" si="2"/>
        <v>0.5</v>
      </c>
      <c r="V24" s="67">
        <f t="shared" si="3"/>
        <v>0.4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133">
        <v>10.0</v>
      </c>
      <c r="H27" s="133">
        <v>3.0</v>
      </c>
      <c r="I27" s="133">
        <v>3.0</v>
      </c>
      <c r="J27" s="133">
        <v>3.0</v>
      </c>
      <c r="K27" s="133">
        <v>3.0</v>
      </c>
      <c r="L27" s="133">
        <v>0.0</v>
      </c>
      <c r="M27" s="133">
        <v>7.0</v>
      </c>
      <c r="N27" s="133">
        <v>3.0</v>
      </c>
      <c r="O27" s="133">
        <v>3.0</v>
      </c>
      <c r="P27" s="133">
        <v>0.0</v>
      </c>
      <c r="Q27" s="133">
        <v>0.0</v>
      </c>
      <c r="R27" s="133">
        <v>0.0</v>
      </c>
      <c r="S27" s="133">
        <v>0.0</v>
      </c>
      <c r="T27" s="133">
        <v>4582.0</v>
      </c>
      <c r="U27" s="67">
        <f t="shared" si="2"/>
        <v>1</v>
      </c>
      <c r="V27" s="67">
        <f t="shared" si="3"/>
        <v>0.3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3.0</v>
      </c>
      <c r="H35" s="133">
        <v>2.0</v>
      </c>
      <c r="I35" s="133">
        <v>2.0</v>
      </c>
      <c r="J35" s="133">
        <v>1.0</v>
      </c>
      <c r="K35" s="133">
        <v>1.0</v>
      </c>
      <c r="L35" s="133">
        <v>0.0</v>
      </c>
      <c r="M35" s="133">
        <v>9.0</v>
      </c>
      <c r="N35" s="133">
        <v>0.0</v>
      </c>
      <c r="O35" s="133">
        <v>0.0</v>
      </c>
      <c r="P35" s="133">
        <v>2.0</v>
      </c>
      <c r="Q35" s="133">
        <v>2.0</v>
      </c>
      <c r="R35" s="133">
        <v>0.0</v>
      </c>
      <c r="S35" s="133">
        <v>0.0</v>
      </c>
      <c r="T35" s="133">
        <v>4257.0</v>
      </c>
      <c r="U35" s="67">
        <f t="shared" si="2"/>
        <v>1</v>
      </c>
      <c r="V35" s="67">
        <f t="shared" si="3"/>
        <v>0.6666666667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1.0</v>
      </c>
      <c r="H36" s="133">
        <v>1.0</v>
      </c>
      <c r="I36" s="133">
        <v>1.0</v>
      </c>
      <c r="J36" s="133">
        <v>0.0</v>
      </c>
      <c r="K36" s="133">
        <v>0.0</v>
      </c>
      <c r="L36" s="133">
        <v>0.0</v>
      </c>
      <c r="M36" s="133">
        <v>5.0</v>
      </c>
      <c r="N36" s="133">
        <v>1.0</v>
      </c>
      <c r="O36" s="133">
        <v>1.0</v>
      </c>
      <c r="P36" s="133">
        <v>0.0</v>
      </c>
      <c r="Q36" s="133">
        <v>0.0</v>
      </c>
      <c r="R36" s="133">
        <v>0.0</v>
      </c>
      <c r="S36" s="133">
        <v>0.0</v>
      </c>
      <c r="T36" s="133">
        <v>1325.0</v>
      </c>
      <c r="U36" s="67">
        <f t="shared" si="2"/>
        <v>1</v>
      </c>
      <c r="V36" s="67">
        <f t="shared" si="3"/>
        <v>1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0.0</v>
      </c>
      <c r="K37" s="133">
        <v>0.0</v>
      </c>
      <c r="L37" s="133">
        <v>0.0</v>
      </c>
      <c r="M37" s="133">
        <v>0.0</v>
      </c>
      <c r="N37" s="133">
        <v>1.0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1806.0</v>
      </c>
      <c r="U37" s="67">
        <f t="shared" si="2"/>
        <v>1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1806</v>
      </c>
      <c r="D2" s="9"/>
      <c r="E2" s="8">
        <f t="shared" ref="E2:R2" si="1">SUM(E5)</f>
        <v>0</v>
      </c>
      <c r="F2" s="8">
        <f t="shared" si="1"/>
        <v>3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1</v>
      </c>
      <c r="N2" s="10">
        <f t="shared" si="1"/>
        <v>1</v>
      </c>
      <c r="O2" s="10">
        <f t="shared" si="1"/>
        <v>1</v>
      </c>
      <c r="P2" s="10">
        <f t="shared" si="1"/>
        <v>-1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1806</v>
      </c>
      <c r="F4" s="20">
        <f>IFERROR((G2+R2)/F2,0)</f>
        <v>0.6666666667</v>
      </c>
      <c r="G4" s="20">
        <f>IFERROR(H2/G2,0)</f>
        <v>0.5</v>
      </c>
      <c r="H4" s="19">
        <f>(C2/C4)</f>
        <v>64.5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0.5</v>
      </c>
      <c r="N4" s="21"/>
      <c r="O4" s="20">
        <f>IFERROR(O2/N2,0)</f>
        <v>1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1806</v>
      </c>
      <c r="D5" s="26"/>
      <c r="E5" s="27">
        <f>SUMIFS(T:T,A:A,B5,D:D,"Y")</f>
        <v>0</v>
      </c>
      <c r="F5" s="8">
        <f>SUMIF(A:A,B5,G:G)</f>
        <v>3</v>
      </c>
      <c r="G5" s="10">
        <f>SUMIF(A:A,B5,H:H)</f>
        <v>2</v>
      </c>
      <c r="H5" s="10">
        <f>SUMIF(A:A,B5,I:I)</f>
        <v>1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1</v>
      </c>
      <c r="N5" s="10">
        <f>SUMIF(A:A,B5,N:N)</f>
        <v>1</v>
      </c>
      <c r="O5" s="10">
        <f>SUMIF(A:A,B5,O:O)</f>
        <v>1</v>
      </c>
      <c r="P5" s="10">
        <f>SUMIF(A:A,B5,J:J)</f>
        <v>-1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1806</v>
      </c>
      <c r="F7" s="20">
        <f>IFERROR((G5+R5)/F5,0)</f>
        <v>0.6666666667</v>
      </c>
      <c r="G7" s="20">
        <f>IFERROR(H5/G5,0)</f>
        <v>0.5</v>
      </c>
      <c r="H7" s="19">
        <f>(C5/C7)</f>
        <v>64.5</v>
      </c>
      <c r="I7" s="21"/>
      <c r="J7" s="20">
        <f>IFERROR(J5/I5,0)</f>
        <v>0</v>
      </c>
      <c r="K7" s="21"/>
      <c r="L7" s="20">
        <f>IFERROR(L5/K5,0)</f>
        <v>0</v>
      </c>
      <c r="M7" s="22">
        <f>IFERROR(M5/SUM(R5+G5,0),"")</f>
        <v>0.5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1806</v>
      </c>
      <c r="D8" s="36"/>
      <c r="E8" s="37">
        <f>SUMIFS(T:T,B:B,B8,D:D,"Y")</f>
        <v>0</v>
      </c>
      <c r="F8" s="38">
        <f>SUMIF(B16:B1129,B8,G16:G1129)</f>
        <v>3</v>
      </c>
      <c r="G8" s="39">
        <f>SUMIF(B16:B1129,B8,H16:H1129)</f>
        <v>2</v>
      </c>
      <c r="H8" s="38">
        <f>SUMIF(B16:B1129,B8,I16:I1129)</f>
        <v>1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1</v>
      </c>
      <c r="N8" s="39">
        <f>SUMIF(B16:B1129,B8,N16:N1129)</f>
        <v>1</v>
      </c>
      <c r="O8" s="38">
        <f>SUMIF(B16:B1129,B8,O16:O1129)</f>
        <v>1</v>
      </c>
      <c r="P8" s="39">
        <f>SUMIF(B16:B1129,B8,J16:J1129)</f>
        <v>-1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1806</v>
      </c>
      <c r="F10" s="51">
        <f>IFERROR((G8+R8)/F8,0)</f>
        <v>0.6666666667</v>
      </c>
      <c r="G10" s="51">
        <f>IFERROR(H8/G8,0)</f>
        <v>0.5</v>
      </c>
      <c r="H10" s="50">
        <f>(C8/C10)</f>
        <v>72.24</v>
      </c>
      <c r="I10" s="46"/>
      <c r="J10" s="51">
        <f>IFERROR(J8/I8,0)</f>
        <v>0</v>
      </c>
      <c r="K10" s="46"/>
      <c r="L10" s="51">
        <f>IFERROR(L8/K8,0)</f>
        <v>0</v>
      </c>
      <c r="M10" s="52">
        <f>IFERROR(M8/SUM(G8+R8,0),"")</f>
        <v>0.5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133">
        <v>2.0</v>
      </c>
      <c r="H35" s="133">
        <v>1.0</v>
      </c>
      <c r="I35" s="133">
        <v>0.0</v>
      </c>
      <c r="J35" s="133">
        <v>-1.0</v>
      </c>
      <c r="K35" s="133">
        <v>0.0</v>
      </c>
      <c r="L35" s="133">
        <v>0.0</v>
      </c>
      <c r="M35" s="133">
        <v>1.0</v>
      </c>
      <c r="N35" s="133">
        <v>0.0</v>
      </c>
      <c r="O35" s="133">
        <v>0.0</v>
      </c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0.5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133">
        <v>0.0</v>
      </c>
      <c r="H36" s="133">
        <v>0.0</v>
      </c>
      <c r="I36" s="133">
        <v>0.0</v>
      </c>
      <c r="J36" s="133">
        <v>0.0</v>
      </c>
      <c r="K36" s="133">
        <v>0.0</v>
      </c>
      <c r="L36" s="133">
        <v>0.0</v>
      </c>
      <c r="M36" s="133">
        <v>0.0</v>
      </c>
      <c r="N36" s="133">
        <v>0.0</v>
      </c>
      <c r="O36" s="133">
        <v>0.0</v>
      </c>
      <c r="P36" s="133">
        <v>0.0</v>
      </c>
      <c r="Q36" s="133">
        <v>0.0</v>
      </c>
      <c r="R36" s="133">
        <v>0.0</v>
      </c>
      <c r="S36" s="133">
        <v>0.0</v>
      </c>
      <c r="T36" s="133">
        <v>0.0</v>
      </c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133">
        <v>1.0</v>
      </c>
      <c r="H37" s="133">
        <v>1.0</v>
      </c>
      <c r="I37" s="133">
        <v>1.0</v>
      </c>
      <c r="J37" s="133">
        <v>0.0</v>
      </c>
      <c r="K37" s="133">
        <v>0.0</v>
      </c>
      <c r="L37" s="133">
        <v>0.0</v>
      </c>
      <c r="M37" s="133">
        <v>0.0</v>
      </c>
      <c r="N37" s="133">
        <v>1.0</v>
      </c>
      <c r="O37" s="133">
        <v>1.0</v>
      </c>
      <c r="P37" s="133">
        <v>0.0</v>
      </c>
      <c r="Q37" s="133">
        <v>0.0</v>
      </c>
      <c r="R37" s="133">
        <v>0.0</v>
      </c>
      <c r="S37" s="133">
        <v>0.0</v>
      </c>
      <c r="T37" s="133">
        <v>1806.0</v>
      </c>
      <c r="U37" s="67">
        <f t="shared" si="2"/>
        <v>1</v>
      </c>
      <c r="V37" s="67">
        <f t="shared" si="3"/>
        <v>1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133">
        <v>0.0</v>
      </c>
      <c r="H38" s="133">
        <v>0.0</v>
      </c>
      <c r="I38" s="133">
        <v>0.0</v>
      </c>
      <c r="J38" s="133">
        <v>0.0</v>
      </c>
      <c r="K38" s="133">
        <v>0.0</v>
      </c>
      <c r="L38" s="133">
        <v>0.0</v>
      </c>
      <c r="M38" s="133">
        <v>0.0</v>
      </c>
      <c r="N38" s="133">
        <v>0.0</v>
      </c>
      <c r="O38" s="133">
        <v>0.0</v>
      </c>
      <c r="P38" s="133">
        <v>0.0</v>
      </c>
      <c r="Q38" s="133">
        <v>0.0</v>
      </c>
      <c r="R38" s="133">
        <v>0.0</v>
      </c>
      <c r="S38" s="133">
        <v>0.0</v>
      </c>
      <c r="T38" s="133">
        <v>0.0</v>
      </c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133">
        <v>0.0</v>
      </c>
      <c r="H39" s="133">
        <v>0.0</v>
      </c>
      <c r="I39" s="133">
        <v>0.0</v>
      </c>
      <c r="J39" s="133">
        <v>0.0</v>
      </c>
      <c r="K39" s="133">
        <v>0.0</v>
      </c>
      <c r="L39" s="133">
        <v>0.0</v>
      </c>
      <c r="M39" s="133">
        <v>0.0</v>
      </c>
      <c r="N39" s="133">
        <v>0.0</v>
      </c>
      <c r="O39" s="133">
        <v>0.0</v>
      </c>
      <c r="P39" s="133">
        <v>0.0</v>
      </c>
      <c r="Q39" s="133">
        <v>0.0</v>
      </c>
      <c r="R39" s="133">
        <v>0.0</v>
      </c>
      <c r="S39" s="133">
        <v>0.0</v>
      </c>
      <c r="T39" s="133">
        <v>0.0</v>
      </c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133">
        <v>0.0</v>
      </c>
      <c r="H40" s="133">
        <v>0.0</v>
      </c>
      <c r="I40" s="133">
        <v>0.0</v>
      </c>
      <c r="J40" s="133">
        <v>0.0</v>
      </c>
      <c r="K40" s="133">
        <v>0.0</v>
      </c>
      <c r="L40" s="133">
        <v>0.0</v>
      </c>
      <c r="M40" s="133">
        <v>0.0</v>
      </c>
      <c r="N40" s="133">
        <v>0.0</v>
      </c>
      <c r="O40" s="133">
        <v>0.0</v>
      </c>
      <c r="P40" s="133">
        <v>0.0</v>
      </c>
      <c r="Q40" s="133">
        <v>0.0</v>
      </c>
      <c r="R40" s="133">
        <v>0.0</v>
      </c>
      <c r="S40" s="133">
        <v>0.0</v>
      </c>
      <c r="T40" s="133">
        <v>0.0</v>
      </c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133">
        <v>0.0</v>
      </c>
      <c r="H41" s="133">
        <v>0.0</v>
      </c>
      <c r="I41" s="133">
        <v>0.0</v>
      </c>
      <c r="J41" s="133">
        <v>0.0</v>
      </c>
      <c r="K41" s="133">
        <v>0.0</v>
      </c>
      <c r="L41" s="133">
        <v>0.0</v>
      </c>
      <c r="M41" s="133">
        <v>0.0</v>
      </c>
      <c r="N41" s="133">
        <v>0.0</v>
      </c>
      <c r="O41" s="133">
        <v>0.0</v>
      </c>
      <c r="P41" s="133">
        <v>0.0</v>
      </c>
      <c r="Q41" s="133">
        <v>0.0</v>
      </c>
      <c r="R41" s="133">
        <v>0.0</v>
      </c>
      <c r="S41" s="133">
        <v>0.0</v>
      </c>
      <c r="T41" s="133">
        <v>0.0</v>
      </c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133">
        <v>0.0</v>
      </c>
      <c r="H42" s="133">
        <v>0.0</v>
      </c>
      <c r="I42" s="133">
        <v>0.0</v>
      </c>
      <c r="J42" s="133">
        <v>0.0</v>
      </c>
      <c r="K42" s="133">
        <v>0.0</v>
      </c>
      <c r="L42" s="133">
        <v>0.0</v>
      </c>
      <c r="M42" s="133">
        <v>0.0</v>
      </c>
      <c r="N42" s="133">
        <v>0.0</v>
      </c>
      <c r="O42" s="133">
        <v>0.0</v>
      </c>
      <c r="P42" s="133">
        <v>0.0</v>
      </c>
      <c r="Q42" s="133">
        <v>0.0</v>
      </c>
      <c r="R42" s="133">
        <v>0.0</v>
      </c>
      <c r="S42" s="133">
        <v>0.0</v>
      </c>
      <c r="T42" s="133">
        <v>0.0</v>
      </c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SUM(C5)</f>
        <v>0</v>
      </c>
      <c r="D2" s="9"/>
      <c r="E2" s="8">
        <f t="shared" ref="E2:R2" si="1">SUM(E5)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SUM(C7,)</f>
        <v>28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28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SUMIF(B16:B1129,B8,G16:G1129)</f>
        <v>0</v>
      </c>
      <c r="G8" s="39">
        <f>SUMIF(B16:B1129,B8,H16:H1129)</f>
        <v>0</v>
      </c>
      <c r="H8" s="38">
        <f>SUMIF(B16:B1129,B8,I16:I1129)</f>
        <v>0</v>
      </c>
      <c r="I8" s="39">
        <f>SUMIF(B16:B1129,B8,P16:P1129)</f>
        <v>0</v>
      </c>
      <c r="J8" s="39">
        <f>SUMIF(B16:B1129,B8,Q16:Q1129)</f>
        <v>0</v>
      </c>
      <c r="K8" s="39">
        <f>SUMIF(B16:B1129,B8,R16:R1129)</f>
        <v>0</v>
      </c>
      <c r="L8" s="39">
        <f>SUMIF(B16:B1129,B8,S16:S1129)</f>
        <v>0</v>
      </c>
      <c r="M8" s="39">
        <f>SUMIF(B16:B1129,B8,M16:M1129)</f>
        <v>0</v>
      </c>
      <c r="N8" s="39">
        <f>SUMIF(B16:B1129,B8,N16:N1129)</f>
        <v>0</v>
      </c>
      <c r="O8" s="38">
        <f>SUMIF(B16:B1129,B8,O16:O1129)</f>
        <v>0</v>
      </c>
      <c r="P8" s="39">
        <f>SUMIF(B16:B1129,B8,J16:J1129)</f>
        <v>0</v>
      </c>
      <c r="Q8" s="39">
        <f>SUMIF(B16:B1129,B8,K16:K1129)</f>
        <v>0</v>
      </c>
      <c r="R8" s="38">
        <f>SUMIF(B16:B1129,B8,L16:L1129)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COUNTIFS(B16:B1129,B8)</f>
        <v>25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34" t="s">
        <v>28</v>
      </c>
      <c r="C11" s="35">
        <f>SUMIF(B:B,B11,T:T)</f>
        <v>0</v>
      </c>
      <c r="D11" s="36"/>
      <c r="E11" s="37">
        <f>SUMIFS(T:T,B:B,B11,D:D,"Y")</f>
        <v>0</v>
      </c>
      <c r="F11" s="38">
        <f>SUMIF(B45:B1129,B11,G45:G1129)</f>
        <v>0</v>
      </c>
      <c r="G11" s="39">
        <f>SUMIF(B45:B1129,B11,H45:H1129)</f>
        <v>0</v>
      </c>
      <c r="H11" s="38">
        <f>SUMIF(B45:B1129,B11,I45:I1129)</f>
        <v>0</v>
      </c>
      <c r="I11" s="39">
        <f>SUMIF(B45:B1129,B11,P45:P1129)</f>
        <v>0</v>
      </c>
      <c r="J11" s="39">
        <f>SUMIF(B45:B1129,B11,Q45:Q1129)</f>
        <v>0</v>
      </c>
      <c r="K11" s="39">
        <f>SUMIF(B45:B1129,B11,R45:R1129)</f>
        <v>0</v>
      </c>
      <c r="L11" s="39">
        <f>SUMIF(B45:B1129,B11,S45:S1129)</f>
        <v>0</v>
      </c>
      <c r="M11" s="39">
        <f>SUMIF(B45:B1129,B11,M45:M1129)</f>
        <v>0</v>
      </c>
      <c r="N11" s="39">
        <f>SUMIF(B45:B1129,B11,N45:N1129)</f>
        <v>0</v>
      </c>
      <c r="O11" s="38">
        <f>SUMIF(B45:B1129,B11,O45:O1129)</f>
        <v>0</v>
      </c>
      <c r="P11" s="39">
        <f>SUMIF(B45:B1129,B11,J45:J1129)</f>
        <v>0</v>
      </c>
      <c r="Q11" s="39">
        <f>SUMIF(B45:B1129,B11,K45:K1129)</f>
        <v>0</v>
      </c>
      <c r="R11" s="38">
        <f>SUMIF(B45:B1129,B11,L45:L1129)</f>
        <v>0</v>
      </c>
      <c r="S11" s="24"/>
      <c r="T11" s="24"/>
      <c r="U11" s="24"/>
      <c r="V11" s="28"/>
    </row>
    <row r="12" ht="12.75" customHeight="1">
      <c r="A12" s="24"/>
      <c r="B12" s="40"/>
      <c r="C12" s="41" t="s">
        <v>16</v>
      </c>
      <c r="D12" s="42"/>
      <c r="E12" s="43" t="s">
        <v>17</v>
      </c>
      <c r="F12" s="44" t="s">
        <v>18</v>
      </c>
      <c r="G12" s="44" t="s">
        <v>19</v>
      </c>
      <c r="H12" s="45" t="s">
        <v>20</v>
      </c>
      <c r="I12" s="46"/>
      <c r="J12" s="44" t="s">
        <v>21</v>
      </c>
      <c r="K12" s="46"/>
      <c r="L12" s="44" t="s">
        <v>22</v>
      </c>
      <c r="M12" s="47" t="s">
        <v>23</v>
      </c>
      <c r="N12" s="46"/>
      <c r="O12" s="45" t="s">
        <v>24</v>
      </c>
      <c r="P12" s="46"/>
      <c r="Q12" s="44" t="s">
        <v>25</v>
      </c>
      <c r="R12" s="48"/>
      <c r="S12" s="24"/>
      <c r="T12" s="24"/>
      <c r="U12" s="24"/>
      <c r="V12" s="28"/>
    </row>
    <row r="13" ht="12.75" customHeight="1">
      <c r="A13" s="24"/>
      <c r="B13" s="40"/>
      <c r="C13" s="49">
        <f>COUNTIFS(B16:B1129,B11)</f>
        <v>2</v>
      </c>
      <c r="D13" s="42"/>
      <c r="E13" s="50">
        <f>IFERROR(C11/H11,0)</f>
        <v>0</v>
      </c>
      <c r="F13" s="51">
        <f>IFERROR((G11+R11)/F11,0)</f>
        <v>0</v>
      </c>
      <c r="G13" s="51">
        <f>IFERROR(H11/G11,0)</f>
        <v>0</v>
      </c>
      <c r="H13" s="50">
        <f>(C11/C13)</f>
        <v>0</v>
      </c>
      <c r="I13" s="46"/>
      <c r="J13" s="51">
        <f>IFERROR(J11/I11,0)</f>
        <v>0</v>
      </c>
      <c r="K13" s="46"/>
      <c r="L13" s="51">
        <f>IFERROR(L11/K11,0)</f>
        <v>0</v>
      </c>
      <c r="M13" s="52" t="str">
        <f>IFERROR(M11/SUM(G11+R11,0),"")</f>
        <v/>
      </c>
      <c r="N13" s="46"/>
      <c r="O13" s="51">
        <f>IFERROR(O11/N11,0)</f>
        <v>0</v>
      </c>
      <c r="P13" s="53"/>
      <c r="Q13" s="51">
        <f>IFERROR(Q11/P11,0)</f>
        <v>0</v>
      </c>
      <c r="R13" s="46"/>
      <c r="S13" s="24"/>
      <c r="T13" s="24"/>
      <c r="U13" s="24"/>
      <c r="V13" s="28"/>
    </row>
    <row r="14" ht="12.75" customHeight="1">
      <c r="A14" s="54"/>
      <c r="B14" s="54"/>
      <c r="C14" s="54"/>
      <c r="D14" s="55"/>
      <c r="E14" s="54"/>
      <c r="F14" s="54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4"/>
      <c r="V14" s="55"/>
    </row>
    <row r="15" ht="12.75" customHeight="1">
      <c r="A15" s="54"/>
      <c r="B15" s="54"/>
      <c r="C15" s="54"/>
      <c r="D15" s="55"/>
      <c r="E15" s="54"/>
      <c r="F15" s="54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4"/>
      <c r="V15" s="55"/>
    </row>
    <row r="16" ht="12.75" customHeight="1">
      <c r="A16" s="57" t="s">
        <v>29</v>
      </c>
      <c r="B16" s="58" t="s">
        <v>30</v>
      </c>
      <c r="C16" s="58" t="s">
        <v>31</v>
      </c>
      <c r="D16" s="59" t="s">
        <v>32</v>
      </c>
      <c r="E16" s="58" t="s">
        <v>33</v>
      </c>
      <c r="F16" s="58" t="s">
        <v>34</v>
      </c>
      <c r="G16" s="60" t="s">
        <v>35</v>
      </c>
      <c r="H16" s="60" t="s">
        <v>36</v>
      </c>
      <c r="I16" s="60" t="s">
        <v>37</v>
      </c>
      <c r="J16" s="60" t="s">
        <v>12</v>
      </c>
      <c r="K16" s="60" t="s">
        <v>38</v>
      </c>
      <c r="L16" s="60" t="s">
        <v>14</v>
      </c>
      <c r="M16" s="60" t="s">
        <v>9</v>
      </c>
      <c r="N16" s="60" t="s">
        <v>10</v>
      </c>
      <c r="O16" s="60" t="s">
        <v>39</v>
      </c>
      <c r="P16" s="60" t="s">
        <v>5</v>
      </c>
      <c r="Q16" s="60" t="s">
        <v>40</v>
      </c>
      <c r="R16" s="60" t="s">
        <v>41</v>
      </c>
      <c r="S16" s="60" t="s">
        <v>42</v>
      </c>
      <c r="T16" s="60" t="s">
        <v>0</v>
      </c>
      <c r="U16" s="61" t="s">
        <v>43</v>
      </c>
      <c r="V16" s="61" t="s">
        <v>44</v>
      </c>
    </row>
    <row r="17" ht="12.75" customHeight="1">
      <c r="A17" s="62" t="s">
        <v>26</v>
      </c>
      <c r="B17" s="63"/>
      <c r="C17" s="63"/>
      <c r="D17" s="64" t="s">
        <v>45</v>
      </c>
      <c r="E17" s="65" t="s">
        <v>46</v>
      </c>
      <c r="F17" s="65" t="s">
        <v>26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7">
        <f t="shared" ref="U17:U44" si="2">IFERROR(I17/H17,0)</f>
        <v>0</v>
      </c>
      <c r="V17" s="67">
        <f t="shared" ref="V17:V44" si="3">IFERROR(SUM(H17+L17)/G17,0)</f>
        <v>0</v>
      </c>
    </row>
    <row r="18" ht="12.75" customHeight="1">
      <c r="A18" s="7" t="s">
        <v>26</v>
      </c>
      <c r="B18" s="68" t="s">
        <v>27</v>
      </c>
      <c r="C18" s="68"/>
      <c r="D18" s="69" t="s">
        <v>45</v>
      </c>
      <c r="E18" s="70" t="s">
        <v>46</v>
      </c>
      <c r="F18" s="71" t="s">
        <v>27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7">
        <f t="shared" si="2"/>
        <v>0</v>
      </c>
      <c r="V18" s="67">
        <f t="shared" si="3"/>
        <v>0</v>
      </c>
    </row>
    <row r="19" ht="12.75" customHeight="1">
      <c r="A19" s="72" t="s">
        <v>26</v>
      </c>
      <c r="B19" s="73" t="s">
        <v>27</v>
      </c>
      <c r="C19" s="74"/>
      <c r="D19" s="75"/>
      <c r="E19" s="74" t="s">
        <v>46</v>
      </c>
      <c r="F19" s="76" t="s">
        <v>47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7">
        <f t="shared" si="2"/>
        <v>0</v>
      </c>
      <c r="V19" s="67">
        <f t="shared" si="3"/>
        <v>0</v>
      </c>
    </row>
    <row r="20" ht="12.75" customHeight="1">
      <c r="A20" s="77" t="s">
        <v>26</v>
      </c>
      <c r="B20" s="73" t="s">
        <v>27</v>
      </c>
      <c r="C20" s="78"/>
      <c r="D20" s="79"/>
      <c r="E20" s="80" t="s">
        <v>46</v>
      </c>
      <c r="F20" s="78" t="s">
        <v>48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7">
        <f t="shared" si="2"/>
        <v>0</v>
      </c>
      <c r="V20" s="67">
        <f t="shared" si="3"/>
        <v>0</v>
      </c>
    </row>
    <row r="21" ht="12.75" customHeight="1">
      <c r="A21" s="81" t="s">
        <v>26</v>
      </c>
      <c r="B21" s="82" t="s">
        <v>27</v>
      </c>
      <c r="C21" s="82"/>
      <c r="D21" s="83"/>
      <c r="E21" s="73" t="s">
        <v>49</v>
      </c>
      <c r="F21" s="78" t="s">
        <v>50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>
        <f t="shared" si="2"/>
        <v>0</v>
      </c>
      <c r="V21" s="67">
        <f t="shared" si="3"/>
        <v>0</v>
      </c>
    </row>
    <row r="22" ht="12.75" customHeight="1">
      <c r="A22" s="84" t="s">
        <v>26</v>
      </c>
      <c r="B22" s="85" t="s">
        <v>27</v>
      </c>
      <c r="C22" s="86" t="s">
        <v>51</v>
      </c>
      <c r="D22" s="87" t="s">
        <v>45</v>
      </c>
      <c r="E22" s="85" t="s">
        <v>52</v>
      </c>
      <c r="F22" s="86" t="s">
        <v>51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f t="shared" si="2"/>
        <v>0</v>
      </c>
      <c r="V22" s="67">
        <f t="shared" si="3"/>
        <v>0</v>
      </c>
    </row>
    <row r="23" ht="12.75" customHeight="1">
      <c r="A23" s="88" t="s">
        <v>26</v>
      </c>
      <c r="B23" s="89" t="s">
        <v>27</v>
      </c>
      <c r="C23" s="89" t="s">
        <v>51</v>
      </c>
      <c r="D23" s="90"/>
      <c r="E23" s="89" t="s">
        <v>52</v>
      </c>
      <c r="F23" s="91" t="s">
        <v>53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7">
        <f t="shared" si="2"/>
        <v>0</v>
      </c>
      <c r="V23" s="67">
        <f t="shared" si="3"/>
        <v>0</v>
      </c>
    </row>
    <row r="24" ht="12.75" customHeight="1">
      <c r="A24" s="92" t="s">
        <v>26</v>
      </c>
      <c r="B24" s="93" t="s">
        <v>27</v>
      </c>
      <c r="C24" s="93" t="s">
        <v>51</v>
      </c>
      <c r="D24" s="94"/>
      <c r="E24" s="93" t="s">
        <v>30</v>
      </c>
      <c r="F24" s="95" t="s">
        <v>54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7">
        <f t="shared" si="2"/>
        <v>0</v>
      </c>
      <c r="V24" s="67">
        <f t="shared" si="3"/>
        <v>0</v>
      </c>
    </row>
    <row r="25" ht="12.75" customHeight="1">
      <c r="A25" s="92" t="s">
        <v>26</v>
      </c>
      <c r="B25" s="93" t="s">
        <v>27</v>
      </c>
      <c r="C25" s="93" t="s">
        <v>51</v>
      </c>
      <c r="D25" s="94"/>
      <c r="E25" s="93"/>
      <c r="F25" s="91" t="s">
        <v>55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7">
        <f t="shared" si="2"/>
        <v>0</v>
      </c>
      <c r="V25" s="67">
        <f t="shared" si="3"/>
        <v>0</v>
      </c>
    </row>
    <row r="26" ht="12.75" customHeight="1">
      <c r="A26" s="96" t="s">
        <v>26</v>
      </c>
      <c r="B26" s="97" t="s">
        <v>27</v>
      </c>
      <c r="C26" s="98" t="s">
        <v>56</v>
      </c>
      <c r="D26" s="99" t="s">
        <v>45</v>
      </c>
      <c r="E26" s="100" t="s">
        <v>46</v>
      </c>
      <c r="F26" s="98" t="s">
        <v>56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7">
        <f t="shared" si="2"/>
        <v>0</v>
      </c>
      <c r="V26" s="67">
        <f t="shared" si="3"/>
        <v>0</v>
      </c>
    </row>
    <row r="27" ht="12.75" customHeight="1">
      <c r="A27" s="72" t="s">
        <v>26</v>
      </c>
      <c r="B27" s="73" t="s">
        <v>27</v>
      </c>
      <c r="C27" s="101" t="s">
        <v>56</v>
      </c>
      <c r="D27" s="102"/>
      <c r="E27" s="74" t="s">
        <v>46</v>
      </c>
      <c r="F27" s="74" t="s">
        <v>57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7">
        <f t="shared" si="2"/>
        <v>0</v>
      </c>
      <c r="V27" s="67">
        <f t="shared" si="3"/>
        <v>0</v>
      </c>
    </row>
    <row r="28" ht="12.75" customHeight="1">
      <c r="A28" s="84" t="s">
        <v>26</v>
      </c>
      <c r="B28" s="85" t="s">
        <v>27</v>
      </c>
      <c r="C28" s="86" t="s">
        <v>58</v>
      </c>
      <c r="D28" s="103" t="s">
        <v>45</v>
      </c>
      <c r="E28" s="104" t="s">
        <v>46</v>
      </c>
      <c r="F28" s="86" t="s">
        <v>58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7">
        <f t="shared" si="2"/>
        <v>0</v>
      </c>
      <c r="V28" s="67">
        <f t="shared" si="3"/>
        <v>0</v>
      </c>
    </row>
    <row r="29" ht="12.75" customHeight="1">
      <c r="A29" s="88" t="s">
        <v>26</v>
      </c>
      <c r="B29" s="89" t="s">
        <v>27</v>
      </c>
      <c r="C29" s="91" t="s">
        <v>58</v>
      </c>
      <c r="D29" s="105"/>
      <c r="E29" s="89" t="s">
        <v>46</v>
      </c>
      <c r="F29" s="106" t="s">
        <v>59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7">
        <f t="shared" si="2"/>
        <v>0</v>
      </c>
      <c r="V29" s="67">
        <f t="shared" si="3"/>
        <v>0</v>
      </c>
    </row>
    <row r="30" ht="12.75" customHeight="1">
      <c r="A30" s="92" t="s">
        <v>26</v>
      </c>
      <c r="B30" s="93" t="s">
        <v>27</v>
      </c>
      <c r="C30" s="91" t="s">
        <v>58</v>
      </c>
      <c r="D30" s="94"/>
      <c r="E30" s="93" t="s">
        <v>46</v>
      </c>
      <c r="F30" s="91" t="s">
        <v>60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7">
        <f t="shared" si="2"/>
        <v>0</v>
      </c>
      <c r="V30" s="67">
        <f t="shared" si="3"/>
        <v>0</v>
      </c>
    </row>
    <row r="31" ht="12.75" customHeight="1">
      <c r="A31" s="88" t="s">
        <v>26</v>
      </c>
      <c r="B31" s="89" t="s">
        <v>27</v>
      </c>
      <c r="C31" s="91" t="s">
        <v>58</v>
      </c>
      <c r="D31" s="107"/>
      <c r="E31" s="89" t="s">
        <v>61</v>
      </c>
      <c r="F31" s="106" t="s">
        <v>62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7">
        <f t="shared" si="2"/>
        <v>0</v>
      </c>
      <c r="V31" s="67">
        <f t="shared" si="3"/>
        <v>0</v>
      </c>
    </row>
    <row r="32" ht="12.75" customHeight="1">
      <c r="A32" s="88" t="s">
        <v>26</v>
      </c>
      <c r="B32" s="89" t="s">
        <v>27</v>
      </c>
      <c r="C32" s="91" t="s">
        <v>58</v>
      </c>
      <c r="D32" s="107"/>
      <c r="E32" s="89" t="s">
        <v>46</v>
      </c>
      <c r="F32" s="106" t="s">
        <v>63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7">
        <f t="shared" si="2"/>
        <v>0</v>
      </c>
      <c r="V32" s="67">
        <f t="shared" si="3"/>
        <v>0</v>
      </c>
    </row>
    <row r="33" ht="12.75" customHeight="1">
      <c r="A33" s="88" t="s">
        <v>26</v>
      </c>
      <c r="B33" s="89" t="s">
        <v>27</v>
      </c>
      <c r="C33" s="91" t="s">
        <v>58</v>
      </c>
      <c r="D33" s="107"/>
      <c r="E33" s="89" t="s">
        <v>46</v>
      </c>
      <c r="F33" s="106" t="s">
        <v>64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7">
        <f t="shared" si="2"/>
        <v>0</v>
      </c>
      <c r="V33" s="67">
        <f t="shared" si="3"/>
        <v>0</v>
      </c>
    </row>
    <row r="34" ht="12.75" customHeight="1">
      <c r="A34" s="88" t="s">
        <v>26</v>
      </c>
      <c r="B34" s="89" t="s">
        <v>27</v>
      </c>
      <c r="C34" s="91" t="s">
        <v>58</v>
      </c>
      <c r="D34" s="107"/>
      <c r="E34" s="89" t="s">
        <v>65</v>
      </c>
      <c r="F34" s="106" t="s">
        <v>66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7">
        <f t="shared" si="2"/>
        <v>0</v>
      </c>
      <c r="V34" s="67">
        <f t="shared" si="3"/>
        <v>0</v>
      </c>
    </row>
    <row r="35" ht="12.75" customHeight="1">
      <c r="A35" s="108" t="s">
        <v>26</v>
      </c>
      <c r="B35" s="65" t="s">
        <v>27</v>
      </c>
      <c r="C35" s="109" t="s">
        <v>67</v>
      </c>
      <c r="D35" s="110" t="s">
        <v>45</v>
      </c>
      <c r="E35" s="111" t="s">
        <v>46</v>
      </c>
      <c r="F35" s="112" t="s">
        <v>68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7">
        <f t="shared" si="2"/>
        <v>0</v>
      </c>
      <c r="V35" s="67">
        <f t="shared" si="3"/>
        <v>0</v>
      </c>
    </row>
    <row r="36" ht="12.75" customHeight="1">
      <c r="A36" s="72" t="s">
        <v>26</v>
      </c>
      <c r="B36" s="74" t="s">
        <v>27</v>
      </c>
      <c r="C36" s="113" t="s">
        <v>67</v>
      </c>
      <c r="D36" s="114"/>
      <c r="E36" s="74" t="s">
        <v>69</v>
      </c>
      <c r="F36" s="76" t="s">
        <v>70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7">
        <f t="shared" si="2"/>
        <v>0</v>
      </c>
      <c r="V36" s="67">
        <f t="shared" si="3"/>
        <v>0</v>
      </c>
    </row>
    <row r="37" ht="12.75" customHeight="1">
      <c r="A37" s="115" t="s">
        <v>26</v>
      </c>
      <c r="B37" s="74" t="s">
        <v>27</v>
      </c>
      <c r="C37" s="116" t="s">
        <v>67</v>
      </c>
      <c r="D37" s="114"/>
      <c r="E37" s="74" t="s">
        <v>46</v>
      </c>
      <c r="F37" s="76" t="s">
        <v>71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7">
        <f t="shared" si="2"/>
        <v>0</v>
      </c>
      <c r="V37" s="67">
        <f t="shared" si="3"/>
        <v>0</v>
      </c>
    </row>
    <row r="38" ht="12.75" customHeight="1">
      <c r="A38" s="117" t="s">
        <v>26</v>
      </c>
      <c r="B38" s="74" t="s">
        <v>27</v>
      </c>
      <c r="C38" s="116" t="s">
        <v>67</v>
      </c>
      <c r="D38" s="118"/>
      <c r="E38" s="74" t="s">
        <v>72</v>
      </c>
      <c r="F38" s="76" t="s">
        <v>73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7">
        <f t="shared" si="2"/>
        <v>0</v>
      </c>
      <c r="V38" s="67">
        <f t="shared" si="3"/>
        <v>0</v>
      </c>
    </row>
    <row r="39" ht="12.75" customHeight="1">
      <c r="A39" s="117" t="s">
        <v>26</v>
      </c>
      <c r="B39" s="74" t="s">
        <v>27</v>
      </c>
      <c r="C39" s="116" t="s">
        <v>67</v>
      </c>
      <c r="D39" s="118"/>
      <c r="E39" s="74" t="s">
        <v>46</v>
      </c>
      <c r="F39" s="76" t="s">
        <v>74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7">
        <f t="shared" si="2"/>
        <v>0</v>
      </c>
      <c r="V39" s="67">
        <f t="shared" si="3"/>
        <v>0</v>
      </c>
    </row>
    <row r="40" ht="12.75" customHeight="1">
      <c r="A40" s="117" t="s">
        <v>26</v>
      </c>
      <c r="B40" s="74" t="s">
        <v>27</v>
      </c>
      <c r="C40" s="116" t="s">
        <v>67</v>
      </c>
      <c r="D40" s="118"/>
      <c r="E40" s="74" t="s">
        <v>46</v>
      </c>
      <c r="F40" s="76" t="s">
        <v>75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7">
        <f t="shared" si="2"/>
        <v>0</v>
      </c>
      <c r="V40" s="67">
        <f t="shared" si="3"/>
        <v>0</v>
      </c>
    </row>
    <row r="41" ht="12.75" customHeight="1">
      <c r="A41" s="117" t="s">
        <v>26</v>
      </c>
      <c r="B41" s="74" t="s">
        <v>27</v>
      </c>
      <c r="C41" s="116" t="s">
        <v>67</v>
      </c>
      <c r="D41" s="118"/>
      <c r="E41" s="74" t="s">
        <v>76</v>
      </c>
      <c r="F41" s="76" t="s">
        <v>77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7">
        <f t="shared" si="2"/>
        <v>0</v>
      </c>
      <c r="V41" s="67">
        <f t="shared" si="3"/>
        <v>0</v>
      </c>
    </row>
    <row r="42" ht="12.75" customHeight="1">
      <c r="A42" s="117" t="s">
        <v>26</v>
      </c>
      <c r="B42" s="74" t="s">
        <v>27</v>
      </c>
      <c r="C42" s="116" t="s">
        <v>67</v>
      </c>
      <c r="D42" s="118"/>
      <c r="E42" s="74" t="s">
        <v>46</v>
      </c>
      <c r="F42" s="76" t="s">
        <v>78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7">
        <f t="shared" si="2"/>
        <v>0</v>
      </c>
      <c r="V42" s="67">
        <f t="shared" si="3"/>
        <v>0</v>
      </c>
    </row>
    <row r="43" ht="12.75" customHeight="1">
      <c r="A43" s="7" t="s">
        <v>26</v>
      </c>
      <c r="B43" s="119" t="s">
        <v>28</v>
      </c>
      <c r="C43" s="120"/>
      <c r="D43" s="121" t="s">
        <v>45</v>
      </c>
      <c r="E43" s="68" t="s">
        <v>79</v>
      </c>
      <c r="F43" s="68" t="s">
        <v>80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>
        <f t="shared" si="2"/>
        <v>0</v>
      </c>
      <c r="V43" s="67">
        <f t="shared" si="3"/>
        <v>0</v>
      </c>
    </row>
    <row r="44" ht="12.75" customHeight="1">
      <c r="A44" s="62" t="s">
        <v>26</v>
      </c>
      <c r="B44" s="34" t="s">
        <v>28</v>
      </c>
      <c r="C44" s="122"/>
      <c r="D44" s="123" t="s">
        <v>45</v>
      </c>
      <c r="E44" s="65" t="s">
        <v>79</v>
      </c>
      <c r="F44" s="65" t="s">
        <v>81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>
        <f t="shared" si="2"/>
        <v>0</v>
      </c>
      <c r="V44" s="67">
        <f t="shared" si="3"/>
        <v>0</v>
      </c>
    </row>
    <row r="45" ht="12.75" customHeight="1">
      <c r="A45" s="124"/>
      <c r="B45" s="124"/>
      <c r="C45" s="124"/>
      <c r="D45" s="1"/>
      <c r="E45" s="124"/>
      <c r="F45" s="125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7"/>
      <c r="V45" s="127"/>
    </row>
    <row r="46" ht="12.75" customHeight="1">
      <c r="A46" s="124"/>
      <c r="B46" s="124"/>
      <c r="C46" s="124"/>
      <c r="D46" s="1"/>
      <c r="E46" s="124"/>
      <c r="F46" s="125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7"/>
      <c r="V46" s="127"/>
    </row>
    <row r="47" ht="12.75" customHeight="1">
      <c r="A47" s="124"/>
      <c r="B47" s="124"/>
      <c r="C47" s="124"/>
      <c r="D47" s="1"/>
      <c r="E47" s="124"/>
      <c r="F47" s="125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7"/>
      <c r="V47" s="127"/>
    </row>
    <row r="48" ht="12.75" customHeight="1">
      <c r="A48" s="124"/>
      <c r="B48" s="124"/>
      <c r="C48" s="124"/>
      <c r="D48" s="1"/>
      <c r="E48" s="124"/>
      <c r="F48" s="125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7"/>
      <c r="V48" s="127"/>
    </row>
    <row r="49" ht="12.75" customHeight="1">
      <c r="A49" s="124"/>
      <c r="B49" s="124"/>
      <c r="C49" s="124"/>
      <c r="D49" s="1"/>
      <c r="E49" s="124"/>
      <c r="F49" s="125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7"/>
      <c r="V49" s="127"/>
    </row>
    <row r="50" ht="12.75" customHeight="1">
      <c r="A50" s="124"/>
      <c r="B50" s="124"/>
      <c r="C50" s="124"/>
      <c r="D50" s="1"/>
      <c r="E50" s="124"/>
      <c r="F50" s="125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7"/>
      <c r="V50" s="127"/>
    </row>
    <row r="51" ht="12.75" customHeight="1">
      <c r="A51" s="124"/>
      <c r="B51" s="124"/>
      <c r="C51" s="124"/>
      <c r="D51" s="1"/>
      <c r="E51" s="124"/>
      <c r="F51" s="125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7"/>
      <c r="V51" s="127"/>
    </row>
    <row r="52" ht="12.75" customHeight="1">
      <c r="A52" s="124"/>
      <c r="B52" s="124"/>
      <c r="C52" s="124"/>
      <c r="D52" s="1"/>
      <c r="E52" s="124"/>
      <c r="F52" s="125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7"/>
      <c r="V52" s="127"/>
    </row>
    <row r="53" ht="12.75" customHeight="1">
      <c r="A53" s="124"/>
      <c r="B53" s="124"/>
      <c r="C53" s="124"/>
      <c r="D53" s="1"/>
      <c r="E53" s="124"/>
      <c r="F53" s="125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7"/>
      <c r="V53" s="127"/>
    </row>
    <row r="54" ht="12.75" customHeight="1">
      <c r="A54" s="124"/>
      <c r="B54" s="124"/>
      <c r="C54" s="124"/>
      <c r="D54" s="1"/>
      <c r="E54" s="124"/>
      <c r="F54" s="125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7"/>
      <c r="V54" s="127"/>
    </row>
    <row r="55" ht="12.75" customHeight="1">
      <c r="A55" s="124"/>
      <c r="B55" s="124"/>
      <c r="C55" s="124"/>
      <c r="D55" s="1"/>
      <c r="E55" s="124"/>
      <c r="F55" s="125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7"/>
      <c r="V55" s="127"/>
    </row>
    <row r="56" ht="12.75" customHeight="1">
      <c r="A56" s="124"/>
      <c r="B56" s="124"/>
      <c r="C56" s="124"/>
      <c r="D56" s="1"/>
      <c r="E56" s="124"/>
      <c r="F56" s="125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7"/>
      <c r="V56" s="127"/>
    </row>
    <row r="57" ht="12.75" customHeight="1">
      <c r="A57" s="124"/>
      <c r="B57" s="124"/>
      <c r="C57" s="124"/>
      <c r="D57" s="1"/>
      <c r="E57" s="124"/>
      <c r="F57" s="125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7"/>
      <c r="V57" s="127"/>
    </row>
    <row r="58" ht="12.75" customHeight="1">
      <c r="A58" s="124"/>
      <c r="B58" s="124"/>
      <c r="C58" s="124"/>
      <c r="D58" s="1"/>
      <c r="E58" s="124"/>
      <c r="F58" s="125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7"/>
      <c r="V58" s="127"/>
    </row>
    <row r="59" ht="12.75" customHeight="1">
      <c r="A59" s="124"/>
      <c r="B59" s="124"/>
      <c r="C59" s="124"/>
      <c r="D59" s="1"/>
      <c r="E59" s="124"/>
      <c r="F59" s="125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7"/>
      <c r="V59" s="127"/>
    </row>
    <row r="60" ht="12.75" customHeight="1">
      <c r="A60" s="124"/>
      <c r="B60" s="124"/>
      <c r="C60" s="124"/>
      <c r="D60" s="1"/>
      <c r="E60" s="124"/>
      <c r="F60" s="125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7"/>
      <c r="V60" s="127"/>
    </row>
    <row r="61" ht="12.75" customHeight="1">
      <c r="A61" s="124"/>
      <c r="B61" s="124"/>
      <c r="C61" s="124"/>
      <c r="D61" s="1"/>
      <c r="E61" s="124"/>
      <c r="F61" s="125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7"/>
      <c r="V61" s="127"/>
    </row>
    <row r="62" ht="12.75" customHeight="1">
      <c r="A62" s="124"/>
      <c r="B62" s="124"/>
      <c r="C62" s="124"/>
      <c r="D62" s="1"/>
      <c r="E62" s="124"/>
      <c r="F62" s="125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7"/>
      <c r="V62" s="127"/>
    </row>
    <row r="63" ht="12.75" customHeight="1">
      <c r="A63" s="124"/>
      <c r="B63" s="124"/>
      <c r="C63" s="124"/>
      <c r="D63" s="1"/>
      <c r="E63" s="124"/>
      <c r="F63" s="125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7"/>
      <c r="V63" s="127"/>
    </row>
    <row r="64" ht="12.75" customHeight="1">
      <c r="A64" s="124"/>
      <c r="B64" s="124"/>
      <c r="C64" s="124"/>
      <c r="D64" s="1"/>
      <c r="E64" s="124"/>
      <c r="F64" s="125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7"/>
      <c r="V64" s="127"/>
    </row>
    <row r="65" ht="12.75" customHeight="1">
      <c r="A65" s="124"/>
      <c r="B65" s="124"/>
      <c r="C65" s="124"/>
      <c r="D65" s="1"/>
      <c r="E65" s="124"/>
      <c r="F65" s="125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7"/>
      <c r="V65" s="127"/>
    </row>
    <row r="66" ht="12.75" customHeight="1">
      <c r="A66" s="124"/>
      <c r="B66" s="124"/>
      <c r="C66" s="124"/>
      <c r="D66" s="1"/>
      <c r="E66" s="124"/>
      <c r="F66" s="125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7"/>
      <c r="V66" s="127"/>
    </row>
    <row r="67" ht="12.75" customHeight="1">
      <c r="A67" s="124"/>
      <c r="B67" s="124"/>
      <c r="C67" s="124"/>
      <c r="D67" s="1"/>
      <c r="E67" s="124"/>
      <c r="F67" s="125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7"/>
      <c r="V67" s="127"/>
    </row>
    <row r="68" ht="12.75" customHeight="1">
      <c r="A68" s="124"/>
      <c r="B68" s="124"/>
      <c r="C68" s="124"/>
      <c r="D68" s="1"/>
      <c r="E68" s="124"/>
      <c r="F68" s="125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7"/>
      <c r="V68" s="127"/>
    </row>
    <row r="69" ht="12.75" customHeight="1">
      <c r="A69" s="124"/>
      <c r="B69" s="124"/>
      <c r="C69" s="124"/>
      <c r="D69" s="1"/>
      <c r="E69" s="124"/>
      <c r="F69" s="125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7"/>
      <c r="V69" s="127"/>
    </row>
    <row r="70" ht="12.75" customHeight="1">
      <c r="A70" s="124"/>
      <c r="B70" s="124"/>
      <c r="C70" s="124"/>
      <c r="D70" s="1"/>
      <c r="E70" s="124"/>
      <c r="F70" s="125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7"/>
      <c r="V70" s="127"/>
    </row>
    <row r="71" ht="12.75" customHeight="1">
      <c r="A71" s="124"/>
      <c r="B71" s="124"/>
      <c r="C71" s="124"/>
      <c r="D71" s="1"/>
      <c r="E71" s="124"/>
      <c r="F71" s="125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7"/>
      <c r="V71" s="127"/>
    </row>
    <row r="72" ht="12.75" customHeight="1">
      <c r="A72" s="124"/>
      <c r="B72" s="124"/>
      <c r="C72" s="124"/>
      <c r="D72" s="1"/>
      <c r="E72" s="124"/>
      <c r="F72" s="125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7"/>
      <c r="V72" s="127"/>
    </row>
    <row r="73" ht="12.75" customHeight="1">
      <c r="A73" s="124"/>
      <c r="B73" s="124"/>
      <c r="C73" s="124"/>
      <c r="D73" s="1"/>
      <c r="E73" s="124"/>
      <c r="F73" s="125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7"/>
      <c r="V73" s="127"/>
    </row>
    <row r="74" ht="12.75" customHeight="1">
      <c r="A74" s="124"/>
      <c r="B74" s="124"/>
      <c r="C74" s="124"/>
      <c r="D74" s="1"/>
      <c r="E74" s="124"/>
      <c r="F74" s="125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7"/>
      <c r="V74" s="127"/>
    </row>
    <row r="75" ht="12.75" customHeight="1">
      <c r="A75" s="124"/>
      <c r="B75" s="124"/>
      <c r="C75" s="124"/>
      <c r="D75" s="1"/>
      <c r="E75" s="124"/>
      <c r="F75" s="125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7"/>
      <c r="V75" s="127"/>
    </row>
    <row r="76" ht="12.75" customHeight="1">
      <c r="A76" s="124"/>
      <c r="B76" s="124"/>
      <c r="C76" s="124"/>
      <c r="D76" s="1"/>
      <c r="E76" s="124"/>
      <c r="F76" s="125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7"/>
      <c r="V76" s="127"/>
    </row>
    <row r="77" ht="12.75" customHeight="1">
      <c r="A77" s="124"/>
      <c r="B77" s="124"/>
      <c r="C77" s="124"/>
      <c r="D77" s="1"/>
      <c r="E77" s="124"/>
      <c r="F77" s="125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7"/>
      <c r="V77" s="127"/>
    </row>
    <row r="78" ht="12.75" customHeight="1">
      <c r="A78" s="124"/>
      <c r="B78" s="124"/>
      <c r="C78" s="124"/>
      <c r="D78" s="1"/>
      <c r="E78" s="124"/>
      <c r="F78" s="125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7"/>
      <c r="V78" s="127"/>
    </row>
    <row r="79" ht="12.75" customHeight="1">
      <c r="A79" s="124"/>
      <c r="B79" s="124"/>
      <c r="C79" s="124"/>
      <c r="D79" s="1"/>
      <c r="E79" s="124"/>
      <c r="F79" s="125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7"/>
      <c r="V79" s="127"/>
    </row>
    <row r="80" ht="12.75" customHeight="1">
      <c r="A80" s="124"/>
      <c r="B80" s="124"/>
      <c r="C80" s="124"/>
      <c r="D80" s="1"/>
      <c r="E80" s="124"/>
      <c r="F80" s="125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7"/>
      <c r="V80" s="127"/>
    </row>
    <row r="81" ht="12.75" customHeight="1">
      <c r="A81" s="124"/>
      <c r="B81" s="124"/>
      <c r="C81" s="124"/>
      <c r="D81" s="1"/>
      <c r="E81" s="124"/>
      <c r="F81" s="125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7"/>
      <c r="V81" s="127"/>
    </row>
    <row r="82" ht="12.75" customHeight="1">
      <c r="A82" s="124"/>
      <c r="B82" s="124"/>
      <c r="C82" s="124"/>
      <c r="D82" s="1"/>
      <c r="E82" s="124"/>
      <c r="F82" s="125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7"/>
      <c r="V82" s="127"/>
    </row>
    <row r="83" ht="12.75" customHeight="1">
      <c r="A83" s="124"/>
      <c r="B83" s="124"/>
      <c r="C83" s="124"/>
      <c r="D83" s="1"/>
      <c r="E83" s="124"/>
      <c r="F83" s="125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7"/>
      <c r="V83" s="127"/>
    </row>
    <row r="84" ht="12.75" customHeight="1">
      <c r="A84" s="124"/>
      <c r="B84" s="124"/>
      <c r="C84" s="124"/>
      <c r="D84" s="1"/>
      <c r="E84" s="124"/>
      <c r="F84" s="125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7"/>
      <c r="V84" s="127"/>
    </row>
    <row r="85" ht="12.75" customHeight="1">
      <c r="A85" s="124"/>
      <c r="B85" s="124"/>
      <c r="C85" s="124"/>
      <c r="D85" s="1"/>
      <c r="E85" s="124"/>
      <c r="F85" s="125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7"/>
      <c r="V85" s="127"/>
    </row>
    <row r="86" ht="12.75" customHeight="1">
      <c r="A86" s="124"/>
      <c r="B86" s="124"/>
      <c r="C86" s="124"/>
      <c r="D86" s="1"/>
      <c r="E86" s="124"/>
      <c r="F86" s="125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7"/>
      <c r="V86" s="127"/>
    </row>
    <row r="87" ht="12.75" customHeight="1">
      <c r="A87" s="124"/>
      <c r="B87" s="124"/>
      <c r="C87" s="124"/>
      <c r="D87" s="1"/>
      <c r="E87" s="124"/>
      <c r="F87" s="125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7"/>
      <c r="V87" s="127"/>
    </row>
    <row r="88" ht="12.75" customHeight="1">
      <c r="A88" s="124"/>
      <c r="B88" s="124"/>
      <c r="C88" s="124"/>
      <c r="D88" s="1"/>
      <c r="E88" s="124"/>
      <c r="F88" s="125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7"/>
      <c r="V88" s="127"/>
    </row>
    <row r="89" ht="12.75" customHeight="1">
      <c r="A89" s="124"/>
      <c r="B89" s="124"/>
      <c r="C89" s="124"/>
      <c r="D89" s="1"/>
      <c r="E89" s="124"/>
      <c r="F89" s="125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7"/>
      <c r="V89" s="127"/>
    </row>
    <row r="90" ht="12.75" customHeight="1">
      <c r="A90" s="124"/>
      <c r="B90" s="124"/>
      <c r="C90" s="124"/>
      <c r="D90" s="1"/>
      <c r="E90" s="124"/>
      <c r="F90" s="125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7"/>
      <c r="V90" s="127"/>
    </row>
    <row r="91" ht="12.75" customHeight="1">
      <c r="A91" s="124"/>
      <c r="B91" s="124"/>
      <c r="C91" s="124"/>
      <c r="D91" s="1"/>
      <c r="E91" s="124"/>
      <c r="F91" s="125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7"/>
      <c r="V91" s="127"/>
    </row>
    <row r="92" ht="12.75" customHeight="1">
      <c r="A92" s="124"/>
      <c r="B92" s="124"/>
      <c r="C92" s="124"/>
      <c r="D92" s="1"/>
      <c r="E92" s="124"/>
      <c r="F92" s="125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7"/>
      <c r="V92" s="127"/>
    </row>
    <row r="93" ht="12.75" customHeight="1">
      <c r="A93" s="124"/>
      <c r="B93" s="124"/>
      <c r="C93" s="124"/>
      <c r="D93" s="1"/>
      <c r="E93" s="124"/>
      <c r="F93" s="125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7"/>
      <c r="V93" s="127"/>
    </row>
    <row r="94" ht="12.75" customHeight="1">
      <c r="A94" s="124"/>
      <c r="B94" s="124"/>
      <c r="C94" s="124"/>
      <c r="D94" s="1"/>
      <c r="E94" s="124"/>
      <c r="F94" s="125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7"/>
      <c r="V94" s="127"/>
    </row>
    <row r="95" ht="12.75" customHeight="1">
      <c r="A95" s="124"/>
      <c r="B95" s="124"/>
      <c r="C95" s="124"/>
      <c r="D95" s="1"/>
      <c r="E95" s="124"/>
      <c r="F95" s="125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7"/>
      <c r="V95" s="127"/>
    </row>
    <row r="96" ht="12.75" customHeight="1">
      <c r="A96" s="124"/>
      <c r="B96" s="124"/>
      <c r="C96" s="124"/>
      <c r="D96" s="1"/>
      <c r="E96" s="124"/>
      <c r="F96" s="125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7"/>
      <c r="V96" s="127"/>
    </row>
    <row r="97" ht="12.75" customHeight="1">
      <c r="A97" s="124"/>
      <c r="B97" s="124"/>
      <c r="C97" s="124"/>
      <c r="D97" s="1"/>
      <c r="E97" s="124"/>
      <c r="F97" s="125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7"/>
      <c r="V97" s="127"/>
    </row>
    <row r="98" ht="12.75" customHeight="1">
      <c r="A98" s="124"/>
      <c r="B98" s="124"/>
      <c r="C98" s="124"/>
      <c r="D98" s="1"/>
      <c r="E98" s="124"/>
      <c r="F98" s="125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7"/>
      <c r="V98" s="127"/>
    </row>
    <row r="99" ht="12.75" customHeight="1">
      <c r="A99" s="124"/>
      <c r="B99" s="124"/>
      <c r="C99" s="124"/>
      <c r="D99" s="1"/>
      <c r="E99" s="124"/>
      <c r="F99" s="125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7"/>
      <c r="V99" s="127"/>
    </row>
    <row r="100" ht="12.75" customHeight="1">
      <c r="A100" s="124"/>
      <c r="B100" s="124"/>
      <c r="C100" s="124"/>
      <c r="D100" s="1"/>
      <c r="E100" s="124"/>
      <c r="F100" s="125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7"/>
      <c r="V100" s="127"/>
    </row>
    <row r="101" ht="12.75" customHeight="1">
      <c r="A101" s="124"/>
      <c r="B101" s="124"/>
      <c r="C101" s="124"/>
      <c r="D101" s="1"/>
      <c r="E101" s="124"/>
      <c r="F101" s="125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7"/>
      <c r="V101" s="127"/>
    </row>
    <row r="102" ht="12.75" customHeight="1">
      <c r="A102" s="124"/>
      <c r="B102" s="124"/>
      <c r="C102" s="124"/>
      <c r="D102" s="1"/>
      <c r="E102" s="124"/>
      <c r="F102" s="125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7"/>
      <c r="V102" s="127"/>
    </row>
    <row r="103" ht="12.75" customHeight="1">
      <c r="A103" s="124"/>
      <c r="B103" s="124"/>
      <c r="C103" s="124"/>
      <c r="D103" s="1"/>
      <c r="E103" s="124"/>
      <c r="F103" s="125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7"/>
      <c r="V103" s="127"/>
    </row>
    <row r="104" ht="12.75" customHeight="1">
      <c r="A104" s="124"/>
      <c r="B104" s="124"/>
      <c r="C104" s="124"/>
      <c r="D104" s="1"/>
      <c r="E104" s="124"/>
      <c r="F104" s="125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7"/>
      <c r="V104" s="127"/>
    </row>
    <row r="105" ht="12.75" customHeight="1">
      <c r="A105" s="124"/>
      <c r="B105" s="124"/>
      <c r="C105" s="124"/>
      <c r="D105" s="1"/>
      <c r="E105" s="124"/>
      <c r="F105" s="125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7"/>
      <c r="V105" s="127"/>
    </row>
    <row r="106" ht="12.75" customHeight="1">
      <c r="A106" s="124"/>
      <c r="B106" s="124"/>
      <c r="C106" s="124"/>
      <c r="D106" s="1"/>
      <c r="E106" s="124"/>
      <c r="F106" s="125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7"/>
      <c r="V106" s="127"/>
    </row>
    <row r="107" ht="12.75" customHeight="1">
      <c r="A107" s="124"/>
      <c r="B107" s="124"/>
      <c r="C107" s="124"/>
      <c r="D107" s="1"/>
      <c r="E107" s="124"/>
      <c r="F107" s="125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7"/>
      <c r="V107" s="127"/>
    </row>
    <row r="108" ht="12.75" customHeight="1">
      <c r="A108" s="124"/>
      <c r="B108" s="124"/>
      <c r="C108" s="124"/>
      <c r="D108" s="1"/>
      <c r="E108" s="124"/>
      <c r="F108" s="125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7"/>
      <c r="V108" s="127"/>
    </row>
    <row r="109" ht="12.75" customHeight="1">
      <c r="A109" s="124"/>
      <c r="B109" s="124"/>
      <c r="C109" s="124"/>
      <c r="D109" s="1"/>
      <c r="E109" s="124"/>
      <c r="F109" s="125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7"/>
      <c r="V109" s="127"/>
    </row>
    <row r="110" ht="12.75" customHeight="1">
      <c r="A110" s="124"/>
      <c r="B110" s="124"/>
      <c r="C110" s="124"/>
      <c r="D110" s="1"/>
      <c r="E110" s="124"/>
      <c r="F110" s="125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7"/>
      <c r="V110" s="127"/>
    </row>
    <row r="111" ht="12.75" customHeight="1">
      <c r="A111" s="124"/>
      <c r="B111" s="124"/>
      <c r="C111" s="124"/>
      <c r="D111" s="1"/>
      <c r="E111" s="124"/>
      <c r="F111" s="125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7"/>
      <c r="V111" s="127"/>
    </row>
    <row r="112" ht="12.75" customHeight="1">
      <c r="A112" s="124"/>
      <c r="B112" s="124"/>
      <c r="C112" s="124"/>
      <c r="D112" s="1"/>
      <c r="E112" s="124"/>
      <c r="F112" s="125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7"/>
      <c r="V112" s="127"/>
    </row>
    <row r="113" ht="12.75" customHeight="1">
      <c r="A113" s="124"/>
      <c r="B113" s="124"/>
      <c r="C113" s="124"/>
      <c r="D113" s="1"/>
      <c r="E113" s="124"/>
      <c r="F113" s="125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7"/>
      <c r="V113" s="127"/>
    </row>
    <row r="114" ht="12.75" customHeight="1">
      <c r="A114" s="124"/>
      <c r="B114" s="124"/>
      <c r="C114" s="124"/>
      <c r="D114" s="1"/>
      <c r="E114" s="124"/>
      <c r="F114" s="125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7"/>
      <c r="V114" s="127"/>
    </row>
    <row r="115" ht="12.75" customHeight="1">
      <c r="A115" s="124"/>
      <c r="B115" s="124"/>
      <c r="C115" s="124"/>
      <c r="D115" s="1"/>
      <c r="E115" s="124"/>
      <c r="F115" s="125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7"/>
      <c r="V115" s="127"/>
    </row>
    <row r="116" ht="12.75" customHeight="1">
      <c r="A116" s="124"/>
      <c r="B116" s="124"/>
      <c r="C116" s="124"/>
      <c r="D116" s="1"/>
      <c r="E116" s="124"/>
      <c r="F116" s="125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7"/>
      <c r="V116" s="127"/>
    </row>
    <row r="117" ht="12.75" customHeight="1">
      <c r="A117" s="124"/>
      <c r="B117" s="124"/>
      <c r="C117" s="124"/>
      <c r="D117" s="1"/>
      <c r="E117" s="124"/>
      <c r="F117" s="125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7"/>
      <c r="V117" s="127"/>
    </row>
    <row r="118" ht="12.75" customHeight="1">
      <c r="A118" s="124"/>
      <c r="B118" s="124"/>
      <c r="C118" s="124"/>
      <c r="D118" s="1"/>
      <c r="E118" s="124"/>
      <c r="F118" s="125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7"/>
      <c r="V118" s="127"/>
    </row>
    <row r="119" ht="12.75" customHeight="1">
      <c r="A119" s="124"/>
      <c r="B119" s="124"/>
      <c r="C119" s="124"/>
      <c r="D119" s="1"/>
      <c r="E119" s="124"/>
      <c r="F119" s="125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7"/>
      <c r="V119" s="127"/>
    </row>
    <row r="120" ht="12.75" customHeight="1">
      <c r="A120" s="124"/>
      <c r="B120" s="124"/>
      <c r="C120" s="124"/>
      <c r="D120" s="1"/>
      <c r="E120" s="124"/>
      <c r="F120" s="125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7"/>
      <c r="V120" s="127"/>
    </row>
    <row r="121" ht="12.75" customHeight="1">
      <c r="A121" s="124"/>
      <c r="B121" s="124"/>
      <c r="C121" s="124"/>
      <c r="D121" s="1"/>
      <c r="E121" s="124"/>
      <c r="F121" s="125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7"/>
      <c r="V121" s="127"/>
    </row>
    <row r="122" ht="12.75" customHeight="1">
      <c r="A122" s="124"/>
      <c r="B122" s="124"/>
      <c r="C122" s="124"/>
      <c r="D122" s="1"/>
      <c r="E122" s="124"/>
      <c r="F122" s="125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7"/>
      <c r="V122" s="127"/>
    </row>
    <row r="123" ht="12.75" customHeight="1">
      <c r="A123" s="124"/>
      <c r="B123" s="124"/>
      <c r="C123" s="124"/>
      <c r="D123" s="1"/>
      <c r="E123" s="124"/>
      <c r="F123" s="125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7"/>
      <c r="V123" s="127"/>
    </row>
    <row r="124" ht="12.75" customHeight="1">
      <c r="A124" s="124"/>
      <c r="B124" s="124"/>
      <c r="C124" s="124"/>
      <c r="D124" s="1"/>
      <c r="E124" s="124"/>
      <c r="F124" s="125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7"/>
      <c r="V124" s="127"/>
    </row>
    <row r="125" ht="12.75" customHeight="1">
      <c r="A125" s="124"/>
      <c r="B125" s="124"/>
      <c r="C125" s="124"/>
      <c r="D125" s="1"/>
      <c r="E125" s="124"/>
      <c r="F125" s="125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7"/>
      <c r="V125" s="127"/>
    </row>
    <row r="126" ht="12.75" customHeight="1">
      <c r="A126" s="124"/>
      <c r="B126" s="124"/>
      <c r="C126" s="124"/>
      <c r="D126" s="1"/>
      <c r="E126" s="124"/>
      <c r="F126" s="125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7"/>
      <c r="V126" s="127"/>
    </row>
    <row r="127" ht="12.75" customHeight="1">
      <c r="A127" s="124"/>
      <c r="B127" s="124"/>
      <c r="C127" s="124"/>
      <c r="D127" s="1"/>
      <c r="E127" s="124"/>
      <c r="F127" s="125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7"/>
      <c r="V127" s="127"/>
    </row>
    <row r="128" ht="12.75" customHeight="1">
      <c r="A128" s="124"/>
      <c r="B128" s="124"/>
      <c r="C128" s="124"/>
      <c r="D128" s="1"/>
      <c r="E128" s="124"/>
      <c r="F128" s="125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7"/>
      <c r="V128" s="127"/>
    </row>
    <row r="129" ht="12.75" customHeight="1">
      <c r="A129" s="124"/>
      <c r="B129" s="124"/>
      <c r="C129" s="124"/>
      <c r="D129" s="1"/>
      <c r="E129" s="124"/>
      <c r="F129" s="125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7"/>
      <c r="V129" s="127"/>
    </row>
    <row r="130" ht="12.75" customHeight="1">
      <c r="A130" s="124"/>
      <c r="B130" s="124"/>
      <c r="C130" s="124"/>
      <c r="D130" s="1"/>
      <c r="E130" s="124"/>
      <c r="F130" s="125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7"/>
      <c r="V130" s="127"/>
    </row>
    <row r="131" ht="12.75" customHeight="1">
      <c r="A131" s="124"/>
      <c r="B131" s="124"/>
      <c r="C131" s="124"/>
      <c r="D131" s="1"/>
      <c r="E131" s="124"/>
      <c r="F131" s="125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7"/>
      <c r="V131" s="127"/>
    </row>
    <row r="132" ht="12.75" customHeight="1">
      <c r="A132" s="124"/>
      <c r="B132" s="124"/>
      <c r="C132" s="124"/>
      <c r="D132" s="1"/>
      <c r="E132" s="124"/>
      <c r="F132" s="125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7"/>
      <c r="V132" s="127"/>
    </row>
    <row r="133" ht="12.75" customHeight="1">
      <c r="A133" s="124"/>
      <c r="B133" s="124"/>
      <c r="C133" s="124"/>
      <c r="D133" s="1"/>
      <c r="E133" s="124"/>
      <c r="F133" s="125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7"/>
      <c r="V133" s="127"/>
    </row>
    <row r="134" ht="12.75" customHeight="1">
      <c r="A134" s="124"/>
      <c r="B134" s="124"/>
      <c r="C134" s="124"/>
      <c r="D134" s="1"/>
      <c r="E134" s="124"/>
      <c r="F134" s="125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7"/>
      <c r="V134" s="127"/>
    </row>
    <row r="135" ht="12.75" customHeight="1">
      <c r="A135" s="124"/>
      <c r="B135" s="124"/>
      <c r="C135" s="124"/>
      <c r="D135" s="1"/>
      <c r="E135" s="124"/>
      <c r="F135" s="125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7"/>
      <c r="V135" s="127"/>
    </row>
    <row r="136" ht="12.75" customHeight="1">
      <c r="A136" s="124"/>
      <c r="B136" s="124"/>
      <c r="C136" s="124"/>
      <c r="D136" s="1"/>
      <c r="E136" s="124"/>
      <c r="F136" s="125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7"/>
      <c r="V136" s="127"/>
    </row>
    <row r="137" ht="12.75" customHeight="1">
      <c r="A137" s="124"/>
      <c r="B137" s="124"/>
      <c r="C137" s="124"/>
      <c r="D137" s="1"/>
      <c r="E137" s="124"/>
      <c r="F137" s="125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7"/>
      <c r="V137" s="127"/>
    </row>
    <row r="138" ht="12.75" customHeight="1">
      <c r="A138" s="124"/>
      <c r="B138" s="124"/>
      <c r="C138" s="124"/>
      <c r="D138" s="1"/>
      <c r="E138" s="124"/>
      <c r="F138" s="125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7"/>
      <c r="V138" s="127"/>
    </row>
    <row r="139" ht="12.75" customHeight="1">
      <c r="A139" s="124"/>
      <c r="B139" s="124"/>
      <c r="C139" s="124"/>
      <c r="D139" s="1"/>
      <c r="E139" s="124"/>
      <c r="F139" s="125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7"/>
      <c r="V139" s="127"/>
    </row>
    <row r="140" ht="12.75" customHeight="1">
      <c r="A140" s="124"/>
      <c r="B140" s="124"/>
      <c r="C140" s="124"/>
      <c r="D140" s="1"/>
      <c r="E140" s="124"/>
      <c r="F140" s="125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7"/>
      <c r="V140" s="127"/>
    </row>
    <row r="141" ht="12.75" customHeight="1">
      <c r="A141" s="124"/>
      <c r="B141" s="124"/>
      <c r="C141" s="124"/>
      <c r="D141" s="1"/>
      <c r="E141" s="124"/>
      <c r="F141" s="125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7"/>
      <c r="V141" s="127"/>
    </row>
    <row r="142" ht="12.75" customHeight="1">
      <c r="A142" s="124"/>
      <c r="B142" s="124"/>
      <c r="C142" s="124"/>
      <c r="D142" s="1"/>
      <c r="E142" s="124"/>
      <c r="F142" s="125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7"/>
      <c r="V142" s="127"/>
    </row>
    <row r="143" ht="12.75" customHeight="1">
      <c r="A143" s="124"/>
      <c r="B143" s="124"/>
      <c r="C143" s="124"/>
      <c r="D143" s="1"/>
      <c r="E143" s="124"/>
      <c r="F143" s="125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7"/>
      <c r="V143" s="127"/>
    </row>
    <row r="144" ht="12.75" customHeight="1">
      <c r="A144" s="124"/>
      <c r="B144" s="124"/>
      <c r="C144" s="124"/>
      <c r="D144" s="1"/>
      <c r="E144" s="124"/>
      <c r="F144" s="125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7"/>
      <c r="V144" s="127"/>
    </row>
    <row r="145" ht="12.75" customHeight="1">
      <c r="A145" s="124"/>
      <c r="B145" s="124"/>
      <c r="C145" s="124"/>
      <c r="D145" s="1"/>
      <c r="E145" s="124"/>
      <c r="F145" s="125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7"/>
      <c r="V145" s="127"/>
    </row>
    <row r="146" ht="12.75" customHeight="1">
      <c r="A146" s="124"/>
      <c r="B146" s="124"/>
      <c r="C146" s="124"/>
      <c r="D146" s="1"/>
      <c r="E146" s="124"/>
      <c r="F146" s="125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7"/>
      <c r="V146" s="127"/>
    </row>
    <row r="147" ht="12.75" customHeight="1">
      <c r="A147" s="124"/>
      <c r="B147" s="124"/>
      <c r="C147" s="124"/>
      <c r="D147" s="1"/>
      <c r="E147" s="124"/>
      <c r="F147" s="125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7"/>
      <c r="V147" s="127"/>
    </row>
    <row r="148" ht="12.75" customHeight="1">
      <c r="A148" s="124"/>
      <c r="B148" s="124"/>
      <c r="C148" s="124"/>
      <c r="D148" s="1"/>
      <c r="E148" s="124"/>
      <c r="F148" s="125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7"/>
      <c r="V148" s="127"/>
    </row>
    <row r="149" ht="12.75" customHeight="1">
      <c r="A149" s="124"/>
      <c r="B149" s="124"/>
      <c r="C149" s="124"/>
      <c r="D149" s="1"/>
      <c r="E149" s="124"/>
      <c r="F149" s="125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7"/>
      <c r="V149" s="127"/>
    </row>
    <row r="150" ht="12.75" customHeight="1">
      <c r="A150" s="124"/>
      <c r="B150" s="124"/>
      <c r="C150" s="124"/>
      <c r="D150" s="1"/>
      <c r="E150" s="124"/>
      <c r="F150" s="125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7"/>
      <c r="V150" s="127"/>
    </row>
    <row r="151" ht="12.75" customHeight="1">
      <c r="A151" s="124"/>
      <c r="B151" s="124"/>
      <c r="C151" s="124"/>
      <c r="D151" s="1"/>
      <c r="E151" s="124"/>
      <c r="F151" s="125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7"/>
      <c r="V151" s="127"/>
    </row>
    <row r="152" ht="12.75" customHeight="1">
      <c r="A152" s="124"/>
      <c r="B152" s="124"/>
      <c r="C152" s="124"/>
      <c r="D152" s="1"/>
      <c r="E152" s="124"/>
      <c r="F152" s="125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7"/>
      <c r="V152" s="127"/>
    </row>
    <row r="153" ht="12.75" customHeight="1">
      <c r="A153" s="124"/>
      <c r="B153" s="124"/>
      <c r="C153" s="124"/>
      <c r="D153" s="1"/>
      <c r="E153" s="124"/>
      <c r="F153" s="125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7"/>
      <c r="V153" s="127"/>
    </row>
    <row r="154" ht="12.75" customHeight="1">
      <c r="A154" s="124"/>
      <c r="B154" s="124"/>
      <c r="C154" s="124"/>
      <c r="D154" s="1"/>
      <c r="E154" s="124"/>
      <c r="F154" s="125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7"/>
      <c r="V154" s="127"/>
    </row>
    <row r="155" ht="12.75" customHeight="1">
      <c r="A155" s="124"/>
      <c r="B155" s="124"/>
      <c r="C155" s="124"/>
      <c r="D155" s="1"/>
      <c r="E155" s="124"/>
      <c r="F155" s="125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7"/>
      <c r="V155" s="127"/>
    </row>
    <row r="156" ht="12.75" customHeight="1">
      <c r="A156" s="124"/>
      <c r="B156" s="124"/>
      <c r="C156" s="124"/>
      <c r="D156" s="1"/>
      <c r="E156" s="124"/>
      <c r="F156" s="125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7"/>
      <c r="V156" s="127"/>
    </row>
    <row r="157" ht="12.75" customHeight="1">
      <c r="A157" s="124"/>
      <c r="B157" s="124"/>
      <c r="C157" s="124"/>
      <c r="D157" s="1"/>
      <c r="E157" s="124"/>
      <c r="F157" s="125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7"/>
      <c r="V157" s="127"/>
    </row>
    <row r="158" ht="12.75" customHeight="1">
      <c r="A158" s="124"/>
      <c r="B158" s="124"/>
      <c r="C158" s="124"/>
      <c r="D158" s="1"/>
      <c r="E158" s="124"/>
      <c r="F158" s="125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7"/>
      <c r="V158" s="127"/>
    </row>
    <row r="159" ht="12.75" customHeight="1">
      <c r="A159" s="124"/>
      <c r="B159" s="124"/>
      <c r="C159" s="124"/>
      <c r="D159" s="1"/>
      <c r="E159" s="124"/>
      <c r="F159" s="125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7"/>
      <c r="V159" s="127"/>
    </row>
    <row r="160" ht="12.75" customHeight="1">
      <c r="A160" s="124"/>
      <c r="B160" s="124"/>
      <c r="C160" s="124"/>
      <c r="D160" s="1"/>
      <c r="E160" s="124"/>
      <c r="F160" s="125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7"/>
      <c r="V160" s="127"/>
    </row>
    <row r="161" ht="12.75" customHeight="1">
      <c r="A161" s="124"/>
      <c r="B161" s="124"/>
      <c r="C161" s="124"/>
      <c r="D161" s="1"/>
      <c r="E161" s="124"/>
      <c r="F161" s="125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7"/>
      <c r="V161" s="127"/>
    </row>
    <row r="162" ht="12.75" customHeight="1">
      <c r="A162" s="124"/>
      <c r="B162" s="124"/>
      <c r="C162" s="124"/>
      <c r="D162" s="1"/>
      <c r="E162" s="124"/>
      <c r="F162" s="125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7"/>
      <c r="V162" s="127"/>
    </row>
    <row r="163" ht="12.75" customHeight="1">
      <c r="A163" s="124"/>
      <c r="B163" s="124"/>
      <c r="C163" s="124"/>
      <c r="D163" s="1"/>
      <c r="E163" s="124"/>
      <c r="F163" s="125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7"/>
      <c r="V163" s="127"/>
    </row>
    <row r="164" ht="12.75" customHeight="1">
      <c r="A164" s="124"/>
      <c r="B164" s="124"/>
      <c r="C164" s="124"/>
      <c r="D164" s="1"/>
      <c r="E164" s="124"/>
      <c r="F164" s="125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7"/>
      <c r="V164" s="127"/>
    </row>
    <row r="165" ht="12.75" customHeight="1">
      <c r="A165" s="124"/>
      <c r="B165" s="124"/>
      <c r="C165" s="124"/>
      <c r="D165" s="1"/>
      <c r="E165" s="124"/>
      <c r="F165" s="125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7"/>
      <c r="V165" s="127"/>
    </row>
    <row r="166" ht="12.75" customHeight="1">
      <c r="A166" s="124"/>
      <c r="B166" s="124"/>
      <c r="C166" s="124"/>
      <c r="D166" s="1"/>
      <c r="E166" s="124"/>
      <c r="F166" s="125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7"/>
      <c r="V166" s="127"/>
    </row>
    <row r="167" ht="12.75" customHeight="1">
      <c r="A167" s="124"/>
      <c r="B167" s="124"/>
      <c r="C167" s="124"/>
      <c r="D167" s="1"/>
      <c r="E167" s="124"/>
      <c r="F167" s="125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7"/>
      <c r="V167" s="127"/>
    </row>
    <row r="168" ht="12.75" customHeight="1">
      <c r="A168" s="124"/>
      <c r="B168" s="124"/>
      <c r="C168" s="124"/>
      <c r="D168" s="1"/>
      <c r="E168" s="124"/>
      <c r="F168" s="125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7"/>
      <c r="V168" s="127"/>
    </row>
    <row r="169" ht="12.75" customHeight="1">
      <c r="A169" s="124"/>
      <c r="B169" s="124"/>
      <c r="C169" s="124"/>
      <c r="D169" s="1"/>
      <c r="E169" s="124"/>
      <c r="F169" s="125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7"/>
      <c r="V169" s="127"/>
    </row>
    <row r="170" ht="12.75" customHeight="1">
      <c r="A170" s="124"/>
      <c r="B170" s="124"/>
      <c r="C170" s="124"/>
      <c r="D170" s="1"/>
      <c r="E170" s="124"/>
      <c r="F170" s="125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7"/>
      <c r="V170" s="127"/>
    </row>
    <row r="171" ht="12.75" customHeight="1">
      <c r="A171" s="124"/>
      <c r="B171" s="124"/>
      <c r="C171" s="124"/>
      <c r="D171" s="1"/>
      <c r="E171" s="124"/>
      <c r="F171" s="125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7"/>
      <c r="V171" s="127"/>
    </row>
    <row r="172" ht="12.75" customHeight="1">
      <c r="A172" s="124"/>
      <c r="B172" s="124"/>
      <c r="C172" s="124"/>
      <c r="D172" s="1"/>
      <c r="E172" s="124"/>
      <c r="F172" s="125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7"/>
      <c r="V172" s="127"/>
    </row>
    <row r="173" ht="12.75" customHeight="1">
      <c r="A173" s="124"/>
      <c r="B173" s="124"/>
      <c r="C173" s="124"/>
      <c r="D173" s="1"/>
      <c r="E173" s="124"/>
      <c r="F173" s="125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7"/>
      <c r="V173" s="127"/>
    </row>
    <row r="174" ht="12.75" customHeight="1">
      <c r="A174" s="124"/>
      <c r="B174" s="124"/>
      <c r="C174" s="124"/>
      <c r="D174" s="1"/>
      <c r="E174" s="124"/>
      <c r="F174" s="125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7"/>
      <c r="V174" s="127"/>
    </row>
    <row r="175" ht="12.75" customHeight="1">
      <c r="A175" s="124"/>
      <c r="B175" s="124"/>
      <c r="C175" s="124"/>
      <c r="D175" s="1"/>
      <c r="E175" s="124"/>
      <c r="F175" s="125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7"/>
      <c r="V175" s="127"/>
    </row>
    <row r="176" ht="12.75" customHeight="1">
      <c r="A176" s="124"/>
      <c r="B176" s="124"/>
      <c r="C176" s="124"/>
      <c r="D176" s="1"/>
      <c r="E176" s="124"/>
      <c r="F176" s="125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7"/>
      <c r="V176" s="127"/>
    </row>
    <row r="177" ht="12.75" customHeight="1">
      <c r="A177" s="124"/>
      <c r="B177" s="124"/>
      <c r="C177" s="124"/>
      <c r="D177" s="1"/>
      <c r="E177" s="124"/>
      <c r="F177" s="125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7"/>
      <c r="V177" s="127"/>
    </row>
    <row r="178" ht="12.75" customHeight="1">
      <c r="A178" s="124"/>
      <c r="B178" s="124"/>
      <c r="C178" s="124"/>
      <c r="D178" s="1"/>
      <c r="E178" s="124"/>
      <c r="F178" s="125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7"/>
      <c r="V178" s="127"/>
    </row>
    <row r="179" ht="12.75" customHeight="1">
      <c r="A179" s="124"/>
      <c r="B179" s="124"/>
      <c r="C179" s="124"/>
      <c r="D179" s="1"/>
      <c r="E179" s="124"/>
      <c r="F179" s="125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7"/>
      <c r="V179" s="127"/>
    </row>
    <row r="180" ht="12.75" customHeight="1">
      <c r="A180" s="124"/>
      <c r="B180" s="124"/>
      <c r="C180" s="124"/>
      <c r="D180" s="1"/>
      <c r="E180" s="124"/>
      <c r="F180" s="125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7"/>
      <c r="V180" s="127"/>
    </row>
    <row r="181" ht="12.75" customHeight="1">
      <c r="A181" s="124"/>
      <c r="B181" s="124"/>
      <c r="C181" s="124"/>
      <c r="D181" s="1"/>
      <c r="E181" s="124"/>
      <c r="F181" s="125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7"/>
      <c r="V181" s="127"/>
    </row>
    <row r="182" ht="12.75" customHeight="1">
      <c r="A182" s="124"/>
      <c r="B182" s="124"/>
      <c r="C182" s="124"/>
      <c r="D182" s="1"/>
      <c r="E182" s="124"/>
      <c r="F182" s="125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7"/>
      <c r="V182" s="127"/>
    </row>
    <row r="183" ht="12.75" customHeight="1">
      <c r="A183" s="124"/>
      <c r="B183" s="124"/>
      <c r="C183" s="124"/>
      <c r="D183" s="1"/>
      <c r="E183" s="124"/>
      <c r="F183" s="125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7"/>
      <c r="V183" s="127"/>
    </row>
    <row r="184" ht="12.75" customHeight="1">
      <c r="A184" s="124"/>
      <c r="B184" s="124"/>
      <c r="C184" s="124"/>
      <c r="D184" s="1"/>
      <c r="E184" s="124"/>
      <c r="F184" s="125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7"/>
      <c r="V184" s="127"/>
    </row>
    <row r="185" ht="12.75" customHeight="1">
      <c r="A185" s="124"/>
      <c r="B185" s="124"/>
      <c r="C185" s="124"/>
      <c r="D185" s="1"/>
      <c r="E185" s="124"/>
      <c r="F185" s="125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7"/>
      <c r="V185" s="127"/>
    </row>
    <row r="186" ht="12.75" customHeight="1">
      <c r="A186" s="124"/>
      <c r="B186" s="124"/>
      <c r="C186" s="124"/>
      <c r="D186" s="1"/>
      <c r="E186" s="124"/>
      <c r="F186" s="125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7"/>
      <c r="V186" s="127"/>
    </row>
    <row r="187" ht="12.75" customHeight="1">
      <c r="A187" s="124"/>
      <c r="B187" s="124"/>
      <c r="C187" s="124"/>
      <c r="D187" s="1"/>
      <c r="E187" s="124"/>
      <c r="F187" s="125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7"/>
      <c r="V187" s="127"/>
    </row>
    <row r="188" ht="12.75" customHeight="1">
      <c r="A188" s="124"/>
      <c r="B188" s="124"/>
      <c r="C188" s="124"/>
      <c r="D188" s="1"/>
      <c r="E188" s="124"/>
      <c r="F188" s="125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7"/>
      <c r="V188" s="127"/>
    </row>
    <row r="189" ht="12.75" customHeight="1">
      <c r="A189" s="124"/>
      <c r="B189" s="124"/>
      <c r="C189" s="124"/>
      <c r="D189" s="1"/>
      <c r="E189" s="124"/>
      <c r="F189" s="125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7"/>
      <c r="V189" s="127"/>
    </row>
    <row r="190" ht="12.75" customHeight="1">
      <c r="A190" s="124"/>
      <c r="B190" s="124"/>
      <c r="C190" s="124"/>
      <c r="D190" s="1"/>
      <c r="E190" s="124"/>
      <c r="F190" s="125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7"/>
      <c r="V190" s="127"/>
    </row>
    <row r="191" ht="12.75" customHeight="1">
      <c r="A191" s="124"/>
      <c r="B191" s="124"/>
      <c r="C191" s="124"/>
      <c r="D191" s="1"/>
      <c r="E191" s="124"/>
      <c r="F191" s="125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7"/>
      <c r="V191" s="127"/>
    </row>
    <row r="192" ht="12.75" customHeight="1">
      <c r="A192" s="124"/>
      <c r="B192" s="124"/>
      <c r="C192" s="124"/>
      <c r="D192" s="1"/>
      <c r="E192" s="124"/>
      <c r="F192" s="125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7"/>
      <c r="V192" s="127"/>
    </row>
    <row r="193" ht="12.75" customHeight="1">
      <c r="A193" s="124"/>
      <c r="B193" s="124"/>
      <c r="C193" s="124"/>
      <c r="D193" s="1"/>
      <c r="E193" s="124"/>
      <c r="F193" s="125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7"/>
      <c r="V193" s="127"/>
    </row>
    <row r="194" ht="12.75" customHeight="1">
      <c r="A194" s="124"/>
      <c r="B194" s="124"/>
      <c r="C194" s="124"/>
      <c r="D194" s="1"/>
      <c r="E194" s="124"/>
      <c r="F194" s="125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7"/>
      <c r="V194" s="127"/>
    </row>
    <row r="195" ht="12.75" customHeight="1">
      <c r="A195" s="124"/>
      <c r="B195" s="124"/>
      <c r="C195" s="124"/>
      <c r="D195" s="1"/>
      <c r="E195" s="124"/>
      <c r="F195" s="125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7"/>
      <c r="V195" s="127"/>
    </row>
    <row r="196" ht="12.75" customHeight="1">
      <c r="A196" s="124"/>
      <c r="B196" s="124"/>
      <c r="C196" s="124"/>
      <c r="D196" s="1"/>
      <c r="E196" s="124"/>
      <c r="F196" s="125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7"/>
      <c r="V196" s="127"/>
    </row>
    <row r="197" ht="12.75" customHeight="1">
      <c r="A197" s="124"/>
      <c r="B197" s="124"/>
      <c r="C197" s="124"/>
      <c r="D197" s="1"/>
      <c r="E197" s="124"/>
      <c r="F197" s="125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7"/>
      <c r="V197" s="127"/>
    </row>
    <row r="198" ht="12.75" customHeight="1">
      <c r="A198" s="124"/>
      <c r="B198" s="124"/>
      <c r="C198" s="124"/>
      <c r="D198" s="1"/>
      <c r="E198" s="124"/>
      <c r="F198" s="125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7"/>
      <c r="V198" s="127"/>
    </row>
    <row r="199" ht="12.75" customHeight="1">
      <c r="A199" s="124"/>
      <c r="B199" s="124"/>
      <c r="C199" s="124"/>
      <c r="D199" s="1"/>
      <c r="E199" s="124"/>
      <c r="F199" s="125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7"/>
      <c r="V199" s="127"/>
    </row>
    <row r="200" ht="12.75" customHeight="1">
      <c r="A200" s="124"/>
      <c r="B200" s="124"/>
      <c r="C200" s="124"/>
      <c r="D200" s="1"/>
      <c r="E200" s="124"/>
      <c r="F200" s="125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7"/>
      <c r="V200" s="127"/>
    </row>
    <row r="201" ht="12.75" customHeight="1">
      <c r="A201" s="124"/>
      <c r="B201" s="124"/>
      <c r="C201" s="124"/>
      <c r="D201" s="1"/>
      <c r="E201" s="124"/>
      <c r="F201" s="125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7"/>
      <c r="V201" s="127"/>
    </row>
    <row r="202" ht="12.75" customHeight="1">
      <c r="A202" s="124"/>
      <c r="B202" s="124"/>
      <c r="C202" s="124"/>
      <c r="D202" s="1"/>
      <c r="E202" s="124"/>
      <c r="F202" s="125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7"/>
      <c r="V202" s="127"/>
    </row>
    <row r="203" ht="12.75" customHeight="1">
      <c r="A203" s="124"/>
      <c r="B203" s="124"/>
      <c r="C203" s="124"/>
      <c r="D203" s="1"/>
      <c r="E203" s="124"/>
      <c r="F203" s="125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7"/>
      <c r="V203" s="127"/>
    </row>
    <row r="204" ht="12.75" customHeight="1">
      <c r="A204" s="124"/>
      <c r="B204" s="124"/>
      <c r="C204" s="124"/>
      <c r="D204" s="1"/>
      <c r="E204" s="124"/>
      <c r="F204" s="125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7"/>
      <c r="V204" s="127"/>
    </row>
    <row r="205" ht="12.75" customHeight="1">
      <c r="A205" s="124"/>
      <c r="B205" s="124"/>
      <c r="C205" s="124"/>
      <c r="D205" s="1"/>
      <c r="E205" s="124"/>
      <c r="F205" s="125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7"/>
      <c r="V205" s="127"/>
    </row>
    <row r="206" ht="12.75" customHeight="1">
      <c r="A206" s="124"/>
      <c r="B206" s="124"/>
      <c r="C206" s="124"/>
      <c r="D206" s="1"/>
      <c r="E206" s="124"/>
      <c r="F206" s="125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7"/>
      <c r="V206" s="127"/>
    </row>
    <row r="207" ht="12.75" customHeight="1">
      <c r="A207" s="124"/>
      <c r="B207" s="124"/>
      <c r="C207" s="124"/>
      <c r="D207" s="1"/>
      <c r="E207" s="124"/>
      <c r="F207" s="125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7"/>
      <c r="V207" s="127"/>
    </row>
    <row r="208" ht="12.75" customHeight="1">
      <c r="A208" s="124"/>
      <c r="B208" s="124"/>
      <c r="C208" s="124"/>
      <c r="D208" s="1"/>
      <c r="E208" s="124"/>
      <c r="F208" s="125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7"/>
      <c r="V208" s="127"/>
    </row>
    <row r="209" ht="12.75" customHeight="1">
      <c r="A209" s="124"/>
      <c r="B209" s="124"/>
      <c r="C209" s="124"/>
      <c r="D209" s="1"/>
      <c r="E209" s="124"/>
      <c r="F209" s="125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7"/>
      <c r="V209" s="127"/>
    </row>
    <row r="210" ht="12.75" customHeight="1">
      <c r="A210" s="124"/>
      <c r="B210" s="124"/>
      <c r="C210" s="124"/>
      <c r="D210" s="1"/>
      <c r="E210" s="124"/>
      <c r="F210" s="125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7"/>
      <c r="V210" s="127"/>
    </row>
    <row r="211" ht="12.75" customHeight="1">
      <c r="A211" s="124"/>
      <c r="B211" s="124"/>
      <c r="C211" s="124"/>
      <c r="D211" s="1"/>
      <c r="E211" s="124"/>
      <c r="F211" s="125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7"/>
      <c r="V211" s="127"/>
    </row>
    <row r="212" ht="12.75" customHeight="1">
      <c r="A212" s="124"/>
      <c r="B212" s="124"/>
      <c r="C212" s="124"/>
      <c r="D212" s="1"/>
      <c r="E212" s="124"/>
      <c r="F212" s="125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7"/>
      <c r="V212" s="127"/>
    </row>
    <row r="213" ht="12.75" customHeight="1">
      <c r="A213" s="124"/>
      <c r="B213" s="124"/>
      <c r="C213" s="124"/>
      <c r="D213" s="1"/>
      <c r="E213" s="124"/>
      <c r="F213" s="125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7"/>
      <c r="V213" s="127"/>
    </row>
    <row r="214" ht="12.75" customHeight="1">
      <c r="A214" s="124"/>
      <c r="B214" s="124"/>
      <c r="C214" s="124"/>
      <c r="D214" s="1"/>
      <c r="E214" s="124"/>
      <c r="F214" s="125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7"/>
      <c r="V214" s="127"/>
    </row>
    <row r="215" ht="12.75" customHeight="1">
      <c r="A215" s="124"/>
      <c r="B215" s="124"/>
      <c r="C215" s="124"/>
      <c r="D215" s="1"/>
      <c r="E215" s="124"/>
      <c r="F215" s="125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7"/>
      <c r="V215" s="127"/>
    </row>
    <row r="216" ht="12.75" customHeight="1">
      <c r="A216" s="124"/>
      <c r="B216" s="124"/>
      <c r="C216" s="124"/>
      <c r="D216" s="1"/>
      <c r="E216" s="124"/>
      <c r="F216" s="125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7"/>
      <c r="V216" s="127"/>
    </row>
    <row r="217" ht="12.75" customHeight="1">
      <c r="A217" s="124"/>
      <c r="B217" s="124"/>
      <c r="C217" s="124"/>
      <c r="D217" s="1"/>
      <c r="E217" s="124"/>
      <c r="F217" s="125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7"/>
      <c r="V217" s="127"/>
    </row>
    <row r="218" ht="12.75" customHeight="1">
      <c r="A218" s="124"/>
      <c r="B218" s="124"/>
      <c r="C218" s="124"/>
      <c r="D218" s="1"/>
      <c r="E218" s="124"/>
      <c r="F218" s="125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7"/>
      <c r="V218" s="127"/>
    </row>
    <row r="219" ht="12.75" customHeight="1">
      <c r="A219" s="124"/>
      <c r="B219" s="124"/>
      <c r="C219" s="124"/>
      <c r="D219" s="1"/>
      <c r="E219" s="124"/>
      <c r="F219" s="125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7"/>
      <c r="V219" s="127"/>
    </row>
    <row r="220" ht="12.75" customHeight="1">
      <c r="A220" s="124"/>
      <c r="B220" s="124"/>
      <c r="C220" s="124"/>
      <c r="D220" s="1"/>
      <c r="E220" s="124"/>
      <c r="F220" s="125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7"/>
      <c r="V220" s="127"/>
    </row>
    <row r="221" ht="12.75" customHeight="1">
      <c r="A221" s="124"/>
      <c r="B221" s="124"/>
      <c r="C221" s="124"/>
      <c r="D221" s="1"/>
      <c r="E221" s="124"/>
      <c r="F221" s="125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7"/>
      <c r="V221" s="127"/>
    </row>
    <row r="222" ht="12.75" customHeight="1">
      <c r="A222" s="124"/>
      <c r="B222" s="124"/>
      <c r="C222" s="124"/>
      <c r="D222" s="1"/>
      <c r="E222" s="124"/>
      <c r="F222" s="125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7"/>
      <c r="V222" s="127"/>
    </row>
    <row r="223" ht="12.75" customHeight="1">
      <c r="A223" s="124"/>
      <c r="B223" s="124"/>
      <c r="C223" s="124"/>
      <c r="D223" s="1"/>
      <c r="E223" s="124"/>
      <c r="F223" s="125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7"/>
      <c r="V223" s="127"/>
    </row>
    <row r="224" ht="12.75" customHeight="1">
      <c r="A224" s="124"/>
      <c r="B224" s="124"/>
      <c r="C224" s="124"/>
      <c r="D224" s="1"/>
      <c r="E224" s="124"/>
      <c r="F224" s="125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7"/>
      <c r="V224" s="127"/>
    </row>
    <row r="225" ht="12.75" customHeight="1">
      <c r="A225" s="124"/>
      <c r="B225" s="124"/>
      <c r="C225" s="124"/>
      <c r="D225" s="1"/>
      <c r="E225" s="124"/>
      <c r="F225" s="125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7"/>
      <c r="V225" s="127"/>
    </row>
    <row r="226" ht="12.75" customHeight="1">
      <c r="A226" s="124"/>
      <c r="B226" s="124"/>
      <c r="C226" s="124"/>
      <c r="D226" s="1"/>
      <c r="E226" s="124"/>
      <c r="F226" s="125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7"/>
      <c r="V226" s="127"/>
    </row>
    <row r="227" ht="12.75" customHeight="1">
      <c r="A227" s="124"/>
      <c r="B227" s="124"/>
      <c r="C227" s="124"/>
      <c r="D227" s="1"/>
      <c r="E227" s="124"/>
      <c r="F227" s="125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7"/>
      <c r="V227" s="127"/>
    </row>
    <row r="228" ht="12.75" customHeight="1">
      <c r="A228" s="124"/>
      <c r="B228" s="124"/>
      <c r="C228" s="124"/>
      <c r="D228" s="1"/>
      <c r="E228" s="124"/>
      <c r="F228" s="125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7"/>
      <c r="V228" s="127"/>
    </row>
    <row r="229" ht="12.75" customHeight="1">
      <c r="A229" s="124"/>
      <c r="B229" s="124"/>
      <c r="C229" s="124"/>
      <c r="D229" s="1"/>
      <c r="E229" s="124"/>
      <c r="F229" s="125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7"/>
      <c r="V229" s="127"/>
    </row>
    <row r="230" ht="12.75" customHeight="1">
      <c r="A230" s="124"/>
      <c r="B230" s="124"/>
      <c r="C230" s="124"/>
      <c r="D230" s="1"/>
      <c r="E230" s="124"/>
      <c r="F230" s="125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7"/>
      <c r="V230" s="127"/>
    </row>
    <row r="231" ht="12.75" customHeight="1">
      <c r="A231" s="124"/>
      <c r="B231" s="124"/>
      <c r="C231" s="124"/>
      <c r="D231" s="1"/>
      <c r="E231" s="124"/>
      <c r="F231" s="125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7"/>
      <c r="V231" s="127"/>
    </row>
    <row r="232" ht="12.75" customHeight="1">
      <c r="A232" s="124"/>
      <c r="B232" s="124"/>
      <c r="C232" s="124"/>
      <c r="D232" s="1"/>
      <c r="E232" s="124"/>
      <c r="F232" s="125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7"/>
      <c r="V232" s="127"/>
    </row>
    <row r="233" ht="12.75" customHeight="1">
      <c r="A233" s="124"/>
      <c r="B233" s="124"/>
      <c r="C233" s="124"/>
      <c r="D233" s="1"/>
      <c r="E233" s="124"/>
      <c r="F233" s="125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7"/>
      <c r="V233" s="127"/>
    </row>
    <row r="234" ht="12.75" customHeight="1">
      <c r="A234" s="124"/>
      <c r="B234" s="124"/>
      <c r="C234" s="124"/>
      <c r="D234" s="1"/>
      <c r="E234" s="124"/>
      <c r="F234" s="125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7"/>
      <c r="V234" s="127"/>
    </row>
    <row r="235" ht="12.75" customHeight="1">
      <c r="A235" s="124"/>
      <c r="B235" s="124"/>
      <c r="C235" s="124"/>
      <c r="D235" s="1"/>
      <c r="E235" s="124"/>
      <c r="F235" s="125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7"/>
      <c r="V235" s="127"/>
    </row>
    <row r="236" ht="12.75" customHeight="1">
      <c r="A236" s="124"/>
      <c r="B236" s="124"/>
      <c r="C236" s="124"/>
      <c r="D236" s="1"/>
      <c r="E236" s="124"/>
      <c r="F236" s="125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7"/>
      <c r="V236" s="127"/>
    </row>
    <row r="237" ht="12.75" customHeight="1">
      <c r="A237" s="124"/>
      <c r="B237" s="124"/>
      <c r="C237" s="124"/>
      <c r="D237" s="1"/>
      <c r="E237" s="124"/>
      <c r="F237" s="125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7"/>
      <c r="V237" s="127"/>
    </row>
    <row r="238" ht="12.75" customHeight="1">
      <c r="A238" s="124"/>
      <c r="B238" s="124"/>
      <c r="C238" s="124"/>
      <c r="D238" s="1"/>
      <c r="E238" s="124"/>
      <c r="F238" s="125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7"/>
      <c r="V238" s="127"/>
    </row>
    <row r="239" ht="12.75" customHeight="1">
      <c r="A239" s="124"/>
      <c r="B239" s="124"/>
      <c r="C239" s="124"/>
      <c r="D239" s="1"/>
      <c r="E239" s="124"/>
      <c r="F239" s="125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7"/>
      <c r="V239" s="127"/>
    </row>
    <row r="240" ht="12.75" customHeight="1">
      <c r="A240" s="124"/>
      <c r="B240" s="124"/>
      <c r="C240" s="124"/>
      <c r="D240" s="1"/>
      <c r="E240" s="124"/>
      <c r="F240" s="125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7"/>
      <c r="V240" s="127"/>
    </row>
    <row r="241" ht="12.75" customHeight="1">
      <c r="A241" s="124"/>
      <c r="B241" s="124"/>
      <c r="C241" s="124"/>
      <c r="D241" s="1"/>
      <c r="E241" s="124"/>
      <c r="F241" s="125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7"/>
      <c r="V241" s="127"/>
    </row>
    <row r="242" ht="12.75" customHeight="1">
      <c r="A242" s="124"/>
      <c r="B242" s="124"/>
      <c r="C242" s="124"/>
      <c r="D242" s="1"/>
      <c r="E242" s="124"/>
      <c r="F242" s="125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7"/>
      <c r="V242" s="127"/>
    </row>
    <row r="243" ht="12.75" customHeight="1">
      <c r="A243" s="124"/>
      <c r="B243" s="124"/>
      <c r="C243" s="124"/>
      <c r="D243" s="1"/>
      <c r="E243" s="124"/>
      <c r="F243" s="125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7"/>
      <c r="V243" s="127"/>
    </row>
    <row r="244" ht="12.75" customHeight="1">
      <c r="A244" s="124"/>
      <c r="B244" s="124"/>
      <c r="C244" s="124"/>
      <c r="D244" s="1"/>
      <c r="E244" s="124"/>
      <c r="F244" s="125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7"/>
      <c r="V244" s="127"/>
    </row>
    <row r="245" ht="12.75" customHeight="1">
      <c r="A245" s="124"/>
      <c r="B245" s="124"/>
      <c r="C245" s="124"/>
      <c r="D245" s="1"/>
      <c r="E245" s="124"/>
      <c r="F245" s="125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7"/>
      <c r="V245" s="127"/>
    </row>
    <row r="246" ht="12.75" customHeight="1">
      <c r="A246" s="124"/>
      <c r="B246" s="124"/>
      <c r="C246" s="124"/>
      <c r="D246" s="1"/>
      <c r="E246" s="124"/>
      <c r="F246" s="125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7"/>
      <c r="V246" s="127"/>
    </row>
    <row r="247" ht="12.75" customHeight="1">
      <c r="A247" s="124"/>
      <c r="B247" s="124"/>
      <c r="C247" s="124"/>
      <c r="D247" s="1"/>
      <c r="E247" s="124"/>
      <c r="F247" s="125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7"/>
      <c r="V247" s="127"/>
    </row>
    <row r="248" ht="12.75" customHeight="1">
      <c r="A248" s="124"/>
      <c r="B248" s="124"/>
      <c r="C248" s="124"/>
      <c r="D248" s="1"/>
      <c r="E248" s="124"/>
      <c r="F248" s="125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7"/>
      <c r="V248" s="127"/>
    </row>
    <row r="249" ht="12.75" customHeight="1">
      <c r="A249" s="124"/>
      <c r="B249" s="124"/>
      <c r="C249" s="124"/>
      <c r="D249" s="1"/>
      <c r="E249" s="124"/>
      <c r="F249" s="125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7"/>
      <c r="V249" s="127"/>
    </row>
    <row r="250" ht="12.75" customHeight="1">
      <c r="A250" s="124"/>
      <c r="B250" s="124"/>
      <c r="C250" s="124"/>
      <c r="D250" s="1"/>
      <c r="E250" s="124"/>
      <c r="F250" s="125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7"/>
      <c r="V250" s="127"/>
    </row>
    <row r="251" ht="12.75" customHeight="1">
      <c r="A251" s="124"/>
      <c r="B251" s="124"/>
      <c r="C251" s="124"/>
      <c r="D251" s="1"/>
      <c r="E251" s="124"/>
      <c r="F251" s="125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7"/>
      <c r="V251" s="127"/>
    </row>
    <row r="252" ht="12.75" customHeight="1">
      <c r="A252" s="124"/>
      <c r="B252" s="124"/>
      <c r="C252" s="124"/>
      <c r="D252" s="1"/>
      <c r="E252" s="124"/>
      <c r="F252" s="125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7"/>
      <c r="V252" s="127"/>
    </row>
    <row r="253" ht="12.75" customHeight="1">
      <c r="A253" s="124"/>
      <c r="B253" s="124"/>
      <c r="C253" s="124"/>
      <c r="D253" s="1"/>
      <c r="E253" s="124"/>
      <c r="F253" s="125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7"/>
      <c r="V253" s="127"/>
    </row>
    <row r="254" ht="12.75" customHeight="1">
      <c r="A254" s="124"/>
      <c r="B254" s="124"/>
      <c r="C254" s="124"/>
      <c r="D254" s="1"/>
      <c r="E254" s="124"/>
      <c r="F254" s="125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7"/>
      <c r="V254" s="127"/>
    </row>
    <row r="255" ht="12.75" customHeight="1">
      <c r="A255" s="124"/>
      <c r="B255" s="124"/>
      <c r="C255" s="124"/>
      <c r="D255" s="1"/>
      <c r="E255" s="124"/>
      <c r="F255" s="125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7"/>
      <c r="V255" s="127"/>
    </row>
    <row r="256" ht="12.75" customHeight="1">
      <c r="A256" s="124"/>
      <c r="B256" s="124"/>
      <c r="C256" s="124"/>
      <c r="D256" s="1"/>
      <c r="E256" s="124"/>
      <c r="F256" s="125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7"/>
      <c r="V256" s="127"/>
    </row>
    <row r="257" ht="12.75" customHeight="1">
      <c r="A257" s="124"/>
      <c r="B257" s="124"/>
      <c r="C257" s="124"/>
      <c r="D257" s="1"/>
      <c r="E257" s="124"/>
      <c r="F257" s="125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7"/>
      <c r="V257" s="127"/>
    </row>
    <row r="258" ht="12.75" customHeight="1">
      <c r="A258" s="124"/>
      <c r="B258" s="124"/>
      <c r="C258" s="124"/>
      <c r="D258" s="1"/>
      <c r="E258" s="124"/>
      <c r="F258" s="125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7"/>
      <c r="V258" s="127"/>
    </row>
    <row r="259" ht="12.75" customHeight="1">
      <c r="A259" s="124"/>
      <c r="B259" s="124"/>
      <c r="C259" s="124"/>
      <c r="D259" s="1"/>
      <c r="E259" s="124"/>
      <c r="F259" s="125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7"/>
      <c r="V259" s="127"/>
    </row>
    <row r="260" ht="12.75" customHeight="1">
      <c r="A260" s="124"/>
      <c r="B260" s="124"/>
      <c r="C260" s="124"/>
      <c r="D260" s="1"/>
      <c r="E260" s="124"/>
      <c r="F260" s="125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7"/>
      <c r="V260" s="127"/>
    </row>
    <row r="261" ht="12.75" customHeight="1">
      <c r="A261" s="124"/>
      <c r="B261" s="124"/>
      <c r="C261" s="124"/>
      <c r="D261" s="1"/>
      <c r="E261" s="124"/>
      <c r="F261" s="125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7"/>
      <c r="V261" s="127"/>
    </row>
    <row r="262" ht="12.75" customHeight="1">
      <c r="A262" s="124"/>
      <c r="B262" s="124"/>
      <c r="C262" s="124"/>
      <c r="D262" s="1"/>
      <c r="E262" s="124"/>
      <c r="F262" s="125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7"/>
      <c r="V262" s="127"/>
    </row>
    <row r="263" ht="12.75" customHeight="1">
      <c r="A263" s="124"/>
      <c r="B263" s="124"/>
      <c r="C263" s="124"/>
      <c r="D263" s="1"/>
      <c r="E263" s="124"/>
      <c r="F263" s="125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7"/>
      <c r="V263" s="127"/>
    </row>
    <row r="264" ht="12.75" customHeight="1">
      <c r="A264" s="124"/>
      <c r="B264" s="124"/>
      <c r="C264" s="124"/>
      <c r="D264" s="1"/>
      <c r="E264" s="124"/>
      <c r="F264" s="125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7"/>
      <c r="V264" s="127"/>
    </row>
    <row r="265" ht="12.75" customHeight="1">
      <c r="A265" s="124"/>
      <c r="B265" s="124"/>
      <c r="C265" s="124"/>
      <c r="D265" s="1"/>
      <c r="E265" s="124"/>
      <c r="F265" s="125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7"/>
      <c r="V265" s="127"/>
    </row>
    <row r="266" ht="12.75" customHeight="1">
      <c r="A266" s="124"/>
      <c r="B266" s="124"/>
      <c r="C266" s="124"/>
      <c r="D266" s="1"/>
      <c r="E266" s="124"/>
      <c r="F266" s="125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7"/>
      <c r="V266" s="127"/>
    </row>
    <row r="267" ht="12.75" customHeight="1">
      <c r="A267" s="124"/>
      <c r="B267" s="124"/>
      <c r="C267" s="124"/>
      <c r="D267" s="1"/>
      <c r="E267" s="124"/>
      <c r="F267" s="125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7"/>
      <c r="V267" s="127"/>
    </row>
    <row r="268" ht="12.75" customHeight="1">
      <c r="A268" s="124"/>
      <c r="B268" s="124"/>
      <c r="C268" s="124"/>
      <c r="D268" s="1"/>
      <c r="E268" s="124"/>
      <c r="F268" s="125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7"/>
      <c r="V268" s="127"/>
    </row>
    <row r="269" ht="12.75" customHeight="1">
      <c r="A269" s="124"/>
      <c r="B269" s="124"/>
      <c r="C269" s="124"/>
      <c r="D269" s="1"/>
      <c r="E269" s="124"/>
      <c r="F269" s="125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7"/>
      <c r="V269" s="127"/>
    </row>
    <row r="270" ht="12.75" customHeight="1">
      <c r="A270" s="124"/>
      <c r="B270" s="124"/>
      <c r="C270" s="124"/>
      <c r="D270" s="1"/>
      <c r="E270" s="124"/>
      <c r="F270" s="125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7"/>
      <c r="V270" s="127"/>
    </row>
    <row r="271" ht="12.75" customHeight="1">
      <c r="A271" s="124"/>
      <c r="B271" s="124"/>
      <c r="C271" s="124"/>
      <c r="D271" s="1"/>
      <c r="E271" s="124"/>
      <c r="F271" s="125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7"/>
      <c r="V271" s="127"/>
    </row>
    <row r="272" ht="12.75" customHeight="1">
      <c r="A272" s="124"/>
      <c r="B272" s="124"/>
      <c r="C272" s="124"/>
      <c r="D272" s="1"/>
      <c r="E272" s="124"/>
      <c r="F272" s="125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7"/>
      <c r="V272" s="127"/>
    </row>
    <row r="273" ht="12.75" customHeight="1">
      <c r="A273" s="124"/>
      <c r="B273" s="124"/>
      <c r="C273" s="124"/>
      <c r="D273" s="1"/>
      <c r="E273" s="124"/>
      <c r="F273" s="125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7"/>
      <c r="V273" s="127"/>
    </row>
    <row r="274" ht="12.75" customHeight="1">
      <c r="A274" s="124"/>
      <c r="B274" s="124"/>
      <c r="C274" s="124"/>
      <c r="D274" s="1"/>
      <c r="E274" s="124"/>
      <c r="F274" s="125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7"/>
      <c r="V274" s="127"/>
    </row>
    <row r="275" ht="12.75" customHeight="1">
      <c r="A275" s="124"/>
      <c r="B275" s="124"/>
      <c r="C275" s="124"/>
      <c r="D275" s="1"/>
      <c r="E275" s="124"/>
      <c r="F275" s="125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7"/>
      <c r="V275" s="127"/>
    </row>
    <row r="276" ht="12.75" customHeight="1">
      <c r="A276" s="124"/>
      <c r="B276" s="124"/>
      <c r="C276" s="124"/>
      <c r="D276" s="1"/>
      <c r="E276" s="124"/>
      <c r="F276" s="125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7"/>
      <c r="V276" s="127"/>
    </row>
    <row r="277" ht="12.75" customHeight="1">
      <c r="A277" s="124"/>
      <c r="B277" s="124"/>
      <c r="C277" s="124"/>
      <c r="D277" s="1"/>
      <c r="E277" s="124"/>
      <c r="F277" s="125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7"/>
      <c r="V277" s="127"/>
    </row>
    <row r="278" ht="12.75" customHeight="1">
      <c r="A278" s="124"/>
      <c r="B278" s="124"/>
      <c r="C278" s="124"/>
      <c r="D278" s="1"/>
      <c r="E278" s="124"/>
      <c r="F278" s="125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7"/>
      <c r="V278" s="127"/>
    </row>
    <row r="279" ht="12.75" customHeight="1">
      <c r="A279" s="124"/>
      <c r="B279" s="124"/>
      <c r="C279" s="124"/>
      <c r="D279" s="1"/>
      <c r="E279" s="124"/>
      <c r="F279" s="125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7"/>
      <c r="V279" s="127"/>
    </row>
    <row r="280" ht="12.75" customHeight="1">
      <c r="A280" s="124"/>
      <c r="B280" s="124"/>
      <c r="C280" s="124"/>
      <c r="D280" s="1"/>
      <c r="E280" s="124"/>
      <c r="F280" s="125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7"/>
      <c r="V280" s="127"/>
    </row>
    <row r="281" ht="12.75" customHeight="1">
      <c r="A281" s="124"/>
      <c r="B281" s="124"/>
      <c r="C281" s="124"/>
      <c r="D281" s="1"/>
      <c r="E281" s="124"/>
      <c r="F281" s="125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7"/>
      <c r="V281" s="127"/>
    </row>
    <row r="282" ht="12.75" customHeight="1">
      <c r="A282" s="124"/>
      <c r="B282" s="124"/>
      <c r="C282" s="124"/>
      <c r="D282" s="1"/>
      <c r="E282" s="124"/>
      <c r="F282" s="125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7"/>
      <c r="V282" s="127"/>
    </row>
    <row r="283" ht="12.75" customHeight="1">
      <c r="A283" s="124"/>
      <c r="B283" s="124"/>
      <c r="C283" s="124"/>
      <c r="D283" s="1"/>
      <c r="E283" s="124"/>
      <c r="F283" s="125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7"/>
      <c r="V283" s="127"/>
    </row>
    <row r="284" ht="12.75" customHeight="1">
      <c r="A284" s="124"/>
      <c r="B284" s="124"/>
      <c r="C284" s="124"/>
      <c r="D284" s="1"/>
      <c r="E284" s="124"/>
      <c r="F284" s="125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7"/>
      <c r="V284" s="127"/>
    </row>
    <row r="285" ht="12.75" customHeight="1">
      <c r="A285" s="124"/>
      <c r="B285" s="124"/>
      <c r="C285" s="124"/>
      <c r="D285" s="1"/>
      <c r="E285" s="124"/>
      <c r="F285" s="125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7"/>
      <c r="V285" s="127"/>
    </row>
    <row r="286" ht="12.75" customHeight="1">
      <c r="A286" s="124"/>
      <c r="B286" s="124"/>
      <c r="C286" s="124"/>
      <c r="D286" s="1"/>
      <c r="E286" s="124"/>
      <c r="F286" s="125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7"/>
      <c r="V286" s="127"/>
    </row>
    <row r="287" ht="12.75" customHeight="1">
      <c r="A287" s="124"/>
      <c r="B287" s="124"/>
      <c r="C287" s="124"/>
      <c r="D287" s="1"/>
      <c r="E287" s="124"/>
      <c r="F287" s="125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7"/>
      <c r="V287" s="127"/>
    </row>
    <row r="288" ht="12.75" customHeight="1">
      <c r="A288" s="124"/>
      <c r="B288" s="124"/>
      <c r="C288" s="124"/>
      <c r="D288" s="1"/>
      <c r="E288" s="124"/>
      <c r="F288" s="125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7"/>
      <c r="V288" s="127"/>
    </row>
    <row r="289" ht="12.75" customHeight="1">
      <c r="A289" s="124"/>
      <c r="B289" s="124"/>
      <c r="C289" s="124"/>
      <c r="D289" s="1"/>
      <c r="E289" s="124"/>
      <c r="F289" s="125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7"/>
      <c r="V289" s="127"/>
    </row>
    <row r="290" ht="12.75" customHeight="1">
      <c r="A290" s="124"/>
      <c r="B290" s="124"/>
      <c r="C290" s="124"/>
      <c r="D290" s="1"/>
      <c r="E290" s="124"/>
      <c r="F290" s="125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7"/>
      <c r="V290" s="127"/>
    </row>
    <row r="291" ht="12.75" customHeight="1">
      <c r="A291" s="124"/>
      <c r="B291" s="124"/>
      <c r="C291" s="124"/>
      <c r="D291" s="1"/>
      <c r="E291" s="124"/>
      <c r="F291" s="125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7"/>
      <c r="V291" s="127"/>
    </row>
    <row r="292" ht="12.75" customHeight="1">
      <c r="A292" s="124"/>
      <c r="B292" s="124"/>
      <c r="C292" s="124"/>
      <c r="D292" s="1"/>
      <c r="E292" s="124"/>
      <c r="F292" s="125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7"/>
      <c r="V292" s="127"/>
    </row>
    <row r="293" ht="12.75" customHeight="1">
      <c r="A293" s="124"/>
      <c r="B293" s="124"/>
      <c r="C293" s="124"/>
      <c r="D293" s="1"/>
      <c r="E293" s="124"/>
      <c r="F293" s="125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7"/>
      <c r="V293" s="127"/>
    </row>
    <row r="294" ht="12.75" customHeight="1">
      <c r="A294" s="124"/>
      <c r="B294" s="124"/>
      <c r="C294" s="124"/>
      <c r="D294" s="1"/>
      <c r="E294" s="124"/>
      <c r="F294" s="125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7"/>
      <c r="V294" s="127"/>
    </row>
    <row r="295" ht="12.75" customHeight="1">
      <c r="A295" s="124"/>
      <c r="B295" s="124"/>
      <c r="C295" s="124"/>
      <c r="D295" s="1"/>
      <c r="E295" s="124"/>
      <c r="F295" s="125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7"/>
      <c r="V295" s="127"/>
    </row>
    <row r="296" ht="12.75" customHeight="1">
      <c r="A296" s="124"/>
      <c r="B296" s="124"/>
      <c r="C296" s="124"/>
      <c r="D296" s="1"/>
      <c r="E296" s="124"/>
      <c r="F296" s="125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7"/>
      <c r="V296" s="127"/>
    </row>
    <row r="297" ht="12.75" customHeight="1">
      <c r="A297" s="124"/>
      <c r="B297" s="124"/>
      <c r="C297" s="124"/>
      <c r="D297" s="1"/>
      <c r="E297" s="124"/>
      <c r="F297" s="125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7"/>
      <c r="V297" s="127"/>
    </row>
    <row r="298" ht="12.75" customHeight="1">
      <c r="A298" s="124"/>
      <c r="B298" s="124"/>
      <c r="C298" s="124"/>
      <c r="D298" s="1"/>
      <c r="E298" s="124"/>
      <c r="F298" s="125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7"/>
      <c r="V298" s="127"/>
    </row>
    <row r="299" ht="12.75" customHeight="1">
      <c r="A299" s="124"/>
      <c r="B299" s="124"/>
      <c r="C299" s="124"/>
      <c r="D299" s="1"/>
      <c r="E299" s="124"/>
      <c r="F299" s="125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7"/>
      <c r="V299" s="127"/>
    </row>
    <row r="300" ht="12.75" customHeight="1">
      <c r="A300" s="124"/>
      <c r="B300" s="124"/>
      <c r="C300" s="124"/>
      <c r="D300" s="1"/>
      <c r="E300" s="124"/>
      <c r="F300" s="125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7"/>
      <c r="V300" s="127"/>
    </row>
    <row r="301" ht="12.75" customHeight="1">
      <c r="A301" s="124"/>
      <c r="B301" s="124"/>
      <c r="C301" s="124"/>
      <c r="D301" s="1"/>
      <c r="E301" s="124"/>
      <c r="F301" s="125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7"/>
      <c r="V301" s="127"/>
    </row>
    <row r="302" ht="12.75" customHeight="1">
      <c r="A302" s="124"/>
      <c r="B302" s="124"/>
      <c r="C302" s="124"/>
      <c r="D302" s="1"/>
      <c r="E302" s="124"/>
      <c r="F302" s="125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7"/>
      <c r="V302" s="127"/>
    </row>
    <row r="303" ht="12.75" customHeight="1">
      <c r="A303" s="124"/>
      <c r="B303" s="124"/>
      <c r="C303" s="124"/>
      <c r="D303" s="1"/>
      <c r="E303" s="124"/>
      <c r="F303" s="125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7"/>
      <c r="V303" s="127"/>
    </row>
    <row r="304" ht="12.75" customHeight="1">
      <c r="A304" s="124"/>
      <c r="B304" s="124"/>
      <c r="C304" s="124"/>
      <c r="D304" s="1"/>
      <c r="E304" s="124"/>
      <c r="F304" s="125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7"/>
      <c r="V304" s="127"/>
    </row>
    <row r="305" ht="12.75" customHeight="1">
      <c r="A305" s="124"/>
      <c r="B305" s="124"/>
      <c r="C305" s="124"/>
      <c r="D305" s="1"/>
      <c r="E305" s="124"/>
      <c r="F305" s="125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7"/>
      <c r="V305" s="127"/>
    </row>
    <row r="306" ht="12.75" customHeight="1">
      <c r="A306" s="124"/>
      <c r="B306" s="124"/>
      <c r="C306" s="124"/>
      <c r="D306" s="1"/>
      <c r="E306" s="124"/>
      <c r="F306" s="125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7"/>
      <c r="V306" s="127"/>
    </row>
    <row r="307" ht="12.75" customHeight="1">
      <c r="A307" s="124"/>
      <c r="B307" s="124"/>
      <c r="C307" s="124"/>
      <c r="D307" s="1"/>
      <c r="E307" s="124"/>
      <c r="F307" s="125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7"/>
      <c r="V307" s="127"/>
    </row>
    <row r="308" ht="12.75" customHeight="1">
      <c r="A308" s="124"/>
      <c r="B308" s="124"/>
      <c r="C308" s="124"/>
      <c r="D308" s="1"/>
      <c r="E308" s="124"/>
      <c r="F308" s="125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7"/>
      <c r="V308" s="127"/>
    </row>
    <row r="309" ht="12.75" customHeight="1">
      <c r="A309" s="124"/>
      <c r="B309" s="124"/>
      <c r="C309" s="124"/>
      <c r="D309" s="1"/>
      <c r="E309" s="124"/>
      <c r="F309" s="125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7"/>
      <c r="V309" s="127"/>
    </row>
    <row r="310" ht="12.75" customHeight="1">
      <c r="A310" s="124"/>
      <c r="B310" s="124"/>
      <c r="C310" s="124"/>
      <c r="D310" s="1"/>
      <c r="E310" s="124"/>
      <c r="F310" s="125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7"/>
      <c r="V310" s="127"/>
    </row>
    <row r="311" ht="12.75" customHeight="1">
      <c r="A311" s="124"/>
      <c r="B311" s="124"/>
      <c r="C311" s="124"/>
      <c r="D311" s="1"/>
      <c r="E311" s="124"/>
      <c r="F311" s="125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7"/>
      <c r="V311" s="127"/>
    </row>
    <row r="312" ht="12.75" customHeight="1">
      <c r="A312" s="124"/>
      <c r="B312" s="124"/>
      <c r="C312" s="124"/>
      <c r="D312" s="1"/>
      <c r="E312" s="124"/>
      <c r="F312" s="125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7"/>
      <c r="V312" s="127"/>
    </row>
    <row r="313" ht="12.75" customHeight="1">
      <c r="A313" s="124"/>
      <c r="B313" s="124"/>
      <c r="C313" s="124"/>
      <c r="D313" s="1"/>
      <c r="E313" s="124"/>
      <c r="F313" s="125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7"/>
      <c r="V313" s="127"/>
    </row>
    <row r="314" ht="12.75" customHeight="1">
      <c r="A314" s="124"/>
      <c r="B314" s="124"/>
      <c r="C314" s="124"/>
      <c r="D314" s="1"/>
      <c r="E314" s="124"/>
      <c r="F314" s="125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7"/>
      <c r="V314" s="127"/>
    </row>
    <row r="315" ht="12.75" customHeight="1">
      <c r="A315" s="124"/>
      <c r="B315" s="124"/>
      <c r="C315" s="124"/>
      <c r="D315" s="1"/>
      <c r="E315" s="124"/>
      <c r="F315" s="125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7"/>
      <c r="V315" s="127"/>
    </row>
    <row r="316" ht="12.75" customHeight="1">
      <c r="A316" s="124"/>
      <c r="B316" s="124"/>
      <c r="C316" s="124"/>
      <c r="D316" s="1"/>
      <c r="E316" s="124"/>
      <c r="F316" s="125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7"/>
      <c r="V316" s="127"/>
    </row>
    <row r="317" ht="12.75" customHeight="1">
      <c r="A317" s="124"/>
      <c r="B317" s="124"/>
      <c r="C317" s="124"/>
      <c r="D317" s="1"/>
      <c r="E317" s="124"/>
      <c r="F317" s="125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7"/>
      <c r="V317" s="127"/>
    </row>
    <row r="318" ht="12.75" customHeight="1">
      <c r="A318" s="124"/>
      <c r="B318" s="124"/>
      <c r="C318" s="124"/>
      <c r="D318" s="1"/>
      <c r="E318" s="124"/>
      <c r="F318" s="125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7"/>
      <c r="V318" s="127"/>
    </row>
    <row r="319" ht="12.75" customHeight="1">
      <c r="A319" s="124"/>
      <c r="B319" s="124"/>
      <c r="C319" s="124"/>
      <c r="D319" s="1"/>
      <c r="E319" s="124"/>
      <c r="F319" s="125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7"/>
      <c r="V319" s="127"/>
    </row>
    <row r="320" ht="12.75" customHeight="1">
      <c r="A320" s="124"/>
      <c r="B320" s="124"/>
      <c r="C320" s="124"/>
      <c r="D320" s="1"/>
      <c r="E320" s="124"/>
      <c r="F320" s="125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7"/>
      <c r="V320" s="127"/>
    </row>
    <row r="321" ht="12.75" customHeight="1">
      <c r="A321" s="124"/>
      <c r="B321" s="124"/>
      <c r="C321" s="124"/>
      <c r="D321" s="1"/>
      <c r="E321" s="124"/>
      <c r="F321" s="125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7"/>
      <c r="V321" s="127"/>
    </row>
    <row r="322" ht="12.75" customHeight="1">
      <c r="A322" s="124"/>
      <c r="B322" s="124"/>
      <c r="C322" s="124"/>
      <c r="D322" s="1"/>
      <c r="E322" s="124"/>
      <c r="F322" s="125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7"/>
      <c r="V322" s="127"/>
    </row>
    <row r="323" ht="12.75" customHeight="1">
      <c r="A323" s="124"/>
      <c r="B323" s="124"/>
      <c r="C323" s="124"/>
      <c r="D323" s="1"/>
      <c r="E323" s="124"/>
      <c r="F323" s="125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7"/>
      <c r="V323" s="127"/>
    </row>
    <row r="324" ht="12.75" customHeight="1">
      <c r="A324" s="124"/>
      <c r="B324" s="124"/>
      <c r="C324" s="124"/>
      <c r="D324" s="1"/>
      <c r="E324" s="124"/>
      <c r="F324" s="125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7"/>
      <c r="V324" s="127"/>
    </row>
    <row r="325" ht="12.75" customHeight="1">
      <c r="A325" s="124"/>
      <c r="B325" s="124"/>
      <c r="C325" s="124"/>
      <c r="D325" s="1"/>
      <c r="E325" s="124"/>
      <c r="F325" s="125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7"/>
      <c r="V325" s="127"/>
    </row>
    <row r="326" ht="12.75" customHeight="1">
      <c r="A326" s="124"/>
      <c r="B326" s="124"/>
      <c r="C326" s="124"/>
      <c r="D326" s="1"/>
      <c r="E326" s="124"/>
      <c r="F326" s="125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7"/>
      <c r="V326" s="127"/>
    </row>
    <row r="327" ht="12.75" customHeight="1">
      <c r="A327" s="124"/>
      <c r="B327" s="124"/>
      <c r="C327" s="124"/>
      <c r="D327" s="1"/>
      <c r="E327" s="124"/>
      <c r="F327" s="125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7"/>
      <c r="V327" s="127"/>
    </row>
    <row r="328" ht="12.75" customHeight="1">
      <c r="A328" s="124"/>
      <c r="B328" s="124"/>
      <c r="C328" s="124"/>
      <c r="D328" s="1"/>
      <c r="E328" s="124"/>
      <c r="F328" s="125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7"/>
      <c r="V328" s="127"/>
    </row>
    <row r="329" ht="12.75" customHeight="1">
      <c r="A329" s="124"/>
      <c r="B329" s="124"/>
      <c r="C329" s="124"/>
      <c r="D329" s="1"/>
      <c r="E329" s="124"/>
      <c r="F329" s="125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7"/>
      <c r="V329" s="127"/>
    </row>
    <row r="330" ht="12.75" customHeight="1">
      <c r="A330" s="124"/>
      <c r="B330" s="124"/>
      <c r="C330" s="124"/>
      <c r="D330" s="1"/>
      <c r="E330" s="124"/>
      <c r="F330" s="125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7"/>
      <c r="V330" s="127"/>
    </row>
    <row r="331" ht="12.75" customHeight="1">
      <c r="A331" s="124"/>
      <c r="B331" s="124"/>
      <c r="C331" s="124"/>
      <c r="D331" s="1"/>
      <c r="E331" s="124"/>
      <c r="F331" s="125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7"/>
      <c r="V331" s="127"/>
    </row>
    <row r="332" ht="12.75" customHeight="1">
      <c r="A332" s="124"/>
      <c r="B332" s="124"/>
      <c r="C332" s="124"/>
      <c r="D332" s="1"/>
      <c r="E332" s="124"/>
      <c r="F332" s="125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7"/>
      <c r="V332" s="127"/>
    </row>
    <row r="333" ht="12.75" customHeight="1">
      <c r="A333" s="124"/>
      <c r="B333" s="124"/>
      <c r="C333" s="124"/>
      <c r="D333" s="1"/>
      <c r="E333" s="124"/>
      <c r="F333" s="125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7"/>
      <c r="V333" s="127"/>
    </row>
    <row r="334" ht="12.75" customHeight="1">
      <c r="A334" s="124"/>
      <c r="B334" s="124"/>
      <c r="C334" s="124"/>
      <c r="D334" s="1"/>
      <c r="E334" s="124"/>
      <c r="F334" s="125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7"/>
      <c r="V334" s="127"/>
    </row>
    <row r="335" ht="12.75" customHeight="1">
      <c r="A335" s="124"/>
      <c r="B335" s="124"/>
      <c r="C335" s="124"/>
      <c r="D335" s="1"/>
      <c r="E335" s="124"/>
      <c r="F335" s="125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7"/>
      <c r="V335" s="127"/>
    </row>
    <row r="336" ht="12.75" customHeight="1">
      <c r="A336" s="124"/>
      <c r="B336" s="124"/>
      <c r="C336" s="124"/>
      <c r="D336" s="1"/>
      <c r="E336" s="124"/>
      <c r="F336" s="125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7"/>
      <c r="V336" s="127"/>
    </row>
    <row r="337" ht="12.75" customHeight="1">
      <c r="A337" s="124"/>
      <c r="B337" s="124"/>
      <c r="C337" s="124"/>
      <c r="D337" s="1"/>
      <c r="E337" s="124"/>
      <c r="F337" s="125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7"/>
      <c r="V337" s="127"/>
    </row>
    <row r="338" ht="12.75" customHeight="1">
      <c r="A338" s="124"/>
      <c r="B338" s="124"/>
      <c r="C338" s="124"/>
      <c r="D338" s="1"/>
      <c r="E338" s="124"/>
      <c r="F338" s="125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7"/>
      <c r="V338" s="127"/>
    </row>
    <row r="339" ht="12.75" customHeight="1">
      <c r="A339" s="124"/>
      <c r="B339" s="124"/>
      <c r="C339" s="124"/>
      <c r="D339" s="1"/>
      <c r="E339" s="124"/>
      <c r="F339" s="125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7"/>
      <c r="V339" s="127"/>
    </row>
    <row r="340" ht="12.75" customHeight="1">
      <c r="A340" s="124"/>
      <c r="B340" s="124"/>
      <c r="C340" s="124"/>
      <c r="D340" s="1"/>
      <c r="E340" s="124"/>
      <c r="F340" s="125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7"/>
      <c r="V340" s="127"/>
    </row>
    <row r="341" ht="12.75" customHeight="1">
      <c r="A341" s="124"/>
      <c r="B341" s="124"/>
      <c r="C341" s="124"/>
      <c r="D341" s="1"/>
      <c r="E341" s="124"/>
      <c r="F341" s="125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7"/>
      <c r="V341" s="127"/>
    </row>
    <row r="342" ht="12.75" customHeight="1">
      <c r="A342" s="124"/>
      <c r="B342" s="124"/>
      <c r="C342" s="124"/>
      <c r="D342" s="1"/>
      <c r="E342" s="124"/>
      <c r="F342" s="125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7"/>
      <c r="V342" s="127"/>
    </row>
    <row r="343" ht="12.75" customHeight="1">
      <c r="A343" s="124"/>
      <c r="B343" s="124"/>
      <c r="C343" s="124"/>
      <c r="D343" s="1"/>
      <c r="E343" s="124"/>
      <c r="F343" s="125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7"/>
      <c r="V343" s="127"/>
    </row>
    <row r="344" ht="12.75" customHeight="1">
      <c r="A344" s="124"/>
      <c r="B344" s="124"/>
      <c r="C344" s="124"/>
      <c r="D344" s="1"/>
      <c r="E344" s="124"/>
      <c r="F344" s="125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7"/>
      <c r="V344" s="127"/>
    </row>
    <row r="345" ht="12.75" customHeight="1">
      <c r="A345" s="124"/>
      <c r="B345" s="124"/>
      <c r="C345" s="124"/>
      <c r="D345" s="1"/>
      <c r="E345" s="124"/>
      <c r="F345" s="125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7"/>
      <c r="V345" s="127"/>
    </row>
    <row r="346" ht="12.75" customHeight="1">
      <c r="A346" s="124"/>
      <c r="B346" s="124"/>
      <c r="C346" s="124"/>
      <c r="D346" s="1"/>
      <c r="E346" s="124"/>
      <c r="F346" s="125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7"/>
      <c r="V346" s="127"/>
    </row>
    <row r="347" ht="12.75" customHeight="1">
      <c r="A347" s="124"/>
      <c r="B347" s="124"/>
      <c r="C347" s="124"/>
      <c r="D347" s="1"/>
      <c r="E347" s="124"/>
      <c r="F347" s="125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7"/>
      <c r="V347" s="127"/>
    </row>
    <row r="348" ht="12.75" customHeight="1">
      <c r="A348" s="124"/>
      <c r="B348" s="124"/>
      <c r="C348" s="124"/>
      <c r="D348" s="1"/>
      <c r="E348" s="124"/>
      <c r="F348" s="125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7"/>
      <c r="V348" s="127"/>
    </row>
    <row r="349" ht="12.75" customHeight="1">
      <c r="A349" s="124"/>
      <c r="B349" s="124"/>
      <c r="C349" s="124"/>
      <c r="D349" s="1"/>
      <c r="E349" s="124"/>
      <c r="F349" s="125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7"/>
      <c r="V349" s="127"/>
    </row>
    <row r="350" ht="12.75" customHeight="1">
      <c r="A350" s="124"/>
      <c r="B350" s="124"/>
      <c r="C350" s="124"/>
      <c r="D350" s="1"/>
      <c r="E350" s="124"/>
      <c r="F350" s="125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7"/>
      <c r="V350" s="127"/>
    </row>
    <row r="351" ht="12.75" customHeight="1">
      <c r="A351" s="124"/>
      <c r="B351" s="124"/>
      <c r="C351" s="124"/>
      <c r="D351" s="1"/>
      <c r="E351" s="124"/>
      <c r="F351" s="125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7"/>
      <c r="V351" s="127"/>
    </row>
    <row r="352" ht="12.75" customHeight="1">
      <c r="A352" s="124"/>
      <c r="B352" s="124"/>
      <c r="C352" s="124"/>
      <c r="D352" s="1"/>
      <c r="E352" s="124"/>
      <c r="F352" s="125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7"/>
      <c r="V352" s="127"/>
    </row>
    <row r="353" ht="12.75" customHeight="1">
      <c r="A353" s="124"/>
      <c r="B353" s="124"/>
      <c r="C353" s="124"/>
      <c r="D353" s="1"/>
      <c r="E353" s="124"/>
      <c r="F353" s="125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7"/>
      <c r="V353" s="127"/>
    </row>
    <row r="354" ht="12.75" customHeight="1">
      <c r="A354" s="124"/>
      <c r="B354" s="124"/>
      <c r="C354" s="124"/>
      <c r="D354" s="1"/>
      <c r="E354" s="124"/>
      <c r="F354" s="125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7"/>
      <c r="V354" s="127"/>
    </row>
    <row r="355" ht="12.75" customHeight="1">
      <c r="A355" s="124"/>
      <c r="B355" s="124"/>
      <c r="C355" s="124"/>
      <c r="D355" s="1"/>
      <c r="E355" s="124"/>
      <c r="F355" s="125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7"/>
      <c r="V355" s="127"/>
    </row>
    <row r="356" ht="12.75" customHeight="1">
      <c r="A356" s="124"/>
      <c r="B356" s="124"/>
      <c r="C356" s="124"/>
      <c r="D356" s="1"/>
      <c r="E356" s="124"/>
      <c r="F356" s="125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7"/>
      <c r="V356" s="127"/>
    </row>
    <row r="357" ht="12.75" customHeight="1">
      <c r="A357" s="124"/>
      <c r="B357" s="124"/>
      <c r="C357" s="124"/>
      <c r="D357" s="1"/>
      <c r="E357" s="124"/>
      <c r="F357" s="125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7"/>
      <c r="V357" s="127"/>
    </row>
    <row r="358" ht="12.75" customHeight="1">
      <c r="A358" s="124"/>
      <c r="B358" s="124"/>
      <c r="C358" s="124"/>
      <c r="D358" s="1"/>
      <c r="E358" s="124"/>
      <c r="F358" s="125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7"/>
      <c r="V358" s="127"/>
    </row>
    <row r="359" ht="12.75" customHeight="1">
      <c r="A359" s="124"/>
      <c r="B359" s="124"/>
      <c r="C359" s="124"/>
      <c r="D359" s="1"/>
      <c r="E359" s="124"/>
      <c r="F359" s="125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7"/>
      <c r="V359" s="127"/>
    </row>
    <row r="360" ht="12.75" customHeight="1">
      <c r="A360" s="124"/>
      <c r="B360" s="124"/>
      <c r="C360" s="124"/>
      <c r="D360" s="1"/>
      <c r="E360" s="124"/>
      <c r="F360" s="125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7"/>
      <c r="V360" s="127"/>
    </row>
    <row r="361" ht="12.75" customHeight="1">
      <c r="A361" s="124"/>
      <c r="B361" s="124"/>
      <c r="C361" s="124"/>
      <c r="D361" s="1"/>
      <c r="E361" s="124"/>
      <c r="F361" s="125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7"/>
      <c r="V361" s="127"/>
    </row>
    <row r="362" ht="12.75" customHeight="1">
      <c r="A362" s="124"/>
      <c r="B362" s="124"/>
      <c r="C362" s="124"/>
      <c r="D362" s="1"/>
      <c r="E362" s="124"/>
      <c r="F362" s="125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7"/>
      <c r="V362" s="127"/>
    </row>
    <row r="363" ht="12.75" customHeight="1">
      <c r="A363" s="124"/>
      <c r="B363" s="124"/>
      <c r="C363" s="124"/>
      <c r="D363" s="1"/>
      <c r="E363" s="124"/>
      <c r="F363" s="125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7"/>
      <c r="V363" s="127"/>
    </row>
    <row r="364" ht="12.75" customHeight="1">
      <c r="A364" s="124"/>
      <c r="B364" s="124"/>
      <c r="C364" s="124"/>
      <c r="D364" s="1"/>
      <c r="E364" s="124"/>
      <c r="F364" s="125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7"/>
      <c r="V364" s="127"/>
    </row>
    <row r="365" ht="12.75" customHeight="1">
      <c r="A365" s="124"/>
      <c r="B365" s="124"/>
      <c r="C365" s="124"/>
      <c r="D365" s="1"/>
      <c r="E365" s="124"/>
      <c r="F365" s="125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7"/>
      <c r="V365" s="127"/>
    </row>
    <row r="366" ht="12.75" customHeight="1">
      <c r="A366" s="124"/>
      <c r="B366" s="124"/>
      <c r="C366" s="124"/>
      <c r="D366" s="1"/>
      <c r="E366" s="124"/>
      <c r="F366" s="125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7"/>
      <c r="V366" s="127"/>
    </row>
    <row r="367" ht="12.75" customHeight="1">
      <c r="A367" s="124"/>
      <c r="B367" s="124"/>
      <c r="C367" s="124"/>
      <c r="D367" s="1"/>
      <c r="E367" s="124"/>
      <c r="F367" s="125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7"/>
      <c r="V367" s="127"/>
    </row>
    <row r="368" ht="12.75" customHeight="1">
      <c r="A368" s="124"/>
      <c r="B368" s="124"/>
      <c r="C368" s="124"/>
      <c r="D368" s="1"/>
      <c r="E368" s="124"/>
      <c r="F368" s="125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7"/>
      <c r="V368" s="127"/>
    </row>
    <row r="369" ht="12.75" customHeight="1">
      <c r="A369" s="124"/>
      <c r="B369" s="124"/>
      <c r="C369" s="124"/>
      <c r="D369" s="1"/>
      <c r="E369" s="124"/>
      <c r="F369" s="125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7"/>
      <c r="V369" s="127"/>
    </row>
    <row r="370" ht="12.75" customHeight="1">
      <c r="A370" s="124"/>
      <c r="B370" s="124"/>
      <c r="C370" s="124"/>
      <c r="D370" s="1"/>
      <c r="E370" s="124"/>
      <c r="F370" s="125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7"/>
      <c r="V370" s="127"/>
    </row>
    <row r="371" ht="12.75" customHeight="1">
      <c r="A371" s="124"/>
      <c r="B371" s="124"/>
      <c r="C371" s="124"/>
      <c r="D371" s="1"/>
      <c r="E371" s="124"/>
      <c r="F371" s="125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7"/>
      <c r="V371" s="127"/>
    </row>
    <row r="372" ht="12.75" customHeight="1">
      <c r="A372" s="124"/>
      <c r="B372" s="124"/>
      <c r="C372" s="124"/>
      <c r="D372" s="1"/>
      <c r="E372" s="124"/>
      <c r="F372" s="125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7"/>
      <c r="V372" s="127"/>
    </row>
    <row r="373" ht="12.75" customHeight="1">
      <c r="A373" s="124"/>
      <c r="B373" s="124"/>
      <c r="C373" s="124"/>
      <c r="D373" s="1"/>
      <c r="E373" s="124"/>
      <c r="F373" s="125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7"/>
      <c r="V373" s="127"/>
    </row>
    <row r="374" ht="12.75" customHeight="1">
      <c r="A374" s="124"/>
      <c r="B374" s="124"/>
      <c r="C374" s="124"/>
      <c r="D374" s="1"/>
      <c r="E374" s="124"/>
      <c r="F374" s="125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7"/>
      <c r="V374" s="127"/>
    </row>
    <row r="375" ht="12.75" customHeight="1">
      <c r="A375" s="124"/>
      <c r="B375" s="124"/>
      <c r="C375" s="124"/>
      <c r="D375" s="1"/>
      <c r="E375" s="124"/>
      <c r="F375" s="125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7"/>
      <c r="V375" s="127"/>
    </row>
    <row r="376" ht="12.75" customHeight="1">
      <c r="A376" s="124"/>
      <c r="B376" s="124"/>
      <c r="C376" s="124"/>
      <c r="D376" s="1"/>
      <c r="E376" s="124"/>
      <c r="F376" s="125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7"/>
      <c r="V376" s="127"/>
    </row>
    <row r="377" ht="12.75" customHeight="1">
      <c r="A377" s="124"/>
      <c r="B377" s="124"/>
      <c r="C377" s="124"/>
      <c r="D377" s="1"/>
      <c r="E377" s="124"/>
      <c r="F377" s="125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7"/>
      <c r="V377" s="127"/>
    </row>
    <row r="378" ht="12.75" customHeight="1">
      <c r="A378" s="124"/>
      <c r="B378" s="124"/>
      <c r="C378" s="124"/>
      <c r="D378" s="1"/>
      <c r="E378" s="124"/>
      <c r="F378" s="125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7"/>
      <c r="V378" s="127"/>
    </row>
    <row r="379" ht="12.75" customHeight="1">
      <c r="A379" s="124"/>
      <c r="B379" s="124"/>
      <c r="C379" s="124"/>
      <c r="D379" s="1"/>
      <c r="E379" s="124"/>
      <c r="F379" s="125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7"/>
      <c r="V379" s="127"/>
    </row>
    <row r="380" ht="12.75" customHeight="1">
      <c r="A380" s="124"/>
      <c r="B380" s="124"/>
      <c r="C380" s="124"/>
      <c r="D380" s="1"/>
      <c r="E380" s="124"/>
      <c r="F380" s="125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7"/>
      <c r="V380" s="127"/>
    </row>
    <row r="381" ht="12.75" customHeight="1">
      <c r="A381" s="124"/>
      <c r="B381" s="124"/>
      <c r="C381" s="124"/>
      <c r="D381" s="1"/>
      <c r="E381" s="124"/>
      <c r="F381" s="125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7"/>
      <c r="V381" s="127"/>
    </row>
    <row r="382" ht="12.75" customHeight="1">
      <c r="A382" s="124"/>
      <c r="B382" s="124"/>
      <c r="C382" s="124"/>
      <c r="D382" s="1"/>
      <c r="E382" s="124"/>
      <c r="F382" s="125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7"/>
      <c r="V382" s="127"/>
    </row>
    <row r="383" ht="12.75" customHeight="1">
      <c r="A383" s="124"/>
      <c r="B383" s="124"/>
      <c r="C383" s="124"/>
      <c r="D383" s="1"/>
      <c r="E383" s="124"/>
      <c r="F383" s="125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7"/>
      <c r="V383" s="127"/>
    </row>
    <row r="384" ht="12.75" customHeight="1">
      <c r="A384" s="124"/>
      <c r="B384" s="124"/>
      <c r="C384" s="124"/>
      <c r="D384" s="1"/>
      <c r="E384" s="124"/>
      <c r="F384" s="125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7"/>
      <c r="V384" s="127"/>
    </row>
    <row r="385" ht="12.75" customHeight="1">
      <c r="A385" s="124"/>
      <c r="B385" s="124"/>
      <c r="C385" s="124"/>
      <c r="D385" s="1"/>
      <c r="E385" s="124"/>
      <c r="F385" s="125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7"/>
      <c r="V385" s="127"/>
    </row>
    <row r="386" ht="12.75" customHeight="1">
      <c r="A386" s="124"/>
      <c r="B386" s="124"/>
      <c r="C386" s="124"/>
      <c r="D386" s="1"/>
      <c r="E386" s="124"/>
      <c r="F386" s="125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7"/>
      <c r="V386" s="127"/>
    </row>
    <row r="387" ht="12.75" customHeight="1">
      <c r="A387" s="124"/>
      <c r="B387" s="124"/>
      <c r="C387" s="124"/>
      <c r="D387" s="1"/>
      <c r="E387" s="124"/>
      <c r="F387" s="125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7"/>
      <c r="V387" s="127"/>
    </row>
    <row r="388" ht="12.75" customHeight="1">
      <c r="A388" s="124"/>
      <c r="B388" s="124"/>
      <c r="C388" s="124"/>
      <c r="D388" s="1"/>
      <c r="E388" s="124"/>
      <c r="F388" s="125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7"/>
      <c r="V388" s="127"/>
    </row>
    <row r="389" ht="12.75" customHeight="1">
      <c r="A389" s="124"/>
      <c r="B389" s="124"/>
      <c r="C389" s="124"/>
      <c r="D389" s="1"/>
      <c r="E389" s="124"/>
      <c r="F389" s="125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7"/>
      <c r="V389" s="127"/>
    </row>
    <row r="390" ht="12.75" customHeight="1">
      <c r="A390" s="124"/>
      <c r="B390" s="124"/>
      <c r="C390" s="124"/>
      <c r="D390" s="1"/>
      <c r="E390" s="124"/>
      <c r="F390" s="125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7"/>
      <c r="V390" s="127"/>
    </row>
    <row r="391" ht="12.75" customHeight="1">
      <c r="A391" s="124"/>
      <c r="B391" s="124"/>
      <c r="C391" s="124"/>
      <c r="D391" s="1"/>
      <c r="E391" s="124"/>
      <c r="F391" s="125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7"/>
      <c r="V391" s="127"/>
    </row>
    <row r="392" ht="12.75" customHeight="1">
      <c r="A392" s="124"/>
      <c r="B392" s="124"/>
      <c r="C392" s="124"/>
      <c r="D392" s="1"/>
      <c r="E392" s="124"/>
      <c r="F392" s="125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7"/>
      <c r="V392" s="127"/>
    </row>
    <row r="393" ht="12.75" customHeight="1">
      <c r="A393" s="124"/>
      <c r="B393" s="124"/>
      <c r="C393" s="124"/>
      <c r="D393" s="1"/>
      <c r="E393" s="124"/>
      <c r="F393" s="125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7"/>
      <c r="V393" s="127"/>
    </row>
    <row r="394" ht="12.75" customHeight="1">
      <c r="A394" s="124"/>
      <c r="B394" s="124"/>
      <c r="C394" s="124"/>
      <c r="D394" s="1"/>
      <c r="E394" s="124"/>
      <c r="F394" s="125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7"/>
      <c r="V394" s="127"/>
    </row>
    <row r="395" ht="12.75" customHeight="1">
      <c r="A395" s="124"/>
      <c r="B395" s="124"/>
      <c r="C395" s="124"/>
      <c r="D395" s="1"/>
      <c r="E395" s="124"/>
      <c r="F395" s="125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7"/>
      <c r="V395" s="127"/>
    </row>
    <row r="396" ht="12.75" customHeight="1">
      <c r="A396" s="124"/>
      <c r="B396" s="124"/>
      <c r="C396" s="124"/>
      <c r="D396" s="1"/>
      <c r="E396" s="124"/>
      <c r="F396" s="125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7"/>
      <c r="V396" s="127"/>
    </row>
    <row r="397" ht="12.75" customHeight="1">
      <c r="A397" s="124"/>
      <c r="B397" s="124"/>
      <c r="C397" s="124"/>
      <c r="D397" s="1"/>
      <c r="E397" s="124"/>
      <c r="F397" s="125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7"/>
      <c r="V397" s="127"/>
    </row>
    <row r="398" ht="12.75" customHeight="1">
      <c r="A398" s="124"/>
      <c r="B398" s="124"/>
      <c r="C398" s="124"/>
      <c r="D398" s="1"/>
      <c r="E398" s="124"/>
      <c r="F398" s="125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7"/>
      <c r="V398" s="127"/>
    </row>
    <row r="399" ht="12.75" customHeight="1">
      <c r="A399" s="124"/>
      <c r="B399" s="124"/>
      <c r="C399" s="124"/>
      <c r="D399" s="1"/>
      <c r="E399" s="124"/>
      <c r="F399" s="125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7"/>
      <c r="V399" s="127"/>
    </row>
    <row r="400" ht="12.75" customHeight="1">
      <c r="A400" s="124"/>
      <c r="B400" s="124"/>
      <c r="C400" s="124"/>
      <c r="D400" s="1"/>
      <c r="E400" s="124"/>
      <c r="F400" s="125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7"/>
      <c r="V400" s="127"/>
    </row>
    <row r="401" ht="12.75" customHeight="1">
      <c r="A401" s="124"/>
      <c r="B401" s="124"/>
      <c r="C401" s="124"/>
      <c r="D401" s="1"/>
      <c r="E401" s="124"/>
      <c r="F401" s="125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7"/>
      <c r="V401" s="127"/>
    </row>
    <row r="402" ht="12.75" customHeight="1">
      <c r="A402" s="124"/>
      <c r="B402" s="124"/>
      <c r="C402" s="124"/>
      <c r="D402" s="1"/>
      <c r="E402" s="124"/>
      <c r="F402" s="125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7"/>
      <c r="V402" s="127"/>
    </row>
    <row r="403" ht="12.75" customHeight="1">
      <c r="A403" s="124"/>
      <c r="B403" s="124"/>
      <c r="C403" s="124"/>
      <c r="D403" s="1"/>
      <c r="E403" s="124"/>
      <c r="F403" s="125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7"/>
      <c r="V403" s="127"/>
    </row>
    <row r="404" ht="12.75" customHeight="1">
      <c r="A404" s="124"/>
      <c r="B404" s="124"/>
      <c r="C404" s="124"/>
      <c r="D404" s="1"/>
      <c r="E404" s="124"/>
      <c r="F404" s="125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7"/>
      <c r="V404" s="127"/>
    </row>
    <row r="405" ht="12.75" customHeight="1">
      <c r="A405" s="124"/>
      <c r="B405" s="124"/>
      <c r="C405" s="124"/>
      <c r="D405" s="1"/>
      <c r="E405" s="124"/>
      <c r="F405" s="125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7"/>
      <c r="V405" s="127"/>
    </row>
    <row r="406" ht="12.75" customHeight="1">
      <c r="A406" s="124"/>
      <c r="B406" s="124"/>
      <c r="C406" s="124"/>
      <c r="D406" s="1"/>
      <c r="E406" s="124"/>
      <c r="F406" s="125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7"/>
      <c r="V406" s="127"/>
    </row>
    <row r="407" ht="12.75" customHeight="1">
      <c r="A407" s="124"/>
      <c r="B407" s="124"/>
      <c r="C407" s="124"/>
      <c r="D407" s="1"/>
      <c r="E407" s="124"/>
      <c r="F407" s="125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7"/>
      <c r="V407" s="127"/>
    </row>
    <row r="408" ht="12.75" customHeight="1">
      <c r="A408" s="124"/>
      <c r="B408" s="124"/>
      <c r="C408" s="124"/>
      <c r="D408" s="1"/>
      <c r="E408" s="124"/>
      <c r="F408" s="125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7"/>
      <c r="V408" s="127"/>
    </row>
    <row r="409" ht="12.75" customHeight="1">
      <c r="A409" s="124"/>
      <c r="B409" s="124"/>
      <c r="C409" s="124"/>
      <c r="D409" s="1"/>
      <c r="E409" s="124"/>
      <c r="F409" s="125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7"/>
      <c r="V409" s="127"/>
    </row>
    <row r="410" ht="12.75" customHeight="1">
      <c r="A410" s="124"/>
      <c r="B410" s="124"/>
      <c r="C410" s="124"/>
      <c r="D410" s="1"/>
      <c r="E410" s="124"/>
      <c r="F410" s="125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7"/>
      <c r="V410" s="127"/>
    </row>
    <row r="411" ht="12.75" customHeight="1">
      <c r="A411" s="124"/>
      <c r="B411" s="124"/>
      <c r="C411" s="124"/>
      <c r="D411" s="1"/>
      <c r="E411" s="124"/>
      <c r="F411" s="125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7"/>
      <c r="V411" s="127"/>
    </row>
    <row r="412" ht="12.75" customHeight="1">
      <c r="A412" s="124"/>
      <c r="B412" s="124"/>
      <c r="C412" s="124"/>
      <c r="D412" s="1"/>
      <c r="E412" s="124"/>
      <c r="F412" s="125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7"/>
      <c r="V412" s="127"/>
    </row>
    <row r="413" ht="12.75" customHeight="1">
      <c r="A413" s="124"/>
      <c r="B413" s="124"/>
      <c r="C413" s="124"/>
      <c r="D413" s="1"/>
      <c r="E413" s="124"/>
      <c r="F413" s="125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7"/>
      <c r="V413" s="127"/>
    </row>
    <row r="414" ht="12.75" customHeight="1">
      <c r="A414" s="124"/>
      <c r="B414" s="124"/>
      <c r="C414" s="124"/>
      <c r="D414" s="1"/>
      <c r="E414" s="124"/>
      <c r="F414" s="125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7"/>
      <c r="V414" s="127"/>
    </row>
    <row r="415" ht="12.75" customHeight="1">
      <c r="A415" s="124"/>
      <c r="B415" s="124"/>
      <c r="C415" s="124"/>
      <c r="D415" s="1"/>
      <c r="E415" s="124"/>
      <c r="F415" s="125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7"/>
      <c r="V415" s="127"/>
    </row>
    <row r="416" ht="12.75" customHeight="1">
      <c r="A416" s="124"/>
      <c r="B416" s="124"/>
      <c r="C416" s="124"/>
      <c r="D416" s="1"/>
      <c r="E416" s="124"/>
      <c r="F416" s="125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7"/>
      <c r="V416" s="127"/>
    </row>
    <row r="417" ht="12.75" customHeight="1">
      <c r="A417" s="124"/>
      <c r="B417" s="124"/>
      <c r="C417" s="124"/>
      <c r="D417" s="1"/>
      <c r="E417" s="124"/>
      <c r="F417" s="125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7"/>
      <c r="V417" s="127"/>
    </row>
    <row r="418" ht="12.75" customHeight="1">
      <c r="A418" s="124"/>
      <c r="B418" s="124"/>
      <c r="C418" s="124"/>
      <c r="D418" s="1"/>
      <c r="E418" s="124"/>
      <c r="F418" s="125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7"/>
      <c r="V418" s="127"/>
    </row>
    <row r="419" ht="12.75" customHeight="1">
      <c r="A419" s="124"/>
      <c r="B419" s="124"/>
      <c r="C419" s="124"/>
      <c r="D419" s="1"/>
      <c r="E419" s="124"/>
      <c r="F419" s="125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7"/>
      <c r="V419" s="127"/>
    </row>
    <row r="420" ht="12.75" customHeight="1">
      <c r="A420" s="124"/>
      <c r="B420" s="124"/>
      <c r="C420" s="124"/>
      <c r="D420" s="1"/>
      <c r="E420" s="124"/>
      <c r="F420" s="125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7"/>
      <c r="V420" s="127"/>
    </row>
    <row r="421" ht="12.75" customHeight="1">
      <c r="A421" s="124"/>
      <c r="B421" s="124"/>
      <c r="C421" s="124"/>
      <c r="D421" s="1"/>
      <c r="E421" s="124"/>
      <c r="F421" s="125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7"/>
      <c r="V421" s="127"/>
    </row>
    <row r="422" ht="12.75" customHeight="1">
      <c r="A422" s="124"/>
      <c r="B422" s="124"/>
      <c r="C422" s="124"/>
      <c r="D422" s="1"/>
      <c r="E422" s="124"/>
      <c r="F422" s="125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7"/>
      <c r="V422" s="127"/>
    </row>
    <row r="423" ht="12.75" customHeight="1">
      <c r="A423" s="124"/>
      <c r="B423" s="124"/>
      <c r="C423" s="124"/>
      <c r="D423" s="1"/>
      <c r="E423" s="124"/>
      <c r="F423" s="125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7"/>
      <c r="V423" s="127"/>
    </row>
    <row r="424" ht="12.75" customHeight="1">
      <c r="A424" s="124"/>
      <c r="B424" s="124"/>
      <c r="C424" s="124"/>
      <c r="D424" s="1"/>
      <c r="E424" s="124"/>
      <c r="F424" s="125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7"/>
      <c r="V424" s="127"/>
    </row>
    <row r="425" ht="12.75" customHeight="1">
      <c r="A425" s="124"/>
      <c r="B425" s="124"/>
      <c r="C425" s="124"/>
      <c r="D425" s="1"/>
      <c r="E425" s="124"/>
      <c r="F425" s="125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7"/>
      <c r="V425" s="127"/>
    </row>
    <row r="426" ht="12.75" customHeight="1">
      <c r="A426" s="124"/>
      <c r="B426" s="124"/>
      <c r="C426" s="124"/>
      <c r="D426" s="1"/>
      <c r="E426" s="124"/>
      <c r="F426" s="125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7"/>
      <c r="V426" s="127"/>
    </row>
    <row r="427" ht="12.75" customHeight="1">
      <c r="A427" s="124"/>
      <c r="B427" s="124"/>
      <c r="C427" s="124"/>
      <c r="D427" s="1"/>
      <c r="E427" s="124"/>
      <c r="F427" s="125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7"/>
      <c r="V427" s="127"/>
    </row>
    <row r="428" ht="12.75" customHeight="1">
      <c r="A428" s="124"/>
      <c r="B428" s="124"/>
      <c r="C428" s="124"/>
      <c r="D428" s="1"/>
      <c r="E428" s="124"/>
      <c r="F428" s="125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7"/>
      <c r="V428" s="127"/>
    </row>
    <row r="429" ht="12.75" customHeight="1">
      <c r="A429" s="124"/>
      <c r="B429" s="124"/>
      <c r="C429" s="124"/>
      <c r="D429" s="1"/>
      <c r="E429" s="124"/>
      <c r="F429" s="125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7"/>
      <c r="V429" s="127"/>
    </row>
    <row r="430" ht="12.75" customHeight="1">
      <c r="A430" s="124"/>
      <c r="B430" s="124"/>
      <c r="C430" s="124"/>
      <c r="D430" s="1"/>
      <c r="E430" s="124"/>
      <c r="F430" s="125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7"/>
      <c r="V430" s="127"/>
    </row>
    <row r="431" ht="12.75" customHeight="1">
      <c r="A431" s="124"/>
      <c r="B431" s="124"/>
      <c r="C431" s="124"/>
      <c r="D431" s="1"/>
      <c r="E431" s="124"/>
      <c r="F431" s="125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7"/>
      <c r="V431" s="127"/>
    </row>
    <row r="432" ht="12.75" customHeight="1">
      <c r="A432" s="124"/>
      <c r="B432" s="124"/>
      <c r="C432" s="124"/>
      <c r="D432" s="1"/>
      <c r="E432" s="124"/>
      <c r="F432" s="125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7"/>
      <c r="V432" s="127"/>
    </row>
    <row r="433" ht="12.75" customHeight="1">
      <c r="A433" s="124"/>
      <c r="B433" s="124"/>
      <c r="C433" s="124"/>
      <c r="D433" s="1"/>
      <c r="E433" s="124"/>
      <c r="F433" s="125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7"/>
      <c r="V433" s="127"/>
    </row>
    <row r="434" ht="12.75" customHeight="1">
      <c r="A434" s="124"/>
      <c r="B434" s="124"/>
      <c r="C434" s="124"/>
      <c r="D434" s="1"/>
      <c r="E434" s="124"/>
      <c r="F434" s="125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7"/>
      <c r="V434" s="127"/>
    </row>
    <row r="435" ht="12.75" customHeight="1">
      <c r="A435" s="124"/>
      <c r="B435" s="124"/>
      <c r="C435" s="124"/>
      <c r="D435" s="1"/>
      <c r="E435" s="124"/>
      <c r="F435" s="125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7"/>
      <c r="V435" s="127"/>
    </row>
    <row r="436" ht="12.75" customHeight="1">
      <c r="A436" s="124"/>
      <c r="B436" s="124"/>
      <c r="C436" s="124"/>
      <c r="D436" s="1"/>
      <c r="E436" s="124"/>
      <c r="F436" s="125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7"/>
      <c r="V436" s="127"/>
    </row>
    <row r="437" ht="12.75" customHeight="1">
      <c r="A437" s="124"/>
      <c r="B437" s="124"/>
      <c r="C437" s="124"/>
      <c r="D437" s="1"/>
      <c r="E437" s="124"/>
      <c r="F437" s="125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7"/>
      <c r="V437" s="127"/>
    </row>
    <row r="438" ht="12.75" customHeight="1">
      <c r="A438" s="124"/>
      <c r="B438" s="124"/>
      <c r="C438" s="124"/>
      <c r="D438" s="1"/>
      <c r="E438" s="124"/>
      <c r="F438" s="125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7"/>
      <c r="V438" s="127"/>
    </row>
    <row r="439" ht="12.75" customHeight="1">
      <c r="A439" s="124"/>
      <c r="B439" s="124"/>
      <c r="C439" s="124"/>
      <c r="D439" s="1"/>
      <c r="E439" s="124"/>
      <c r="F439" s="125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7"/>
      <c r="V439" s="127"/>
    </row>
    <row r="440" ht="12.75" customHeight="1">
      <c r="A440" s="124"/>
      <c r="B440" s="124"/>
      <c r="C440" s="124"/>
      <c r="D440" s="1"/>
      <c r="E440" s="124"/>
      <c r="F440" s="125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7"/>
      <c r="V440" s="127"/>
    </row>
    <row r="441" ht="12.75" customHeight="1">
      <c r="A441" s="124"/>
      <c r="B441" s="124"/>
      <c r="C441" s="124"/>
      <c r="D441" s="1"/>
      <c r="E441" s="124"/>
      <c r="F441" s="125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7"/>
      <c r="V441" s="127"/>
    </row>
    <row r="442" ht="12.75" customHeight="1">
      <c r="A442" s="124"/>
      <c r="B442" s="124"/>
      <c r="C442" s="124"/>
      <c r="D442" s="1"/>
      <c r="E442" s="124"/>
      <c r="F442" s="125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7"/>
      <c r="V442" s="127"/>
    </row>
    <row r="443" ht="12.75" customHeight="1">
      <c r="A443" s="124"/>
      <c r="B443" s="124"/>
      <c r="C443" s="124"/>
      <c r="D443" s="1"/>
      <c r="E443" s="124"/>
      <c r="F443" s="125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7"/>
      <c r="V443" s="127"/>
    </row>
    <row r="444" ht="12.75" customHeight="1">
      <c r="A444" s="124"/>
      <c r="B444" s="124"/>
      <c r="C444" s="124"/>
      <c r="D444" s="1"/>
      <c r="E444" s="124"/>
      <c r="F444" s="125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7"/>
      <c r="V444" s="127"/>
    </row>
    <row r="445" ht="12.75" customHeight="1">
      <c r="A445" s="124"/>
      <c r="B445" s="124"/>
      <c r="C445" s="124"/>
      <c r="D445" s="1"/>
      <c r="E445" s="124"/>
      <c r="F445" s="125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7"/>
      <c r="V445" s="127"/>
    </row>
    <row r="446" ht="12.75" customHeight="1">
      <c r="A446" s="124"/>
      <c r="B446" s="124"/>
      <c r="C446" s="124"/>
      <c r="D446" s="1"/>
      <c r="E446" s="124"/>
      <c r="F446" s="125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7"/>
      <c r="V446" s="127"/>
    </row>
    <row r="447" ht="12.75" customHeight="1">
      <c r="A447" s="124"/>
      <c r="B447" s="124"/>
      <c r="C447" s="124"/>
      <c r="D447" s="1"/>
      <c r="E447" s="124"/>
      <c r="F447" s="125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7"/>
      <c r="V447" s="127"/>
    </row>
    <row r="448" ht="12.75" customHeight="1">
      <c r="A448" s="124"/>
      <c r="B448" s="124"/>
      <c r="C448" s="124"/>
      <c r="D448" s="1"/>
      <c r="E448" s="124"/>
      <c r="F448" s="125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7"/>
      <c r="V448" s="127"/>
    </row>
    <row r="449" ht="12.75" customHeight="1">
      <c r="A449" s="124"/>
      <c r="B449" s="124"/>
      <c r="C449" s="124"/>
      <c r="D449" s="1"/>
      <c r="E449" s="124"/>
      <c r="F449" s="125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7"/>
      <c r="V449" s="127"/>
    </row>
    <row r="450" ht="12.75" customHeight="1">
      <c r="A450" s="124"/>
      <c r="B450" s="124"/>
      <c r="C450" s="124"/>
      <c r="D450" s="1"/>
      <c r="E450" s="124"/>
      <c r="F450" s="125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7"/>
      <c r="V450" s="127"/>
    </row>
    <row r="451" ht="12.75" customHeight="1">
      <c r="A451" s="124"/>
      <c r="B451" s="124"/>
      <c r="C451" s="124"/>
      <c r="D451" s="1"/>
      <c r="E451" s="124"/>
      <c r="F451" s="125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7"/>
      <c r="V451" s="127"/>
    </row>
    <row r="452" ht="12.75" customHeight="1">
      <c r="A452" s="124"/>
      <c r="B452" s="124"/>
      <c r="C452" s="124"/>
      <c r="D452" s="1"/>
      <c r="E452" s="124"/>
      <c r="F452" s="125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7"/>
      <c r="V452" s="127"/>
    </row>
    <row r="453" ht="12.75" customHeight="1">
      <c r="A453" s="124"/>
      <c r="B453" s="124"/>
      <c r="C453" s="124"/>
      <c r="D453" s="1"/>
      <c r="E453" s="124"/>
      <c r="F453" s="125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7"/>
      <c r="V453" s="127"/>
    </row>
    <row r="454" ht="12.75" customHeight="1">
      <c r="A454" s="124"/>
      <c r="B454" s="124"/>
      <c r="C454" s="124"/>
      <c r="D454" s="1"/>
      <c r="E454" s="124"/>
      <c r="F454" s="125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7"/>
      <c r="V454" s="127"/>
    </row>
    <row r="455" ht="12.75" customHeight="1">
      <c r="A455" s="124"/>
      <c r="B455" s="124"/>
      <c r="C455" s="124"/>
      <c r="D455" s="1"/>
      <c r="E455" s="124"/>
      <c r="F455" s="125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7"/>
      <c r="V455" s="127"/>
    </row>
    <row r="456" ht="12.75" customHeight="1">
      <c r="A456" s="124"/>
      <c r="B456" s="124"/>
      <c r="C456" s="124"/>
      <c r="D456" s="1"/>
      <c r="E456" s="124"/>
      <c r="F456" s="125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7"/>
      <c r="V456" s="127"/>
    </row>
    <row r="457" ht="12.75" customHeight="1">
      <c r="A457" s="124"/>
      <c r="B457" s="124"/>
      <c r="C457" s="124"/>
      <c r="D457" s="1"/>
      <c r="E457" s="124"/>
      <c r="F457" s="125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7"/>
      <c r="V457" s="127"/>
    </row>
    <row r="458" ht="12.75" customHeight="1">
      <c r="A458" s="124"/>
      <c r="B458" s="124"/>
      <c r="C458" s="124"/>
      <c r="D458" s="1"/>
      <c r="E458" s="124"/>
      <c r="F458" s="125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7"/>
      <c r="V458" s="127"/>
    </row>
    <row r="459" ht="12.75" customHeight="1">
      <c r="A459" s="124"/>
      <c r="B459" s="124"/>
      <c r="C459" s="124"/>
      <c r="D459" s="1"/>
      <c r="E459" s="124"/>
      <c r="F459" s="125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7"/>
      <c r="V459" s="127"/>
    </row>
    <row r="460" ht="12.75" customHeight="1">
      <c r="A460" s="124"/>
      <c r="B460" s="124"/>
      <c r="C460" s="124"/>
      <c r="D460" s="1"/>
      <c r="E460" s="124"/>
      <c r="F460" s="125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7"/>
      <c r="V460" s="127"/>
    </row>
    <row r="461" ht="12.75" customHeight="1">
      <c r="A461" s="124"/>
      <c r="B461" s="124"/>
      <c r="C461" s="124"/>
      <c r="D461" s="1"/>
      <c r="E461" s="124"/>
      <c r="F461" s="125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7"/>
      <c r="V461" s="127"/>
    </row>
    <row r="462" ht="12.75" customHeight="1">
      <c r="A462" s="124"/>
      <c r="B462" s="124"/>
      <c r="C462" s="124"/>
      <c r="D462" s="1"/>
      <c r="E462" s="124"/>
      <c r="F462" s="125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7"/>
      <c r="V462" s="127"/>
    </row>
    <row r="463" ht="12.75" customHeight="1">
      <c r="A463" s="124"/>
      <c r="B463" s="124"/>
      <c r="C463" s="124"/>
      <c r="D463" s="1"/>
      <c r="E463" s="124"/>
      <c r="F463" s="125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7"/>
      <c r="V463" s="127"/>
    </row>
    <row r="464" ht="12.75" customHeight="1">
      <c r="A464" s="124"/>
      <c r="B464" s="124"/>
      <c r="C464" s="124"/>
      <c r="D464" s="1"/>
      <c r="E464" s="124"/>
      <c r="F464" s="125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7"/>
      <c r="V464" s="127"/>
    </row>
    <row r="465" ht="12.75" customHeight="1">
      <c r="A465" s="124"/>
      <c r="B465" s="124"/>
      <c r="C465" s="124"/>
      <c r="D465" s="1"/>
      <c r="E465" s="124"/>
      <c r="F465" s="125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7"/>
      <c r="V465" s="127"/>
    </row>
    <row r="466" ht="12.75" customHeight="1">
      <c r="A466" s="124"/>
      <c r="B466" s="124"/>
      <c r="C466" s="124"/>
      <c r="D466" s="1"/>
      <c r="E466" s="124"/>
      <c r="F466" s="125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7"/>
      <c r="V466" s="127"/>
    </row>
    <row r="467" ht="12.75" customHeight="1">
      <c r="A467" s="124"/>
      <c r="B467" s="124"/>
      <c r="C467" s="124"/>
      <c r="D467" s="1"/>
      <c r="E467" s="124"/>
      <c r="F467" s="125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7"/>
      <c r="V467" s="127"/>
    </row>
    <row r="468" ht="12.75" customHeight="1">
      <c r="A468" s="124"/>
      <c r="B468" s="124"/>
      <c r="C468" s="124"/>
      <c r="D468" s="1"/>
      <c r="E468" s="124"/>
      <c r="F468" s="125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7"/>
      <c r="V468" s="127"/>
    </row>
    <row r="469" ht="12.75" customHeight="1">
      <c r="A469" s="124"/>
      <c r="B469" s="124"/>
      <c r="C469" s="124"/>
      <c r="D469" s="1"/>
      <c r="E469" s="124"/>
      <c r="F469" s="125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7"/>
      <c r="V469" s="127"/>
    </row>
    <row r="470" ht="12.75" customHeight="1">
      <c r="A470" s="124"/>
      <c r="B470" s="124"/>
      <c r="C470" s="124"/>
      <c r="D470" s="1"/>
      <c r="E470" s="124"/>
      <c r="F470" s="125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7"/>
      <c r="V470" s="127"/>
    </row>
    <row r="471" ht="12.75" customHeight="1">
      <c r="A471" s="124"/>
      <c r="B471" s="124"/>
      <c r="C471" s="124"/>
      <c r="D471" s="1"/>
      <c r="E471" s="124"/>
      <c r="F471" s="125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7"/>
      <c r="V471" s="127"/>
    </row>
    <row r="472" ht="12.75" customHeight="1">
      <c r="A472" s="124"/>
      <c r="B472" s="124"/>
      <c r="C472" s="124"/>
      <c r="D472" s="1"/>
      <c r="E472" s="124"/>
      <c r="F472" s="125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7"/>
      <c r="V472" s="127"/>
    </row>
    <row r="473" ht="12.75" customHeight="1">
      <c r="A473" s="124"/>
      <c r="B473" s="124"/>
      <c r="C473" s="124"/>
      <c r="D473" s="1"/>
      <c r="E473" s="124"/>
      <c r="F473" s="125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7"/>
      <c r="V473" s="127"/>
    </row>
    <row r="474" ht="12.75" customHeight="1">
      <c r="A474" s="124"/>
      <c r="B474" s="124"/>
      <c r="C474" s="124"/>
      <c r="D474" s="1"/>
      <c r="E474" s="124"/>
      <c r="F474" s="125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7"/>
      <c r="V474" s="127"/>
    </row>
    <row r="475" ht="12.75" customHeight="1">
      <c r="A475" s="124"/>
      <c r="B475" s="124"/>
      <c r="C475" s="124"/>
      <c r="D475" s="1"/>
      <c r="E475" s="124"/>
      <c r="F475" s="125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7"/>
      <c r="V475" s="127"/>
    </row>
    <row r="476" ht="12.75" customHeight="1">
      <c r="A476" s="124"/>
      <c r="B476" s="124"/>
      <c r="C476" s="124"/>
      <c r="D476" s="1"/>
      <c r="E476" s="124"/>
      <c r="F476" s="125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7"/>
      <c r="V476" s="127"/>
    </row>
    <row r="477" ht="12.75" customHeight="1">
      <c r="A477" s="124"/>
      <c r="B477" s="124"/>
      <c r="C477" s="124"/>
      <c r="D477" s="1"/>
      <c r="E477" s="124"/>
      <c r="F477" s="125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7"/>
      <c r="V477" s="127"/>
    </row>
    <row r="478" ht="12.75" customHeight="1">
      <c r="A478" s="124"/>
      <c r="B478" s="124"/>
      <c r="C478" s="124"/>
      <c r="D478" s="1"/>
      <c r="E478" s="124"/>
      <c r="F478" s="125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7"/>
      <c r="V478" s="127"/>
    </row>
    <row r="479" ht="12.75" customHeight="1">
      <c r="A479" s="124"/>
      <c r="B479" s="124"/>
      <c r="C479" s="124"/>
      <c r="D479" s="1"/>
      <c r="E479" s="124"/>
      <c r="F479" s="125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7"/>
      <c r="V479" s="127"/>
    </row>
    <row r="480" ht="12.75" customHeight="1">
      <c r="A480" s="124"/>
      <c r="B480" s="124"/>
      <c r="C480" s="124"/>
      <c r="D480" s="1"/>
      <c r="E480" s="124"/>
      <c r="F480" s="125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7"/>
      <c r="V480" s="127"/>
    </row>
    <row r="481" ht="12.75" customHeight="1">
      <c r="A481" s="124"/>
      <c r="B481" s="124"/>
      <c r="C481" s="124"/>
      <c r="D481" s="1"/>
      <c r="E481" s="124"/>
      <c r="F481" s="125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7"/>
      <c r="V481" s="127"/>
    </row>
    <row r="482" ht="12.75" customHeight="1">
      <c r="A482" s="124"/>
      <c r="B482" s="124"/>
      <c r="C482" s="124"/>
      <c r="D482" s="1"/>
      <c r="E482" s="124"/>
      <c r="F482" s="125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7"/>
      <c r="V482" s="127"/>
    </row>
    <row r="483" ht="12.75" customHeight="1">
      <c r="A483" s="124"/>
      <c r="B483" s="124"/>
      <c r="C483" s="124"/>
      <c r="D483" s="1"/>
      <c r="E483" s="124"/>
      <c r="F483" s="125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7"/>
      <c r="V483" s="127"/>
    </row>
    <row r="484" ht="12.75" customHeight="1">
      <c r="A484" s="124"/>
      <c r="B484" s="124"/>
      <c r="C484" s="124"/>
      <c r="D484" s="1"/>
      <c r="E484" s="124"/>
      <c r="F484" s="125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7"/>
      <c r="V484" s="127"/>
    </row>
    <row r="485" ht="12.75" customHeight="1">
      <c r="A485" s="124"/>
      <c r="B485" s="124"/>
      <c r="C485" s="124"/>
      <c r="D485" s="1"/>
      <c r="E485" s="124"/>
      <c r="F485" s="125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7"/>
      <c r="V485" s="127"/>
    </row>
    <row r="486" ht="12.75" customHeight="1">
      <c r="A486" s="124"/>
      <c r="B486" s="124"/>
      <c r="C486" s="124"/>
      <c r="D486" s="1"/>
      <c r="E486" s="124"/>
      <c r="F486" s="125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7"/>
      <c r="V486" s="127"/>
    </row>
    <row r="487" ht="12.75" customHeight="1">
      <c r="A487" s="124"/>
      <c r="B487" s="124"/>
      <c r="C487" s="124"/>
      <c r="D487" s="1"/>
      <c r="E487" s="124"/>
      <c r="F487" s="125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7"/>
      <c r="V487" s="127"/>
    </row>
    <row r="488" ht="12.75" customHeight="1">
      <c r="A488" s="124"/>
      <c r="B488" s="124"/>
      <c r="C488" s="124"/>
      <c r="D488" s="1"/>
      <c r="E488" s="124"/>
      <c r="F488" s="125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7"/>
      <c r="V488" s="127"/>
    </row>
    <row r="489" ht="12.75" customHeight="1">
      <c r="A489" s="124"/>
      <c r="B489" s="124"/>
      <c r="C489" s="124"/>
      <c r="D489" s="1"/>
      <c r="E489" s="124"/>
      <c r="F489" s="125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7"/>
      <c r="V489" s="127"/>
    </row>
    <row r="490" ht="12.75" customHeight="1">
      <c r="A490" s="124"/>
      <c r="B490" s="124"/>
      <c r="C490" s="124"/>
      <c r="D490" s="1"/>
      <c r="E490" s="124"/>
      <c r="F490" s="125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7"/>
      <c r="V490" s="127"/>
    </row>
    <row r="491" ht="12.75" customHeight="1">
      <c r="A491" s="124"/>
      <c r="B491" s="124"/>
      <c r="C491" s="124"/>
      <c r="D491" s="1"/>
      <c r="E491" s="124"/>
      <c r="F491" s="125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7"/>
      <c r="V491" s="127"/>
    </row>
    <row r="492" ht="12.75" customHeight="1">
      <c r="A492" s="124"/>
      <c r="B492" s="124"/>
      <c r="C492" s="124"/>
      <c r="D492" s="1"/>
      <c r="E492" s="124"/>
      <c r="F492" s="125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7"/>
      <c r="V492" s="127"/>
    </row>
    <row r="493" ht="12.75" customHeight="1">
      <c r="A493" s="124"/>
      <c r="B493" s="124"/>
      <c r="C493" s="124"/>
      <c r="D493" s="1"/>
      <c r="E493" s="124"/>
      <c r="F493" s="125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7"/>
      <c r="V493" s="127"/>
    </row>
    <row r="494" ht="12.75" customHeight="1">
      <c r="A494" s="124"/>
      <c r="B494" s="124"/>
      <c r="C494" s="124"/>
      <c r="D494" s="1"/>
      <c r="E494" s="124"/>
      <c r="F494" s="125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7"/>
      <c r="V494" s="127"/>
    </row>
    <row r="495" ht="12.75" customHeight="1">
      <c r="A495" s="124"/>
      <c r="B495" s="124"/>
      <c r="C495" s="124"/>
      <c r="D495" s="1"/>
      <c r="E495" s="124"/>
      <c r="F495" s="125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7"/>
      <c r="V495" s="127"/>
    </row>
    <row r="496" ht="12.75" customHeight="1">
      <c r="A496" s="124"/>
      <c r="B496" s="124"/>
      <c r="C496" s="124"/>
      <c r="D496" s="1"/>
      <c r="E496" s="124"/>
      <c r="F496" s="125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7"/>
      <c r="V496" s="127"/>
    </row>
    <row r="497" ht="12.75" customHeight="1">
      <c r="A497" s="124"/>
      <c r="B497" s="124"/>
      <c r="C497" s="124"/>
      <c r="D497" s="1"/>
      <c r="E497" s="124"/>
      <c r="F497" s="125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7"/>
      <c r="V497" s="127"/>
    </row>
    <row r="498" ht="12.75" customHeight="1">
      <c r="A498" s="124"/>
      <c r="B498" s="124"/>
      <c r="C498" s="124"/>
      <c r="D498" s="1"/>
      <c r="E498" s="124"/>
      <c r="F498" s="125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7"/>
      <c r="V498" s="127"/>
    </row>
    <row r="499" ht="12.75" customHeight="1">
      <c r="A499" s="124"/>
      <c r="B499" s="124"/>
      <c r="C499" s="124"/>
      <c r="D499" s="1"/>
      <c r="E499" s="124"/>
      <c r="F499" s="125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7"/>
      <c r="V499" s="127"/>
    </row>
    <row r="500" ht="12.75" customHeight="1">
      <c r="A500" s="124"/>
      <c r="B500" s="124"/>
      <c r="C500" s="124"/>
      <c r="D500" s="1"/>
      <c r="E500" s="124"/>
      <c r="F500" s="125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7"/>
      <c r="V500" s="127"/>
    </row>
    <row r="501" ht="12.75" customHeight="1">
      <c r="A501" s="124"/>
      <c r="B501" s="124"/>
      <c r="C501" s="124"/>
      <c r="D501" s="1"/>
      <c r="E501" s="124"/>
      <c r="F501" s="125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7"/>
      <c r="V501" s="127"/>
    </row>
    <row r="502" ht="12.75" customHeight="1">
      <c r="A502" s="124"/>
      <c r="B502" s="124"/>
      <c r="C502" s="124"/>
      <c r="D502" s="1"/>
      <c r="E502" s="124"/>
      <c r="F502" s="125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7"/>
      <c r="V502" s="127"/>
    </row>
    <row r="503" ht="12.75" customHeight="1">
      <c r="A503" s="124"/>
      <c r="B503" s="124"/>
      <c r="C503" s="124"/>
      <c r="D503" s="1"/>
      <c r="E503" s="124"/>
      <c r="F503" s="125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7"/>
      <c r="V503" s="127"/>
    </row>
    <row r="504" ht="12.75" customHeight="1">
      <c r="A504" s="124"/>
      <c r="B504" s="124"/>
      <c r="C504" s="124"/>
      <c r="D504" s="1"/>
      <c r="E504" s="124"/>
      <c r="F504" s="125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7"/>
      <c r="V504" s="127"/>
    </row>
    <row r="505" ht="12.75" customHeight="1">
      <c r="A505" s="124"/>
      <c r="B505" s="124"/>
      <c r="C505" s="124"/>
      <c r="D505" s="1"/>
      <c r="E505" s="124"/>
      <c r="F505" s="125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7"/>
      <c r="V505" s="127"/>
    </row>
    <row r="506" ht="12.75" customHeight="1">
      <c r="A506" s="124"/>
      <c r="B506" s="124"/>
      <c r="C506" s="124"/>
      <c r="D506" s="1"/>
      <c r="E506" s="124"/>
      <c r="F506" s="125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7"/>
      <c r="V506" s="127"/>
    </row>
    <row r="507" ht="12.75" customHeight="1">
      <c r="A507" s="124"/>
      <c r="B507" s="124"/>
      <c r="C507" s="124"/>
      <c r="D507" s="1"/>
      <c r="E507" s="124"/>
      <c r="F507" s="125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7"/>
      <c r="V507" s="127"/>
    </row>
    <row r="508" ht="12.75" customHeight="1">
      <c r="A508" s="124"/>
      <c r="B508" s="124"/>
      <c r="C508" s="124"/>
      <c r="D508" s="1"/>
      <c r="E508" s="124"/>
      <c r="F508" s="125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7"/>
      <c r="V508" s="127"/>
    </row>
    <row r="509" ht="12.75" customHeight="1">
      <c r="A509" s="124"/>
      <c r="B509" s="124"/>
      <c r="C509" s="124"/>
      <c r="D509" s="1"/>
      <c r="E509" s="124"/>
      <c r="F509" s="125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7"/>
      <c r="V509" s="127"/>
    </row>
    <row r="510" ht="12.75" customHeight="1">
      <c r="A510" s="124"/>
      <c r="B510" s="124"/>
      <c r="C510" s="124"/>
      <c r="D510" s="1"/>
      <c r="E510" s="124"/>
      <c r="F510" s="125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7"/>
      <c r="V510" s="127"/>
    </row>
    <row r="511" ht="12.75" customHeight="1">
      <c r="A511" s="124"/>
      <c r="B511" s="124"/>
      <c r="C511" s="124"/>
      <c r="D511" s="1"/>
      <c r="E511" s="124"/>
      <c r="F511" s="125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7"/>
      <c r="V511" s="127"/>
    </row>
    <row r="512" ht="12.75" customHeight="1">
      <c r="A512" s="124"/>
      <c r="B512" s="124"/>
      <c r="C512" s="124"/>
      <c r="D512" s="1"/>
      <c r="E512" s="124"/>
      <c r="F512" s="125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7"/>
      <c r="V512" s="127"/>
    </row>
    <row r="513" ht="12.75" customHeight="1">
      <c r="A513" s="124"/>
      <c r="B513" s="124"/>
      <c r="C513" s="124"/>
      <c r="D513" s="1"/>
      <c r="E513" s="124"/>
      <c r="F513" s="125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7"/>
      <c r="V513" s="127"/>
    </row>
    <row r="514" ht="12.75" customHeight="1">
      <c r="A514" s="124"/>
      <c r="B514" s="124"/>
      <c r="C514" s="124"/>
      <c r="D514" s="1"/>
      <c r="E514" s="124"/>
      <c r="F514" s="125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7"/>
      <c r="V514" s="127"/>
    </row>
    <row r="515" ht="12.75" customHeight="1">
      <c r="A515" s="124"/>
      <c r="B515" s="124"/>
      <c r="C515" s="124"/>
      <c r="D515" s="1"/>
      <c r="E515" s="124"/>
      <c r="F515" s="125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7"/>
      <c r="V515" s="127"/>
    </row>
    <row r="516" ht="12.75" customHeight="1">
      <c r="A516" s="124"/>
      <c r="B516" s="124"/>
      <c r="C516" s="124"/>
      <c r="D516" s="1"/>
      <c r="E516" s="124"/>
      <c r="F516" s="125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7"/>
      <c r="V516" s="127"/>
    </row>
    <row r="517" ht="12.75" customHeight="1">
      <c r="A517" s="124"/>
      <c r="B517" s="124"/>
      <c r="C517" s="124"/>
      <c r="D517" s="1"/>
      <c r="E517" s="124"/>
      <c r="F517" s="125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7"/>
      <c r="V517" s="127"/>
    </row>
    <row r="518" ht="12.75" customHeight="1">
      <c r="A518" s="124"/>
      <c r="B518" s="124"/>
      <c r="C518" s="124"/>
      <c r="D518" s="1"/>
      <c r="E518" s="124"/>
      <c r="F518" s="125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7"/>
      <c r="V518" s="127"/>
    </row>
    <row r="519" ht="12.75" customHeight="1">
      <c r="A519" s="124"/>
      <c r="B519" s="124"/>
      <c r="C519" s="124"/>
      <c r="D519" s="1"/>
      <c r="E519" s="124"/>
      <c r="F519" s="125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7"/>
      <c r="V519" s="127"/>
    </row>
    <row r="520" ht="12.75" customHeight="1">
      <c r="A520" s="124"/>
      <c r="B520" s="124"/>
      <c r="C520" s="124"/>
      <c r="D520" s="1"/>
      <c r="E520" s="124"/>
      <c r="F520" s="125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7"/>
      <c r="V520" s="127"/>
    </row>
    <row r="521" ht="12.75" customHeight="1">
      <c r="A521" s="124"/>
      <c r="B521" s="124"/>
      <c r="C521" s="124"/>
      <c r="D521" s="1"/>
      <c r="E521" s="124"/>
      <c r="F521" s="125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7"/>
      <c r="V521" s="127"/>
    </row>
    <row r="522" ht="12.75" customHeight="1">
      <c r="A522" s="124"/>
      <c r="B522" s="124"/>
      <c r="C522" s="124"/>
      <c r="D522" s="1"/>
      <c r="E522" s="124"/>
      <c r="F522" s="125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7"/>
      <c r="V522" s="127"/>
    </row>
    <row r="523" ht="12.75" customHeight="1">
      <c r="A523" s="124"/>
      <c r="B523" s="124"/>
      <c r="C523" s="124"/>
      <c r="D523" s="1"/>
      <c r="E523" s="124"/>
      <c r="F523" s="125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7"/>
      <c r="V523" s="127"/>
    </row>
    <row r="524" ht="12.75" customHeight="1">
      <c r="A524" s="124"/>
      <c r="B524" s="124"/>
      <c r="C524" s="124"/>
      <c r="D524" s="1"/>
      <c r="E524" s="124"/>
      <c r="F524" s="125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7"/>
      <c r="V524" s="127"/>
    </row>
    <row r="525" ht="12.75" customHeight="1">
      <c r="A525" s="124"/>
      <c r="B525" s="124"/>
      <c r="C525" s="124"/>
      <c r="D525" s="1"/>
      <c r="E525" s="124"/>
      <c r="F525" s="125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7"/>
      <c r="V525" s="127"/>
    </row>
    <row r="526" ht="12.75" customHeight="1">
      <c r="A526" s="124"/>
      <c r="B526" s="124"/>
      <c r="C526" s="124"/>
      <c r="D526" s="1"/>
      <c r="E526" s="124"/>
      <c r="F526" s="125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7"/>
      <c r="V526" s="127"/>
    </row>
    <row r="527" ht="12.75" customHeight="1">
      <c r="A527" s="124"/>
      <c r="B527" s="124"/>
      <c r="C527" s="124"/>
      <c r="D527" s="1"/>
      <c r="E527" s="124"/>
      <c r="F527" s="125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7"/>
      <c r="V527" s="127"/>
    </row>
    <row r="528" ht="12.75" customHeight="1">
      <c r="A528" s="124"/>
      <c r="B528" s="124"/>
      <c r="C528" s="124"/>
      <c r="D528" s="1"/>
      <c r="E528" s="124"/>
      <c r="F528" s="125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7"/>
      <c r="V528" s="127"/>
    </row>
    <row r="529" ht="12.75" customHeight="1">
      <c r="A529" s="124"/>
      <c r="B529" s="124"/>
      <c r="C529" s="124"/>
      <c r="D529" s="1"/>
      <c r="E529" s="124"/>
      <c r="F529" s="125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7"/>
      <c r="V529" s="127"/>
    </row>
    <row r="530" ht="12.75" customHeight="1">
      <c r="A530" s="124"/>
      <c r="B530" s="124"/>
      <c r="C530" s="124"/>
      <c r="D530" s="1"/>
      <c r="E530" s="124"/>
      <c r="F530" s="125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7"/>
      <c r="V530" s="127"/>
    </row>
    <row r="531" ht="12.75" customHeight="1">
      <c r="A531" s="124"/>
      <c r="B531" s="124"/>
      <c r="C531" s="124"/>
      <c r="D531" s="1"/>
      <c r="E531" s="124"/>
      <c r="F531" s="125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7"/>
      <c r="V531" s="127"/>
    </row>
    <row r="532" ht="12.75" customHeight="1">
      <c r="A532" s="124"/>
      <c r="B532" s="124"/>
      <c r="C532" s="124"/>
      <c r="D532" s="1"/>
      <c r="E532" s="124"/>
      <c r="F532" s="125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7"/>
      <c r="V532" s="127"/>
    </row>
    <row r="533" ht="12.75" customHeight="1">
      <c r="A533" s="124"/>
      <c r="B533" s="124"/>
      <c r="C533" s="124"/>
      <c r="D533" s="1"/>
      <c r="E533" s="124"/>
      <c r="F533" s="125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7"/>
      <c r="V533" s="127"/>
    </row>
    <row r="534" ht="12.75" customHeight="1">
      <c r="A534" s="124"/>
      <c r="B534" s="124"/>
      <c r="C534" s="124"/>
      <c r="D534" s="1"/>
      <c r="E534" s="124"/>
      <c r="F534" s="125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7"/>
      <c r="V534" s="127"/>
    </row>
    <row r="535" ht="12.75" customHeight="1">
      <c r="A535" s="124"/>
      <c r="B535" s="124"/>
      <c r="C535" s="124"/>
      <c r="D535" s="1"/>
      <c r="E535" s="124"/>
      <c r="F535" s="125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7"/>
      <c r="V535" s="127"/>
    </row>
    <row r="536" ht="12.75" customHeight="1">
      <c r="A536" s="124"/>
      <c r="B536" s="124"/>
      <c r="C536" s="124"/>
      <c r="D536" s="1"/>
      <c r="E536" s="124"/>
      <c r="F536" s="125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7"/>
      <c r="V536" s="127"/>
    </row>
    <row r="537" ht="12.75" customHeight="1">
      <c r="A537" s="124"/>
      <c r="B537" s="124"/>
      <c r="C537" s="124"/>
      <c r="D537" s="1"/>
      <c r="E537" s="124"/>
      <c r="F537" s="125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7"/>
      <c r="V537" s="127"/>
    </row>
    <row r="538" ht="12.75" customHeight="1">
      <c r="A538" s="124"/>
      <c r="B538" s="124"/>
      <c r="C538" s="124"/>
      <c r="D538" s="1"/>
      <c r="E538" s="124"/>
      <c r="F538" s="125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7"/>
      <c r="V538" s="127"/>
    </row>
    <row r="539" ht="12.75" customHeight="1">
      <c r="A539" s="124"/>
      <c r="B539" s="124"/>
      <c r="C539" s="124"/>
      <c r="D539" s="1"/>
      <c r="E539" s="124"/>
      <c r="F539" s="125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7"/>
      <c r="V539" s="127"/>
    </row>
    <row r="540" ht="12.75" customHeight="1">
      <c r="A540" s="124"/>
      <c r="B540" s="124"/>
      <c r="C540" s="124"/>
      <c r="D540" s="1"/>
      <c r="E540" s="124"/>
      <c r="F540" s="125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7"/>
      <c r="V540" s="127"/>
    </row>
    <row r="541" ht="12.75" customHeight="1">
      <c r="A541" s="124"/>
      <c r="B541" s="124"/>
      <c r="C541" s="124"/>
      <c r="D541" s="1"/>
      <c r="E541" s="124"/>
      <c r="F541" s="125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7"/>
      <c r="V541" s="127"/>
    </row>
    <row r="542" ht="12.75" customHeight="1">
      <c r="A542" s="124"/>
      <c r="B542" s="124"/>
      <c r="C542" s="124"/>
      <c r="D542" s="1"/>
      <c r="E542" s="124"/>
      <c r="F542" s="125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7"/>
      <c r="V542" s="127"/>
    </row>
    <row r="543" ht="12.75" customHeight="1">
      <c r="A543" s="124"/>
      <c r="B543" s="124"/>
      <c r="C543" s="124"/>
      <c r="D543" s="1"/>
      <c r="E543" s="124"/>
      <c r="F543" s="125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7"/>
      <c r="V543" s="127"/>
    </row>
    <row r="544" ht="12.75" customHeight="1">
      <c r="A544" s="124"/>
      <c r="B544" s="124"/>
      <c r="C544" s="124"/>
      <c r="D544" s="1"/>
      <c r="E544" s="124"/>
      <c r="F544" s="125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7"/>
      <c r="V544" s="127"/>
    </row>
    <row r="545" ht="12.75" customHeight="1">
      <c r="A545" s="124"/>
      <c r="B545" s="124"/>
      <c r="C545" s="124"/>
      <c r="D545" s="1"/>
      <c r="E545" s="124"/>
      <c r="F545" s="125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7"/>
      <c r="V545" s="127"/>
    </row>
    <row r="546" ht="12.75" customHeight="1">
      <c r="A546" s="124"/>
      <c r="B546" s="124"/>
      <c r="C546" s="124"/>
      <c r="D546" s="1"/>
      <c r="E546" s="124"/>
      <c r="F546" s="125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7"/>
      <c r="V546" s="127"/>
    </row>
    <row r="547" ht="12.75" customHeight="1">
      <c r="A547" s="124"/>
      <c r="B547" s="124"/>
      <c r="C547" s="124"/>
      <c r="D547" s="1"/>
      <c r="E547" s="124"/>
      <c r="F547" s="125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7"/>
      <c r="V547" s="127"/>
    </row>
    <row r="548" ht="12.75" customHeight="1">
      <c r="A548" s="124"/>
      <c r="B548" s="124"/>
      <c r="C548" s="124"/>
      <c r="D548" s="1"/>
      <c r="E548" s="124"/>
      <c r="F548" s="125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7"/>
      <c r="V548" s="127"/>
    </row>
    <row r="549" ht="12.75" customHeight="1">
      <c r="A549" s="124"/>
      <c r="B549" s="124"/>
      <c r="C549" s="124"/>
      <c r="D549" s="1"/>
      <c r="E549" s="124"/>
      <c r="F549" s="125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7"/>
      <c r="V549" s="127"/>
    </row>
    <row r="550" ht="12.75" customHeight="1">
      <c r="A550" s="124"/>
      <c r="B550" s="124"/>
      <c r="C550" s="124"/>
      <c r="D550" s="1"/>
      <c r="E550" s="124"/>
      <c r="F550" s="125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7"/>
      <c r="V550" s="127"/>
    </row>
    <row r="551" ht="12.75" customHeight="1">
      <c r="A551" s="124"/>
      <c r="B551" s="124"/>
      <c r="C551" s="124"/>
      <c r="D551" s="1"/>
      <c r="E551" s="124"/>
      <c r="F551" s="125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7"/>
      <c r="V551" s="127"/>
    </row>
    <row r="552" ht="12.75" customHeight="1">
      <c r="A552" s="124"/>
      <c r="B552" s="124"/>
      <c r="C552" s="124"/>
      <c r="D552" s="1"/>
      <c r="E552" s="124"/>
      <c r="F552" s="125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7"/>
      <c r="V552" s="127"/>
    </row>
    <row r="553" ht="12.75" customHeight="1">
      <c r="A553" s="124"/>
      <c r="B553" s="124"/>
      <c r="C553" s="124"/>
      <c r="D553" s="1"/>
      <c r="E553" s="124"/>
      <c r="F553" s="125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7"/>
      <c r="V553" s="127"/>
    </row>
    <row r="554" ht="12.75" customHeight="1">
      <c r="A554" s="124"/>
      <c r="B554" s="124"/>
      <c r="C554" s="124"/>
      <c r="D554" s="1"/>
      <c r="E554" s="124"/>
      <c r="F554" s="125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7"/>
      <c r="V554" s="127"/>
    </row>
    <row r="555" ht="12.75" customHeight="1">
      <c r="A555" s="124"/>
      <c r="B555" s="124"/>
      <c r="C555" s="124"/>
      <c r="D555" s="1"/>
      <c r="E555" s="124"/>
      <c r="F555" s="125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7"/>
      <c r="V555" s="127"/>
    </row>
    <row r="556" ht="12.75" customHeight="1">
      <c r="A556" s="124"/>
      <c r="B556" s="124"/>
      <c r="C556" s="124"/>
      <c r="D556" s="1"/>
      <c r="E556" s="124"/>
      <c r="F556" s="125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7"/>
      <c r="V556" s="127"/>
    </row>
    <row r="557" ht="12.75" customHeight="1">
      <c r="A557" s="124"/>
      <c r="B557" s="124"/>
      <c r="C557" s="124"/>
      <c r="D557" s="1"/>
      <c r="E557" s="124"/>
      <c r="F557" s="125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7"/>
      <c r="V557" s="127"/>
    </row>
    <row r="558" ht="12.75" customHeight="1">
      <c r="A558" s="124"/>
      <c r="B558" s="124"/>
      <c r="C558" s="124"/>
      <c r="D558" s="1"/>
      <c r="E558" s="124"/>
      <c r="F558" s="125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7"/>
      <c r="V558" s="127"/>
    </row>
    <row r="559" ht="12.75" customHeight="1">
      <c r="A559" s="124"/>
      <c r="B559" s="124"/>
      <c r="C559" s="124"/>
      <c r="D559" s="1"/>
      <c r="E559" s="124"/>
      <c r="F559" s="125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7"/>
      <c r="V559" s="127"/>
    </row>
    <row r="560" ht="12.75" customHeight="1">
      <c r="A560" s="124"/>
      <c r="B560" s="124"/>
      <c r="C560" s="124"/>
      <c r="D560" s="1"/>
      <c r="E560" s="124"/>
      <c r="F560" s="125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7"/>
      <c r="V560" s="127"/>
    </row>
    <row r="561" ht="12.75" customHeight="1">
      <c r="A561" s="124"/>
      <c r="B561" s="124"/>
      <c r="C561" s="124"/>
      <c r="D561" s="1"/>
      <c r="E561" s="124"/>
      <c r="F561" s="125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7"/>
      <c r="V561" s="127"/>
    </row>
    <row r="562" ht="12.75" customHeight="1">
      <c r="A562" s="124"/>
      <c r="B562" s="124"/>
      <c r="C562" s="124"/>
      <c r="D562" s="1"/>
      <c r="E562" s="124"/>
      <c r="F562" s="125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7"/>
      <c r="V562" s="127"/>
    </row>
    <row r="563" ht="12.75" customHeight="1">
      <c r="A563" s="124"/>
      <c r="B563" s="124"/>
      <c r="C563" s="124"/>
      <c r="D563" s="1"/>
      <c r="E563" s="124"/>
      <c r="F563" s="125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7"/>
      <c r="V563" s="127"/>
    </row>
    <row r="564" ht="12.75" customHeight="1">
      <c r="A564" s="124"/>
      <c r="B564" s="124"/>
      <c r="C564" s="124"/>
      <c r="D564" s="1"/>
      <c r="E564" s="124"/>
      <c r="F564" s="125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7"/>
      <c r="V564" s="127"/>
    </row>
    <row r="565" ht="12.75" customHeight="1">
      <c r="A565" s="128"/>
      <c r="B565" s="128"/>
      <c r="C565" s="128"/>
      <c r="D565" s="129"/>
      <c r="E565" s="128"/>
      <c r="F565" s="130"/>
      <c r="G565" s="131"/>
      <c r="H565" s="131"/>
      <c r="I565" s="131"/>
      <c r="J565" s="131"/>
      <c r="K565" s="131"/>
      <c r="L565" s="131"/>
      <c r="M565" s="131"/>
      <c r="N565" s="131"/>
      <c r="O565" s="131"/>
      <c r="P565" s="131"/>
      <c r="Q565" s="131"/>
      <c r="R565" s="131"/>
      <c r="S565" s="131"/>
      <c r="T565" s="131"/>
      <c r="U565" s="132"/>
      <c r="V565" s="132"/>
    </row>
    <row r="566" ht="12.75" customHeight="1">
      <c r="A566" s="128"/>
      <c r="B566" s="128"/>
      <c r="C566" s="128"/>
      <c r="D566" s="129"/>
      <c r="E566" s="128"/>
      <c r="F566" s="130"/>
      <c r="G566" s="131"/>
      <c r="H566" s="131"/>
      <c r="I566" s="131"/>
      <c r="J566" s="131"/>
      <c r="K566" s="131"/>
      <c r="L566" s="131"/>
      <c r="M566" s="131"/>
      <c r="N566" s="131"/>
      <c r="O566" s="131"/>
      <c r="P566" s="131"/>
      <c r="Q566" s="131"/>
      <c r="R566" s="131"/>
      <c r="S566" s="131"/>
      <c r="T566" s="131"/>
      <c r="U566" s="132"/>
      <c r="V566" s="132"/>
    </row>
    <row r="567" ht="12.75" customHeight="1">
      <c r="A567" s="128"/>
      <c r="B567" s="128"/>
      <c r="C567" s="128"/>
      <c r="D567" s="129"/>
      <c r="E567" s="128"/>
      <c r="F567" s="130"/>
      <c r="G567" s="131"/>
      <c r="H567" s="131"/>
      <c r="I567" s="131"/>
      <c r="J567" s="131"/>
      <c r="K567" s="131"/>
      <c r="L567" s="131"/>
      <c r="M567" s="131"/>
      <c r="N567" s="131"/>
      <c r="O567" s="131"/>
      <c r="P567" s="131"/>
      <c r="Q567" s="131"/>
      <c r="R567" s="131"/>
      <c r="S567" s="131"/>
      <c r="T567" s="131"/>
      <c r="U567" s="132"/>
      <c r="V567" s="132"/>
    </row>
    <row r="568" ht="12.75" customHeight="1">
      <c r="A568" s="128"/>
      <c r="B568" s="128"/>
      <c r="C568" s="128"/>
      <c r="D568" s="129"/>
      <c r="E568" s="128"/>
      <c r="F568" s="130"/>
      <c r="G568" s="131"/>
      <c r="H568" s="131"/>
      <c r="I568" s="131"/>
      <c r="J568" s="131"/>
      <c r="K568" s="131"/>
      <c r="L568" s="131"/>
      <c r="M568" s="131"/>
      <c r="N568" s="131"/>
      <c r="O568" s="131"/>
      <c r="P568" s="131"/>
      <c r="Q568" s="131"/>
      <c r="R568" s="131"/>
      <c r="S568" s="131"/>
      <c r="T568" s="131"/>
      <c r="U568" s="132"/>
      <c r="V568" s="132"/>
    </row>
    <row r="569" ht="12.75" customHeight="1">
      <c r="A569" s="128"/>
      <c r="B569" s="128"/>
      <c r="C569" s="128"/>
      <c r="D569" s="129"/>
      <c r="E569" s="128"/>
      <c r="F569" s="130"/>
      <c r="G569" s="131"/>
      <c r="H569" s="131"/>
      <c r="I569" s="131"/>
      <c r="J569" s="131"/>
      <c r="K569" s="131"/>
      <c r="L569" s="131"/>
      <c r="M569" s="131"/>
      <c r="N569" s="131"/>
      <c r="O569" s="131"/>
      <c r="P569" s="131"/>
      <c r="Q569" s="131"/>
      <c r="R569" s="131"/>
      <c r="S569" s="131"/>
      <c r="T569" s="131"/>
      <c r="U569" s="132"/>
      <c r="V569" s="132"/>
    </row>
    <row r="570" ht="12.75" customHeight="1">
      <c r="A570" s="128"/>
      <c r="B570" s="128"/>
      <c r="C570" s="128"/>
      <c r="D570" s="129"/>
      <c r="E570" s="128"/>
      <c r="F570" s="130"/>
      <c r="G570" s="131"/>
      <c r="H570" s="131"/>
      <c r="I570" s="131"/>
      <c r="J570" s="131"/>
      <c r="K570" s="131"/>
      <c r="L570" s="131"/>
      <c r="M570" s="131"/>
      <c r="N570" s="131"/>
      <c r="O570" s="131"/>
      <c r="P570" s="131"/>
      <c r="Q570" s="131"/>
      <c r="R570" s="131"/>
      <c r="S570" s="131"/>
      <c r="T570" s="131"/>
      <c r="U570" s="132"/>
      <c r="V570" s="132"/>
    </row>
    <row r="571" ht="12.75" customHeight="1">
      <c r="A571" s="128"/>
      <c r="B571" s="128"/>
      <c r="C571" s="128"/>
      <c r="D571" s="129"/>
      <c r="E571" s="128"/>
      <c r="F571" s="130"/>
      <c r="G571" s="131"/>
      <c r="H571" s="131"/>
      <c r="I571" s="131"/>
      <c r="J571" s="131"/>
      <c r="K571" s="131"/>
      <c r="L571" s="131"/>
      <c r="M571" s="131"/>
      <c r="N571" s="131"/>
      <c r="O571" s="131"/>
      <c r="P571" s="131"/>
      <c r="Q571" s="131"/>
      <c r="R571" s="131"/>
      <c r="S571" s="131"/>
      <c r="T571" s="131"/>
      <c r="U571" s="132"/>
      <c r="V571" s="132"/>
    </row>
    <row r="572" ht="12.75" customHeight="1">
      <c r="A572" s="128"/>
      <c r="B572" s="128"/>
      <c r="C572" s="128"/>
      <c r="D572" s="129"/>
      <c r="E572" s="128"/>
      <c r="F572" s="130"/>
      <c r="G572" s="131"/>
      <c r="H572" s="131"/>
      <c r="I572" s="131"/>
      <c r="J572" s="131"/>
      <c r="K572" s="131"/>
      <c r="L572" s="131"/>
      <c r="M572" s="131"/>
      <c r="N572" s="131"/>
      <c r="O572" s="131"/>
      <c r="P572" s="131"/>
      <c r="Q572" s="131"/>
      <c r="R572" s="131"/>
      <c r="S572" s="131"/>
      <c r="T572" s="131"/>
      <c r="U572" s="132"/>
      <c r="V572" s="132"/>
    </row>
    <row r="573" ht="12.75" customHeight="1">
      <c r="A573" s="128"/>
      <c r="B573" s="128"/>
      <c r="C573" s="128"/>
      <c r="D573" s="129"/>
      <c r="E573" s="128"/>
      <c r="F573" s="130"/>
      <c r="G573" s="131"/>
      <c r="H573" s="131"/>
      <c r="I573" s="131"/>
      <c r="J573" s="131"/>
      <c r="K573" s="131"/>
      <c r="L573" s="131"/>
      <c r="M573" s="131"/>
      <c r="N573" s="131"/>
      <c r="O573" s="131"/>
      <c r="P573" s="131"/>
      <c r="Q573" s="131"/>
      <c r="R573" s="131"/>
      <c r="S573" s="131"/>
      <c r="T573" s="131"/>
      <c r="U573" s="132"/>
      <c r="V573" s="132"/>
    </row>
    <row r="574" ht="12.75" customHeight="1">
      <c r="A574" s="128"/>
      <c r="B574" s="128"/>
      <c r="C574" s="128"/>
      <c r="D574" s="129"/>
      <c r="E574" s="128"/>
      <c r="F574" s="130"/>
      <c r="G574" s="131"/>
      <c r="H574" s="131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32"/>
      <c r="V574" s="132"/>
    </row>
    <row r="575" ht="12.75" customHeight="1">
      <c r="A575" s="128"/>
      <c r="B575" s="128"/>
      <c r="C575" s="128"/>
      <c r="D575" s="129"/>
      <c r="E575" s="128"/>
      <c r="F575" s="130"/>
      <c r="G575" s="131"/>
      <c r="H575" s="131"/>
      <c r="I575" s="131"/>
      <c r="J575" s="131"/>
      <c r="K575" s="131"/>
      <c r="L575" s="131"/>
      <c r="M575" s="131"/>
      <c r="N575" s="131"/>
      <c r="O575" s="131"/>
      <c r="P575" s="131"/>
      <c r="Q575" s="131"/>
      <c r="R575" s="131"/>
      <c r="S575" s="131"/>
      <c r="T575" s="131"/>
      <c r="U575" s="132"/>
      <c r="V575" s="132"/>
    </row>
    <row r="576" ht="12.75" customHeight="1">
      <c r="A576" s="128"/>
      <c r="B576" s="128"/>
      <c r="C576" s="128"/>
      <c r="D576" s="129"/>
      <c r="E576" s="128"/>
      <c r="F576" s="130"/>
      <c r="G576" s="131"/>
      <c r="H576" s="131"/>
      <c r="I576" s="131"/>
      <c r="J576" s="131"/>
      <c r="K576" s="131"/>
      <c r="L576" s="131"/>
      <c r="M576" s="131"/>
      <c r="N576" s="131"/>
      <c r="O576" s="131"/>
      <c r="P576" s="131"/>
      <c r="Q576" s="131"/>
      <c r="R576" s="131"/>
      <c r="S576" s="131"/>
      <c r="T576" s="131"/>
      <c r="U576" s="132"/>
      <c r="V576" s="132"/>
    </row>
    <row r="577" ht="12.75" customHeight="1">
      <c r="A577" s="128"/>
      <c r="B577" s="128"/>
      <c r="C577" s="128"/>
      <c r="D577" s="129"/>
      <c r="E577" s="128"/>
      <c r="F577" s="130"/>
      <c r="G577" s="131"/>
      <c r="H577" s="131"/>
      <c r="I577" s="131"/>
      <c r="J577" s="131"/>
      <c r="K577" s="131"/>
      <c r="L577" s="131"/>
      <c r="M577" s="131"/>
      <c r="N577" s="131"/>
      <c r="O577" s="131"/>
      <c r="P577" s="131"/>
      <c r="Q577" s="131"/>
      <c r="R577" s="131"/>
      <c r="S577" s="131"/>
      <c r="T577" s="131"/>
      <c r="U577" s="132"/>
      <c r="V577" s="132"/>
    </row>
    <row r="578" ht="12.75" customHeight="1">
      <c r="A578" s="128"/>
      <c r="B578" s="128"/>
      <c r="C578" s="128"/>
      <c r="D578" s="129"/>
      <c r="E578" s="128"/>
      <c r="F578" s="130"/>
      <c r="G578" s="131"/>
      <c r="H578" s="131"/>
      <c r="I578" s="131"/>
      <c r="J578" s="131"/>
      <c r="K578" s="131"/>
      <c r="L578" s="131"/>
      <c r="M578" s="131"/>
      <c r="N578" s="131"/>
      <c r="O578" s="131"/>
      <c r="P578" s="131"/>
      <c r="Q578" s="131"/>
      <c r="R578" s="131"/>
      <c r="S578" s="131"/>
      <c r="T578" s="131"/>
      <c r="U578" s="132"/>
      <c r="V578" s="132"/>
    </row>
    <row r="579" ht="12.75" customHeight="1">
      <c r="A579" s="128"/>
      <c r="B579" s="128"/>
      <c r="C579" s="128"/>
      <c r="D579" s="129"/>
      <c r="E579" s="128"/>
      <c r="F579" s="130"/>
      <c r="G579" s="131"/>
      <c r="H579" s="131"/>
      <c r="I579" s="131"/>
      <c r="J579" s="131"/>
      <c r="K579" s="131"/>
      <c r="L579" s="131"/>
      <c r="M579" s="131"/>
      <c r="N579" s="131"/>
      <c r="O579" s="131"/>
      <c r="P579" s="131"/>
      <c r="Q579" s="131"/>
      <c r="R579" s="131"/>
      <c r="S579" s="131"/>
      <c r="T579" s="131"/>
      <c r="U579" s="132"/>
      <c r="V579" s="132"/>
    </row>
    <row r="580" ht="12.75" customHeight="1">
      <c r="A580" s="128"/>
      <c r="B580" s="128"/>
      <c r="C580" s="128"/>
      <c r="D580" s="129"/>
      <c r="E580" s="128"/>
      <c r="F580" s="130"/>
      <c r="G580" s="131"/>
      <c r="H580" s="131"/>
      <c r="I580" s="131"/>
      <c r="J580" s="131"/>
      <c r="K580" s="131"/>
      <c r="L580" s="131"/>
      <c r="M580" s="131"/>
      <c r="N580" s="131"/>
      <c r="O580" s="131"/>
      <c r="P580" s="131"/>
      <c r="Q580" s="131"/>
      <c r="R580" s="131"/>
      <c r="S580" s="131"/>
      <c r="T580" s="131"/>
      <c r="U580" s="132"/>
      <c r="V580" s="132"/>
    </row>
    <row r="581" ht="12.75" customHeight="1">
      <c r="A581" s="128"/>
      <c r="B581" s="128"/>
      <c r="C581" s="128"/>
      <c r="D581" s="129"/>
      <c r="E581" s="128"/>
      <c r="F581" s="130"/>
      <c r="G581" s="131"/>
      <c r="H581" s="131"/>
      <c r="I581" s="131"/>
      <c r="J581" s="131"/>
      <c r="K581" s="131"/>
      <c r="L581" s="131"/>
      <c r="M581" s="131"/>
      <c r="N581" s="131"/>
      <c r="O581" s="131"/>
      <c r="P581" s="131"/>
      <c r="Q581" s="131"/>
      <c r="R581" s="131"/>
      <c r="S581" s="131"/>
      <c r="T581" s="131"/>
      <c r="U581" s="132"/>
      <c r="V581" s="132"/>
    </row>
    <row r="582" ht="12.75" customHeight="1">
      <c r="A582" s="128"/>
      <c r="B582" s="128"/>
      <c r="C582" s="128"/>
      <c r="D582" s="129"/>
      <c r="E582" s="128"/>
      <c r="F582" s="130"/>
      <c r="G582" s="131"/>
      <c r="H582" s="131"/>
      <c r="I582" s="131"/>
      <c r="J582" s="131"/>
      <c r="K582" s="131"/>
      <c r="L582" s="131"/>
      <c r="M582" s="131"/>
      <c r="N582" s="131"/>
      <c r="O582" s="131"/>
      <c r="P582" s="131"/>
      <c r="Q582" s="131"/>
      <c r="R582" s="131"/>
      <c r="S582" s="131"/>
      <c r="T582" s="131"/>
      <c r="U582" s="132"/>
      <c r="V582" s="132"/>
    </row>
    <row r="583" ht="12.75" customHeight="1">
      <c r="A583" s="128"/>
      <c r="B583" s="128"/>
      <c r="C583" s="128"/>
      <c r="D583" s="129"/>
      <c r="E583" s="128"/>
      <c r="F583" s="130"/>
      <c r="G583" s="131"/>
      <c r="H583" s="131"/>
      <c r="I583" s="131"/>
      <c r="J583" s="131"/>
      <c r="K583" s="131"/>
      <c r="L583" s="131"/>
      <c r="M583" s="131"/>
      <c r="N583" s="131"/>
      <c r="O583" s="131"/>
      <c r="P583" s="131"/>
      <c r="Q583" s="131"/>
      <c r="R583" s="131"/>
      <c r="S583" s="131"/>
      <c r="T583" s="131"/>
      <c r="U583" s="132"/>
      <c r="V583" s="132"/>
    </row>
    <row r="584" ht="12.75" customHeight="1">
      <c r="A584" s="128"/>
      <c r="B584" s="128"/>
      <c r="C584" s="128"/>
      <c r="D584" s="129"/>
      <c r="E584" s="128"/>
      <c r="F584" s="130"/>
      <c r="G584" s="131"/>
      <c r="H584" s="131"/>
      <c r="I584" s="131"/>
      <c r="J584" s="131"/>
      <c r="K584" s="131"/>
      <c r="L584" s="131"/>
      <c r="M584" s="131"/>
      <c r="N584" s="131"/>
      <c r="O584" s="131"/>
      <c r="P584" s="131"/>
      <c r="Q584" s="131"/>
      <c r="R584" s="131"/>
      <c r="S584" s="131"/>
      <c r="T584" s="131"/>
      <c r="U584" s="132"/>
      <c r="V584" s="132"/>
    </row>
    <row r="585" ht="12.75" customHeight="1">
      <c r="A585" s="128"/>
      <c r="B585" s="128"/>
      <c r="C585" s="128"/>
      <c r="D585" s="129"/>
      <c r="E585" s="128"/>
      <c r="F585" s="130"/>
      <c r="G585" s="131"/>
      <c r="H585" s="131"/>
      <c r="I585" s="131"/>
      <c r="J585" s="131"/>
      <c r="K585" s="131"/>
      <c r="L585" s="131"/>
      <c r="M585" s="131"/>
      <c r="N585" s="131"/>
      <c r="O585" s="131"/>
      <c r="P585" s="131"/>
      <c r="Q585" s="131"/>
      <c r="R585" s="131"/>
      <c r="S585" s="131"/>
      <c r="T585" s="131"/>
      <c r="U585" s="132"/>
      <c r="V585" s="132"/>
    </row>
    <row r="586" ht="12.75" customHeight="1">
      <c r="A586" s="128"/>
      <c r="B586" s="128"/>
      <c r="C586" s="128"/>
      <c r="D586" s="129"/>
      <c r="E586" s="128"/>
      <c r="F586" s="130"/>
      <c r="G586" s="131"/>
      <c r="H586" s="131"/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2"/>
      <c r="V586" s="132"/>
    </row>
    <row r="587" ht="12.75" customHeight="1">
      <c r="A587" s="128"/>
      <c r="B587" s="128"/>
      <c r="C587" s="128"/>
      <c r="D587" s="129"/>
      <c r="E587" s="128"/>
      <c r="F587" s="130"/>
      <c r="G587" s="131"/>
      <c r="H587" s="131"/>
      <c r="I587" s="131"/>
      <c r="J587" s="131"/>
      <c r="K587" s="131"/>
      <c r="L587" s="131"/>
      <c r="M587" s="131"/>
      <c r="N587" s="131"/>
      <c r="O587" s="131"/>
      <c r="P587" s="131"/>
      <c r="Q587" s="131"/>
      <c r="R587" s="131"/>
      <c r="S587" s="131"/>
      <c r="T587" s="131"/>
      <c r="U587" s="132"/>
      <c r="V587" s="132"/>
    </row>
    <row r="588" ht="12.75" customHeight="1">
      <c r="A588" s="128"/>
      <c r="B588" s="128"/>
      <c r="C588" s="128"/>
      <c r="D588" s="129"/>
      <c r="E588" s="128"/>
      <c r="F588" s="130"/>
      <c r="G588" s="131"/>
      <c r="H588" s="131"/>
      <c r="I588" s="131"/>
      <c r="J588" s="131"/>
      <c r="K588" s="131"/>
      <c r="L588" s="131"/>
      <c r="M588" s="131"/>
      <c r="N588" s="131"/>
      <c r="O588" s="131"/>
      <c r="P588" s="131"/>
      <c r="Q588" s="131"/>
      <c r="R588" s="131"/>
      <c r="S588" s="131"/>
      <c r="T588" s="131"/>
      <c r="U588" s="132"/>
      <c r="V588" s="132"/>
    </row>
    <row r="589" ht="12.75" customHeight="1">
      <c r="A589" s="128"/>
      <c r="B589" s="128"/>
      <c r="C589" s="128"/>
      <c r="D589" s="129"/>
      <c r="E589" s="128"/>
      <c r="F589" s="130"/>
      <c r="G589" s="131"/>
      <c r="H589" s="131"/>
      <c r="I589" s="131"/>
      <c r="J589" s="131"/>
      <c r="K589" s="131"/>
      <c r="L589" s="131"/>
      <c r="M589" s="131"/>
      <c r="N589" s="131"/>
      <c r="O589" s="131"/>
      <c r="P589" s="131"/>
      <c r="Q589" s="131"/>
      <c r="R589" s="131"/>
      <c r="S589" s="131"/>
      <c r="T589" s="131"/>
      <c r="U589" s="132"/>
      <c r="V589" s="132"/>
    </row>
    <row r="590" ht="12.75" customHeight="1">
      <c r="A590" s="128"/>
      <c r="B590" s="128"/>
      <c r="C590" s="128"/>
      <c r="D590" s="129"/>
      <c r="E590" s="128"/>
      <c r="F590" s="130"/>
      <c r="G590" s="131"/>
      <c r="H590" s="131"/>
      <c r="I590" s="131"/>
      <c r="J590" s="131"/>
      <c r="K590" s="131"/>
      <c r="L590" s="131"/>
      <c r="M590" s="131"/>
      <c r="N590" s="131"/>
      <c r="O590" s="131"/>
      <c r="P590" s="131"/>
      <c r="Q590" s="131"/>
      <c r="R590" s="131"/>
      <c r="S590" s="131"/>
      <c r="T590" s="131"/>
      <c r="U590" s="132"/>
      <c r="V590" s="132"/>
    </row>
    <row r="591" ht="12.75" customHeight="1">
      <c r="A591" s="128"/>
      <c r="B591" s="128"/>
      <c r="C591" s="128"/>
      <c r="D591" s="129"/>
      <c r="E591" s="128"/>
      <c r="F591" s="130"/>
      <c r="G591" s="131"/>
      <c r="H591" s="131"/>
      <c r="I591" s="131"/>
      <c r="J591" s="131"/>
      <c r="K591" s="131"/>
      <c r="L591" s="131"/>
      <c r="M591" s="131"/>
      <c r="N591" s="131"/>
      <c r="O591" s="131"/>
      <c r="P591" s="131"/>
      <c r="Q591" s="131"/>
      <c r="R591" s="131"/>
      <c r="S591" s="131"/>
      <c r="T591" s="131"/>
      <c r="U591" s="132"/>
      <c r="V591" s="132"/>
    </row>
    <row r="592" ht="12.75" customHeight="1">
      <c r="A592" s="128"/>
      <c r="B592" s="128"/>
      <c r="C592" s="128"/>
      <c r="D592" s="129"/>
      <c r="E592" s="128"/>
      <c r="F592" s="130"/>
      <c r="G592" s="131"/>
      <c r="H592" s="131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32"/>
      <c r="V592" s="132"/>
    </row>
    <row r="593" ht="12.75" customHeight="1">
      <c r="A593" s="128"/>
      <c r="B593" s="128"/>
      <c r="C593" s="128"/>
      <c r="D593" s="129"/>
      <c r="E593" s="128"/>
      <c r="F593" s="130"/>
      <c r="G593" s="131"/>
      <c r="H593" s="131"/>
      <c r="I593" s="131"/>
      <c r="J593" s="131"/>
      <c r="K593" s="131"/>
      <c r="L593" s="131"/>
      <c r="M593" s="131"/>
      <c r="N593" s="131"/>
      <c r="O593" s="131"/>
      <c r="P593" s="131"/>
      <c r="Q593" s="131"/>
      <c r="R593" s="131"/>
      <c r="S593" s="131"/>
      <c r="T593" s="131"/>
      <c r="U593" s="132"/>
      <c r="V593" s="132"/>
    </row>
    <row r="594" ht="12.75" customHeight="1">
      <c r="A594" s="128"/>
      <c r="B594" s="128"/>
      <c r="C594" s="128"/>
      <c r="D594" s="129"/>
      <c r="E594" s="128"/>
      <c r="F594" s="130"/>
      <c r="G594" s="131"/>
      <c r="H594" s="131"/>
      <c r="I594" s="131"/>
      <c r="J594" s="131"/>
      <c r="K594" s="131"/>
      <c r="L594" s="131"/>
      <c r="M594" s="131"/>
      <c r="N594" s="131"/>
      <c r="O594" s="131"/>
      <c r="P594" s="131"/>
      <c r="Q594" s="131"/>
      <c r="R594" s="131"/>
      <c r="S594" s="131"/>
      <c r="T594" s="131"/>
      <c r="U594" s="132"/>
      <c r="V594" s="132"/>
    </row>
    <row r="595" ht="12.75" customHeight="1">
      <c r="A595" s="128"/>
      <c r="B595" s="128"/>
      <c r="C595" s="128"/>
      <c r="D595" s="129"/>
      <c r="E595" s="128"/>
      <c r="F595" s="130"/>
      <c r="G595" s="131"/>
      <c r="H595" s="131"/>
      <c r="I595" s="131"/>
      <c r="J595" s="131"/>
      <c r="K595" s="131"/>
      <c r="L595" s="131"/>
      <c r="M595" s="131"/>
      <c r="N595" s="131"/>
      <c r="O595" s="131"/>
      <c r="P595" s="131"/>
      <c r="Q595" s="131"/>
      <c r="R595" s="131"/>
      <c r="S595" s="131"/>
      <c r="T595" s="131"/>
      <c r="U595" s="132"/>
      <c r="V595" s="132"/>
    </row>
    <row r="596" ht="12.75" customHeight="1">
      <c r="A596" s="128"/>
      <c r="B596" s="128"/>
      <c r="C596" s="128"/>
      <c r="D596" s="129"/>
      <c r="E596" s="128"/>
      <c r="F596" s="130"/>
      <c r="G596" s="131"/>
      <c r="H596" s="131"/>
      <c r="I596" s="131"/>
      <c r="J596" s="131"/>
      <c r="K596" s="131"/>
      <c r="L596" s="131"/>
      <c r="M596" s="131"/>
      <c r="N596" s="131"/>
      <c r="O596" s="131"/>
      <c r="P596" s="131"/>
      <c r="Q596" s="131"/>
      <c r="R596" s="131"/>
      <c r="S596" s="131"/>
      <c r="T596" s="131"/>
      <c r="U596" s="132"/>
      <c r="V596" s="132"/>
    </row>
    <row r="597" ht="12.75" customHeight="1">
      <c r="A597" s="128"/>
      <c r="B597" s="128"/>
      <c r="C597" s="128"/>
      <c r="D597" s="129"/>
      <c r="E597" s="128"/>
      <c r="F597" s="130"/>
      <c r="G597" s="131"/>
      <c r="H597" s="131"/>
      <c r="I597" s="131"/>
      <c r="J597" s="131"/>
      <c r="K597" s="131"/>
      <c r="L597" s="131"/>
      <c r="M597" s="131"/>
      <c r="N597" s="131"/>
      <c r="O597" s="131"/>
      <c r="P597" s="131"/>
      <c r="Q597" s="131"/>
      <c r="R597" s="131"/>
      <c r="S597" s="131"/>
      <c r="T597" s="131"/>
      <c r="U597" s="132"/>
      <c r="V597" s="132"/>
    </row>
    <row r="598" ht="12.75" customHeight="1">
      <c r="A598" s="128"/>
      <c r="B598" s="128"/>
      <c r="C598" s="128"/>
      <c r="D598" s="129"/>
      <c r="E598" s="128"/>
      <c r="F598" s="130"/>
      <c r="G598" s="131"/>
      <c r="H598" s="131"/>
      <c r="I598" s="131"/>
      <c r="J598" s="131"/>
      <c r="K598" s="131"/>
      <c r="L598" s="131"/>
      <c r="M598" s="131"/>
      <c r="N598" s="131"/>
      <c r="O598" s="131"/>
      <c r="P598" s="131"/>
      <c r="Q598" s="131"/>
      <c r="R598" s="131"/>
      <c r="S598" s="131"/>
      <c r="T598" s="131"/>
      <c r="U598" s="132"/>
      <c r="V598" s="132"/>
    </row>
    <row r="599" ht="12.75" customHeight="1">
      <c r="A599" s="128"/>
      <c r="B599" s="128"/>
      <c r="C599" s="128"/>
      <c r="D599" s="129"/>
      <c r="E599" s="128"/>
      <c r="F599" s="130"/>
      <c r="G599" s="131"/>
      <c r="H599" s="131"/>
      <c r="I599" s="131"/>
      <c r="J599" s="131"/>
      <c r="K599" s="131"/>
      <c r="L599" s="131"/>
      <c r="M599" s="131"/>
      <c r="N599" s="131"/>
      <c r="O599" s="131"/>
      <c r="P599" s="131"/>
      <c r="Q599" s="131"/>
      <c r="R599" s="131"/>
      <c r="S599" s="131"/>
      <c r="T599" s="131"/>
      <c r="U599" s="132"/>
      <c r="V599" s="132"/>
    </row>
    <row r="600" ht="12.75" customHeight="1">
      <c r="A600" s="128"/>
      <c r="B600" s="128"/>
      <c r="C600" s="128"/>
      <c r="D600" s="129"/>
      <c r="E600" s="128"/>
      <c r="F600" s="130"/>
      <c r="G600" s="131"/>
      <c r="H600" s="131"/>
      <c r="I600" s="131"/>
      <c r="J600" s="131"/>
      <c r="K600" s="131"/>
      <c r="L600" s="131"/>
      <c r="M600" s="131"/>
      <c r="N600" s="131"/>
      <c r="O600" s="131"/>
      <c r="P600" s="131"/>
      <c r="Q600" s="131"/>
      <c r="R600" s="131"/>
      <c r="S600" s="131"/>
      <c r="T600" s="131"/>
      <c r="U600" s="132"/>
      <c r="V600" s="132"/>
    </row>
    <row r="601" ht="12.75" customHeight="1">
      <c r="A601" s="128"/>
      <c r="B601" s="128"/>
      <c r="C601" s="128"/>
      <c r="D601" s="129"/>
      <c r="E601" s="128"/>
      <c r="F601" s="130"/>
      <c r="G601" s="131"/>
      <c r="H601" s="131"/>
      <c r="I601" s="131"/>
      <c r="J601" s="131"/>
      <c r="K601" s="131"/>
      <c r="L601" s="131"/>
      <c r="M601" s="131"/>
      <c r="N601" s="131"/>
      <c r="O601" s="131"/>
      <c r="P601" s="131"/>
      <c r="Q601" s="131"/>
      <c r="R601" s="131"/>
      <c r="S601" s="131"/>
      <c r="T601" s="131"/>
      <c r="U601" s="132"/>
      <c r="V601" s="132"/>
    </row>
    <row r="602" ht="12.75" customHeight="1">
      <c r="A602" s="128"/>
      <c r="B602" s="128"/>
      <c r="C602" s="128"/>
      <c r="D602" s="129"/>
      <c r="E602" s="128"/>
      <c r="F602" s="130"/>
      <c r="G602" s="131"/>
      <c r="H602" s="131"/>
      <c r="I602" s="131"/>
      <c r="J602" s="131"/>
      <c r="K602" s="131"/>
      <c r="L602" s="131"/>
      <c r="M602" s="131"/>
      <c r="N602" s="131"/>
      <c r="O602" s="131"/>
      <c r="P602" s="131"/>
      <c r="Q602" s="131"/>
      <c r="R602" s="131"/>
      <c r="S602" s="131"/>
      <c r="T602" s="131"/>
      <c r="U602" s="132"/>
      <c r="V602" s="132"/>
    </row>
    <row r="603" ht="12.75" customHeight="1">
      <c r="A603" s="128"/>
      <c r="B603" s="128"/>
      <c r="C603" s="128"/>
      <c r="D603" s="129"/>
      <c r="E603" s="128"/>
      <c r="F603" s="130"/>
      <c r="G603" s="131"/>
      <c r="H603" s="131"/>
      <c r="I603" s="131"/>
      <c r="J603" s="131"/>
      <c r="K603" s="131"/>
      <c r="L603" s="131"/>
      <c r="M603" s="131"/>
      <c r="N603" s="131"/>
      <c r="O603" s="131"/>
      <c r="P603" s="131"/>
      <c r="Q603" s="131"/>
      <c r="R603" s="131"/>
      <c r="S603" s="131"/>
      <c r="T603" s="131"/>
      <c r="U603" s="132"/>
      <c r="V603" s="132"/>
    </row>
    <row r="604" ht="12.75" customHeight="1">
      <c r="A604" s="128"/>
      <c r="B604" s="128"/>
      <c r="C604" s="128"/>
      <c r="D604" s="129"/>
      <c r="E604" s="128"/>
      <c r="F604" s="130"/>
      <c r="G604" s="131"/>
      <c r="H604" s="131"/>
      <c r="I604" s="131"/>
      <c r="J604" s="131"/>
      <c r="K604" s="131"/>
      <c r="L604" s="131"/>
      <c r="M604" s="131"/>
      <c r="N604" s="131"/>
      <c r="O604" s="131"/>
      <c r="P604" s="131"/>
      <c r="Q604" s="131"/>
      <c r="R604" s="131"/>
      <c r="S604" s="131"/>
      <c r="T604" s="131"/>
      <c r="U604" s="132"/>
      <c r="V604" s="132"/>
    </row>
    <row r="605" ht="12.75" customHeight="1">
      <c r="A605" s="128"/>
      <c r="B605" s="128"/>
      <c r="C605" s="128"/>
      <c r="D605" s="129"/>
      <c r="E605" s="128"/>
      <c r="F605" s="130"/>
      <c r="G605" s="131"/>
      <c r="H605" s="131"/>
      <c r="I605" s="131"/>
      <c r="J605" s="131"/>
      <c r="K605" s="131"/>
      <c r="L605" s="131"/>
      <c r="M605" s="131"/>
      <c r="N605" s="131"/>
      <c r="O605" s="131"/>
      <c r="P605" s="131"/>
      <c r="Q605" s="131"/>
      <c r="R605" s="131"/>
      <c r="S605" s="131"/>
      <c r="T605" s="131"/>
      <c r="U605" s="132"/>
      <c r="V605" s="132"/>
    </row>
    <row r="606" ht="12.75" customHeight="1">
      <c r="A606" s="128"/>
      <c r="B606" s="128"/>
      <c r="C606" s="128"/>
      <c r="D606" s="129"/>
      <c r="E606" s="128"/>
      <c r="F606" s="130"/>
      <c r="G606" s="131"/>
      <c r="H606" s="131"/>
      <c r="I606" s="131"/>
      <c r="J606" s="131"/>
      <c r="K606" s="131"/>
      <c r="L606" s="131"/>
      <c r="M606" s="131"/>
      <c r="N606" s="131"/>
      <c r="O606" s="131"/>
      <c r="P606" s="131"/>
      <c r="Q606" s="131"/>
      <c r="R606" s="131"/>
      <c r="S606" s="131"/>
      <c r="T606" s="131"/>
      <c r="U606" s="132"/>
      <c r="V606" s="132"/>
    </row>
    <row r="607" ht="12.75" customHeight="1">
      <c r="A607" s="128"/>
      <c r="B607" s="128"/>
      <c r="C607" s="128"/>
      <c r="D607" s="129"/>
      <c r="E607" s="128"/>
      <c r="F607" s="130"/>
      <c r="G607" s="131"/>
      <c r="H607" s="131"/>
      <c r="I607" s="131"/>
      <c r="J607" s="131"/>
      <c r="K607" s="131"/>
      <c r="L607" s="131"/>
      <c r="M607" s="131"/>
      <c r="N607" s="131"/>
      <c r="O607" s="131"/>
      <c r="P607" s="131"/>
      <c r="Q607" s="131"/>
      <c r="R607" s="131"/>
      <c r="S607" s="131"/>
      <c r="T607" s="131"/>
      <c r="U607" s="132"/>
      <c r="V607" s="132"/>
    </row>
    <row r="608" ht="12.75" customHeight="1">
      <c r="A608" s="128"/>
      <c r="B608" s="128"/>
      <c r="C608" s="128"/>
      <c r="D608" s="129"/>
      <c r="E608" s="128"/>
      <c r="F608" s="130"/>
      <c r="G608" s="131"/>
      <c r="H608" s="131"/>
      <c r="I608" s="131"/>
      <c r="J608" s="131"/>
      <c r="K608" s="131"/>
      <c r="L608" s="131"/>
      <c r="M608" s="131"/>
      <c r="N608" s="131"/>
      <c r="O608" s="131"/>
      <c r="P608" s="131"/>
      <c r="Q608" s="131"/>
      <c r="R608" s="131"/>
      <c r="S608" s="131"/>
      <c r="T608" s="131"/>
      <c r="U608" s="132"/>
      <c r="V608" s="132"/>
    </row>
    <row r="609" ht="12.75" customHeight="1">
      <c r="A609" s="128"/>
      <c r="B609" s="128"/>
      <c r="C609" s="128"/>
      <c r="D609" s="129"/>
      <c r="E609" s="128"/>
      <c r="F609" s="130"/>
      <c r="G609" s="131"/>
      <c r="H609" s="131"/>
      <c r="I609" s="131"/>
      <c r="J609" s="131"/>
      <c r="K609" s="131"/>
      <c r="L609" s="131"/>
      <c r="M609" s="131"/>
      <c r="N609" s="131"/>
      <c r="O609" s="131"/>
      <c r="P609" s="131"/>
      <c r="Q609" s="131"/>
      <c r="R609" s="131"/>
      <c r="S609" s="131"/>
      <c r="T609" s="131"/>
      <c r="U609" s="132"/>
      <c r="V609" s="132"/>
    </row>
    <row r="610" ht="12.75" customHeight="1">
      <c r="A610" s="128"/>
      <c r="B610" s="128"/>
      <c r="C610" s="128"/>
      <c r="D610" s="129"/>
      <c r="E610" s="128"/>
      <c r="F610" s="130"/>
      <c r="G610" s="131"/>
      <c r="H610" s="131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32"/>
      <c r="V610" s="132"/>
    </row>
    <row r="611" ht="12.75" customHeight="1">
      <c r="A611" s="128"/>
      <c r="B611" s="128"/>
      <c r="C611" s="128"/>
      <c r="D611" s="129"/>
      <c r="E611" s="128"/>
      <c r="F611" s="130"/>
      <c r="G611" s="131"/>
      <c r="H611" s="131"/>
      <c r="I611" s="131"/>
      <c r="J611" s="131"/>
      <c r="K611" s="131"/>
      <c r="L611" s="131"/>
      <c r="M611" s="131"/>
      <c r="N611" s="131"/>
      <c r="O611" s="131"/>
      <c r="P611" s="131"/>
      <c r="Q611" s="131"/>
      <c r="R611" s="131"/>
      <c r="S611" s="131"/>
      <c r="T611" s="131"/>
      <c r="U611" s="132"/>
      <c r="V611" s="132"/>
    </row>
    <row r="612" ht="12.75" customHeight="1">
      <c r="A612" s="128"/>
      <c r="B612" s="128"/>
      <c r="C612" s="128"/>
      <c r="D612" s="129"/>
      <c r="E612" s="128"/>
      <c r="F612" s="130"/>
      <c r="G612" s="131"/>
      <c r="H612" s="131"/>
      <c r="I612" s="131"/>
      <c r="J612" s="131"/>
      <c r="K612" s="131"/>
      <c r="L612" s="131"/>
      <c r="M612" s="131"/>
      <c r="N612" s="131"/>
      <c r="O612" s="131"/>
      <c r="P612" s="131"/>
      <c r="Q612" s="131"/>
      <c r="R612" s="131"/>
      <c r="S612" s="131"/>
      <c r="T612" s="131"/>
      <c r="U612" s="132"/>
      <c r="V612" s="132"/>
    </row>
    <row r="613" ht="12.75" customHeight="1">
      <c r="A613" s="128"/>
      <c r="B613" s="128"/>
      <c r="C613" s="128"/>
      <c r="D613" s="129"/>
      <c r="E613" s="128"/>
      <c r="F613" s="130"/>
      <c r="G613" s="131"/>
      <c r="H613" s="131"/>
      <c r="I613" s="131"/>
      <c r="J613" s="131"/>
      <c r="K613" s="131"/>
      <c r="L613" s="131"/>
      <c r="M613" s="131"/>
      <c r="N613" s="131"/>
      <c r="O613" s="131"/>
      <c r="P613" s="131"/>
      <c r="Q613" s="131"/>
      <c r="R613" s="131"/>
      <c r="S613" s="131"/>
      <c r="T613" s="131"/>
      <c r="U613" s="132"/>
      <c r="V613" s="132"/>
    </row>
    <row r="614" ht="12.75" customHeight="1">
      <c r="A614" s="128"/>
      <c r="B614" s="128"/>
      <c r="C614" s="128"/>
      <c r="D614" s="129"/>
      <c r="E614" s="128"/>
      <c r="F614" s="130"/>
      <c r="G614" s="131"/>
      <c r="H614" s="131"/>
      <c r="I614" s="131"/>
      <c r="J614" s="131"/>
      <c r="K614" s="131"/>
      <c r="L614" s="131"/>
      <c r="M614" s="131"/>
      <c r="N614" s="131"/>
      <c r="O614" s="131"/>
      <c r="P614" s="131"/>
      <c r="Q614" s="131"/>
      <c r="R614" s="131"/>
      <c r="S614" s="131"/>
      <c r="T614" s="131"/>
      <c r="U614" s="132"/>
      <c r="V614" s="132"/>
    </row>
    <row r="615" ht="12.75" customHeight="1">
      <c r="A615" s="128"/>
      <c r="B615" s="128"/>
      <c r="C615" s="128"/>
      <c r="D615" s="129"/>
      <c r="E615" s="128"/>
      <c r="F615" s="130"/>
      <c r="G615" s="131"/>
      <c r="H615" s="131"/>
      <c r="I615" s="131"/>
      <c r="J615" s="131"/>
      <c r="K615" s="131"/>
      <c r="L615" s="131"/>
      <c r="M615" s="131"/>
      <c r="N615" s="131"/>
      <c r="O615" s="131"/>
      <c r="P615" s="131"/>
      <c r="Q615" s="131"/>
      <c r="R615" s="131"/>
      <c r="S615" s="131"/>
      <c r="T615" s="131"/>
      <c r="U615" s="132"/>
      <c r="V615" s="132"/>
    </row>
    <row r="616" ht="12.75" customHeight="1">
      <c r="A616" s="128"/>
      <c r="B616" s="128"/>
      <c r="C616" s="128"/>
      <c r="D616" s="129"/>
      <c r="E616" s="128"/>
      <c r="F616" s="130"/>
      <c r="G616" s="131"/>
      <c r="H616" s="131"/>
      <c r="I616" s="131"/>
      <c r="J616" s="131"/>
      <c r="K616" s="131"/>
      <c r="L616" s="131"/>
      <c r="M616" s="131"/>
      <c r="N616" s="131"/>
      <c r="O616" s="131"/>
      <c r="P616" s="131"/>
      <c r="Q616" s="131"/>
      <c r="R616" s="131"/>
      <c r="S616" s="131"/>
      <c r="T616" s="131"/>
      <c r="U616" s="132"/>
      <c r="V616" s="132"/>
    </row>
    <row r="617" ht="12.75" customHeight="1">
      <c r="A617" s="128"/>
      <c r="B617" s="128"/>
      <c r="C617" s="128"/>
      <c r="D617" s="129"/>
      <c r="E617" s="128"/>
      <c r="F617" s="130"/>
      <c r="G617" s="131"/>
      <c r="H617" s="131"/>
      <c r="I617" s="131"/>
      <c r="J617" s="131"/>
      <c r="K617" s="131"/>
      <c r="L617" s="131"/>
      <c r="M617" s="131"/>
      <c r="N617" s="131"/>
      <c r="O617" s="131"/>
      <c r="P617" s="131"/>
      <c r="Q617" s="131"/>
      <c r="R617" s="131"/>
      <c r="S617" s="131"/>
      <c r="T617" s="131"/>
      <c r="U617" s="132"/>
      <c r="V617" s="132"/>
    </row>
    <row r="618" ht="12.75" customHeight="1">
      <c r="A618" s="128"/>
      <c r="B618" s="128"/>
      <c r="C618" s="128"/>
      <c r="D618" s="129"/>
      <c r="E618" s="128"/>
      <c r="F618" s="130"/>
      <c r="G618" s="131"/>
      <c r="H618" s="131"/>
      <c r="I618" s="131"/>
      <c r="J618" s="131"/>
      <c r="K618" s="131"/>
      <c r="L618" s="131"/>
      <c r="M618" s="131"/>
      <c r="N618" s="131"/>
      <c r="O618" s="131"/>
      <c r="P618" s="131"/>
      <c r="Q618" s="131"/>
      <c r="R618" s="131"/>
      <c r="S618" s="131"/>
      <c r="T618" s="131"/>
      <c r="U618" s="132"/>
      <c r="V618" s="132"/>
    </row>
    <row r="619" ht="12.75" customHeight="1">
      <c r="A619" s="128"/>
      <c r="B619" s="128"/>
      <c r="C619" s="128"/>
      <c r="D619" s="129"/>
      <c r="E619" s="128"/>
      <c r="F619" s="130"/>
      <c r="G619" s="131"/>
      <c r="H619" s="131"/>
      <c r="I619" s="131"/>
      <c r="J619" s="131"/>
      <c r="K619" s="131"/>
      <c r="L619" s="131"/>
      <c r="M619" s="131"/>
      <c r="N619" s="131"/>
      <c r="O619" s="131"/>
      <c r="P619" s="131"/>
      <c r="Q619" s="131"/>
      <c r="R619" s="131"/>
      <c r="S619" s="131"/>
      <c r="T619" s="131"/>
      <c r="U619" s="132"/>
      <c r="V619" s="132"/>
    </row>
    <row r="620" ht="12.75" customHeight="1">
      <c r="A620" s="128"/>
      <c r="B620" s="128"/>
      <c r="C620" s="128"/>
      <c r="D620" s="129"/>
      <c r="E620" s="128"/>
      <c r="F620" s="130"/>
      <c r="G620" s="131"/>
      <c r="H620" s="131"/>
      <c r="I620" s="131"/>
      <c r="J620" s="131"/>
      <c r="K620" s="131"/>
      <c r="L620" s="131"/>
      <c r="M620" s="131"/>
      <c r="N620" s="131"/>
      <c r="O620" s="131"/>
      <c r="P620" s="131"/>
      <c r="Q620" s="131"/>
      <c r="R620" s="131"/>
      <c r="S620" s="131"/>
      <c r="T620" s="131"/>
      <c r="U620" s="132"/>
      <c r="V620" s="132"/>
    </row>
    <row r="621" ht="12.75" customHeight="1">
      <c r="A621" s="128"/>
      <c r="B621" s="128"/>
      <c r="C621" s="128"/>
      <c r="D621" s="129"/>
      <c r="E621" s="128"/>
      <c r="F621" s="130"/>
      <c r="G621" s="131"/>
      <c r="H621" s="131"/>
      <c r="I621" s="131"/>
      <c r="J621" s="131"/>
      <c r="K621" s="131"/>
      <c r="L621" s="131"/>
      <c r="M621" s="131"/>
      <c r="N621" s="131"/>
      <c r="O621" s="131"/>
      <c r="P621" s="131"/>
      <c r="Q621" s="131"/>
      <c r="R621" s="131"/>
      <c r="S621" s="131"/>
      <c r="T621" s="131"/>
      <c r="U621" s="132"/>
      <c r="V621" s="132"/>
    </row>
    <row r="622" ht="12.75" customHeight="1">
      <c r="A622" s="128"/>
      <c r="B622" s="128"/>
      <c r="C622" s="128"/>
      <c r="D622" s="129"/>
      <c r="E622" s="128"/>
      <c r="F622" s="130"/>
      <c r="G622" s="131"/>
      <c r="H622" s="131"/>
      <c r="I622" s="131"/>
      <c r="J622" s="131"/>
      <c r="K622" s="131"/>
      <c r="L622" s="131"/>
      <c r="M622" s="131"/>
      <c r="N622" s="131"/>
      <c r="O622" s="131"/>
      <c r="P622" s="131"/>
      <c r="Q622" s="131"/>
      <c r="R622" s="131"/>
      <c r="S622" s="131"/>
      <c r="T622" s="131"/>
      <c r="U622" s="132"/>
      <c r="V622" s="132"/>
    </row>
    <row r="623" ht="12.75" customHeight="1">
      <c r="A623" s="128"/>
      <c r="B623" s="128"/>
      <c r="C623" s="128"/>
      <c r="D623" s="129"/>
      <c r="E623" s="128"/>
      <c r="F623" s="130"/>
      <c r="G623" s="131"/>
      <c r="H623" s="131"/>
      <c r="I623" s="131"/>
      <c r="J623" s="131"/>
      <c r="K623" s="131"/>
      <c r="L623" s="131"/>
      <c r="M623" s="131"/>
      <c r="N623" s="131"/>
      <c r="O623" s="131"/>
      <c r="P623" s="131"/>
      <c r="Q623" s="131"/>
      <c r="R623" s="131"/>
      <c r="S623" s="131"/>
      <c r="T623" s="131"/>
      <c r="U623" s="132"/>
      <c r="V623" s="132"/>
    </row>
    <row r="624" ht="12.75" customHeight="1">
      <c r="A624" s="128"/>
      <c r="B624" s="128"/>
      <c r="C624" s="128"/>
      <c r="D624" s="129"/>
      <c r="E624" s="128"/>
      <c r="F624" s="130"/>
      <c r="G624" s="131"/>
      <c r="H624" s="131"/>
      <c r="I624" s="131"/>
      <c r="J624" s="131"/>
      <c r="K624" s="131"/>
      <c r="L624" s="131"/>
      <c r="M624" s="131"/>
      <c r="N624" s="131"/>
      <c r="O624" s="131"/>
      <c r="P624" s="131"/>
      <c r="Q624" s="131"/>
      <c r="R624" s="131"/>
      <c r="S624" s="131"/>
      <c r="T624" s="131"/>
      <c r="U624" s="132"/>
      <c r="V624" s="132"/>
    </row>
    <row r="625" ht="12.75" customHeight="1">
      <c r="A625" s="128"/>
      <c r="B625" s="128"/>
      <c r="C625" s="128"/>
      <c r="D625" s="129"/>
      <c r="E625" s="128"/>
      <c r="F625" s="130"/>
      <c r="G625" s="131"/>
      <c r="H625" s="131"/>
      <c r="I625" s="131"/>
      <c r="J625" s="131"/>
      <c r="K625" s="131"/>
      <c r="L625" s="131"/>
      <c r="M625" s="131"/>
      <c r="N625" s="131"/>
      <c r="O625" s="131"/>
      <c r="P625" s="131"/>
      <c r="Q625" s="131"/>
      <c r="R625" s="131"/>
      <c r="S625" s="131"/>
      <c r="T625" s="131"/>
      <c r="U625" s="132"/>
      <c r="V625" s="132"/>
    </row>
    <row r="626" ht="12.75" customHeight="1">
      <c r="A626" s="128"/>
      <c r="B626" s="128"/>
      <c r="C626" s="128"/>
      <c r="D626" s="129"/>
      <c r="E626" s="128"/>
      <c r="F626" s="130"/>
      <c r="G626" s="131"/>
      <c r="H626" s="131"/>
      <c r="I626" s="131"/>
      <c r="J626" s="131"/>
      <c r="K626" s="131"/>
      <c r="L626" s="131"/>
      <c r="M626" s="131"/>
      <c r="N626" s="131"/>
      <c r="O626" s="131"/>
      <c r="P626" s="131"/>
      <c r="Q626" s="131"/>
      <c r="R626" s="131"/>
      <c r="S626" s="131"/>
      <c r="T626" s="131"/>
      <c r="U626" s="132"/>
      <c r="V626" s="132"/>
    </row>
    <row r="627" ht="12.75" customHeight="1">
      <c r="A627" s="128"/>
      <c r="B627" s="128"/>
      <c r="C627" s="128"/>
      <c r="D627" s="129"/>
      <c r="E627" s="128"/>
      <c r="F627" s="130"/>
      <c r="G627" s="131"/>
      <c r="H627" s="131"/>
      <c r="I627" s="131"/>
      <c r="J627" s="131"/>
      <c r="K627" s="131"/>
      <c r="L627" s="131"/>
      <c r="M627" s="131"/>
      <c r="N627" s="131"/>
      <c r="O627" s="131"/>
      <c r="P627" s="131"/>
      <c r="Q627" s="131"/>
      <c r="R627" s="131"/>
      <c r="S627" s="131"/>
      <c r="T627" s="131"/>
      <c r="U627" s="132"/>
      <c r="V627" s="132"/>
    </row>
    <row r="628" ht="12.75" customHeight="1">
      <c r="A628" s="128"/>
      <c r="B628" s="128"/>
      <c r="C628" s="128"/>
      <c r="D628" s="129"/>
      <c r="E628" s="128"/>
      <c r="F628" s="130"/>
      <c r="G628" s="131"/>
      <c r="H628" s="131"/>
      <c r="I628" s="131"/>
      <c r="J628" s="131"/>
      <c r="K628" s="131"/>
      <c r="L628" s="131"/>
      <c r="M628" s="131"/>
      <c r="N628" s="131"/>
      <c r="O628" s="131"/>
      <c r="P628" s="131"/>
      <c r="Q628" s="131"/>
      <c r="R628" s="131"/>
      <c r="S628" s="131"/>
      <c r="T628" s="131"/>
      <c r="U628" s="132"/>
      <c r="V628" s="132"/>
    </row>
    <row r="629" ht="12.75" customHeight="1">
      <c r="A629" s="128"/>
      <c r="B629" s="128"/>
      <c r="C629" s="128"/>
      <c r="D629" s="129"/>
      <c r="E629" s="128"/>
      <c r="F629" s="130"/>
      <c r="G629" s="131"/>
      <c r="H629" s="131"/>
      <c r="I629" s="131"/>
      <c r="J629" s="131"/>
      <c r="K629" s="131"/>
      <c r="L629" s="131"/>
      <c r="M629" s="131"/>
      <c r="N629" s="131"/>
      <c r="O629" s="131"/>
      <c r="P629" s="131"/>
      <c r="Q629" s="131"/>
      <c r="R629" s="131"/>
      <c r="S629" s="131"/>
      <c r="T629" s="131"/>
      <c r="U629" s="132"/>
      <c r="V629" s="132"/>
    </row>
    <row r="630" ht="12.75" customHeight="1">
      <c r="A630" s="128"/>
      <c r="B630" s="128"/>
      <c r="C630" s="128"/>
      <c r="D630" s="129"/>
      <c r="E630" s="128"/>
      <c r="F630" s="130"/>
      <c r="G630" s="131"/>
      <c r="H630" s="131"/>
      <c r="I630" s="131"/>
      <c r="J630" s="131"/>
      <c r="K630" s="131"/>
      <c r="L630" s="131"/>
      <c r="M630" s="131"/>
      <c r="N630" s="131"/>
      <c r="O630" s="131"/>
      <c r="P630" s="131"/>
      <c r="Q630" s="131"/>
      <c r="R630" s="131"/>
      <c r="S630" s="131"/>
      <c r="T630" s="131"/>
      <c r="U630" s="132"/>
      <c r="V630" s="132"/>
    </row>
    <row r="631" ht="12.75" customHeight="1">
      <c r="A631" s="128"/>
      <c r="B631" s="128"/>
      <c r="C631" s="128"/>
      <c r="D631" s="129"/>
      <c r="E631" s="128"/>
      <c r="F631" s="130"/>
      <c r="G631" s="131"/>
      <c r="H631" s="131"/>
      <c r="I631" s="131"/>
      <c r="J631" s="131"/>
      <c r="K631" s="131"/>
      <c r="L631" s="131"/>
      <c r="M631" s="131"/>
      <c r="N631" s="131"/>
      <c r="O631" s="131"/>
      <c r="P631" s="131"/>
      <c r="Q631" s="131"/>
      <c r="R631" s="131"/>
      <c r="S631" s="131"/>
      <c r="T631" s="131"/>
      <c r="U631" s="132"/>
      <c r="V631" s="132"/>
    </row>
    <row r="632" ht="12.75" customHeight="1">
      <c r="A632" s="128"/>
      <c r="B632" s="128"/>
      <c r="C632" s="128"/>
      <c r="D632" s="129"/>
      <c r="E632" s="128"/>
      <c r="F632" s="130"/>
      <c r="G632" s="131"/>
      <c r="H632" s="131"/>
      <c r="I632" s="131"/>
      <c r="J632" s="131"/>
      <c r="K632" s="131"/>
      <c r="L632" s="131"/>
      <c r="M632" s="131"/>
      <c r="N632" s="131"/>
      <c r="O632" s="131"/>
      <c r="P632" s="131"/>
      <c r="Q632" s="131"/>
      <c r="R632" s="131"/>
      <c r="S632" s="131"/>
      <c r="T632" s="131"/>
      <c r="U632" s="132"/>
      <c r="V632" s="132"/>
    </row>
    <row r="633" ht="12.75" customHeight="1">
      <c r="A633" s="128"/>
      <c r="B633" s="128"/>
      <c r="C633" s="128"/>
      <c r="D633" s="129"/>
      <c r="E633" s="128"/>
      <c r="F633" s="130"/>
      <c r="G633" s="131"/>
      <c r="H633" s="131"/>
      <c r="I633" s="131"/>
      <c r="J633" s="131"/>
      <c r="K633" s="131"/>
      <c r="L633" s="131"/>
      <c r="M633" s="131"/>
      <c r="N633" s="131"/>
      <c r="O633" s="131"/>
      <c r="P633" s="131"/>
      <c r="Q633" s="131"/>
      <c r="R633" s="131"/>
      <c r="S633" s="131"/>
      <c r="T633" s="131"/>
      <c r="U633" s="132"/>
      <c r="V633" s="132"/>
    </row>
    <row r="634" ht="12.75" customHeight="1">
      <c r="A634" s="128"/>
      <c r="B634" s="128"/>
      <c r="C634" s="128"/>
      <c r="D634" s="129"/>
      <c r="E634" s="128"/>
      <c r="F634" s="130"/>
      <c r="G634" s="131"/>
      <c r="H634" s="131"/>
      <c r="I634" s="131"/>
      <c r="J634" s="131"/>
      <c r="K634" s="131"/>
      <c r="L634" s="131"/>
      <c r="M634" s="131"/>
      <c r="N634" s="131"/>
      <c r="O634" s="131"/>
      <c r="P634" s="131"/>
      <c r="Q634" s="131"/>
      <c r="R634" s="131"/>
      <c r="S634" s="131"/>
      <c r="T634" s="131"/>
      <c r="U634" s="132"/>
      <c r="V634" s="132"/>
    </row>
    <row r="635" ht="12.75" customHeight="1">
      <c r="A635" s="128"/>
      <c r="B635" s="128"/>
      <c r="C635" s="128"/>
      <c r="D635" s="129"/>
      <c r="E635" s="128"/>
      <c r="F635" s="130"/>
      <c r="G635" s="131"/>
      <c r="H635" s="131"/>
      <c r="I635" s="131"/>
      <c r="J635" s="131"/>
      <c r="K635" s="131"/>
      <c r="L635" s="131"/>
      <c r="M635" s="131"/>
      <c r="N635" s="131"/>
      <c r="O635" s="131"/>
      <c r="P635" s="131"/>
      <c r="Q635" s="131"/>
      <c r="R635" s="131"/>
      <c r="S635" s="131"/>
      <c r="T635" s="131"/>
      <c r="U635" s="132"/>
      <c r="V635" s="132"/>
    </row>
    <row r="636" ht="12.75" customHeight="1">
      <c r="A636" s="128"/>
      <c r="B636" s="128"/>
      <c r="C636" s="128"/>
      <c r="D636" s="129"/>
      <c r="E636" s="128"/>
      <c r="F636" s="130"/>
      <c r="G636" s="131"/>
      <c r="H636" s="131"/>
      <c r="I636" s="131"/>
      <c r="J636" s="131"/>
      <c r="K636" s="131"/>
      <c r="L636" s="131"/>
      <c r="M636" s="131"/>
      <c r="N636" s="131"/>
      <c r="O636" s="131"/>
      <c r="P636" s="131"/>
      <c r="Q636" s="131"/>
      <c r="R636" s="131"/>
      <c r="S636" s="131"/>
      <c r="T636" s="131"/>
      <c r="U636" s="132"/>
      <c r="V636" s="132"/>
    </row>
    <row r="637" ht="12.75" customHeight="1">
      <c r="A637" s="128"/>
      <c r="B637" s="128"/>
      <c r="C637" s="128"/>
      <c r="D637" s="129"/>
      <c r="E637" s="128"/>
      <c r="F637" s="130"/>
      <c r="G637" s="131"/>
      <c r="H637" s="131"/>
      <c r="I637" s="131"/>
      <c r="J637" s="131"/>
      <c r="K637" s="131"/>
      <c r="L637" s="131"/>
      <c r="M637" s="131"/>
      <c r="N637" s="131"/>
      <c r="O637" s="131"/>
      <c r="P637" s="131"/>
      <c r="Q637" s="131"/>
      <c r="R637" s="131"/>
      <c r="S637" s="131"/>
      <c r="T637" s="131"/>
      <c r="U637" s="132"/>
      <c r="V637" s="132"/>
    </row>
    <row r="638" ht="12.75" customHeight="1">
      <c r="A638" s="128"/>
      <c r="B638" s="128"/>
      <c r="C638" s="128"/>
      <c r="D638" s="129"/>
      <c r="E638" s="128"/>
      <c r="F638" s="130"/>
      <c r="G638" s="131"/>
      <c r="H638" s="131"/>
      <c r="I638" s="131"/>
      <c r="J638" s="131"/>
      <c r="K638" s="131"/>
      <c r="L638" s="131"/>
      <c r="M638" s="131"/>
      <c r="N638" s="131"/>
      <c r="O638" s="131"/>
      <c r="P638" s="131"/>
      <c r="Q638" s="131"/>
      <c r="R638" s="131"/>
      <c r="S638" s="131"/>
      <c r="T638" s="131"/>
      <c r="U638" s="132"/>
      <c r="V638" s="132"/>
    </row>
    <row r="639" ht="12.75" customHeight="1">
      <c r="A639" s="128"/>
      <c r="B639" s="128"/>
      <c r="C639" s="128"/>
      <c r="D639" s="129"/>
      <c r="E639" s="128"/>
      <c r="F639" s="130"/>
      <c r="G639" s="131"/>
      <c r="H639" s="131"/>
      <c r="I639" s="131"/>
      <c r="J639" s="131"/>
      <c r="K639" s="131"/>
      <c r="L639" s="131"/>
      <c r="M639" s="131"/>
      <c r="N639" s="131"/>
      <c r="O639" s="131"/>
      <c r="P639" s="131"/>
      <c r="Q639" s="131"/>
      <c r="R639" s="131"/>
      <c r="S639" s="131"/>
      <c r="T639" s="131"/>
      <c r="U639" s="132"/>
      <c r="V639" s="132"/>
    </row>
    <row r="640" ht="12.75" customHeight="1">
      <c r="A640" s="128"/>
      <c r="B640" s="128"/>
      <c r="C640" s="128"/>
      <c r="D640" s="129"/>
      <c r="E640" s="128"/>
      <c r="F640" s="130"/>
      <c r="G640" s="131"/>
      <c r="H640" s="131"/>
      <c r="I640" s="131"/>
      <c r="J640" s="131"/>
      <c r="K640" s="131"/>
      <c r="L640" s="131"/>
      <c r="M640" s="131"/>
      <c r="N640" s="131"/>
      <c r="O640" s="131"/>
      <c r="P640" s="131"/>
      <c r="Q640" s="131"/>
      <c r="R640" s="131"/>
      <c r="S640" s="131"/>
      <c r="T640" s="131"/>
      <c r="U640" s="132"/>
      <c r="V640" s="132"/>
    </row>
    <row r="641" ht="12.75" customHeight="1">
      <c r="A641" s="128"/>
      <c r="B641" s="128"/>
      <c r="C641" s="128"/>
      <c r="D641" s="129"/>
      <c r="E641" s="128"/>
      <c r="F641" s="130"/>
      <c r="G641" s="131"/>
      <c r="H641" s="131"/>
      <c r="I641" s="131"/>
      <c r="J641" s="131"/>
      <c r="K641" s="131"/>
      <c r="L641" s="131"/>
      <c r="M641" s="131"/>
      <c r="N641" s="131"/>
      <c r="O641" s="131"/>
      <c r="P641" s="131"/>
      <c r="Q641" s="131"/>
      <c r="R641" s="131"/>
      <c r="S641" s="131"/>
      <c r="T641" s="131"/>
      <c r="U641" s="132"/>
      <c r="V641" s="132"/>
    </row>
    <row r="642" ht="12.75" customHeight="1">
      <c r="A642" s="128"/>
      <c r="B642" s="128"/>
      <c r="C642" s="128"/>
      <c r="D642" s="129"/>
      <c r="E642" s="128"/>
      <c r="F642" s="130"/>
      <c r="G642" s="131"/>
      <c r="H642" s="131"/>
      <c r="I642" s="131"/>
      <c r="J642" s="131"/>
      <c r="K642" s="131"/>
      <c r="L642" s="131"/>
      <c r="M642" s="131"/>
      <c r="N642" s="131"/>
      <c r="O642" s="131"/>
      <c r="P642" s="131"/>
      <c r="Q642" s="131"/>
      <c r="R642" s="131"/>
      <c r="S642" s="131"/>
      <c r="T642" s="131"/>
      <c r="U642" s="132"/>
      <c r="V642" s="132"/>
    </row>
    <row r="643" ht="12.75" customHeight="1">
      <c r="A643" s="128"/>
      <c r="B643" s="128"/>
      <c r="C643" s="128"/>
      <c r="D643" s="129"/>
      <c r="E643" s="128"/>
      <c r="F643" s="130"/>
      <c r="G643" s="131"/>
      <c r="H643" s="131"/>
      <c r="I643" s="131"/>
      <c r="J643" s="131"/>
      <c r="K643" s="131"/>
      <c r="L643" s="131"/>
      <c r="M643" s="131"/>
      <c r="N643" s="131"/>
      <c r="O643" s="131"/>
      <c r="P643" s="131"/>
      <c r="Q643" s="131"/>
      <c r="R643" s="131"/>
      <c r="S643" s="131"/>
      <c r="T643" s="131"/>
      <c r="U643" s="132"/>
      <c r="V643" s="132"/>
    </row>
    <row r="644" ht="12.75" customHeight="1">
      <c r="A644" s="128"/>
      <c r="B644" s="128"/>
      <c r="C644" s="128"/>
      <c r="D644" s="129"/>
      <c r="E644" s="128"/>
      <c r="F644" s="130"/>
      <c r="G644" s="131"/>
      <c r="H644" s="131"/>
      <c r="I644" s="131"/>
      <c r="J644" s="131"/>
      <c r="K644" s="131"/>
      <c r="L644" s="131"/>
      <c r="M644" s="131"/>
      <c r="N644" s="131"/>
      <c r="O644" s="131"/>
      <c r="P644" s="131"/>
      <c r="Q644" s="131"/>
      <c r="R644" s="131"/>
      <c r="S644" s="131"/>
      <c r="T644" s="131"/>
      <c r="U644" s="132"/>
      <c r="V644" s="132"/>
    </row>
    <row r="645" ht="12.75" customHeight="1">
      <c r="A645" s="128"/>
      <c r="B645" s="128"/>
      <c r="C645" s="128"/>
      <c r="D645" s="129"/>
      <c r="E645" s="128"/>
      <c r="F645" s="130"/>
      <c r="G645" s="131"/>
      <c r="H645" s="131"/>
      <c r="I645" s="131"/>
      <c r="J645" s="131"/>
      <c r="K645" s="131"/>
      <c r="L645" s="131"/>
      <c r="M645" s="131"/>
      <c r="N645" s="131"/>
      <c r="O645" s="131"/>
      <c r="P645" s="131"/>
      <c r="Q645" s="131"/>
      <c r="R645" s="131"/>
      <c r="S645" s="131"/>
      <c r="T645" s="131"/>
      <c r="U645" s="132"/>
      <c r="V645" s="132"/>
    </row>
    <row r="646" ht="12.75" customHeight="1">
      <c r="A646" s="128"/>
      <c r="B646" s="128"/>
      <c r="C646" s="128"/>
      <c r="D646" s="129"/>
      <c r="E646" s="128"/>
      <c r="F646" s="130"/>
      <c r="G646" s="131"/>
      <c r="H646" s="131"/>
      <c r="I646" s="131"/>
      <c r="J646" s="131"/>
      <c r="K646" s="131"/>
      <c r="L646" s="131"/>
      <c r="M646" s="131"/>
      <c r="N646" s="131"/>
      <c r="O646" s="131"/>
      <c r="P646" s="131"/>
      <c r="Q646" s="131"/>
      <c r="R646" s="131"/>
      <c r="S646" s="131"/>
      <c r="T646" s="131"/>
      <c r="U646" s="132"/>
      <c r="V646" s="132"/>
    </row>
    <row r="647" ht="12.75" customHeight="1">
      <c r="A647" s="128"/>
      <c r="B647" s="128"/>
      <c r="C647" s="128"/>
      <c r="D647" s="129"/>
      <c r="E647" s="128"/>
      <c r="F647" s="130"/>
      <c r="G647" s="131"/>
      <c r="H647" s="131"/>
      <c r="I647" s="131"/>
      <c r="J647" s="131"/>
      <c r="K647" s="131"/>
      <c r="L647" s="131"/>
      <c r="M647" s="131"/>
      <c r="N647" s="131"/>
      <c r="O647" s="131"/>
      <c r="P647" s="131"/>
      <c r="Q647" s="131"/>
      <c r="R647" s="131"/>
      <c r="S647" s="131"/>
      <c r="T647" s="131"/>
      <c r="U647" s="132"/>
      <c r="V647" s="132"/>
    </row>
    <row r="648" ht="12.75" customHeight="1">
      <c r="A648" s="128"/>
      <c r="B648" s="128"/>
      <c r="C648" s="128"/>
      <c r="D648" s="129"/>
      <c r="E648" s="128"/>
      <c r="F648" s="130"/>
      <c r="G648" s="131"/>
      <c r="H648" s="131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32"/>
      <c r="V648" s="132"/>
    </row>
    <row r="649" ht="12.75" customHeight="1">
      <c r="A649" s="128"/>
      <c r="B649" s="128"/>
      <c r="C649" s="128"/>
      <c r="D649" s="129"/>
      <c r="E649" s="128"/>
      <c r="F649" s="130"/>
      <c r="G649" s="131"/>
      <c r="H649" s="131"/>
      <c r="I649" s="131"/>
      <c r="J649" s="131"/>
      <c r="K649" s="131"/>
      <c r="L649" s="131"/>
      <c r="M649" s="131"/>
      <c r="N649" s="131"/>
      <c r="O649" s="131"/>
      <c r="P649" s="131"/>
      <c r="Q649" s="131"/>
      <c r="R649" s="131"/>
      <c r="S649" s="131"/>
      <c r="T649" s="131"/>
      <c r="U649" s="132"/>
      <c r="V649" s="132"/>
    </row>
    <row r="650" ht="12.75" customHeight="1">
      <c r="A650" s="128"/>
      <c r="B650" s="128"/>
      <c r="C650" s="128"/>
      <c r="D650" s="129"/>
      <c r="E650" s="128"/>
      <c r="F650" s="130"/>
      <c r="G650" s="131"/>
      <c r="H650" s="131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31"/>
      <c r="U650" s="132"/>
      <c r="V650" s="132"/>
    </row>
    <row r="651" ht="12.75" customHeight="1">
      <c r="A651" s="128"/>
      <c r="B651" s="128"/>
      <c r="C651" s="128"/>
      <c r="D651" s="129"/>
      <c r="E651" s="128"/>
      <c r="F651" s="130"/>
      <c r="G651" s="131"/>
      <c r="H651" s="131"/>
      <c r="I651" s="131"/>
      <c r="J651" s="131"/>
      <c r="K651" s="131"/>
      <c r="L651" s="131"/>
      <c r="M651" s="131"/>
      <c r="N651" s="131"/>
      <c r="O651" s="131"/>
      <c r="P651" s="131"/>
      <c r="Q651" s="131"/>
      <c r="R651" s="131"/>
      <c r="S651" s="131"/>
      <c r="T651" s="131"/>
      <c r="U651" s="132"/>
      <c r="V651" s="132"/>
    </row>
    <row r="652" ht="12.75" customHeight="1">
      <c r="A652" s="128"/>
      <c r="B652" s="128"/>
      <c r="C652" s="128"/>
      <c r="D652" s="129"/>
      <c r="E652" s="128"/>
      <c r="F652" s="130"/>
      <c r="G652" s="131"/>
      <c r="H652" s="131"/>
      <c r="I652" s="131"/>
      <c r="J652" s="131"/>
      <c r="K652" s="131"/>
      <c r="L652" s="131"/>
      <c r="M652" s="131"/>
      <c r="N652" s="131"/>
      <c r="O652" s="131"/>
      <c r="P652" s="131"/>
      <c r="Q652" s="131"/>
      <c r="R652" s="131"/>
      <c r="S652" s="131"/>
      <c r="T652" s="131"/>
      <c r="U652" s="132"/>
      <c r="V652" s="132"/>
    </row>
    <row r="653" ht="12.75" customHeight="1">
      <c r="A653" s="128"/>
      <c r="B653" s="128"/>
      <c r="C653" s="128"/>
      <c r="D653" s="129"/>
      <c r="E653" s="128"/>
      <c r="F653" s="130"/>
      <c r="G653" s="131"/>
      <c r="H653" s="131"/>
      <c r="I653" s="131"/>
      <c r="J653" s="131"/>
      <c r="K653" s="131"/>
      <c r="L653" s="131"/>
      <c r="M653" s="131"/>
      <c r="N653" s="131"/>
      <c r="O653" s="131"/>
      <c r="P653" s="131"/>
      <c r="Q653" s="131"/>
      <c r="R653" s="131"/>
      <c r="S653" s="131"/>
      <c r="T653" s="131"/>
      <c r="U653" s="132"/>
      <c r="V653" s="132"/>
    </row>
    <row r="654" ht="12.75" customHeight="1">
      <c r="A654" s="128"/>
      <c r="B654" s="128"/>
      <c r="C654" s="128"/>
      <c r="D654" s="129"/>
      <c r="E654" s="128"/>
      <c r="F654" s="130"/>
      <c r="G654" s="131"/>
      <c r="H654" s="131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32"/>
      <c r="V654" s="132"/>
    </row>
    <row r="655" ht="12.75" customHeight="1">
      <c r="A655" s="128"/>
      <c r="B655" s="128"/>
      <c r="C655" s="128"/>
      <c r="D655" s="129"/>
      <c r="E655" s="128"/>
      <c r="F655" s="130"/>
      <c r="G655" s="131"/>
      <c r="H655" s="131"/>
      <c r="I655" s="131"/>
      <c r="J655" s="131"/>
      <c r="K655" s="131"/>
      <c r="L655" s="131"/>
      <c r="M655" s="131"/>
      <c r="N655" s="131"/>
      <c r="O655" s="131"/>
      <c r="P655" s="131"/>
      <c r="Q655" s="131"/>
      <c r="R655" s="131"/>
      <c r="S655" s="131"/>
      <c r="T655" s="131"/>
      <c r="U655" s="132"/>
      <c r="V655" s="132"/>
    </row>
    <row r="656" ht="12.75" customHeight="1">
      <c r="A656" s="128"/>
      <c r="B656" s="128"/>
      <c r="C656" s="128"/>
      <c r="D656" s="129"/>
      <c r="E656" s="128"/>
      <c r="F656" s="130"/>
      <c r="G656" s="131"/>
      <c r="H656" s="131"/>
      <c r="I656" s="131"/>
      <c r="J656" s="131"/>
      <c r="K656" s="131"/>
      <c r="L656" s="131"/>
      <c r="M656" s="131"/>
      <c r="N656" s="131"/>
      <c r="O656" s="131"/>
      <c r="P656" s="131"/>
      <c r="Q656" s="131"/>
      <c r="R656" s="131"/>
      <c r="S656" s="131"/>
      <c r="T656" s="131"/>
      <c r="U656" s="132"/>
      <c r="V656" s="132"/>
    </row>
    <row r="657" ht="12.75" customHeight="1">
      <c r="A657" s="128"/>
      <c r="B657" s="128"/>
      <c r="C657" s="128"/>
      <c r="D657" s="129"/>
      <c r="E657" s="128"/>
      <c r="F657" s="130"/>
      <c r="G657" s="131"/>
      <c r="H657" s="131"/>
      <c r="I657" s="131"/>
      <c r="J657" s="131"/>
      <c r="K657" s="131"/>
      <c r="L657" s="131"/>
      <c r="M657" s="131"/>
      <c r="N657" s="131"/>
      <c r="O657" s="131"/>
      <c r="P657" s="131"/>
      <c r="Q657" s="131"/>
      <c r="R657" s="131"/>
      <c r="S657" s="131"/>
      <c r="T657" s="131"/>
      <c r="U657" s="132"/>
      <c r="V657" s="132"/>
    </row>
    <row r="658" ht="12.75" customHeight="1">
      <c r="A658" s="128"/>
      <c r="B658" s="128"/>
      <c r="C658" s="128"/>
      <c r="D658" s="129"/>
      <c r="E658" s="128"/>
      <c r="F658" s="130"/>
      <c r="G658" s="131"/>
      <c r="H658" s="131"/>
      <c r="I658" s="131"/>
      <c r="J658" s="131"/>
      <c r="K658" s="131"/>
      <c r="L658" s="131"/>
      <c r="M658" s="131"/>
      <c r="N658" s="131"/>
      <c r="O658" s="131"/>
      <c r="P658" s="131"/>
      <c r="Q658" s="131"/>
      <c r="R658" s="131"/>
      <c r="S658" s="131"/>
      <c r="T658" s="131"/>
      <c r="U658" s="132"/>
      <c r="V658" s="132"/>
    </row>
    <row r="659" ht="12.75" customHeight="1">
      <c r="A659" s="128"/>
      <c r="B659" s="128"/>
      <c r="C659" s="128"/>
      <c r="D659" s="129"/>
      <c r="E659" s="128"/>
      <c r="F659" s="130"/>
      <c r="G659" s="131"/>
      <c r="H659" s="131"/>
      <c r="I659" s="131"/>
      <c r="J659" s="131"/>
      <c r="K659" s="131"/>
      <c r="L659" s="131"/>
      <c r="M659" s="131"/>
      <c r="N659" s="131"/>
      <c r="O659" s="131"/>
      <c r="P659" s="131"/>
      <c r="Q659" s="131"/>
      <c r="R659" s="131"/>
      <c r="S659" s="131"/>
      <c r="T659" s="131"/>
      <c r="U659" s="132"/>
      <c r="V659" s="132"/>
    </row>
    <row r="660" ht="12.75" customHeight="1">
      <c r="A660" s="128"/>
      <c r="B660" s="128"/>
      <c r="C660" s="128"/>
      <c r="D660" s="129"/>
      <c r="E660" s="128"/>
      <c r="F660" s="130"/>
      <c r="G660" s="131"/>
      <c r="H660" s="131"/>
      <c r="I660" s="131"/>
      <c r="J660" s="131"/>
      <c r="K660" s="131"/>
      <c r="L660" s="131"/>
      <c r="M660" s="131"/>
      <c r="N660" s="131"/>
      <c r="O660" s="131"/>
      <c r="P660" s="131"/>
      <c r="Q660" s="131"/>
      <c r="R660" s="131"/>
      <c r="S660" s="131"/>
      <c r="T660" s="131"/>
      <c r="U660" s="132"/>
      <c r="V660" s="132"/>
    </row>
    <row r="661" ht="12.75" customHeight="1">
      <c r="A661" s="128"/>
      <c r="B661" s="128"/>
      <c r="C661" s="128"/>
      <c r="D661" s="129"/>
      <c r="E661" s="128"/>
      <c r="F661" s="130"/>
      <c r="G661" s="131"/>
      <c r="H661" s="131"/>
      <c r="I661" s="131"/>
      <c r="J661" s="131"/>
      <c r="K661" s="131"/>
      <c r="L661" s="131"/>
      <c r="M661" s="131"/>
      <c r="N661" s="131"/>
      <c r="O661" s="131"/>
      <c r="P661" s="131"/>
      <c r="Q661" s="131"/>
      <c r="R661" s="131"/>
      <c r="S661" s="131"/>
      <c r="T661" s="131"/>
      <c r="U661" s="132"/>
      <c r="V661" s="132"/>
    </row>
    <row r="662" ht="12.75" customHeight="1">
      <c r="A662" s="128"/>
      <c r="B662" s="128"/>
      <c r="C662" s="128"/>
      <c r="D662" s="129"/>
      <c r="E662" s="128"/>
      <c r="F662" s="130"/>
      <c r="G662" s="131"/>
      <c r="H662" s="131"/>
      <c r="I662" s="131"/>
      <c r="J662" s="131"/>
      <c r="K662" s="131"/>
      <c r="L662" s="131"/>
      <c r="M662" s="131"/>
      <c r="N662" s="131"/>
      <c r="O662" s="131"/>
      <c r="P662" s="131"/>
      <c r="Q662" s="131"/>
      <c r="R662" s="131"/>
      <c r="S662" s="131"/>
      <c r="T662" s="131"/>
      <c r="U662" s="132"/>
      <c r="V662" s="132"/>
    </row>
    <row r="663" ht="12.75" customHeight="1">
      <c r="A663" s="128"/>
      <c r="B663" s="128"/>
      <c r="C663" s="128"/>
      <c r="D663" s="129"/>
      <c r="E663" s="128"/>
      <c r="F663" s="130"/>
      <c r="G663" s="131"/>
      <c r="H663" s="131"/>
      <c r="I663" s="131"/>
      <c r="J663" s="131"/>
      <c r="K663" s="131"/>
      <c r="L663" s="131"/>
      <c r="M663" s="131"/>
      <c r="N663" s="131"/>
      <c r="O663" s="131"/>
      <c r="P663" s="131"/>
      <c r="Q663" s="131"/>
      <c r="R663" s="131"/>
      <c r="S663" s="131"/>
      <c r="T663" s="131"/>
      <c r="U663" s="132"/>
      <c r="V663" s="132"/>
    </row>
    <row r="664" ht="12.75" customHeight="1">
      <c r="A664" s="128"/>
      <c r="B664" s="128"/>
      <c r="C664" s="128"/>
      <c r="D664" s="129"/>
      <c r="E664" s="128"/>
      <c r="F664" s="130"/>
      <c r="G664" s="131"/>
      <c r="H664" s="131"/>
      <c r="I664" s="131"/>
      <c r="J664" s="131"/>
      <c r="K664" s="131"/>
      <c r="L664" s="131"/>
      <c r="M664" s="131"/>
      <c r="N664" s="131"/>
      <c r="O664" s="131"/>
      <c r="P664" s="131"/>
      <c r="Q664" s="131"/>
      <c r="R664" s="131"/>
      <c r="S664" s="131"/>
      <c r="T664" s="131"/>
      <c r="U664" s="132"/>
      <c r="V664" s="132"/>
    </row>
    <row r="665" ht="12.75" customHeight="1">
      <c r="A665" s="128"/>
      <c r="B665" s="128"/>
      <c r="C665" s="128"/>
      <c r="D665" s="129"/>
      <c r="E665" s="128"/>
      <c r="F665" s="130"/>
      <c r="G665" s="131"/>
      <c r="H665" s="131"/>
      <c r="I665" s="131"/>
      <c r="J665" s="131"/>
      <c r="K665" s="131"/>
      <c r="L665" s="131"/>
      <c r="M665" s="131"/>
      <c r="N665" s="131"/>
      <c r="O665" s="131"/>
      <c r="P665" s="131"/>
      <c r="Q665" s="131"/>
      <c r="R665" s="131"/>
      <c r="S665" s="131"/>
      <c r="T665" s="131"/>
      <c r="U665" s="132"/>
      <c r="V665" s="132"/>
    </row>
    <row r="666" ht="12.75" customHeight="1">
      <c r="A666" s="128"/>
      <c r="B666" s="128"/>
      <c r="C666" s="128"/>
      <c r="D666" s="129"/>
      <c r="E666" s="128"/>
      <c r="F666" s="130"/>
      <c r="G666" s="131"/>
      <c r="H666" s="131"/>
      <c r="I666" s="131"/>
      <c r="J666" s="131"/>
      <c r="K666" s="131"/>
      <c r="L666" s="131"/>
      <c r="M666" s="131"/>
      <c r="N666" s="131"/>
      <c r="O666" s="131"/>
      <c r="P666" s="131"/>
      <c r="Q666" s="131"/>
      <c r="R666" s="131"/>
      <c r="S666" s="131"/>
      <c r="T666" s="131"/>
      <c r="U666" s="132"/>
      <c r="V666" s="132"/>
    </row>
    <row r="667" ht="12.75" customHeight="1">
      <c r="A667" s="128"/>
      <c r="B667" s="128"/>
      <c r="C667" s="128"/>
      <c r="D667" s="129"/>
      <c r="E667" s="128"/>
      <c r="F667" s="130"/>
      <c r="G667" s="131"/>
      <c r="H667" s="131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32"/>
      <c r="V667" s="132"/>
    </row>
    <row r="668" ht="12.75" customHeight="1">
      <c r="A668" s="128"/>
      <c r="B668" s="128"/>
      <c r="C668" s="128"/>
      <c r="D668" s="129"/>
      <c r="E668" s="128"/>
      <c r="F668" s="130"/>
      <c r="G668" s="131"/>
      <c r="H668" s="131"/>
      <c r="I668" s="131"/>
      <c r="J668" s="131"/>
      <c r="K668" s="131"/>
      <c r="L668" s="131"/>
      <c r="M668" s="131"/>
      <c r="N668" s="131"/>
      <c r="O668" s="131"/>
      <c r="P668" s="131"/>
      <c r="Q668" s="131"/>
      <c r="R668" s="131"/>
      <c r="S668" s="131"/>
      <c r="T668" s="131"/>
      <c r="U668" s="132"/>
      <c r="V668" s="132"/>
    </row>
    <row r="669" ht="12.75" customHeight="1">
      <c r="A669" s="128"/>
      <c r="B669" s="128"/>
      <c r="C669" s="128"/>
      <c r="D669" s="129"/>
      <c r="E669" s="128"/>
      <c r="F669" s="130"/>
      <c r="G669" s="131"/>
      <c r="H669" s="131"/>
      <c r="I669" s="131"/>
      <c r="J669" s="131"/>
      <c r="K669" s="131"/>
      <c r="L669" s="131"/>
      <c r="M669" s="131"/>
      <c r="N669" s="131"/>
      <c r="O669" s="131"/>
      <c r="P669" s="131"/>
      <c r="Q669" s="131"/>
      <c r="R669" s="131"/>
      <c r="S669" s="131"/>
      <c r="T669" s="131"/>
      <c r="U669" s="132"/>
      <c r="V669" s="132"/>
    </row>
    <row r="670" ht="12.75" customHeight="1">
      <c r="A670" s="128"/>
      <c r="B670" s="128"/>
      <c r="C670" s="128"/>
      <c r="D670" s="129"/>
      <c r="E670" s="128"/>
      <c r="F670" s="130"/>
      <c r="G670" s="131"/>
      <c r="H670" s="131"/>
      <c r="I670" s="131"/>
      <c r="J670" s="131"/>
      <c r="K670" s="131"/>
      <c r="L670" s="131"/>
      <c r="M670" s="131"/>
      <c r="N670" s="131"/>
      <c r="O670" s="131"/>
      <c r="P670" s="131"/>
      <c r="Q670" s="131"/>
      <c r="R670" s="131"/>
      <c r="S670" s="131"/>
      <c r="T670" s="131"/>
      <c r="U670" s="132"/>
      <c r="V670" s="132"/>
    </row>
    <row r="671" ht="12.75" customHeight="1">
      <c r="A671" s="128"/>
      <c r="B671" s="128"/>
      <c r="C671" s="128"/>
      <c r="D671" s="129"/>
      <c r="E671" s="128"/>
      <c r="F671" s="130"/>
      <c r="G671" s="131"/>
      <c r="H671" s="131"/>
      <c r="I671" s="131"/>
      <c r="J671" s="131"/>
      <c r="K671" s="131"/>
      <c r="L671" s="131"/>
      <c r="M671" s="131"/>
      <c r="N671" s="131"/>
      <c r="O671" s="131"/>
      <c r="P671" s="131"/>
      <c r="Q671" s="131"/>
      <c r="R671" s="131"/>
      <c r="S671" s="131"/>
      <c r="T671" s="131"/>
      <c r="U671" s="132"/>
      <c r="V671" s="132"/>
    </row>
    <row r="672" ht="12.75" customHeight="1">
      <c r="A672" s="128"/>
      <c r="B672" s="128"/>
      <c r="C672" s="128"/>
      <c r="D672" s="129"/>
      <c r="E672" s="128"/>
      <c r="F672" s="130"/>
      <c r="G672" s="131"/>
      <c r="H672" s="131"/>
      <c r="I672" s="131"/>
      <c r="J672" s="131"/>
      <c r="K672" s="131"/>
      <c r="L672" s="131"/>
      <c r="M672" s="131"/>
      <c r="N672" s="131"/>
      <c r="O672" s="131"/>
      <c r="P672" s="131"/>
      <c r="Q672" s="131"/>
      <c r="R672" s="131"/>
      <c r="S672" s="131"/>
      <c r="T672" s="131"/>
      <c r="U672" s="132"/>
      <c r="V672" s="132"/>
    </row>
    <row r="673" ht="12.75" customHeight="1">
      <c r="A673" s="128"/>
      <c r="B673" s="128"/>
      <c r="C673" s="128"/>
      <c r="D673" s="129"/>
      <c r="E673" s="128"/>
      <c r="F673" s="130"/>
      <c r="G673" s="131"/>
      <c r="H673" s="131"/>
      <c r="I673" s="131"/>
      <c r="J673" s="131"/>
      <c r="K673" s="131"/>
      <c r="L673" s="131"/>
      <c r="M673" s="131"/>
      <c r="N673" s="131"/>
      <c r="O673" s="131"/>
      <c r="P673" s="131"/>
      <c r="Q673" s="131"/>
      <c r="R673" s="131"/>
      <c r="S673" s="131"/>
      <c r="T673" s="131"/>
      <c r="U673" s="132"/>
      <c r="V673" s="132"/>
    </row>
    <row r="674" ht="12.75" customHeight="1">
      <c r="A674" s="128"/>
      <c r="B674" s="128"/>
      <c r="C674" s="128"/>
      <c r="D674" s="129"/>
      <c r="E674" s="128"/>
      <c r="F674" s="130"/>
      <c r="G674" s="131"/>
      <c r="H674" s="131"/>
      <c r="I674" s="131"/>
      <c r="J674" s="131"/>
      <c r="K674" s="131"/>
      <c r="L674" s="131"/>
      <c r="M674" s="131"/>
      <c r="N674" s="131"/>
      <c r="O674" s="131"/>
      <c r="P674" s="131"/>
      <c r="Q674" s="131"/>
      <c r="R674" s="131"/>
      <c r="S674" s="131"/>
      <c r="T674" s="131"/>
      <c r="U674" s="132"/>
      <c r="V674" s="132"/>
    </row>
    <row r="675" ht="12.75" customHeight="1">
      <c r="A675" s="128"/>
      <c r="B675" s="128"/>
      <c r="C675" s="128"/>
      <c r="D675" s="129"/>
      <c r="E675" s="128"/>
      <c r="F675" s="130"/>
      <c r="G675" s="131"/>
      <c r="H675" s="131"/>
      <c r="I675" s="131"/>
      <c r="J675" s="131"/>
      <c r="K675" s="131"/>
      <c r="L675" s="131"/>
      <c r="M675" s="131"/>
      <c r="N675" s="131"/>
      <c r="O675" s="131"/>
      <c r="P675" s="131"/>
      <c r="Q675" s="131"/>
      <c r="R675" s="131"/>
      <c r="S675" s="131"/>
      <c r="T675" s="131"/>
      <c r="U675" s="132"/>
      <c r="V675" s="132"/>
    </row>
    <row r="676" ht="12.75" customHeight="1">
      <c r="A676" s="128"/>
      <c r="B676" s="128"/>
      <c r="C676" s="128"/>
      <c r="D676" s="129"/>
      <c r="E676" s="128"/>
      <c r="F676" s="130"/>
      <c r="G676" s="131"/>
      <c r="H676" s="131"/>
      <c r="I676" s="131"/>
      <c r="J676" s="131"/>
      <c r="K676" s="131"/>
      <c r="L676" s="131"/>
      <c r="M676" s="131"/>
      <c r="N676" s="131"/>
      <c r="O676" s="131"/>
      <c r="P676" s="131"/>
      <c r="Q676" s="131"/>
      <c r="R676" s="131"/>
      <c r="S676" s="131"/>
      <c r="T676" s="131"/>
      <c r="U676" s="132"/>
      <c r="V676" s="132"/>
    </row>
    <row r="677" ht="12.75" customHeight="1">
      <c r="A677" s="128"/>
      <c r="B677" s="128"/>
      <c r="C677" s="128"/>
      <c r="D677" s="129"/>
      <c r="E677" s="128"/>
      <c r="F677" s="130"/>
      <c r="G677" s="131"/>
      <c r="H677" s="131"/>
      <c r="I677" s="131"/>
      <c r="J677" s="131"/>
      <c r="K677" s="131"/>
      <c r="L677" s="131"/>
      <c r="M677" s="131"/>
      <c r="N677" s="131"/>
      <c r="O677" s="131"/>
      <c r="P677" s="131"/>
      <c r="Q677" s="131"/>
      <c r="R677" s="131"/>
      <c r="S677" s="131"/>
      <c r="T677" s="131"/>
      <c r="U677" s="132"/>
      <c r="V677" s="132"/>
    </row>
    <row r="678" ht="12.75" customHeight="1">
      <c r="A678" s="128"/>
      <c r="B678" s="128"/>
      <c r="C678" s="128"/>
      <c r="D678" s="129"/>
      <c r="E678" s="128"/>
      <c r="F678" s="130"/>
      <c r="G678" s="131"/>
      <c r="H678" s="131"/>
      <c r="I678" s="131"/>
      <c r="J678" s="131"/>
      <c r="K678" s="131"/>
      <c r="L678" s="131"/>
      <c r="M678" s="131"/>
      <c r="N678" s="131"/>
      <c r="O678" s="131"/>
      <c r="P678" s="131"/>
      <c r="Q678" s="131"/>
      <c r="R678" s="131"/>
      <c r="S678" s="131"/>
      <c r="T678" s="131"/>
      <c r="U678" s="132"/>
      <c r="V678" s="132"/>
    </row>
    <row r="679" ht="12.75" customHeight="1">
      <c r="A679" s="128"/>
      <c r="B679" s="128"/>
      <c r="C679" s="128"/>
      <c r="D679" s="129"/>
      <c r="E679" s="128"/>
      <c r="F679" s="130"/>
      <c r="G679" s="131"/>
      <c r="H679" s="131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32"/>
      <c r="V679" s="132"/>
    </row>
    <row r="680" ht="12.75" customHeight="1">
      <c r="A680" s="128"/>
      <c r="B680" s="128"/>
      <c r="C680" s="128"/>
      <c r="D680" s="129"/>
      <c r="E680" s="128"/>
      <c r="F680" s="130"/>
      <c r="G680" s="131"/>
      <c r="H680" s="131"/>
      <c r="I680" s="131"/>
      <c r="J680" s="131"/>
      <c r="K680" s="131"/>
      <c r="L680" s="131"/>
      <c r="M680" s="131"/>
      <c r="N680" s="131"/>
      <c r="O680" s="131"/>
      <c r="P680" s="131"/>
      <c r="Q680" s="131"/>
      <c r="R680" s="131"/>
      <c r="S680" s="131"/>
      <c r="T680" s="131"/>
      <c r="U680" s="132"/>
      <c r="V680" s="132"/>
    </row>
    <row r="681" ht="12.75" customHeight="1">
      <c r="A681" s="128"/>
      <c r="B681" s="128"/>
      <c r="C681" s="128"/>
      <c r="D681" s="129"/>
      <c r="E681" s="128"/>
      <c r="F681" s="130"/>
      <c r="G681" s="131"/>
      <c r="H681" s="131"/>
      <c r="I681" s="131"/>
      <c r="J681" s="131"/>
      <c r="K681" s="131"/>
      <c r="L681" s="131"/>
      <c r="M681" s="131"/>
      <c r="N681" s="131"/>
      <c r="O681" s="131"/>
      <c r="P681" s="131"/>
      <c r="Q681" s="131"/>
      <c r="R681" s="131"/>
      <c r="S681" s="131"/>
      <c r="T681" s="131"/>
      <c r="U681" s="132"/>
      <c r="V681" s="132"/>
    </row>
    <row r="682" ht="12.75" customHeight="1">
      <c r="A682" s="128"/>
      <c r="B682" s="128"/>
      <c r="C682" s="128"/>
      <c r="D682" s="129"/>
      <c r="E682" s="128"/>
      <c r="F682" s="130"/>
      <c r="G682" s="131"/>
      <c r="H682" s="131"/>
      <c r="I682" s="131"/>
      <c r="J682" s="131"/>
      <c r="K682" s="131"/>
      <c r="L682" s="131"/>
      <c r="M682" s="131"/>
      <c r="N682" s="131"/>
      <c r="O682" s="131"/>
      <c r="P682" s="131"/>
      <c r="Q682" s="131"/>
      <c r="R682" s="131"/>
      <c r="S682" s="131"/>
      <c r="T682" s="131"/>
      <c r="U682" s="132"/>
      <c r="V682" s="132"/>
    </row>
    <row r="683" ht="12.75" customHeight="1">
      <c r="A683" s="128"/>
      <c r="B683" s="128"/>
      <c r="C683" s="128"/>
      <c r="D683" s="129"/>
      <c r="E683" s="128"/>
      <c r="F683" s="130"/>
      <c r="G683" s="131"/>
      <c r="H683" s="131"/>
      <c r="I683" s="131"/>
      <c r="J683" s="131"/>
      <c r="K683" s="131"/>
      <c r="L683" s="131"/>
      <c r="M683" s="131"/>
      <c r="N683" s="131"/>
      <c r="O683" s="131"/>
      <c r="P683" s="131"/>
      <c r="Q683" s="131"/>
      <c r="R683" s="131"/>
      <c r="S683" s="131"/>
      <c r="T683" s="131"/>
      <c r="U683" s="132"/>
      <c r="V683" s="132"/>
    </row>
    <row r="684" ht="12.75" customHeight="1">
      <c r="A684" s="128"/>
      <c r="B684" s="128"/>
      <c r="C684" s="128"/>
      <c r="D684" s="129"/>
      <c r="E684" s="128"/>
      <c r="F684" s="130"/>
      <c r="G684" s="131"/>
      <c r="H684" s="131"/>
      <c r="I684" s="131"/>
      <c r="J684" s="131"/>
      <c r="K684" s="131"/>
      <c r="L684" s="131"/>
      <c r="M684" s="131"/>
      <c r="N684" s="131"/>
      <c r="O684" s="131"/>
      <c r="P684" s="131"/>
      <c r="Q684" s="131"/>
      <c r="R684" s="131"/>
      <c r="S684" s="131"/>
      <c r="T684" s="131"/>
      <c r="U684" s="132"/>
      <c r="V684" s="132"/>
    </row>
    <row r="685" ht="12.75" customHeight="1">
      <c r="A685" s="128"/>
      <c r="B685" s="128"/>
      <c r="C685" s="128"/>
      <c r="D685" s="129"/>
      <c r="E685" s="128"/>
      <c r="F685" s="130"/>
      <c r="G685" s="131"/>
      <c r="H685" s="131"/>
      <c r="I685" s="131"/>
      <c r="J685" s="131"/>
      <c r="K685" s="131"/>
      <c r="L685" s="131"/>
      <c r="M685" s="131"/>
      <c r="N685" s="131"/>
      <c r="O685" s="131"/>
      <c r="P685" s="131"/>
      <c r="Q685" s="131"/>
      <c r="R685" s="131"/>
      <c r="S685" s="131"/>
      <c r="T685" s="131"/>
      <c r="U685" s="132"/>
      <c r="V685" s="132"/>
    </row>
    <row r="686" ht="12.75" customHeight="1">
      <c r="A686" s="128"/>
      <c r="B686" s="128"/>
      <c r="C686" s="128"/>
      <c r="D686" s="129"/>
      <c r="E686" s="128"/>
      <c r="F686" s="130"/>
      <c r="G686" s="131"/>
      <c r="H686" s="131"/>
      <c r="I686" s="131"/>
      <c r="J686" s="131"/>
      <c r="K686" s="131"/>
      <c r="L686" s="131"/>
      <c r="M686" s="131"/>
      <c r="N686" s="131"/>
      <c r="O686" s="131"/>
      <c r="P686" s="131"/>
      <c r="Q686" s="131"/>
      <c r="R686" s="131"/>
      <c r="S686" s="131"/>
      <c r="T686" s="131"/>
      <c r="U686" s="132"/>
      <c r="V686" s="132"/>
    </row>
    <row r="687" ht="12.75" customHeight="1">
      <c r="A687" s="128"/>
      <c r="B687" s="128"/>
      <c r="C687" s="128"/>
      <c r="D687" s="129"/>
      <c r="E687" s="128"/>
      <c r="F687" s="130"/>
      <c r="G687" s="131"/>
      <c r="H687" s="131"/>
      <c r="I687" s="131"/>
      <c r="J687" s="131"/>
      <c r="K687" s="131"/>
      <c r="L687" s="131"/>
      <c r="M687" s="131"/>
      <c r="N687" s="131"/>
      <c r="O687" s="131"/>
      <c r="P687" s="131"/>
      <c r="Q687" s="131"/>
      <c r="R687" s="131"/>
      <c r="S687" s="131"/>
      <c r="T687" s="131"/>
      <c r="U687" s="132"/>
      <c r="V687" s="132"/>
    </row>
    <row r="688" ht="12.75" customHeight="1">
      <c r="A688" s="128"/>
      <c r="B688" s="128"/>
      <c r="C688" s="128"/>
      <c r="D688" s="129"/>
      <c r="E688" s="128"/>
      <c r="F688" s="130"/>
      <c r="G688" s="131"/>
      <c r="H688" s="131"/>
      <c r="I688" s="131"/>
      <c r="J688" s="131"/>
      <c r="K688" s="131"/>
      <c r="L688" s="131"/>
      <c r="M688" s="131"/>
      <c r="N688" s="131"/>
      <c r="O688" s="131"/>
      <c r="P688" s="131"/>
      <c r="Q688" s="131"/>
      <c r="R688" s="131"/>
      <c r="S688" s="131"/>
      <c r="T688" s="131"/>
      <c r="U688" s="132"/>
      <c r="V688" s="132"/>
    </row>
    <row r="689" ht="12.75" customHeight="1">
      <c r="A689" s="128"/>
      <c r="B689" s="128"/>
      <c r="C689" s="128"/>
      <c r="D689" s="129"/>
      <c r="E689" s="128"/>
      <c r="F689" s="130"/>
      <c r="G689" s="131"/>
      <c r="H689" s="131"/>
      <c r="I689" s="131"/>
      <c r="J689" s="131"/>
      <c r="K689" s="131"/>
      <c r="L689" s="131"/>
      <c r="M689" s="131"/>
      <c r="N689" s="131"/>
      <c r="O689" s="131"/>
      <c r="P689" s="131"/>
      <c r="Q689" s="131"/>
      <c r="R689" s="131"/>
      <c r="S689" s="131"/>
      <c r="T689" s="131"/>
      <c r="U689" s="132"/>
      <c r="V689" s="132"/>
    </row>
    <row r="690" ht="12.75" customHeight="1">
      <c r="A690" s="128"/>
      <c r="B690" s="128"/>
      <c r="C690" s="128"/>
      <c r="D690" s="129"/>
      <c r="E690" s="128"/>
      <c r="F690" s="130"/>
      <c r="G690" s="131"/>
      <c r="H690" s="131"/>
      <c r="I690" s="131"/>
      <c r="J690" s="131"/>
      <c r="K690" s="131"/>
      <c r="L690" s="131"/>
      <c r="M690" s="131"/>
      <c r="N690" s="131"/>
      <c r="O690" s="131"/>
      <c r="P690" s="131"/>
      <c r="Q690" s="131"/>
      <c r="R690" s="131"/>
      <c r="S690" s="131"/>
      <c r="T690" s="131"/>
      <c r="U690" s="132"/>
      <c r="V690" s="132"/>
    </row>
    <row r="691" ht="12.75" customHeight="1">
      <c r="A691" s="128"/>
      <c r="B691" s="128"/>
      <c r="C691" s="128"/>
      <c r="D691" s="129"/>
      <c r="E691" s="128"/>
      <c r="F691" s="130"/>
      <c r="G691" s="131"/>
      <c r="H691" s="131"/>
      <c r="I691" s="131"/>
      <c r="J691" s="131"/>
      <c r="K691" s="131"/>
      <c r="L691" s="131"/>
      <c r="M691" s="131"/>
      <c r="N691" s="131"/>
      <c r="O691" s="131"/>
      <c r="P691" s="131"/>
      <c r="Q691" s="131"/>
      <c r="R691" s="131"/>
      <c r="S691" s="131"/>
      <c r="T691" s="131"/>
      <c r="U691" s="132"/>
      <c r="V691" s="132"/>
    </row>
    <row r="692" ht="12.75" customHeight="1">
      <c r="A692" s="128"/>
      <c r="B692" s="128"/>
      <c r="C692" s="128"/>
      <c r="D692" s="129"/>
      <c r="E692" s="128"/>
      <c r="F692" s="130"/>
      <c r="G692" s="131"/>
      <c r="H692" s="131"/>
      <c r="I692" s="131"/>
      <c r="J692" s="131"/>
      <c r="K692" s="131"/>
      <c r="L692" s="131"/>
      <c r="M692" s="131"/>
      <c r="N692" s="131"/>
      <c r="O692" s="131"/>
      <c r="P692" s="131"/>
      <c r="Q692" s="131"/>
      <c r="R692" s="131"/>
      <c r="S692" s="131"/>
      <c r="T692" s="131"/>
      <c r="U692" s="132"/>
      <c r="V692" s="132"/>
    </row>
    <row r="693" ht="12.75" customHeight="1">
      <c r="A693" s="128"/>
      <c r="B693" s="128"/>
      <c r="C693" s="128"/>
      <c r="D693" s="129"/>
      <c r="E693" s="128"/>
      <c r="F693" s="130"/>
      <c r="G693" s="131"/>
      <c r="H693" s="131"/>
      <c r="I693" s="131"/>
      <c r="J693" s="131"/>
      <c r="K693" s="131"/>
      <c r="L693" s="131"/>
      <c r="M693" s="131"/>
      <c r="N693" s="131"/>
      <c r="O693" s="131"/>
      <c r="P693" s="131"/>
      <c r="Q693" s="131"/>
      <c r="R693" s="131"/>
      <c r="S693" s="131"/>
      <c r="T693" s="131"/>
      <c r="U693" s="132"/>
      <c r="V693" s="132"/>
    </row>
    <row r="694" ht="12.75" customHeight="1">
      <c r="A694" s="128"/>
      <c r="B694" s="128"/>
      <c r="C694" s="128"/>
      <c r="D694" s="129"/>
      <c r="E694" s="128"/>
      <c r="F694" s="130"/>
      <c r="G694" s="131"/>
      <c r="H694" s="131"/>
      <c r="I694" s="131"/>
      <c r="J694" s="131"/>
      <c r="K694" s="131"/>
      <c r="L694" s="131"/>
      <c r="M694" s="131"/>
      <c r="N694" s="131"/>
      <c r="O694" s="131"/>
      <c r="P694" s="131"/>
      <c r="Q694" s="131"/>
      <c r="R694" s="131"/>
      <c r="S694" s="131"/>
      <c r="T694" s="131"/>
      <c r="U694" s="132"/>
      <c r="V694" s="132"/>
    </row>
    <row r="695" ht="12.75" customHeight="1">
      <c r="A695" s="128"/>
      <c r="B695" s="128"/>
      <c r="C695" s="128"/>
      <c r="D695" s="129"/>
      <c r="E695" s="128"/>
      <c r="F695" s="130"/>
      <c r="G695" s="131"/>
      <c r="H695" s="131"/>
      <c r="I695" s="131"/>
      <c r="J695" s="131"/>
      <c r="K695" s="131"/>
      <c r="L695" s="131"/>
      <c r="M695" s="131"/>
      <c r="N695" s="131"/>
      <c r="O695" s="131"/>
      <c r="P695" s="131"/>
      <c r="Q695" s="131"/>
      <c r="R695" s="131"/>
      <c r="S695" s="131"/>
      <c r="T695" s="131"/>
      <c r="U695" s="132"/>
      <c r="V695" s="132"/>
    </row>
    <row r="696" ht="12.75" customHeight="1">
      <c r="A696" s="128"/>
      <c r="B696" s="128"/>
      <c r="C696" s="128"/>
      <c r="D696" s="129"/>
      <c r="E696" s="128"/>
      <c r="F696" s="130"/>
      <c r="G696" s="131"/>
      <c r="H696" s="131"/>
      <c r="I696" s="131"/>
      <c r="J696" s="131"/>
      <c r="K696" s="131"/>
      <c r="L696" s="131"/>
      <c r="M696" s="131"/>
      <c r="N696" s="131"/>
      <c r="O696" s="131"/>
      <c r="P696" s="131"/>
      <c r="Q696" s="131"/>
      <c r="R696" s="131"/>
      <c r="S696" s="131"/>
      <c r="T696" s="131"/>
      <c r="U696" s="132"/>
      <c r="V696" s="132"/>
    </row>
    <row r="697" ht="12.75" customHeight="1">
      <c r="A697" s="128"/>
      <c r="B697" s="128"/>
      <c r="C697" s="128"/>
      <c r="D697" s="129"/>
      <c r="E697" s="128"/>
      <c r="F697" s="130"/>
      <c r="G697" s="131"/>
      <c r="H697" s="131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32"/>
      <c r="V697" s="132"/>
    </row>
    <row r="698" ht="12.75" customHeight="1">
      <c r="A698" s="128"/>
      <c r="B698" s="128"/>
      <c r="C698" s="128"/>
      <c r="D698" s="129"/>
      <c r="E698" s="128"/>
      <c r="F698" s="130"/>
      <c r="G698" s="131"/>
      <c r="H698" s="131"/>
      <c r="I698" s="131"/>
      <c r="J698" s="131"/>
      <c r="K698" s="131"/>
      <c r="L698" s="131"/>
      <c r="M698" s="131"/>
      <c r="N698" s="131"/>
      <c r="O698" s="131"/>
      <c r="P698" s="131"/>
      <c r="Q698" s="131"/>
      <c r="R698" s="131"/>
      <c r="S698" s="131"/>
      <c r="T698" s="131"/>
      <c r="U698" s="132"/>
      <c r="V698" s="132"/>
    </row>
    <row r="699" ht="12.75" customHeight="1">
      <c r="A699" s="128"/>
      <c r="B699" s="128"/>
      <c r="C699" s="128"/>
      <c r="D699" s="129"/>
      <c r="E699" s="128"/>
      <c r="F699" s="130"/>
      <c r="G699" s="131"/>
      <c r="H699" s="131"/>
      <c r="I699" s="131"/>
      <c r="J699" s="131"/>
      <c r="K699" s="131"/>
      <c r="L699" s="131"/>
      <c r="M699" s="131"/>
      <c r="N699" s="131"/>
      <c r="O699" s="131"/>
      <c r="P699" s="131"/>
      <c r="Q699" s="131"/>
      <c r="R699" s="131"/>
      <c r="S699" s="131"/>
      <c r="T699" s="131"/>
      <c r="U699" s="132"/>
      <c r="V699" s="132"/>
    </row>
    <row r="700" ht="12.75" customHeight="1">
      <c r="A700" s="128"/>
      <c r="B700" s="128"/>
      <c r="C700" s="128"/>
      <c r="D700" s="129"/>
      <c r="E700" s="128"/>
      <c r="F700" s="130"/>
      <c r="G700" s="131"/>
      <c r="H700" s="131"/>
      <c r="I700" s="131"/>
      <c r="J700" s="131"/>
      <c r="K700" s="131"/>
      <c r="L700" s="131"/>
      <c r="M700" s="131"/>
      <c r="N700" s="131"/>
      <c r="O700" s="131"/>
      <c r="P700" s="131"/>
      <c r="Q700" s="131"/>
      <c r="R700" s="131"/>
      <c r="S700" s="131"/>
      <c r="T700" s="131"/>
      <c r="U700" s="132"/>
      <c r="V700" s="132"/>
    </row>
    <row r="701" ht="12.75" customHeight="1">
      <c r="A701" s="128"/>
      <c r="B701" s="128"/>
      <c r="C701" s="128"/>
      <c r="D701" s="129"/>
      <c r="E701" s="128"/>
      <c r="F701" s="130"/>
      <c r="G701" s="131"/>
      <c r="H701" s="131"/>
      <c r="I701" s="131"/>
      <c r="J701" s="131"/>
      <c r="K701" s="131"/>
      <c r="L701" s="131"/>
      <c r="M701" s="131"/>
      <c r="N701" s="131"/>
      <c r="O701" s="131"/>
      <c r="P701" s="131"/>
      <c r="Q701" s="131"/>
      <c r="R701" s="131"/>
      <c r="S701" s="131"/>
      <c r="T701" s="131"/>
      <c r="U701" s="132"/>
      <c r="V701" s="132"/>
    </row>
    <row r="702" ht="12.75" customHeight="1">
      <c r="A702" s="128"/>
      <c r="B702" s="128"/>
      <c r="C702" s="128"/>
      <c r="D702" s="129"/>
      <c r="E702" s="128"/>
      <c r="F702" s="130"/>
      <c r="G702" s="131"/>
      <c r="H702" s="131"/>
      <c r="I702" s="131"/>
      <c r="J702" s="131"/>
      <c r="K702" s="131"/>
      <c r="L702" s="131"/>
      <c r="M702" s="131"/>
      <c r="N702" s="131"/>
      <c r="O702" s="131"/>
      <c r="P702" s="131"/>
      <c r="Q702" s="131"/>
      <c r="R702" s="131"/>
      <c r="S702" s="131"/>
      <c r="T702" s="131"/>
      <c r="U702" s="132"/>
      <c r="V702" s="132"/>
    </row>
    <row r="703" ht="12.75" customHeight="1">
      <c r="A703" s="128"/>
      <c r="B703" s="128"/>
      <c r="C703" s="128"/>
      <c r="D703" s="129"/>
      <c r="E703" s="128"/>
      <c r="F703" s="130"/>
      <c r="G703" s="131"/>
      <c r="H703" s="131"/>
      <c r="I703" s="131"/>
      <c r="J703" s="131"/>
      <c r="K703" s="131"/>
      <c r="L703" s="131"/>
      <c r="M703" s="131"/>
      <c r="N703" s="131"/>
      <c r="O703" s="131"/>
      <c r="P703" s="131"/>
      <c r="Q703" s="131"/>
      <c r="R703" s="131"/>
      <c r="S703" s="131"/>
      <c r="T703" s="131"/>
      <c r="U703" s="132"/>
      <c r="V703" s="132"/>
    </row>
    <row r="704" ht="12.75" customHeight="1">
      <c r="A704" s="128"/>
      <c r="B704" s="128"/>
      <c r="C704" s="128"/>
      <c r="D704" s="129"/>
      <c r="E704" s="128"/>
      <c r="F704" s="130"/>
      <c r="G704" s="131"/>
      <c r="H704" s="131"/>
      <c r="I704" s="131"/>
      <c r="J704" s="131"/>
      <c r="K704" s="131"/>
      <c r="L704" s="131"/>
      <c r="M704" s="131"/>
      <c r="N704" s="131"/>
      <c r="O704" s="131"/>
      <c r="P704" s="131"/>
      <c r="Q704" s="131"/>
      <c r="R704" s="131"/>
      <c r="S704" s="131"/>
      <c r="T704" s="131"/>
      <c r="U704" s="132"/>
      <c r="V704" s="132"/>
    </row>
    <row r="705" ht="12.75" customHeight="1">
      <c r="A705" s="128"/>
      <c r="B705" s="128"/>
      <c r="C705" s="128"/>
      <c r="D705" s="129"/>
      <c r="E705" s="128"/>
      <c r="F705" s="130"/>
      <c r="G705" s="131"/>
      <c r="H705" s="131"/>
      <c r="I705" s="131"/>
      <c r="J705" s="131"/>
      <c r="K705" s="131"/>
      <c r="L705" s="131"/>
      <c r="M705" s="131"/>
      <c r="N705" s="131"/>
      <c r="O705" s="131"/>
      <c r="P705" s="131"/>
      <c r="Q705" s="131"/>
      <c r="R705" s="131"/>
      <c r="S705" s="131"/>
      <c r="T705" s="131"/>
      <c r="U705" s="132"/>
      <c r="V705" s="132"/>
    </row>
    <row r="706" ht="12.75" customHeight="1">
      <c r="A706" s="128"/>
      <c r="B706" s="128"/>
      <c r="C706" s="128"/>
      <c r="D706" s="129"/>
      <c r="E706" s="128"/>
      <c r="F706" s="130"/>
      <c r="G706" s="131"/>
      <c r="H706" s="131"/>
      <c r="I706" s="131"/>
      <c r="J706" s="131"/>
      <c r="K706" s="131"/>
      <c r="L706" s="131"/>
      <c r="M706" s="131"/>
      <c r="N706" s="131"/>
      <c r="O706" s="131"/>
      <c r="P706" s="131"/>
      <c r="Q706" s="131"/>
      <c r="R706" s="131"/>
      <c r="S706" s="131"/>
      <c r="T706" s="131"/>
      <c r="U706" s="132"/>
      <c r="V706" s="132"/>
    </row>
    <row r="707" ht="12.75" customHeight="1">
      <c r="A707" s="128"/>
      <c r="B707" s="128"/>
      <c r="C707" s="128"/>
      <c r="D707" s="129"/>
      <c r="E707" s="128"/>
      <c r="F707" s="130"/>
      <c r="G707" s="131"/>
      <c r="H707" s="131"/>
      <c r="I707" s="131"/>
      <c r="J707" s="131"/>
      <c r="K707" s="131"/>
      <c r="L707" s="131"/>
      <c r="M707" s="131"/>
      <c r="N707" s="131"/>
      <c r="O707" s="131"/>
      <c r="P707" s="131"/>
      <c r="Q707" s="131"/>
      <c r="R707" s="131"/>
      <c r="S707" s="131"/>
      <c r="T707" s="131"/>
      <c r="U707" s="132"/>
      <c r="V707" s="132"/>
    </row>
    <row r="708" ht="12.75" customHeight="1">
      <c r="A708" s="128"/>
      <c r="B708" s="128"/>
      <c r="C708" s="128"/>
      <c r="D708" s="129"/>
      <c r="E708" s="128"/>
      <c r="F708" s="130"/>
      <c r="G708" s="131"/>
      <c r="H708" s="131"/>
      <c r="I708" s="131"/>
      <c r="J708" s="131"/>
      <c r="K708" s="131"/>
      <c r="L708" s="131"/>
      <c r="M708" s="131"/>
      <c r="N708" s="131"/>
      <c r="O708" s="131"/>
      <c r="P708" s="131"/>
      <c r="Q708" s="131"/>
      <c r="R708" s="131"/>
      <c r="S708" s="131"/>
      <c r="T708" s="131"/>
      <c r="U708" s="132"/>
      <c r="V708" s="132"/>
    </row>
    <row r="709" ht="12.75" customHeight="1">
      <c r="A709" s="128"/>
      <c r="B709" s="128"/>
      <c r="C709" s="128"/>
      <c r="D709" s="129"/>
      <c r="E709" s="128"/>
      <c r="F709" s="130"/>
      <c r="G709" s="131"/>
      <c r="H709" s="131"/>
      <c r="I709" s="131"/>
      <c r="J709" s="131"/>
      <c r="K709" s="131"/>
      <c r="L709" s="131"/>
      <c r="M709" s="131"/>
      <c r="N709" s="131"/>
      <c r="O709" s="131"/>
      <c r="P709" s="131"/>
      <c r="Q709" s="131"/>
      <c r="R709" s="131"/>
      <c r="S709" s="131"/>
      <c r="T709" s="131"/>
      <c r="U709" s="132"/>
      <c r="V709" s="132"/>
    </row>
    <row r="710" ht="12.75" customHeight="1">
      <c r="A710" s="128"/>
      <c r="B710" s="128"/>
      <c r="C710" s="128"/>
      <c r="D710" s="129"/>
      <c r="E710" s="128"/>
      <c r="F710" s="130"/>
      <c r="G710" s="131"/>
      <c r="H710" s="131"/>
      <c r="I710" s="131"/>
      <c r="J710" s="131"/>
      <c r="K710" s="131"/>
      <c r="L710" s="131"/>
      <c r="M710" s="131"/>
      <c r="N710" s="131"/>
      <c r="O710" s="131"/>
      <c r="P710" s="131"/>
      <c r="Q710" s="131"/>
      <c r="R710" s="131"/>
      <c r="S710" s="131"/>
      <c r="T710" s="131"/>
      <c r="U710" s="132"/>
      <c r="V710" s="132"/>
    </row>
    <row r="711" ht="12.75" customHeight="1">
      <c r="A711" s="128"/>
      <c r="B711" s="128"/>
      <c r="C711" s="128"/>
      <c r="D711" s="129"/>
      <c r="E711" s="128"/>
      <c r="F711" s="130"/>
      <c r="G711" s="131"/>
      <c r="H711" s="131"/>
      <c r="I711" s="131"/>
      <c r="J711" s="131"/>
      <c r="K711" s="131"/>
      <c r="L711" s="131"/>
      <c r="M711" s="131"/>
      <c r="N711" s="131"/>
      <c r="O711" s="131"/>
      <c r="P711" s="131"/>
      <c r="Q711" s="131"/>
      <c r="R711" s="131"/>
      <c r="S711" s="131"/>
      <c r="T711" s="131"/>
      <c r="U711" s="132"/>
      <c r="V711" s="132"/>
    </row>
    <row r="712" ht="12.75" customHeight="1">
      <c r="A712" s="128"/>
      <c r="B712" s="128"/>
      <c r="C712" s="128"/>
      <c r="D712" s="129"/>
      <c r="E712" s="128"/>
      <c r="F712" s="130"/>
      <c r="G712" s="131"/>
      <c r="H712" s="131"/>
      <c r="I712" s="131"/>
      <c r="J712" s="131"/>
      <c r="K712" s="131"/>
      <c r="L712" s="131"/>
      <c r="M712" s="131"/>
      <c r="N712" s="131"/>
      <c r="O712" s="131"/>
      <c r="P712" s="131"/>
      <c r="Q712" s="131"/>
      <c r="R712" s="131"/>
      <c r="S712" s="131"/>
      <c r="T712" s="131"/>
      <c r="U712" s="132"/>
      <c r="V712" s="132"/>
    </row>
    <row r="713" ht="12.75" customHeight="1">
      <c r="A713" s="128"/>
      <c r="B713" s="128"/>
      <c r="C713" s="128"/>
      <c r="D713" s="129"/>
      <c r="E713" s="128"/>
      <c r="F713" s="130"/>
      <c r="G713" s="131"/>
      <c r="H713" s="131"/>
      <c r="I713" s="131"/>
      <c r="J713" s="131"/>
      <c r="K713" s="131"/>
      <c r="L713" s="131"/>
      <c r="M713" s="131"/>
      <c r="N713" s="131"/>
      <c r="O713" s="131"/>
      <c r="P713" s="131"/>
      <c r="Q713" s="131"/>
      <c r="R713" s="131"/>
      <c r="S713" s="131"/>
      <c r="T713" s="131"/>
      <c r="U713" s="132"/>
      <c r="V713" s="132"/>
    </row>
    <row r="714" ht="12.75" customHeight="1">
      <c r="A714" s="128"/>
      <c r="B714" s="128"/>
      <c r="C714" s="128"/>
      <c r="D714" s="129"/>
      <c r="E714" s="128"/>
      <c r="F714" s="130"/>
      <c r="G714" s="131"/>
      <c r="H714" s="131"/>
      <c r="I714" s="131"/>
      <c r="J714" s="131"/>
      <c r="K714" s="131"/>
      <c r="L714" s="131"/>
      <c r="M714" s="131"/>
      <c r="N714" s="131"/>
      <c r="O714" s="131"/>
      <c r="P714" s="131"/>
      <c r="Q714" s="131"/>
      <c r="R714" s="131"/>
      <c r="S714" s="131"/>
      <c r="T714" s="131"/>
      <c r="U714" s="132"/>
      <c r="V714" s="132"/>
    </row>
    <row r="715" ht="12.75" customHeight="1">
      <c r="A715" s="128"/>
      <c r="B715" s="128"/>
      <c r="C715" s="128"/>
      <c r="D715" s="129"/>
      <c r="E715" s="128"/>
      <c r="F715" s="130"/>
      <c r="G715" s="131"/>
      <c r="H715" s="131"/>
      <c r="I715" s="131"/>
      <c r="J715" s="131"/>
      <c r="K715" s="131"/>
      <c r="L715" s="131"/>
      <c r="M715" s="131"/>
      <c r="N715" s="131"/>
      <c r="O715" s="131"/>
      <c r="P715" s="131"/>
      <c r="Q715" s="131"/>
      <c r="R715" s="131"/>
      <c r="S715" s="131"/>
      <c r="T715" s="131"/>
      <c r="U715" s="132"/>
      <c r="V715" s="132"/>
    </row>
    <row r="716" ht="12.75" customHeight="1">
      <c r="A716" s="128"/>
      <c r="B716" s="128"/>
      <c r="C716" s="128"/>
      <c r="D716" s="129"/>
      <c r="E716" s="128"/>
      <c r="F716" s="130"/>
      <c r="G716" s="131"/>
      <c r="H716" s="131"/>
      <c r="I716" s="131"/>
      <c r="J716" s="131"/>
      <c r="K716" s="131"/>
      <c r="L716" s="131"/>
      <c r="M716" s="131"/>
      <c r="N716" s="131"/>
      <c r="O716" s="131"/>
      <c r="P716" s="131"/>
      <c r="Q716" s="131"/>
      <c r="R716" s="131"/>
      <c r="S716" s="131"/>
      <c r="T716" s="131"/>
      <c r="U716" s="132"/>
      <c r="V716" s="132"/>
    </row>
    <row r="717" ht="12.75" customHeight="1">
      <c r="A717" s="128"/>
      <c r="B717" s="128"/>
      <c r="C717" s="128"/>
      <c r="D717" s="129"/>
      <c r="E717" s="128"/>
      <c r="F717" s="130"/>
      <c r="G717" s="131"/>
      <c r="H717" s="131"/>
      <c r="I717" s="131"/>
      <c r="J717" s="131"/>
      <c r="K717" s="131"/>
      <c r="L717" s="131"/>
      <c r="M717" s="131"/>
      <c r="N717" s="131"/>
      <c r="O717" s="131"/>
      <c r="P717" s="131"/>
      <c r="Q717" s="131"/>
      <c r="R717" s="131"/>
      <c r="S717" s="131"/>
      <c r="T717" s="131"/>
      <c r="U717" s="132"/>
      <c r="V717" s="132"/>
    </row>
    <row r="718" ht="12.75" customHeight="1">
      <c r="A718" s="128"/>
      <c r="B718" s="128"/>
      <c r="C718" s="128"/>
      <c r="D718" s="129"/>
      <c r="E718" s="128"/>
      <c r="F718" s="130"/>
      <c r="G718" s="131"/>
      <c r="H718" s="131"/>
      <c r="I718" s="131"/>
      <c r="J718" s="131"/>
      <c r="K718" s="131"/>
      <c r="L718" s="131"/>
      <c r="M718" s="131"/>
      <c r="N718" s="131"/>
      <c r="O718" s="131"/>
      <c r="P718" s="131"/>
      <c r="Q718" s="131"/>
      <c r="R718" s="131"/>
      <c r="S718" s="131"/>
      <c r="T718" s="131"/>
      <c r="U718" s="132"/>
      <c r="V718" s="132"/>
    </row>
    <row r="719" ht="12.75" customHeight="1">
      <c r="A719" s="128"/>
      <c r="B719" s="128"/>
      <c r="C719" s="128"/>
      <c r="D719" s="129"/>
      <c r="E719" s="128"/>
      <c r="F719" s="130"/>
      <c r="G719" s="131"/>
      <c r="H719" s="131"/>
      <c r="I719" s="131"/>
      <c r="J719" s="131"/>
      <c r="K719" s="131"/>
      <c r="L719" s="131"/>
      <c r="M719" s="131"/>
      <c r="N719" s="131"/>
      <c r="O719" s="131"/>
      <c r="P719" s="131"/>
      <c r="Q719" s="131"/>
      <c r="R719" s="131"/>
      <c r="S719" s="131"/>
      <c r="T719" s="131"/>
      <c r="U719" s="132"/>
      <c r="V719" s="132"/>
    </row>
    <row r="720" ht="12.75" customHeight="1">
      <c r="A720" s="128"/>
      <c r="B720" s="128"/>
      <c r="C720" s="128"/>
      <c r="D720" s="129"/>
      <c r="E720" s="128"/>
      <c r="F720" s="130"/>
      <c r="G720" s="131"/>
      <c r="H720" s="131"/>
      <c r="I720" s="131"/>
      <c r="J720" s="131"/>
      <c r="K720" s="131"/>
      <c r="L720" s="131"/>
      <c r="M720" s="131"/>
      <c r="N720" s="131"/>
      <c r="O720" s="131"/>
      <c r="P720" s="131"/>
      <c r="Q720" s="131"/>
      <c r="R720" s="131"/>
      <c r="S720" s="131"/>
      <c r="T720" s="131"/>
      <c r="U720" s="132"/>
      <c r="V720" s="132"/>
    </row>
    <row r="721" ht="12.75" customHeight="1">
      <c r="A721" s="128"/>
      <c r="B721" s="128"/>
      <c r="C721" s="128"/>
      <c r="D721" s="129"/>
      <c r="E721" s="128"/>
      <c r="F721" s="130"/>
      <c r="G721" s="131"/>
      <c r="H721" s="131"/>
      <c r="I721" s="131"/>
      <c r="J721" s="131"/>
      <c r="K721" s="131"/>
      <c r="L721" s="131"/>
      <c r="M721" s="131"/>
      <c r="N721" s="131"/>
      <c r="O721" s="131"/>
      <c r="P721" s="131"/>
      <c r="Q721" s="131"/>
      <c r="R721" s="131"/>
      <c r="S721" s="131"/>
      <c r="T721" s="131"/>
      <c r="U721" s="132"/>
      <c r="V721" s="132"/>
    </row>
    <row r="722" ht="12.75" customHeight="1">
      <c r="A722" s="128"/>
      <c r="B722" s="128"/>
      <c r="C722" s="128"/>
      <c r="D722" s="129"/>
      <c r="E722" s="128"/>
      <c r="F722" s="130"/>
      <c r="G722" s="131"/>
      <c r="H722" s="131"/>
      <c r="I722" s="131"/>
      <c r="J722" s="131"/>
      <c r="K722" s="131"/>
      <c r="L722" s="131"/>
      <c r="M722" s="131"/>
      <c r="N722" s="131"/>
      <c r="O722" s="131"/>
      <c r="P722" s="131"/>
      <c r="Q722" s="131"/>
      <c r="R722" s="131"/>
      <c r="S722" s="131"/>
      <c r="T722" s="131"/>
      <c r="U722" s="132"/>
      <c r="V722" s="132"/>
    </row>
    <row r="723" ht="12.75" customHeight="1">
      <c r="A723" s="128"/>
      <c r="B723" s="128"/>
      <c r="C723" s="128"/>
      <c r="D723" s="129"/>
      <c r="E723" s="128"/>
      <c r="F723" s="130"/>
      <c r="G723" s="131"/>
      <c r="H723" s="131"/>
      <c r="I723" s="131"/>
      <c r="J723" s="131"/>
      <c r="K723" s="131"/>
      <c r="L723" s="131"/>
      <c r="M723" s="131"/>
      <c r="N723" s="131"/>
      <c r="O723" s="131"/>
      <c r="P723" s="131"/>
      <c r="Q723" s="131"/>
      <c r="R723" s="131"/>
      <c r="S723" s="131"/>
      <c r="T723" s="131"/>
      <c r="U723" s="132"/>
      <c r="V723" s="132"/>
    </row>
    <row r="724" ht="12.75" customHeight="1">
      <c r="A724" s="128"/>
      <c r="B724" s="128"/>
      <c r="C724" s="128"/>
      <c r="D724" s="129"/>
      <c r="E724" s="128"/>
      <c r="F724" s="130"/>
      <c r="G724" s="131"/>
      <c r="H724" s="131"/>
      <c r="I724" s="131"/>
      <c r="J724" s="131"/>
      <c r="K724" s="131"/>
      <c r="L724" s="131"/>
      <c r="M724" s="131"/>
      <c r="N724" s="131"/>
      <c r="O724" s="131"/>
      <c r="P724" s="131"/>
      <c r="Q724" s="131"/>
      <c r="R724" s="131"/>
      <c r="S724" s="131"/>
      <c r="T724" s="131"/>
      <c r="U724" s="132"/>
      <c r="V724" s="132"/>
    </row>
    <row r="725" ht="12.75" customHeight="1">
      <c r="A725" s="128"/>
      <c r="B725" s="128"/>
      <c r="C725" s="128"/>
      <c r="D725" s="129"/>
      <c r="E725" s="128"/>
      <c r="F725" s="130"/>
      <c r="G725" s="131"/>
      <c r="H725" s="131"/>
      <c r="I725" s="131"/>
      <c r="J725" s="131"/>
      <c r="K725" s="131"/>
      <c r="L725" s="131"/>
      <c r="M725" s="131"/>
      <c r="N725" s="131"/>
      <c r="O725" s="131"/>
      <c r="P725" s="131"/>
      <c r="Q725" s="131"/>
      <c r="R725" s="131"/>
      <c r="S725" s="131"/>
      <c r="T725" s="131"/>
      <c r="U725" s="132"/>
      <c r="V725" s="132"/>
    </row>
    <row r="726" ht="12.75" customHeight="1">
      <c r="A726" s="128"/>
      <c r="B726" s="128"/>
      <c r="C726" s="128"/>
      <c r="D726" s="129"/>
      <c r="E726" s="128"/>
      <c r="F726" s="130"/>
      <c r="G726" s="131"/>
      <c r="H726" s="131"/>
      <c r="I726" s="131"/>
      <c r="J726" s="131"/>
      <c r="K726" s="131"/>
      <c r="L726" s="131"/>
      <c r="M726" s="131"/>
      <c r="N726" s="131"/>
      <c r="O726" s="131"/>
      <c r="P726" s="131"/>
      <c r="Q726" s="131"/>
      <c r="R726" s="131"/>
      <c r="S726" s="131"/>
      <c r="T726" s="131"/>
      <c r="U726" s="132"/>
      <c r="V726" s="132"/>
    </row>
    <row r="727" ht="12.75" customHeight="1">
      <c r="A727" s="128"/>
      <c r="B727" s="128"/>
      <c r="C727" s="128"/>
      <c r="D727" s="129"/>
      <c r="E727" s="128"/>
      <c r="F727" s="130"/>
      <c r="G727" s="131"/>
      <c r="H727" s="131"/>
      <c r="I727" s="131"/>
      <c r="J727" s="131"/>
      <c r="K727" s="131"/>
      <c r="L727" s="131"/>
      <c r="M727" s="131"/>
      <c r="N727" s="131"/>
      <c r="O727" s="131"/>
      <c r="P727" s="131"/>
      <c r="Q727" s="131"/>
      <c r="R727" s="131"/>
      <c r="S727" s="131"/>
      <c r="T727" s="131"/>
      <c r="U727" s="132"/>
      <c r="V727" s="132"/>
    </row>
    <row r="728" ht="12.75" customHeight="1">
      <c r="A728" s="128"/>
      <c r="B728" s="128"/>
      <c r="C728" s="128"/>
      <c r="D728" s="129"/>
      <c r="E728" s="128"/>
      <c r="F728" s="130"/>
      <c r="G728" s="131"/>
      <c r="H728" s="131"/>
      <c r="I728" s="131"/>
      <c r="J728" s="131"/>
      <c r="K728" s="131"/>
      <c r="L728" s="131"/>
      <c r="M728" s="131"/>
      <c r="N728" s="131"/>
      <c r="O728" s="131"/>
      <c r="P728" s="131"/>
      <c r="Q728" s="131"/>
      <c r="R728" s="131"/>
      <c r="S728" s="131"/>
      <c r="T728" s="131"/>
      <c r="U728" s="132"/>
      <c r="V728" s="132"/>
    </row>
    <row r="729" ht="12.75" customHeight="1">
      <c r="A729" s="128"/>
      <c r="B729" s="128"/>
      <c r="C729" s="128"/>
      <c r="D729" s="129"/>
      <c r="E729" s="128"/>
      <c r="F729" s="130"/>
      <c r="G729" s="131"/>
      <c r="H729" s="131"/>
      <c r="I729" s="131"/>
      <c r="J729" s="131"/>
      <c r="K729" s="131"/>
      <c r="L729" s="131"/>
      <c r="M729" s="131"/>
      <c r="N729" s="131"/>
      <c r="O729" s="131"/>
      <c r="P729" s="131"/>
      <c r="Q729" s="131"/>
      <c r="R729" s="131"/>
      <c r="S729" s="131"/>
      <c r="T729" s="131"/>
      <c r="U729" s="132"/>
      <c r="V729" s="132"/>
    </row>
    <row r="730" ht="12.75" customHeight="1">
      <c r="A730" s="128"/>
      <c r="B730" s="128"/>
      <c r="C730" s="128"/>
      <c r="D730" s="129"/>
      <c r="E730" s="128"/>
      <c r="F730" s="130"/>
      <c r="G730" s="131"/>
      <c r="H730" s="131"/>
      <c r="I730" s="131"/>
      <c r="J730" s="131"/>
      <c r="K730" s="131"/>
      <c r="L730" s="131"/>
      <c r="M730" s="131"/>
      <c r="N730" s="131"/>
      <c r="O730" s="131"/>
      <c r="P730" s="131"/>
      <c r="Q730" s="131"/>
      <c r="R730" s="131"/>
      <c r="S730" s="131"/>
      <c r="T730" s="131"/>
      <c r="U730" s="132"/>
      <c r="V730" s="132"/>
    </row>
    <row r="731" ht="12.75" customHeight="1">
      <c r="A731" s="128"/>
      <c r="B731" s="128"/>
      <c r="C731" s="128"/>
      <c r="D731" s="129"/>
      <c r="E731" s="128"/>
      <c r="F731" s="130"/>
      <c r="G731" s="131"/>
      <c r="H731" s="131"/>
      <c r="I731" s="131"/>
      <c r="J731" s="131"/>
      <c r="K731" s="131"/>
      <c r="L731" s="131"/>
      <c r="M731" s="131"/>
      <c r="N731" s="131"/>
      <c r="O731" s="131"/>
      <c r="P731" s="131"/>
      <c r="Q731" s="131"/>
      <c r="R731" s="131"/>
      <c r="S731" s="131"/>
      <c r="T731" s="131"/>
      <c r="U731" s="132"/>
      <c r="V731" s="132"/>
    </row>
    <row r="732" ht="12.75" customHeight="1">
      <c r="A732" s="128"/>
      <c r="B732" s="128"/>
      <c r="C732" s="128"/>
      <c r="D732" s="129"/>
      <c r="E732" s="128"/>
      <c r="F732" s="130"/>
      <c r="G732" s="131"/>
      <c r="H732" s="131"/>
      <c r="I732" s="131"/>
      <c r="J732" s="131"/>
      <c r="K732" s="131"/>
      <c r="L732" s="131"/>
      <c r="M732" s="131"/>
      <c r="N732" s="131"/>
      <c r="O732" s="131"/>
      <c r="P732" s="131"/>
      <c r="Q732" s="131"/>
      <c r="R732" s="131"/>
      <c r="S732" s="131"/>
      <c r="T732" s="131"/>
      <c r="U732" s="132"/>
      <c r="V732" s="132"/>
    </row>
    <row r="733" ht="12.75" customHeight="1">
      <c r="A733" s="128"/>
      <c r="B733" s="128"/>
      <c r="C733" s="128"/>
      <c r="D733" s="129"/>
      <c r="E733" s="128"/>
      <c r="F733" s="130"/>
      <c r="G733" s="131"/>
      <c r="H733" s="131"/>
      <c r="I733" s="131"/>
      <c r="J733" s="131"/>
      <c r="K733" s="131"/>
      <c r="L733" s="131"/>
      <c r="M733" s="131"/>
      <c r="N733" s="131"/>
      <c r="O733" s="131"/>
      <c r="P733" s="131"/>
      <c r="Q733" s="131"/>
      <c r="R733" s="131"/>
      <c r="S733" s="131"/>
      <c r="T733" s="131"/>
      <c r="U733" s="132"/>
      <c r="V733" s="132"/>
    </row>
    <row r="734" ht="12.75" customHeight="1">
      <c r="A734" s="128"/>
      <c r="B734" s="128"/>
      <c r="C734" s="128"/>
      <c r="D734" s="129"/>
      <c r="E734" s="128"/>
      <c r="F734" s="130"/>
      <c r="G734" s="131"/>
      <c r="H734" s="131"/>
      <c r="I734" s="131"/>
      <c r="J734" s="131"/>
      <c r="K734" s="131"/>
      <c r="L734" s="131"/>
      <c r="M734" s="131"/>
      <c r="N734" s="131"/>
      <c r="O734" s="131"/>
      <c r="P734" s="131"/>
      <c r="Q734" s="131"/>
      <c r="R734" s="131"/>
      <c r="S734" s="131"/>
      <c r="T734" s="131"/>
      <c r="U734" s="132"/>
      <c r="V734" s="132"/>
    </row>
    <row r="735" ht="12.75" customHeight="1">
      <c r="A735" s="128"/>
      <c r="B735" s="128"/>
      <c r="C735" s="128"/>
      <c r="D735" s="129"/>
      <c r="E735" s="128"/>
      <c r="F735" s="130"/>
      <c r="G735" s="131"/>
      <c r="H735" s="131"/>
      <c r="I735" s="131"/>
      <c r="J735" s="131"/>
      <c r="K735" s="131"/>
      <c r="L735" s="131"/>
      <c r="M735" s="131"/>
      <c r="N735" s="131"/>
      <c r="O735" s="131"/>
      <c r="P735" s="131"/>
      <c r="Q735" s="131"/>
      <c r="R735" s="131"/>
      <c r="S735" s="131"/>
      <c r="T735" s="131"/>
      <c r="U735" s="132"/>
      <c r="V735" s="132"/>
    </row>
    <row r="736" ht="12.75" customHeight="1">
      <c r="A736" s="128"/>
      <c r="B736" s="128"/>
      <c r="C736" s="128"/>
      <c r="D736" s="129"/>
      <c r="E736" s="128"/>
      <c r="F736" s="130"/>
      <c r="G736" s="131"/>
      <c r="H736" s="131"/>
      <c r="I736" s="131"/>
      <c r="J736" s="131"/>
      <c r="K736" s="131"/>
      <c r="L736" s="131"/>
      <c r="M736" s="131"/>
      <c r="N736" s="131"/>
      <c r="O736" s="131"/>
      <c r="P736" s="131"/>
      <c r="Q736" s="131"/>
      <c r="R736" s="131"/>
      <c r="S736" s="131"/>
      <c r="T736" s="131"/>
      <c r="U736" s="132"/>
      <c r="V736" s="132"/>
    </row>
    <row r="737" ht="12.75" customHeight="1">
      <c r="A737" s="128"/>
      <c r="B737" s="128"/>
      <c r="C737" s="128"/>
      <c r="D737" s="129"/>
      <c r="E737" s="128"/>
      <c r="F737" s="130"/>
      <c r="G737" s="131"/>
      <c r="H737" s="131"/>
      <c r="I737" s="131"/>
      <c r="J737" s="131"/>
      <c r="K737" s="131"/>
      <c r="L737" s="131"/>
      <c r="M737" s="131"/>
      <c r="N737" s="131"/>
      <c r="O737" s="131"/>
      <c r="P737" s="131"/>
      <c r="Q737" s="131"/>
      <c r="R737" s="131"/>
      <c r="S737" s="131"/>
      <c r="T737" s="131"/>
      <c r="U737" s="132"/>
      <c r="V737" s="132"/>
    </row>
    <row r="738" ht="12.75" customHeight="1">
      <c r="A738" s="128"/>
      <c r="B738" s="128"/>
      <c r="C738" s="128"/>
      <c r="D738" s="129"/>
      <c r="E738" s="128"/>
      <c r="F738" s="130"/>
      <c r="G738" s="131"/>
      <c r="H738" s="131"/>
      <c r="I738" s="131"/>
      <c r="J738" s="131"/>
      <c r="K738" s="131"/>
      <c r="L738" s="131"/>
      <c r="M738" s="131"/>
      <c r="N738" s="131"/>
      <c r="O738" s="131"/>
      <c r="P738" s="131"/>
      <c r="Q738" s="131"/>
      <c r="R738" s="131"/>
      <c r="S738" s="131"/>
      <c r="T738" s="131"/>
      <c r="U738" s="132"/>
      <c r="V738" s="132"/>
    </row>
    <row r="739" ht="12.75" customHeight="1">
      <c r="A739" s="128"/>
      <c r="B739" s="128"/>
      <c r="C739" s="128"/>
      <c r="D739" s="129"/>
      <c r="E739" s="128"/>
      <c r="F739" s="130"/>
      <c r="G739" s="131"/>
      <c r="H739" s="131"/>
      <c r="I739" s="131"/>
      <c r="J739" s="131"/>
      <c r="K739" s="131"/>
      <c r="L739" s="131"/>
      <c r="M739" s="131"/>
      <c r="N739" s="131"/>
      <c r="O739" s="131"/>
      <c r="P739" s="131"/>
      <c r="Q739" s="131"/>
      <c r="R739" s="131"/>
      <c r="S739" s="131"/>
      <c r="T739" s="131"/>
      <c r="U739" s="132"/>
      <c r="V739" s="132"/>
    </row>
    <row r="740" ht="12.75" customHeight="1">
      <c r="A740" s="128"/>
      <c r="B740" s="128"/>
      <c r="C740" s="128"/>
      <c r="D740" s="129"/>
      <c r="E740" s="128"/>
      <c r="F740" s="130"/>
      <c r="G740" s="131"/>
      <c r="H740" s="131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32"/>
      <c r="V740" s="132"/>
    </row>
    <row r="741" ht="12.75" customHeight="1">
      <c r="A741" s="128"/>
      <c r="B741" s="128"/>
      <c r="C741" s="128"/>
      <c r="D741" s="129"/>
      <c r="E741" s="128"/>
      <c r="F741" s="130"/>
      <c r="G741" s="131"/>
      <c r="H741" s="131"/>
      <c r="I741" s="131"/>
      <c r="J741" s="131"/>
      <c r="K741" s="131"/>
      <c r="L741" s="131"/>
      <c r="M741" s="131"/>
      <c r="N741" s="131"/>
      <c r="O741" s="131"/>
      <c r="P741" s="131"/>
      <c r="Q741" s="131"/>
      <c r="R741" s="131"/>
      <c r="S741" s="131"/>
      <c r="T741" s="131"/>
      <c r="U741" s="132"/>
      <c r="V741" s="132"/>
    </row>
    <row r="742" ht="12.75" customHeight="1">
      <c r="A742" s="128"/>
      <c r="B742" s="128"/>
      <c r="C742" s="128"/>
      <c r="D742" s="129"/>
      <c r="E742" s="128"/>
      <c r="F742" s="130"/>
      <c r="G742" s="131"/>
      <c r="H742" s="131"/>
      <c r="I742" s="131"/>
      <c r="J742" s="131"/>
      <c r="K742" s="131"/>
      <c r="L742" s="131"/>
      <c r="M742" s="131"/>
      <c r="N742" s="131"/>
      <c r="O742" s="131"/>
      <c r="P742" s="131"/>
      <c r="Q742" s="131"/>
      <c r="R742" s="131"/>
      <c r="S742" s="131"/>
      <c r="T742" s="131"/>
      <c r="U742" s="132"/>
      <c r="V742" s="132"/>
    </row>
    <row r="743" ht="12.75" customHeight="1">
      <c r="A743" s="128"/>
      <c r="B743" s="128"/>
      <c r="C743" s="128"/>
      <c r="D743" s="129"/>
      <c r="E743" s="128"/>
      <c r="F743" s="130"/>
      <c r="G743" s="131"/>
      <c r="H743" s="131"/>
      <c r="I743" s="131"/>
      <c r="J743" s="131"/>
      <c r="K743" s="131"/>
      <c r="L743" s="131"/>
      <c r="M743" s="131"/>
      <c r="N743" s="131"/>
      <c r="O743" s="131"/>
      <c r="P743" s="131"/>
      <c r="Q743" s="131"/>
      <c r="R743" s="131"/>
      <c r="S743" s="131"/>
      <c r="T743" s="131"/>
      <c r="U743" s="132"/>
      <c r="V743" s="132"/>
    </row>
    <row r="744" ht="12.75" customHeight="1">
      <c r="A744" s="128"/>
      <c r="B744" s="128"/>
      <c r="C744" s="128"/>
      <c r="D744" s="129"/>
      <c r="E744" s="128"/>
      <c r="F744" s="130"/>
      <c r="G744" s="131"/>
      <c r="H744" s="131"/>
      <c r="I744" s="131"/>
      <c r="J744" s="131"/>
      <c r="K744" s="131"/>
      <c r="L744" s="131"/>
      <c r="M744" s="131"/>
      <c r="N744" s="131"/>
      <c r="O744" s="131"/>
      <c r="P744" s="131"/>
      <c r="Q744" s="131"/>
      <c r="R744" s="131"/>
      <c r="S744" s="131"/>
      <c r="T744" s="131"/>
      <c r="U744" s="132"/>
      <c r="V744" s="132"/>
    </row>
    <row r="745" ht="12.75" customHeight="1">
      <c r="A745" s="128"/>
      <c r="B745" s="128"/>
      <c r="C745" s="128"/>
      <c r="D745" s="129"/>
      <c r="E745" s="128"/>
      <c r="F745" s="130"/>
      <c r="G745" s="131"/>
      <c r="H745" s="131"/>
      <c r="I745" s="131"/>
      <c r="J745" s="131"/>
      <c r="K745" s="131"/>
      <c r="L745" s="131"/>
      <c r="M745" s="131"/>
      <c r="N745" s="131"/>
      <c r="O745" s="131"/>
      <c r="P745" s="131"/>
      <c r="Q745" s="131"/>
      <c r="R745" s="131"/>
      <c r="S745" s="131"/>
      <c r="T745" s="131"/>
      <c r="U745" s="132"/>
      <c r="V745" s="132"/>
    </row>
    <row r="746" ht="12.75" customHeight="1">
      <c r="A746" s="128"/>
      <c r="B746" s="128"/>
      <c r="C746" s="128"/>
      <c r="D746" s="129"/>
      <c r="E746" s="128"/>
      <c r="F746" s="130"/>
      <c r="G746" s="131"/>
      <c r="H746" s="131"/>
      <c r="I746" s="131"/>
      <c r="J746" s="131"/>
      <c r="K746" s="131"/>
      <c r="L746" s="131"/>
      <c r="M746" s="131"/>
      <c r="N746" s="131"/>
      <c r="O746" s="131"/>
      <c r="P746" s="131"/>
      <c r="Q746" s="131"/>
      <c r="R746" s="131"/>
      <c r="S746" s="131"/>
      <c r="T746" s="131"/>
      <c r="U746" s="132"/>
      <c r="V746" s="132"/>
    </row>
    <row r="747" ht="12.75" customHeight="1">
      <c r="A747" s="128"/>
      <c r="B747" s="128"/>
      <c r="C747" s="128"/>
      <c r="D747" s="129"/>
      <c r="E747" s="128"/>
      <c r="F747" s="130"/>
      <c r="G747" s="131"/>
      <c r="H747" s="131"/>
      <c r="I747" s="131"/>
      <c r="J747" s="131"/>
      <c r="K747" s="131"/>
      <c r="L747" s="131"/>
      <c r="M747" s="131"/>
      <c r="N747" s="131"/>
      <c r="O747" s="131"/>
      <c r="P747" s="131"/>
      <c r="Q747" s="131"/>
      <c r="R747" s="131"/>
      <c r="S747" s="131"/>
      <c r="T747" s="131"/>
      <c r="U747" s="132"/>
      <c r="V747" s="132"/>
    </row>
    <row r="748" ht="12.75" customHeight="1">
      <c r="A748" s="128"/>
      <c r="B748" s="128"/>
      <c r="C748" s="128"/>
      <c r="D748" s="129"/>
      <c r="E748" s="128"/>
      <c r="F748" s="130"/>
      <c r="G748" s="131"/>
      <c r="H748" s="131"/>
      <c r="I748" s="131"/>
      <c r="J748" s="131"/>
      <c r="K748" s="131"/>
      <c r="L748" s="131"/>
      <c r="M748" s="131"/>
      <c r="N748" s="131"/>
      <c r="O748" s="131"/>
      <c r="P748" s="131"/>
      <c r="Q748" s="131"/>
      <c r="R748" s="131"/>
      <c r="S748" s="131"/>
      <c r="T748" s="131"/>
      <c r="U748" s="132"/>
      <c r="V748" s="132"/>
    </row>
    <row r="749" ht="12.75" customHeight="1">
      <c r="A749" s="128"/>
      <c r="B749" s="128"/>
      <c r="C749" s="128"/>
      <c r="D749" s="129"/>
      <c r="E749" s="128"/>
      <c r="F749" s="130"/>
      <c r="G749" s="131"/>
      <c r="H749" s="131"/>
      <c r="I749" s="131"/>
      <c r="J749" s="131"/>
      <c r="K749" s="131"/>
      <c r="L749" s="131"/>
      <c r="M749" s="131"/>
      <c r="N749" s="131"/>
      <c r="O749" s="131"/>
      <c r="P749" s="131"/>
      <c r="Q749" s="131"/>
      <c r="R749" s="131"/>
      <c r="S749" s="131"/>
      <c r="T749" s="131"/>
      <c r="U749" s="132"/>
      <c r="V749" s="132"/>
    </row>
    <row r="750" ht="12.75" customHeight="1">
      <c r="A750" s="128"/>
      <c r="B750" s="128"/>
      <c r="C750" s="128"/>
      <c r="D750" s="129"/>
      <c r="E750" s="128"/>
      <c r="F750" s="130"/>
      <c r="G750" s="131"/>
      <c r="H750" s="131"/>
      <c r="I750" s="131"/>
      <c r="J750" s="131"/>
      <c r="K750" s="131"/>
      <c r="L750" s="131"/>
      <c r="M750" s="131"/>
      <c r="N750" s="131"/>
      <c r="O750" s="131"/>
      <c r="P750" s="131"/>
      <c r="Q750" s="131"/>
      <c r="R750" s="131"/>
      <c r="S750" s="131"/>
      <c r="T750" s="131"/>
      <c r="U750" s="132"/>
      <c r="V750" s="132"/>
    </row>
    <row r="751" ht="12.75" customHeight="1">
      <c r="A751" s="128"/>
      <c r="B751" s="128"/>
      <c r="C751" s="128"/>
      <c r="D751" s="129"/>
      <c r="E751" s="128"/>
      <c r="F751" s="130"/>
      <c r="G751" s="131"/>
      <c r="H751" s="131"/>
      <c r="I751" s="131"/>
      <c r="J751" s="131"/>
      <c r="K751" s="131"/>
      <c r="L751" s="131"/>
      <c r="M751" s="131"/>
      <c r="N751" s="131"/>
      <c r="O751" s="131"/>
      <c r="P751" s="131"/>
      <c r="Q751" s="131"/>
      <c r="R751" s="131"/>
      <c r="S751" s="131"/>
      <c r="T751" s="131"/>
      <c r="U751" s="132"/>
      <c r="V751" s="132"/>
    </row>
    <row r="752" ht="12.75" customHeight="1">
      <c r="A752" s="128"/>
      <c r="B752" s="128"/>
      <c r="C752" s="128"/>
      <c r="D752" s="129"/>
      <c r="E752" s="128"/>
      <c r="F752" s="130"/>
      <c r="G752" s="131"/>
      <c r="H752" s="131"/>
      <c r="I752" s="131"/>
      <c r="J752" s="131"/>
      <c r="K752" s="131"/>
      <c r="L752" s="131"/>
      <c r="M752" s="131"/>
      <c r="N752" s="131"/>
      <c r="O752" s="131"/>
      <c r="P752" s="131"/>
      <c r="Q752" s="131"/>
      <c r="R752" s="131"/>
      <c r="S752" s="131"/>
      <c r="T752" s="131"/>
      <c r="U752" s="132"/>
      <c r="V752" s="132"/>
    </row>
    <row r="753" ht="12.75" customHeight="1">
      <c r="A753" s="128"/>
      <c r="B753" s="128"/>
      <c r="C753" s="128"/>
      <c r="D753" s="129"/>
      <c r="E753" s="128"/>
      <c r="F753" s="130"/>
      <c r="G753" s="131"/>
      <c r="H753" s="131"/>
      <c r="I753" s="131"/>
      <c r="J753" s="131"/>
      <c r="K753" s="131"/>
      <c r="L753" s="131"/>
      <c r="M753" s="131"/>
      <c r="N753" s="131"/>
      <c r="O753" s="131"/>
      <c r="P753" s="131"/>
      <c r="Q753" s="131"/>
      <c r="R753" s="131"/>
      <c r="S753" s="131"/>
      <c r="T753" s="131"/>
      <c r="U753" s="132"/>
      <c r="V753" s="132"/>
    </row>
    <row r="754" ht="12.75" customHeight="1">
      <c r="A754" s="128"/>
      <c r="B754" s="128"/>
      <c r="C754" s="128"/>
      <c r="D754" s="129"/>
      <c r="E754" s="128"/>
      <c r="F754" s="130"/>
      <c r="G754" s="131"/>
      <c r="H754" s="131"/>
      <c r="I754" s="131"/>
      <c r="J754" s="131"/>
      <c r="K754" s="131"/>
      <c r="L754" s="131"/>
      <c r="M754" s="131"/>
      <c r="N754" s="131"/>
      <c r="O754" s="131"/>
      <c r="P754" s="131"/>
      <c r="Q754" s="131"/>
      <c r="R754" s="131"/>
      <c r="S754" s="131"/>
      <c r="T754" s="131"/>
      <c r="U754" s="132"/>
      <c r="V754" s="132"/>
    </row>
    <row r="755" ht="12.75" customHeight="1">
      <c r="A755" s="128"/>
      <c r="B755" s="128"/>
      <c r="C755" s="128"/>
      <c r="D755" s="129"/>
      <c r="E755" s="128"/>
      <c r="F755" s="130"/>
      <c r="G755" s="131"/>
      <c r="H755" s="131"/>
      <c r="I755" s="131"/>
      <c r="J755" s="131"/>
      <c r="K755" s="131"/>
      <c r="L755" s="131"/>
      <c r="M755" s="131"/>
      <c r="N755" s="131"/>
      <c r="O755" s="131"/>
      <c r="P755" s="131"/>
      <c r="Q755" s="131"/>
      <c r="R755" s="131"/>
      <c r="S755" s="131"/>
      <c r="T755" s="131"/>
      <c r="U755" s="132"/>
      <c r="V755" s="132"/>
    </row>
    <row r="756" ht="12.75" customHeight="1">
      <c r="A756" s="128"/>
      <c r="B756" s="128"/>
      <c r="C756" s="128"/>
      <c r="D756" s="129"/>
      <c r="E756" s="128"/>
      <c r="F756" s="130"/>
      <c r="G756" s="131"/>
      <c r="H756" s="131"/>
      <c r="I756" s="131"/>
      <c r="J756" s="131"/>
      <c r="K756" s="131"/>
      <c r="L756" s="131"/>
      <c r="M756" s="131"/>
      <c r="N756" s="131"/>
      <c r="O756" s="131"/>
      <c r="P756" s="131"/>
      <c r="Q756" s="131"/>
      <c r="R756" s="131"/>
      <c r="S756" s="131"/>
      <c r="T756" s="131"/>
      <c r="U756" s="132"/>
      <c r="V756" s="132"/>
    </row>
    <row r="757" ht="12.75" customHeight="1">
      <c r="A757" s="128"/>
      <c r="B757" s="128"/>
      <c r="C757" s="128"/>
      <c r="D757" s="129"/>
      <c r="E757" s="128"/>
      <c r="F757" s="130"/>
      <c r="G757" s="131"/>
      <c r="H757" s="131"/>
      <c r="I757" s="131"/>
      <c r="J757" s="131"/>
      <c r="K757" s="131"/>
      <c r="L757" s="131"/>
      <c r="M757" s="131"/>
      <c r="N757" s="131"/>
      <c r="O757" s="131"/>
      <c r="P757" s="131"/>
      <c r="Q757" s="131"/>
      <c r="R757" s="131"/>
      <c r="S757" s="131"/>
      <c r="T757" s="131"/>
      <c r="U757" s="132"/>
      <c r="V757" s="132"/>
    </row>
    <row r="758" ht="12.75" customHeight="1">
      <c r="A758" s="128"/>
      <c r="B758" s="128"/>
      <c r="C758" s="128"/>
      <c r="D758" s="129"/>
      <c r="E758" s="128"/>
      <c r="F758" s="130"/>
      <c r="G758" s="131"/>
      <c r="H758" s="131"/>
      <c r="I758" s="131"/>
      <c r="J758" s="131"/>
      <c r="K758" s="131"/>
      <c r="L758" s="131"/>
      <c r="M758" s="131"/>
      <c r="N758" s="131"/>
      <c r="O758" s="131"/>
      <c r="P758" s="131"/>
      <c r="Q758" s="131"/>
      <c r="R758" s="131"/>
      <c r="S758" s="131"/>
      <c r="T758" s="131"/>
      <c r="U758" s="132"/>
      <c r="V758" s="132"/>
    </row>
    <row r="759" ht="12.75" customHeight="1">
      <c r="A759" s="128"/>
      <c r="B759" s="128"/>
      <c r="C759" s="128"/>
      <c r="D759" s="129"/>
      <c r="E759" s="128"/>
      <c r="F759" s="130"/>
      <c r="G759" s="131"/>
      <c r="H759" s="131"/>
      <c r="I759" s="131"/>
      <c r="J759" s="131"/>
      <c r="K759" s="131"/>
      <c r="L759" s="131"/>
      <c r="M759" s="131"/>
      <c r="N759" s="131"/>
      <c r="O759" s="131"/>
      <c r="P759" s="131"/>
      <c r="Q759" s="131"/>
      <c r="R759" s="131"/>
      <c r="S759" s="131"/>
      <c r="T759" s="131"/>
      <c r="U759" s="132"/>
      <c r="V759" s="132"/>
    </row>
    <row r="760" ht="12.75" customHeight="1">
      <c r="A760" s="128"/>
      <c r="B760" s="128"/>
      <c r="C760" s="128"/>
      <c r="D760" s="129"/>
      <c r="E760" s="128"/>
      <c r="F760" s="130"/>
      <c r="G760" s="131"/>
      <c r="H760" s="131"/>
      <c r="I760" s="131"/>
      <c r="J760" s="131"/>
      <c r="K760" s="131"/>
      <c r="L760" s="131"/>
      <c r="M760" s="131"/>
      <c r="N760" s="131"/>
      <c r="O760" s="131"/>
      <c r="P760" s="131"/>
      <c r="Q760" s="131"/>
      <c r="R760" s="131"/>
      <c r="S760" s="131"/>
      <c r="T760" s="131"/>
      <c r="U760" s="132"/>
      <c r="V760" s="132"/>
    </row>
    <row r="761" ht="12.75" customHeight="1">
      <c r="A761" s="128"/>
      <c r="B761" s="128"/>
      <c r="C761" s="128"/>
      <c r="D761" s="129"/>
      <c r="E761" s="128"/>
      <c r="F761" s="130"/>
      <c r="G761" s="131"/>
      <c r="H761" s="131"/>
      <c r="I761" s="131"/>
      <c r="J761" s="131"/>
      <c r="K761" s="131"/>
      <c r="L761" s="131"/>
      <c r="M761" s="131"/>
      <c r="N761" s="131"/>
      <c r="O761" s="131"/>
      <c r="P761" s="131"/>
      <c r="Q761" s="131"/>
      <c r="R761" s="131"/>
      <c r="S761" s="131"/>
      <c r="T761" s="131"/>
      <c r="U761" s="132"/>
      <c r="V761" s="132"/>
    </row>
    <row r="762" ht="12.75" customHeight="1">
      <c r="A762" s="128"/>
      <c r="B762" s="128"/>
      <c r="C762" s="128"/>
      <c r="D762" s="129"/>
      <c r="E762" s="128"/>
      <c r="F762" s="130"/>
      <c r="G762" s="131"/>
      <c r="H762" s="131"/>
      <c r="I762" s="131"/>
      <c r="J762" s="131"/>
      <c r="K762" s="131"/>
      <c r="L762" s="131"/>
      <c r="M762" s="131"/>
      <c r="N762" s="131"/>
      <c r="O762" s="131"/>
      <c r="P762" s="131"/>
      <c r="Q762" s="131"/>
      <c r="R762" s="131"/>
      <c r="S762" s="131"/>
      <c r="T762" s="131"/>
      <c r="U762" s="132"/>
      <c r="V762" s="132"/>
    </row>
    <row r="763" ht="12.75" customHeight="1">
      <c r="A763" s="128"/>
      <c r="B763" s="128"/>
      <c r="C763" s="128"/>
      <c r="D763" s="129"/>
      <c r="E763" s="128"/>
      <c r="F763" s="130"/>
      <c r="G763" s="131"/>
      <c r="H763" s="131"/>
      <c r="I763" s="131"/>
      <c r="J763" s="131"/>
      <c r="K763" s="131"/>
      <c r="L763" s="131"/>
      <c r="M763" s="131"/>
      <c r="N763" s="131"/>
      <c r="O763" s="131"/>
      <c r="P763" s="131"/>
      <c r="Q763" s="131"/>
      <c r="R763" s="131"/>
      <c r="S763" s="131"/>
      <c r="T763" s="131"/>
      <c r="U763" s="132"/>
      <c r="V763" s="132"/>
    </row>
    <row r="764" ht="12.75" customHeight="1">
      <c r="A764" s="128"/>
      <c r="B764" s="128"/>
      <c r="C764" s="128"/>
      <c r="D764" s="129"/>
      <c r="E764" s="128"/>
      <c r="F764" s="130"/>
      <c r="G764" s="131"/>
      <c r="H764" s="131"/>
      <c r="I764" s="131"/>
      <c r="J764" s="131"/>
      <c r="K764" s="131"/>
      <c r="L764" s="131"/>
      <c r="M764" s="131"/>
      <c r="N764" s="131"/>
      <c r="O764" s="131"/>
      <c r="P764" s="131"/>
      <c r="Q764" s="131"/>
      <c r="R764" s="131"/>
      <c r="S764" s="131"/>
      <c r="T764" s="131"/>
      <c r="U764" s="132"/>
      <c r="V764" s="132"/>
    </row>
    <row r="765" ht="12.75" customHeight="1">
      <c r="A765" s="128"/>
      <c r="B765" s="128"/>
      <c r="C765" s="128"/>
      <c r="D765" s="129"/>
      <c r="E765" s="128"/>
      <c r="F765" s="130"/>
      <c r="G765" s="131"/>
      <c r="H765" s="131"/>
      <c r="I765" s="131"/>
      <c r="J765" s="131"/>
      <c r="K765" s="131"/>
      <c r="L765" s="131"/>
      <c r="M765" s="131"/>
      <c r="N765" s="131"/>
      <c r="O765" s="131"/>
      <c r="P765" s="131"/>
      <c r="Q765" s="131"/>
      <c r="R765" s="131"/>
      <c r="S765" s="131"/>
      <c r="T765" s="131"/>
      <c r="U765" s="132"/>
      <c r="V765" s="132"/>
    </row>
    <row r="766" ht="12.75" customHeight="1">
      <c r="A766" s="128"/>
      <c r="B766" s="128"/>
      <c r="C766" s="128"/>
      <c r="D766" s="129"/>
      <c r="E766" s="128"/>
      <c r="F766" s="130"/>
      <c r="G766" s="131"/>
      <c r="H766" s="131"/>
      <c r="I766" s="131"/>
      <c r="J766" s="131"/>
      <c r="K766" s="131"/>
      <c r="L766" s="131"/>
      <c r="M766" s="131"/>
      <c r="N766" s="131"/>
      <c r="O766" s="131"/>
      <c r="P766" s="131"/>
      <c r="Q766" s="131"/>
      <c r="R766" s="131"/>
      <c r="S766" s="131"/>
      <c r="T766" s="131"/>
      <c r="U766" s="132"/>
      <c r="V766" s="132"/>
    </row>
    <row r="767" ht="12.75" customHeight="1">
      <c r="A767" s="128"/>
      <c r="B767" s="128"/>
      <c r="C767" s="128"/>
      <c r="D767" s="129"/>
      <c r="E767" s="128"/>
      <c r="F767" s="130"/>
      <c r="G767" s="131"/>
      <c r="H767" s="131"/>
      <c r="I767" s="131"/>
      <c r="J767" s="131"/>
      <c r="K767" s="131"/>
      <c r="L767" s="131"/>
      <c r="M767" s="131"/>
      <c r="N767" s="131"/>
      <c r="O767" s="131"/>
      <c r="P767" s="131"/>
      <c r="Q767" s="131"/>
      <c r="R767" s="131"/>
      <c r="S767" s="131"/>
      <c r="T767" s="131"/>
      <c r="U767" s="132"/>
      <c r="V767" s="132"/>
    </row>
    <row r="768" ht="12.75" customHeight="1">
      <c r="A768" s="128"/>
      <c r="B768" s="128"/>
      <c r="C768" s="128"/>
      <c r="D768" s="129"/>
      <c r="E768" s="128"/>
      <c r="F768" s="130"/>
      <c r="G768" s="131"/>
      <c r="H768" s="131"/>
      <c r="I768" s="131"/>
      <c r="J768" s="131"/>
      <c r="K768" s="131"/>
      <c r="L768" s="131"/>
      <c r="M768" s="131"/>
      <c r="N768" s="131"/>
      <c r="O768" s="131"/>
      <c r="P768" s="131"/>
      <c r="Q768" s="131"/>
      <c r="R768" s="131"/>
      <c r="S768" s="131"/>
      <c r="T768" s="131"/>
      <c r="U768" s="132"/>
      <c r="V768" s="132"/>
    </row>
    <row r="769" ht="12.75" customHeight="1">
      <c r="A769" s="128"/>
      <c r="B769" s="128"/>
      <c r="C769" s="128"/>
      <c r="D769" s="129"/>
      <c r="E769" s="128"/>
      <c r="F769" s="130"/>
      <c r="G769" s="131"/>
      <c r="H769" s="131"/>
      <c r="I769" s="131"/>
      <c r="J769" s="131"/>
      <c r="K769" s="131"/>
      <c r="L769" s="131"/>
      <c r="M769" s="131"/>
      <c r="N769" s="131"/>
      <c r="O769" s="131"/>
      <c r="P769" s="131"/>
      <c r="Q769" s="131"/>
      <c r="R769" s="131"/>
      <c r="S769" s="131"/>
      <c r="T769" s="131"/>
      <c r="U769" s="132"/>
      <c r="V769" s="132"/>
    </row>
    <row r="770" ht="12.75" customHeight="1">
      <c r="A770" s="128"/>
      <c r="B770" s="128"/>
      <c r="C770" s="128"/>
      <c r="D770" s="129"/>
      <c r="E770" s="128"/>
      <c r="F770" s="130"/>
      <c r="G770" s="131"/>
      <c r="H770" s="131"/>
      <c r="I770" s="131"/>
      <c r="J770" s="131"/>
      <c r="K770" s="131"/>
      <c r="L770" s="131"/>
      <c r="M770" s="131"/>
      <c r="N770" s="131"/>
      <c r="O770" s="131"/>
      <c r="P770" s="131"/>
      <c r="Q770" s="131"/>
      <c r="R770" s="131"/>
      <c r="S770" s="131"/>
      <c r="T770" s="131"/>
      <c r="U770" s="132"/>
      <c r="V770" s="132"/>
    </row>
    <row r="771" ht="12.75" customHeight="1">
      <c r="A771" s="128"/>
      <c r="B771" s="128"/>
      <c r="C771" s="128"/>
      <c r="D771" s="129"/>
      <c r="E771" s="128"/>
      <c r="F771" s="130"/>
      <c r="G771" s="131"/>
      <c r="H771" s="131"/>
      <c r="I771" s="131"/>
      <c r="J771" s="131"/>
      <c r="K771" s="131"/>
      <c r="L771" s="131"/>
      <c r="M771" s="131"/>
      <c r="N771" s="131"/>
      <c r="O771" s="131"/>
      <c r="P771" s="131"/>
      <c r="Q771" s="131"/>
      <c r="R771" s="131"/>
      <c r="S771" s="131"/>
      <c r="T771" s="131"/>
      <c r="U771" s="132"/>
      <c r="V771" s="132"/>
    </row>
    <row r="772" ht="12.75" customHeight="1">
      <c r="A772" s="128"/>
      <c r="B772" s="128"/>
      <c r="C772" s="128"/>
      <c r="D772" s="129"/>
      <c r="E772" s="128"/>
      <c r="F772" s="130"/>
      <c r="G772" s="131"/>
      <c r="H772" s="131"/>
      <c r="I772" s="131"/>
      <c r="J772" s="131"/>
      <c r="K772" s="131"/>
      <c r="L772" s="131"/>
      <c r="M772" s="131"/>
      <c r="N772" s="131"/>
      <c r="O772" s="131"/>
      <c r="P772" s="131"/>
      <c r="Q772" s="131"/>
      <c r="R772" s="131"/>
      <c r="S772" s="131"/>
      <c r="T772" s="131"/>
      <c r="U772" s="132"/>
      <c r="V772" s="132"/>
    </row>
    <row r="773" ht="12.75" customHeight="1">
      <c r="A773" s="128"/>
      <c r="B773" s="128"/>
      <c r="C773" s="128"/>
      <c r="D773" s="129"/>
      <c r="E773" s="128"/>
      <c r="F773" s="130"/>
      <c r="G773" s="131"/>
      <c r="H773" s="131"/>
      <c r="I773" s="131"/>
      <c r="J773" s="131"/>
      <c r="K773" s="131"/>
      <c r="L773" s="131"/>
      <c r="M773" s="131"/>
      <c r="N773" s="131"/>
      <c r="O773" s="131"/>
      <c r="P773" s="131"/>
      <c r="Q773" s="131"/>
      <c r="R773" s="131"/>
      <c r="S773" s="131"/>
      <c r="T773" s="131"/>
      <c r="U773" s="132"/>
      <c r="V773" s="132"/>
    </row>
    <row r="774" ht="12.75" customHeight="1">
      <c r="A774" s="128"/>
      <c r="B774" s="128"/>
      <c r="C774" s="128"/>
      <c r="D774" s="129"/>
      <c r="E774" s="128"/>
      <c r="F774" s="130"/>
      <c r="G774" s="131"/>
      <c r="H774" s="131"/>
      <c r="I774" s="131"/>
      <c r="J774" s="131"/>
      <c r="K774" s="131"/>
      <c r="L774" s="131"/>
      <c r="M774" s="131"/>
      <c r="N774" s="131"/>
      <c r="O774" s="131"/>
      <c r="P774" s="131"/>
      <c r="Q774" s="131"/>
      <c r="R774" s="131"/>
      <c r="S774" s="131"/>
      <c r="T774" s="131"/>
      <c r="U774" s="132"/>
      <c r="V774" s="132"/>
    </row>
    <row r="775" ht="12.75" customHeight="1">
      <c r="A775" s="128"/>
      <c r="B775" s="128"/>
      <c r="C775" s="128"/>
      <c r="D775" s="129"/>
      <c r="E775" s="128"/>
      <c r="F775" s="130"/>
      <c r="G775" s="131"/>
      <c r="H775" s="131"/>
      <c r="I775" s="131"/>
      <c r="J775" s="131"/>
      <c r="K775" s="131"/>
      <c r="L775" s="131"/>
      <c r="M775" s="131"/>
      <c r="N775" s="131"/>
      <c r="O775" s="131"/>
      <c r="P775" s="131"/>
      <c r="Q775" s="131"/>
      <c r="R775" s="131"/>
      <c r="S775" s="131"/>
      <c r="T775" s="131"/>
      <c r="U775" s="132"/>
      <c r="V775" s="132"/>
    </row>
    <row r="776" ht="12.75" customHeight="1">
      <c r="A776" s="128"/>
      <c r="B776" s="128"/>
      <c r="C776" s="128"/>
      <c r="D776" s="129"/>
      <c r="E776" s="128"/>
      <c r="F776" s="130"/>
      <c r="G776" s="131"/>
      <c r="H776" s="131"/>
      <c r="I776" s="131"/>
      <c r="J776" s="131"/>
      <c r="K776" s="131"/>
      <c r="L776" s="131"/>
      <c r="M776" s="131"/>
      <c r="N776" s="131"/>
      <c r="O776" s="131"/>
      <c r="P776" s="131"/>
      <c r="Q776" s="131"/>
      <c r="R776" s="131"/>
      <c r="S776" s="131"/>
      <c r="T776" s="131"/>
      <c r="U776" s="132"/>
      <c r="V776" s="132"/>
    </row>
    <row r="777" ht="12.75" customHeight="1">
      <c r="A777" s="128"/>
      <c r="B777" s="128"/>
      <c r="C777" s="128"/>
      <c r="D777" s="129"/>
      <c r="E777" s="128"/>
      <c r="F777" s="130"/>
      <c r="G777" s="131"/>
      <c r="H777" s="131"/>
      <c r="I777" s="131"/>
      <c r="J777" s="131"/>
      <c r="K777" s="131"/>
      <c r="L777" s="131"/>
      <c r="M777" s="131"/>
      <c r="N777" s="131"/>
      <c r="O777" s="131"/>
      <c r="P777" s="131"/>
      <c r="Q777" s="131"/>
      <c r="R777" s="131"/>
      <c r="S777" s="131"/>
      <c r="T777" s="131"/>
      <c r="U777" s="132"/>
      <c r="V777" s="132"/>
    </row>
    <row r="778" ht="12.75" customHeight="1">
      <c r="A778" s="128"/>
      <c r="B778" s="128"/>
      <c r="C778" s="128"/>
      <c r="D778" s="129"/>
      <c r="E778" s="128"/>
      <c r="F778" s="130"/>
      <c r="G778" s="131"/>
      <c r="H778" s="131"/>
      <c r="I778" s="131"/>
      <c r="J778" s="131"/>
      <c r="K778" s="131"/>
      <c r="L778" s="131"/>
      <c r="M778" s="131"/>
      <c r="N778" s="131"/>
      <c r="O778" s="131"/>
      <c r="P778" s="131"/>
      <c r="Q778" s="131"/>
      <c r="R778" s="131"/>
      <c r="S778" s="131"/>
      <c r="T778" s="131"/>
      <c r="U778" s="132"/>
      <c r="V778" s="132"/>
    </row>
    <row r="779" ht="12.75" customHeight="1">
      <c r="A779" s="128"/>
      <c r="B779" s="128"/>
      <c r="C779" s="128"/>
      <c r="D779" s="129"/>
      <c r="E779" s="128"/>
      <c r="F779" s="130"/>
      <c r="G779" s="131"/>
      <c r="H779" s="131"/>
      <c r="I779" s="131"/>
      <c r="J779" s="131"/>
      <c r="K779" s="131"/>
      <c r="L779" s="131"/>
      <c r="M779" s="131"/>
      <c r="N779" s="131"/>
      <c r="O779" s="131"/>
      <c r="P779" s="131"/>
      <c r="Q779" s="131"/>
      <c r="R779" s="131"/>
      <c r="S779" s="131"/>
      <c r="T779" s="131"/>
      <c r="U779" s="132"/>
      <c r="V779" s="132"/>
    </row>
    <row r="780" ht="12.75" customHeight="1">
      <c r="A780" s="128"/>
      <c r="B780" s="128"/>
      <c r="C780" s="128"/>
      <c r="D780" s="129"/>
      <c r="E780" s="128"/>
      <c r="F780" s="130"/>
      <c r="G780" s="131"/>
      <c r="H780" s="131"/>
      <c r="I780" s="131"/>
      <c r="J780" s="131"/>
      <c r="K780" s="131"/>
      <c r="L780" s="131"/>
      <c r="M780" s="131"/>
      <c r="N780" s="131"/>
      <c r="O780" s="131"/>
      <c r="P780" s="131"/>
      <c r="Q780" s="131"/>
      <c r="R780" s="131"/>
      <c r="S780" s="131"/>
      <c r="T780" s="131"/>
      <c r="U780" s="132"/>
      <c r="V780" s="132"/>
    </row>
    <row r="781" ht="12.75" customHeight="1">
      <c r="A781" s="128"/>
      <c r="B781" s="128"/>
      <c r="C781" s="128"/>
      <c r="D781" s="129"/>
      <c r="E781" s="128"/>
      <c r="F781" s="130"/>
      <c r="G781" s="131"/>
      <c r="H781" s="131"/>
      <c r="I781" s="131"/>
      <c r="J781" s="131"/>
      <c r="K781" s="131"/>
      <c r="L781" s="131"/>
      <c r="M781" s="131"/>
      <c r="N781" s="131"/>
      <c r="O781" s="131"/>
      <c r="P781" s="131"/>
      <c r="Q781" s="131"/>
      <c r="R781" s="131"/>
      <c r="S781" s="131"/>
      <c r="T781" s="131"/>
      <c r="U781" s="132"/>
      <c r="V781" s="132"/>
    </row>
    <row r="782" ht="12.75" customHeight="1">
      <c r="A782" s="128"/>
      <c r="B782" s="128"/>
      <c r="C782" s="128"/>
      <c r="D782" s="129"/>
      <c r="E782" s="128"/>
      <c r="F782" s="130"/>
      <c r="G782" s="131"/>
      <c r="H782" s="131"/>
      <c r="I782" s="131"/>
      <c r="J782" s="131"/>
      <c r="K782" s="131"/>
      <c r="L782" s="131"/>
      <c r="M782" s="131"/>
      <c r="N782" s="131"/>
      <c r="O782" s="131"/>
      <c r="P782" s="131"/>
      <c r="Q782" s="131"/>
      <c r="R782" s="131"/>
      <c r="S782" s="131"/>
      <c r="T782" s="131"/>
      <c r="U782" s="132"/>
      <c r="V782" s="132"/>
    </row>
    <row r="783" ht="12.75" customHeight="1">
      <c r="A783" s="128"/>
      <c r="B783" s="128"/>
      <c r="C783" s="128"/>
      <c r="D783" s="129"/>
      <c r="E783" s="128"/>
      <c r="F783" s="130"/>
      <c r="G783" s="131"/>
      <c r="H783" s="131"/>
      <c r="I783" s="131"/>
      <c r="J783" s="131"/>
      <c r="K783" s="131"/>
      <c r="L783" s="131"/>
      <c r="M783" s="131"/>
      <c r="N783" s="131"/>
      <c r="O783" s="131"/>
      <c r="P783" s="131"/>
      <c r="Q783" s="131"/>
      <c r="R783" s="131"/>
      <c r="S783" s="131"/>
      <c r="T783" s="131"/>
      <c r="U783" s="132"/>
      <c r="V783" s="132"/>
    </row>
    <row r="784" ht="12.75" customHeight="1">
      <c r="A784" s="128"/>
      <c r="B784" s="128"/>
      <c r="C784" s="128"/>
      <c r="D784" s="129"/>
      <c r="E784" s="128"/>
      <c r="F784" s="130"/>
      <c r="G784" s="131"/>
      <c r="H784" s="131"/>
      <c r="I784" s="131"/>
      <c r="J784" s="131"/>
      <c r="K784" s="131"/>
      <c r="L784" s="131"/>
      <c r="M784" s="131"/>
      <c r="N784" s="131"/>
      <c r="O784" s="131"/>
      <c r="P784" s="131"/>
      <c r="Q784" s="131"/>
      <c r="R784" s="131"/>
      <c r="S784" s="131"/>
      <c r="T784" s="131"/>
      <c r="U784" s="132"/>
      <c r="V784" s="132"/>
    </row>
    <row r="785" ht="12.75" customHeight="1">
      <c r="A785" s="128"/>
      <c r="B785" s="128"/>
      <c r="C785" s="128"/>
      <c r="D785" s="129"/>
      <c r="E785" s="128"/>
      <c r="F785" s="130"/>
      <c r="G785" s="131"/>
      <c r="H785" s="131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32"/>
      <c r="V785" s="132"/>
    </row>
    <row r="786" ht="12.75" customHeight="1">
      <c r="A786" s="128"/>
      <c r="B786" s="128"/>
      <c r="C786" s="128"/>
      <c r="D786" s="129"/>
      <c r="E786" s="128"/>
      <c r="F786" s="130"/>
      <c r="G786" s="131"/>
      <c r="H786" s="131"/>
      <c r="I786" s="131"/>
      <c r="J786" s="131"/>
      <c r="K786" s="131"/>
      <c r="L786" s="131"/>
      <c r="M786" s="131"/>
      <c r="N786" s="131"/>
      <c r="O786" s="131"/>
      <c r="P786" s="131"/>
      <c r="Q786" s="131"/>
      <c r="R786" s="131"/>
      <c r="S786" s="131"/>
      <c r="T786" s="131"/>
      <c r="U786" s="132"/>
      <c r="V786" s="132"/>
    </row>
    <row r="787" ht="12.75" customHeight="1">
      <c r="A787" s="128"/>
      <c r="B787" s="128"/>
      <c r="C787" s="128"/>
      <c r="D787" s="129"/>
      <c r="E787" s="128"/>
      <c r="F787" s="130"/>
      <c r="G787" s="131"/>
      <c r="H787" s="131"/>
      <c r="I787" s="131"/>
      <c r="J787" s="131"/>
      <c r="K787" s="131"/>
      <c r="L787" s="131"/>
      <c r="M787" s="131"/>
      <c r="N787" s="131"/>
      <c r="O787" s="131"/>
      <c r="P787" s="131"/>
      <c r="Q787" s="131"/>
      <c r="R787" s="131"/>
      <c r="S787" s="131"/>
      <c r="T787" s="131"/>
      <c r="U787" s="132"/>
      <c r="V787" s="132"/>
    </row>
    <row r="788" ht="12.75" customHeight="1">
      <c r="A788" s="128"/>
      <c r="B788" s="128"/>
      <c r="C788" s="128"/>
      <c r="D788" s="129"/>
      <c r="E788" s="128"/>
      <c r="F788" s="130"/>
      <c r="G788" s="131"/>
      <c r="H788" s="131"/>
      <c r="I788" s="131"/>
      <c r="J788" s="131"/>
      <c r="K788" s="131"/>
      <c r="L788" s="131"/>
      <c r="M788" s="131"/>
      <c r="N788" s="131"/>
      <c r="O788" s="131"/>
      <c r="P788" s="131"/>
      <c r="Q788" s="131"/>
      <c r="R788" s="131"/>
      <c r="S788" s="131"/>
      <c r="T788" s="131"/>
      <c r="U788" s="132"/>
      <c r="V788" s="132"/>
    </row>
    <row r="789" ht="12.75" customHeight="1">
      <c r="A789" s="128"/>
      <c r="B789" s="128"/>
      <c r="C789" s="128"/>
      <c r="D789" s="129"/>
      <c r="E789" s="128"/>
      <c r="F789" s="130"/>
      <c r="G789" s="131"/>
      <c r="H789" s="131"/>
      <c r="I789" s="131"/>
      <c r="J789" s="131"/>
      <c r="K789" s="131"/>
      <c r="L789" s="131"/>
      <c r="M789" s="131"/>
      <c r="N789" s="131"/>
      <c r="O789" s="131"/>
      <c r="P789" s="131"/>
      <c r="Q789" s="131"/>
      <c r="R789" s="131"/>
      <c r="S789" s="131"/>
      <c r="T789" s="131"/>
      <c r="U789" s="132"/>
      <c r="V789" s="132"/>
    </row>
    <row r="790" ht="12.75" customHeight="1">
      <c r="A790" s="128"/>
      <c r="B790" s="128"/>
      <c r="C790" s="128"/>
      <c r="D790" s="129"/>
      <c r="E790" s="128"/>
      <c r="F790" s="130"/>
      <c r="G790" s="131"/>
      <c r="H790" s="131"/>
      <c r="I790" s="131"/>
      <c r="J790" s="131"/>
      <c r="K790" s="131"/>
      <c r="L790" s="131"/>
      <c r="M790" s="131"/>
      <c r="N790" s="131"/>
      <c r="O790" s="131"/>
      <c r="P790" s="131"/>
      <c r="Q790" s="131"/>
      <c r="R790" s="131"/>
      <c r="S790" s="131"/>
      <c r="T790" s="131"/>
      <c r="U790" s="132"/>
      <c r="V790" s="132"/>
    </row>
    <row r="791" ht="12.75" customHeight="1">
      <c r="A791" s="128"/>
      <c r="B791" s="128"/>
      <c r="C791" s="128"/>
      <c r="D791" s="129"/>
      <c r="E791" s="128"/>
      <c r="F791" s="130"/>
      <c r="G791" s="131"/>
      <c r="H791" s="131"/>
      <c r="I791" s="131"/>
      <c r="J791" s="131"/>
      <c r="K791" s="131"/>
      <c r="L791" s="131"/>
      <c r="M791" s="131"/>
      <c r="N791" s="131"/>
      <c r="O791" s="131"/>
      <c r="P791" s="131"/>
      <c r="Q791" s="131"/>
      <c r="R791" s="131"/>
      <c r="S791" s="131"/>
      <c r="T791" s="131"/>
      <c r="U791" s="132"/>
      <c r="V791" s="132"/>
    </row>
    <row r="792" ht="12.75" customHeight="1">
      <c r="A792" s="128"/>
      <c r="B792" s="128"/>
      <c r="C792" s="128"/>
      <c r="D792" s="129"/>
      <c r="E792" s="128"/>
      <c r="F792" s="130"/>
      <c r="G792" s="131"/>
      <c r="H792" s="131"/>
      <c r="I792" s="131"/>
      <c r="J792" s="131"/>
      <c r="K792" s="131"/>
      <c r="L792" s="131"/>
      <c r="M792" s="131"/>
      <c r="N792" s="131"/>
      <c r="O792" s="131"/>
      <c r="P792" s="131"/>
      <c r="Q792" s="131"/>
      <c r="R792" s="131"/>
      <c r="S792" s="131"/>
      <c r="T792" s="131"/>
      <c r="U792" s="132"/>
      <c r="V792" s="132"/>
    </row>
    <row r="793" ht="12.75" customHeight="1">
      <c r="A793" s="128"/>
      <c r="B793" s="128"/>
      <c r="C793" s="128"/>
      <c r="D793" s="129"/>
      <c r="E793" s="128"/>
      <c r="F793" s="130"/>
      <c r="G793" s="131"/>
      <c r="H793" s="131"/>
      <c r="I793" s="131"/>
      <c r="J793" s="131"/>
      <c r="K793" s="131"/>
      <c r="L793" s="131"/>
      <c r="M793" s="131"/>
      <c r="N793" s="131"/>
      <c r="O793" s="131"/>
      <c r="P793" s="131"/>
      <c r="Q793" s="131"/>
      <c r="R793" s="131"/>
      <c r="S793" s="131"/>
      <c r="T793" s="131"/>
      <c r="U793" s="132"/>
      <c r="V793" s="132"/>
    </row>
    <row r="794" ht="12.75" customHeight="1">
      <c r="A794" s="128"/>
      <c r="B794" s="128"/>
      <c r="C794" s="128"/>
      <c r="D794" s="129"/>
      <c r="E794" s="128"/>
      <c r="F794" s="130"/>
      <c r="G794" s="131"/>
      <c r="H794" s="131"/>
      <c r="I794" s="131"/>
      <c r="J794" s="131"/>
      <c r="K794" s="131"/>
      <c r="L794" s="131"/>
      <c r="M794" s="131"/>
      <c r="N794" s="131"/>
      <c r="O794" s="131"/>
      <c r="P794" s="131"/>
      <c r="Q794" s="131"/>
      <c r="R794" s="131"/>
      <c r="S794" s="131"/>
      <c r="T794" s="131"/>
      <c r="U794" s="132"/>
      <c r="V794" s="132"/>
    </row>
    <row r="795" ht="12.75" customHeight="1">
      <c r="A795" s="128"/>
      <c r="B795" s="128"/>
      <c r="C795" s="128"/>
      <c r="D795" s="129"/>
      <c r="E795" s="128"/>
      <c r="F795" s="130"/>
      <c r="G795" s="131"/>
      <c r="H795" s="131"/>
      <c r="I795" s="131"/>
      <c r="J795" s="131"/>
      <c r="K795" s="131"/>
      <c r="L795" s="131"/>
      <c r="M795" s="131"/>
      <c r="N795" s="131"/>
      <c r="O795" s="131"/>
      <c r="P795" s="131"/>
      <c r="Q795" s="131"/>
      <c r="R795" s="131"/>
      <c r="S795" s="131"/>
      <c r="T795" s="131"/>
      <c r="U795" s="132"/>
      <c r="V795" s="132"/>
    </row>
    <row r="796" ht="12.75" customHeight="1">
      <c r="A796" s="128"/>
      <c r="B796" s="128"/>
      <c r="C796" s="128"/>
      <c r="D796" s="129"/>
      <c r="E796" s="128"/>
      <c r="F796" s="130"/>
      <c r="G796" s="131"/>
      <c r="H796" s="131"/>
      <c r="I796" s="131"/>
      <c r="J796" s="131"/>
      <c r="K796" s="131"/>
      <c r="L796" s="131"/>
      <c r="M796" s="131"/>
      <c r="N796" s="131"/>
      <c r="O796" s="131"/>
      <c r="P796" s="131"/>
      <c r="Q796" s="131"/>
      <c r="R796" s="131"/>
      <c r="S796" s="131"/>
      <c r="T796" s="131"/>
      <c r="U796" s="132"/>
      <c r="V796" s="132"/>
    </row>
    <row r="797" ht="12.75" customHeight="1">
      <c r="A797" s="128"/>
      <c r="B797" s="128"/>
      <c r="C797" s="128"/>
      <c r="D797" s="129"/>
      <c r="E797" s="128"/>
      <c r="F797" s="130"/>
      <c r="G797" s="131"/>
      <c r="H797" s="131"/>
      <c r="I797" s="131"/>
      <c r="J797" s="131"/>
      <c r="K797" s="131"/>
      <c r="L797" s="131"/>
      <c r="M797" s="131"/>
      <c r="N797" s="131"/>
      <c r="O797" s="131"/>
      <c r="P797" s="131"/>
      <c r="Q797" s="131"/>
      <c r="R797" s="131"/>
      <c r="S797" s="131"/>
      <c r="T797" s="131"/>
      <c r="U797" s="132"/>
      <c r="V797" s="132"/>
    </row>
    <row r="798" ht="12.75" customHeight="1">
      <c r="A798" s="128"/>
      <c r="B798" s="128"/>
      <c r="C798" s="128"/>
      <c r="D798" s="129"/>
      <c r="E798" s="128"/>
      <c r="F798" s="130"/>
      <c r="G798" s="131"/>
      <c r="H798" s="131"/>
      <c r="I798" s="131"/>
      <c r="J798" s="131"/>
      <c r="K798" s="131"/>
      <c r="L798" s="131"/>
      <c r="M798" s="131"/>
      <c r="N798" s="131"/>
      <c r="O798" s="131"/>
      <c r="P798" s="131"/>
      <c r="Q798" s="131"/>
      <c r="R798" s="131"/>
      <c r="S798" s="131"/>
      <c r="T798" s="131"/>
      <c r="U798" s="132"/>
      <c r="V798" s="132"/>
    </row>
    <row r="799" ht="12.75" customHeight="1">
      <c r="A799" s="128"/>
      <c r="B799" s="128"/>
      <c r="C799" s="128"/>
      <c r="D799" s="129"/>
      <c r="E799" s="128"/>
      <c r="F799" s="130"/>
      <c r="G799" s="131"/>
      <c r="H799" s="131"/>
      <c r="I799" s="131"/>
      <c r="J799" s="131"/>
      <c r="K799" s="131"/>
      <c r="L799" s="131"/>
      <c r="M799" s="131"/>
      <c r="N799" s="131"/>
      <c r="O799" s="131"/>
      <c r="P799" s="131"/>
      <c r="Q799" s="131"/>
      <c r="R799" s="131"/>
      <c r="S799" s="131"/>
      <c r="T799" s="131"/>
      <c r="U799" s="132"/>
      <c r="V799" s="132"/>
    </row>
    <row r="800" ht="12.75" customHeight="1">
      <c r="A800" s="128"/>
      <c r="B800" s="128"/>
      <c r="C800" s="128"/>
      <c r="D800" s="129"/>
      <c r="E800" s="128"/>
      <c r="F800" s="130"/>
      <c r="G800" s="131"/>
      <c r="H800" s="131"/>
      <c r="I800" s="131"/>
      <c r="J800" s="131"/>
      <c r="K800" s="131"/>
      <c r="L800" s="131"/>
      <c r="M800" s="131"/>
      <c r="N800" s="131"/>
      <c r="O800" s="131"/>
      <c r="P800" s="131"/>
      <c r="Q800" s="131"/>
      <c r="R800" s="131"/>
      <c r="S800" s="131"/>
      <c r="T800" s="131"/>
      <c r="U800" s="132"/>
      <c r="V800" s="132"/>
    </row>
    <row r="801" ht="12.75" customHeight="1">
      <c r="A801" s="128"/>
      <c r="B801" s="128"/>
      <c r="C801" s="128"/>
      <c r="D801" s="129"/>
      <c r="E801" s="128"/>
      <c r="F801" s="130"/>
      <c r="G801" s="131"/>
      <c r="H801" s="131"/>
      <c r="I801" s="131"/>
      <c r="J801" s="131"/>
      <c r="K801" s="131"/>
      <c r="L801" s="131"/>
      <c r="M801" s="131"/>
      <c r="N801" s="131"/>
      <c r="O801" s="131"/>
      <c r="P801" s="131"/>
      <c r="Q801" s="131"/>
      <c r="R801" s="131"/>
      <c r="S801" s="131"/>
      <c r="T801" s="131"/>
      <c r="U801" s="132"/>
      <c r="V801" s="132"/>
    </row>
    <row r="802" ht="12.75" customHeight="1">
      <c r="A802" s="128"/>
      <c r="B802" s="128"/>
      <c r="C802" s="128"/>
      <c r="D802" s="129"/>
      <c r="E802" s="128"/>
      <c r="F802" s="130"/>
      <c r="G802" s="131"/>
      <c r="H802" s="131"/>
      <c r="I802" s="131"/>
      <c r="J802" s="131"/>
      <c r="K802" s="131"/>
      <c r="L802" s="131"/>
      <c r="M802" s="131"/>
      <c r="N802" s="131"/>
      <c r="O802" s="131"/>
      <c r="P802" s="131"/>
      <c r="Q802" s="131"/>
      <c r="R802" s="131"/>
      <c r="S802" s="131"/>
      <c r="T802" s="131"/>
      <c r="U802" s="132"/>
      <c r="V802" s="132"/>
    </row>
    <row r="803" ht="12.75" customHeight="1">
      <c r="A803" s="128"/>
      <c r="B803" s="128"/>
      <c r="C803" s="128"/>
      <c r="D803" s="129"/>
      <c r="E803" s="128"/>
      <c r="F803" s="130"/>
      <c r="G803" s="131"/>
      <c r="H803" s="131"/>
      <c r="I803" s="131"/>
      <c r="J803" s="131"/>
      <c r="K803" s="131"/>
      <c r="L803" s="131"/>
      <c r="M803" s="131"/>
      <c r="N803" s="131"/>
      <c r="O803" s="131"/>
      <c r="P803" s="131"/>
      <c r="Q803" s="131"/>
      <c r="R803" s="131"/>
      <c r="S803" s="131"/>
      <c r="T803" s="131"/>
      <c r="U803" s="132"/>
      <c r="V803" s="132"/>
    </row>
    <row r="804" ht="12.75" customHeight="1">
      <c r="A804" s="128"/>
      <c r="B804" s="128"/>
      <c r="C804" s="128"/>
      <c r="D804" s="129"/>
      <c r="E804" s="128"/>
      <c r="F804" s="130"/>
      <c r="G804" s="131"/>
      <c r="H804" s="131"/>
      <c r="I804" s="131"/>
      <c r="J804" s="131"/>
      <c r="K804" s="131"/>
      <c r="L804" s="131"/>
      <c r="M804" s="131"/>
      <c r="N804" s="131"/>
      <c r="O804" s="131"/>
      <c r="P804" s="131"/>
      <c r="Q804" s="131"/>
      <c r="R804" s="131"/>
      <c r="S804" s="131"/>
      <c r="T804" s="131"/>
      <c r="U804" s="132"/>
      <c r="V804" s="132"/>
    </row>
    <row r="805" ht="12.75" customHeight="1">
      <c r="A805" s="128"/>
      <c r="B805" s="128"/>
      <c r="C805" s="128"/>
      <c r="D805" s="129"/>
      <c r="E805" s="128"/>
      <c r="F805" s="130"/>
      <c r="G805" s="131"/>
      <c r="H805" s="131"/>
      <c r="I805" s="131"/>
      <c r="J805" s="131"/>
      <c r="K805" s="131"/>
      <c r="L805" s="131"/>
      <c r="M805" s="131"/>
      <c r="N805" s="131"/>
      <c r="O805" s="131"/>
      <c r="P805" s="131"/>
      <c r="Q805" s="131"/>
      <c r="R805" s="131"/>
      <c r="S805" s="131"/>
      <c r="T805" s="131"/>
      <c r="U805" s="132"/>
      <c r="V805" s="132"/>
    </row>
    <row r="806" ht="12.75" customHeight="1">
      <c r="A806" s="128"/>
      <c r="B806" s="128"/>
      <c r="C806" s="128"/>
      <c r="D806" s="129"/>
      <c r="E806" s="128"/>
      <c r="F806" s="130"/>
      <c r="G806" s="131"/>
      <c r="H806" s="131"/>
      <c r="I806" s="131"/>
      <c r="J806" s="131"/>
      <c r="K806" s="131"/>
      <c r="L806" s="131"/>
      <c r="M806" s="131"/>
      <c r="N806" s="131"/>
      <c r="O806" s="131"/>
      <c r="P806" s="131"/>
      <c r="Q806" s="131"/>
      <c r="R806" s="131"/>
      <c r="S806" s="131"/>
      <c r="T806" s="131"/>
      <c r="U806" s="132"/>
      <c r="V806" s="132"/>
    </row>
    <row r="807" ht="12.75" customHeight="1">
      <c r="A807" s="128"/>
      <c r="B807" s="128"/>
      <c r="C807" s="128"/>
      <c r="D807" s="129"/>
      <c r="E807" s="128"/>
      <c r="F807" s="130"/>
      <c r="G807" s="131"/>
      <c r="H807" s="131"/>
      <c r="I807" s="131"/>
      <c r="J807" s="131"/>
      <c r="K807" s="131"/>
      <c r="L807" s="131"/>
      <c r="M807" s="131"/>
      <c r="N807" s="131"/>
      <c r="O807" s="131"/>
      <c r="P807" s="131"/>
      <c r="Q807" s="131"/>
      <c r="R807" s="131"/>
      <c r="S807" s="131"/>
      <c r="T807" s="131"/>
      <c r="U807" s="132"/>
      <c r="V807" s="132"/>
    </row>
    <row r="808" ht="12.75" customHeight="1">
      <c r="A808" s="128"/>
      <c r="B808" s="128"/>
      <c r="C808" s="128"/>
      <c r="D808" s="129"/>
      <c r="E808" s="128"/>
      <c r="F808" s="130"/>
      <c r="G808" s="131"/>
      <c r="H808" s="131"/>
      <c r="I808" s="131"/>
      <c r="J808" s="131"/>
      <c r="K808" s="131"/>
      <c r="L808" s="131"/>
      <c r="M808" s="131"/>
      <c r="N808" s="131"/>
      <c r="O808" s="131"/>
      <c r="P808" s="131"/>
      <c r="Q808" s="131"/>
      <c r="R808" s="131"/>
      <c r="S808" s="131"/>
      <c r="T808" s="131"/>
      <c r="U808" s="132"/>
      <c r="V808" s="132"/>
    </row>
    <row r="809" ht="12.75" customHeight="1">
      <c r="A809" s="128"/>
      <c r="B809" s="128"/>
      <c r="C809" s="128"/>
      <c r="D809" s="129"/>
      <c r="E809" s="128"/>
      <c r="F809" s="130"/>
      <c r="G809" s="131"/>
      <c r="H809" s="131"/>
      <c r="I809" s="131"/>
      <c r="J809" s="131"/>
      <c r="K809" s="131"/>
      <c r="L809" s="131"/>
      <c r="M809" s="131"/>
      <c r="N809" s="131"/>
      <c r="O809" s="131"/>
      <c r="P809" s="131"/>
      <c r="Q809" s="131"/>
      <c r="R809" s="131"/>
      <c r="S809" s="131"/>
      <c r="T809" s="131"/>
      <c r="U809" s="132"/>
      <c r="V809" s="132"/>
    </row>
    <row r="810" ht="12.75" customHeight="1">
      <c r="A810" s="128"/>
      <c r="B810" s="128"/>
      <c r="C810" s="128"/>
      <c r="D810" s="129"/>
      <c r="E810" s="128"/>
      <c r="F810" s="130"/>
      <c r="G810" s="131"/>
      <c r="H810" s="131"/>
      <c r="I810" s="131"/>
      <c r="J810" s="131"/>
      <c r="K810" s="131"/>
      <c r="L810" s="131"/>
      <c r="M810" s="131"/>
      <c r="N810" s="131"/>
      <c r="O810" s="131"/>
      <c r="P810" s="131"/>
      <c r="Q810" s="131"/>
      <c r="R810" s="131"/>
      <c r="S810" s="131"/>
      <c r="T810" s="131"/>
      <c r="U810" s="132"/>
      <c r="V810" s="132"/>
    </row>
    <row r="811" ht="12.75" customHeight="1">
      <c r="A811" s="128"/>
      <c r="B811" s="128"/>
      <c r="C811" s="128"/>
      <c r="D811" s="129"/>
      <c r="E811" s="128"/>
      <c r="F811" s="130"/>
      <c r="G811" s="131"/>
      <c r="H811" s="131"/>
      <c r="I811" s="131"/>
      <c r="J811" s="131"/>
      <c r="K811" s="131"/>
      <c r="L811" s="131"/>
      <c r="M811" s="131"/>
      <c r="N811" s="131"/>
      <c r="O811" s="131"/>
      <c r="P811" s="131"/>
      <c r="Q811" s="131"/>
      <c r="R811" s="131"/>
      <c r="S811" s="131"/>
      <c r="T811" s="131"/>
      <c r="U811" s="132"/>
      <c r="V811" s="132"/>
    </row>
    <row r="812" ht="12.75" customHeight="1">
      <c r="A812" s="128"/>
      <c r="B812" s="128"/>
      <c r="C812" s="128"/>
      <c r="D812" s="129"/>
      <c r="E812" s="128"/>
      <c r="F812" s="130"/>
      <c r="G812" s="131"/>
      <c r="H812" s="131"/>
      <c r="I812" s="131"/>
      <c r="J812" s="131"/>
      <c r="K812" s="131"/>
      <c r="L812" s="131"/>
      <c r="M812" s="131"/>
      <c r="N812" s="131"/>
      <c r="O812" s="131"/>
      <c r="P812" s="131"/>
      <c r="Q812" s="131"/>
      <c r="R812" s="131"/>
      <c r="S812" s="131"/>
      <c r="T812" s="131"/>
      <c r="U812" s="132"/>
      <c r="V812" s="132"/>
    </row>
    <row r="813" ht="12.75" customHeight="1">
      <c r="A813" s="128"/>
      <c r="B813" s="128"/>
      <c r="C813" s="128"/>
      <c r="D813" s="129"/>
      <c r="E813" s="128"/>
      <c r="F813" s="130"/>
      <c r="G813" s="131"/>
      <c r="H813" s="131"/>
      <c r="I813" s="131"/>
      <c r="J813" s="131"/>
      <c r="K813" s="131"/>
      <c r="L813" s="131"/>
      <c r="M813" s="131"/>
      <c r="N813" s="131"/>
      <c r="O813" s="131"/>
      <c r="P813" s="131"/>
      <c r="Q813" s="131"/>
      <c r="R813" s="131"/>
      <c r="S813" s="131"/>
      <c r="T813" s="131"/>
      <c r="U813" s="132"/>
      <c r="V813" s="132"/>
    </row>
    <row r="814" ht="12.75" customHeight="1">
      <c r="A814" s="128"/>
      <c r="B814" s="128"/>
      <c r="C814" s="128"/>
      <c r="D814" s="129"/>
      <c r="E814" s="128"/>
      <c r="F814" s="130"/>
      <c r="G814" s="131"/>
      <c r="H814" s="131"/>
      <c r="I814" s="131"/>
      <c r="J814" s="131"/>
      <c r="K814" s="131"/>
      <c r="L814" s="131"/>
      <c r="M814" s="131"/>
      <c r="N814" s="131"/>
      <c r="O814" s="131"/>
      <c r="P814" s="131"/>
      <c r="Q814" s="131"/>
      <c r="R814" s="131"/>
      <c r="S814" s="131"/>
      <c r="T814" s="131"/>
      <c r="U814" s="132"/>
      <c r="V814" s="132"/>
    </row>
    <row r="815" ht="12.75" customHeight="1">
      <c r="A815" s="128"/>
      <c r="B815" s="128"/>
      <c r="C815" s="128"/>
      <c r="D815" s="129"/>
      <c r="E815" s="128"/>
      <c r="F815" s="130"/>
      <c r="G815" s="131"/>
      <c r="H815" s="131"/>
      <c r="I815" s="131"/>
      <c r="J815" s="131"/>
      <c r="K815" s="131"/>
      <c r="L815" s="131"/>
      <c r="M815" s="131"/>
      <c r="N815" s="131"/>
      <c r="O815" s="131"/>
      <c r="P815" s="131"/>
      <c r="Q815" s="131"/>
      <c r="R815" s="131"/>
      <c r="S815" s="131"/>
      <c r="T815" s="131"/>
      <c r="U815" s="132"/>
      <c r="V815" s="132"/>
    </row>
    <row r="816" ht="12.75" customHeight="1">
      <c r="A816" s="128"/>
      <c r="B816" s="128"/>
      <c r="C816" s="128"/>
      <c r="D816" s="129"/>
      <c r="E816" s="128"/>
      <c r="F816" s="130"/>
      <c r="G816" s="131"/>
      <c r="H816" s="131"/>
      <c r="I816" s="131"/>
      <c r="J816" s="131"/>
      <c r="K816" s="131"/>
      <c r="L816" s="131"/>
      <c r="M816" s="131"/>
      <c r="N816" s="131"/>
      <c r="O816" s="131"/>
      <c r="P816" s="131"/>
      <c r="Q816" s="131"/>
      <c r="R816" s="131"/>
      <c r="S816" s="131"/>
      <c r="T816" s="131"/>
      <c r="U816" s="132"/>
      <c r="V816" s="132"/>
    </row>
    <row r="817" ht="12.75" customHeight="1">
      <c r="A817" s="128"/>
      <c r="B817" s="128"/>
      <c r="C817" s="128"/>
      <c r="D817" s="129"/>
      <c r="E817" s="128"/>
      <c r="F817" s="130"/>
      <c r="G817" s="131"/>
      <c r="H817" s="131"/>
      <c r="I817" s="131"/>
      <c r="J817" s="131"/>
      <c r="K817" s="131"/>
      <c r="L817" s="131"/>
      <c r="M817" s="131"/>
      <c r="N817" s="131"/>
      <c r="O817" s="131"/>
      <c r="P817" s="131"/>
      <c r="Q817" s="131"/>
      <c r="R817" s="131"/>
      <c r="S817" s="131"/>
      <c r="T817" s="131"/>
      <c r="U817" s="132"/>
      <c r="V817" s="132"/>
    </row>
    <row r="818" ht="12.75" customHeight="1">
      <c r="A818" s="128"/>
      <c r="B818" s="128"/>
      <c r="C818" s="128"/>
      <c r="D818" s="129"/>
      <c r="E818" s="128"/>
      <c r="F818" s="130"/>
      <c r="G818" s="131"/>
      <c r="H818" s="131"/>
      <c r="I818" s="131"/>
      <c r="J818" s="131"/>
      <c r="K818" s="131"/>
      <c r="L818" s="131"/>
      <c r="M818" s="131"/>
      <c r="N818" s="131"/>
      <c r="O818" s="131"/>
      <c r="P818" s="131"/>
      <c r="Q818" s="131"/>
      <c r="R818" s="131"/>
      <c r="S818" s="131"/>
      <c r="T818" s="131"/>
      <c r="U818" s="132"/>
      <c r="V818" s="132"/>
    </row>
    <row r="819" ht="12.75" customHeight="1">
      <c r="A819" s="128"/>
      <c r="B819" s="128"/>
      <c r="C819" s="128"/>
      <c r="D819" s="129"/>
      <c r="E819" s="128"/>
      <c r="F819" s="130"/>
      <c r="G819" s="131"/>
      <c r="H819" s="131"/>
      <c r="I819" s="131"/>
      <c r="J819" s="131"/>
      <c r="K819" s="131"/>
      <c r="L819" s="131"/>
      <c r="M819" s="131"/>
      <c r="N819" s="131"/>
      <c r="O819" s="131"/>
      <c r="P819" s="131"/>
      <c r="Q819" s="131"/>
      <c r="R819" s="131"/>
      <c r="S819" s="131"/>
      <c r="T819" s="131"/>
      <c r="U819" s="132"/>
      <c r="V819" s="132"/>
    </row>
    <row r="820" ht="12.75" customHeight="1">
      <c r="A820" s="128"/>
      <c r="B820" s="128"/>
      <c r="C820" s="128"/>
      <c r="D820" s="129"/>
      <c r="E820" s="128"/>
      <c r="F820" s="130"/>
      <c r="G820" s="131"/>
      <c r="H820" s="131"/>
      <c r="I820" s="131"/>
      <c r="J820" s="131"/>
      <c r="K820" s="131"/>
      <c r="L820" s="131"/>
      <c r="M820" s="131"/>
      <c r="N820" s="131"/>
      <c r="O820" s="131"/>
      <c r="P820" s="131"/>
      <c r="Q820" s="131"/>
      <c r="R820" s="131"/>
      <c r="S820" s="131"/>
      <c r="T820" s="131"/>
      <c r="U820" s="132"/>
      <c r="V820" s="132"/>
    </row>
    <row r="821" ht="12.75" customHeight="1">
      <c r="A821" s="128"/>
      <c r="B821" s="128"/>
      <c r="C821" s="128"/>
      <c r="D821" s="129"/>
      <c r="E821" s="128"/>
      <c r="F821" s="130"/>
      <c r="G821" s="131"/>
      <c r="H821" s="131"/>
      <c r="I821" s="131"/>
      <c r="J821" s="131"/>
      <c r="K821" s="131"/>
      <c r="L821" s="131"/>
      <c r="M821" s="131"/>
      <c r="N821" s="131"/>
      <c r="O821" s="131"/>
      <c r="P821" s="131"/>
      <c r="Q821" s="131"/>
      <c r="R821" s="131"/>
      <c r="S821" s="131"/>
      <c r="T821" s="131"/>
      <c r="U821" s="132"/>
      <c r="V821" s="132"/>
    </row>
    <row r="822" ht="12.75" customHeight="1">
      <c r="A822" s="128"/>
      <c r="B822" s="128"/>
      <c r="C822" s="128"/>
      <c r="D822" s="129"/>
      <c r="E822" s="128"/>
      <c r="F822" s="130"/>
      <c r="G822" s="131"/>
      <c r="H822" s="131"/>
      <c r="I822" s="131"/>
      <c r="J822" s="131"/>
      <c r="K822" s="131"/>
      <c r="L822" s="131"/>
      <c r="M822" s="131"/>
      <c r="N822" s="131"/>
      <c r="O822" s="131"/>
      <c r="P822" s="131"/>
      <c r="Q822" s="131"/>
      <c r="R822" s="131"/>
      <c r="S822" s="131"/>
      <c r="T822" s="131"/>
      <c r="U822" s="132"/>
      <c r="V822" s="132"/>
    </row>
    <row r="823" ht="12.75" customHeight="1">
      <c r="A823" s="128"/>
      <c r="B823" s="128"/>
      <c r="C823" s="128"/>
      <c r="D823" s="129"/>
      <c r="E823" s="128"/>
      <c r="F823" s="130"/>
      <c r="G823" s="131"/>
      <c r="H823" s="131"/>
      <c r="I823" s="131"/>
      <c r="J823" s="131"/>
      <c r="K823" s="131"/>
      <c r="L823" s="131"/>
      <c r="M823" s="131"/>
      <c r="N823" s="131"/>
      <c r="O823" s="131"/>
      <c r="P823" s="131"/>
      <c r="Q823" s="131"/>
      <c r="R823" s="131"/>
      <c r="S823" s="131"/>
      <c r="T823" s="131"/>
      <c r="U823" s="132"/>
      <c r="V823" s="132"/>
    </row>
    <row r="824" ht="12.75" customHeight="1">
      <c r="A824" s="128"/>
      <c r="B824" s="128"/>
      <c r="C824" s="128"/>
      <c r="D824" s="129"/>
      <c r="E824" s="128"/>
      <c r="F824" s="130"/>
      <c r="G824" s="131"/>
      <c r="H824" s="131"/>
      <c r="I824" s="131"/>
      <c r="J824" s="131"/>
      <c r="K824" s="131"/>
      <c r="L824" s="131"/>
      <c r="M824" s="131"/>
      <c r="N824" s="131"/>
      <c r="O824" s="131"/>
      <c r="P824" s="131"/>
      <c r="Q824" s="131"/>
      <c r="R824" s="131"/>
      <c r="S824" s="131"/>
      <c r="T824" s="131"/>
      <c r="U824" s="132"/>
      <c r="V824" s="132"/>
    </row>
    <row r="825" ht="12.75" customHeight="1">
      <c r="A825" s="128"/>
      <c r="B825" s="128"/>
      <c r="C825" s="128"/>
      <c r="D825" s="129"/>
      <c r="E825" s="128"/>
      <c r="F825" s="130"/>
      <c r="G825" s="131"/>
      <c r="H825" s="131"/>
      <c r="I825" s="131"/>
      <c r="J825" s="131"/>
      <c r="K825" s="131"/>
      <c r="L825" s="131"/>
      <c r="M825" s="131"/>
      <c r="N825" s="131"/>
      <c r="O825" s="131"/>
      <c r="P825" s="131"/>
      <c r="Q825" s="131"/>
      <c r="R825" s="131"/>
      <c r="S825" s="131"/>
      <c r="T825" s="131"/>
      <c r="U825" s="132"/>
      <c r="V825" s="132"/>
    </row>
    <row r="826" ht="12.75" customHeight="1">
      <c r="A826" s="128"/>
      <c r="B826" s="128"/>
      <c r="C826" s="128"/>
      <c r="D826" s="129"/>
      <c r="E826" s="128"/>
      <c r="F826" s="130"/>
      <c r="G826" s="131"/>
      <c r="H826" s="131"/>
      <c r="I826" s="131"/>
      <c r="J826" s="131"/>
      <c r="K826" s="131"/>
      <c r="L826" s="131"/>
      <c r="M826" s="131"/>
      <c r="N826" s="131"/>
      <c r="O826" s="131"/>
      <c r="P826" s="131"/>
      <c r="Q826" s="131"/>
      <c r="R826" s="131"/>
      <c r="S826" s="131"/>
      <c r="T826" s="131"/>
      <c r="U826" s="132"/>
      <c r="V826" s="132"/>
    </row>
    <row r="827" ht="12.75" customHeight="1">
      <c r="A827" s="128"/>
      <c r="B827" s="128"/>
      <c r="C827" s="128"/>
      <c r="D827" s="129"/>
      <c r="E827" s="128"/>
      <c r="F827" s="130"/>
      <c r="G827" s="131"/>
      <c r="H827" s="131"/>
      <c r="I827" s="131"/>
      <c r="J827" s="131"/>
      <c r="K827" s="131"/>
      <c r="L827" s="131"/>
      <c r="M827" s="131"/>
      <c r="N827" s="131"/>
      <c r="O827" s="131"/>
      <c r="P827" s="131"/>
      <c r="Q827" s="131"/>
      <c r="R827" s="131"/>
      <c r="S827" s="131"/>
      <c r="T827" s="131"/>
      <c r="U827" s="132"/>
      <c r="V827" s="132"/>
    </row>
    <row r="828" ht="12.75" customHeight="1">
      <c r="A828" s="128"/>
      <c r="B828" s="128"/>
      <c r="C828" s="128"/>
      <c r="D828" s="129"/>
      <c r="E828" s="128"/>
      <c r="F828" s="130"/>
      <c r="G828" s="131"/>
      <c r="H828" s="131"/>
      <c r="I828" s="131"/>
      <c r="J828" s="131"/>
      <c r="K828" s="131"/>
      <c r="L828" s="131"/>
      <c r="M828" s="131"/>
      <c r="N828" s="131"/>
      <c r="O828" s="131"/>
      <c r="P828" s="131"/>
      <c r="Q828" s="131"/>
      <c r="R828" s="131"/>
      <c r="S828" s="131"/>
      <c r="T828" s="131"/>
      <c r="U828" s="132"/>
      <c r="V828" s="132"/>
    </row>
    <row r="829" ht="12.75" customHeight="1">
      <c r="A829" s="128"/>
      <c r="B829" s="128"/>
      <c r="C829" s="128"/>
      <c r="D829" s="129"/>
      <c r="E829" s="128"/>
      <c r="F829" s="130"/>
      <c r="G829" s="131"/>
      <c r="H829" s="131"/>
      <c r="I829" s="131"/>
      <c r="J829" s="131"/>
      <c r="K829" s="131"/>
      <c r="L829" s="131"/>
      <c r="M829" s="131"/>
      <c r="N829" s="131"/>
      <c r="O829" s="131"/>
      <c r="P829" s="131"/>
      <c r="Q829" s="131"/>
      <c r="R829" s="131"/>
      <c r="S829" s="131"/>
      <c r="T829" s="131"/>
      <c r="U829" s="132"/>
      <c r="V829" s="132"/>
    </row>
    <row r="830" ht="12.75" customHeight="1">
      <c r="A830" s="128"/>
      <c r="B830" s="128"/>
      <c r="C830" s="128"/>
      <c r="D830" s="129"/>
      <c r="E830" s="128"/>
      <c r="F830" s="130"/>
      <c r="G830" s="131"/>
      <c r="H830" s="131"/>
      <c r="I830" s="131"/>
      <c r="J830" s="131"/>
      <c r="K830" s="131"/>
      <c r="L830" s="131"/>
      <c r="M830" s="131"/>
      <c r="N830" s="131"/>
      <c r="O830" s="131"/>
      <c r="P830" s="131"/>
      <c r="Q830" s="131"/>
      <c r="R830" s="131"/>
      <c r="S830" s="131"/>
      <c r="T830" s="131"/>
      <c r="U830" s="132"/>
      <c r="V830" s="132"/>
    </row>
    <row r="831" ht="12.75" customHeight="1">
      <c r="A831" s="128"/>
      <c r="B831" s="128"/>
      <c r="C831" s="128"/>
      <c r="D831" s="129"/>
      <c r="E831" s="128"/>
      <c r="F831" s="130"/>
      <c r="G831" s="131"/>
      <c r="H831" s="131"/>
      <c r="I831" s="131"/>
      <c r="J831" s="131"/>
      <c r="K831" s="131"/>
      <c r="L831" s="131"/>
      <c r="M831" s="131"/>
      <c r="N831" s="131"/>
      <c r="O831" s="131"/>
      <c r="P831" s="131"/>
      <c r="Q831" s="131"/>
      <c r="R831" s="131"/>
      <c r="S831" s="131"/>
      <c r="T831" s="131"/>
      <c r="U831" s="132"/>
      <c r="V831" s="132"/>
    </row>
    <row r="832" ht="12.75" customHeight="1">
      <c r="A832" s="128"/>
      <c r="B832" s="128"/>
      <c r="C832" s="128"/>
      <c r="D832" s="129"/>
      <c r="E832" s="128"/>
      <c r="F832" s="130"/>
      <c r="G832" s="131"/>
      <c r="H832" s="131"/>
      <c r="I832" s="131"/>
      <c r="J832" s="131"/>
      <c r="K832" s="131"/>
      <c r="L832" s="131"/>
      <c r="M832" s="131"/>
      <c r="N832" s="131"/>
      <c r="O832" s="131"/>
      <c r="P832" s="131"/>
      <c r="Q832" s="131"/>
      <c r="R832" s="131"/>
      <c r="S832" s="131"/>
      <c r="T832" s="131"/>
      <c r="U832" s="132"/>
      <c r="V832" s="132"/>
    </row>
    <row r="833" ht="12.75" customHeight="1">
      <c r="A833" s="128"/>
      <c r="B833" s="128"/>
      <c r="C833" s="128"/>
      <c r="D833" s="129"/>
      <c r="E833" s="128"/>
      <c r="F833" s="130"/>
      <c r="G833" s="131"/>
      <c r="H833" s="131"/>
      <c r="I833" s="131"/>
      <c r="J833" s="131"/>
      <c r="K833" s="131"/>
      <c r="L833" s="131"/>
      <c r="M833" s="131"/>
      <c r="N833" s="131"/>
      <c r="O833" s="131"/>
      <c r="P833" s="131"/>
      <c r="Q833" s="131"/>
      <c r="R833" s="131"/>
      <c r="S833" s="131"/>
      <c r="T833" s="131"/>
      <c r="U833" s="132"/>
      <c r="V833" s="132"/>
    </row>
    <row r="834" ht="12.75" customHeight="1">
      <c r="A834" s="128"/>
      <c r="B834" s="128"/>
      <c r="C834" s="128"/>
      <c r="D834" s="129"/>
      <c r="E834" s="128"/>
      <c r="F834" s="130"/>
      <c r="G834" s="131"/>
      <c r="H834" s="131"/>
      <c r="I834" s="131"/>
      <c r="J834" s="131"/>
      <c r="K834" s="131"/>
      <c r="L834" s="131"/>
      <c r="M834" s="131"/>
      <c r="N834" s="131"/>
      <c r="O834" s="131"/>
      <c r="P834" s="131"/>
      <c r="Q834" s="131"/>
      <c r="R834" s="131"/>
      <c r="S834" s="131"/>
      <c r="T834" s="131"/>
      <c r="U834" s="132"/>
      <c r="V834" s="132"/>
    </row>
    <row r="835" ht="12.75" customHeight="1">
      <c r="A835" s="128"/>
      <c r="B835" s="128"/>
      <c r="C835" s="128"/>
      <c r="D835" s="129"/>
      <c r="E835" s="128"/>
      <c r="F835" s="130"/>
      <c r="G835" s="131"/>
      <c r="H835" s="131"/>
      <c r="I835" s="131"/>
      <c r="J835" s="131"/>
      <c r="K835" s="131"/>
      <c r="L835" s="131"/>
      <c r="M835" s="131"/>
      <c r="N835" s="131"/>
      <c r="O835" s="131"/>
      <c r="P835" s="131"/>
      <c r="Q835" s="131"/>
      <c r="R835" s="131"/>
      <c r="S835" s="131"/>
      <c r="T835" s="131"/>
      <c r="U835" s="132"/>
      <c r="V835" s="132"/>
    </row>
    <row r="836" ht="12.75" customHeight="1">
      <c r="A836" s="128"/>
      <c r="B836" s="128"/>
      <c r="C836" s="128"/>
      <c r="D836" s="129"/>
      <c r="E836" s="128"/>
      <c r="F836" s="130"/>
      <c r="G836" s="131"/>
      <c r="H836" s="131"/>
      <c r="I836" s="131"/>
      <c r="J836" s="131"/>
      <c r="K836" s="131"/>
      <c r="L836" s="131"/>
      <c r="M836" s="131"/>
      <c r="N836" s="131"/>
      <c r="O836" s="131"/>
      <c r="P836" s="131"/>
      <c r="Q836" s="131"/>
      <c r="R836" s="131"/>
      <c r="S836" s="131"/>
      <c r="T836" s="131"/>
      <c r="U836" s="132"/>
      <c r="V836" s="132"/>
    </row>
    <row r="837" ht="12.75" customHeight="1">
      <c r="A837" s="128"/>
      <c r="B837" s="128"/>
      <c r="C837" s="128"/>
      <c r="D837" s="129"/>
      <c r="E837" s="128"/>
      <c r="F837" s="130"/>
      <c r="G837" s="131"/>
      <c r="H837" s="131"/>
      <c r="I837" s="131"/>
      <c r="J837" s="131"/>
      <c r="K837" s="131"/>
      <c r="L837" s="131"/>
      <c r="M837" s="131"/>
      <c r="N837" s="131"/>
      <c r="O837" s="131"/>
      <c r="P837" s="131"/>
      <c r="Q837" s="131"/>
      <c r="R837" s="131"/>
      <c r="S837" s="131"/>
      <c r="T837" s="131"/>
      <c r="U837" s="132"/>
      <c r="V837" s="132"/>
    </row>
    <row r="838" ht="12.75" customHeight="1">
      <c r="A838" s="128"/>
      <c r="B838" s="128"/>
      <c r="C838" s="128"/>
      <c r="D838" s="129"/>
      <c r="E838" s="128"/>
      <c r="F838" s="130"/>
      <c r="G838" s="131"/>
      <c r="H838" s="131"/>
      <c r="I838" s="131"/>
      <c r="J838" s="131"/>
      <c r="K838" s="131"/>
      <c r="L838" s="131"/>
      <c r="M838" s="131"/>
      <c r="N838" s="131"/>
      <c r="O838" s="131"/>
      <c r="P838" s="131"/>
      <c r="Q838" s="131"/>
      <c r="R838" s="131"/>
      <c r="S838" s="131"/>
      <c r="T838" s="131"/>
      <c r="U838" s="132"/>
      <c r="V838" s="132"/>
    </row>
    <row r="839" ht="12.75" customHeight="1">
      <c r="A839" s="128"/>
      <c r="B839" s="128"/>
      <c r="C839" s="128"/>
      <c r="D839" s="129"/>
      <c r="E839" s="128"/>
      <c r="F839" s="130"/>
      <c r="G839" s="131"/>
      <c r="H839" s="131"/>
      <c r="I839" s="131"/>
      <c r="J839" s="131"/>
      <c r="K839" s="131"/>
      <c r="L839" s="131"/>
      <c r="M839" s="131"/>
      <c r="N839" s="131"/>
      <c r="O839" s="131"/>
      <c r="P839" s="131"/>
      <c r="Q839" s="131"/>
      <c r="R839" s="131"/>
      <c r="S839" s="131"/>
      <c r="T839" s="131"/>
      <c r="U839" s="132"/>
      <c r="V839" s="132"/>
    </row>
    <row r="840" ht="12.75" customHeight="1">
      <c r="A840" s="128"/>
      <c r="B840" s="128"/>
      <c r="C840" s="128"/>
      <c r="D840" s="129"/>
      <c r="E840" s="128"/>
      <c r="F840" s="130"/>
      <c r="G840" s="131"/>
      <c r="H840" s="131"/>
      <c r="I840" s="131"/>
      <c r="J840" s="131"/>
      <c r="K840" s="131"/>
      <c r="L840" s="131"/>
      <c r="M840" s="131"/>
      <c r="N840" s="131"/>
      <c r="O840" s="131"/>
      <c r="P840" s="131"/>
      <c r="Q840" s="131"/>
      <c r="R840" s="131"/>
      <c r="S840" s="131"/>
      <c r="T840" s="131"/>
      <c r="U840" s="132"/>
      <c r="V840" s="132"/>
    </row>
    <row r="841" ht="12.75" customHeight="1">
      <c r="A841" s="128"/>
      <c r="B841" s="128"/>
      <c r="C841" s="128"/>
      <c r="D841" s="129"/>
      <c r="E841" s="128"/>
      <c r="F841" s="130"/>
      <c r="G841" s="131"/>
      <c r="H841" s="131"/>
      <c r="I841" s="131"/>
      <c r="J841" s="131"/>
      <c r="K841" s="131"/>
      <c r="L841" s="131"/>
      <c r="M841" s="131"/>
      <c r="N841" s="131"/>
      <c r="O841" s="131"/>
      <c r="P841" s="131"/>
      <c r="Q841" s="131"/>
      <c r="R841" s="131"/>
      <c r="S841" s="131"/>
      <c r="T841" s="131"/>
      <c r="U841" s="132"/>
      <c r="V841" s="132"/>
    </row>
    <row r="842" ht="12.75" customHeight="1">
      <c r="A842" s="128"/>
      <c r="B842" s="128"/>
      <c r="C842" s="128"/>
      <c r="D842" s="129"/>
      <c r="E842" s="128"/>
      <c r="F842" s="130"/>
      <c r="G842" s="131"/>
      <c r="H842" s="131"/>
      <c r="I842" s="131"/>
      <c r="J842" s="131"/>
      <c r="K842" s="131"/>
      <c r="L842" s="131"/>
      <c r="M842" s="131"/>
      <c r="N842" s="131"/>
      <c r="O842" s="131"/>
      <c r="P842" s="131"/>
      <c r="Q842" s="131"/>
      <c r="R842" s="131"/>
      <c r="S842" s="131"/>
      <c r="T842" s="131"/>
      <c r="U842" s="132"/>
      <c r="V842" s="132"/>
    </row>
    <row r="843" ht="12.75" customHeight="1">
      <c r="A843" s="128"/>
      <c r="B843" s="128"/>
      <c r="C843" s="128"/>
      <c r="D843" s="129"/>
      <c r="E843" s="128"/>
      <c r="F843" s="130"/>
      <c r="G843" s="131"/>
      <c r="H843" s="131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32"/>
      <c r="V843" s="132"/>
    </row>
    <row r="844" ht="12.75" customHeight="1">
      <c r="A844" s="128"/>
      <c r="B844" s="128"/>
      <c r="C844" s="128"/>
      <c r="D844" s="129"/>
      <c r="E844" s="128"/>
      <c r="F844" s="130"/>
      <c r="G844" s="131"/>
      <c r="H844" s="131"/>
      <c r="I844" s="131"/>
      <c r="J844" s="131"/>
      <c r="K844" s="131"/>
      <c r="L844" s="131"/>
      <c r="M844" s="131"/>
      <c r="N844" s="131"/>
      <c r="O844" s="131"/>
      <c r="P844" s="131"/>
      <c r="Q844" s="131"/>
      <c r="R844" s="131"/>
      <c r="S844" s="131"/>
      <c r="T844" s="131"/>
      <c r="U844" s="132"/>
      <c r="V844" s="132"/>
    </row>
    <row r="845" ht="12.75" customHeight="1">
      <c r="A845" s="128"/>
      <c r="B845" s="128"/>
      <c r="C845" s="128"/>
      <c r="D845" s="129"/>
      <c r="E845" s="128"/>
      <c r="F845" s="130"/>
      <c r="G845" s="131"/>
      <c r="H845" s="131"/>
      <c r="I845" s="131"/>
      <c r="J845" s="131"/>
      <c r="K845" s="131"/>
      <c r="L845" s="131"/>
      <c r="M845" s="131"/>
      <c r="N845" s="131"/>
      <c r="O845" s="131"/>
      <c r="P845" s="131"/>
      <c r="Q845" s="131"/>
      <c r="R845" s="131"/>
      <c r="S845" s="131"/>
      <c r="T845" s="131"/>
      <c r="U845" s="132"/>
      <c r="V845" s="132"/>
    </row>
    <row r="846" ht="12.75" customHeight="1">
      <c r="A846" s="128"/>
      <c r="B846" s="128"/>
      <c r="C846" s="128"/>
      <c r="D846" s="129"/>
      <c r="E846" s="128"/>
      <c r="F846" s="130"/>
      <c r="G846" s="131"/>
      <c r="H846" s="131"/>
      <c r="I846" s="131"/>
      <c r="J846" s="131"/>
      <c r="K846" s="131"/>
      <c r="L846" s="131"/>
      <c r="M846" s="131"/>
      <c r="N846" s="131"/>
      <c r="O846" s="131"/>
      <c r="P846" s="131"/>
      <c r="Q846" s="131"/>
      <c r="R846" s="131"/>
      <c r="S846" s="131"/>
      <c r="T846" s="131"/>
      <c r="U846" s="132"/>
      <c r="V846" s="132"/>
    </row>
    <row r="847" ht="12.75" customHeight="1">
      <c r="A847" s="128"/>
      <c r="B847" s="128"/>
      <c r="C847" s="128"/>
      <c r="D847" s="129"/>
      <c r="E847" s="128"/>
      <c r="F847" s="130"/>
      <c r="G847" s="131"/>
      <c r="H847" s="131"/>
      <c r="I847" s="131"/>
      <c r="J847" s="131"/>
      <c r="K847" s="131"/>
      <c r="L847" s="131"/>
      <c r="M847" s="131"/>
      <c r="N847" s="131"/>
      <c r="O847" s="131"/>
      <c r="P847" s="131"/>
      <c r="Q847" s="131"/>
      <c r="R847" s="131"/>
      <c r="S847" s="131"/>
      <c r="T847" s="131"/>
      <c r="U847" s="132"/>
      <c r="V847" s="132"/>
    </row>
    <row r="848" ht="12.75" customHeight="1">
      <c r="A848" s="128"/>
      <c r="B848" s="128"/>
      <c r="C848" s="128"/>
      <c r="D848" s="129"/>
      <c r="E848" s="128"/>
      <c r="F848" s="130"/>
      <c r="G848" s="131"/>
      <c r="H848" s="131"/>
      <c r="I848" s="131"/>
      <c r="J848" s="131"/>
      <c r="K848" s="131"/>
      <c r="L848" s="131"/>
      <c r="M848" s="131"/>
      <c r="N848" s="131"/>
      <c r="O848" s="131"/>
      <c r="P848" s="131"/>
      <c r="Q848" s="131"/>
      <c r="R848" s="131"/>
      <c r="S848" s="131"/>
      <c r="T848" s="131"/>
      <c r="U848" s="132"/>
      <c r="V848" s="132"/>
    </row>
    <row r="849" ht="12.75" customHeight="1">
      <c r="A849" s="128"/>
      <c r="B849" s="128"/>
      <c r="C849" s="128"/>
      <c r="D849" s="129"/>
      <c r="E849" s="128"/>
      <c r="F849" s="130"/>
      <c r="G849" s="131"/>
      <c r="H849" s="131"/>
      <c r="I849" s="131"/>
      <c r="J849" s="131"/>
      <c r="K849" s="131"/>
      <c r="L849" s="131"/>
      <c r="M849" s="131"/>
      <c r="N849" s="131"/>
      <c r="O849" s="131"/>
      <c r="P849" s="131"/>
      <c r="Q849" s="131"/>
      <c r="R849" s="131"/>
      <c r="S849" s="131"/>
      <c r="T849" s="131"/>
      <c r="U849" s="132"/>
      <c r="V849" s="132"/>
    </row>
    <row r="850" ht="12.75" customHeight="1">
      <c r="A850" s="128"/>
      <c r="B850" s="128"/>
      <c r="C850" s="128"/>
      <c r="D850" s="129"/>
      <c r="E850" s="128"/>
      <c r="F850" s="130"/>
      <c r="G850" s="131"/>
      <c r="H850" s="131"/>
      <c r="I850" s="131"/>
      <c r="J850" s="131"/>
      <c r="K850" s="131"/>
      <c r="L850" s="131"/>
      <c r="M850" s="131"/>
      <c r="N850" s="131"/>
      <c r="O850" s="131"/>
      <c r="P850" s="131"/>
      <c r="Q850" s="131"/>
      <c r="R850" s="131"/>
      <c r="S850" s="131"/>
      <c r="T850" s="131"/>
      <c r="U850" s="132"/>
      <c r="V850" s="132"/>
    </row>
    <row r="851" ht="12.75" customHeight="1">
      <c r="A851" s="128"/>
      <c r="B851" s="128"/>
      <c r="C851" s="128"/>
      <c r="D851" s="129"/>
      <c r="E851" s="128"/>
      <c r="F851" s="130"/>
      <c r="G851" s="131"/>
      <c r="H851" s="131"/>
      <c r="I851" s="131"/>
      <c r="J851" s="131"/>
      <c r="K851" s="131"/>
      <c r="L851" s="131"/>
      <c r="M851" s="131"/>
      <c r="N851" s="131"/>
      <c r="O851" s="131"/>
      <c r="P851" s="131"/>
      <c r="Q851" s="131"/>
      <c r="R851" s="131"/>
      <c r="S851" s="131"/>
      <c r="T851" s="131"/>
      <c r="U851" s="132"/>
      <c r="V851" s="132"/>
    </row>
    <row r="852" ht="12.75" customHeight="1">
      <c r="A852" s="128"/>
      <c r="B852" s="128"/>
      <c r="C852" s="128"/>
      <c r="D852" s="129"/>
      <c r="E852" s="128"/>
      <c r="F852" s="130"/>
      <c r="G852" s="131"/>
      <c r="H852" s="131"/>
      <c r="I852" s="131"/>
      <c r="J852" s="131"/>
      <c r="K852" s="131"/>
      <c r="L852" s="131"/>
      <c r="M852" s="131"/>
      <c r="N852" s="131"/>
      <c r="O852" s="131"/>
      <c r="P852" s="131"/>
      <c r="Q852" s="131"/>
      <c r="R852" s="131"/>
      <c r="S852" s="131"/>
      <c r="T852" s="131"/>
      <c r="U852" s="132"/>
      <c r="V852" s="132"/>
    </row>
    <row r="853" ht="12.75" customHeight="1">
      <c r="A853" s="128"/>
      <c r="B853" s="128"/>
      <c r="C853" s="128"/>
      <c r="D853" s="129"/>
      <c r="E853" s="128"/>
      <c r="F853" s="130"/>
      <c r="G853" s="131"/>
      <c r="H853" s="131"/>
      <c r="I853" s="131"/>
      <c r="J853" s="131"/>
      <c r="K853" s="131"/>
      <c r="L853" s="131"/>
      <c r="M853" s="131"/>
      <c r="N853" s="131"/>
      <c r="O853" s="131"/>
      <c r="P853" s="131"/>
      <c r="Q853" s="131"/>
      <c r="R853" s="131"/>
      <c r="S853" s="131"/>
      <c r="T853" s="131"/>
      <c r="U853" s="132"/>
      <c r="V853" s="132"/>
    </row>
    <row r="854" ht="12.75" customHeight="1">
      <c r="A854" s="128"/>
      <c r="B854" s="128"/>
      <c r="C854" s="128"/>
      <c r="D854" s="129"/>
      <c r="E854" s="128"/>
      <c r="F854" s="130"/>
      <c r="G854" s="131"/>
      <c r="H854" s="131"/>
      <c r="I854" s="131"/>
      <c r="J854" s="131"/>
      <c r="K854" s="131"/>
      <c r="L854" s="131"/>
      <c r="M854" s="131"/>
      <c r="N854" s="131"/>
      <c r="O854" s="131"/>
      <c r="P854" s="131"/>
      <c r="Q854" s="131"/>
      <c r="R854" s="131"/>
      <c r="S854" s="131"/>
      <c r="T854" s="131"/>
      <c r="U854" s="132"/>
      <c r="V854" s="132"/>
    </row>
    <row r="855" ht="12.75" customHeight="1">
      <c r="A855" s="128"/>
      <c r="B855" s="128"/>
      <c r="C855" s="128"/>
      <c r="D855" s="129"/>
      <c r="E855" s="128"/>
      <c r="F855" s="130"/>
      <c r="G855" s="131"/>
      <c r="H855" s="131"/>
      <c r="I855" s="131"/>
      <c r="J855" s="131"/>
      <c r="K855" s="131"/>
      <c r="L855" s="131"/>
      <c r="M855" s="131"/>
      <c r="N855" s="131"/>
      <c r="O855" s="131"/>
      <c r="P855" s="131"/>
      <c r="Q855" s="131"/>
      <c r="R855" s="131"/>
      <c r="S855" s="131"/>
      <c r="T855" s="131"/>
      <c r="U855" s="132"/>
      <c r="V855" s="132"/>
    </row>
    <row r="856" ht="12.75" customHeight="1">
      <c r="A856" s="128"/>
      <c r="B856" s="128"/>
      <c r="C856" s="128"/>
      <c r="D856" s="129"/>
      <c r="E856" s="128"/>
      <c r="F856" s="130"/>
      <c r="G856" s="131"/>
      <c r="H856" s="131"/>
      <c r="I856" s="131"/>
      <c r="J856" s="131"/>
      <c r="K856" s="131"/>
      <c r="L856" s="131"/>
      <c r="M856" s="131"/>
      <c r="N856" s="131"/>
      <c r="O856" s="131"/>
      <c r="P856" s="131"/>
      <c r="Q856" s="131"/>
      <c r="R856" s="131"/>
      <c r="S856" s="131"/>
      <c r="T856" s="131"/>
      <c r="U856" s="132"/>
      <c r="V856" s="132"/>
    </row>
    <row r="857" ht="12.75" customHeight="1">
      <c r="A857" s="128"/>
      <c r="B857" s="128"/>
      <c r="C857" s="128"/>
      <c r="D857" s="129"/>
      <c r="E857" s="128"/>
      <c r="F857" s="130"/>
      <c r="G857" s="131"/>
      <c r="H857" s="131"/>
      <c r="I857" s="131"/>
      <c r="J857" s="131"/>
      <c r="K857" s="131"/>
      <c r="L857" s="131"/>
      <c r="M857" s="131"/>
      <c r="N857" s="131"/>
      <c r="O857" s="131"/>
      <c r="P857" s="131"/>
      <c r="Q857" s="131"/>
      <c r="R857" s="131"/>
      <c r="S857" s="131"/>
      <c r="T857" s="131"/>
      <c r="U857" s="132"/>
      <c r="V857" s="132"/>
    </row>
    <row r="858" ht="12.75" customHeight="1">
      <c r="A858" s="128"/>
      <c r="B858" s="128"/>
      <c r="C858" s="128"/>
      <c r="D858" s="129"/>
      <c r="E858" s="128"/>
      <c r="F858" s="130"/>
      <c r="G858" s="131"/>
      <c r="H858" s="131"/>
      <c r="I858" s="131"/>
      <c r="J858" s="131"/>
      <c r="K858" s="131"/>
      <c r="L858" s="131"/>
      <c r="M858" s="131"/>
      <c r="N858" s="131"/>
      <c r="O858" s="131"/>
      <c r="P858" s="131"/>
      <c r="Q858" s="131"/>
      <c r="R858" s="131"/>
      <c r="S858" s="131"/>
      <c r="T858" s="131"/>
      <c r="U858" s="132"/>
      <c r="V858" s="132"/>
    </row>
    <row r="859" ht="12.75" customHeight="1">
      <c r="A859" s="128"/>
      <c r="B859" s="128"/>
      <c r="C859" s="128"/>
      <c r="D859" s="129"/>
      <c r="E859" s="128"/>
      <c r="F859" s="130"/>
      <c r="G859" s="131"/>
      <c r="H859" s="131"/>
      <c r="I859" s="131"/>
      <c r="J859" s="131"/>
      <c r="K859" s="131"/>
      <c r="L859" s="131"/>
      <c r="M859" s="131"/>
      <c r="N859" s="131"/>
      <c r="O859" s="131"/>
      <c r="P859" s="131"/>
      <c r="Q859" s="131"/>
      <c r="R859" s="131"/>
      <c r="S859" s="131"/>
      <c r="T859" s="131"/>
      <c r="U859" s="132"/>
      <c r="V859" s="132"/>
    </row>
    <row r="860" ht="12.75" customHeight="1">
      <c r="A860" s="128"/>
      <c r="B860" s="128"/>
      <c r="C860" s="128"/>
      <c r="D860" s="129"/>
      <c r="E860" s="128"/>
      <c r="F860" s="130"/>
      <c r="G860" s="131"/>
      <c r="H860" s="131"/>
      <c r="I860" s="131"/>
      <c r="J860" s="131"/>
      <c r="K860" s="131"/>
      <c r="L860" s="131"/>
      <c r="M860" s="131"/>
      <c r="N860" s="131"/>
      <c r="O860" s="131"/>
      <c r="P860" s="131"/>
      <c r="Q860" s="131"/>
      <c r="R860" s="131"/>
      <c r="S860" s="131"/>
      <c r="T860" s="131"/>
      <c r="U860" s="132"/>
      <c r="V860" s="132"/>
    </row>
    <row r="861" ht="12.75" customHeight="1">
      <c r="A861" s="128"/>
      <c r="B861" s="128"/>
      <c r="C861" s="128"/>
      <c r="D861" s="129"/>
      <c r="E861" s="128"/>
      <c r="F861" s="130"/>
      <c r="G861" s="131"/>
      <c r="H861" s="131"/>
      <c r="I861" s="131"/>
      <c r="J861" s="131"/>
      <c r="K861" s="131"/>
      <c r="L861" s="131"/>
      <c r="M861" s="131"/>
      <c r="N861" s="131"/>
      <c r="O861" s="131"/>
      <c r="P861" s="131"/>
      <c r="Q861" s="131"/>
      <c r="R861" s="131"/>
      <c r="S861" s="131"/>
      <c r="T861" s="131"/>
      <c r="U861" s="132"/>
      <c r="V861" s="132"/>
    </row>
    <row r="862" ht="12.75" customHeight="1">
      <c r="A862" s="128"/>
      <c r="B862" s="128"/>
      <c r="C862" s="128"/>
      <c r="D862" s="129"/>
      <c r="E862" s="128"/>
      <c r="F862" s="130"/>
      <c r="G862" s="131"/>
      <c r="H862" s="131"/>
      <c r="I862" s="131"/>
      <c r="J862" s="131"/>
      <c r="K862" s="131"/>
      <c r="L862" s="131"/>
      <c r="M862" s="131"/>
      <c r="N862" s="131"/>
      <c r="O862" s="131"/>
      <c r="P862" s="131"/>
      <c r="Q862" s="131"/>
      <c r="R862" s="131"/>
      <c r="S862" s="131"/>
      <c r="T862" s="131"/>
      <c r="U862" s="132"/>
      <c r="V862" s="132"/>
    </row>
    <row r="863" ht="12.75" customHeight="1">
      <c r="A863" s="128"/>
      <c r="B863" s="128"/>
      <c r="C863" s="128"/>
      <c r="D863" s="129"/>
      <c r="E863" s="128"/>
      <c r="F863" s="130"/>
      <c r="G863" s="131"/>
      <c r="H863" s="131"/>
      <c r="I863" s="131"/>
      <c r="J863" s="131"/>
      <c r="K863" s="131"/>
      <c r="L863" s="131"/>
      <c r="M863" s="131"/>
      <c r="N863" s="131"/>
      <c r="O863" s="131"/>
      <c r="P863" s="131"/>
      <c r="Q863" s="131"/>
      <c r="R863" s="131"/>
      <c r="S863" s="131"/>
      <c r="T863" s="131"/>
      <c r="U863" s="132"/>
      <c r="V863" s="132"/>
    </row>
    <row r="864" ht="12.75" customHeight="1">
      <c r="A864" s="128"/>
      <c r="B864" s="128"/>
      <c r="C864" s="128"/>
      <c r="D864" s="129"/>
      <c r="E864" s="128"/>
      <c r="F864" s="130"/>
      <c r="G864" s="131"/>
      <c r="H864" s="131"/>
      <c r="I864" s="131"/>
      <c r="J864" s="131"/>
      <c r="K864" s="131"/>
      <c r="L864" s="131"/>
      <c r="M864" s="131"/>
      <c r="N864" s="131"/>
      <c r="O864" s="131"/>
      <c r="P864" s="131"/>
      <c r="Q864" s="131"/>
      <c r="R864" s="131"/>
      <c r="S864" s="131"/>
      <c r="T864" s="131"/>
      <c r="U864" s="132"/>
      <c r="V864" s="132"/>
    </row>
    <row r="865" ht="12.75" customHeight="1">
      <c r="A865" s="128"/>
      <c r="B865" s="128"/>
      <c r="C865" s="128"/>
      <c r="D865" s="129"/>
      <c r="E865" s="128"/>
      <c r="F865" s="130"/>
      <c r="G865" s="131"/>
      <c r="H865" s="131"/>
      <c r="I865" s="131"/>
      <c r="J865" s="131"/>
      <c r="K865" s="131"/>
      <c r="L865" s="131"/>
      <c r="M865" s="131"/>
      <c r="N865" s="131"/>
      <c r="O865" s="131"/>
      <c r="P865" s="131"/>
      <c r="Q865" s="131"/>
      <c r="R865" s="131"/>
      <c r="S865" s="131"/>
      <c r="T865" s="131"/>
      <c r="U865" s="132"/>
      <c r="V865" s="132"/>
    </row>
    <row r="866" ht="12.75" customHeight="1">
      <c r="A866" s="128"/>
      <c r="B866" s="128"/>
      <c r="C866" s="128"/>
      <c r="D866" s="129"/>
      <c r="E866" s="128"/>
      <c r="F866" s="130"/>
      <c r="G866" s="131"/>
      <c r="H866" s="131"/>
      <c r="I866" s="131"/>
      <c r="J866" s="131"/>
      <c r="K866" s="131"/>
      <c r="L866" s="131"/>
      <c r="M866" s="131"/>
      <c r="N866" s="131"/>
      <c r="O866" s="131"/>
      <c r="P866" s="131"/>
      <c r="Q866" s="131"/>
      <c r="R866" s="131"/>
      <c r="S866" s="131"/>
      <c r="T866" s="131"/>
      <c r="U866" s="132"/>
      <c r="V866" s="132"/>
    </row>
    <row r="867" ht="12.75" customHeight="1">
      <c r="A867" s="128"/>
      <c r="B867" s="128"/>
      <c r="C867" s="128"/>
      <c r="D867" s="129"/>
      <c r="E867" s="128"/>
      <c r="F867" s="130"/>
      <c r="G867" s="131"/>
      <c r="H867" s="131"/>
      <c r="I867" s="131"/>
      <c r="J867" s="131"/>
      <c r="K867" s="131"/>
      <c r="L867" s="131"/>
      <c r="M867" s="131"/>
      <c r="N867" s="131"/>
      <c r="O867" s="131"/>
      <c r="P867" s="131"/>
      <c r="Q867" s="131"/>
      <c r="R867" s="131"/>
      <c r="S867" s="131"/>
      <c r="T867" s="131"/>
      <c r="U867" s="132"/>
      <c r="V867" s="132"/>
    </row>
    <row r="868" ht="12.75" customHeight="1">
      <c r="A868" s="128"/>
      <c r="B868" s="128"/>
      <c r="C868" s="128"/>
      <c r="D868" s="129"/>
      <c r="E868" s="128"/>
      <c r="F868" s="130"/>
      <c r="G868" s="131"/>
      <c r="H868" s="131"/>
      <c r="I868" s="131"/>
      <c r="J868" s="131"/>
      <c r="K868" s="131"/>
      <c r="L868" s="131"/>
      <c r="M868" s="131"/>
      <c r="N868" s="131"/>
      <c r="O868" s="131"/>
      <c r="P868" s="131"/>
      <c r="Q868" s="131"/>
      <c r="R868" s="131"/>
      <c r="S868" s="131"/>
      <c r="T868" s="131"/>
      <c r="U868" s="132"/>
      <c r="V868" s="132"/>
    </row>
    <row r="869" ht="12.75" customHeight="1">
      <c r="A869" s="128"/>
      <c r="B869" s="128"/>
      <c r="C869" s="128"/>
      <c r="D869" s="129"/>
      <c r="E869" s="128"/>
      <c r="F869" s="130"/>
      <c r="G869" s="131"/>
      <c r="H869" s="131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32"/>
      <c r="V869" s="132"/>
    </row>
    <row r="870" ht="12.75" customHeight="1">
      <c r="A870" s="128"/>
      <c r="B870" s="128"/>
      <c r="C870" s="128"/>
      <c r="D870" s="129"/>
      <c r="E870" s="128"/>
      <c r="F870" s="130"/>
      <c r="G870" s="131"/>
      <c r="H870" s="131"/>
      <c r="I870" s="131"/>
      <c r="J870" s="131"/>
      <c r="K870" s="131"/>
      <c r="L870" s="131"/>
      <c r="M870" s="131"/>
      <c r="N870" s="131"/>
      <c r="O870" s="131"/>
      <c r="P870" s="131"/>
      <c r="Q870" s="131"/>
      <c r="R870" s="131"/>
      <c r="S870" s="131"/>
      <c r="T870" s="131"/>
      <c r="U870" s="132"/>
      <c r="V870" s="132"/>
    </row>
    <row r="871" ht="12.75" customHeight="1">
      <c r="A871" s="128"/>
      <c r="B871" s="128"/>
      <c r="C871" s="128"/>
      <c r="D871" s="129"/>
      <c r="E871" s="128"/>
      <c r="F871" s="130"/>
      <c r="G871" s="131"/>
      <c r="H871" s="131"/>
      <c r="I871" s="131"/>
      <c r="J871" s="131"/>
      <c r="K871" s="131"/>
      <c r="L871" s="131"/>
      <c r="M871" s="131"/>
      <c r="N871" s="131"/>
      <c r="O871" s="131"/>
      <c r="P871" s="131"/>
      <c r="Q871" s="131"/>
      <c r="R871" s="131"/>
      <c r="S871" s="131"/>
      <c r="T871" s="131"/>
      <c r="U871" s="132"/>
      <c r="V871" s="132"/>
    </row>
    <row r="872" ht="12.75" customHeight="1">
      <c r="A872" s="128"/>
      <c r="B872" s="128"/>
      <c r="C872" s="128"/>
      <c r="D872" s="129"/>
      <c r="E872" s="128"/>
      <c r="F872" s="130"/>
      <c r="G872" s="131"/>
      <c r="H872" s="131"/>
      <c r="I872" s="131"/>
      <c r="J872" s="131"/>
      <c r="K872" s="131"/>
      <c r="L872" s="131"/>
      <c r="M872" s="131"/>
      <c r="N872" s="131"/>
      <c r="O872" s="131"/>
      <c r="P872" s="131"/>
      <c r="Q872" s="131"/>
      <c r="R872" s="131"/>
      <c r="S872" s="131"/>
      <c r="T872" s="131"/>
      <c r="U872" s="132"/>
      <c r="V872" s="132"/>
    </row>
    <row r="873" ht="12.75" customHeight="1">
      <c r="A873" s="128"/>
      <c r="B873" s="128"/>
      <c r="C873" s="128"/>
      <c r="D873" s="129"/>
      <c r="E873" s="128"/>
      <c r="F873" s="130"/>
      <c r="G873" s="131"/>
      <c r="H873" s="131"/>
      <c r="I873" s="131"/>
      <c r="J873" s="131"/>
      <c r="K873" s="131"/>
      <c r="L873" s="131"/>
      <c r="M873" s="131"/>
      <c r="N873" s="131"/>
      <c r="O873" s="131"/>
      <c r="P873" s="131"/>
      <c r="Q873" s="131"/>
      <c r="R873" s="131"/>
      <c r="S873" s="131"/>
      <c r="T873" s="131"/>
      <c r="U873" s="132"/>
      <c r="V873" s="132"/>
    </row>
    <row r="874" ht="12.75" customHeight="1">
      <c r="A874" s="128"/>
      <c r="B874" s="128"/>
      <c r="C874" s="128"/>
      <c r="D874" s="129"/>
      <c r="E874" s="128"/>
      <c r="F874" s="130"/>
      <c r="G874" s="131"/>
      <c r="H874" s="131"/>
      <c r="I874" s="131"/>
      <c r="J874" s="131"/>
      <c r="K874" s="131"/>
      <c r="L874" s="131"/>
      <c r="M874" s="131"/>
      <c r="N874" s="131"/>
      <c r="O874" s="131"/>
      <c r="P874" s="131"/>
      <c r="Q874" s="131"/>
      <c r="R874" s="131"/>
      <c r="S874" s="131"/>
      <c r="T874" s="131"/>
      <c r="U874" s="132"/>
      <c r="V874" s="132"/>
    </row>
    <row r="875" ht="12.75" customHeight="1">
      <c r="A875" s="128"/>
      <c r="B875" s="128"/>
      <c r="C875" s="128"/>
      <c r="D875" s="129"/>
      <c r="E875" s="128"/>
      <c r="F875" s="130"/>
      <c r="G875" s="131"/>
      <c r="H875" s="131"/>
      <c r="I875" s="131"/>
      <c r="J875" s="131"/>
      <c r="K875" s="131"/>
      <c r="L875" s="131"/>
      <c r="M875" s="131"/>
      <c r="N875" s="131"/>
      <c r="O875" s="131"/>
      <c r="P875" s="131"/>
      <c r="Q875" s="131"/>
      <c r="R875" s="131"/>
      <c r="S875" s="131"/>
      <c r="T875" s="131"/>
      <c r="U875" s="132"/>
      <c r="V875" s="132"/>
    </row>
    <row r="876" ht="12.75" customHeight="1">
      <c r="A876" s="128"/>
      <c r="B876" s="128"/>
      <c r="C876" s="128"/>
      <c r="D876" s="129"/>
      <c r="E876" s="128"/>
      <c r="F876" s="130"/>
      <c r="G876" s="131"/>
      <c r="H876" s="131"/>
      <c r="I876" s="131"/>
      <c r="J876" s="131"/>
      <c r="K876" s="131"/>
      <c r="L876" s="131"/>
      <c r="M876" s="131"/>
      <c r="N876" s="131"/>
      <c r="O876" s="131"/>
      <c r="P876" s="131"/>
      <c r="Q876" s="131"/>
      <c r="R876" s="131"/>
      <c r="S876" s="131"/>
      <c r="T876" s="131"/>
      <c r="U876" s="132"/>
      <c r="V876" s="132"/>
    </row>
    <row r="877" ht="12.75" customHeight="1">
      <c r="A877" s="128"/>
      <c r="B877" s="128"/>
      <c r="C877" s="128"/>
      <c r="D877" s="129"/>
      <c r="E877" s="128"/>
      <c r="F877" s="130"/>
      <c r="G877" s="131"/>
      <c r="H877" s="131"/>
      <c r="I877" s="131"/>
      <c r="J877" s="131"/>
      <c r="K877" s="131"/>
      <c r="L877" s="131"/>
      <c r="M877" s="131"/>
      <c r="N877" s="131"/>
      <c r="O877" s="131"/>
      <c r="P877" s="131"/>
      <c r="Q877" s="131"/>
      <c r="R877" s="131"/>
      <c r="S877" s="131"/>
      <c r="T877" s="131"/>
      <c r="U877" s="132"/>
      <c r="V877" s="132"/>
    </row>
    <row r="878" ht="12.75" customHeight="1">
      <c r="A878" s="128"/>
      <c r="B878" s="128"/>
      <c r="C878" s="128"/>
      <c r="D878" s="129"/>
      <c r="E878" s="128"/>
      <c r="F878" s="130"/>
      <c r="G878" s="131"/>
      <c r="H878" s="131"/>
      <c r="I878" s="131"/>
      <c r="J878" s="131"/>
      <c r="K878" s="131"/>
      <c r="L878" s="131"/>
      <c r="M878" s="131"/>
      <c r="N878" s="131"/>
      <c r="O878" s="131"/>
      <c r="P878" s="131"/>
      <c r="Q878" s="131"/>
      <c r="R878" s="131"/>
      <c r="S878" s="131"/>
      <c r="T878" s="131"/>
      <c r="U878" s="132"/>
      <c r="V878" s="132"/>
    </row>
    <row r="879" ht="12.75" customHeight="1">
      <c r="A879" s="128"/>
      <c r="B879" s="128"/>
      <c r="C879" s="128"/>
      <c r="D879" s="129"/>
      <c r="E879" s="128"/>
      <c r="F879" s="130"/>
      <c r="G879" s="131"/>
      <c r="H879" s="131"/>
      <c r="I879" s="131"/>
      <c r="J879" s="131"/>
      <c r="K879" s="131"/>
      <c r="L879" s="131"/>
      <c r="M879" s="131"/>
      <c r="N879" s="131"/>
      <c r="O879" s="131"/>
      <c r="P879" s="131"/>
      <c r="Q879" s="131"/>
      <c r="R879" s="131"/>
      <c r="S879" s="131"/>
      <c r="T879" s="131"/>
      <c r="U879" s="132"/>
      <c r="V879" s="132"/>
    </row>
    <row r="880" ht="12.75" customHeight="1">
      <c r="A880" s="128"/>
      <c r="B880" s="128"/>
      <c r="C880" s="128"/>
      <c r="D880" s="129"/>
      <c r="E880" s="128"/>
      <c r="F880" s="130"/>
      <c r="G880" s="131"/>
      <c r="H880" s="131"/>
      <c r="I880" s="131"/>
      <c r="J880" s="131"/>
      <c r="K880" s="131"/>
      <c r="L880" s="131"/>
      <c r="M880" s="131"/>
      <c r="N880" s="131"/>
      <c r="O880" s="131"/>
      <c r="P880" s="131"/>
      <c r="Q880" s="131"/>
      <c r="R880" s="131"/>
      <c r="S880" s="131"/>
      <c r="T880" s="131"/>
      <c r="U880" s="132"/>
      <c r="V880" s="132"/>
    </row>
    <row r="881" ht="12.75" customHeight="1">
      <c r="A881" s="128"/>
      <c r="B881" s="128"/>
      <c r="C881" s="128"/>
      <c r="D881" s="129"/>
      <c r="E881" s="128"/>
      <c r="F881" s="130"/>
      <c r="G881" s="131"/>
      <c r="H881" s="131"/>
      <c r="I881" s="131"/>
      <c r="J881" s="131"/>
      <c r="K881" s="131"/>
      <c r="L881" s="131"/>
      <c r="M881" s="131"/>
      <c r="N881" s="131"/>
      <c r="O881" s="131"/>
      <c r="P881" s="131"/>
      <c r="Q881" s="131"/>
      <c r="R881" s="131"/>
      <c r="S881" s="131"/>
      <c r="T881" s="131"/>
      <c r="U881" s="132"/>
      <c r="V881" s="132"/>
    </row>
    <row r="882" ht="12.75" customHeight="1">
      <c r="A882" s="128"/>
      <c r="B882" s="128"/>
      <c r="C882" s="128"/>
      <c r="D882" s="129"/>
      <c r="E882" s="128"/>
      <c r="F882" s="130"/>
      <c r="G882" s="131"/>
      <c r="H882" s="131"/>
      <c r="I882" s="131"/>
      <c r="J882" s="131"/>
      <c r="K882" s="131"/>
      <c r="L882" s="131"/>
      <c r="M882" s="131"/>
      <c r="N882" s="131"/>
      <c r="O882" s="131"/>
      <c r="P882" s="131"/>
      <c r="Q882" s="131"/>
      <c r="R882" s="131"/>
      <c r="S882" s="131"/>
      <c r="T882" s="131"/>
      <c r="U882" s="132"/>
      <c r="V882" s="132"/>
    </row>
    <row r="883" ht="12.75" customHeight="1">
      <c r="A883" s="128"/>
      <c r="B883" s="128"/>
      <c r="C883" s="128"/>
      <c r="D883" s="129"/>
      <c r="E883" s="128"/>
      <c r="F883" s="130"/>
      <c r="G883" s="131"/>
      <c r="H883" s="131"/>
      <c r="I883" s="131"/>
      <c r="J883" s="131"/>
      <c r="K883" s="131"/>
      <c r="L883" s="131"/>
      <c r="M883" s="131"/>
      <c r="N883" s="131"/>
      <c r="O883" s="131"/>
      <c r="P883" s="131"/>
      <c r="Q883" s="131"/>
      <c r="R883" s="131"/>
      <c r="S883" s="131"/>
      <c r="T883" s="131"/>
      <c r="U883" s="132"/>
      <c r="V883" s="132"/>
    </row>
    <row r="884" ht="12.75" customHeight="1">
      <c r="A884" s="128"/>
      <c r="B884" s="128"/>
      <c r="C884" s="128"/>
      <c r="D884" s="129"/>
      <c r="E884" s="128"/>
      <c r="F884" s="130"/>
      <c r="G884" s="131"/>
      <c r="H884" s="131"/>
      <c r="I884" s="131"/>
      <c r="J884" s="131"/>
      <c r="K884" s="131"/>
      <c r="L884" s="131"/>
      <c r="M884" s="131"/>
      <c r="N884" s="131"/>
      <c r="O884" s="131"/>
      <c r="P884" s="131"/>
      <c r="Q884" s="131"/>
      <c r="R884" s="131"/>
      <c r="S884" s="131"/>
      <c r="T884" s="131"/>
      <c r="U884" s="132"/>
      <c r="V884" s="132"/>
    </row>
    <row r="885" ht="12.75" customHeight="1">
      <c r="A885" s="128"/>
      <c r="B885" s="128"/>
      <c r="C885" s="128"/>
      <c r="D885" s="129"/>
      <c r="E885" s="128"/>
      <c r="F885" s="130"/>
      <c r="G885" s="131"/>
      <c r="H885" s="131"/>
      <c r="I885" s="131"/>
      <c r="J885" s="131"/>
      <c r="K885" s="131"/>
      <c r="L885" s="131"/>
      <c r="M885" s="131"/>
      <c r="N885" s="131"/>
      <c r="O885" s="131"/>
      <c r="P885" s="131"/>
      <c r="Q885" s="131"/>
      <c r="R885" s="131"/>
      <c r="S885" s="131"/>
      <c r="T885" s="131"/>
      <c r="U885" s="132"/>
      <c r="V885" s="132"/>
    </row>
    <row r="886" ht="12.75" customHeight="1">
      <c r="A886" s="128"/>
      <c r="B886" s="128"/>
      <c r="C886" s="128"/>
      <c r="D886" s="129"/>
      <c r="E886" s="128"/>
      <c r="F886" s="130"/>
      <c r="G886" s="131"/>
      <c r="H886" s="131"/>
      <c r="I886" s="131"/>
      <c r="J886" s="131"/>
      <c r="K886" s="131"/>
      <c r="L886" s="131"/>
      <c r="M886" s="131"/>
      <c r="N886" s="131"/>
      <c r="O886" s="131"/>
      <c r="P886" s="131"/>
      <c r="Q886" s="131"/>
      <c r="R886" s="131"/>
      <c r="S886" s="131"/>
      <c r="T886" s="131"/>
      <c r="U886" s="132"/>
      <c r="V886" s="132"/>
    </row>
    <row r="887" ht="12.75" customHeight="1">
      <c r="A887" s="128"/>
      <c r="B887" s="128"/>
      <c r="C887" s="128"/>
      <c r="D887" s="129"/>
      <c r="E887" s="128"/>
      <c r="F887" s="130"/>
      <c r="G887" s="131"/>
      <c r="H887" s="131"/>
      <c r="I887" s="131"/>
      <c r="J887" s="131"/>
      <c r="K887" s="131"/>
      <c r="L887" s="131"/>
      <c r="M887" s="131"/>
      <c r="N887" s="131"/>
      <c r="O887" s="131"/>
      <c r="P887" s="131"/>
      <c r="Q887" s="131"/>
      <c r="R887" s="131"/>
      <c r="S887" s="131"/>
      <c r="T887" s="131"/>
      <c r="U887" s="132"/>
      <c r="V887" s="132"/>
    </row>
    <row r="888" ht="12.75" customHeight="1">
      <c r="A888" s="128"/>
      <c r="B888" s="128"/>
      <c r="C888" s="128"/>
      <c r="D888" s="129"/>
      <c r="E888" s="128"/>
      <c r="F888" s="130"/>
      <c r="G888" s="131"/>
      <c r="H888" s="131"/>
      <c r="I888" s="131"/>
      <c r="J888" s="131"/>
      <c r="K888" s="131"/>
      <c r="L888" s="131"/>
      <c r="M888" s="131"/>
      <c r="N888" s="131"/>
      <c r="O888" s="131"/>
      <c r="P888" s="131"/>
      <c r="Q888" s="131"/>
      <c r="R888" s="131"/>
      <c r="S888" s="131"/>
      <c r="T888" s="131"/>
      <c r="U888" s="132"/>
      <c r="V888" s="132"/>
    </row>
    <row r="889" ht="12.75" customHeight="1">
      <c r="A889" s="128"/>
      <c r="B889" s="128"/>
      <c r="C889" s="128"/>
      <c r="D889" s="129"/>
      <c r="E889" s="128"/>
      <c r="F889" s="130"/>
      <c r="G889" s="131"/>
      <c r="H889" s="131"/>
      <c r="I889" s="131"/>
      <c r="J889" s="131"/>
      <c r="K889" s="131"/>
      <c r="L889" s="131"/>
      <c r="M889" s="131"/>
      <c r="N889" s="131"/>
      <c r="O889" s="131"/>
      <c r="P889" s="131"/>
      <c r="Q889" s="131"/>
      <c r="R889" s="131"/>
      <c r="S889" s="131"/>
      <c r="T889" s="131"/>
      <c r="U889" s="132"/>
      <c r="V889" s="132"/>
    </row>
    <row r="890" ht="12.75" customHeight="1">
      <c r="A890" s="128"/>
      <c r="B890" s="128"/>
      <c r="C890" s="128"/>
      <c r="D890" s="129"/>
      <c r="E890" s="128"/>
      <c r="F890" s="130"/>
      <c r="G890" s="131"/>
      <c r="H890" s="131"/>
      <c r="I890" s="131"/>
      <c r="J890" s="131"/>
      <c r="K890" s="131"/>
      <c r="L890" s="131"/>
      <c r="M890" s="131"/>
      <c r="N890" s="131"/>
      <c r="O890" s="131"/>
      <c r="P890" s="131"/>
      <c r="Q890" s="131"/>
      <c r="R890" s="131"/>
      <c r="S890" s="131"/>
      <c r="T890" s="131"/>
      <c r="U890" s="132"/>
      <c r="V890" s="132"/>
    </row>
    <row r="891" ht="12.75" customHeight="1">
      <c r="A891" s="128"/>
      <c r="B891" s="128"/>
      <c r="C891" s="128"/>
      <c r="D891" s="129"/>
      <c r="E891" s="128"/>
      <c r="F891" s="130"/>
      <c r="G891" s="131"/>
      <c r="H891" s="131"/>
      <c r="I891" s="131"/>
      <c r="J891" s="131"/>
      <c r="K891" s="131"/>
      <c r="L891" s="131"/>
      <c r="M891" s="131"/>
      <c r="N891" s="131"/>
      <c r="O891" s="131"/>
      <c r="P891" s="131"/>
      <c r="Q891" s="131"/>
      <c r="R891" s="131"/>
      <c r="S891" s="131"/>
      <c r="T891" s="131"/>
      <c r="U891" s="132"/>
      <c r="V891" s="132"/>
    </row>
    <row r="892" ht="12.75" customHeight="1">
      <c r="A892" s="128"/>
      <c r="B892" s="128"/>
      <c r="C892" s="128"/>
      <c r="D892" s="129"/>
      <c r="E892" s="128"/>
      <c r="F892" s="130"/>
      <c r="G892" s="131"/>
      <c r="H892" s="131"/>
      <c r="I892" s="131"/>
      <c r="J892" s="131"/>
      <c r="K892" s="131"/>
      <c r="L892" s="131"/>
      <c r="M892" s="131"/>
      <c r="N892" s="131"/>
      <c r="O892" s="131"/>
      <c r="P892" s="131"/>
      <c r="Q892" s="131"/>
      <c r="R892" s="131"/>
      <c r="S892" s="131"/>
      <c r="T892" s="131"/>
      <c r="U892" s="132"/>
      <c r="V892" s="132"/>
    </row>
    <row r="893" ht="12.75" customHeight="1">
      <c r="A893" s="128"/>
      <c r="B893" s="128"/>
      <c r="C893" s="128"/>
      <c r="D893" s="129"/>
      <c r="E893" s="128"/>
      <c r="F893" s="130"/>
      <c r="G893" s="131"/>
      <c r="H893" s="131"/>
      <c r="I893" s="131"/>
      <c r="J893" s="131"/>
      <c r="K893" s="131"/>
      <c r="L893" s="131"/>
      <c r="M893" s="131"/>
      <c r="N893" s="131"/>
      <c r="O893" s="131"/>
      <c r="P893" s="131"/>
      <c r="Q893" s="131"/>
      <c r="R893" s="131"/>
      <c r="S893" s="131"/>
      <c r="T893" s="131"/>
      <c r="U893" s="132"/>
      <c r="V893" s="132"/>
    </row>
    <row r="894" ht="12.75" customHeight="1">
      <c r="A894" s="128"/>
      <c r="B894" s="128"/>
      <c r="C894" s="128"/>
      <c r="D894" s="129"/>
      <c r="E894" s="128"/>
      <c r="F894" s="130"/>
      <c r="G894" s="131"/>
      <c r="H894" s="131"/>
      <c r="I894" s="131"/>
      <c r="J894" s="131"/>
      <c r="K894" s="131"/>
      <c r="L894" s="131"/>
      <c r="M894" s="131"/>
      <c r="N894" s="131"/>
      <c r="O894" s="131"/>
      <c r="P894" s="131"/>
      <c r="Q894" s="131"/>
      <c r="R894" s="131"/>
      <c r="S894" s="131"/>
      <c r="T894" s="131"/>
      <c r="U894" s="132"/>
      <c r="V894" s="132"/>
    </row>
    <row r="895" ht="12.75" customHeight="1">
      <c r="A895" s="128"/>
      <c r="B895" s="128"/>
      <c r="C895" s="128"/>
      <c r="D895" s="129"/>
      <c r="E895" s="128"/>
      <c r="F895" s="130"/>
      <c r="G895" s="131"/>
      <c r="H895" s="131"/>
      <c r="I895" s="131"/>
      <c r="J895" s="131"/>
      <c r="K895" s="131"/>
      <c r="L895" s="131"/>
      <c r="M895" s="131"/>
      <c r="N895" s="131"/>
      <c r="O895" s="131"/>
      <c r="P895" s="131"/>
      <c r="Q895" s="131"/>
      <c r="R895" s="131"/>
      <c r="S895" s="131"/>
      <c r="T895" s="131"/>
      <c r="U895" s="132"/>
      <c r="V895" s="132"/>
    </row>
    <row r="896" ht="12.75" customHeight="1">
      <c r="A896" s="128"/>
      <c r="B896" s="128"/>
      <c r="C896" s="128"/>
      <c r="D896" s="129"/>
      <c r="E896" s="128"/>
      <c r="F896" s="130"/>
      <c r="G896" s="131"/>
      <c r="H896" s="131"/>
      <c r="I896" s="131"/>
      <c r="J896" s="131"/>
      <c r="K896" s="131"/>
      <c r="L896" s="131"/>
      <c r="M896" s="131"/>
      <c r="N896" s="131"/>
      <c r="O896" s="131"/>
      <c r="P896" s="131"/>
      <c r="Q896" s="131"/>
      <c r="R896" s="131"/>
      <c r="S896" s="131"/>
      <c r="T896" s="131"/>
      <c r="U896" s="132"/>
      <c r="V896" s="132"/>
    </row>
    <row r="897" ht="12.75" customHeight="1">
      <c r="A897" s="128"/>
      <c r="B897" s="128"/>
      <c r="C897" s="128"/>
      <c r="D897" s="129"/>
      <c r="E897" s="128"/>
      <c r="F897" s="130"/>
      <c r="G897" s="131"/>
      <c r="H897" s="131"/>
      <c r="I897" s="131"/>
      <c r="J897" s="131"/>
      <c r="K897" s="131"/>
      <c r="L897" s="131"/>
      <c r="M897" s="131"/>
      <c r="N897" s="131"/>
      <c r="O897" s="131"/>
      <c r="P897" s="131"/>
      <c r="Q897" s="131"/>
      <c r="R897" s="131"/>
      <c r="S897" s="131"/>
      <c r="T897" s="131"/>
      <c r="U897" s="132"/>
      <c r="V897" s="132"/>
    </row>
    <row r="898" ht="12.75" customHeight="1">
      <c r="A898" s="128"/>
      <c r="B898" s="128"/>
      <c r="C898" s="128"/>
      <c r="D898" s="129"/>
      <c r="E898" s="128"/>
      <c r="F898" s="130"/>
      <c r="G898" s="131"/>
      <c r="H898" s="131"/>
      <c r="I898" s="131"/>
      <c r="J898" s="131"/>
      <c r="K898" s="131"/>
      <c r="L898" s="131"/>
      <c r="M898" s="131"/>
      <c r="N898" s="131"/>
      <c r="O898" s="131"/>
      <c r="P898" s="131"/>
      <c r="Q898" s="131"/>
      <c r="R898" s="131"/>
      <c r="S898" s="131"/>
      <c r="T898" s="131"/>
      <c r="U898" s="132"/>
      <c r="V898" s="132"/>
    </row>
    <row r="899" ht="12.75" customHeight="1">
      <c r="A899" s="128"/>
      <c r="B899" s="128"/>
      <c r="C899" s="128"/>
      <c r="D899" s="129"/>
      <c r="E899" s="128"/>
      <c r="F899" s="130"/>
      <c r="G899" s="131"/>
      <c r="H899" s="131"/>
      <c r="I899" s="131"/>
      <c r="J899" s="131"/>
      <c r="K899" s="131"/>
      <c r="L899" s="131"/>
      <c r="M899" s="131"/>
      <c r="N899" s="131"/>
      <c r="O899" s="131"/>
      <c r="P899" s="131"/>
      <c r="Q899" s="131"/>
      <c r="R899" s="131"/>
      <c r="S899" s="131"/>
      <c r="T899" s="131"/>
      <c r="U899" s="132"/>
      <c r="V899" s="132"/>
    </row>
    <row r="900" ht="12.75" customHeight="1">
      <c r="A900" s="128"/>
      <c r="B900" s="128"/>
      <c r="C900" s="128"/>
      <c r="D900" s="129"/>
      <c r="E900" s="128"/>
      <c r="F900" s="130"/>
      <c r="G900" s="131"/>
      <c r="H900" s="131"/>
      <c r="I900" s="131"/>
      <c r="J900" s="131"/>
      <c r="K900" s="131"/>
      <c r="L900" s="131"/>
      <c r="M900" s="131"/>
      <c r="N900" s="131"/>
      <c r="O900" s="131"/>
      <c r="P900" s="131"/>
      <c r="Q900" s="131"/>
      <c r="R900" s="131"/>
      <c r="S900" s="131"/>
      <c r="T900" s="131"/>
      <c r="U900" s="132"/>
      <c r="V900" s="132"/>
    </row>
    <row r="901" ht="12.75" customHeight="1">
      <c r="A901" s="128"/>
      <c r="B901" s="128"/>
      <c r="C901" s="128"/>
      <c r="D901" s="129"/>
      <c r="E901" s="128"/>
      <c r="F901" s="130"/>
      <c r="G901" s="131"/>
      <c r="H901" s="131"/>
      <c r="I901" s="131"/>
      <c r="J901" s="131"/>
      <c r="K901" s="131"/>
      <c r="L901" s="131"/>
      <c r="M901" s="131"/>
      <c r="N901" s="131"/>
      <c r="O901" s="131"/>
      <c r="P901" s="131"/>
      <c r="Q901" s="131"/>
      <c r="R901" s="131"/>
      <c r="S901" s="131"/>
      <c r="T901" s="131"/>
      <c r="U901" s="132"/>
      <c r="V901" s="132"/>
    </row>
    <row r="902" ht="12.75" customHeight="1">
      <c r="A902" s="128"/>
      <c r="B902" s="128"/>
      <c r="C902" s="128"/>
      <c r="D902" s="129"/>
      <c r="E902" s="128"/>
      <c r="F902" s="130"/>
      <c r="G902" s="131"/>
      <c r="H902" s="131"/>
      <c r="I902" s="131"/>
      <c r="J902" s="131"/>
      <c r="K902" s="131"/>
      <c r="L902" s="131"/>
      <c r="M902" s="131"/>
      <c r="N902" s="131"/>
      <c r="O902" s="131"/>
      <c r="P902" s="131"/>
      <c r="Q902" s="131"/>
      <c r="R902" s="131"/>
      <c r="S902" s="131"/>
      <c r="T902" s="131"/>
      <c r="U902" s="132"/>
      <c r="V902" s="132"/>
    </row>
    <row r="903" ht="12.75" customHeight="1">
      <c r="A903" s="128"/>
      <c r="B903" s="128"/>
      <c r="C903" s="128"/>
      <c r="D903" s="129"/>
      <c r="E903" s="128"/>
      <c r="F903" s="130"/>
      <c r="G903" s="131"/>
      <c r="H903" s="131"/>
      <c r="I903" s="131"/>
      <c r="J903" s="131"/>
      <c r="K903" s="131"/>
      <c r="L903" s="131"/>
      <c r="M903" s="131"/>
      <c r="N903" s="131"/>
      <c r="O903" s="131"/>
      <c r="P903" s="131"/>
      <c r="Q903" s="131"/>
      <c r="R903" s="131"/>
      <c r="S903" s="131"/>
      <c r="T903" s="131"/>
      <c r="U903" s="132"/>
      <c r="V903" s="132"/>
    </row>
    <row r="904" ht="12.75" customHeight="1">
      <c r="A904" s="128"/>
      <c r="B904" s="128"/>
      <c r="C904" s="128"/>
      <c r="D904" s="129"/>
      <c r="E904" s="128"/>
      <c r="F904" s="130"/>
      <c r="G904" s="131"/>
      <c r="H904" s="131"/>
      <c r="I904" s="131"/>
      <c r="J904" s="131"/>
      <c r="K904" s="131"/>
      <c r="L904" s="131"/>
      <c r="M904" s="131"/>
      <c r="N904" s="131"/>
      <c r="O904" s="131"/>
      <c r="P904" s="131"/>
      <c r="Q904" s="131"/>
      <c r="R904" s="131"/>
      <c r="S904" s="131"/>
      <c r="T904" s="131"/>
      <c r="U904" s="132"/>
      <c r="V904" s="132"/>
    </row>
    <row r="905" ht="12.75" customHeight="1">
      <c r="A905" s="128"/>
      <c r="B905" s="128"/>
      <c r="C905" s="128"/>
      <c r="D905" s="129"/>
      <c r="E905" s="128"/>
      <c r="F905" s="130"/>
      <c r="G905" s="131"/>
      <c r="H905" s="131"/>
      <c r="I905" s="131"/>
      <c r="J905" s="131"/>
      <c r="K905" s="131"/>
      <c r="L905" s="131"/>
      <c r="M905" s="131"/>
      <c r="N905" s="131"/>
      <c r="O905" s="131"/>
      <c r="P905" s="131"/>
      <c r="Q905" s="131"/>
      <c r="R905" s="131"/>
      <c r="S905" s="131"/>
      <c r="T905" s="131"/>
      <c r="U905" s="132"/>
      <c r="V905" s="132"/>
    </row>
    <row r="906" ht="12.75" customHeight="1">
      <c r="A906" s="128"/>
      <c r="B906" s="128"/>
      <c r="C906" s="128"/>
      <c r="D906" s="129"/>
      <c r="E906" s="128"/>
      <c r="F906" s="130"/>
      <c r="G906" s="131"/>
      <c r="H906" s="131"/>
      <c r="I906" s="131"/>
      <c r="J906" s="131"/>
      <c r="K906" s="131"/>
      <c r="L906" s="131"/>
      <c r="M906" s="131"/>
      <c r="N906" s="131"/>
      <c r="O906" s="131"/>
      <c r="P906" s="131"/>
      <c r="Q906" s="131"/>
      <c r="R906" s="131"/>
      <c r="S906" s="131"/>
      <c r="T906" s="131"/>
      <c r="U906" s="132"/>
      <c r="V906" s="132"/>
    </row>
    <row r="907" ht="12.75" customHeight="1">
      <c r="A907" s="128"/>
      <c r="B907" s="128"/>
      <c r="C907" s="128"/>
      <c r="D907" s="129"/>
      <c r="E907" s="128"/>
      <c r="F907" s="130"/>
      <c r="G907" s="131"/>
      <c r="H907" s="131"/>
      <c r="I907" s="131"/>
      <c r="J907" s="131"/>
      <c r="K907" s="131"/>
      <c r="L907" s="131"/>
      <c r="M907" s="131"/>
      <c r="N907" s="131"/>
      <c r="O907" s="131"/>
      <c r="P907" s="131"/>
      <c r="Q907" s="131"/>
      <c r="R907" s="131"/>
      <c r="S907" s="131"/>
      <c r="T907" s="131"/>
      <c r="U907" s="132"/>
      <c r="V907" s="132"/>
    </row>
    <row r="908" ht="12.75" customHeight="1">
      <c r="A908" s="128"/>
      <c r="B908" s="128"/>
      <c r="C908" s="128"/>
      <c r="D908" s="129"/>
      <c r="E908" s="128"/>
      <c r="F908" s="130"/>
      <c r="G908" s="131"/>
      <c r="H908" s="131"/>
      <c r="I908" s="131"/>
      <c r="J908" s="131"/>
      <c r="K908" s="131"/>
      <c r="L908" s="131"/>
      <c r="M908" s="131"/>
      <c r="N908" s="131"/>
      <c r="O908" s="131"/>
      <c r="P908" s="131"/>
      <c r="Q908" s="131"/>
      <c r="R908" s="131"/>
      <c r="S908" s="131"/>
      <c r="T908" s="131"/>
      <c r="U908" s="132"/>
      <c r="V908" s="132"/>
    </row>
    <row r="909" ht="12.75" customHeight="1">
      <c r="A909" s="128"/>
      <c r="B909" s="128"/>
      <c r="C909" s="128"/>
      <c r="D909" s="129"/>
      <c r="E909" s="128"/>
      <c r="F909" s="130"/>
      <c r="G909" s="131"/>
      <c r="H909" s="131"/>
      <c r="I909" s="131"/>
      <c r="J909" s="131"/>
      <c r="K909" s="131"/>
      <c r="L909" s="131"/>
      <c r="M909" s="131"/>
      <c r="N909" s="131"/>
      <c r="O909" s="131"/>
      <c r="P909" s="131"/>
      <c r="Q909" s="131"/>
      <c r="R909" s="131"/>
      <c r="S909" s="131"/>
      <c r="T909" s="131"/>
      <c r="U909" s="132"/>
      <c r="V909" s="132"/>
    </row>
    <row r="910" ht="12.75" customHeight="1">
      <c r="A910" s="128"/>
      <c r="B910" s="128"/>
      <c r="C910" s="128"/>
      <c r="D910" s="129"/>
      <c r="E910" s="128"/>
      <c r="F910" s="130"/>
      <c r="G910" s="131"/>
      <c r="H910" s="131"/>
      <c r="I910" s="131"/>
      <c r="J910" s="131"/>
      <c r="K910" s="131"/>
      <c r="L910" s="131"/>
      <c r="M910" s="131"/>
      <c r="N910" s="131"/>
      <c r="O910" s="131"/>
      <c r="P910" s="131"/>
      <c r="Q910" s="131"/>
      <c r="R910" s="131"/>
      <c r="S910" s="131"/>
      <c r="T910" s="131"/>
      <c r="U910" s="132"/>
      <c r="V910" s="132"/>
    </row>
    <row r="911" ht="12.75" customHeight="1">
      <c r="A911" s="128"/>
      <c r="B911" s="128"/>
      <c r="C911" s="128"/>
      <c r="D911" s="129"/>
      <c r="E911" s="128"/>
      <c r="F911" s="130"/>
      <c r="G911" s="131"/>
      <c r="H911" s="131"/>
      <c r="I911" s="131"/>
      <c r="J911" s="131"/>
      <c r="K911" s="131"/>
      <c r="L911" s="131"/>
      <c r="M911" s="131"/>
      <c r="N911" s="131"/>
      <c r="O911" s="131"/>
      <c r="P911" s="131"/>
      <c r="Q911" s="131"/>
      <c r="R911" s="131"/>
      <c r="S911" s="131"/>
      <c r="T911" s="131"/>
      <c r="U911" s="132"/>
      <c r="V911" s="132"/>
    </row>
    <row r="912" ht="12.75" customHeight="1">
      <c r="A912" s="128"/>
      <c r="B912" s="128"/>
      <c r="C912" s="128"/>
      <c r="D912" s="129"/>
      <c r="E912" s="128"/>
      <c r="F912" s="130"/>
      <c r="G912" s="131"/>
      <c r="H912" s="131"/>
      <c r="I912" s="131"/>
      <c r="J912" s="131"/>
      <c r="K912" s="131"/>
      <c r="L912" s="131"/>
      <c r="M912" s="131"/>
      <c r="N912" s="131"/>
      <c r="O912" s="131"/>
      <c r="P912" s="131"/>
      <c r="Q912" s="131"/>
      <c r="R912" s="131"/>
      <c r="S912" s="131"/>
      <c r="T912" s="131"/>
      <c r="U912" s="132"/>
      <c r="V912" s="132"/>
    </row>
    <row r="913" ht="12.75" customHeight="1">
      <c r="A913" s="128"/>
      <c r="B913" s="128"/>
      <c r="C913" s="128"/>
      <c r="D913" s="129"/>
      <c r="E913" s="128"/>
      <c r="F913" s="130"/>
      <c r="G913" s="131"/>
      <c r="H913" s="131"/>
      <c r="I913" s="131"/>
      <c r="J913" s="131"/>
      <c r="K913" s="131"/>
      <c r="L913" s="131"/>
      <c r="M913" s="131"/>
      <c r="N913" s="131"/>
      <c r="O913" s="131"/>
      <c r="P913" s="131"/>
      <c r="Q913" s="131"/>
      <c r="R913" s="131"/>
      <c r="S913" s="131"/>
      <c r="T913" s="131"/>
      <c r="U913" s="132"/>
      <c r="V913" s="132"/>
    </row>
    <row r="914" ht="12.75" customHeight="1">
      <c r="A914" s="128"/>
      <c r="B914" s="128"/>
      <c r="C914" s="128"/>
      <c r="D914" s="129"/>
      <c r="E914" s="128"/>
      <c r="F914" s="130"/>
      <c r="G914" s="131"/>
      <c r="H914" s="131"/>
      <c r="I914" s="131"/>
      <c r="J914" s="131"/>
      <c r="K914" s="131"/>
      <c r="L914" s="131"/>
      <c r="M914" s="131"/>
      <c r="N914" s="131"/>
      <c r="O914" s="131"/>
      <c r="P914" s="131"/>
      <c r="Q914" s="131"/>
      <c r="R914" s="131"/>
      <c r="S914" s="131"/>
      <c r="T914" s="131"/>
      <c r="U914" s="132"/>
      <c r="V914" s="132"/>
    </row>
    <row r="915" ht="12.75" customHeight="1">
      <c r="A915" s="128"/>
      <c r="B915" s="128"/>
      <c r="C915" s="128"/>
      <c r="D915" s="129"/>
      <c r="E915" s="128"/>
      <c r="F915" s="130"/>
      <c r="G915" s="131"/>
      <c r="H915" s="131"/>
      <c r="I915" s="131"/>
      <c r="J915" s="131"/>
      <c r="K915" s="131"/>
      <c r="L915" s="131"/>
      <c r="M915" s="131"/>
      <c r="N915" s="131"/>
      <c r="O915" s="131"/>
      <c r="P915" s="131"/>
      <c r="Q915" s="131"/>
      <c r="R915" s="131"/>
      <c r="S915" s="131"/>
      <c r="T915" s="131"/>
      <c r="U915" s="132"/>
      <c r="V915" s="132"/>
    </row>
    <row r="916" ht="12.75" customHeight="1">
      <c r="A916" s="128"/>
      <c r="B916" s="128"/>
      <c r="C916" s="128"/>
      <c r="D916" s="129"/>
      <c r="E916" s="128"/>
      <c r="F916" s="130"/>
      <c r="G916" s="131"/>
      <c r="H916" s="131"/>
      <c r="I916" s="131"/>
      <c r="J916" s="131"/>
      <c r="K916" s="131"/>
      <c r="L916" s="131"/>
      <c r="M916" s="131"/>
      <c r="N916" s="131"/>
      <c r="O916" s="131"/>
      <c r="P916" s="131"/>
      <c r="Q916" s="131"/>
      <c r="R916" s="131"/>
      <c r="S916" s="131"/>
      <c r="T916" s="131"/>
      <c r="U916" s="132"/>
      <c r="V916" s="132"/>
    </row>
    <row r="917" ht="12.75" customHeight="1">
      <c r="A917" s="128"/>
      <c r="B917" s="128"/>
      <c r="C917" s="128"/>
      <c r="D917" s="129"/>
      <c r="E917" s="128"/>
      <c r="F917" s="130"/>
      <c r="G917" s="131"/>
      <c r="H917" s="131"/>
      <c r="I917" s="131"/>
      <c r="J917" s="131"/>
      <c r="K917" s="131"/>
      <c r="L917" s="131"/>
      <c r="M917" s="131"/>
      <c r="N917" s="131"/>
      <c r="O917" s="131"/>
      <c r="P917" s="131"/>
      <c r="Q917" s="131"/>
      <c r="R917" s="131"/>
      <c r="S917" s="131"/>
      <c r="T917" s="131"/>
      <c r="U917" s="132"/>
      <c r="V917" s="132"/>
    </row>
    <row r="918" ht="12.75" customHeight="1">
      <c r="A918" s="128"/>
      <c r="B918" s="128"/>
      <c r="C918" s="128"/>
      <c r="D918" s="129"/>
      <c r="E918" s="128"/>
      <c r="F918" s="130"/>
      <c r="G918" s="131"/>
      <c r="H918" s="131"/>
      <c r="I918" s="131"/>
      <c r="J918" s="131"/>
      <c r="K918" s="131"/>
      <c r="L918" s="131"/>
      <c r="M918" s="131"/>
      <c r="N918" s="131"/>
      <c r="O918" s="131"/>
      <c r="P918" s="131"/>
      <c r="Q918" s="131"/>
      <c r="R918" s="131"/>
      <c r="S918" s="131"/>
      <c r="T918" s="131"/>
      <c r="U918" s="132"/>
      <c r="V918" s="132"/>
    </row>
    <row r="919" ht="12.75" customHeight="1">
      <c r="A919" s="128"/>
      <c r="B919" s="128"/>
      <c r="C919" s="128"/>
      <c r="D919" s="129"/>
      <c r="E919" s="128"/>
      <c r="F919" s="130"/>
      <c r="G919" s="131"/>
      <c r="H919" s="131"/>
      <c r="I919" s="131"/>
      <c r="J919" s="131"/>
      <c r="K919" s="131"/>
      <c r="L919" s="131"/>
      <c r="M919" s="131"/>
      <c r="N919" s="131"/>
      <c r="O919" s="131"/>
      <c r="P919" s="131"/>
      <c r="Q919" s="131"/>
      <c r="R919" s="131"/>
      <c r="S919" s="131"/>
      <c r="T919" s="131"/>
      <c r="U919" s="132"/>
      <c r="V919" s="132"/>
    </row>
    <row r="920" ht="12.75" customHeight="1">
      <c r="A920" s="128"/>
      <c r="B920" s="128"/>
      <c r="C920" s="128"/>
      <c r="D920" s="129"/>
      <c r="E920" s="128"/>
      <c r="F920" s="130"/>
      <c r="G920" s="131"/>
      <c r="H920" s="131"/>
      <c r="I920" s="131"/>
      <c r="J920" s="131"/>
      <c r="K920" s="131"/>
      <c r="L920" s="131"/>
      <c r="M920" s="131"/>
      <c r="N920" s="131"/>
      <c r="O920" s="131"/>
      <c r="P920" s="131"/>
      <c r="Q920" s="131"/>
      <c r="R920" s="131"/>
      <c r="S920" s="131"/>
      <c r="T920" s="131"/>
      <c r="U920" s="132"/>
      <c r="V920" s="132"/>
    </row>
    <row r="921" ht="12.75" customHeight="1">
      <c r="A921" s="128"/>
      <c r="B921" s="128"/>
      <c r="C921" s="128"/>
      <c r="D921" s="129"/>
      <c r="E921" s="128"/>
      <c r="F921" s="130"/>
      <c r="G921" s="131"/>
      <c r="H921" s="131"/>
      <c r="I921" s="131"/>
      <c r="J921" s="131"/>
      <c r="K921" s="131"/>
      <c r="L921" s="131"/>
      <c r="M921" s="131"/>
      <c r="N921" s="131"/>
      <c r="O921" s="131"/>
      <c r="P921" s="131"/>
      <c r="Q921" s="131"/>
      <c r="R921" s="131"/>
      <c r="S921" s="131"/>
      <c r="T921" s="131"/>
      <c r="U921" s="132"/>
      <c r="V921" s="132"/>
    </row>
    <row r="922" ht="12.75" customHeight="1">
      <c r="A922" s="128"/>
      <c r="B922" s="128"/>
      <c r="C922" s="128"/>
      <c r="D922" s="129"/>
      <c r="E922" s="128"/>
      <c r="F922" s="130"/>
      <c r="G922" s="131"/>
      <c r="H922" s="131"/>
      <c r="I922" s="131"/>
      <c r="J922" s="131"/>
      <c r="K922" s="131"/>
      <c r="L922" s="131"/>
      <c r="M922" s="131"/>
      <c r="N922" s="131"/>
      <c r="O922" s="131"/>
      <c r="P922" s="131"/>
      <c r="Q922" s="131"/>
      <c r="R922" s="131"/>
      <c r="S922" s="131"/>
      <c r="T922" s="131"/>
      <c r="U922" s="132"/>
      <c r="V922" s="132"/>
    </row>
    <row r="923" ht="12.75" customHeight="1">
      <c r="A923" s="128"/>
      <c r="B923" s="128"/>
      <c r="C923" s="128"/>
      <c r="D923" s="129"/>
      <c r="E923" s="128"/>
      <c r="F923" s="130"/>
      <c r="G923" s="131"/>
      <c r="H923" s="131"/>
      <c r="I923" s="131"/>
      <c r="J923" s="131"/>
      <c r="K923" s="131"/>
      <c r="L923" s="131"/>
      <c r="M923" s="131"/>
      <c r="N923" s="131"/>
      <c r="O923" s="131"/>
      <c r="P923" s="131"/>
      <c r="Q923" s="131"/>
      <c r="R923" s="131"/>
      <c r="S923" s="131"/>
      <c r="T923" s="131"/>
      <c r="U923" s="132"/>
      <c r="V923" s="132"/>
    </row>
    <row r="924" ht="12.75" customHeight="1">
      <c r="A924" s="128"/>
      <c r="B924" s="128"/>
      <c r="C924" s="128"/>
      <c r="D924" s="129"/>
      <c r="E924" s="128"/>
      <c r="F924" s="130"/>
      <c r="G924" s="131"/>
      <c r="H924" s="131"/>
      <c r="I924" s="131"/>
      <c r="J924" s="131"/>
      <c r="K924" s="131"/>
      <c r="L924" s="131"/>
      <c r="M924" s="131"/>
      <c r="N924" s="131"/>
      <c r="O924" s="131"/>
      <c r="P924" s="131"/>
      <c r="Q924" s="131"/>
      <c r="R924" s="131"/>
      <c r="S924" s="131"/>
      <c r="T924" s="131"/>
      <c r="U924" s="132"/>
      <c r="V924" s="132"/>
    </row>
    <row r="925" ht="12.75" customHeight="1">
      <c r="A925" s="128"/>
      <c r="B925" s="128"/>
      <c r="C925" s="128"/>
      <c r="D925" s="129"/>
      <c r="E925" s="128"/>
      <c r="F925" s="130"/>
      <c r="G925" s="131"/>
      <c r="H925" s="131"/>
      <c r="I925" s="131"/>
      <c r="J925" s="131"/>
      <c r="K925" s="131"/>
      <c r="L925" s="131"/>
      <c r="M925" s="131"/>
      <c r="N925" s="131"/>
      <c r="O925" s="131"/>
      <c r="P925" s="131"/>
      <c r="Q925" s="131"/>
      <c r="R925" s="131"/>
      <c r="S925" s="131"/>
      <c r="T925" s="131"/>
      <c r="U925" s="132"/>
      <c r="V925" s="132"/>
    </row>
    <row r="926" ht="12.75" customHeight="1">
      <c r="A926" s="128"/>
      <c r="B926" s="128"/>
      <c r="C926" s="128"/>
      <c r="D926" s="129"/>
      <c r="E926" s="128"/>
      <c r="F926" s="130"/>
      <c r="G926" s="131"/>
      <c r="H926" s="131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32"/>
      <c r="V926" s="132"/>
    </row>
    <row r="927" ht="12.75" customHeight="1">
      <c r="A927" s="128"/>
      <c r="B927" s="128"/>
      <c r="C927" s="128"/>
      <c r="D927" s="129"/>
      <c r="E927" s="128"/>
      <c r="F927" s="130"/>
      <c r="G927" s="131"/>
      <c r="H927" s="131"/>
      <c r="I927" s="131"/>
      <c r="J927" s="131"/>
      <c r="K927" s="131"/>
      <c r="L927" s="131"/>
      <c r="M927" s="131"/>
      <c r="N927" s="131"/>
      <c r="O927" s="131"/>
      <c r="P927" s="131"/>
      <c r="Q927" s="131"/>
      <c r="R927" s="131"/>
      <c r="S927" s="131"/>
      <c r="T927" s="131"/>
      <c r="U927" s="132"/>
      <c r="V927" s="132"/>
    </row>
    <row r="928" ht="12.75" customHeight="1">
      <c r="A928" s="128"/>
      <c r="B928" s="128"/>
      <c r="C928" s="128"/>
      <c r="D928" s="129"/>
      <c r="E928" s="128"/>
      <c r="F928" s="130"/>
      <c r="G928" s="131"/>
      <c r="H928" s="131"/>
      <c r="I928" s="131"/>
      <c r="J928" s="131"/>
      <c r="K928" s="131"/>
      <c r="L928" s="131"/>
      <c r="M928" s="131"/>
      <c r="N928" s="131"/>
      <c r="O928" s="131"/>
      <c r="P928" s="131"/>
      <c r="Q928" s="131"/>
      <c r="R928" s="131"/>
      <c r="S928" s="131"/>
      <c r="T928" s="131"/>
      <c r="U928" s="132"/>
      <c r="V928" s="132"/>
    </row>
    <row r="929" ht="12.75" customHeight="1">
      <c r="A929" s="128"/>
      <c r="B929" s="128"/>
      <c r="C929" s="128"/>
      <c r="D929" s="129"/>
      <c r="E929" s="128"/>
      <c r="F929" s="130"/>
      <c r="G929" s="131"/>
      <c r="H929" s="131"/>
      <c r="I929" s="131"/>
      <c r="J929" s="131"/>
      <c r="K929" s="131"/>
      <c r="L929" s="131"/>
      <c r="M929" s="131"/>
      <c r="N929" s="131"/>
      <c r="O929" s="131"/>
      <c r="P929" s="131"/>
      <c r="Q929" s="131"/>
      <c r="R929" s="131"/>
      <c r="S929" s="131"/>
      <c r="T929" s="131"/>
      <c r="U929" s="132"/>
      <c r="V929" s="132"/>
    </row>
    <row r="930" ht="12.75" customHeight="1">
      <c r="A930" s="128"/>
      <c r="B930" s="128"/>
      <c r="C930" s="128"/>
      <c r="D930" s="129"/>
      <c r="E930" s="128"/>
      <c r="F930" s="130"/>
      <c r="G930" s="131"/>
      <c r="H930" s="131"/>
      <c r="I930" s="131"/>
      <c r="J930" s="131"/>
      <c r="K930" s="131"/>
      <c r="L930" s="131"/>
      <c r="M930" s="131"/>
      <c r="N930" s="131"/>
      <c r="O930" s="131"/>
      <c r="P930" s="131"/>
      <c r="Q930" s="131"/>
      <c r="R930" s="131"/>
      <c r="S930" s="131"/>
      <c r="T930" s="131"/>
      <c r="U930" s="132"/>
      <c r="V930" s="132"/>
    </row>
    <row r="931" ht="12.75" customHeight="1">
      <c r="A931" s="128"/>
      <c r="B931" s="128"/>
      <c r="C931" s="128"/>
      <c r="D931" s="129"/>
      <c r="E931" s="128"/>
      <c r="F931" s="130"/>
      <c r="G931" s="131"/>
      <c r="H931" s="131"/>
      <c r="I931" s="131"/>
      <c r="J931" s="131"/>
      <c r="K931" s="131"/>
      <c r="L931" s="131"/>
      <c r="M931" s="131"/>
      <c r="N931" s="131"/>
      <c r="O931" s="131"/>
      <c r="P931" s="131"/>
      <c r="Q931" s="131"/>
      <c r="R931" s="131"/>
      <c r="S931" s="131"/>
      <c r="T931" s="131"/>
      <c r="U931" s="132"/>
      <c r="V931" s="132"/>
    </row>
    <row r="932" ht="12.75" customHeight="1">
      <c r="A932" s="128"/>
      <c r="B932" s="128"/>
      <c r="C932" s="128"/>
      <c r="D932" s="129"/>
      <c r="E932" s="128"/>
      <c r="F932" s="130"/>
      <c r="G932" s="131"/>
      <c r="H932" s="131"/>
      <c r="I932" s="131"/>
      <c r="J932" s="131"/>
      <c r="K932" s="131"/>
      <c r="L932" s="131"/>
      <c r="M932" s="131"/>
      <c r="N932" s="131"/>
      <c r="O932" s="131"/>
      <c r="P932" s="131"/>
      <c r="Q932" s="131"/>
      <c r="R932" s="131"/>
      <c r="S932" s="131"/>
      <c r="T932" s="131"/>
      <c r="U932" s="132"/>
      <c r="V932" s="132"/>
    </row>
    <row r="933" ht="12.75" customHeight="1">
      <c r="A933" s="128"/>
      <c r="B933" s="128"/>
      <c r="C933" s="128"/>
      <c r="D933" s="129"/>
      <c r="E933" s="128"/>
      <c r="F933" s="130"/>
      <c r="G933" s="131"/>
      <c r="H933" s="131"/>
      <c r="I933" s="131"/>
      <c r="J933" s="131"/>
      <c r="K933" s="131"/>
      <c r="L933" s="131"/>
      <c r="M933" s="131"/>
      <c r="N933" s="131"/>
      <c r="O933" s="131"/>
      <c r="P933" s="131"/>
      <c r="Q933" s="131"/>
      <c r="R933" s="131"/>
      <c r="S933" s="131"/>
      <c r="T933" s="131"/>
      <c r="U933" s="132"/>
      <c r="V933" s="132"/>
    </row>
    <row r="934" ht="12.75" customHeight="1">
      <c r="A934" s="128"/>
      <c r="B934" s="128"/>
      <c r="C934" s="128"/>
      <c r="D934" s="129"/>
      <c r="E934" s="128"/>
      <c r="F934" s="130"/>
      <c r="G934" s="131"/>
      <c r="H934" s="131"/>
      <c r="I934" s="131"/>
      <c r="J934" s="131"/>
      <c r="K934" s="131"/>
      <c r="L934" s="131"/>
      <c r="M934" s="131"/>
      <c r="N934" s="131"/>
      <c r="O934" s="131"/>
      <c r="P934" s="131"/>
      <c r="Q934" s="131"/>
      <c r="R934" s="131"/>
      <c r="S934" s="131"/>
      <c r="T934" s="131"/>
      <c r="U934" s="132"/>
      <c r="V934" s="132"/>
    </row>
    <row r="935" ht="12.75" customHeight="1">
      <c r="A935" s="128"/>
      <c r="B935" s="128"/>
      <c r="C935" s="128"/>
      <c r="D935" s="129"/>
      <c r="E935" s="128"/>
      <c r="F935" s="130"/>
      <c r="G935" s="131"/>
      <c r="H935" s="131"/>
      <c r="I935" s="131"/>
      <c r="J935" s="131"/>
      <c r="K935" s="131"/>
      <c r="L935" s="131"/>
      <c r="M935" s="131"/>
      <c r="N935" s="131"/>
      <c r="O935" s="131"/>
      <c r="P935" s="131"/>
      <c r="Q935" s="131"/>
      <c r="R935" s="131"/>
      <c r="S935" s="131"/>
      <c r="T935" s="131"/>
      <c r="U935" s="132"/>
      <c r="V935" s="132"/>
    </row>
    <row r="936" ht="12.75" customHeight="1">
      <c r="A936" s="128"/>
      <c r="B936" s="128"/>
      <c r="C936" s="128"/>
      <c r="D936" s="129"/>
      <c r="E936" s="128"/>
      <c r="F936" s="130"/>
      <c r="G936" s="131"/>
      <c r="H936" s="131"/>
      <c r="I936" s="131"/>
      <c r="J936" s="131"/>
      <c r="K936" s="131"/>
      <c r="L936" s="131"/>
      <c r="M936" s="131"/>
      <c r="N936" s="131"/>
      <c r="O936" s="131"/>
      <c r="P936" s="131"/>
      <c r="Q936" s="131"/>
      <c r="R936" s="131"/>
      <c r="S936" s="131"/>
      <c r="T936" s="131"/>
      <c r="U936" s="132"/>
      <c r="V936" s="132"/>
    </row>
    <row r="937" ht="12.75" customHeight="1">
      <c r="A937" s="128"/>
      <c r="B937" s="128"/>
      <c r="C937" s="128"/>
      <c r="D937" s="129"/>
      <c r="E937" s="128"/>
      <c r="F937" s="130"/>
      <c r="G937" s="131"/>
      <c r="H937" s="131"/>
      <c r="I937" s="131"/>
      <c r="J937" s="131"/>
      <c r="K937" s="131"/>
      <c r="L937" s="131"/>
      <c r="M937" s="131"/>
      <c r="N937" s="131"/>
      <c r="O937" s="131"/>
      <c r="P937" s="131"/>
      <c r="Q937" s="131"/>
      <c r="R937" s="131"/>
      <c r="S937" s="131"/>
      <c r="T937" s="131"/>
      <c r="U937" s="132"/>
      <c r="V937" s="132"/>
    </row>
    <row r="938" ht="12.75" customHeight="1">
      <c r="A938" s="128"/>
      <c r="B938" s="128"/>
      <c r="C938" s="128"/>
      <c r="D938" s="129"/>
      <c r="E938" s="128"/>
      <c r="F938" s="130"/>
      <c r="G938" s="131"/>
      <c r="H938" s="131"/>
      <c r="I938" s="131"/>
      <c r="J938" s="131"/>
      <c r="K938" s="131"/>
      <c r="L938" s="131"/>
      <c r="M938" s="131"/>
      <c r="N938" s="131"/>
      <c r="O938" s="131"/>
      <c r="P938" s="131"/>
      <c r="Q938" s="131"/>
      <c r="R938" s="131"/>
      <c r="S938" s="131"/>
      <c r="T938" s="131"/>
      <c r="U938" s="132"/>
      <c r="V938" s="132"/>
    </row>
    <row r="939" ht="12.75" customHeight="1">
      <c r="A939" s="128"/>
      <c r="B939" s="128"/>
      <c r="C939" s="128"/>
      <c r="D939" s="129"/>
      <c r="E939" s="128"/>
      <c r="F939" s="130"/>
      <c r="G939" s="131"/>
      <c r="H939" s="131"/>
      <c r="I939" s="131"/>
      <c r="J939" s="131"/>
      <c r="K939" s="131"/>
      <c r="L939" s="131"/>
      <c r="M939" s="131"/>
      <c r="N939" s="131"/>
      <c r="O939" s="131"/>
      <c r="P939" s="131"/>
      <c r="Q939" s="131"/>
      <c r="R939" s="131"/>
      <c r="S939" s="131"/>
      <c r="T939" s="131"/>
      <c r="U939" s="132"/>
      <c r="V939" s="132"/>
    </row>
    <row r="940" ht="12.75" customHeight="1">
      <c r="A940" s="128"/>
      <c r="B940" s="128"/>
      <c r="C940" s="128"/>
      <c r="D940" s="129"/>
      <c r="E940" s="128"/>
      <c r="F940" s="130"/>
      <c r="G940" s="131"/>
      <c r="H940" s="131"/>
      <c r="I940" s="131"/>
      <c r="J940" s="131"/>
      <c r="K940" s="131"/>
      <c r="L940" s="131"/>
      <c r="M940" s="131"/>
      <c r="N940" s="131"/>
      <c r="O940" s="131"/>
      <c r="P940" s="131"/>
      <c r="Q940" s="131"/>
      <c r="R940" s="131"/>
      <c r="S940" s="131"/>
      <c r="T940" s="131"/>
      <c r="U940" s="132"/>
      <c r="V940" s="132"/>
    </row>
    <row r="941" ht="12.75" customHeight="1">
      <c r="A941" s="128"/>
      <c r="B941" s="128"/>
      <c r="C941" s="128"/>
      <c r="D941" s="129"/>
      <c r="E941" s="128"/>
      <c r="F941" s="130"/>
      <c r="G941" s="131"/>
      <c r="H941" s="131"/>
      <c r="I941" s="131"/>
      <c r="J941" s="131"/>
      <c r="K941" s="131"/>
      <c r="L941" s="131"/>
      <c r="M941" s="131"/>
      <c r="N941" s="131"/>
      <c r="O941" s="131"/>
      <c r="P941" s="131"/>
      <c r="Q941" s="131"/>
      <c r="R941" s="131"/>
      <c r="S941" s="131"/>
      <c r="T941" s="131"/>
      <c r="U941" s="132"/>
      <c r="V941" s="132"/>
    </row>
    <row r="942" ht="12.75" customHeight="1">
      <c r="A942" s="128"/>
      <c r="B942" s="128"/>
      <c r="C942" s="128"/>
      <c r="D942" s="129"/>
      <c r="E942" s="128"/>
      <c r="F942" s="130"/>
      <c r="G942" s="131"/>
      <c r="H942" s="131"/>
      <c r="I942" s="131"/>
      <c r="J942" s="131"/>
      <c r="K942" s="131"/>
      <c r="L942" s="131"/>
      <c r="M942" s="131"/>
      <c r="N942" s="131"/>
      <c r="O942" s="131"/>
      <c r="P942" s="131"/>
      <c r="Q942" s="131"/>
      <c r="R942" s="131"/>
      <c r="S942" s="131"/>
      <c r="T942" s="131"/>
      <c r="U942" s="132"/>
      <c r="V942" s="132"/>
    </row>
    <row r="943" ht="12.75" customHeight="1">
      <c r="A943" s="128"/>
      <c r="B943" s="128"/>
      <c r="C943" s="128"/>
      <c r="D943" s="129"/>
      <c r="E943" s="128"/>
      <c r="F943" s="130"/>
      <c r="G943" s="131"/>
      <c r="H943" s="131"/>
      <c r="I943" s="131"/>
      <c r="J943" s="131"/>
      <c r="K943" s="131"/>
      <c r="L943" s="131"/>
      <c r="M943" s="131"/>
      <c r="N943" s="131"/>
      <c r="O943" s="131"/>
      <c r="P943" s="131"/>
      <c r="Q943" s="131"/>
      <c r="R943" s="131"/>
      <c r="S943" s="131"/>
      <c r="T943" s="131"/>
      <c r="U943" s="132"/>
      <c r="V943" s="132"/>
    </row>
    <row r="944" ht="12.75" customHeight="1">
      <c r="A944" s="128"/>
      <c r="B944" s="128"/>
      <c r="C944" s="128"/>
      <c r="D944" s="129"/>
      <c r="E944" s="128"/>
      <c r="F944" s="130"/>
      <c r="G944" s="131"/>
      <c r="H944" s="131"/>
      <c r="I944" s="131"/>
      <c r="J944" s="131"/>
      <c r="K944" s="131"/>
      <c r="L944" s="131"/>
      <c r="M944" s="131"/>
      <c r="N944" s="131"/>
      <c r="O944" s="131"/>
      <c r="P944" s="131"/>
      <c r="Q944" s="131"/>
      <c r="R944" s="131"/>
      <c r="S944" s="131"/>
      <c r="T944" s="131"/>
      <c r="U944" s="132"/>
      <c r="V944" s="132"/>
    </row>
    <row r="945" ht="12.75" customHeight="1">
      <c r="A945" s="128"/>
      <c r="B945" s="128"/>
      <c r="C945" s="128"/>
      <c r="D945" s="129"/>
      <c r="E945" s="128"/>
      <c r="F945" s="130"/>
      <c r="G945" s="131"/>
      <c r="H945" s="131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32"/>
      <c r="V945" s="132"/>
    </row>
    <row r="946" ht="12.75" customHeight="1">
      <c r="A946" s="128"/>
      <c r="B946" s="128"/>
      <c r="C946" s="128"/>
      <c r="D946" s="129"/>
      <c r="E946" s="128"/>
      <c r="F946" s="130"/>
      <c r="G946" s="131"/>
      <c r="H946" s="131"/>
      <c r="I946" s="131"/>
      <c r="J946" s="131"/>
      <c r="K946" s="131"/>
      <c r="L946" s="131"/>
      <c r="M946" s="131"/>
      <c r="N946" s="131"/>
      <c r="O946" s="131"/>
      <c r="P946" s="131"/>
      <c r="Q946" s="131"/>
      <c r="R946" s="131"/>
      <c r="S946" s="131"/>
      <c r="T946" s="131"/>
      <c r="U946" s="132"/>
      <c r="V946" s="132"/>
    </row>
    <row r="947" ht="12.75" customHeight="1">
      <c r="A947" s="128"/>
      <c r="B947" s="128"/>
      <c r="C947" s="128"/>
      <c r="D947" s="129"/>
      <c r="E947" s="128"/>
      <c r="F947" s="130"/>
      <c r="G947" s="131"/>
      <c r="H947" s="131"/>
      <c r="I947" s="131"/>
      <c r="J947" s="131"/>
      <c r="K947" s="131"/>
      <c r="L947" s="131"/>
      <c r="M947" s="131"/>
      <c r="N947" s="131"/>
      <c r="O947" s="131"/>
      <c r="P947" s="131"/>
      <c r="Q947" s="131"/>
      <c r="R947" s="131"/>
      <c r="S947" s="131"/>
      <c r="T947" s="131"/>
      <c r="U947" s="132"/>
      <c r="V947" s="132"/>
    </row>
    <row r="948" ht="12.75" customHeight="1">
      <c r="A948" s="128"/>
      <c r="B948" s="128"/>
      <c r="C948" s="128"/>
      <c r="D948" s="129"/>
      <c r="E948" s="128"/>
      <c r="F948" s="130"/>
      <c r="G948" s="131"/>
      <c r="H948" s="131"/>
      <c r="I948" s="131"/>
      <c r="J948" s="131"/>
      <c r="K948" s="131"/>
      <c r="L948" s="131"/>
      <c r="M948" s="131"/>
      <c r="N948" s="131"/>
      <c r="O948" s="131"/>
      <c r="P948" s="131"/>
      <c r="Q948" s="131"/>
      <c r="R948" s="131"/>
      <c r="S948" s="131"/>
      <c r="T948" s="131"/>
      <c r="U948" s="132"/>
      <c r="V948" s="132"/>
    </row>
    <row r="949" ht="12.75" customHeight="1">
      <c r="A949" s="128"/>
      <c r="B949" s="128"/>
      <c r="C949" s="128"/>
      <c r="D949" s="129"/>
      <c r="E949" s="128"/>
      <c r="F949" s="130"/>
      <c r="G949" s="131"/>
      <c r="H949" s="131"/>
      <c r="I949" s="131"/>
      <c r="J949" s="131"/>
      <c r="K949" s="131"/>
      <c r="L949" s="131"/>
      <c r="M949" s="131"/>
      <c r="N949" s="131"/>
      <c r="O949" s="131"/>
      <c r="P949" s="131"/>
      <c r="Q949" s="131"/>
      <c r="R949" s="131"/>
      <c r="S949" s="131"/>
      <c r="T949" s="131"/>
      <c r="U949" s="132"/>
      <c r="V949" s="132"/>
    </row>
    <row r="950" ht="12.75" customHeight="1">
      <c r="A950" s="128"/>
      <c r="B950" s="128"/>
      <c r="C950" s="128"/>
      <c r="D950" s="129"/>
      <c r="E950" s="128"/>
      <c r="F950" s="130"/>
      <c r="G950" s="131"/>
      <c r="H950" s="131"/>
      <c r="I950" s="131"/>
      <c r="J950" s="131"/>
      <c r="K950" s="131"/>
      <c r="L950" s="131"/>
      <c r="M950" s="131"/>
      <c r="N950" s="131"/>
      <c r="O950" s="131"/>
      <c r="P950" s="131"/>
      <c r="Q950" s="131"/>
      <c r="R950" s="131"/>
      <c r="S950" s="131"/>
      <c r="T950" s="131"/>
      <c r="U950" s="132"/>
      <c r="V950" s="132"/>
    </row>
    <row r="951" ht="12.75" customHeight="1">
      <c r="A951" s="128"/>
      <c r="B951" s="128"/>
      <c r="C951" s="128"/>
      <c r="D951" s="129"/>
      <c r="E951" s="128"/>
      <c r="F951" s="130"/>
      <c r="G951" s="131"/>
      <c r="H951" s="131"/>
      <c r="I951" s="131"/>
      <c r="J951" s="131"/>
      <c r="K951" s="131"/>
      <c r="L951" s="131"/>
      <c r="M951" s="131"/>
      <c r="N951" s="131"/>
      <c r="O951" s="131"/>
      <c r="P951" s="131"/>
      <c r="Q951" s="131"/>
      <c r="R951" s="131"/>
      <c r="S951" s="131"/>
      <c r="T951" s="131"/>
      <c r="U951" s="132"/>
      <c r="V951" s="132"/>
    </row>
    <row r="952" ht="12.75" customHeight="1">
      <c r="A952" s="128"/>
      <c r="B952" s="128"/>
      <c r="C952" s="128"/>
      <c r="D952" s="129"/>
      <c r="E952" s="128"/>
      <c r="F952" s="130"/>
      <c r="G952" s="131"/>
      <c r="H952" s="131"/>
      <c r="I952" s="131"/>
      <c r="J952" s="131"/>
      <c r="K952" s="131"/>
      <c r="L952" s="131"/>
      <c r="M952" s="131"/>
      <c r="N952" s="131"/>
      <c r="O952" s="131"/>
      <c r="P952" s="131"/>
      <c r="Q952" s="131"/>
      <c r="R952" s="131"/>
      <c r="S952" s="131"/>
      <c r="T952" s="131"/>
      <c r="U952" s="132"/>
      <c r="V952" s="132"/>
    </row>
    <row r="953" ht="12.75" customHeight="1">
      <c r="A953" s="128"/>
      <c r="B953" s="128"/>
      <c r="C953" s="128"/>
      <c r="D953" s="129"/>
      <c r="E953" s="128"/>
      <c r="F953" s="130"/>
      <c r="G953" s="131"/>
      <c r="H953" s="131"/>
      <c r="I953" s="131"/>
      <c r="J953" s="131"/>
      <c r="K953" s="131"/>
      <c r="L953" s="131"/>
      <c r="M953" s="131"/>
      <c r="N953" s="131"/>
      <c r="O953" s="131"/>
      <c r="P953" s="131"/>
      <c r="Q953" s="131"/>
      <c r="R953" s="131"/>
      <c r="S953" s="131"/>
      <c r="T953" s="131"/>
      <c r="U953" s="132"/>
      <c r="V953" s="132"/>
    </row>
    <row r="954" ht="12.75" customHeight="1">
      <c r="A954" s="128"/>
      <c r="B954" s="128"/>
      <c r="C954" s="128"/>
      <c r="D954" s="129"/>
      <c r="E954" s="128"/>
      <c r="F954" s="130"/>
      <c r="G954" s="131"/>
      <c r="H954" s="131"/>
      <c r="I954" s="131"/>
      <c r="J954" s="131"/>
      <c r="K954" s="131"/>
      <c r="L954" s="131"/>
      <c r="M954" s="131"/>
      <c r="N954" s="131"/>
      <c r="O954" s="131"/>
      <c r="P954" s="131"/>
      <c r="Q954" s="131"/>
      <c r="R954" s="131"/>
      <c r="S954" s="131"/>
      <c r="T954" s="131"/>
      <c r="U954" s="132"/>
      <c r="V954" s="132"/>
    </row>
    <row r="955" ht="12.75" customHeight="1">
      <c r="A955" s="128"/>
      <c r="B955" s="128"/>
      <c r="C955" s="128"/>
      <c r="D955" s="129"/>
      <c r="E955" s="128"/>
      <c r="F955" s="130"/>
      <c r="G955" s="131"/>
      <c r="H955" s="131"/>
      <c r="I955" s="131"/>
      <c r="J955" s="131"/>
      <c r="K955" s="131"/>
      <c r="L955" s="131"/>
      <c r="M955" s="131"/>
      <c r="N955" s="131"/>
      <c r="O955" s="131"/>
      <c r="P955" s="131"/>
      <c r="Q955" s="131"/>
      <c r="R955" s="131"/>
      <c r="S955" s="131"/>
      <c r="T955" s="131"/>
      <c r="U955" s="132"/>
      <c r="V955" s="132"/>
    </row>
    <row r="956" ht="12.75" customHeight="1">
      <c r="A956" s="128"/>
      <c r="B956" s="128"/>
      <c r="C956" s="128"/>
      <c r="D956" s="129"/>
      <c r="E956" s="128"/>
      <c r="F956" s="130"/>
      <c r="G956" s="131"/>
      <c r="H956" s="131"/>
      <c r="I956" s="131"/>
      <c r="J956" s="131"/>
      <c r="K956" s="131"/>
      <c r="L956" s="131"/>
      <c r="M956" s="131"/>
      <c r="N956" s="131"/>
      <c r="O956" s="131"/>
      <c r="P956" s="131"/>
      <c r="Q956" s="131"/>
      <c r="R956" s="131"/>
      <c r="S956" s="131"/>
      <c r="T956" s="131"/>
      <c r="U956" s="132"/>
      <c r="V956" s="132"/>
    </row>
    <row r="957" ht="12.75" customHeight="1">
      <c r="A957" s="128"/>
      <c r="B957" s="128"/>
      <c r="C957" s="128"/>
      <c r="D957" s="129"/>
      <c r="E957" s="128"/>
      <c r="F957" s="130"/>
      <c r="G957" s="131"/>
      <c r="H957" s="131"/>
      <c r="I957" s="131"/>
      <c r="J957" s="131"/>
      <c r="K957" s="131"/>
      <c r="L957" s="131"/>
      <c r="M957" s="131"/>
      <c r="N957" s="131"/>
      <c r="O957" s="131"/>
      <c r="P957" s="131"/>
      <c r="Q957" s="131"/>
      <c r="R957" s="131"/>
      <c r="S957" s="131"/>
      <c r="T957" s="131"/>
      <c r="U957" s="132"/>
      <c r="V957" s="132"/>
    </row>
    <row r="958" ht="12.75" customHeight="1">
      <c r="A958" s="128"/>
      <c r="B958" s="128"/>
      <c r="C958" s="128"/>
      <c r="D958" s="129"/>
      <c r="E958" s="128"/>
      <c r="F958" s="130"/>
      <c r="G958" s="131"/>
      <c r="H958" s="131"/>
      <c r="I958" s="131"/>
      <c r="J958" s="131"/>
      <c r="K958" s="131"/>
      <c r="L958" s="131"/>
      <c r="M958" s="131"/>
      <c r="N958" s="131"/>
      <c r="O958" s="131"/>
      <c r="P958" s="131"/>
      <c r="Q958" s="131"/>
      <c r="R958" s="131"/>
      <c r="S958" s="131"/>
      <c r="T958" s="131"/>
      <c r="U958" s="132"/>
      <c r="V958" s="132"/>
    </row>
    <row r="959" ht="12.75" customHeight="1">
      <c r="A959" s="128"/>
      <c r="B959" s="128"/>
      <c r="C959" s="128"/>
      <c r="D959" s="129"/>
      <c r="E959" s="128"/>
      <c r="F959" s="130"/>
      <c r="G959" s="131"/>
      <c r="H959" s="131"/>
      <c r="I959" s="131"/>
      <c r="J959" s="131"/>
      <c r="K959" s="131"/>
      <c r="L959" s="131"/>
      <c r="M959" s="131"/>
      <c r="N959" s="131"/>
      <c r="O959" s="131"/>
      <c r="P959" s="131"/>
      <c r="Q959" s="131"/>
      <c r="R959" s="131"/>
      <c r="S959" s="131"/>
      <c r="T959" s="131"/>
      <c r="U959" s="132"/>
      <c r="V959" s="132"/>
    </row>
    <row r="960" ht="12.75" customHeight="1">
      <c r="A960" s="128"/>
      <c r="B960" s="128"/>
      <c r="C960" s="128"/>
      <c r="D960" s="129"/>
      <c r="E960" s="128"/>
      <c r="F960" s="130"/>
      <c r="G960" s="131"/>
      <c r="H960" s="131"/>
      <c r="I960" s="131"/>
      <c r="J960" s="131"/>
      <c r="K960" s="131"/>
      <c r="L960" s="131"/>
      <c r="M960" s="131"/>
      <c r="N960" s="131"/>
      <c r="O960" s="131"/>
      <c r="P960" s="131"/>
      <c r="Q960" s="131"/>
      <c r="R960" s="131"/>
      <c r="S960" s="131"/>
      <c r="T960" s="131"/>
      <c r="U960" s="132"/>
      <c r="V960" s="132"/>
    </row>
    <row r="961" ht="12.75" customHeight="1">
      <c r="A961" s="128"/>
      <c r="B961" s="128"/>
      <c r="C961" s="128"/>
      <c r="D961" s="129"/>
      <c r="E961" s="128"/>
      <c r="F961" s="130"/>
      <c r="G961" s="131"/>
      <c r="H961" s="131"/>
      <c r="I961" s="131"/>
      <c r="J961" s="131"/>
      <c r="K961" s="131"/>
      <c r="L961" s="131"/>
      <c r="M961" s="131"/>
      <c r="N961" s="131"/>
      <c r="O961" s="131"/>
      <c r="P961" s="131"/>
      <c r="Q961" s="131"/>
      <c r="R961" s="131"/>
      <c r="S961" s="131"/>
      <c r="T961" s="131"/>
      <c r="U961" s="132"/>
      <c r="V961" s="132"/>
    </row>
    <row r="962" ht="12.75" customHeight="1">
      <c r="A962" s="128"/>
      <c r="B962" s="128"/>
      <c r="C962" s="128"/>
      <c r="D962" s="129"/>
      <c r="E962" s="128"/>
      <c r="F962" s="130"/>
      <c r="G962" s="131"/>
      <c r="H962" s="131"/>
      <c r="I962" s="131"/>
      <c r="J962" s="131"/>
      <c r="K962" s="131"/>
      <c r="L962" s="131"/>
      <c r="M962" s="131"/>
      <c r="N962" s="131"/>
      <c r="O962" s="131"/>
      <c r="P962" s="131"/>
      <c r="Q962" s="131"/>
      <c r="R962" s="131"/>
      <c r="S962" s="131"/>
      <c r="T962" s="131"/>
      <c r="U962" s="132"/>
      <c r="V962" s="132"/>
    </row>
    <row r="963" ht="12.75" customHeight="1">
      <c r="A963" s="128"/>
      <c r="B963" s="128"/>
      <c r="C963" s="128"/>
      <c r="D963" s="129"/>
      <c r="E963" s="128"/>
      <c r="F963" s="130"/>
      <c r="G963" s="131"/>
      <c r="H963" s="131"/>
      <c r="I963" s="131"/>
      <c r="J963" s="131"/>
      <c r="K963" s="131"/>
      <c r="L963" s="131"/>
      <c r="M963" s="131"/>
      <c r="N963" s="131"/>
      <c r="O963" s="131"/>
      <c r="P963" s="131"/>
      <c r="Q963" s="131"/>
      <c r="R963" s="131"/>
      <c r="S963" s="131"/>
      <c r="T963" s="131"/>
      <c r="U963" s="132"/>
      <c r="V963" s="132"/>
    </row>
    <row r="964" ht="12.75" customHeight="1">
      <c r="A964" s="128"/>
      <c r="B964" s="128"/>
      <c r="C964" s="128"/>
      <c r="D964" s="129"/>
      <c r="E964" s="128"/>
      <c r="F964" s="130"/>
      <c r="G964" s="131"/>
      <c r="H964" s="131"/>
      <c r="I964" s="131"/>
      <c r="J964" s="131"/>
      <c r="K964" s="131"/>
      <c r="L964" s="131"/>
      <c r="M964" s="131"/>
      <c r="N964" s="131"/>
      <c r="O964" s="131"/>
      <c r="P964" s="131"/>
      <c r="Q964" s="131"/>
      <c r="R964" s="131"/>
      <c r="S964" s="131"/>
      <c r="T964" s="131"/>
      <c r="U964" s="132"/>
      <c r="V964" s="132"/>
    </row>
    <row r="965" ht="12.75" customHeight="1">
      <c r="A965" s="128"/>
      <c r="B965" s="128"/>
      <c r="C965" s="128"/>
      <c r="D965" s="129"/>
      <c r="E965" s="128"/>
      <c r="F965" s="130"/>
      <c r="G965" s="131"/>
      <c r="H965" s="131"/>
      <c r="I965" s="131"/>
      <c r="J965" s="131"/>
      <c r="K965" s="131"/>
      <c r="L965" s="131"/>
      <c r="M965" s="131"/>
      <c r="N965" s="131"/>
      <c r="O965" s="131"/>
      <c r="P965" s="131"/>
      <c r="Q965" s="131"/>
      <c r="R965" s="131"/>
      <c r="S965" s="131"/>
      <c r="T965" s="131"/>
      <c r="U965" s="132"/>
      <c r="V965" s="132"/>
    </row>
    <row r="966" ht="12.75" customHeight="1">
      <c r="A966" s="128"/>
      <c r="B966" s="128"/>
      <c r="C966" s="128"/>
      <c r="D966" s="129"/>
      <c r="E966" s="128"/>
      <c r="F966" s="130"/>
      <c r="G966" s="131"/>
      <c r="H966" s="131"/>
      <c r="I966" s="131"/>
      <c r="J966" s="131"/>
      <c r="K966" s="131"/>
      <c r="L966" s="131"/>
      <c r="M966" s="131"/>
      <c r="N966" s="131"/>
      <c r="O966" s="131"/>
      <c r="P966" s="131"/>
      <c r="Q966" s="131"/>
      <c r="R966" s="131"/>
      <c r="S966" s="131"/>
      <c r="T966" s="131"/>
      <c r="U966" s="132"/>
      <c r="V966" s="132"/>
    </row>
    <row r="967" ht="12.75" customHeight="1">
      <c r="A967" s="128"/>
      <c r="B967" s="128"/>
      <c r="C967" s="128"/>
      <c r="D967" s="129"/>
      <c r="E967" s="128"/>
      <c r="F967" s="130"/>
      <c r="G967" s="131"/>
      <c r="H967" s="131"/>
      <c r="I967" s="131"/>
      <c r="J967" s="131"/>
      <c r="K967" s="131"/>
      <c r="L967" s="131"/>
      <c r="M967" s="131"/>
      <c r="N967" s="131"/>
      <c r="O967" s="131"/>
      <c r="P967" s="131"/>
      <c r="Q967" s="131"/>
      <c r="R967" s="131"/>
      <c r="S967" s="131"/>
      <c r="T967" s="131"/>
      <c r="U967" s="132"/>
      <c r="V967" s="132"/>
    </row>
    <row r="968" ht="12.75" customHeight="1">
      <c r="A968" s="128"/>
      <c r="B968" s="128"/>
      <c r="C968" s="128"/>
      <c r="D968" s="129"/>
      <c r="E968" s="128"/>
      <c r="F968" s="130"/>
      <c r="G968" s="131"/>
      <c r="H968" s="131"/>
      <c r="I968" s="131"/>
      <c r="J968" s="131"/>
      <c r="K968" s="131"/>
      <c r="L968" s="131"/>
      <c r="M968" s="131"/>
      <c r="N968" s="131"/>
      <c r="O968" s="131"/>
      <c r="P968" s="131"/>
      <c r="Q968" s="131"/>
      <c r="R968" s="131"/>
      <c r="S968" s="131"/>
      <c r="T968" s="131"/>
      <c r="U968" s="132"/>
      <c r="V968" s="132"/>
    </row>
    <row r="969" ht="12.75" customHeight="1">
      <c r="A969" s="128"/>
      <c r="B969" s="128"/>
      <c r="C969" s="128"/>
      <c r="D969" s="129"/>
      <c r="E969" s="128"/>
      <c r="F969" s="130"/>
      <c r="G969" s="131"/>
      <c r="H969" s="131"/>
      <c r="I969" s="131"/>
      <c r="J969" s="131"/>
      <c r="K969" s="131"/>
      <c r="L969" s="131"/>
      <c r="M969" s="131"/>
      <c r="N969" s="131"/>
      <c r="O969" s="131"/>
      <c r="P969" s="131"/>
      <c r="Q969" s="131"/>
      <c r="R969" s="131"/>
      <c r="S969" s="131"/>
      <c r="T969" s="131"/>
      <c r="U969" s="132"/>
      <c r="V969" s="132"/>
    </row>
    <row r="970" ht="12.75" customHeight="1">
      <c r="A970" s="128"/>
      <c r="B970" s="128"/>
      <c r="C970" s="128"/>
      <c r="D970" s="129"/>
      <c r="E970" s="128"/>
      <c r="F970" s="130"/>
      <c r="G970" s="131"/>
      <c r="H970" s="131"/>
      <c r="I970" s="131"/>
      <c r="J970" s="131"/>
      <c r="K970" s="131"/>
      <c r="L970" s="131"/>
      <c r="M970" s="131"/>
      <c r="N970" s="131"/>
      <c r="O970" s="131"/>
      <c r="P970" s="131"/>
      <c r="Q970" s="131"/>
      <c r="R970" s="131"/>
      <c r="S970" s="131"/>
      <c r="T970" s="131"/>
      <c r="U970" s="132"/>
      <c r="V970" s="132"/>
    </row>
    <row r="971" ht="12.75" customHeight="1">
      <c r="A971" s="128"/>
      <c r="B971" s="128"/>
      <c r="C971" s="128"/>
      <c r="D971" s="129"/>
      <c r="E971" s="128"/>
      <c r="F971" s="130"/>
      <c r="G971" s="131"/>
      <c r="H971" s="131"/>
      <c r="I971" s="131"/>
      <c r="J971" s="131"/>
      <c r="K971" s="131"/>
      <c r="L971" s="131"/>
      <c r="M971" s="131"/>
      <c r="N971" s="131"/>
      <c r="O971" s="131"/>
      <c r="P971" s="131"/>
      <c r="Q971" s="131"/>
      <c r="R971" s="131"/>
      <c r="S971" s="131"/>
      <c r="T971" s="131"/>
      <c r="U971" s="132"/>
      <c r="V971" s="132"/>
    </row>
    <row r="972" ht="12.75" customHeight="1">
      <c r="A972" s="128"/>
      <c r="B972" s="128"/>
      <c r="C972" s="128"/>
      <c r="D972" s="129"/>
      <c r="E972" s="128"/>
      <c r="F972" s="130"/>
      <c r="G972" s="131"/>
      <c r="H972" s="131"/>
      <c r="I972" s="131"/>
      <c r="J972" s="131"/>
      <c r="K972" s="131"/>
      <c r="L972" s="131"/>
      <c r="M972" s="131"/>
      <c r="N972" s="131"/>
      <c r="O972" s="131"/>
      <c r="P972" s="131"/>
      <c r="Q972" s="131"/>
      <c r="R972" s="131"/>
      <c r="S972" s="131"/>
      <c r="T972" s="131"/>
      <c r="U972" s="132"/>
      <c r="V972" s="132"/>
    </row>
    <row r="973" ht="12.75" customHeight="1">
      <c r="A973" s="128"/>
      <c r="B973" s="128"/>
      <c r="C973" s="128"/>
      <c r="D973" s="129"/>
      <c r="E973" s="128"/>
      <c r="F973" s="130"/>
      <c r="G973" s="131"/>
      <c r="H973" s="131"/>
      <c r="I973" s="131"/>
      <c r="J973" s="131"/>
      <c r="K973" s="131"/>
      <c r="L973" s="131"/>
      <c r="M973" s="131"/>
      <c r="N973" s="131"/>
      <c r="O973" s="131"/>
      <c r="P973" s="131"/>
      <c r="Q973" s="131"/>
      <c r="R973" s="131"/>
      <c r="S973" s="131"/>
      <c r="T973" s="131"/>
      <c r="U973" s="132"/>
      <c r="V973" s="132"/>
    </row>
    <row r="974" ht="12.75" customHeight="1">
      <c r="A974" s="128"/>
      <c r="B974" s="128"/>
      <c r="C974" s="128"/>
      <c r="D974" s="129"/>
      <c r="E974" s="128"/>
      <c r="F974" s="130"/>
      <c r="G974" s="131"/>
      <c r="H974" s="131"/>
      <c r="I974" s="131"/>
      <c r="J974" s="131"/>
      <c r="K974" s="131"/>
      <c r="L974" s="131"/>
      <c r="M974" s="131"/>
      <c r="N974" s="131"/>
      <c r="O974" s="131"/>
      <c r="P974" s="131"/>
      <c r="Q974" s="131"/>
      <c r="R974" s="131"/>
      <c r="S974" s="131"/>
      <c r="T974" s="131"/>
      <c r="U974" s="132"/>
      <c r="V974" s="132"/>
    </row>
    <row r="975" ht="12.75" customHeight="1">
      <c r="A975" s="128"/>
      <c r="B975" s="128"/>
      <c r="C975" s="128"/>
      <c r="D975" s="129"/>
      <c r="E975" s="128"/>
      <c r="F975" s="130"/>
      <c r="G975" s="131"/>
      <c r="H975" s="131"/>
      <c r="I975" s="131"/>
      <c r="J975" s="131"/>
      <c r="K975" s="131"/>
      <c r="L975" s="131"/>
      <c r="M975" s="131"/>
      <c r="N975" s="131"/>
      <c r="O975" s="131"/>
      <c r="P975" s="131"/>
      <c r="Q975" s="131"/>
      <c r="R975" s="131"/>
      <c r="S975" s="131"/>
      <c r="T975" s="131"/>
      <c r="U975" s="132"/>
      <c r="V975" s="132"/>
    </row>
    <row r="976" ht="12.75" customHeight="1">
      <c r="A976" s="128"/>
      <c r="B976" s="128"/>
      <c r="C976" s="128"/>
      <c r="D976" s="129"/>
      <c r="E976" s="128"/>
      <c r="F976" s="130"/>
      <c r="G976" s="131"/>
      <c r="H976" s="131"/>
      <c r="I976" s="131"/>
      <c r="J976" s="131"/>
      <c r="K976" s="131"/>
      <c r="L976" s="131"/>
      <c r="M976" s="131"/>
      <c r="N976" s="131"/>
      <c r="O976" s="131"/>
      <c r="P976" s="131"/>
      <c r="Q976" s="131"/>
      <c r="R976" s="131"/>
      <c r="S976" s="131"/>
      <c r="T976" s="131"/>
      <c r="U976" s="132"/>
      <c r="V976" s="132"/>
    </row>
    <row r="977" ht="12.75" customHeight="1">
      <c r="A977" s="128"/>
      <c r="B977" s="128"/>
      <c r="C977" s="128"/>
      <c r="D977" s="129"/>
      <c r="E977" s="128"/>
      <c r="F977" s="130"/>
      <c r="G977" s="131"/>
      <c r="H977" s="131"/>
      <c r="I977" s="131"/>
      <c r="J977" s="131"/>
      <c r="K977" s="131"/>
      <c r="L977" s="131"/>
      <c r="M977" s="131"/>
      <c r="N977" s="131"/>
      <c r="O977" s="131"/>
      <c r="P977" s="131"/>
      <c r="Q977" s="131"/>
      <c r="R977" s="131"/>
      <c r="S977" s="131"/>
      <c r="T977" s="131"/>
      <c r="U977" s="132"/>
      <c r="V977" s="132"/>
    </row>
    <row r="978" ht="12.75" customHeight="1">
      <c r="A978" s="128"/>
      <c r="B978" s="128"/>
      <c r="C978" s="128"/>
      <c r="D978" s="129"/>
      <c r="E978" s="128"/>
      <c r="F978" s="130"/>
      <c r="G978" s="131"/>
      <c r="H978" s="131"/>
      <c r="I978" s="131"/>
      <c r="J978" s="131"/>
      <c r="K978" s="131"/>
      <c r="L978" s="131"/>
      <c r="M978" s="131"/>
      <c r="N978" s="131"/>
      <c r="O978" s="131"/>
      <c r="P978" s="131"/>
      <c r="Q978" s="131"/>
      <c r="R978" s="131"/>
      <c r="S978" s="131"/>
      <c r="T978" s="131"/>
      <c r="U978" s="132"/>
      <c r="V978" s="132"/>
    </row>
    <row r="979" ht="12.75" customHeight="1">
      <c r="A979" s="128"/>
      <c r="B979" s="128"/>
      <c r="C979" s="128"/>
      <c r="D979" s="129"/>
      <c r="E979" s="128"/>
      <c r="F979" s="130"/>
      <c r="G979" s="131"/>
      <c r="H979" s="131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32"/>
      <c r="V979" s="132"/>
    </row>
    <row r="980" ht="12.75" customHeight="1">
      <c r="A980" s="128"/>
      <c r="B980" s="128"/>
      <c r="C980" s="128"/>
      <c r="D980" s="129"/>
      <c r="E980" s="128"/>
      <c r="F980" s="130"/>
      <c r="G980" s="131"/>
      <c r="H980" s="131"/>
      <c r="I980" s="131"/>
      <c r="J980" s="131"/>
      <c r="K980" s="131"/>
      <c r="L980" s="131"/>
      <c r="M980" s="131"/>
      <c r="N980" s="131"/>
      <c r="O980" s="131"/>
      <c r="P980" s="131"/>
      <c r="Q980" s="131"/>
      <c r="R980" s="131"/>
      <c r="S980" s="131"/>
      <c r="T980" s="131"/>
      <c r="U980" s="132"/>
      <c r="V980" s="132"/>
    </row>
    <row r="981" ht="12.75" customHeight="1">
      <c r="A981" s="128"/>
      <c r="B981" s="128"/>
      <c r="C981" s="128"/>
      <c r="D981" s="129"/>
      <c r="E981" s="128"/>
      <c r="F981" s="130"/>
      <c r="G981" s="131"/>
      <c r="H981" s="131"/>
      <c r="I981" s="131"/>
      <c r="J981" s="131"/>
      <c r="K981" s="131"/>
      <c r="L981" s="131"/>
      <c r="M981" s="131"/>
      <c r="N981" s="131"/>
      <c r="O981" s="131"/>
      <c r="P981" s="131"/>
      <c r="Q981" s="131"/>
      <c r="R981" s="131"/>
      <c r="S981" s="131"/>
      <c r="T981" s="131"/>
      <c r="U981" s="132"/>
      <c r="V981" s="132"/>
    </row>
    <row r="982" ht="12.75" customHeight="1">
      <c r="A982" s="128"/>
      <c r="B982" s="128"/>
      <c r="C982" s="128"/>
      <c r="D982" s="129"/>
      <c r="E982" s="128"/>
      <c r="F982" s="130"/>
      <c r="G982" s="131"/>
      <c r="H982" s="131"/>
      <c r="I982" s="131"/>
      <c r="J982" s="131"/>
      <c r="K982" s="131"/>
      <c r="L982" s="131"/>
      <c r="M982" s="131"/>
      <c r="N982" s="131"/>
      <c r="O982" s="131"/>
      <c r="P982" s="131"/>
      <c r="Q982" s="131"/>
      <c r="R982" s="131"/>
      <c r="S982" s="131"/>
      <c r="T982" s="131"/>
      <c r="U982" s="132"/>
      <c r="V982" s="132"/>
    </row>
    <row r="983" ht="12.75" customHeight="1">
      <c r="A983" s="128"/>
      <c r="B983" s="128"/>
      <c r="C983" s="128"/>
      <c r="D983" s="129"/>
      <c r="E983" s="128"/>
      <c r="F983" s="130"/>
      <c r="G983" s="131"/>
      <c r="H983" s="131"/>
      <c r="I983" s="131"/>
      <c r="J983" s="131"/>
      <c r="K983" s="131"/>
      <c r="L983" s="131"/>
      <c r="M983" s="131"/>
      <c r="N983" s="131"/>
      <c r="O983" s="131"/>
      <c r="P983" s="131"/>
      <c r="Q983" s="131"/>
      <c r="R983" s="131"/>
      <c r="S983" s="131"/>
      <c r="T983" s="131"/>
      <c r="U983" s="132"/>
      <c r="V983" s="132"/>
    </row>
    <row r="984" ht="12.75" customHeight="1">
      <c r="A984" s="128"/>
      <c r="B984" s="128"/>
      <c r="C984" s="128"/>
      <c r="D984" s="129"/>
      <c r="E984" s="128"/>
      <c r="F984" s="130"/>
      <c r="G984" s="131"/>
      <c r="H984" s="131"/>
      <c r="I984" s="131"/>
      <c r="J984" s="131"/>
      <c r="K984" s="131"/>
      <c r="L984" s="131"/>
      <c r="M984" s="131"/>
      <c r="N984" s="131"/>
      <c r="O984" s="131"/>
      <c r="P984" s="131"/>
      <c r="Q984" s="131"/>
      <c r="R984" s="131"/>
      <c r="S984" s="131"/>
      <c r="T984" s="131"/>
      <c r="U984" s="132"/>
      <c r="V984" s="132"/>
    </row>
    <row r="985" ht="12.75" customHeight="1">
      <c r="A985" s="128"/>
      <c r="B985" s="128"/>
      <c r="C985" s="128"/>
      <c r="D985" s="129"/>
      <c r="E985" s="128"/>
      <c r="F985" s="130"/>
      <c r="G985" s="131"/>
      <c r="H985" s="131"/>
      <c r="I985" s="131"/>
      <c r="J985" s="131"/>
      <c r="K985" s="131"/>
      <c r="L985" s="131"/>
      <c r="M985" s="131"/>
      <c r="N985" s="131"/>
      <c r="O985" s="131"/>
      <c r="P985" s="131"/>
      <c r="Q985" s="131"/>
      <c r="R985" s="131"/>
      <c r="S985" s="131"/>
      <c r="T985" s="131"/>
      <c r="U985" s="132"/>
      <c r="V985" s="132"/>
    </row>
    <row r="986" ht="12.75" customHeight="1">
      <c r="A986" s="128"/>
      <c r="B986" s="128"/>
      <c r="C986" s="128"/>
      <c r="D986" s="129"/>
      <c r="E986" s="128"/>
      <c r="F986" s="130"/>
      <c r="G986" s="131"/>
      <c r="H986" s="131"/>
      <c r="I986" s="131"/>
      <c r="J986" s="131"/>
      <c r="K986" s="131"/>
      <c r="L986" s="131"/>
      <c r="M986" s="131"/>
      <c r="N986" s="131"/>
      <c r="O986" s="131"/>
      <c r="P986" s="131"/>
      <c r="Q986" s="131"/>
      <c r="R986" s="131"/>
      <c r="S986" s="131"/>
      <c r="T986" s="131"/>
      <c r="U986" s="132"/>
      <c r="V986" s="132"/>
    </row>
    <row r="987" ht="12.75" customHeight="1">
      <c r="A987" s="128"/>
      <c r="B987" s="128"/>
      <c r="C987" s="128"/>
      <c r="D987" s="129"/>
      <c r="E987" s="128"/>
      <c r="F987" s="130"/>
      <c r="G987" s="131"/>
      <c r="H987" s="131"/>
      <c r="I987" s="131"/>
      <c r="J987" s="131"/>
      <c r="K987" s="131"/>
      <c r="L987" s="131"/>
      <c r="M987" s="131"/>
      <c r="N987" s="131"/>
      <c r="O987" s="131"/>
      <c r="P987" s="131"/>
      <c r="Q987" s="131"/>
      <c r="R987" s="131"/>
      <c r="S987" s="131"/>
      <c r="T987" s="131"/>
      <c r="U987" s="132"/>
      <c r="V987" s="132"/>
    </row>
    <row r="988" ht="12.75" customHeight="1">
      <c r="A988" s="128"/>
      <c r="B988" s="128"/>
      <c r="C988" s="128"/>
      <c r="D988" s="129"/>
      <c r="E988" s="128"/>
      <c r="F988" s="130"/>
      <c r="G988" s="131"/>
      <c r="H988" s="131"/>
      <c r="I988" s="131"/>
      <c r="J988" s="131"/>
      <c r="K988" s="131"/>
      <c r="L988" s="131"/>
      <c r="M988" s="131"/>
      <c r="N988" s="131"/>
      <c r="O988" s="131"/>
      <c r="P988" s="131"/>
      <c r="Q988" s="131"/>
      <c r="R988" s="131"/>
      <c r="S988" s="131"/>
      <c r="T988" s="131"/>
      <c r="U988" s="132"/>
      <c r="V988" s="132"/>
    </row>
    <row r="989" ht="12.75" customHeight="1">
      <c r="A989" s="128"/>
      <c r="B989" s="128"/>
      <c r="C989" s="128"/>
      <c r="D989" s="129"/>
      <c r="E989" s="128"/>
      <c r="F989" s="130"/>
      <c r="G989" s="131"/>
      <c r="H989" s="131"/>
      <c r="I989" s="131"/>
      <c r="J989" s="131"/>
      <c r="K989" s="131"/>
      <c r="L989" s="131"/>
      <c r="M989" s="131"/>
      <c r="N989" s="131"/>
      <c r="O989" s="131"/>
      <c r="P989" s="131"/>
      <c r="Q989" s="131"/>
      <c r="R989" s="131"/>
      <c r="S989" s="131"/>
      <c r="T989" s="131"/>
      <c r="U989" s="132"/>
      <c r="V989" s="132"/>
    </row>
    <row r="990" ht="12.75" customHeight="1">
      <c r="A990" s="128"/>
      <c r="B990" s="128"/>
      <c r="C990" s="128"/>
      <c r="D990" s="129"/>
      <c r="E990" s="128"/>
      <c r="F990" s="130"/>
      <c r="G990" s="131"/>
      <c r="H990" s="131"/>
      <c r="I990" s="131"/>
      <c r="J990" s="131"/>
      <c r="K990" s="131"/>
      <c r="L990" s="131"/>
      <c r="M990" s="131"/>
      <c r="N990" s="131"/>
      <c r="O990" s="131"/>
      <c r="P990" s="131"/>
      <c r="Q990" s="131"/>
      <c r="R990" s="131"/>
      <c r="S990" s="131"/>
      <c r="T990" s="131"/>
      <c r="U990" s="132"/>
      <c r="V990" s="132"/>
    </row>
    <row r="991" ht="12.75" customHeight="1">
      <c r="A991" s="128"/>
      <c r="B991" s="128"/>
      <c r="C991" s="128"/>
      <c r="D991" s="129"/>
      <c r="E991" s="128"/>
      <c r="F991" s="130"/>
      <c r="G991" s="131"/>
      <c r="H991" s="131"/>
      <c r="I991" s="131"/>
      <c r="J991" s="131"/>
      <c r="K991" s="131"/>
      <c r="L991" s="131"/>
      <c r="M991" s="131"/>
      <c r="N991" s="131"/>
      <c r="O991" s="131"/>
      <c r="P991" s="131"/>
      <c r="Q991" s="131"/>
      <c r="R991" s="131"/>
      <c r="S991" s="131"/>
      <c r="T991" s="131"/>
      <c r="U991" s="132"/>
      <c r="V991" s="132"/>
    </row>
    <row r="992" ht="12.75" customHeight="1">
      <c r="A992" s="128"/>
      <c r="B992" s="128"/>
      <c r="C992" s="128"/>
      <c r="D992" s="129"/>
      <c r="E992" s="128"/>
      <c r="F992" s="130"/>
      <c r="G992" s="131"/>
      <c r="H992" s="131"/>
      <c r="I992" s="131"/>
      <c r="J992" s="131"/>
      <c r="K992" s="131"/>
      <c r="L992" s="131"/>
      <c r="M992" s="131"/>
      <c r="N992" s="131"/>
      <c r="O992" s="131"/>
      <c r="P992" s="131"/>
      <c r="Q992" s="131"/>
      <c r="R992" s="131"/>
      <c r="S992" s="131"/>
      <c r="T992" s="131"/>
      <c r="U992" s="132"/>
      <c r="V992" s="132"/>
    </row>
    <row r="993" ht="12.75" customHeight="1">
      <c r="A993" s="128"/>
      <c r="B993" s="128"/>
      <c r="C993" s="128"/>
      <c r="D993" s="129"/>
      <c r="E993" s="128"/>
      <c r="F993" s="130"/>
      <c r="G993" s="131"/>
      <c r="H993" s="131"/>
      <c r="I993" s="131"/>
      <c r="J993" s="131"/>
      <c r="K993" s="131"/>
      <c r="L993" s="131"/>
      <c r="M993" s="131"/>
      <c r="N993" s="131"/>
      <c r="O993" s="131"/>
      <c r="P993" s="131"/>
      <c r="Q993" s="131"/>
      <c r="R993" s="131"/>
      <c r="S993" s="131"/>
      <c r="T993" s="131"/>
      <c r="U993" s="132"/>
      <c r="V993" s="132"/>
    </row>
    <row r="994" ht="12.75" customHeight="1">
      <c r="A994" s="128"/>
      <c r="B994" s="128"/>
      <c r="C994" s="128"/>
      <c r="D994" s="129"/>
      <c r="E994" s="128"/>
      <c r="F994" s="130"/>
      <c r="G994" s="131"/>
      <c r="H994" s="131"/>
      <c r="I994" s="131"/>
      <c r="J994" s="131"/>
      <c r="K994" s="131"/>
      <c r="L994" s="131"/>
      <c r="M994" s="131"/>
      <c r="N994" s="131"/>
      <c r="O994" s="131"/>
      <c r="P994" s="131"/>
      <c r="Q994" s="131"/>
      <c r="R994" s="131"/>
      <c r="S994" s="131"/>
      <c r="T994" s="131"/>
      <c r="U994" s="132"/>
      <c r="V994" s="132"/>
    </row>
    <row r="995" ht="12.75" customHeight="1">
      <c r="A995" s="128"/>
      <c r="B995" s="128"/>
      <c r="C995" s="128"/>
      <c r="D995" s="129"/>
      <c r="E995" s="128"/>
      <c r="F995" s="130"/>
      <c r="G995" s="131"/>
      <c r="H995" s="131"/>
      <c r="I995" s="131"/>
      <c r="J995" s="131"/>
      <c r="K995" s="131"/>
      <c r="L995" s="131"/>
      <c r="M995" s="131"/>
      <c r="N995" s="131"/>
      <c r="O995" s="131"/>
      <c r="P995" s="131"/>
      <c r="Q995" s="131"/>
      <c r="R995" s="131"/>
      <c r="S995" s="131"/>
      <c r="T995" s="131"/>
      <c r="U995" s="132"/>
      <c r="V995" s="132"/>
    </row>
    <row r="996" ht="12.75" customHeight="1">
      <c r="A996" s="128"/>
      <c r="B996" s="128"/>
      <c r="C996" s="128"/>
      <c r="D996" s="129"/>
      <c r="E996" s="128"/>
      <c r="F996" s="130"/>
      <c r="G996" s="131"/>
      <c r="H996" s="131"/>
      <c r="I996" s="131"/>
      <c r="J996" s="131"/>
      <c r="K996" s="131"/>
      <c r="L996" s="131"/>
      <c r="M996" s="131"/>
      <c r="N996" s="131"/>
      <c r="O996" s="131"/>
      <c r="P996" s="131"/>
      <c r="Q996" s="131"/>
      <c r="R996" s="131"/>
      <c r="S996" s="131"/>
      <c r="T996" s="131"/>
      <c r="U996" s="132"/>
      <c r="V996" s="132"/>
    </row>
    <row r="997" ht="12.75" customHeight="1">
      <c r="A997" s="128"/>
      <c r="B997" s="128"/>
      <c r="C997" s="128"/>
      <c r="D997" s="129"/>
      <c r="E997" s="128"/>
      <c r="F997" s="130"/>
      <c r="G997" s="131"/>
      <c r="H997" s="131"/>
      <c r="I997" s="131"/>
      <c r="J997" s="131"/>
      <c r="K997" s="131"/>
      <c r="L997" s="131"/>
      <c r="M997" s="131"/>
      <c r="N997" s="131"/>
      <c r="O997" s="131"/>
      <c r="P997" s="131"/>
      <c r="Q997" s="131"/>
      <c r="R997" s="131"/>
      <c r="S997" s="131"/>
      <c r="T997" s="131"/>
      <c r="U997" s="132"/>
      <c r="V997" s="132"/>
    </row>
    <row r="998" ht="12.75" customHeight="1">
      <c r="A998" s="128"/>
      <c r="B998" s="128"/>
      <c r="C998" s="128"/>
      <c r="D998" s="129"/>
      <c r="E998" s="128"/>
      <c r="F998" s="130"/>
      <c r="G998" s="131"/>
      <c r="H998" s="131"/>
      <c r="I998" s="131"/>
      <c r="J998" s="131"/>
      <c r="K998" s="131"/>
      <c r="L998" s="131"/>
      <c r="M998" s="131"/>
      <c r="N998" s="131"/>
      <c r="O998" s="131"/>
      <c r="P998" s="131"/>
      <c r="Q998" s="131"/>
      <c r="R998" s="131"/>
      <c r="S998" s="131"/>
      <c r="T998" s="131"/>
      <c r="U998" s="132"/>
      <c r="V998" s="132"/>
    </row>
    <row r="999" ht="12.75" customHeight="1">
      <c r="A999" s="128"/>
      <c r="B999" s="128"/>
      <c r="C999" s="128"/>
      <c r="D999" s="129"/>
      <c r="E999" s="128"/>
      <c r="F999" s="130"/>
      <c r="G999" s="131"/>
      <c r="H999" s="131"/>
      <c r="I999" s="131"/>
      <c r="J999" s="131"/>
      <c r="K999" s="131"/>
      <c r="L999" s="131"/>
      <c r="M999" s="131"/>
      <c r="N999" s="131"/>
      <c r="O999" s="131"/>
      <c r="P999" s="131"/>
      <c r="Q999" s="131"/>
      <c r="R999" s="131"/>
      <c r="S999" s="131"/>
      <c r="T999" s="131"/>
      <c r="U999" s="132"/>
      <c r="V999" s="132"/>
    </row>
    <row r="1000" ht="12.75" customHeight="1">
      <c r="A1000" s="128"/>
      <c r="B1000" s="128"/>
      <c r="C1000" s="128"/>
      <c r="D1000" s="129"/>
      <c r="E1000" s="128"/>
      <c r="F1000" s="130"/>
      <c r="G1000" s="131"/>
      <c r="H1000" s="131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1"/>
      <c r="U1000" s="132"/>
      <c r="V1000" s="132"/>
    </row>
    <row r="1001" ht="12.75" customHeight="1">
      <c r="A1001" s="128"/>
      <c r="B1001" s="128"/>
      <c r="C1001" s="128"/>
      <c r="D1001" s="129"/>
      <c r="E1001" s="128"/>
      <c r="F1001" s="130"/>
      <c r="G1001" s="131"/>
      <c r="H1001" s="131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1"/>
      <c r="U1001" s="132"/>
      <c r="V1001" s="132"/>
    </row>
    <row r="1002" ht="12.75" customHeight="1">
      <c r="A1002" s="128"/>
      <c r="B1002" s="128"/>
      <c r="C1002" s="128"/>
      <c r="D1002" s="129"/>
      <c r="E1002" s="128"/>
      <c r="F1002" s="13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1"/>
      <c r="U1002" s="132"/>
      <c r="V1002" s="132"/>
    </row>
    <row r="1003" ht="12.75" customHeight="1">
      <c r="A1003" s="128"/>
      <c r="B1003" s="128"/>
      <c r="C1003" s="128"/>
      <c r="D1003" s="129"/>
      <c r="E1003" s="128"/>
      <c r="F1003" s="13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1"/>
      <c r="U1003" s="132"/>
      <c r="V1003" s="132"/>
    </row>
    <row r="1004" ht="12.75" customHeight="1">
      <c r="A1004" s="128"/>
      <c r="B1004" s="128"/>
      <c r="C1004" s="128"/>
      <c r="D1004" s="129"/>
      <c r="E1004" s="128"/>
      <c r="F1004" s="13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1"/>
      <c r="U1004" s="132"/>
      <c r="V1004" s="132"/>
    </row>
    <row r="1005" ht="12.75" customHeight="1">
      <c r="A1005" s="128"/>
      <c r="B1005" s="128"/>
      <c r="C1005" s="128"/>
      <c r="D1005" s="129"/>
      <c r="E1005" s="128"/>
      <c r="F1005" s="130"/>
      <c r="G1005" s="131"/>
      <c r="H1005" s="131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1"/>
      <c r="U1005" s="132"/>
      <c r="V1005" s="132"/>
    </row>
    <row r="1006" ht="12.75" customHeight="1">
      <c r="A1006" s="128"/>
      <c r="B1006" s="128"/>
      <c r="C1006" s="128"/>
      <c r="D1006" s="129"/>
      <c r="E1006" s="128"/>
      <c r="F1006" s="130"/>
      <c r="G1006" s="131"/>
      <c r="H1006" s="131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1"/>
      <c r="U1006" s="132"/>
      <c r="V1006" s="132"/>
    </row>
    <row r="1007" ht="12.75" customHeight="1">
      <c r="A1007" s="128"/>
      <c r="B1007" s="128"/>
      <c r="C1007" s="128"/>
      <c r="D1007" s="129"/>
      <c r="E1007" s="128"/>
      <c r="F1007" s="130"/>
      <c r="G1007" s="131"/>
      <c r="H1007" s="131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1"/>
      <c r="U1007" s="132"/>
      <c r="V1007" s="132"/>
    </row>
    <row r="1008" ht="12.75" customHeight="1">
      <c r="A1008" s="128"/>
      <c r="B1008" s="128"/>
      <c r="C1008" s="128"/>
      <c r="D1008" s="129"/>
      <c r="E1008" s="128"/>
      <c r="F1008" s="130"/>
      <c r="G1008" s="131"/>
      <c r="H1008" s="131"/>
      <c r="I1008" s="131"/>
      <c r="J1008" s="131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1"/>
      <c r="U1008" s="132"/>
      <c r="V1008" s="132"/>
    </row>
    <row r="1009" ht="12.75" customHeight="1">
      <c r="A1009" s="128"/>
      <c r="B1009" s="128"/>
      <c r="C1009" s="128"/>
      <c r="D1009" s="129"/>
      <c r="E1009" s="128"/>
      <c r="F1009" s="130"/>
      <c r="G1009" s="131"/>
      <c r="H1009" s="131"/>
      <c r="I1009" s="131"/>
      <c r="J1009" s="131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1"/>
      <c r="U1009" s="132"/>
      <c r="V1009" s="132"/>
    </row>
    <row r="1010" ht="12.75" customHeight="1">
      <c r="A1010" s="128"/>
      <c r="B1010" s="128"/>
      <c r="C1010" s="128"/>
      <c r="D1010" s="129"/>
      <c r="E1010" s="128"/>
      <c r="F1010" s="130"/>
      <c r="G1010" s="131"/>
      <c r="H1010" s="131"/>
      <c r="I1010" s="131"/>
      <c r="J1010" s="131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1"/>
      <c r="U1010" s="132"/>
      <c r="V1010" s="132"/>
    </row>
    <row r="1011" ht="12.75" customHeight="1">
      <c r="A1011" s="128"/>
      <c r="B1011" s="128"/>
      <c r="C1011" s="128"/>
      <c r="D1011" s="129"/>
      <c r="E1011" s="128"/>
      <c r="F1011" s="130"/>
      <c r="G1011" s="131"/>
      <c r="H1011" s="131"/>
      <c r="I1011" s="131"/>
      <c r="J1011" s="131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1"/>
      <c r="U1011" s="132"/>
      <c r="V1011" s="132"/>
    </row>
    <row r="1012" ht="12.75" customHeight="1">
      <c r="A1012" s="128"/>
      <c r="B1012" s="128"/>
      <c r="C1012" s="128"/>
      <c r="D1012" s="129"/>
      <c r="E1012" s="128"/>
      <c r="F1012" s="130"/>
      <c r="G1012" s="131"/>
      <c r="H1012" s="131"/>
      <c r="I1012" s="131"/>
      <c r="J1012" s="131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1"/>
      <c r="U1012" s="132"/>
      <c r="V1012" s="132"/>
    </row>
    <row r="1013" ht="12.75" customHeight="1">
      <c r="A1013" s="128"/>
      <c r="B1013" s="128"/>
      <c r="C1013" s="128"/>
      <c r="D1013" s="129"/>
      <c r="E1013" s="128"/>
      <c r="F1013" s="130"/>
      <c r="G1013" s="131"/>
      <c r="H1013" s="131"/>
      <c r="I1013" s="131"/>
      <c r="J1013" s="131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1"/>
      <c r="U1013" s="132"/>
      <c r="V1013" s="132"/>
    </row>
    <row r="1014" ht="12.75" customHeight="1">
      <c r="A1014" s="128"/>
      <c r="B1014" s="128"/>
      <c r="C1014" s="128"/>
      <c r="D1014" s="129"/>
      <c r="E1014" s="128"/>
      <c r="F1014" s="130"/>
      <c r="G1014" s="131"/>
      <c r="H1014" s="131"/>
      <c r="I1014" s="131"/>
      <c r="J1014" s="131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1"/>
      <c r="U1014" s="132"/>
      <c r="V1014" s="132"/>
    </row>
    <row r="1015" ht="12.75" customHeight="1">
      <c r="A1015" s="128"/>
      <c r="B1015" s="128"/>
      <c r="C1015" s="128"/>
      <c r="D1015" s="129"/>
      <c r="E1015" s="128"/>
      <c r="F1015" s="130"/>
      <c r="G1015" s="131"/>
      <c r="H1015" s="131"/>
      <c r="I1015" s="131"/>
      <c r="J1015" s="131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1"/>
      <c r="U1015" s="132"/>
      <c r="V1015" s="132"/>
    </row>
    <row r="1016" ht="12.75" customHeight="1">
      <c r="A1016" s="128"/>
      <c r="B1016" s="128"/>
      <c r="C1016" s="128"/>
      <c r="D1016" s="129"/>
      <c r="E1016" s="128"/>
      <c r="F1016" s="130"/>
      <c r="G1016" s="131"/>
      <c r="H1016" s="131"/>
      <c r="I1016" s="131"/>
      <c r="J1016" s="131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1"/>
      <c r="U1016" s="132"/>
      <c r="V1016" s="132"/>
    </row>
    <row r="1017" ht="12.75" customHeight="1">
      <c r="A1017" s="128"/>
      <c r="B1017" s="128"/>
      <c r="C1017" s="128"/>
      <c r="D1017" s="129"/>
      <c r="E1017" s="128"/>
      <c r="F1017" s="130"/>
      <c r="G1017" s="131"/>
      <c r="H1017" s="131"/>
      <c r="I1017" s="131"/>
      <c r="J1017" s="131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1"/>
      <c r="U1017" s="132"/>
      <c r="V1017" s="132"/>
    </row>
    <row r="1018" ht="12.75" customHeight="1">
      <c r="A1018" s="128"/>
      <c r="B1018" s="128"/>
      <c r="C1018" s="128"/>
      <c r="D1018" s="129"/>
      <c r="E1018" s="128"/>
      <c r="F1018" s="130"/>
      <c r="G1018" s="131"/>
      <c r="H1018" s="131"/>
      <c r="I1018" s="131"/>
      <c r="J1018" s="131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1"/>
      <c r="U1018" s="132"/>
      <c r="V1018" s="132"/>
    </row>
    <row r="1019" ht="12.75" customHeight="1">
      <c r="A1019" s="128"/>
      <c r="B1019" s="128"/>
      <c r="C1019" s="128"/>
      <c r="D1019" s="129"/>
      <c r="E1019" s="128"/>
      <c r="F1019" s="130"/>
      <c r="G1019" s="131"/>
      <c r="H1019" s="131"/>
      <c r="I1019" s="131"/>
      <c r="J1019" s="131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1"/>
      <c r="U1019" s="132"/>
      <c r="V1019" s="132"/>
    </row>
    <row r="1020" ht="12.75" customHeight="1">
      <c r="A1020" s="128"/>
      <c r="B1020" s="128"/>
      <c r="C1020" s="128"/>
      <c r="D1020" s="129"/>
      <c r="E1020" s="128"/>
      <c r="F1020" s="130"/>
      <c r="G1020" s="131"/>
      <c r="H1020" s="131"/>
      <c r="I1020" s="131"/>
      <c r="J1020" s="131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1"/>
      <c r="U1020" s="132"/>
      <c r="V1020" s="132"/>
    </row>
    <row r="1021" ht="12.75" customHeight="1">
      <c r="A1021" s="128"/>
      <c r="B1021" s="128"/>
      <c r="C1021" s="128"/>
      <c r="D1021" s="129"/>
      <c r="E1021" s="128"/>
      <c r="F1021" s="130"/>
      <c r="G1021" s="131"/>
      <c r="H1021" s="131"/>
      <c r="I1021" s="131"/>
      <c r="J1021" s="131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1"/>
      <c r="U1021" s="132"/>
      <c r="V1021" s="132"/>
    </row>
    <row r="1022" ht="12.75" customHeight="1">
      <c r="A1022" s="128"/>
      <c r="B1022" s="128"/>
      <c r="C1022" s="128"/>
      <c r="D1022" s="129"/>
      <c r="E1022" s="128"/>
      <c r="F1022" s="130"/>
      <c r="G1022" s="131"/>
      <c r="H1022" s="131"/>
      <c r="I1022" s="131"/>
      <c r="J1022" s="131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1"/>
      <c r="U1022" s="132"/>
      <c r="V1022" s="132"/>
    </row>
    <row r="1023" ht="12.75" customHeight="1">
      <c r="A1023" s="128"/>
      <c r="B1023" s="128"/>
      <c r="C1023" s="128"/>
      <c r="D1023" s="129"/>
      <c r="E1023" s="128"/>
      <c r="F1023" s="130"/>
      <c r="G1023" s="131"/>
      <c r="H1023" s="131"/>
      <c r="I1023" s="131"/>
      <c r="J1023" s="131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1"/>
      <c r="U1023" s="132"/>
      <c r="V1023" s="132"/>
    </row>
    <row r="1024" ht="12.75" customHeight="1">
      <c r="A1024" s="128"/>
      <c r="B1024" s="128"/>
      <c r="C1024" s="128"/>
      <c r="D1024" s="129"/>
      <c r="E1024" s="128"/>
      <c r="F1024" s="130"/>
      <c r="G1024" s="131"/>
      <c r="H1024" s="131"/>
      <c r="I1024" s="131"/>
      <c r="J1024" s="131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1"/>
      <c r="U1024" s="132"/>
      <c r="V1024" s="132"/>
    </row>
    <row r="1025" ht="12.75" customHeight="1">
      <c r="A1025" s="128"/>
      <c r="B1025" s="128"/>
      <c r="C1025" s="128"/>
      <c r="D1025" s="129"/>
      <c r="E1025" s="128"/>
      <c r="F1025" s="130"/>
      <c r="G1025" s="131"/>
      <c r="H1025" s="131"/>
      <c r="I1025" s="131"/>
      <c r="J1025" s="131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1"/>
      <c r="U1025" s="132"/>
      <c r="V1025" s="132"/>
    </row>
    <row r="1026" ht="12.75" customHeight="1">
      <c r="A1026" s="128"/>
      <c r="B1026" s="128"/>
      <c r="C1026" s="128"/>
      <c r="D1026" s="129"/>
      <c r="E1026" s="128"/>
      <c r="F1026" s="130"/>
      <c r="G1026" s="131"/>
      <c r="H1026" s="131"/>
      <c r="I1026" s="131"/>
      <c r="J1026" s="131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1"/>
      <c r="U1026" s="132"/>
      <c r="V1026" s="132"/>
    </row>
    <row r="1027" ht="12.75" customHeight="1">
      <c r="A1027" s="128"/>
      <c r="B1027" s="128"/>
      <c r="C1027" s="128"/>
      <c r="D1027" s="129"/>
      <c r="E1027" s="128"/>
      <c r="F1027" s="130"/>
      <c r="G1027" s="131"/>
      <c r="H1027" s="131"/>
      <c r="I1027" s="131"/>
      <c r="J1027" s="131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1"/>
      <c r="U1027" s="132"/>
      <c r="V1027" s="132"/>
    </row>
    <row r="1028" ht="12.75" customHeight="1">
      <c r="A1028" s="128"/>
      <c r="B1028" s="128"/>
      <c r="C1028" s="128"/>
      <c r="D1028" s="129"/>
      <c r="E1028" s="128"/>
      <c r="F1028" s="130"/>
      <c r="G1028" s="131"/>
      <c r="H1028" s="131"/>
      <c r="I1028" s="131"/>
      <c r="J1028" s="131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1"/>
      <c r="U1028" s="132"/>
      <c r="V1028" s="132"/>
    </row>
    <row r="1029" ht="12.75" customHeight="1">
      <c r="A1029" s="128"/>
      <c r="B1029" s="128"/>
      <c r="C1029" s="128"/>
      <c r="D1029" s="129"/>
      <c r="E1029" s="128"/>
      <c r="F1029" s="130"/>
      <c r="G1029" s="131"/>
      <c r="H1029" s="131"/>
      <c r="I1029" s="131"/>
      <c r="J1029" s="131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1"/>
      <c r="U1029" s="132"/>
      <c r="V1029" s="132"/>
    </row>
    <row r="1030" ht="12.75" customHeight="1">
      <c r="A1030" s="128"/>
      <c r="B1030" s="128"/>
      <c r="C1030" s="128"/>
      <c r="D1030" s="129"/>
      <c r="E1030" s="128"/>
      <c r="F1030" s="130"/>
      <c r="G1030" s="131"/>
      <c r="H1030" s="131"/>
      <c r="I1030" s="131"/>
      <c r="J1030" s="131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1"/>
      <c r="U1030" s="132"/>
      <c r="V1030" s="132"/>
    </row>
    <row r="1031" ht="12.75" customHeight="1">
      <c r="A1031" s="128"/>
      <c r="B1031" s="128"/>
      <c r="C1031" s="128"/>
      <c r="D1031" s="129"/>
      <c r="E1031" s="128"/>
      <c r="F1031" s="130"/>
      <c r="G1031" s="131"/>
      <c r="H1031" s="131"/>
      <c r="I1031" s="131"/>
      <c r="J1031" s="131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1"/>
      <c r="U1031" s="132"/>
      <c r="V1031" s="132"/>
    </row>
    <row r="1032" ht="12.75" customHeight="1">
      <c r="A1032" s="128"/>
      <c r="B1032" s="128"/>
      <c r="C1032" s="128"/>
      <c r="D1032" s="129"/>
      <c r="E1032" s="128"/>
      <c r="F1032" s="130"/>
      <c r="G1032" s="131"/>
      <c r="H1032" s="131"/>
      <c r="I1032" s="131"/>
      <c r="J1032" s="131"/>
      <c r="K1032" s="131"/>
      <c r="L1032" s="131"/>
      <c r="M1032" s="131"/>
      <c r="N1032" s="131"/>
      <c r="O1032" s="131"/>
      <c r="P1032" s="131"/>
      <c r="Q1032" s="131"/>
      <c r="R1032" s="131"/>
      <c r="S1032" s="131"/>
      <c r="T1032" s="131"/>
      <c r="U1032" s="132"/>
      <c r="V1032" s="132"/>
    </row>
    <row r="1033" ht="12.75" customHeight="1">
      <c r="A1033" s="128"/>
      <c r="B1033" s="128"/>
      <c r="C1033" s="128"/>
      <c r="D1033" s="129"/>
      <c r="E1033" s="128"/>
      <c r="F1033" s="130"/>
      <c r="G1033" s="131"/>
      <c r="H1033" s="131"/>
      <c r="I1033" s="131"/>
      <c r="J1033" s="131"/>
      <c r="K1033" s="131"/>
      <c r="L1033" s="131"/>
      <c r="M1033" s="131"/>
      <c r="N1033" s="131"/>
      <c r="O1033" s="131"/>
      <c r="P1033" s="131"/>
      <c r="Q1033" s="131"/>
      <c r="R1033" s="131"/>
      <c r="S1033" s="131"/>
      <c r="T1033" s="131"/>
      <c r="U1033" s="132"/>
      <c r="V1033" s="132"/>
    </row>
    <row r="1034" ht="12.75" customHeight="1">
      <c r="A1034" s="128"/>
      <c r="B1034" s="128"/>
      <c r="C1034" s="128"/>
      <c r="D1034" s="129"/>
      <c r="E1034" s="128"/>
      <c r="F1034" s="130"/>
      <c r="G1034" s="131"/>
      <c r="H1034" s="131"/>
      <c r="I1034" s="131"/>
      <c r="J1034" s="131"/>
      <c r="K1034" s="131"/>
      <c r="L1034" s="131"/>
      <c r="M1034" s="131"/>
      <c r="N1034" s="131"/>
      <c r="O1034" s="131"/>
      <c r="P1034" s="131"/>
      <c r="Q1034" s="131"/>
      <c r="R1034" s="131"/>
      <c r="S1034" s="131"/>
      <c r="T1034" s="131"/>
      <c r="U1034" s="132"/>
      <c r="V1034" s="132"/>
    </row>
    <row r="1035" ht="12.75" customHeight="1">
      <c r="A1035" s="128"/>
      <c r="B1035" s="128"/>
      <c r="C1035" s="128"/>
      <c r="D1035" s="129"/>
      <c r="E1035" s="128"/>
      <c r="F1035" s="130"/>
      <c r="G1035" s="131"/>
      <c r="H1035" s="131"/>
      <c r="I1035" s="131"/>
      <c r="J1035" s="131"/>
      <c r="K1035" s="131"/>
      <c r="L1035" s="131"/>
      <c r="M1035" s="131"/>
      <c r="N1035" s="131"/>
      <c r="O1035" s="131"/>
      <c r="P1035" s="131"/>
      <c r="Q1035" s="131"/>
      <c r="R1035" s="131"/>
      <c r="S1035" s="131"/>
      <c r="T1035" s="131"/>
      <c r="U1035" s="132"/>
      <c r="V1035" s="132"/>
    </row>
    <row r="1036" ht="12.75" customHeight="1">
      <c r="A1036" s="128"/>
      <c r="B1036" s="128"/>
      <c r="C1036" s="128"/>
      <c r="D1036" s="129"/>
      <c r="E1036" s="128"/>
      <c r="F1036" s="130"/>
      <c r="G1036" s="131"/>
      <c r="H1036" s="131"/>
      <c r="I1036" s="131"/>
      <c r="J1036" s="131"/>
      <c r="K1036" s="131"/>
      <c r="L1036" s="131"/>
      <c r="M1036" s="131"/>
      <c r="N1036" s="131"/>
      <c r="O1036" s="131"/>
      <c r="P1036" s="131"/>
      <c r="Q1036" s="131"/>
      <c r="R1036" s="131"/>
      <c r="S1036" s="131"/>
      <c r="T1036" s="131"/>
      <c r="U1036" s="132"/>
      <c r="V1036" s="132"/>
    </row>
    <row r="1037" ht="12.75" customHeight="1">
      <c r="A1037" s="128"/>
      <c r="B1037" s="128"/>
      <c r="C1037" s="128"/>
      <c r="D1037" s="129"/>
      <c r="E1037" s="128"/>
      <c r="F1037" s="130"/>
      <c r="G1037" s="131"/>
      <c r="H1037" s="131"/>
      <c r="I1037" s="131"/>
      <c r="J1037" s="131"/>
      <c r="K1037" s="131"/>
      <c r="L1037" s="131"/>
      <c r="M1037" s="131"/>
      <c r="N1037" s="131"/>
      <c r="O1037" s="131"/>
      <c r="P1037" s="131"/>
      <c r="Q1037" s="131"/>
      <c r="R1037" s="131"/>
      <c r="S1037" s="131"/>
      <c r="T1037" s="131"/>
      <c r="U1037" s="132"/>
      <c r="V1037" s="132"/>
    </row>
    <row r="1038" ht="12.75" customHeight="1">
      <c r="A1038" s="135"/>
      <c r="B1038" s="135"/>
      <c r="C1038" s="135"/>
      <c r="D1038" s="136"/>
      <c r="E1038" s="135"/>
      <c r="F1038" s="135"/>
      <c r="G1038" s="137"/>
      <c r="H1038" s="137"/>
      <c r="I1038" s="137"/>
      <c r="J1038" s="137"/>
      <c r="K1038" s="137"/>
      <c r="L1038" s="137"/>
      <c r="M1038" s="137"/>
      <c r="N1038" s="137"/>
      <c r="O1038" s="137"/>
      <c r="P1038" s="137"/>
      <c r="Q1038" s="137"/>
      <c r="R1038" s="137"/>
      <c r="S1038" s="137"/>
      <c r="T1038" s="137"/>
      <c r="U1038" s="138"/>
      <c r="V1038" s="138"/>
    </row>
    <row r="1039" ht="12.75" customHeight="1">
      <c r="A1039" s="135"/>
      <c r="B1039" s="135"/>
      <c r="C1039" s="135"/>
      <c r="D1039" s="136"/>
      <c r="E1039" s="135"/>
      <c r="F1039" s="135"/>
      <c r="G1039" s="137"/>
      <c r="H1039" s="137"/>
      <c r="I1039" s="137"/>
      <c r="J1039" s="137"/>
      <c r="K1039" s="137"/>
      <c r="L1039" s="137"/>
      <c r="M1039" s="137"/>
      <c r="N1039" s="137"/>
      <c r="O1039" s="137"/>
      <c r="P1039" s="137"/>
      <c r="Q1039" s="137"/>
      <c r="R1039" s="137"/>
      <c r="S1039" s="137"/>
      <c r="T1039" s="137"/>
      <c r="U1039" s="138"/>
      <c r="V1039" s="138"/>
    </row>
    <row r="1040" ht="12.75" customHeight="1">
      <c r="A1040" s="135"/>
      <c r="B1040" s="135"/>
      <c r="C1040" s="135"/>
      <c r="D1040" s="136"/>
      <c r="E1040" s="135"/>
      <c r="F1040" s="135"/>
      <c r="G1040" s="137"/>
      <c r="H1040" s="137"/>
      <c r="I1040" s="137"/>
      <c r="J1040" s="137"/>
      <c r="K1040" s="137"/>
      <c r="L1040" s="137"/>
      <c r="M1040" s="137"/>
      <c r="N1040" s="137"/>
      <c r="O1040" s="137"/>
      <c r="P1040" s="137"/>
      <c r="Q1040" s="137"/>
      <c r="R1040" s="137"/>
      <c r="S1040" s="137"/>
      <c r="T1040" s="137"/>
      <c r="U1040" s="138"/>
      <c r="V1040" s="138"/>
    </row>
    <row r="1041" ht="12.75" customHeight="1">
      <c r="A1041" s="135"/>
      <c r="B1041" s="135"/>
      <c r="C1041" s="135"/>
      <c r="D1041" s="136"/>
      <c r="E1041" s="135"/>
      <c r="F1041" s="135"/>
      <c r="G1041" s="137"/>
      <c r="H1041" s="137"/>
      <c r="I1041" s="137"/>
      <c r="J1041" s="137"/>
      <c r="K1041" s="137"/>
      <c r="L1041" s="137"/>
      <c r="M1041" s="137"/>
      <c r="N1041" s="137"/>
      <c r="O1041" s="137"/>
      <c r="P1041" s="137"/>
      <c r="Q1041" s="137"/>
      <c r="R1041" s="137"/>
      <c r="S1041" s="137"/>
      <c r="T1041" s="137"/>
      <c r="U1041" s="138"/>
      <c r="V1041" s="138"/>
    </row>
    <row r="1042" ht="12.75" customHeight="1">
      <c r="A1042" s="135"/>
      <c r="B1042" s="135"/>
      <c r="C1042" s="135"/>
      <c r="D1042" s="136"/>
      <c r="E1042" s="135"/>
      <c r="F1042" s="135"/>
      <c r="G1042" s="137"/>
      <c r="H1042" s="137"/>
      <c r="I1042" s="137"/>
      <c r="J1042" s="137"/>
      <c r="K1042" s="137"/>
      <c r="L1042" s="137"/>
      <c r="M1042" s="137"/>
      <c r="N1042" s="137"/>
      <c r="O1042" s="137"/>
      <c r="P1042" s="137"/>
      <c r="Q1042" s="137"/>
      <c r="R1042" s="137"/>
      <c r="S1042" s="137"/>
      <c r="T1042" s="137"/>
      <c r="U1042" s="138"/>
      <c r="V1042" s="138"/>
    </row>
    <row r="1043" ht="12.75" customHeight="1">
      <c r="A1043" s="135"/>
      <c r="B1043" s="135"/>
      <c r="C1043" s="135"/>
      <c r="D1043" s="136"/>
      <c r="E1043" s="135"/>
      <c r="F1043" s="135"/>
      <c r="G1043" s="137"/>
      <c r="H1043" s="137"/>
      <c r="I1043" s="137"/>
      <c r="J1043" s="137"/>
      <c r="K1043" s="137"/>
      <c r="L1043" s="137"/>
      <c r="M1043" s="137"/>
      <c r="N1043" s="137"/>
      <c r="O1043" s="137"/>
      <c r="P1043" s="137"/>
      <c r="Q1043" s="137"/>
      <c r="R1043" s="137"/>
      <c r="S1043" s="137"/>
      <c r="T1043" s="137"/>
      <c r="U1043" s="138"/>
      <c r="V1043" s="138"/>
    </row>
    <row r="1044" ht="12.75" customHeight="1">
      <c r="A1044" s="135"/>
      <c r="B1044" s="135"/>
      <c r="C1044" s="135"/>
      <c r="D1044" s="136"/>
      <c r="E1044" s="135"/>
      <c r="F1044" s="135"/>
      <c r="G1044" s="137"/>
      <c r="H1044" s="137"/>
      <c r="I1044" s="137"/>
      <c r="J1044" s="137"/>
      <c r="K1044" s="137"/>
      <c r="L1044" s="137"/>
      <c r="M1044" s="137"/>
      <c r="N1044" s="137"/>
      <c r="O1044" s="137"/>
      <c r="P1044" s="137"/>
      <c r="Q1044" s="137"/>
      <c r="R1044" s="137"/>
      <c r="S1044" s="137"/>
      <c r="T1044" s="137"/>
      <c r="U1044" s="138"/>
      <c r="V1044" s="138"/>
    </row>
    <row r="1045" ht="12.75" customHeight="1">
      <c r="A1045" s="135"/>
      <c r="B1045" s="135"/>
      <c r="C1045" s="135"/>
      <c r="D1045" s="136"/>
      <c r="E1045" s="135"/>
      <c r="F1045" s="135"/>
      <c r="G1045" s="137"/>
      <c r="H1045" s="137"/>
      <c r="I1045" s="137"/>
      <c r="J1045" s="137"/>
      <c r="K1045" s="137"/>
      <c r="L1045" s="137"/>
      <c r="M1045" s="137"/>
      <c r="N1045" s="137"/>
      <c r="O1045" s="137"/>
      <c r="P1045" s="137"/>
      <c r="Q1045" s="137"/>
      <c r="R1045" s="137"/>
      <c r="S1045" s="137"/>
      <c r="T1045" s="137"/>
      <c r="U1045" s="138"/>
      <c r="V1045" s="138"/>
    </row>
    <row r="1046" ht="12.75" customHeight="1">
      <c r="A1046" s="135"/>
      <c r="B1046" s="135"/>
      <c r="C1046" s="135"/>
      <c r="D1046" s="136"/>
      <c r="E1046" s="135"/>
      <c r="F1046" s="135"/>
      <c r="G1046" s="137"/>
      <c r="H1046" s="137"/>
      <c r="I1046" s="137"/>
      <c r="J1046" s="137"/>
      <c r="K1046" s="137"/>
      <c r="L1046" s="137"/>
      <c r="M1046" s="137"/>
      <c r="N1046" s="137"/>
      <c r="O1046" s="137"/>
      <c r="P1046" s="137"/>
      <c r="Q1046" s="137"/>
      <c r="R1046" s="137"/>
      <c r="S1046" s="137"/>
      <c r="T1046" s="137"/>
      <c r="U1046" s="138"/>
      <c r="V1046" s="138"/>
    </row>
    <row r="1047" ht="12.75" customHeight="1">
      <c r="A1047" s="135"/>
      <c r="B1047" s="135"/>
      <c r="C1047" s="135"/>
      <c r="D1047" s="136"/>
      <c r="E1047" s="135"/>
      <c r="F1047" s="135"/>
      <c r="G1047" s="137"/>
      <c r="H1047" s="137"/>
      <c r="I1047" s="137"/>
      <c r="J1047" s="137"/>
      <c r="K1047" s="137"/>
      <c r="L1047" s="137"/>
      <c r="M1047" s="137"/>
      <c r="N1047" s="137"/>
      <c r="O1047" s="137"/>
      <c r="P1047" s="137"/>
      <c r="Q1047" s="137"/>
      <c r="R1047" s="137"/>
      <c r="S1047" s="137"/>
      <c r="T1047" s="137"/>
      <c r="U1047" s="138"/>
      <c r="V1047" s="138"/>
    </row>
    <row r="1048" ht="12.75" customHeight="1">
      <c r="A1048" s="135"/>
      <c r="B1048" s="135"/>
      <c r="C1048" s="135"/>
      <c r="D1048" s="136"/>
      <c r="E1048" s="135"/>
      <c r="F1048" s="135"/>
      <c r="G1048" s="137"/>
      <c r="H1048" s="137"/>
      <c r="I1048" s="137"/>
      <c r="J1048" s="137"/>
      <c r="K1048" s="137"/>
      <c r="L1048" s="137"/>
      <c r="M1048" s="137"/>
      <c r="N1048" s="137"/>
      <c r="O1048" s="137"/>
      <c r="P1048" s="137"/>
      <c r="Q1048" s="137"/>
      <c r="R1048" s="137"/>
      <c r="S1048" s="137"/>
      <c r="T1048" s="137"/>
      <c r="U1048" s="138"/>
      <c r="V1048" s="138"/>
    </row>
    <row r="1049" ht="12.75" customHeight="1">
      <c r="A1049" s="135"/>
      <c r="B1049" s="135"/>
      <c r="C1049" s="135"/>
      <c r="D1049" s="136"/>
      <c r="E1049" s="135"/>
      <c r="F1049" s="135"/>
      <c r="G1049" s="137"/>
      <c r="H1049" s="137"/>
      <c r="I1049" s="137"/>
      <c r="J1049" s="137"/>
      <c r="K1049" s="137"/>
      <c r="L1049" s="137"/>
      <c r="M1049" s="137"/>
      <c r="N1049" s="137"/>
      <c r="O1049" s="137"/>
      <c r="P1049" s="137"/>
      <c r="Q1049" s="137"/>
      <c r="R1049" s="137"/>
      <c r="S1049" s="137"/>
      <c r="T1049" s="137"/>
      <c r="U1049" s="138"/>
      <c r="V1049" s="138"/>
    </row>
    <row r="1050" ht="12.75" customHeight="1">
      <c r="A1050" s="135"/>
      <c r="B1050" s="135"/>
      <c r="C1050" s="135"/>
      <c r="D1050" s="136"/>
      <c r="E1050" s="135"/>
      <c r="F1050" s="135"/>
      <c r="G1050" s="137"/>
      <c r="H1050" s="137"/>
      <c r="I1050" s="137"/>
      <c r="J1050" s="137"/>
      <c r="K1050" s="137"/>
      <c r="L1050" s="137"/>
      <c r="M1050" s="137"/>
      <c r="N1050" s="137"/>
      <c r="O1050" s="137"/>
      <c r="P1050" s="137"/>
      <c r="Q1050" s="137"/>
      <c r="R1050" s="137"/>
      <c r="S1050" s="137"/>
      <c r="T1050" s="137"/>
      <c r="U1050" s="138"/>
      <c r="V1050" s="138"/>
    </row>
    <row r="1051" ht="12.75" customHeight="1">
      <c r="A1051" s="135"/>
      <c r="B1051" s="135"/>
      <c r="C1051" s="135"/>
      <c r="D1051" s="136"/>
      <c r="E1051" s="135"/>
      <c r="F1051" s="135"/>
      <c r="G1051" s="137"/>
      <c r="H1051" s="137"/>
      <c r="I1051" s="137"/>
      <c r="J1051" s="137"/>
      <c r="K1051" s="137"/>
      <c r="L1051" s="137"/>
      <c r="M1051" s="137"/>
      <c r="N1051" s="137"/>
      <c r="O1051" s="137"/>
      <c r="P1051" s="137"/>
      <c r="Q1051" s="137"/>
      <c r="R1051" s="137"/>
      <c r="S1051" s="137"/>
      <c r="T1051" s="137"/>
      <c r="U1051" s="138"/>
      <c r="V1051" s="138"/>
    </row>
    <row r="1052" ht="12.75" customHeight="1">
      <c r="A1052" s="135"/>
      <c r="B1052" s="135"/>
      <c r="C1052" s="135"/>
      <c r="D1052" s="136"/>
      <c r="E1052" s="135"/>
      <c r="F1052" s="135"/>
      <c r="G1052" s="137"/>
      <c r="H1052" s="137"/>
      <c r="I1052" s="137"/>
      <c r="J1052" s="137"/>
      <c r="K1052" s="137"/>
      <c r="L1052" s="137"/>
      <c r="M1052" s="137"/>
      <c r="N1052" s="137"/>
      <c r="O1052" s="137"/>
      <c r="P1052" s="137"/>
      <c r="Q1052" s="137"/>
      <c r="R1052" s="137"/>
      <c r="S1052" s="137"/>
      <c r="T1052" s="137"/>
      <c r="U1052" s="138"/>
      <c r="V1052" s="138"/>
    </row>
    <row r="1053" ht="12.75" customHeight="1">
      <c r="A1053" s="135"/>
      <c r="B1053" s="135"/>
      <c r="C1053" s="135"/>
      <c r="D1053" s="136"/>
      <c r="E1053" s="135"/>
      <c r="F1053" s="135"/>
      <c r="G1053" s="137"/>
      <c r="H1053" s="137"/>
      <c r="I1053" s="137"/>
      <c r="J1053" s="137"/>
      <c r="K1053" s="137"/>
      <c r="L1053" s="137"/>
      <c r="M1053" s="137"/>
      <c r="N1053" s="137"/>
      <c r="O1053" s="137"/>
      <c r="P1053" s="137"/>
      <c r="Q1053" s="137"/>
      <c r="R1053" s="137"/>
      <c r="S1053" s="137"/>
      <c r="T1053" s="137"/>
      <c r="U1053" s="138"/>
      <c r="V1053" s="138"/>
    </row>
    <row r="1054" ht="12.75" customHeight="1">
      <c r="A1054" s="135"/>
      <c r="B1054" s="135"/>
      <c r="C1054" s="135"/>
      <c r="D1054" s="136"/>
      <c r="E1054" s="135"/>
      <c r="F1054" s="135"/>
      <c r="G1054" s="137"/>
      <c r="H1054" s="137"/>
      <c r="I1054" s="137"/>
      <c r="J1054" s="137"/>
      <c r="K1054" s="137"/>
      <c r="L1054" s="137"/>
      <c r="M1054" s="137"/>
      <c r="N1054" s="137"/>
      <c r="O1054" s="137"/>
      <c r="P1054" s="137"/>
      <c r="Q1054" s="137"/>
      <c r="R1054" s="137"/>
      <c r="S1054" s="137"/>
      <c r="T1054" s="137"/>
      <c r="U1054" s="138"/>
      <c r="V1054" s="138"/>
    </row>
    <row r="1055" ht="12.75" customHeight="1">
      <c r="A1055" s="135"/>
      <c r="B1055" s="135"/>
      <c r="C1055" s="135"/>
      <c r="D1055" s="136"/>
      <c r="E1055" s="135"/>
      <c r="F1055" s="135"/>
      <c r="G1055" s="137"/>
      <c r="H1055" s="137"/>
      <c r="I1055" s="137"/>
      <c r="J1055" s="137"/>
      <c r="K1055" s="137"/>
      <c r="L1055" s="137"/>
      <c r="M1055" s="137"/>
      <c r="N1055" s="137"/>
      <c r="O1055" s="137"/>
      <c r="P1055" s="137"/>
      <c r="Q1055" s="137"/>
      <c r="R1055" s="137"/>
      <c r="S1055" s="137"/>
      <c r="T1055" s="137"/>
      <c r="U1055" s="138"/>
      <c r="V1055" s="138"/>
    </row>
    <row r="1056" ht="12.75" customHeight="1">
      <c r="A1056" s="135"/>
      <c r="B1056" s="135"/>
      <c r="C1056" s="135"/>
      <c r="D1056" s="136"/>
      <c r="E1056" s="135"/>
      <c r="F1056" s="135"/>
      <c r="G1056" s="137"/>
      <c r="H1056" s="137"/>
      <c r="I1056" s="137"/>
      <c r="J1056" s="137"/>
      <c r="K1056" s="137"/>
      <c r="L1056" s="137"/>
      <c r="M1056" s="137"/>
      <c r="N1056" s="137"/>
      <c r="O1056" s="137"/>
      <c r="P1056" s="137"/>
      <c r="Q1056" s="137"/>
      <c r="R1056" s="137"/>
      <c r="S1056" s="137"/>
      <c r="T1056" s="137"/>
      <c r="U1056" s="138"/>
      <c r="V1056" s="138"/>
    </row>
    <row r="1057" ht="12.75" customHeight="1">
      <c r="A1057" s="135"/>
      <c r="B1057" s="135"/>
      <c r="C1057" s="135"/>
      <c r="D1057" s="136"/>
      <c r="E1057" s="135"/>
      <c r="F1057" s="135"/>
      <c r="G1057" s="137"/>
      <c r="H1057" s="137"/>
      <c r="I1057" s="137"/>
      <c r="J1057" s="137"/>
      <c r="K1057" s="137"/>
      <c r="L1057" s="137"/>
      <c r="M1057" s="137"/>
      <c r="N1057" s="137"/>
      <c r="O1057" s="137"/>
      <c r="P1057" s="137"/>
      <c r="Q1057" s="137"/>
      <c r="R1057" s="137"/>
      <c r="S1057" s="137"/>
      <c r="T1057" s="137"/>
      <c r="U1057" s="138"/>
      <c r="V1057" s="138"/>
    </row>
    <row r="1058" ht="12.75" customHeight="1">
      <c r="A1058" s="135"/>
      <c r="B1058" s="135"/>
      <c r="C1058" s="135"/>
      <c r="D1058" s="136"/>
      <c r="E1058" s="135"/>
      <c r="F1058" s="135"/>
      <c r="G1058" s="137"/>
      <c r="H1058" s="137"/>
      <c r="I1058" s="137"/>
      <c r="J1058" s="137"/>
      <c r="K1058" s="137"/>
      <c r="L1058" s="137"/>
      <c r="M1058" s="137"/>
      <c r="N1058" s="137"/>
      <c r="O1058" s="137"/>
      <c r="P1058" s="137"/>
      <c r="Q1058" s="137"/>
      <c r="R1058" s="137"/>
      <c r="S1058" s="137"/>
      <c r="T1058" s="137"/>
      <c r="U1058" s="138"/>
      <c r="V1058" s="138"/>
    </row>
    <row r="1059" ht="12.75" customHeight="1">
      <c r="A1059" s="135"/>
      <c r="B1059" s="135"/>
      <c r="C1059" s="135"/>
      <c r="D1059" s="136"/>
      <c r="E1059" s="135"/>
      <c r="F1059" s="135"/>
      <c r="G1059" s="137"/>
      <c r="H1059" s="137"/>
      <c r="I1059" s="137"/>
      <c r="J1059" s="137"/>
      <c r="K1059" s="137"/>
      <c r="L1059" s="137"/>
      <c r="M1059" s="137"/>
      <c r="N1059" s="137"/>
      <c r="O1059" s="137"/>
      <c r="P1059" s="137"/>
      <c r="Q1059" s="137"/>
      <c r="R1059" s="137"/>
      <c r="S1059" s="137"/>
      <c r="T1059" s="137"/>
      <c r="U1059" s="138"/>
      <c r="V1059" s="138"/>
    </row>
    <row r="1060" ht="12.75" customHeight="1">
      <c r="A1060" s="135"/>
      <c r="B1060" s="135"/>
      <c r="C1060" s="135"/>
      <c r="D1060" s="136"/>
      <c r="E1060" s="135"/>
      <c r="F1060" s="135"/>
      <c r="G1060" s="137"/>
      <c r="H1060" s="137"/>
      <c r="I1060" s="137"/>
      <c r="J1060" s="137"/>
      <c r="K1060" s="137"/>
      <c r="L1060" s="137"/>
      <c r="M1060" s="137"/>
      <c r="N1060" s="137"/>
      <c r="O1060" s="137"/>
      <c r="P1060" s="137"/>
      <c r="Q1060" s="137"/>
      <c r="R1060" s="137"/>
      <c r="S1060" s="137"/>
      <c r="T1060" s="137"/>
      <c r="U1060" s="138"/>
      <c r="V1060" s="138"/>
    </row>
    <row r="1061" ht="12.75" customHeight="1">
      <c r="A1061" s="135"/>
      <c r="B1061" s="135"/>
      <c r="C1061" s="135"/>
      <c r="D1061" s="136"/>
      <c r="E1061" s="135"/>
      <c r="F1061" s="135"/>
      <c r="G1061" s="137"/>
      <c r="H1061" s="137"/>
      <c r="I1061" s="137"/>
      <c r="J1061" s="137"/>
      <c r="K1061" s="137"/>
      <c r="L1061" s="137"/>
      <c r="M1061" s="137"/>
      <c r="N1061" s="137"/>
      <c r="O1061" s="137"/>
      <c r="P1061" s="137"/>
      <c r="Q1061" s="137"/>
      <c r="R1061" s="137"/>
      <c r="S1061" s="137"/>
      <c r="T1061" s="137"/>
      <c r="U1061" s="138"/>
      <c r="V1061" s="138"/>
    </row>
    <row r="1062" ht="12.75" customHeight="1">
      <c r="A1062" s="135"/>
      <c r="B1062" s="135"/>
      <c r="C1062" s="135"/>
      <c r="D1062" s="136"/>
      <c r="E1062" s="135"/>
      <c r="F1062" s="135"/>
      <c r="G1062" s="137"/>
      <c r="H1062" s="137"/>
      <c r="I1062" s="137"/>
      <c r="J1062" s="137"/>
      <c r="K1062" s="137"/>
      <c r="L1062" s="137"/>
      <c r="M1062" s="137"/>
      <c r="N1062" s="137"/>
      <c r="O1062" s="137"/>
      <c r="P1062" s="137"/>
      <c r="Q1062" s="137"/>
      <c r="R1062" s="137"/>
      <c r="S1062" s="137"/>
      <c r="T1062" s="137"/>
      <c r="U1062" s="138"/>
      <c r="V1062" s="138"/>
    </row>
    <row r="1063" ht="12.75" customHeight="1">
      <c r="A1063" s="135"/>
      <c r="B1063" s="135"/>
      <c r="C1063" s="135"/>
      <c r="D1063" s="136"/>
      <c r="E1063" s="135"/>
      <c r="F1063" s="135"/>
      <c r="G1063" s="137"/>
      <c r="H1063" s="137"/>
      <c r="I1063" s="137"/>
      <c r="J1063" s="137"/>
      <c r="K1063" s="137"/>
      <c r="L1063" s="137"/>
      <c r="M1063" s="137"/>
      <c r="N1063" s="137"/>
      <c r="O1063" s="137"/>
      <c r="P1063" s="137"/>
      <c r="Q1063" s="137"/>
      <c r="R1063" s="137"/>
      <c r="S1063" s="137"/>
      <c r="T1063" s="137"/>
      <c r="U1063" s="138"/>
      <c r="V1063" s="138"/>
    </row>
    <row r="1064" ht="12.75" customHeight="1">
      <c r="A1064" s="135"/>
      <c r="B1064" s="135"/>
      <c r="C1064" s="135"/>
      <c r="D1064" s="136"/>
      <c r="E1064" s="135"/>
      <c r="F1064" s="135"/>
      <c r="G1064" s="137"/>
      <c r="H1064" s="137"/>
      <c r="I1064" s="137"/>
      <c r="J1064" s="137"/>
      <c r="K1064" s="137"/>
      <c r="L1064" s="137"/>
      <c r="M1064" s="137"/>
      <c r="N1064" s="137"/>
      <c r="O1064" s="137"/>
      <c r="P1064" s="137"/>
      <c r="Q1064" s="137"/>
      <c r="R1064" s="137"/>
      <c r="S1064" s="137"/>
      <c r="T1064" s="137"/>
      <c r="U1064" s="138"/>
      <c r="V1064" s="138"/>
    </row>
    <row r="1065" ht="12.75" customHeight="1">
      <c r="A1065" s="135"/>
      <c r="B1065" s="135"/>
      <c r="C1065" s="135"/>
      <c r="D1065" s="136"/>
      <c r="E1065" s="135"/>
      <c r="F1065" s="135"/>
      <c r="G1065" s="137"/>
      <c r="H1065" s="137"/>
      <c r="I1065" s="137"/>
      <c r="J1065" s="137"/>
      <c r="K1065" s="137"/>
      <c r="L1065" s="137"/>
      <c r="M1065" s="137"/>
      <c r="N1065" s="137"/>
      <c r="O1065" s="137"/>
      <c r="P1065" s="137"/>
      <c r="Q1065" s="137"/>
      <c r="R1065" s="137"/>
      <c r="S1065" s="137"/>
      <c r="T1065" s="137"/>
      <c r="U1065" s="138"/>
      <c r="V1065" s="138"/>
    </row>
    <row r="1066" ht="12.75" customHeight="1">
      <c r="A1066" s="135"/>
      <c r="B1066" s="135"/>
      <c r="C1066" s="135"/>
      <c r="D1066" s="136"/>
      <c r="E1066" s="135"/>
      <c r="F1066" s="135"/>
      <c r="G1066" s="137"/>
      <c r="H1066" s="137"/>
      <c r="I1066" s="137"/>
      <c r="J1066" s="137"/>
      <c r="K1066" s="137"/>
      <c r="L1066" s="137"/>
      <c r="M1066" s="137"/>
      <c r="N1066" s="137"/>
      <c r="O1066" s="137"/>
      <c r="P1066" s="137"/>
      <c r="Q1066" s="137"/>
      <c r="R1066" s="137"/>
      <c r="S1066" s="137"/>
      <c r="T1066" s="137"/>
      <c r="U1066" s="138"/>
      <c r="V1066" s="138"/>
    </row>
    <row r="1067" ht="12.75" customHeight="1">
      <c r="A1067" s="135"/>
      <c r="B1067" s="135"/>
      <c r="C1067" s="135"/>
      <c r="D1067" s="136"/>
      <c r="E1067" s="135"/>
      <c r="F1067" s="135"/>
      <c r="G1067" s="137"/>
      <c r="H1067" s="137"/>
      <c r="I1067" s="137"/>
      <c r="J1067" s="137"/>
      <c r="K1067" s="137"/>
      <c r="L1067" s="137"/>
      <c r="M1067" s="137"/>
      <c r="N1067" s="137"/>
      <c r="O1067" s="137"/>
      <c r="P1067" s="137"/>
      <c r="Q1067" s="137"/>
      <c r="R1067" s="137"/>
      <c r="S1067" s="137"/>
      <c r="T1067" s="137"/>
      <c r="U1067" s="138"/>
      <c r="V1067" s="138"/>
    </row>
    <row r="1068" ht="12.75" customHeight="1">
      <c r="A1068" s="135"/>
      <c r="B1068" s="135"/>
      <c r="C1068" s="135"/>
      <c r="D1068" s="136"/>
      <c r="E1068" s="135"/>
      <c r="F1068" s="135"/>
      <c r="G1068" s="137"/>
      <c r="H1068" s="137"/>
      <c r="I1068" s="137"/>
      <c r="J1068" s="137"/>
      <c r="K1068" s="137"/>
      <c r="L1068" s="137"/>
      <c r="M1068" s="137"/>
      <c r="N1068" s="137"/>
      <c r="O1068" s="137"/>
      <c r="P1068" s="137"/>
      <c r="Q1068" s="137"/>
      <c r="R1068" s="137"/>
      <c r="S1068" s="137"/>
      <c r="T1068" s="137"/>
      <c r="U1068" s="138"/>
      <c r="V1068" s="138"/>
    </row>
    <row r="1069" ht="12.75" customHeight="1">
      <c r="A1069" s="135"/>
      <c r="B1069" s="135"/>
      <c r="C1069" s="135"/>
      <c r="D1069" s="136"/>
      <c r="E1069" s="135"/>
      <c r="F1069" s="135"/>
      <c r="G1069" s="137"/>
      <c r="H1069" s="137"/>
      <c r="I1069" s="137"/>
      <c r="J1069" s="137"/>
      <c r="K1069" s="137"/>
      <c r="L1069" s="137"/>
      <c r="M1069" s="137"/>
      <c r="N1069" s="137"/>
      <c r="O1069" s="137"/>
      <c r="P1069" s="137"/>
      <c r="Q1069" s="137"/>
      <c r="R1069" s="137"/>
      <c r="S1069" s="137"/>
      <c r="T1069" s="137"/>
      <c r="U1069" s="138"/>
      <c r="V1069" s="138"/>
    </row>
    <row r="1070" ht="12.75" customHeight="1">
      <c r="A1070" s="135"/>
      <c r="B1070" s="135"/>
      <c r="C1070" s="135"/>
      <c r="D1070" s="136"/>
      <c r="E1070" s="135"/>
      <c r="F1070" s="135"/>
      <c r="G1070" s="137"/>
      <c r="H1070" s="137"/>
      <c r="I1070" s="137"/>
      <c r="J1070" s="137"/>
      <c r="K1070" s="137"/>
      <c r="L1070" s="137"/>
      <c r="M1070" s="137"/>
      <c r="N1070" s="137"/>
      <c r="O1070" s="137"/>
      <c r="P1070" s="137"/>
      <c r="Q1070" s="137"/>
      <c r="R1070" s="137"/>
      <c r="S1070" s="137"/>
      <c r="T1070" s="137"/>
      <c r="U1070" s="138"/>
      <c r="V1070" s="138"/>
    </row>
    <row r="1071" ht="12.75" customHeight="1">
      <c r="A1071" s="135"/>
      <c r="B1071" s="135"/>
      <c r="C1071" s="135"/>
      <c r="D1071" s="136"/>
      <c r="E1071" s="135"/>
      <c r="F1071" s="135"/>
      <c r="G1071" s="137"/>
      <c r="H1071" s="137"/>
      <c r="I1071" s="137"/>
      <c r="J1071" s="137"/>
      <c r="K1071" s="137"/>
      <c r="L1071" s="137"/>
      <c r="M1071" s="137"/>
      <c r="N1071" s="137"/>
      <c r="O1071" s="137"/>
      <c r="P1071" s="137"/>
      <c r="Q1071" s="137"/>
      <c r="R1071" s="137"/>
      <c r="S1071" s="137"/>
      <c r="T1071" s="137"/>
      <c r="U1071" s="138"/>
      <c r="V1071" s="138"/>
    </row>
    <row r="1072" ht="12.75" customHeight="1">
      <c r="A1072" s="135"/>
      <c r="B1072" s="135"/>
      <c r="C1072" s="135"/>
      <c r="D1072" s="136"/>
      <c r="E1072" s="135"/>
      <c r="F1072" s="135"/>
      <c r="G1072" s="137"/>
      <c r="H1072" s="137"/>
      <c r="I1072" s="137"/>
      <c r="J1072" s="137"/>
      <c r="K1072" s="137"/>
      <c r="L1072" s="137"/>
      <c r="M1072" s="137"/>
      <c r="N1072" s="137"/>
      <c r="O1072" s="137"/>
      <c r="P1072" s="137"/>
      <c r="Q1072" s="137"/>
      <c r="R1072" s="137"/>
      <c r="S1072" s="137"/>
      <c r="T1072" s="137"/>
      <c r="U1072" s="138"/>
      <c r="V1072" s="138"/>
    </row>
    <row r="1073" ht="12.75" customHeight="1">
      <c r="A1073" s="135"/>
      <c r="B1073" s="135"/>
      <c r="C1073" s="135"/>
      <c r="D1073" s="136"/>
      <c r="E1073" s="135"/>
      <c r="F1073" s="135"/>
      <c r="G1073" s="137"/>
      <c r="H1073" s="137"/>
      <c r="I1073" s="137"/>
      <c r="J1073" s="137"/>
      <c r="K1073" s="137"/>
      <c r="L1073" s="137"/>
      <c r="M1073" s="137"/>
      <c r="N1073" s="137"/>
      <c r="O1073" s="137"/>
      <c r="P1073" s="137"/>
      <c r="Q1073" s="137"/>
      <c r="R1073" s="137"/>
      <c r="S1073" s="137"/>
      <c r="T1073" s="137"/>
      <c r="U1073" s="138"/>
      <c r="V1073" s="138"/>
    </row>
    <row r="1074" ht="12.75" customHeight="1">
      <c r="A1074" s="135"/>
      <c r="B1074" s="135"/>
      <c r="C1074" s="135"/>
      <c r="D1074" s="136"/>
      <c r="E1074" s="135"/>
      <c r="F1074" s="135"/>
      <c r="G1074" s="137"/>
      <c r="H1074" s="137"/>
      <c r="I1074" s="137"/>
      <c r="J1074" s="137"/>
      <c r="K1074" s="137"/>
      <c r="L1074" s="137"/>
      <c r="M1074" s="137"/>
      <c r="N1074" s="137"/>
      <c r="O1074" s="137"/>
      <c r="P1074" s="137"/>
      <c r="Q1074" s="137"/>
      <c r="R1074" s="137"/>
      <c r="S1074" s="137"/>
      <c r="T1074" s="137"/>
      <c r="U1074" s="138"/>
      <c r="V1074" s="138"/>
    </row>
    <row r="1075" ht="12.75" customHeight="1">
      <c r="A1075" s="135"/>
      <c r="B1075" s="135"/>
      <c r="C1075" s="135"/>
      <c r="D1075" s="136"/>
      <c r="E1075" s="135"/>
      <c r="F1075" s="135"/>
      <c r="G1075" s="137"/>
      <c r="H1075" s="137"/>
      <c r="I1075" s="137"/>
      <c r="J1075" s="137"/>
      <c r="K1075" s="137"/>
      <c r="L1075" s="137"/>
      <c r="M1075" s="137"/>
      <c r="N1075" s="137"/>
      <c r="O1075" s="137"/>
      <c r="P1075" s="137"/>
      <c r="Q1075" s="137"/>
      <c r="R1075" s="137"/>
      <c r="S1075" s="137"/>
      <c r="T1075" s="137"/>
      <c r="U1075" s="138"/>
      <c r="V1075" s="138"/>
    </row>
    <row r="1076" ht="12.75" customHeight="1">
      <c r="A1076" s="135"/>
      <c r="B1076" s="135"/>
      <c r="C1076" s="135"/>
      <c r="D1076" s="136"/>
      <c r="E1076" s="135"/>
      <c r="F1076" s="135"/>
      <c r="G1076" s="137"/>
      <c r="H1076" s="137"/>
      <c r="I1076" s="137"/>
      <c r="J1076" s="137"/>
      <c r="K1076" s="137"/>
      <c r="L1076" s="137"/>
      <c r="M1076" s="137"/>
      <c r="N1076" s="137"/>
      <c r="O1076" s="137"/>
      <c r="P1076" s="137"/>
      <c r="Q1076" s="137"/>
      <c r="R1076" s="137"/>
      <c r="S1076" s="137"/>
      <c r="T1076" s="137"/>
      <c r="U1076" s="138"/>
      <c r="V1076" s="138"/>
    </row>
    <row r="1077" ht="12.75" customHeight="1">
      <c r="A1077" s="135"/>
      <c r="B1077" s="135"/>
      <c r="C1077" s="135"/>
      <c r="D1077" s="136"/>
      <c r="E1077" s="135"/>
      <c r="F1077" s="135"/>
      <c r="G1077" s="137"/>
      <c r="H1077" s="137"/>
      <c r="I1077" s="137"/>
      <c r="J1077" s="137"/>
      <c r="K1077" s="137"/>
      <c r="L1077" s="137"/>
      <c r="M1077" s="137"/>
      <c r="N1077" s="137"/>
      <c r="O1077" s="137"/>
      <c r="P1077" s="137"/>
      <c r="Q1077" s="137"/>
      <c r="R1077" s="137"/>
      <c r="S1077" s="137"/>
      <c r="T1077" s="137"/>
      <c r="U1077" s="138"/>
      <c r="V1077" s="138"/>
    </row>
    <row r="1078" ht="12.75" customHeight="1">
      <c r="A1078" s="135"/>
      <c r="B1078" s="135"/>
      <c r="C1078" s="135"/>
      <c r="D1078" s="136"/>
      <c r="E1078" s="135"/>
      <c r="F1078" s="135"/>
      <c r="G1078" s="137"/>
      <c r="H1078" s="137"/>
      <c r="I1078" s="137"/>
      <c r="J1078" s="137"/>
      <c r="K1078" s="137"/>
      <c r="L1078" s="137"/>
      <c r="M1078" s="137"/>
      <c r="N1078" s="137"/>
      <c r="O1078" s="137"/>
      <c r="P1078" s="137"/>
      <c r="Q1078" s="137"/>
      <c r="R1078" s="137"/>
      <c r="S1078" s="137"/>
      <c r="T1078" s="137"/>
      <c r="U1078" s="138"/>
      <c r="V1078" s="138"/>
    </row>
    <row r="1079" ht="12.75" customHeight="1">
      <c r="A1079" s="135"/>
      <c r="B1079" s="135"/>
      <c r="C1079" s="135"/>
      <c r="D1079" s="136"/>
      <c r="E1079" s="135"/>
      <c r="F1079" s="135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8"/>
      <c r="V1079" s="138"/>
    </row>
    <row r="1080" ht="12.75" customHeight="1">
      <c r="A1080" s="135"/>
      <c r="B1080" s="135"/>
      <c r="C1080" s="135"/>
      <c r="D1080" s="136"/>
      <c r="E1080" s="135"/>
      <c r="F1080" s="135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8"/>
      <c r="V1080" s="138"/>
    </row>
    <row r="1081" ht="12.75" customHeight="1">
      <c r="A1081" s="135"/>
      <c r="B1081" s="135"/>
      <c r="C1081" s="135"/>
      <c r="D1081" s="136"/>
      <c r="E1081" s="135"/>
      <c r="F1081" s="135"/>
      <c r="G1081" s="137"/>
      <c r="H1081" s="137"/>
      <c r="I1081" s="137"/>
      <c r="J1081" s="137"/>
      <c r="K1081" s="137"/>
      <c r="L1081" s="137"/>
      <c r="M1081" s="137"/>
      <c r="N1081" s="137"/>
      <c r="O1081" s="137"/>
      <c r="P1081" s="137"/>
      <c r="Q1081" s="137"/>
      <c r="R1081" s="137"/>
      <c r="S1081" s="137"/>
      <c r="T1081" s="137"/>
      <c r="U1081" s="138"/>
      <c r="V1081" s="138"/>
    </row>
    <row r="1082" ht="12.75" customHeight="1">
      <c r="A1082" s="135"/>
      <c r="B1082" s="135"/>
      <c r="C1082" s="135"/>
      <c r="D1082" s="136"/>
      <c r="E1082" s="135"/>
      <c r="F1082" s="135"/>
      <c r="G1082" s="137"/>
      <c r="H1082" s="137"/>
      <c r="I1082" s="137"/>
      <c r="J1082" s="137"/>
      <c r="K1082" s="137"/>
      <c r="L1082" s="137"/>
      <c r="M1082" s="137"/>
      <c r="N1082" s="137"/>
      <c r="O1082" s="137"/>
      <c r="P1082" s="137"/>
      <c r="Q1082" s="137"/>
      <c r="R1082" s="137"/>
      <c r="S1082" s="137"/>
      <c r="T1082" s="137"/>
      <c r="U1082" s="138"/>
      <c r="V1082" s="138"/>
    </row>
    <row r="1083" ht="12.75" customHeight="1">
      <c r="A1083" s="135"/>
      <c r="B1083" s="135"/>
      <c r="C1083" s="135"/>
      <c r="D1083" s="136"/>
      <c r="E1083" s="135"/>
      <c r="F1083" s="135"/>
      <c r="G1083" s="137"/>
      <c r="H1083" s="137"/>
      <c r="I1083" s="137"/>
      <c r="J1083" s="137"/>
      <c r="K1083" s="137"/>
      <c r="L1083" s="137"/>
      <c r="M1083" s="137"/>
      <c r="N1083" s="137"/>
      <c r="O1083" s="137"/>
      <c r="P1083" s="137"/>
      <c r="Q1083" s="137"/>
      <c r="R1083" s="137"/>
      <c r="S1083" s="137"/>
      <c r="T1083" s="137"/>
      <c r="U1083" s="138"/>
      <c r="V1083" s="138"/>
    </row>
    <row r="1084" ht="12.75" customHeight="1">
      <c r="A1084" s="135"/>
      <c r="B1084" s="135"/>
      <c r="C1084" s="135"/>
      <c r="D1084" s="136"/>
      <c r="E1084" s="135"/>
      <c r="F1084" s="135"/>
      <c r="G1084" s="137"/>
      <c r="H1084" s="137"/>
      <c r="I1084" s="137"/>
      <c r="J1084" s="137"/>
      <c r="K1084" s="137"/>
      <c r="L1084" s="137"/>
      <c r="M1084" s="137"/>
      <c r="N1084" s="137"/>
      <c r="O1084" s="137"/>
      <c r="P1084" s="137"/>
      <c r="Q1084" s="137"/>
      <c r="R1084" s="137"/>
      <c r="S1084" s="137"/>
      <c r="T1084" s="137"/>
      <c r="U1084" s="138"/>
      <c r="V1084" s="138"/>
    </row>
    <row r="1085" ht="12.75" customHeight="1">
      <c r="A1085" s="135"/>
      <c r="B1085" s="135"/>
      <c r="C1085" s="135"/>
      <c r="D1085" s="136"/>
      <c r="E1085" s="135"/>
      <c r="F1085" s="135"/>
      <c r="G1085" s="137"/>
      <c r="H1085" s="137"/>
      <c r="I1085" s="137"/>
      <c r="J1085" s="137"/>
      <c r="K1085" s="137"/>
      <c r="L1085" s="137"/>
      <c r="M1085" s="137"/>
      <c r="N1085" s="137"/>
      <c r="O1085" s="137"/>
      <c r="P1085" s="137"/>
      <c r="Q1085" s="137"/>
      <c r="R1085" s="137"/>
      <c r="S1085" s="137"/>
      <c r="T1085" s="137"/>
      <c r="U1085" s="138"/>
      <c r="V1085" s="138"/>
    </row>
    <row r="1086" ht="12.75" customHeight="1">
      <c r="A1086" s="135"/>
      <c r="B1086" s="135"/>
      <c r="C1086" s="135"/>
      <c r="D1086" s="136"/>
      <c r="E1086" s="135"/>
      <c r="F1086" s="135"/>
      <c r="G1086" s="137"/>
      <c r="H1086" s="137"/>
      <c r="I1086" s="137"/>
      <c r="J1086" s="137"/>
      <c r="K1086" s="137"/>
      <c r="L1086" s="137"/>
      <c r="M1086" s="137"/>
      <c r="N1086" s="137"/>
      <c r="O1086" s="137"/>
      <c r="P1086" s="137"/>
      <c r="Q1086" s="137"/>
      <c r="R1086" s="137"/>
      <c r="S1086" s="137"/>
      <c r="T1086" s="137"/>
      <c r="U1086" s="138"/>
      <c r="V1086" s="138"/>
    </row>
    <row r="1087" ht="12.75" customHeight="1">
      <c r="A1087" s="135"/>
      <c r="B1087" s="135"/>
      <c r="C1087" s="135"/>
      <c r="D1087" s="136"/>
      <c r="E1087" s="135"/>
      <c r="F1087" s="135"/>
      <c r="G1087" s="137"/>
      <c r="H1087" s="137"/>
      <c r="I1087" s="137"/>
      <c r="J1087" s="137"/>
      <c r="K1087" s="137"/>
      <c r="L1087" s="137"/>
      <c r="M1087" s="137"/>
      <c r="N1087" s="137"/>
      <c r="O1087" s="137"/>
      <c r="P1087" s="137"/>
      <c r="Q1087" s="137"/>
      <c r="R1087" s="137"/>
      <c r="S1087" s="137"/>
      <c r="T1087" s="137"/>
      <c r="U1087" s="138"/>
      <c r="V1087" s="138"/>
    </row>
    <row r="1088" ht="12.75" customHeight="1">
      <c r="A1088" s="135"/>
      <c r="B1088" s="135"/>
      <c r="C1088" s="135"/>
      <c r="D1088" s="136"/>
      <c r="E1088" s="135"/>
      <c r="F1088" s="135"/>
      <c r="G1088" s="137"/>
      <c r="H1088" s="137"/>
      <c r="I1088" s="137"/>
      <c r="J1088" s="137"/>
      <c r="K1088" s="137"/>
      <c r="L1088" s="137"/>
      <c r="M1088" s="137"/>
      <c r="N1088" s="137"/>
      <c r="O1088" s="137"/>
      <c r="P1088" s="137"/>
      <c r="Q1088" s="137"/>
      <c r="R1088" s="137"/>
      <c r="S1088" s="137"/>
      <c r="T1088" s="137"/>
      <c r="U1088" s="138"/>
      <c r="V1088" s="138"/>
    </row>
    <row r="1089" ht="12.75" customHeight="1">
      <c r="A1089" s="135"/>
      <c r="B1089" s="135"/>
      <c r="C1089" s="135"/>
      <c r="D1089" s="136"/>
      <c r="E1089" s="135"/>
      <c r="F1089" s="135"/>
      <c r="G1089" s="137"/>
      <c r="H1089" s="137"/>
      <c r="I1089" s="137"/>
      <c r="J1089" s="137"/>
      <c r="K1089" s="137"/>
      <c r="L1089" s="137"/>
      <c r="M1089" s="137"/>
      <c r="N1089" s="137"/>
      <c r="O1089" s="137"/>
      <c r="P1089" s="137"/>
      <c r="Q1089" s="137"/>
      <c r="R1089" s="137"/>
      <c r="S1089" s="137"/>
      <c r="T1089" s="137"/>
      <c r="U1089" s="138"/>
      <c r="V1089" s="138"/>
    </row>
    <row r="1090" ht="12.75" customHeight="1">
      <c r="A1090" s="135"/>
      <c r="B1090" s="135"/>
      <c r="C1090" s="135"/>
      <c r="D1090" s="136"/>
      <c r="E1090" s="135"/>
      <c r="F1090" s="135"/>
      <c r="G1090" s="137"/>
      <c r="H1090" s="137"/>
      <c r="I1090" s="137"/>
      <c r="J1090" s="137"/>
      <c r="K1090" s="137"/>
      <c r="L1090" s="137"/>
      <c r="M1090" s="137"/>
      <c r="N1090" s="137"/>
      <c r="O1090" s="137"/>
      <c r="P1090" s="137"/>
      <c r="Q1090" s="137"/>
      <c r="R1090" s="137"/>
      <c r="S1090" s="137"/>
      <c r="T1090" s="137"/>
      <c r="U1090" s="138"/>
      <c r="V1090" s="138"/>
    </row>
    <row r="1091" ht="12.75" customHeight="1">
      <c r="A1091" s="135"/>
      <c r="B1091" s="135"/>
      <c r="C1091" s="135"/>
      <c r="D1091" s="136"/>
      <c r="E1091" s="135"/>
      <c r="F1091" s="135"/>
      <c r="G1091" s="137"/>
      <c r="H1091" s="137"/>
      <c r="I1091" s="137"/>
      <c r="J1091" s="137"/>
      <c r="K1091" s="137"/>
      <c r="L1091" s="137"/>
      <c r="M1091" s="137"/>
      <c r="N1091" s="137"/>
      <c r="O1091" s="137"/>
      <c r="P1091" s="137"/>
      <c r="Q1091" s="137"/>
      <c r="R1091" s="137"/>
      <c r="S1091" s="137"/>
      <c r="T1091" s="137"/>
      <c r="U1091" s="138"/>
      <c r="V1091" s="138"/>
    </row>
    <row r="1092" ht="12.75" customHeight="1">
      <c r="A1092" s="135"/>
      <c r="B1092" s="135"/>
      <c r="C1092" s="135"/>
      <c r="D1092" s="136"/>
      <c r="E1092" s="135"/>
      <c r="F1092" s="135"/>
      <c r="G1092" s="137"/>
      <c r="H1092" s="137"/>
      <c r="I1092" s="137"/>
      <c r="J1092" s="137"/>
      <c r="K1092" s="137"/>
      <c r="L1092" s="137"/>
      <c r="M1092" s="137"/>
      <c r="N1092" s="137"/>
      <c r="O1092" s="137"/>
      <c r="P1092" s="137"/>
      <c r="Q1092" s="137"/>
      <c r="R1092" s="137"/>
      <c r="S1092" s="137"/>
      <c r="T1092" s="137"/>
      <c r="U1092" s="138"/>
      <c r="V1092" s="138"/>
    </row>
    <row r="1093" ht="12.75" customHeight="1">
      <c r="A1093" s="135"/>
      <c r="B1093" s="135"/>
      <c r="C1093" s="135"/>
      <c r="D1093" s="136"/>
      <c r="E1093" s="135"/>
      <c r="F1093" s="135"/>
      <c r="G1093" s="137"/>
      <c r="H1093" s="137"/>
      <c r="I1093" s="137"/>
      <c r="J1093" s="137"/>
      <c r="K1093" s="137"/>
      <c r="L1093" s="137"/>
      <c r="M1093" s="137"/>
      <c r="N1093" s="137"/>
      <c r="O1093" s="137"/>
      <c r="P1093" s="137"/>
      <c r="Q1093" s="137"/>
      <c r="R1093" s="137"/>
      <c r="S1093" s="137"/>
      <c r="T1093" s="137"/>
      <c r="U1093" s="138"/>
      <c r="V1093" s="138"/>
    </row>
    <row r="1094" ht="12.75" customHeight="1">
      <c r="A1094" s="135"/>
      <c r="B1094" s="135"/>
      <c r="C1094" s="135"/>
      <c r="D1094" s="136"/>
      <c r="E1094" s="135"/>
      <c r="F1094" s="135"/>
      <c r="G1094" s="137"/>
      <c r="H1094" s="137"/>
      <c r="I1094" s="137"/>
      <c r="J1094" s="137"/>
      <c r="K1094" s="137"/>
      <c r="L1094" s="137"/>
      <c r="M1094" s="137"/>
      <c r="N1094" s="137"/>
      <c r="O1094" s="137"/>
      <c r="P1094" s="137"/>
      <c r="Q1094" s="137"/>
      <c r="R1094" s="137"/>
      <c r="S1094" s="137"/>
      <c r="T1094" s="137"/>
      <c r="U1094" s="138"/>
      <c r="V1094" s="138"/>
    </row>
    <row r="1095" ht="12.75" customHeight="1">
      <c r="A1095" s="135"/>
      <c r="B1095" s="135"/>
      <c r="C1095" s="135"/>
      <c r="D1095" s="136"/>
      <c r="E1095" s="135"/>
      <c r="F1095" s="135"/>
      <c r="G1095" s="137"/>
      <c r="H1095" s="137"/>
      <c r="I1095" s="137"/>
      <c r="J1095" s="137"/>
      <c r="K1095" s="137"/>
      <c r="L1095" s="137"/>
      <c r="M1095" s="137"/>
      <c r="N1095" s="137"/>
      <c r="O1095" s="137"/>
      <c r="P1095" s="137"/>
      <c r="Q1095" s="137"/>
      <c r="R1095" s="137"/>
      <c r="S1095" s="137"/>
      <c r="T1095" s="137"/>
      <c r="U1095" s="138"/>
      <c r="V1095" s="138"/>
    </row>
    <row r="1096" ht="12.75" customHeight="1">
      <c r="A1096" s="135"/>
      <c r="B1096" s="135"/>
      <c r="C1096" s="135"/>
      <c r="D1096" s="136"/>
      <c r="E1096" s="135"/>
      <c r="F1096" s="135"/>
      <c r="G1096" s="137"/>
      <c r="H1096" s="137"/>
      <c r="I1096" s="137"/>
      <c r="J1096" s="137"/>
      <c r="K1096" s="137"/>
      <c r="L1096" s="137"/>
      <c r="M1096" s="137"/>
      <c r="N1096" s="137"/>
      <c r="O1096" s="137"/>
      <c r="P1096" s="137"/>
      <c r="Q1096" s="137"/>
      <c r="R1096" s="137"/>
      <c r="S1096" s="137"/>
      <c r="T1096" s="137"/>
      <c r="U1096" s="138"/>
      <c r="V1096" s="138"/>
    </row>
    <row r="1097" ht="12.75" customHeight="1">
      <c r="A1097" s="135"/>
      <c r="B1097" s="135"/>
      <c r="C1097" s="135"/>
      <c r="D1097" s="136"/>
      <c r="E1097" s="135"/>
      <c r="F1097" s="135"/>
      <c r="G1097" s="137"/>
      <c r="H1097" s="137"/>
      <c r="I1097" s="137"/>
      <c r="J1097" s="137"/>
      <c r="K1097" s="137"/>
      <c r="L1097" s="137"/>
      <c r="M1097" s="137"/>
      <c r="N1097" s="137"/>
      <c r="O1097" s="137"/>
      <c r="P1097" s="137"/>
      <c r="Q1097" s="137"/>
      <c r="R1097" s="137"/>
      <c r="S1097" s="137"/>
      <c r="T1097" s="137"/>
      <c r="U1097" s="138"/>
      <c r="V1097" s="138"/>
    </row>
    <row r="1098" ht="12.75" customHeight="1">
      <c r="A1098" s="135"/>
      <c r="B1098" s="135"/>
      <c r="C1098" s="135"/>
      <c r="D1098" s="136"/>
      <c r="E1098" s="135"/>
      <c r="F1098" s="135"/>
      <c r="G1098" s="137"/>
      <c r="H1098" s="137"/>
      <c r="I1098" s="137"/>
      <c r="J1098" s="137"/>
      <c r="K1098" s="137"/>
      <c r="L1098" s="137"/>
      <c r="M1098" s="137"/>
      <c r="N1098" s="137"/>
      <c r="O1098" s="137"/>
      <c r="P1098" s="137"/>
      <c r="Q1098" s="137"/>
      <c r="R1098" s="137"/>
      <c r="S1098" s="137"/>
      <c r="T1098" s="137"/>
      <c r="U1098" s="138"/>
      <c r="V1098" s="138"/>
    </row>
    <row r="1099" ht="12.75" customHeight="1">
      <c r="A1099" s="135"/>
      <c r="B1099" s="135"/>
      <c r="C1099" s="135"/>
      <c r="D1099" s="136"/>
      <c r="E1099" s="135"/>
      <c r="F1099" s="135"/>
      <c r="G1099" s="137"/>
      <c r="H1099" s="137"/>
      <c r="I1099" s="137"/>
      <c r="J1099" s="137"/>
      <c r="K1099" s="137"/>
      <c r="L1099" s="137"/>
      <c r="M1099" s="137"/>
      <c r="N1099" s="137"/>
      <c r="O1099" s="137"/>
      <c r="P1099" s="137"/>
      <c r="Q1099" s="137"/>
      <c r="R1099" s="137"/>
      <c r="S1099" s="137"/>
      <c r="T1099" s="137"/>
      <c r="U1099" s="138"/>
      <c r="V1099" s="138"/>
    </row>
    <row r="1100" ht="12.75" customHeight="1">
      <c r="A1100" s="135"/>
      <c r="B1100" s="135"/>
      <c r="C1100" s="135"/>
      <c r="D1100" s="136"/>
      <c r="E1100" s="135"/>
      <c r="F1100" s="135"/>
      <c r="G1100" s="137"/>
      <c r="H1100" s="137"/>
      <c r="I1100" s="137"/>
      <c r="J1100" s="137"/>
      <c r="K1100" s="137"/>
      <c r="L1100" s="137"/>
      <c r="M1100" s="137"/>
      <c r="N1100" s="137"/>
      <c r="O1100" s="137"/>
      <c r="P1100" s="137"/>
      <c r="Q1100" s="137"/>
      <c r="R1100" s="137"/>
      <c r="S1100" s="137"/>
      <c r="T1100" s="137"/>
      <c r="U1100" s="138"/>
      <c r="V1100" s="138"/>
    </row>
    <row r="1101" ht="12.75" customHeight="1">
      <c r="A1101" s="135"/>
      <c r="B1101" s="135"/>
      <c r="C1101" s="135"/>
      <c r="D1101" s="136"/>
      <c r="E1101" s="135"/>
      <c r="F1101" s="135"/>
      <c r="G1101" s="137"/>
      <c r="H1101" s="137"/>
      <c r="I1101" s="137"/>
      <c r="J1101" s="137"/>
      <c r="K1101" s="137"/>
      <c r="L1101" s="137"/>
      <c r="M1101" s="137"/>
      <c r="N1101" s="137"/>
      <c r="O1101" s="137"/>
      <c r="P1101" s="137"/>
      <c r="Q1101" s="137"/>
      <c r="R1101" s="137"/>
      <c r="S1101" s="137"/>
      <c r="T1101" s="137"/>
      <c r="U1101" s="138"/>
      <c r="V1101" s="138"/>
    </row>
    <row r="1102" ht="12.75" customHeight="1">
      <c r="A1102" s="135"/>
      <c r="B1102" s="135"/>
      <c r="C1102" s="135"/>
      <c r="D1102" s="136"/>
      <c r="E1102" s="135"/>
      <c r="F1102" s="135"/>
      <c r="G1102" s="137"/>
      <c r="H1102" s="137"/>
      <c r="I1102" s="137"/>
      <c r="J1102" s="137"/>
      <c r="K1102" s="137"/>
      <c r="L1102" s="137"/>
      <c r="M1102" s="137"/>
      <c r="N1102" s="137"/>
      <c r="O1102" s="137"/>
      <c r="P1102" s="137"/>
      <c r="Q1102" s="137"/>
      <c r="R1102" s="137"/>
      <c r="S1102" s="137"/>
      <c r="T1102" s="137"/>
      <c r="U1102" s="138"/>
      <c r="V1102" s="138"/>
    </row>
    <row r="1103" ht="12.75" customHeight="1">
      <c r="A1103" s="135"/>
      <c r="B1103" s="135"/>
      <c r="C1103" s="135"/>
      <c r="D1103" s="136"/>
      <c r="E1103" s="135"/>
      <c r="F1103" s="135"/>
      <c r="G1103" s="137"/>
      <c r="H1103" s="137"/>
      <c r="I1103" s="137"/>
      <c r="J1103" s="137"/>
      <c r="K1103" s="137"/>
      <c r="L1103" s="137"/>
      <c r="M1103" s="137"/>
      <c r="N1103" s="137"/>
      <c r="O1103" s="137"/>
      <c r="P1103" s="137"/>
      <c r="Q1103" s="137"/>
      <c r="R1103" s="137"/>
      <c r="S1103" s="137"/>
      <c r="T1103" s="137"/>
      <c r="U1103" s="138"/>
      <c r="V1103" s="138"/>
    </row>
    <row r="1104" ht="12.75" customHeight="1">
      <c r="A1104" s="135"/>
      <c r="B1104" s="135"/>
      <c r="C1104" s="135"/>
      <c r="D1104" s="136"/>
      <c r="E1104" s="135"/>
      <c r="F1104" s="135"/>
      <c r="G1104" s="137"/>
      <c r="H1104" s="137"/>
      <c r="I1104" s="137"/>
      <c r="J1104" s="137"/>
      <c r="K1104" s="137"/>
      <c r="L1104" s="137"/>
      <c r="M1104" s="137"/>
      <c r="N1104" s="137"/>
      <c r="O1104" s="137"/>
      <c r="P1104" s="137"/>
      <c r="Q1104" s="137"/>
      <c r="R1104" s="137"/>
      <c r="S1104" s="137"/>
      <c r="T1104" s="137"/>
      <c r="U1104" s="138"/>
      <c r="V1104" s="138"/>
    </row>
    <row r="1105" ht="12.75" customHeight="1">
      <c r="A1105" s="135"/>
      <c r="B1105" s="135"/>
      <c r="C1105" s="135"/>
      <c r="D1105" s="136"/>
      <c r="E1105" s="135"/>
      <c r="F1105" s="135"/>
      <c r="G1105" s="137"/>
      <c r="H1105" s="137"/>
      <c r="I1105" s="137"/>
      <c r="J1105" s="137"/>
      <c r="K1105" s="137"/>
      <c r="L1105" s="137"/>
      <c r="M1105" s="137"/>
      <c r="N1105" s="137"/>
      <c r="O1105" s="137"/>
      <c r="P1105" s="137"/>
      <c r="Q1105" s="137"/>
      <c r="R1105" s="137"/>
      <c r="S1105" s="137"/>
      <c r="T1105" s="137"/>
      <c r="U1105" s="138"/>
      <c r="V1105" s="138"/>
    </row>
    <row r="1106" ht="12.75" customHeight="1">
      <c r="A1106" s="135"/>
      <c r="B1106" s="135"/>
      <c r="C1106" s="135"/>
      <c r="D1106" s="136"/>
      <c r="E1106" s="135"/>
      <c r="F1106" s="135"/>
      <c r="G1106" s="137"/>
      <c r="H1106" s="137"/>
      <c r="I1106" s="137"/>
      <c r="J1106" s="137"/>
      <c r="K1106" s="137"/>
      <c r="L1106" s="137"/>
      <c r="M1106" s="137"/>
      <c r="N1106" s="137"/>
      <c r="O1106" s="137"/>
      <c r="P1106" s="137"/>
      <c r="Q1106" s="137"/>
      <c r="R1106" s="137"/>
      <c r="S1106" s="137"/>
      <c r="T1106" s="137"/>
      <c r="U1106" s="138"/>
      <c r="V1106" s="138"/>
    </row>
    <row r="1107" ht="12.75" customHeight="1">
      <c r="A1107" s="135"/>
      <c r="B1107" s="135"/>
      <c r="C1107" s="135"/>
      <c r="D1107" s="136"/>
      <c r="E1107" s="135"/>
      <c r="F1107" s="135"/>
      <c r="G1107" s="137"/>
      <c r="H1107" s="137"/>
      <c r="I1107" s="137"/>
      <c r="J1107" s="137"/>
      <c r="K1107" s="137"/>
      <c r="L1107" s="137"/>
      <c r="M1107" s="137"/>
      <c r="N1107" s="137"/>
      <c r="O1107" s="137"/>
      <c r="P1107" s="137"/>
      <c r="Q1107" s="137"/>
      <c r="R1107" s="137"/>
      <c r="S1107" s="137"/>
      <c r="T1107" s="137"/>
      <c r="U1107" s="138"/>
      <c r="V1107" s="138"/>
    </row>
    <row r="1108" ht="12.75" customHeight="1">
      <c r="A1108" s="135"/>
      <c r="B1108" s="135"/>
      <c r="C1108" s="135"/>
      <c r="D1108" s="136"/>
      <c r="E1108" s="135"/>
      <c r="F1108" s="135"/>
      <c r="G1108" s="137"/>
      <c r="H1108" s="137"/>
      <c r="I1108" s="137"/>
      <c r="J1108" s="137"/>
      <c r="K1108" s="137"/>
      <c r="L1108" s="137"/>
      <c r="M1108" s="137"/>
      <c r="N1108" s="137"/>
      <c r="O1108" s="137"/>
      <c r="P1108" s="137"/>
      <c r="Q1108" s="137"/>
      <c r="R1108" s="137"/>
      <c r="S1108" s="137"/>
      <c r="T1108" s="137"/>
      <c r="U1108" s="138"/>
      <c r="V1108" s="138"/>
    </row>
    <row r="1109" ht="12.75" customHeight="1">
      <c r="A1109" s="135"/>
      <c r="B1109" s="135"/>
      <c r="C1109" s="135"/>
      <c r="D1109" s="136"/>
      <c r="E1109" s="135"/>
      <c r="F1109" s="135"/>
      <c r="G1109" s="137"/>
      <c r="H1109" s="137"/>
      <c r="I1109" s="137"/>
      <c r="J1109" s="137"/>
      <c r="K1109" s="137"/>
      <c r="L1109" s="137"/>
      <c r="M1109" s="137"/>
      <c r="N1109" s="137"/>
      <c r="O1109" s="137"/>
      <c r="P1109" s="137"/>
      <c r="Q1109" s="137"/>
      <c r="R1109" s="137"/>
      <c r="S1109" s="137"/>
      <c r="T1109" s="137"/>
      <c r="U1109" s="138"/>
      <c r="V1109" s="138"/>
    </row>
    <row r="1110" ht="12.75" customHeight="1">
      <c r="A1110" s="135"/>
      <c r="B1110" s="135"/>
      <c r="C1110" s="135"/>
      <c r="D1110" s="136"/>
      <c r="E1110" s="135"/>
      <c r="F1110" s="135"/>
      <c r="G1110" s="137"/>
      <c r="H1110" s="137"/>
      <c r="I1110" s="137"/>
      <c r="J1110" s="137"/>
      <c r="K1110" s="137"/>
      <c r="L1110" s="137"/>
      <c r="M1110" s="137"/>
      <c r="N1110" s="137"/>
      <c r="O1110" s="137"/>
      <c r="P1110" s="137"/>
      <c r="Q1110" s="137"/>
      <c r="R1110" s="137"/>
      <c r="S1110" s="137"/>
      <c r="T1110" s="137"/>
      <c r="U1110" s="138"/>
      <c r="V1110" s="138"/>
    </row>
    <row r="1111" ht="12.75" customHeight="1">
      <c r="A1111" s="135"/>
      <c r="B1111" s="135"/>
      <c r="C1111" s="135"/>
      <c r="D1111" s="136"/>
      <c r="E1111" s="135"/>
      <c r="F1111" s="135"/>
      <c r="G1111" s="137"/>
      <c r="H1111" s="137"/>
      <c r="I1111" s="137"/>
      <c r="J1111" s="137"/>
      <c r="K1111" s="137"/>
      <c r="L1111" s="137"/>
      <c r="M1111" s="137"/>
      <c r="N1111" s="137"/>
      <c r="O1111" s="137"/>
      <c r="P1111" s="137"/>
      <c r="Q1111" s="137"/>
      <c r="R1111" s="137"/>
      <c r="S1111" s="137"/>
      <c r="T1111" s="137"/>
      <c r="U1111" s="138"/>
      <c r="V1111" s="138"/>
    </row>
    <row r="1112" ht="12.75" customHeight="1">
      <c r="A1112" s="135"/>
      <c r="B1112" s="135"/>
      <c r="C1112" s="135"/>
      <c r="D1112" s="136"/>
      <c r="E1112" s="135"/>
      <c r="F1112" s="135"/>
      <c r="G1112" s="137"/>
      <c r="H1112" s="137"/>
      <c r="I1112" s="137"/>
      <c r="J1112" s="137"/>
      <c r="K1112" s="137"/>
      <c r="L1112" s="137"/>
      <c r="M1112" s="137"/>
      <c r="N1112" s="137"/>
      <c r="O1112" s="137"/>
      <c r="P1112" s="137"/>
      <c r="Q1112" s="137"/>
      <c r="R1112" s="137"/>
      <c r="S1112" s="137"/>
      <c r="T1112" s="137"/>
      <c r="U1112" s="138"/>
      <c r="V1112" s="138"/>
    </row>
    <row r="1113" ht="12.75" customHeight="1">
      <c r="A1113" s="135"/>
      <c r="B1113" s="135"/>
      <c r="C1113" s="135"/>
      <c r="D1113" s="136"/>
      <c r="E1113" s="135"/>
      <c r="F1113" s="135"/>
      <c r="G1113" s="137"/>
      <c r="H1113" s="137"/>
      <c r="I1113" s="137"/>
      <c r="J1113" s="137"/>
      <c r="K1113" s="137"/>
      <c r="L1113" s="137"/>
      <c r="M1113" s="137"/>
      <c r="N1113" s="137"/>
      <c r="O1113" s="137"/>
      <c r="P1113" s="137"/>
      <c r="Q1113" s="137"/>
      <c r="R1113" s="137"/>
      <c r="S1113" s="137"/>
      <c r="T1113" s="137"/>
      <c r="U1113" s="138"/>
      <c r="V1113" s="138"/>
    </row>
    <row r="1114" ht="12.75" customHeight="1">
      <c r="A1114" s="135"/>
      <c r="B1114" s="135"/>
      <c r="C1114" s="135"/>
      <c r="D1114" s="136"/>
      <c r="E1114" s="135"/>
      <c r="F1114" s="135"/>
      <c r="G1114" s="137"/>
      <c r="H1114" s="137"/>
      <c r="I1114" s="137"/>
      <c r="J1114" s="137"/>
      <c r="K1114" s="137"/>
      <c r="L1114" s="137"/>
      <c r="M1114" s="137"/>
      <c r="N1114" s="137"/>
      <c r="O1114" s="137"/>
      <c r="P1114" s="137"/>
      <c r="Q1114" s="137"/>
      <c r="R1114" s="137"/>
      <c r="S1114" s="137"/>
      <c r="T1114" s="137"/>
      <c r="U1114" s="138"/>
      <c r="V1114" s="138"/>
    </row>
    <row r="1115" ht="12.75" customHeight="1">
      <c r="A1115" s="135"/>
      <c r="B1115" s="135"/>
      <c r="C1115" s="135"/>
      <c r="D1115" s="136"/>
      <c r="E1115" s="135"/>
      <c r="F1115" s="135"/>
      <c r="G1115" s="137"/>
      <c r="H1115" s="137"/>
      <c r="I1115" s="137"/>
      <c r="J1115" s="137"/>
      <c r="K1115" s="137"/>
      <c r="L1115" s="137"/>
      <c r="M1115" s="137"/>
      <c r="N1115" s="137"/>
      <c r="O1115" s="137"/>
      <c r="P1115" s="137"/>
      <c r="Q1115" s="137"/>
      <c r="R1115" s="137"/>
      <c r="S1115" s="137"/>
      <c r="T1115" s="137"/>
      <c r="U1115" s="138"/>
      <c r="V1115" s="138"/>
    </row>
    <row r="1116" ht="12.75" customHeight="1">
      <c r="A1116" s="135"/>
      <c r="B1116" s="135"/>
      <c r="C1116" s="135"/>
      <c r="D1116" s="136"/>
      <c r="E1116" s="135"/>
      <c r="F1116" s="135"/>
      <c r="G1116" s="137"/>
      <c r="H1116" s="137"/>
      <c r="I1116" s="137"/>
      <c r="J1116" s="137"/>
      <c r="K1116" s="137"/>
      <c r="L1116" s="137"/>
      <c r="M1116" s="137"/>
      <c r="N1116" s="137"/>
      <c r="O1116" s="137"/>
      <c r="P1116" s="137"/>
      <c r="Q1116" s="137"/>
      <c r="R1116" s="137"/>
      <c r="S1116" s="137"/>
      <c r="T1116" s="137"/>
      <c r="U1116" s="138"/>
      <c r="V1116" s="138"/>
    </row>
    <row r="1117" ht="12.75" customHeight="1">
      <c r="A1117" s="135"/>
      <c r="B1117" s="135"/>
      <c r="C1117" s="135"/>
      <c r="D1117" s="136"/>
      <c r="E1117" s="135"/>
      <c r="F1117" s="135"/>
      <c r="G1117" s="137"/>
      <c r="H1117" s="137"/>
      <c r="I1117" s="137"/>
      <c r="J1117" s="137"/>
      <c r="K1117" s="137"/>
      <c r="L1117" s="137"/>
      <c r="M1117" s="137"/>
      <c r="N1117" s="137"/>
      <c r="O1117" s="137"/>
      <c r="P1117" s="137"/>
      <c r="Q1117" s="137"/>
      <c r="R1117" s="137"/>
      <c r="S1117" s="137"/>
      <c r="T1117" s="137"/>
      <c r="U1117" s="138"/>
      <c r="V1117" s="138"/>
    </row>
    <row r="1118" ht="12.75" customHeight="1">
      <c r="A1118" s="135"/>
      <c r="B1118" s="135"/>
      <c r="C1118" s="135"/>
      <c r="D1118" s="136"/>
      <c r="E1118" s="135"/>
      <c r="F1118" s="135"/>
      <c r="G1118" s="137"/>
      <c r="H1118" s="137"/>
      <c r="I1118" s="137"/>
      <c r="J1118" s="137"/>
      <c r="K1118" s="137"/>
      <c r="L1118" s="137"/>
      <c r="M1118" s="137"/>
      <c r="N1118" s="137"/>
      <c r="O1118" s="137"/>
      <c r="P1118" s="137"/>
      <c r="Q1118" s="137"/>
      <c r="R1118" s="137"/>
      <c r="S1118" s="137"/>
      <c r="T1118" s="137"/>
      <c r="U1118" s="138"/>
      <c r="V1118" s="138"/>
    </row>
    <row r="1119" ht="12.75" customHeight="1">
      <c r="A1119" s="135"/>
      <c r="B1119" s="135"/>
      <c r="C1119" s="135"/>
      <c r="D1119" s="136"/>
      <c r="E1119" s="135"/>
      <c r="F1119" s="135"/>
      <c r="G1119" s="137"/>
      <c r="H1119" s="137"/>
      <c r="I1119" s="137"/>
      <c r="J1119" s="137"/>
      <c r="K1119" s="137"/>
      <c r="L1119" s="137"/>
      <c r="M1119" s="137"/>
      <c r="N1119" s="137"/>
      <c r="O1119" s="137"/>
      <c r="P1119" s="137"/>
      <c r="Q1119" s="137"/>
      <c r="R1119" s="137"/>
      <c r="S1119" s="137"/>
      <c r="T1119" s="137"/>
      <c r="U1119" s="138"/>
      <c r="V1119" s="138"/>
    </row>
    <row r="1120" ht="12.75" customHeight="1">
      <c r="A1120" s="135"/>
      <c r="B1120" s="135"/>
      <c r="C1120" s="135"/>
      <c r="D1120" s="136"/>
      <c r="E1120" s="135"/>
      <c r="F1120" s="135"/>
      <c r="G1120" s="137"/>
      <c r="H1120" s="137"/>
      <c r="I1120" s="137"/>
      <c r="J1120" s="137"/>
      <c r="K1120" s="137"/>
      <c r="L1120" s="137"/>
      <c r="M1120" s="137"/>
      <c r="N1120" s="137"/>
      <c r="O1120" s="137"/>
      <c r="P1120" s="137"/>
      <c r="Q1120" s="137"/>
      <c r="R1120" s="137"/>
      <c r="S1120" s="137"/>
      <c r="T1120" s="137"/>
      <c r="U1120" s="138"/>
      <c r="V1120" s="138"/>
    </row>
    <row r="1121" ht="12.75" customHeight="1">
      <c r="A1121" s="135"/>
      <c r="B1121" s="135"/>
      <c r="C1121" s="135"/>
      <c r="D1121" s="136"/>
      <c r="E1121" s="135"/>
      <c r="F1121" s="135"/>
      <c r="G1121" s="137"/>
      <c r="H1121" s="137"/>
      <c r="I1121" s="137"/>
      <c r="J1121" s="137"/>
      <c r="K1121" s="137"/>
      <c r="L1121" s="137"/>
      <c r="M1121" s="137"/>
      <c r="N1121" s="137"/>
      <c r="O1121" s="137"/>
      <c r="P1121" s="137"/>
      <c r="Q1121" s="137"/>
      <c r="R1121" s="137"/>
      <c r="S1121" s="137"/>
      <c r="T1121" s="137"/>
      <c r="U1121" s="138"/>
      <c r="V1121" s="138"/>
    </row>
    <row r="1122" ht="12.75" customHeight="1">
      <c r="A1122" s="135"/>
      <c r="B1122" s="135"/>
      <c r="C1122" s="135"/>
      <c r="D1122" s="136"/>
      <c r="E1122" s="135"/>
      <c r="F1122" s="135"/>
      <c r="G1122" s="137"/>
      <c r="H1122" s="137"/>
      <c r="I1122" s="137"/>
      <c r="J1122" s="137"/>
      <c r="K1122" s="137"/>
      <c r="L1122" s="137"/>
      <c r="M1122" s="137"/>
      <c r="N1122" s="137"/>
      <c r="O1122" s="137"/>
      <c r="P1122" s="137"/>
      <c r="Q1122" s="137"/>
      <c r="R1122" s="137"/>
      <c r="S1122" s="137"/>
      <c r="T1122" s="137"/>
      <c r="U1122" s="138"/>
      <c r="V1122" s="138"/>
    </row>
    <row r="1123" ht="12.75" customHeight="1">
      <c r="A1123" s="135"/>
      <c r="B1123" s="135"/>
      <c r="C1123" s="135"/>
      <c r="D1123" s="136"/>
      <c r="E1123" s="135"/>
      <c r="F1123" s="135"/>
      <c r="G1123" s="137"/>
      <c r="H1123" s="137"/>
      <c r="I1123" s="137"/>
      <c r="J1123" s="137"/>
      <c r="K1123" s="137"/>
      <c r="L1123" s="137"/>
      <c r="M1123" s="137"/>
      <c r="N1123" s="137"/>
      <c r="O1123" s="137"/>
      <c r="P1123" s="137"/>
      <c r="Q1123" s="137"/>
      <c r="R1123" s="137"/>
      <c r="S1123" s="137"/>
      <c r="T1123" s="137"/>
      <c r="U1123" s="138"/>
      <c r="V1123" s="138"/>
    </row>
    <row r="1124" ht="12.75" customHeight="1">
      <c r="A1124" s="135"/>
      <c r="B1124" s="135"/>
      <c r="C1124" s="135"/>
      <c r="D1124" s="136"/>
      <c r="E1124" s="135"/>
      <c r="F1124" s="135"/>
      <c r="G1124" s="137"/>
      <c r="H1124" s="137"/>
      <c r="I1124" s="137"/>
      <c r="J1124" s="137"/>
      <c r="K1124" s="137"/>
      <c r="L1124" s="137"/>
      <c r="M1124" s="137"/>
      <c r="N1124" s="137"/>
      <c r="O1124" s="137"/>
      <c r="P1124" s="137"/>
      <c r="Q1124" s="137"/>
      <c r="R1124" s="137"/>
      <c r="S1124" s="137"/>
      <c r="T1124" s="137"/>
      <c r="U1124" s="138"/>
      <c r="V1124" s="138"/>
    </row>
    <row r="1125" ht="12.75" customHeight="1">
      <c r="A1125" s="135"/>
      <c r="B1125" s="135"/>
      <c r="C1125" s="135"/>
      <c r="D1125" s="136"/>
      <c r="E1125" s="135"/>
      <c r="F1125" s="135"/>
      <c r="G1125" s="137"/>
      <c r="H1125" s="137"/>
      <c r="I1125" s="137"/>
      <c r="J1125" s="137"/>
      <c r="K1125" s="137"/>
      <c r="L1125" s="137"/>
      <c r="M1125" s="137"/>
      <c r="N1125" s="137"/>
      <c r="O1125" s="137"/>
      <c r="P1125" s="137"/>
      <c r="Q1125" s="137"/>
      <c r="R1125" s="137"/>
      <c r="S1125" s="137"/>
      <c r="T1125" s="137"/>
      <c r="U1125" s="138"/>
      <c r="V1125" s="138"/>
    </row>
    <row r="1126" ht="12.75" customHeight="1">
      <c r="A1126" s="135"/>
      <c r="B1126" s="135"/>
      <c r="C1126" s="135"/>
      <c r="D1126" s="136"/>
      <c r="E1126" s="135"/>
      <c r="F1126" s="135"/>
      <c r="G1126" s="137"/>
      <c r="H1126" s="137"/>
      <c r="I1126" s="137"/>
      <c r="J1126" s="137"/>
      <c r="K1126" s="137"/>
      <c r="L1126" s="137"/>
      <c r="M1126" s="137"/>
      <c r="N1126" s="137"/>
      <c r="O1126" s="137"/>
      <c r="P1126" s="137"/>
      <c r="Q1126" s="137"/>
      <c r="R1126" s="137"/>
      <c r="S1126" s="137"/>
      <c r="T1126" s="137"/>
      <c r="U1126" s="138"/>
      <c r="V1126" s="138"/>
    </row>
    <row r="1127" ht="12.75" customHeight="1">
      <c r="A1127" s="135"/>
      <c r="B1127" s="135"/>
      <c r="C1127" s="135"/>
      <c r="D1127" s="136"/>
      <c r="E1127" s="135"/>
      <c r="F1127" s="135"/>
      <c r="G1127" s="137"/>
      <c r="H1127" s="137"/>
      <c r="I1127" s="137"/>
      <c r="J1127" s="137"/>
      <c r="K1127" s="137"/>
      <c r="L1127" s="137"/>
      <c r="M1127" s="137"/>
      <c r="N1127" s="137"/>
      <c r="O1127" s="137"/>
      <c r="P1127" s="137"/>
      <c r="Q1127" s="137"/>
      <c r="R1127" s="137"/>
      <c r="S1127" s="137"/>
      <c r="T1127" s="137"/>
      <c r="U1127" s="138"/>
      <c r="V1127" s="138"/>
    </row>
    <row r="1128" ht="12.75" customHeight="1">
      <c r="A1128" s="135"/>
      <c r="B1128" s="135"/>
      <c r="C1128" s="135"/>
      <c r="D1128" s="136"/>
      <c r="E1128" s="135"/>
      <c r="F1128" s="135"/>
      <c r="G1128" s="137"/>
      <c r="H1128" s="137"/>
      <c r="I1128" s="137"/>
      <c r="J1128" s="137"/>
      <c r="K1128" s="137"/>
      <c r="L1128" s="137"/>
      <c r="M1128" s="137"/>
      <c r="N1128" s="137"/>
      <c r="O1128" s="137"/>
      <c r="P1128" s="137"/>
      <c r="Q1128" s="137"/>
      <c r="R1128" s="137"/>
      <c r="S1128" s="137"/>
      <c r="T1128" s="137"/>
      <c r="U1128" s="138"/>
      <c r="V1128" s="138"/>
    </row>
    <row r="1129" ht="12.75" customHeight="1">
      <c r="A1129" s="135"/>
      <c r="B1129" s="135"/>
      <c r="C1129" s="135"/>
      <c r="D1129" s="136"/>
      <c r="E1129" s="135"/>
      <c r="F1129" s="135"/>
      <c r="G1129" s="137"/>
      <c r="H1129" s="137"/>
      <c r="I1129" s="137"/>
      <c r="J1129" s="137"/>
      <c r="K1129" s="137"/>
      <c r="L1129" s="137"/>
      <c r="M1129" s="137"/>
      <c r="N1129" s="137"/>
      <c r="O1129" s="137"/>
      <c r="P1129" s="137"/>
      <c r="Q1129" s="137"/>
      <c r="R1129" s="137"/>
      <c r="S1129" s="137"/>
      <c r="T1129" s="137"/>
      <c r="U1129" s="138"/>
      <c r="V1129" s="138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40" t="s">
        <v>82</v>
      </c>
      <c r="B1" s="140" t="s">
        <v>83</v>
      </c>
      <c r="C1" s="140" t="s">
        <v>29</v>
      </c>
      <c r="D1" s="140" t="s">
        <v>84</v>
      </c>
      <c r="E1" s="140" t="s">
        <v>0</v>
      </c>
      <c r="F1" s="140" t="s">
        <v>85</v>
      </c>
      <c r="G1" s="140" t="s">
        <v>86</v>
      </c>
      <c r="H1" s="140" t="s">
        <v>87</v>
      </c>
      <c r="I1" s="140" t="s">
        <v>88</v>
      </c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42" t="s">
        <v>89</v>
      </c>
      <c r="B2" s="142" t="s">
        <v>90</v>
      </c>
      <c r="C2" s="142" t="s">
        <v>91</v>
      </c>
      <c r="D2" s="143">
        <v>46096.0</v>
      </c>
      <c r="E2" s="142">
        <v>1555.08</v>
      </c>
      <c r="F2" s="142" t="s">
        <v>92</v>
      </c>
      <c r="G2" s="142" t="s">
        <v>93</v>
      </c>
      <c r="H2" s="142" t="s">
        <v>94</v>
      </c>
      <c r="I2" s="142" t="s">
        <v>61</v>
      </c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>
      <c r="A3" s="142" t="s">
        <v>95</v>
      </c>
      <c r="B3" s="142" t="s">
        <v>90</v>
      </c>
      <c r="C3" s="142" t="s">
        <v>91</v>
      </c>
      <c r="D3" s="143">
        <v>46094.0</v>
      </c>
      <c r="E3" s="142">
        <v>1617.0</v>
      </c>
      <c r="F3" s="142" t="s">
        <v>92</v>
      </c>
      <c r="G3" s="142" t="s">
        <v>93</v>
      </c>
      <c r="H3" s="142" t="s">
        <v>96</v>
      </c>
      <c r="I3" s="142" t="s">
        <v>61</v>
      </c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>
      <c r="A4" s="142" t="s">
        <v>97</v>
      </c>
      <c r="B4" s="142" t="s">
        <v>90</v>
      </c>
      <c r="C4" s="142" t="s">
        <v>91</v>
      </c>
      <c r="D4" s="143">
        <v>46098.0</v>
      </c>
      <c r="E4" s="142">
        <v>597.12</v>
      </c>
      <c r="F4" s="142" t="s">
        <v>92</v>
      </c>
      <c r="G4" s="142" t="s">
        <v>93</v>
      </c>
      <c r="H4" s="142" t="s">
        <v>98</v>
      </c>
      <c r="I4" s="142" t="s">
        <v>61</v>
      </c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</row>
    <row r="5">
      <c r="A5" s="142" t="s">
        <v>99</v>
      </c>
      <c r="B5" s="142" t="s">
        <v>100</v>
      </c>
      <c r="C5" s="142" t="s">
        <v>91</v>
      </c>
      <c r="D5" s="143">
        <v>46098.0</v>
      </c>
      <c r="E5" s="142">
        <v>1067.76</v>
      </c>
      <c r="F5" s="142" t="s">
        <v>92</v>
      </c>
      <c r="G5" s="142" t="s">
        <v>93</v>
      </c>
      <c r="H5" s="142" t="s">
        <v>101</v>
      </c>
      <c r="I5" s="142" t="s">
        <v>61</v>
      </c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</row>
    <row r="6">
      <c r="A6" s="142" t="s">
        <v>102</v>
      </c>
      <c r="B6" s="142" t="s">
        <v>100</v>
      </c>
      <c r="C6" s="142" t="s">
        <v>91</v>
      </c>
      <c r="D6" s="143">
        <v>46098.0</v>
      </c>
      <c r="E6" s="142">
        <v>1964.52</v>
      </c>
      <c r="F6" s="142" t="s">
        <v>92</v>
      </c>
      <c r="G6" s="142" t="s">
        <v>93</v>
      </c>
      <c r="H6" s="142" t="s">
        <v>101</v>
      </c>
      <c r="I6" s="142" t="s">
        <v>61</v>
      </c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</row>
    <row r="7">
      <c r="A7" s="144"/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</row>
    <row r="8">
      <c r="A8" s="144"/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</row>
    <row r="9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</row>
    <row r="10">
      <c r="A10" s="144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</row>
    <row r="11">
      <c r="A11" s="144"/>
      <c r="B11" s="144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</row>
    <row r="12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</row>
    <row r="13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</row>
    <row r="14">
      <c r="A14" s="144"/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</row>
    <row r="15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</row>
    <row r="16">
      <c r="A16" s="14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</row>
    <row r="17">
      <c r="A17" s="144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</row>
    <row r="18">
      <c r="A18" s="144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</row>
    <row r="19">
      <c r="A19" s="144"/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</row>
    <row r="20">
      <c r="A20" s="144"/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</row>
    <row r="21">
      <c r="A21" s="144"/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</row>
    <row r="2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</row>
    <row r="2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</row>
    <row r="24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</row>
    <row r="25">
      <c r="A25" s="144"/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</row>
    <row r="26">
      <c r="A26" s="144"/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</row>
    <row r="27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</row>
    <row r="28">
      <c r="A28" s="144"/>
      <c r="B28" s="144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</row>
    <row r="29">
      <c r="A29" s="144"/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</row>
    <row r="30">
      <c r="A30" s="144"/>
      <c r="B30" s="144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</row>
    <row r="31">
      <c r="A31" s="144"/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</row>
    <row r="32">
      <c r="A32" s="144"/>
      <c r="B32" s="144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  <c r="AB32" s="144"/>
    </row>
    <row r="33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</row>
    <row r="34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</row>
    <row r="35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</row>
    <row r="36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</row>
    <row r="37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>
      <c r="A38" s="144"/>
      <c r="B38" s="144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>
      <c r="A39" s="144"/>
      <c r="B39" s="144"/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>
      <c r="A41" s="144"/>
      <c r="B41" s="144"/>
      <c r="C41" s="144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>
      <c r="A42" s="144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>
      <c r="A43" s="144"/>
      <c r="B43" s="144"/>
      <c r="C43" s="144"/>
      <c r="D43" s="144"/>
      <c r="E43" s="144"/>
      <c r="F43" s="144"/>
      <c r="G43" s="144"/>
      <c r="H43" s="144"/>
      <c r="I43" s="144"/>
      <c r="J43" s="144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>
      <c r="A44" s="144"/>
      <c r="B44" s="144"/>
      <c r="C44" s="144"/>
      <c r="D44" s="144"/>
      <c r="E44" s="144"/>
      <c r="F44" s="144"/>
      <c r="G44" s="144"/>
      <c r="H44" s="144"/>
      <c r="I44" s="144"/>
      <c r="J44" s="144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</sheetData>
  <drawing r:id="rId1"/>
</worksheet>
</file>