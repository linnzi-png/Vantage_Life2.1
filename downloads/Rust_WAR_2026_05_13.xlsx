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<sst xmlns="http://schemas.openxmlformats.org/spreadsheetml/2006/main" count="3660" uniqueCount="111">
  <si>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</si>
  <si>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</si>
  <si>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</si>
  <si>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</si>
  <si>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</si>
  <si>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</si>
  <si>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</si>
  <si>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</si>
  <si>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</si>
  <si>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</si>
  <si>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</si>
  <si>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</si>
  <si>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</si>
  <si>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</si>
  <si>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</si>
  <si>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</si>
  <si>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</si>
  <si>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</si>
  <si>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</si>
  <si>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</si>
  <si>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</si>
  <si>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</si>
  <si>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</si>
  <si>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</si>
  <si>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</si>
  <si>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</si>
  <si>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</si>
  <si>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</si>
  <si>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</si>
  <si>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</si>
  <si>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</si>
  <si>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</si>
  <si>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</si>
  <si>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Abdur-Rahmaan Yaseen</t>
  </si>
  <si>
    <t>Deandre Barber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</si>
  <si>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</si>
  <si>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</si>
  <si>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</si>
  <si>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</si>
  <si>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</si>
  <si>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</si>
  <si>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</si>
  <si>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</si>
  <si>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</si>
  <si>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</si>
  <si>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</si>
  <si>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</si>
  <si>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</si>
  <si>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</si>
  <si>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</si>
  <si>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</si>
  <si>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</si>
  <si>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</si>
  <si>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Bridgett McDaniels Russell</t>
  </si>
  <si>
    <t>Andrea Mulder</t>
  </si>
  <si>
    <t>Eldine Mpanzu</t>
  </si>
  <si>
    <t>Isabela Maneiro</t>
  </si>
  <si>
    <t>Ryan Cummings</t>
  </si>
  <si>
    <t>Andrew Child</t>
  </si>
  <si>
    <t>Jaxon Holt</t>
  </si>
  <si>
    <t>Sean Seelbach</t>
  </si>
  <si>
    <t>Ashley Varner-Warren</t>
  </si>
  <si>
    <t>Jumah Day</t>
  </si>
  <si>
    <t>Jasmine Marquez</t>
  </si>
  <si>
    <t>Thomas Kirk</t>
  </si>
  <si>
    <t>Kristen Walton</t>
  </si>
  <si>
    <t>Janice Elgedawy</t>
  </si>
  <si>
    <t xml:space="preserve">Sherita Thompson </t>
  </si>
  <si>
    <t xml:space="preserve">Kay Finch </t>
  </si>
  <si>
    <t>Courtney Morse</t>
  </si>
  <si>
    <t>Frederick Anderson</t>
  </si>
  <si>
    <t>Tommica Gibson</t>
  </si>
  <si>
    <t>Shayla Williamson</t>
  </si>
  <si>
    <t>Theresa Warner</t>
  </si>
  <si>
    <t>Martin Austin</t>
  </si>
  <si>
    <t>Mariah Ruff</t>
  </si>
  <si>
    <t>Lisa Berry</t>
  </si>
  <si>
    <t>Jaedeen Perez</t>
  </si>
  <si>
    <t>Kelsey Folcarelli</t>
  </si>
  <si>
    <t>Anthony Golino</t>
  </si>
  <si>
    <t>Cameron Platt</t>
  </si>
  <si>
    <t>Taylor Waldrip</t>
  </si>
  <si>
    <t>Jeton Ajvazi</t>
  </si>
  <si>
    <t>Lacey Walker</t>
  </si>
  <si>
    <t>Maria Farley</t>
  </si>
  <si>
    <t>Deanna Delgado</t>
  </si>
  <si>
    <t>Anya White</t>
  </si>
  <si>
    <t>William Green</t>
  </si>
  <si>
    <t>Meliza Quintero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</si>
  <si>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</si>
  <si>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</si>
  <si>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</si>
  <si>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</si>
  <si>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</si>
  <si>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</si>
  <si>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</si>
  <si>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ARTHUR FERNANDEZ</t>
  </si>
  <si>
    <t>ASHLEY VARNERWARREN</t>
  </si>
  <si>
    <t>RUST</t>
  </si>
  <si>
    <t>N/A</t>
  </si>
  <si>
    <t>YES</t>
  </si>
  <si>
    <t>CANCEL, REWRITE PER AGENT</t>
  </si>
  <si>
    <t>FL</t>
  </si>
  <si>
    <t>EARIE MCCASKILL</t>
  </si>
  <si>
    <t>DEANDRE BARBER</t>
  </si>
  <si>
    <t>FIELDS</t>
  </si>
  <si>
    <t>NO</t>
  </si>
  <si>
    <t>AFTER DISCUSSING W HUSBAND, REALIZED SHE HAS ENOUGH COVERAGE FOR HERSELF.</t>
  </si>
  <si>
    <t>ERIN AND JASON HORNER</t>
  </si>
  <si>
    <t>TAYLOR WALDRIP</t>
  </si>
  <si>
    <t>UNREACHABLE, AGENT ADVISED TO CANCEL.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</si>
</sst>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5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9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9" numFmtId="0" xfId="0" applyAlignment="1" applyBorder="1" applyFont="1">
      <alignment shrinkToFit="0" vertical="bottom" wrapText="1"/>
    </xf>
    <xf borderId="15" fillId="4" fontId="10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1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5" fillId="4" fontId="1" numFmtId="0" xfId="0" applyAlignment="1" applyBorder="1" applyFont="1">
      <alignment vertical="bottom"/>
    </xf>
    <xf borderId="17" fillId="0" fontId="5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17" fillId="4" fontId="5" numFmtId="0" xfId="0" applyAlignment="1" applyBorder="1" applyFont="1">
      <alignment shrinkToFit="0" vertical="bottom" wrapText="1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vertical="center"/>
    </xf>
    <xf borderId="15" fillId="3" fontId="7" numFmtId="0" xfId="0" applyAlignment="1" applyBorder="1" applyFont="1">
      <alignment vertical="center"/>
    </xf>
    <xf borderId="15" fillId="5" fontId="6" numFmtId="0" xfId="0" applyAlignment="1" applyBorder="1" applyFont="1">
      <alignment shrinkToFit="0" vertical="center" wrapText="1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readingOrder="0" shrinkToFit="0" vertical="center" wrapText="1"/>
    </xf>
    <xf borderId="15" fillId="4" fontId="12" numFmtId="0" xfId="0" applyAlignment="1" applyBorder="1" applyFont="1">
      <alignment readingOrder="0" vertical="center"/>
    </xf>
    <xf borderId="15" fillId="4" fontId="12" numFmtId="0" xfId="0" applyAlignment="1" applyBorder="1" applyFont="1">
      <alignment vertical="bottom"/>
    </xf>
    <xf borderId="15" fillId="4" fontId="6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readingOrder="0" shrinkToFit="0" vertical="center" wrapText="1"/>
    </xf>
    <xf borderId="15" fillId="4" fontId="1" numFmtId="0" xfId="0" applyAlignment="1" applyBorder="1" applyFont="1">
      <alignment vertical="center"/>
    </xf>
    <xf borderId="15" fillId="4" fontId="1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15" fillId="6" fontId="3" numFmtId="9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6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  <tableStyle count="2" pivot="0" name="Tues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79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79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9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9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4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9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ables/table36.xml><?xml version="1.0" encoding="utf-8"?>
<table xmlns="http://schemas.openxmlformats.org/spreadsheetml/2006/main" headerRowCount="0" ref="G50:T50" displayName="Table_36" name="Table_36" id="3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29458.96</v>
      </c>
      <c r="D2" s="10"/>
      <c r="E2" s="9">
        <f t="shared" ref="E2:R2" si="1">SUM(E5,E14,E17)</f>
        <v>18706</v>
      </c>
      <c r="F2" s="9">
        <f t="shared" si="1"/>
        <v>48</v>
      </c>
      <c r="G2" s="9">
        <f t="shared" si="1"/>
        <v>30</v>
      </c>
      <c r="H2" s="9">
        <f t="shared" si="1"/>
        <v>10</v>
      </c>
      <c r="I2" s="9">
        <f t="shared" si="1"/>
        <v>0</v>
      </c>
      <c r="J2" s="9">
        <f t="shared" si="1"/>
        <v>0</v>
      </c>
      <c r="K2" s="9">
        <f t="shared" si="1"/>
        <v>13</v>
      </c>
      <c r="L2" s="9">
        <f t="shared" si="1"/>
        <v>6</v>
      </c>
      <c r="M2" s="9">
        <f t="shared" si="1"/>
        <v>72</v>
      </c>
      <c r="N2" s="9">
        <f t="shared" si="1"/>
        <v>10</v>
      </c>
      <c r="O2" s="9">
        <f t="shared" si="1"/>
        <v>6</v>
      </c>
      <c r="P2" s="9">
        <f t="shared" si="1"/>
        <v>16</v>
      </c>
      <c r="Q2" s="9">
        <f t="shared" si="1"/>
        <v>8</v>
      </c>
      <c r="R2" s="9">
        <f t="shared" si="1"/>
        <v>11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2945.896</v>
      </c>
      <c r="F4" s="23">
        <f>IFERROR((G2+R2)/F2,0)</f>
        <v>0.8541666667</v>
      </c>
      <c r="G4" s="23">
        <f>IFERROR(H2/G2,0)</f>
        <v>0.3333333333</v>
      </c>
      <c r="H4" s="22">
        <f>(C2/C4)</f>
        <v>654.6435556</v>
      </c>
      <c r="I4" s="24"/>
      <c r="J4" s="23">
        <f>IFERROR(J2/I2,0)</f>
        <v>0</v>
      </c>
      <c r="K4" s="24"/>
      <c r="L4" s="23">
        <f>IFERROR(L2/K2,0)</f>
        <v>0.4615384615</v>
      </c>
      <c r="M4" s="25">
        <f>IFERROR(M2/G2,0)</f>
        <v>2.4</v>
      </c>
      <c r="N4" s="24"/>
      <c r="O4" s="23">
        <f>IFERROR(O2/N2,0)</f>
        <v>0.6</v>
      </c>
      <c r="P4" s="26"/>
      <c r="Q4" s="23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6263</v>
      </c>
      <c r="D5" s="31"/>
      <c r="E5" s="32">
        <f>SUMIFS(T:T,A:A,B5,D:D,"Y")</f>
        <v>3209</v>
      </c>
      <c r="F5" s="33">
        <f>SUMIF(A:A,B5,G:G)</f>
        <v>17</v>
      </c>
      <c r="G5" s="33">
        <f>SUMIF(A:A,B5,H:H)</f>
        <v>13</v>
      </c>
      <c r="H5" s="33">
        <f>SUMIF(A:A,B5,I:I)</f>
        <v>4</v>
      </c>
      <c r="I5" s="33">
        <f>SUMIF(A:A,B5,P:P)</f>
        <v>0</v>
      </c>
      <c r="J5" s="33">
        <f>SUMIF(A:A,B5,Q:Q)</f>
        <v>0</v>
      </c>
      <c r="K5" s="33">
        <f>SUMIF(A:A,B5,R:R)</f>
        <v>9</v>
      </c>
      <c r="L5" s="33">
        <f>SUMIF(A:A,B5,S:S)</f>
        <v>3</v>
      </c>
      <c r="M5" s="33">
        <f>SUMIF(A:A,B5,M:M)</f>
        <v>44</v>
      </c>
      <c r="N5" s="33">
        <f>SUMIF(A:A,B5,N:N)</f>
        <v>3</v>
      </c>
      <c r="O5" s="33">
        <f>SUMIF(A:A,B5,O:O)</f>
        <v>0</v>
      </c>
      <c r="P5" s="33">
        <f>SUMIF(A:A,B5,J:J)</f>
        <v>7</v>
      </c>
      <c r="Q5" s="33">
        <f>SUMIF(A:A,B5,K:K)</f>
        <v>2</v>
      </c>
      <c r="R5" s="34">
        <f>SUMIF(A:A,B5,L:L)</f>
        <v>4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1565.75</v>
      </c>
      <c r="F7" s="41">
        <f>IFERROR((G5+R5)/F5,0)</f>
        <v>1</v>
      </c>
      <c r="G7" s="41">
        <f>IFERROR(H5/G5,0)</f>
        <v>0.3076923077</v>
      </c>
      <c r="H7" s="40">
        <f>(C5/C7)</f>
        <v>313.15</v>
      </c>
      <c r="I7" s="42"/>
      <c r="J7" s="41">
        <f>IFERROR(J5/I5,0)</f>
        <v>0</v>
      </c>
      <c r="K7" s="42"/>
      <c r="L7" s="41">
        <f>IFERROR(L5/K5,0)</f>
        <v>0.3333333333</v>
      </c>
      <c r="M7" s="43">
        <f>IFERROR(M5/SUM(R5+G5,0),"")</f>
        <v>2.588235294</v>
      </c>
      <c r="N7" s="42"/>
      <c r="O7" s="41">
        <f>IFERROR(O5/N5,0)</f>
        <v>0</v>
      </c>
      <c r="P7" s="43"/>
      <c r="Q7" s="41">
        <f>IFERROR(Q5/P5,0)</f>
        <v>0.2857142857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SUMIF(B41:B1073,B8,G41:G1073)</f>
        <v>0</v>
      </c>
      <c r="G8" s="46">
        <f>SUMIF(B41:B1073,B8,H41:H1073)</f>
        <v>0</v>
      </c>
      <c r="H8" s="46">
        <f>SUMIF(B41:B1073,B8,I41:I1073)</f>
        <v>0</v>
      </c>
      <c r="I8" s="46">
        <f>SUMIF(B41:B1073,B8,P41:P1073)</f>
        <v>0</v>
      </c>
      <c r="J8" s="46">
        <f>SUMIF(B41:B1073,B8,Q41:Q1073)</f>
        <v>0</v>
      </c>
      <c r="K8" s="46">
        <f>SUMIF(B41:B1073,B8,R41:R1073)</f>
        <v>0</v>
      </c>
      <c r="L8" s="46">
        <f>SUMIF(B41:B1073,B8,S41:S1073)</f>
        <v>0</v>
      </c>
      <c r="M8" s="46">
        <f>SUMIF(B41:B1073,B8,M41:M1073)</f>
        <v>0</v>
      </c>
      <c r="N8" s="46">
        <f>SUMIF(B41:B1073,B8,N41:N1073)</f>
        <v>0</v>
      </c>
      <c r="O8" s="46">
        <f>SUMIF(B41:B1073,B8,O41:O1073)</f>
        <v>0</v>
      </c>
      <c r="P8" s="46">
        <f>SUMIF(B41:B1073,B8,J41:J1073)</f>
        <v>0</v>
      </c>
      <c r="Q8" s="46">
        <f>SUMIF(B41:B1073,B8,K41:K1073)</f>
        <v>0</v>
      </c>
      <c r="R8" s="50">
        <f>SUMIF(B41:B1073,B8,L41:L1073)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COUNTIFS(B34:B1073,B8)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4277</v>
      </c>
      <c r="D11" s="47"/>
      <c r="E11" s="48">
        <f>SUMIFS(T:T,B:B,B11,D:D,"Y")</f>
        <v>3209</v>
      </c>
      <c r="F11" s="49">
        <f t="shared" ref="F11:R11" si="2">SUMIF(B34:B1073,B11,G34:G1073)</f>
        <v>14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2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COUNTIFS(B33:B1073,B11)</f>
        <v>11</v>
      </c>
      <c r="D13" s="52"/>
      <c r="E13" s="22">
        <f>IFERROR(C11/H11,0)</f>
        <v>0</v>
      </c>
      <c r="F13" s="23">
        <f>IFERROR((G11+R11)/F11,0)</f>
        <v>0.1428571429</v>
      </c>
      <c r="G13" s="23">
        <f>IFERROR(H11/G11,0)</f>
        <v>0</v>
      </c>
      <c r="H13" s="22">
        <f>(C11/C13)</f>
        <v>388.8181818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0.5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460</v>
      </c>
      <c r="D14" s="31"/>
      <c r="E14" s="53">
        <f>SUMIFS(T:T,A:A,B14,D:D,"Y")</f>
        <v>460</v>
      </c>
      <c r="F14" s="9">
        <f>SUMIF(A:A,B14,G:G)</f>
        <v>6</v>
      </c>
      <c r="G14" s="33">
        <f>SUMIF(A:A,B14,H:H)</f>
        <v>3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6</v>
      </c>
      <c r="N14" s="33">
        <f>SUMIF(A:A,B14,N:N)</f>
        <v>3</v>
      </c>
      <c r="O14" s="33">
        <f>SUMIF(A:A,B14,O:O)</f>
        <v>1</v>
      </c>
      <c r="P14" s="33">
        <f>SUMIF(A:A,B14,J:J)</f>
        <v>1</v>
      </c>
      <c r="Q14" s="33">
        <f>SUMIF(A:A,B14,K:K)</f>
        <v>1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460</v>
      </c>
      <c r="F16" s="23">
        <f>IFERROR((G14+R14)/F14,0)</f>
        <v>0.5</v>
      </c>
      <c r="G16" s="23">
        <f>IFERROR(H14/G14,0)</f>
        <v>0.3333333333</v>
      </c>
      <c r="H16" s="22">
        <f>(C14/C16)</f>
        <v>76.66666667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2</v>
      </c>
      <c r="N16" s="24"/>
      <c r="O16" s="23">
        <f>IFERROR(O14/N14,0)</f>
        <v>0.3333333333</v>
      </c>
      <c r="P16" s="26"/>
      <c r="Q16" s="23">
        <f>IFERROR(Q14/P14,0)</f>
        <v>1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22735.96</v>
      </c>
      <c r="D17" s="31"/>
      <c r="E17" s="53">
        <f>SUMIFS(T:T,A:A,B17,D:D,"Y")</f>
        <v>15037</v>
      </c>
      <c r="F17" s="9">
        <f>SUMIF(A:A,B17,G:G)</f>
        <v>25</v>
      </c>
      <c r="G17" s="33">
        <f>SUMIF(A:A,B17,H:H)</f>
        <v>14</v>
      </c>
      <c r="H17" s="33">
        <f>SUMIF(A:A,B17,I:I)</f>
        <v>5</v>
      </c>
      <c r="I17" s="33">
        <f>SUMIF(A:A,B17,P:P)</f>
        <v>0</v>
      </c>
      <c r="J17" s="33">
        <f>SUMIF(A:A,B17,Q:Q)</f>
        <v>0</v>
      </c>
      <c r="K17" s="33">
        <f>SUMIF(A:A,B17,R:R)</f>
        <v>4</v>
      </c>
      <c r="L17" s="33">
        <f>SUMIF(A:A,B17,S:S)</f>
        <v>3</v>
      </c>
      <c r="M17" s="33">
        <f>SUMIF(A:A,B17,M:M)</f>
        <v>22</v>
      </c>
      <c r="N17" s="33">
        <f>SUMIF(A:A,B17,N:N)</f>
        <v>4</v>
      </c>
      <c r="O17" s="33">
        <f>SUMIF(A:A,B17,O:O)</f>
        <v>5</v>
      </c>
      <c r="P17" s="33">
        <f>SUMIF(A:A,B17,J:J)</f>
        <v>8</v>
      </c>
      <c r="Q17" s="33">
        <f>SUMIF(A:A,B17,K:K)</f>
        <v>5</v>
      </c>
      <c r="R17" s="34">
        <f>SUMIF(A:A,B17,L:L)</f>
        <v>7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4547.192</v>
      </c>
      <c r="F19" s="41">
        <f>IFERROR((G17+R17)/F17,0)</f>
        <v>0.84</v>
      </c>
      <c r="G19" s="41">
        <f>IFERROR(H17/G17,0)</f>
        <v>0.3571428571</v>
      </c>
      <c r="H19" s="40">
        <f>(C17/C19)</f>
        <v>1196.629474</v>
      </c>
      <c r="I19" s="42"/>
      <c r="J19" s="41">
        <f>IFERROR(J17/I17,0)</f>
        <v>0</v>
      </c>
      <c r="K19" s="42"/>
      <c r="L19" s="41">
        <f>IFERROR(L17/K17,0)</f>
        <v>0.75</v>
      </c>
      <c r="M19" s="54">
        <f>IFERROR(M17/SUM(G17+R17,0),"")</f>
        <v>1.047619048</v>
      </c>
      <c r="N19" s="42"/>
      <c r="O19" s="41">
        <f>IFERROR(O17/N17,0)</f>
        <v>1.25</v>
      </c>
      <c r="P19" s="43"/>
      <c r="Q19" s="41">
        <f>IFERROR(Q17/P17,0)</f>
        <v>0.625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SUMIF(B54:B1073,B20,G54:G1073)</f>
        <v>5</v>
      </c>
      <c r="G20" s="46">
        <f>SUMIF(B54:B1073,B20,H54:H1073)</f>
        <v>2</v>
      </c>
      <c r="H20" s="46">
        <f>SUMIF(B54:B1073,B20,I54:I1073)</f>
        <v>0</v>
      </c>
      <c r="I20" s="46">
        <f>SUMIF(B54:B1073,B20,P54:P1073)</f>
        <v>0</v>
      </c>
      <c r="J20" s="46">
        <f>SUMIF(B54:B1073,B20,Q54:Q1073)</f>
        <v>0</v>
      </c>
      <c r="K20" s="46">
        <f>SUMIF(B54:B1073,B20,R54:R1073)</f>
        <v>2</v>
      </c>
      <c r="L20" s="46">
        <f>SUMIF(B54:B1073,B20,S54:S1073)</f>
        <v>0</v>
      </c>
      <c r="M20" s="46">
        <f>SUMIF(B54:B1073,B20,M54:M1073)</f>
        <v>0</v>
      </c>
      <c r="N20" s="46">
        <f>SUMIF(B54:B1073,B20,N54:N1073)</f>
        <v>0</v>
      </c>
      <c r="O20" s="46">
        <f>SUMIF(B54:B1073,B20,O54:O1073)</f>
        <v>0</v>
      </c>
      <c r="P20" s="46">
        <f>SUMIF(B54:B1073,B20,J54:J1073)</f>
        <v>1</v>
      </c>
      <c r="Q20" s="46">
        <f>SUMIF(B54:B1073,B20,K54:K1073)</f>
        <v>0</v>
      </c>
      <c r="R20" s="50">
        <f>SUMIF(B54:B1073,B20,L54:L1073)</f>
        <v>1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COUNTIFS(B34:B1073,B20)</f>
        <v>3</v>
      </c>
      <c r="D22" s="39"/>
      <c r="E22" s="40">
        <f>IFERROR(C20/H20,0)</f>
        <v>0</v>
      </c>
      <c r="F22" s="41">
        <f>IFERROR((G20+R20)/F20,0)</f>
        <v>0.6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0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SUMIF(B59:B1073,B23,G59:G1073)</f>
        <v>0</v>
      </c>
      <c r="G23" s="46">
        <f>SUMIF(B59:B1073,B23,H59:H1073)</f>
        <v>0</v>
      </c>
      <c r="H23" s="46">
        <f>SUMIF(B59:B1073,B23,I59:I1073)</f>
        <v>0</v>
      </c>
      <c r="I23" s="46">
        <f>SUMIF(B59:B1073,B23,P59:P1073)</f>
        <v>0</v>
      </c>
      <c r="J23" s="46">
        <f>SUMIF(B59:B1073,B23,Q59:Q1073)</f>
        <v>0</v>
      </c>
      <c r="K23" s="46">
        <f>SUMIF(B59:B1073,B23,R59:R1073)</f>
        <v>0</v>
      </c>
      <c r="L23" s="46">
        <f>SUMIF(B59:B1073,B23,S59:S1073)</f>
        <v>0</v>
      </c>
      <c r="M23" s="46">
        <f>SUMIF(B59:B1073,B23,M59:M1073)</f>
        <v>0</v>
      </c>
      <c r="N23" s="46">
        <f>SUMIF(B59:B1073,B23,N59:N1073)</f>
        <v>0</v>
      </c>
      <c r="O23" s="46">
        <f>SUMIF(B59:B1073,B23,O59:O1073)</f>
        <v>0</v>
      </c>
      <c r="P23" s="46">
        <f>SUMIF(B59:B1073,B23,J59:J1073)</f>
        <v>0</v>
      </c>
      <c r="Q23" s="46">
        <f>SUMIF(B59:B1073,B23,K59:K1073)</f>
        <v>0</v>
      </c>
      <c r="R23" s="50">
        <f>SUMIF(B59:B1073,B23,L59:L1073)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COUNTIFS(B47:B1073,B23)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>
      <c r="A26" s="29"/>
      <c r="B26" s="56" t="s">
        <v>33</v>
      </c>
      <c r="C26" s="46">
        <f>SUMIF(B:B,B26,T:T)</f>
        <v>22735.96</v>
      </c>
      <c r="D26" s="55"/>
      <c r="E26" s="48">
        <f>SUMIFS(T:T,B:B,B26,D:D,"Y")</f>
        <v>15037</v>
      </c>
      <c r="F26" s="49">
        <f>SUMIF(B62:B1073,B26,G62:G1073)</f>
        <v>20</v>
      </c>
      <c r="G26" s="46">
        <f>SUMIF(B62:B1073,B26,H62:H1073)</f>
        <v>12</v>
      </c>
      <c r="H26" s="46">
        <f>SUMIF(B62:B1073,B26,I62:I1073)</f>
        <v>5</v>
      </c>
      <c r="I26" s="46">
        <f>SUMIF(B62:B1073,B26,P62:P1073)</f>
        <v>0</v>
      </c>
      <c r="J26" s="46">
        <f>SUMIF(B62:B1073,B26,Q62:Q1073)</f>
        <v>0</v>
      </c>
      <c r="K26" s="46">
        <f>SUMIF(B62:B1073,B26,R62:R1073)</f>
        <v>2</v>
      </c>
      <c r="L26" s="46">
        <f>SUMIF(B62:B1073,B26,S62:S1073)</f>
        <v>3</v>
      </c>
      <c r="M26" s="46">
        <f>SUMIF(B62:B1073,B26,M62:M1073)</f>
        <v>22</v>
      </c>
      <c r="N26" s="46">
        <f>SUMIF(B62:B1073,B26,N62:N1073)</f>
        <v>4</v>
      </c>
      <c r="O26" s="46">
        <f>SUMIF(B62:B1073,B26,O62:O1073)</f>
        <v>5</v>
      </c>
      <c r="P26" s="46">
        <f>SUMIF(B62:B1073,B26,J62:J1073)</f>
        <v>7</v>
      </c>
      <c r="Q26" s="46">
        <f>SUMIF(B62:B1073,B26,K62:K1073)</f>
        <v>5</v>
      </c>
      <c r="R26" s="50">
        <f>SUMIF(B62:B1073,B26,L62:L1073)</f>
        <v>6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COUNTIFS(B50:B1073,B26)</f>
        <v>11</v>
      </c>
      <c r="D28" s="39"/>
      <c r="E28" s="40">
        <f>IFERROR(C26/H26,0)</f>
        <v>4547.192</v>
      </c>
      <c r="F28" s="41">
        <f>IFERROR((G26+R26)/F26,0)</f>
        <v>0.9</v>
      </c>
      <c r="G28" s="41">
        <f>IFERROR(H26/G26,0)</f>
        <v>0.4166666667</v>
      </c>
      <c r="H28" s="40">
        <f>(C26/C28)</f>
        <v>2066.905455</v>
      </c>
      <c r="I28" s="42"/>
      <c r="J28" s="41">
        <f>IFERROR(J26/I26,0)</f>
        <v>0</v>
      </c>
      <c r="K28" s="42"/>
      <c r="L28" s="41">
        <f>IFERROR(L26/K26,0)</f>
        <v>1.5</v>
      </c>
      <c r="M28" s="43">
        <f>IFERROR(M26/SUM(G26+R26,0),"")</f>
        <v>1.222222222</v>
      </c>
      <c r="N28" s="42"/>
      <c r="O28" s="41">
        <f>IFERROR(O26/N26,0)</f>
        <v>1.25</v>
      </c>
      <c r="P28" s="43"/>
      <c r="Q28" s="41">
        <f>IFERROR(Q26/P26,0)</f>
        <v>0.7142857143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>
        <f>('Thurs (2)'!G34+Thurs!G34+'Tues '!G34+Wed!G34+Fri!G34+'Mon '!G34+'Wed (2)'!G34+Sun!G34+Sat!G34)</f>
        <v>0</v>
      </c>
      <c r="H34" s="71">
        <f>('Thurs (2)'!H34+Thurs!H34+'Tues '!H34+Wed!H34+Fri!H34+'Mon '!H34+'Wed (2)'!H34+Sun!H34+Sat!H34)</f>
        <v>0</v>
      </c>
      <c r="I34" s="71">
        <f>('Thurs (2)'!I34+Thurs!I34+'Tues '!I34+Wed!I34+Fri!I34+'Mon '!I34+'Wed (2)'!I34+Sun!I34+Sat!I34)</f>
        <v>0</v>
      </c>
      <c r="J34" s="71">
        <f>('Thurs (2)'!J34+Thurs!J34+'Tues '!J34+Wed!J34+Fri!J34+'Mon '!J34+'Wed (2)'!J34+Sun!J34+Sat!J34)</f>
        <v>0</v>
      </c>
      <c r="K34" s="71">
        <f>('Thurs (2)'!K34+Thurs!K34+'Tues '!K34+Wed!K34+Fri!K34+'Mon '!K34+'Wed (2)'!K34+Sun!K34+Sat!K34)</f>
        <v>0</v>
      </c>
      <c r="L34" s="71">
        <f>('Thurs (2)'!L34+Thurs!L34+'Tues '!L34+Wed!L34+Fri!L34+'Mon '!L34+'Wed (2)'!L34+Sun!L34+Sat!L34)</f>
        <v>0</v>
      </c>
      <c r="M34" s="71">
        <f>('Thurs (2)'!M34+Thurs!M34+'Tues '!M34+Wed!M34+Fri!M34+'Mon '!M34+'Wed (2)'!M34+Sun!M34+Sat!M34)</f>
        <v>0</v>
      </c>
      <c r="N34" s="71">
        <f>('Thurs (2)'!N34+Thurs!N34+'Tues '!N34+Wed!N34+Fri!N34+'Mon '!N34+'Wed (2)'!N34+Sun!N34+Sat!N34)</f>
        <v>0</v>
      </c>
      <c r="O34" s="71">
        <f>('Thurs (2)'!O34+Thurs!O34+'Tues '!O34+Wed!O34+Fri!O34+'Mon '!O34+'Wed (2)'!O34+Sun!O34+Sat!O34)</f>
        <v>0</v>
      </c>
      <c r="P34" s="71">
        <f>('Thurs (2)'!P34+Thurs!P34+'Tues '!P34+Wed!P34+Fri!P34+'Mon '!P34+'Wed (2)'!P34+Sun!P34+Sat!P34)</f>
        <v>0</v>
      </c>
      <c r="Q34" s="71">
        <f>('Thurs (2)'!Q34+Thurs!Q34+'Tues '!Q34+Wed!Q34+Fri!Q34+'Mon '!Q34+'Wed (2)'!Q34+Sun!Q34+Sat!Q34)</f>
        <v>0</v>
      </c>
      <c r="R34" s="71">
        <f>('Thurs (2)'!R34+Thurs!R34+'Tues '!R34+Wed!R34+Fri!R34+'Mon '!R34+'Wed (2)'!R34+Sun!R34+Sat!R34)</f>
        <v>0</v>
      </c>
      <c r="S34" s="71">
        <f>('Thurs (2)'!S34+Thurs!S34+'Tues '!S34+Wed!S34+Fri!S34+'Mon '!S34+'Wed (2)'!S34+Sun!S34+Sat!S34)</f>
        <v>0</v>
      </c>
      <c r="T34" s="71">
        <f>('Thurs (2)'!T34+Thurs!T34+'Tues '!T34+Wed!T34+Fri!T34+'Mon '!T34+'Wed (2)'!T34+Sun!T34+Sat!T34)</f>
        <v>0</v>
      </c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>
        <f>('Thurs (2)'!G35+Thurs!G35+'Tues '!G35+Wed!G35+Fri!G35+'Mon '!G35+'Wed (2)'!G35+Sun!G35+Sat!G35)</f>
        <v>0</v>
      </c>
      <c r="H35" s="71">
        <f>('Thurs (2)'!H35+Thurs!H35+'Tues '!H35+Wed!H35+Fri!H35+'Mon '!H35+'Wed (2)'!H35+Sun!H35+Sat!H35)</f>
        <v>0</v>
      </c>
      <c r="I35" s="71">
        <f>('Thurs (2)'!I35+Thurs!I35+'Tues '!I35+Wed!I35+Fri!I35+'Mon '!I35+'Wed (2)'!I35+Sun!I35+Sat!I35)</f>
        <v>0</v>
      </c>
      <c r="J35" s="71">
        <f>('Thurs (2)'!J35+Thurs!J35+'Tues '!J35+Wed!J35+Fri!J35+'Mon '!J35+'Wed (2)'!J35+Sun!J35+Sat!J35)</f>
        <v>0</v>
      </c>
      <c r="K35" s="71">
        <f>('Thurs (2)'!K35+Thurs!K35+'Tues '!K35+Wed!K35+Fri!K35+'Mon '!K35+'Wed (2)'!K35+Sun!K35+Sat!K35)</f>
        <v>0</v>
      </c>
      <c r="L35" s="71">
        <f>('Thurs (2)'!L35+Thurs!L35+'Tues '!L35+Wed!L35+Fri!L35+'Mon '!L35+'Wed (2)'!L35+Sun!L35+Sat!L35)</f>
        <v>0</v>
      </c>
      <c r="M35" s="71">
        <f>('Thurs (2)'!M35+Thurs!M35+'Tues '!M35+Wed!M35+Fri!M35+'Mon '!M35+'Wed (2)'!M35+Sun!M35+Sat!M35)</f>
        <v>0</v>
      </c>
      <c r="N35" s="71">
        <f>('Thurs (2)'!N35+Thurs!N35+'Tues '!N35+Wed!N35+Fri!N35+'Mon '!N35+'Wed (2)'!N35+Sun!N35+Sat!N35)</f>
        <v>0</v>
      </c>
      <c r="O35" s="71">
        <f>('Thurs (2)'!O35+Thurs!O35+'Tues '!O35+Wed!O35+Fri!O35+'Mon '!O35+'Wed (2)'!O35+Sun!O35+Sat!O35)</f>
        <v>0</v>
      </c>
      <c r="P35" s="71">
        <f>('Thurs (2)'!P35+Thurs!P35+'Tues '!P35+Wed!P35+Fri!P35+'Mon '!P35+'Wed (2)'!P35+Sun!P35+Sat!P35)</f>
        <v>0</v>
      </c>
      <c r="Q35" s="71">
        <f>('Thurs (2)'!Q35+Thurs!Q35+'Tues '!Q35+Wed!Q35+Fri!Q35+'Mon '!Q35+'Wed (2)'!Q35+Sun!Q35+Sat!Q35)</f>
        <v>0</v>
      </c>
      <c r="R35" s="71">
        <f>('Thurs (2)'!R35+Thurs!R35+'Tues '!R35+Wed!R35+Fri!R35+'Mon '!R35+'Wed (2)'!R35+Sun!R35+Sat!R35)</f>
        <v>0</v>
      </c>
      <c r="S35" s="71">
        <f>('Thurs (2)'!S35+Thurs!S35+'Tues '!S35+Wed!S35+Fri!S35+'Mon '!S35+'Wed (2)'!S35+Sun!S35+Sat!S35)</f>
        <v>0</v>
      </c>
      <c r="T35" s="71">
        <f>('Thurs (2)'!T35+Thurs!T35+'Tues '!T35+Wed!T35+Fri!T35+'Mon '!T35+'Wed (2)'!T35+Sun!T35+Sat!T35)</f>
        <v>0</v>
      </c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>
        <f>('Thurs (2)'!G36+Thurs!G36+'Tues '!G36+Wed!G36+Fri!G36+'Mon '!G36+'Wed (2)'!G36+Sun!G36+Sat!G36)</f>
        <v>2</v>
      </c>
      <c r="H36" s="71">
        <f>('Thurs (2)'!H36+Thurs!H36+'Tues '!H36+Wed!H36+Fri!H36+'Mon '!H36+'Wed (2)'!H36+Sun!H36+Sat!H36)</f>
        <v>2</v>
      </c>
      <c r="I36" s="71">
        <f>('Thurs (2)'!I36+Thurs!I36+'Tues '!I36+Wed!I36+Fri!I36+'Mon '!I36+'Wed (2)'!I36+Sun!I36+Sat!I36)</f>
        <v>0</v>
      </c>
      <c r="J36" s="71">
        <f>('Thurs (2)'!J36+Thurs!J36+'Tues '!J36+Wed!J36+Fri!J36+'Mon '!J36+'Wed (2)'!J36+Sun!J36+Sat!J36)</f>
        <v>1</v>
      </c>
      <c r="K36" s="71">
        <f>('Thurs (2)'!K36+Thurs!K36+'Tues '!K36+Wed!K36+Fri!K36+'Mon '!K36+'Wed (2)'!K36+Sun!K36+Sat!K36)</f>
        <v>0</v>
      </c>
      <c r="L36" s="71">
        <f>('Thurs (2)'!L36+Thurs!L36+'Tues '!L36+Wed!L36+Fri!L36+'Mon '!L36+'Wed (2)'!L36+Sun!L36+Sat!L36)</f>
        <v>2</v>
      </c>
      <c r="M36" s="71">
        <f>('Thurs (2)'!M36+Thurs!M36+'Tues '!M36+Wed!M36+Fri!M36+'Mon '!M36+'Wed (2)'!M36+Sun!M36+Sat!M36)</f>
        <v>5</v>
      </c>
      <c r="N36" s="71">
        <f>('Thurs (2)'!N36+Thurs!N36+'Tues '!N36+Wed!N36+Fri!N36+'Mon '!N36+'Wed (2)'!N36+Sun!N36+Sat!N36)</f>
        <v>1</v>
      </c>
      <c r="O36" s="71">
        <f>('Thurs (2)'!O36+Thurs!O36+'Tues '!O36+Wed!O36+Fri!O36+'Mon '!O36+'Wed (2)'!O36+Sun!O36+Sat!O36)</f>
        <v>0</v>
      </c>
      <c r="P36" s="71">
        <f>('Thurs (2)'!P36+Thurs!P36+'Tues '!P36+Wed!P36+Fri!P36+'Mon '!P36+'Wed (2)'!P36+Sun!P36+Sat!P36)</f>
        <v>0</v>
      </c>
      <c r="Q36" s="71">
        <f>('Thurs (2)'!Q36+Thurs!Q36+'Tues '!Q36+Wed!Q36+Fri!Q36+'Mon '!Q36+'Wed (2)'!Q36+Sun!Q36+Sat!Q36)</f>
        <v>0</v>
      </c>
      <c r="R36" s="71">
        <f>('Thurs (2)'!R36+Thurs!R36+'Tues '!R36+Wed!R36+Fri!R36+'Mon '!R36+'Wed (2)'!R36+Sun!R36+Sat!R36)</f>
        <v>1</v>
      </c>
      <c r="S36" s="71">
        <f>('Thurs (2)'!S36+Thurs!S36+'Tues '!S36+Wed!S36+Fri!S36+'Mon '!S36+'Wed (2)'!S36+Sun!S36+Sat!S36)</f>
        <v>0</v>
      </c>
      <c r="T36" s="71">
        <f>('Thurs (2)'!T36+Thurs!T36+'Tues '!T36+Wed!T36+Fri!T36+'Mon '!T36+'Wed (2)'!T36+Sun!T36+Sat!T36)</f>
        <v>0</v>
      </c>
      <c r="U36" s="72">
        <f t="shared" si="3"/>
        <v>0</v>
      </c>
      <c r="V36" s="72">
        <f t="shared" si="4"/>
        <v>2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71">
        <f>('Thurs (2)'!G37+Thurs!G37+'Tues '!G37+Wed!G37+Fri!G37+'Mon '!G37+'Wed (2)'!G37+Sun!G37+Sat!G37)</f>
        <v>1</v>
      </c>
      <c r="H37" s="71">
        <f>('Thurs (2)'!H37+Thurs!H37+'Tues '!H37+Wed!H37+Fri!H37+'Mon '!H37+'Wed (2)'!H37+Sun!H37+Sat!H37)</f>
        <v>4</v>
      </c>
      <c r="I37" s="71">
        <f>('Thurs (2)'!I37+Thurs!I37+'Tues '!I37+Wed!I37+Fri!I37+'Mon '!I37+'Wed (2)'!I37+Sun!I37+Sat!I37)</f>
        <v>1</v>
      </c>
      <c r="J37" s="71">
        <f>('Thurs (2)'!J37+Thurs!J37+'Tues '!J37+Wed!J37+Fri!J37+'Mon '!J37+'Wed (2)'!J37+Sun!J37+Sat!J37)</f>
        <v>2</v>
      </c>
      <c r="K37" s="71">
        <f>('Thurs (2)'!K37+Thurs!K37+'Tues '!K37+Wed!K37+Fri!K37+'Mon '!K37+'Wed (2)'!K37+Sun!K37+Sat!K37)</f>
        <v>1</v>
      </c>
      <c r="L37" s="71">
        <f>('Thurs (2)'!L37+Thurs!L37+'Tues '!L37+Wed!L37+Fri!L37+'Mon '!L37+'Wed (2)'!L37+Sun!L37+Sat!L37)</f>
        <v>2</v>
      </c>
      <c r="M37" s="71">
        <f>('Thurs (2)'!M37+Thurs!M37+'Tues '!M37+Wed!M37+Fri!M37+'Mon '!M37+'Wed (2)'!M37+Sun!M37+Sat!M37)</f>
        <v>6</v>
      </c>
      <c r="N37" s="71">
        <f>('Thurs (2)'!N37+Thurs!N37+'Tues '!N37+Wed!N37+Fri!N37+'Mon '!N37+'Wed (2)'!N37+Sun!N37+Sat!N37)</f>
        <v>0</v>
      </c>
      <c r="O37" s="71">
        <f>('Thurs (2)'!O37+Thurs!O37+'Tues '!O37+Wed!O37+Fri!O37+'Mon '!O37+'Wed (2)'!O37+Sun!O37+Sat!O37)</f>
        <v>0</v>
      </c>
      <c r="P37" s="71">
        <f>('Thurs (2)'!P37+Thurs!P37+'Tues '!P37+Wed!P37+Fri!P37+'Mon '!P37+'Wed (2)'!P37+Sun!P37+Sat!P37)</f>
        <v>0</v>
      </c>
      <c r="Q37" s="71">
        <f>('Thurs (2)'!Q37+Thurs!Q37+'Tues '!Q37+Wed!Q37+Fri!Q37+'Mon '!Q37+'Wed (2)'!Q37+Sun!Q37+Sat!Q37)</f>
        <v>0</v>
      </c>
      <c r="R37" s="71">
        <f>('Thurs (2)'!R37+Thurs!R37+'Tues '!R37+Wed!R37+Fri!R37+'Mon '!R37+'Wed (2)'!R37+Sun!R37+Sat!R37)</f>
        <v>3</v>
      </c>
      <c r="S37" s="71">
        <f>('Thurs (2)'!S37+Thurs!S37+'Tues '!S37+Wed!S37+Fri!S37+'Mon '!S37+'Wed (2)'!S37+Sun!S37+Sat!S37)</f>
        <v>1</v>
      </c>
      <c r="T37" s="71">
        <f>('Thurs (2)'!T37+Thurs!T37+'Tues '!T37+Wed!T37+Fri!T37+'Mon '!T37+'Wed (2)'!T37+Sun!T37+Sat!T37)</f>
        <v>1986</v>
      </c>
      <c r="U37" s="72">
        <f t="shared" si="3"/>
        <v>0.25</v>
      </c>
      <c r="V37" s="72">
        <f t="shared" si="4"/>
        <v>6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>
        <f>('Thurs (2)'!G38+Thurs!G38+'Tues '!G38+Wed!G38+Fri!G38+'Mon '!G38+'Wed (2)'!G38+Sun!G38+Sat!G38)</f>
        <v>0</v>
      </c>
      <c r="H38" s="71">
        <f>('Thurs (2)'!H38+Thurs!H38+'Tues '!H38+Wed!H38+Fri!H38+'Mon '!H38+'Wed (2)'!H38+Sun!H38+Sat!H38)</f>
        <v>0</v>
      </c>
      <c r="I38" s="71">
        <f>('Thurs (2)'!I38+Thurs!I38+'Tues '!I38+Wed!I38+Fri!I38+'Mon '!I38+'Wed (2)'!I38+Sun!I38+Sat!I38)</f>
        <v>0</v>
      </c>
      <c r="J38" s="71">
        <f>('Thurs (2)'!J38+Thurs!J38+'Tues '!J38+Wed!J38+Fri!J38+'Mon '!J38+'Wed (2)'!J38+Sun!J38+Sat!J38)</f>
        <v>0</v>
      </c>
      <c r="K38" s="71">
        <f>('Thurs (2)'!K38+Thurs!K38+'Tues '!K38+Wed!K38+Fri!K38+'Mon '!K38+'Wed (2)'!K38+Sun!K38+Sat!K38)</f>
        <v>0</v>
      </c>
      <c r="L38" s="71">
        <f>('Thurs (2)'!L38+Thurs!L38+'Tues '!L38+Wed!L38+Fri!L38+'Mon '!L38+'Wed (2)'!L38+Sun!L38+Sat!L38)</f>
        <v>0</v>
      </c>
      <c r="M38" s="71">
        <f>('Thurs (2)'!M38+Thurs!M38+'Tues '!M38+Wed!M38+Fri!M38+'Mon '!M38+'Wed (2)'!M38+Sun!M38+Sat!M38)</f>
        <v>0</v>
      </c>
      <c r="N38" s="71">
        <f>('Thurs (2)'!N38+Thurs!N38+'Tues '!N38+Wed!N38+Fri!N38+'Mon '!N38+'Wed (2)'!N38+Sun!N38+Sat!N38)</f>
        <v>0</v>
      </c>
      <c r="O38" s="71">
        <f>('Thurs (2)'!O38+Thurs!O38+'Tues '!O38+Wed!O38+Fri!O38+'Mon '!O38+'Wed (2)'!O38+Sun!O38+Sat!O38)</f>
        <v>0</v>
      </c>
      <c r="P38" s="71">
        <f>('Thurs (2)'!P38+Thurs!P38+'Tues '!P38+Wed!P38+Fri!P38+'Mon '!P38+'Wed (2)'!P38+Sun!P38+Sat!P38)</f>
        <v>0</v>
      </c>
      <c r="Q38" s="71">
        <f>('Thurs (2)'!Q38+Thurs!Q38+'Tues '!Q38+Wed!Q38+Fri!Q38+'Mon '!Q38+'Wed (2)'!Q38+Sun!Q38+Sat!Q38)</f>
        <v>0</v>
      </c>
      <c r="R38" s="71">
        <f>('Thurs (2)'!R38+Thurs!R38+'Tues '!R38+Wed!R38+Fri!R38+'Mon '!R38+'Wed (2)'!R38+Sun!R38+Sat!R38)</f>
        <v>0</v>
      </c>
      <c r="S38" s="71">
        <f>('Thurs (2)'!S38+Thurs!S38+'Tues '!S38+Wed!S38+Fri!S38+'Mon '!S38+'Wed (2)'!S38+Sun!S38+Sat!S38)</f>
        <v>0</v>
      </c>
      <c r="T38" s="71">
        <f>('Thurs (2)'!T38+Thurs!T38+'Tues '!T38+Wed!T38+Fri!T38+'Mon '!T38+'Wed (2)'!T38+Sun!T38+Sat!T38)</f>
        <v>0</v>
      </c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>
        <f>('Thurs (2)'!G39+Thurs!G39+'Tues '!G39+Wed!G39+Fri!G39+'Mon '!G39+'Wed (2)'!G39+Sun!G39+Sat!G39)</f>
        <v>0</v>
      </c>
      <c r="H39" s="71">
        <f>('Thurs (2)'!H39+Thurs!H39+'Tues '!H39+Wed!H39+Fri!H39+'Mon '!H39+'Wed (2)'!H39+Sun!H39+Sat!H39)</f>
        <v>0</v>
      </c>
      <c r="I39" s="71">
        <f>('Thurs (2)'!I39+Thurs!I39+'Tues '!I39+Wed!I39+Fri!I39+'Mon '!I39+'Wed (2)'!I39+Sun!I39+Sat!I39)</f>
        <v>0</v>
      </c>
      <c r="J39" s="71">
        <f>('Thurs (2)'!J39+Thurs!J39+'Tues '!J39+Wed!J39+Fri!J39+'Mon '!J39+'Wed (2)'!J39+Sun!J39+Sat!J39)</f>
        <v>0</v>
      </c>
      <c r="K39" s="71">
        <f>('Thurs (2)'!K39+Thurs!K39+'Tues '!K39+Wed!K39+Fri!K39+'Mon '!K39+'Wed (2)'!K39+Sun!K39+Sat!K39)</f>
        <v>0</v>
      </c>
      <c r="L39" s="71">
        <f>('Thurs (2)'!L39+Thurs!L39+'Tues '!L39+Wed!L39+Fri!L39+'Mon '!L39+'Wed (2)'!L39+Sun!L39+Sat!L39)</f>
        <v>0</v>
      </c>
      <c r="M39" s="71">
        <f>('Thurs (2)'!M39+Thurs!M39+'Tues '!M39+Wed!M39+Fri!M39+'Mon '!M39+'Wed (2)'!M39+Sun!M39+Sat!M39)</f>
        <v>0</v>
      </c>
      <c r="N39" s="71">
        <f>('Thurs (2)'!N39+Thurs!N39+'Tues '!N39+Wed!N39+Fri!N39+'Mon '!N39+'Wed (2)'!N39+Sun!N39+Sat!N39)</f>
        <v>0</v>
      </c>
      <c r="O39" s="71">
        <f>('Thurs (2)'!O39+Thurs!O39+'Tues '!O39+Wed!O39+Fri!O39+'Mon '!O39+'Wed (2)'!O39+Sun!O39+Sat!O39)</f>
        <v>0</v>
      </c>
      <c r="P39" s="71">
        <f>('Thurs (2)'!P39+Thurs!P39+'Tues '!P39+Wed!P39+Fri!P39+'Mon '!P39+'Wed (2)'!P39+Sun!P39+Sat!P39)</f>
        <v>0</v>
      </c>
      <c r="Q39" s="71">
        <f>('Thurs (2)'!Q39+Thurs!Q39+'Tues '!Q39+Wed!Q39+Fri!Q39+'Mon '!Q39+'Wed (2)'!Q39+Sun!Q39+Sat!Q39)</f>
        <v>0</v>
      </c>
      <c r="R39" s="71">
        <f>('Thurs (2)'!R39+Thurs!R39+'Tues '!R39+Wed!R39+Fri!R39+'Mon '!R39+'Wed (2)'!R39+Sun!R39+Sat!R39)</f>
        <v>0</v>
      </c>
      <c r="S39" s="71">
        <f>('Thurs (2)'!S39+Thurs!S39+'Tues '!S39+Wed!S39+Fri!S39+'Mon '!S39+'Wed (2)'!S39+Sun!S39+Sat!S39)</f>
        <v>0</v>
      </c>
      <c r="T39" s="71">
        <f>('Thurs (2)'!T39+Thurs!T39+'Tues '!T39+Wed!T39+Fri!T39+'Mon '!T39+'Wed (2)'!T39+Sun!T39+Sat!T39)</f>
        <v>0</v>
      </c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>
        <f>('Thurs (2)'!G40+Thurs!G40+'Tues '!G40+Wed!G40+Fri!G40+'Mon '!G40+'Wed (2)'!G40+Sun!G40+Sat!G40)</f>
        <v>0</v>
      </c>
      <c r="H40" s="71">
        <f>('Thurs (2)'!H40+Thurs!H40+'Tues '!H40+Wed!H40+Fri!H40+'Mon '!H40+'Wed (2)'!H40+Sun!H40+Sat!H40)</f>
        <v>0</v>
      </c>
      <c r="I40" s="71">
        <f>('Thurs (2)'!I40+Thurs!I40+'Tues '!I40+Wed!I40+Fri!I40+'Mon '!I40+'Wed (2)'!I40+Sun!I40+Sat!I40)</f>
        <v>0</v>
      </c>
      <c r="J40" s="71">
        <f>('Thurs (2)'!J40+Thurs!J40+'Tues '!J40+Wed!J40+Fri!J40+'Mon '!J40+'Wed (2)'!J40+Sun!J40+Sat!J40)</f>
        <v>0</v>
      </c>
      <c r="K40" s="71">
        <f>('Thurs (2)'!K40+Thurs!K40+'Tues '!K40+Wed!K40+Fri!K40+'Mon '!K40+'Wed (2)'!K40+Sun!K40+Sat!K40)</f>
        <v>0</v>
      </c>
      <c r="L40" s="71">
        <f>('Thurs (2)'!L40+Thurs!L40+'Tues '!L40+Wed!L40+Fri!L40+'Mon '!L40+'Wed (2)'!L40+Sun!L40+Sat!L40)</f>
        <v>0</v>
      </c>
      <c r="M40" s="71">
        <f>('Thurs (2)'!M40+Thurs!M40+'Tues '!M40+Wed!M40+Fri!M40+'Mon '!M40+'Wed (2)'!M40+Sun!M40+Sat!M40)</f>
        <v>0</v>
      </c>
      <c r="N40" s="71">
        <f>('Thurs (2)'!N40+Thurs!N40+'Tues '!N40+Wed!N40+Fri!N40+'Mon '!N40+'Wed (2)'!N40+Sun!N40+Sat!N40)</f>
        <v>0</v>
      </c>
      <c r="O40" s="71">
        <f>('Thurs (2)'!O40+Thurs!O40+'Tues '!O40+Wed!O40+Fri!O40+'Mon '!O40+'Wed (2)'!O40+Sun!O40+Sat!O40)</f>
        <v>0</v>
      </c>
      <c r="P40" s="71">
        <f>('Thurs (2)'!P40+Thurs!P40+'Tues '!P40+Wed!P40+Fri!P40+'Mon '!P40+'Wed (2)'!P40+Sun!P40+Sat!P40)</f>
        <v>0</v>
      </c>
      <c r="Q40" s="71">
        <f>('Thurs (2)'!Q40+Thurs!Q40+'Tues '!Q40+Wed!Q40+Fri!Q40+'Mon '!Q40+'Wed (2)'!Q40+Sun!Q40+Sat!Q40)</f>
        <v>0</v>
      </c>
      <c r="R40" s="71">
        <f>('Thurs (2)'!R40+Thurs!R40+'Tues '!R40+Wed!R40+Fri!R40+'Mon '!R40+'Wed (2)'!R40+Sun!R40+Sat!R40)</f>
        <v>0</v>
      </c>
      <c r="S40" s="71">
        <f>('Thurs (2)'!S40+Thurs!S40+'Tues '!S40+Wed!S40+Fri!S40+'Mon '!S40+'Wed (2)'!S40+Sun!S40+Sat!S40)</f>
        <v>0</v>
      </c>
      <c r="T40" s="71">
        <f>('Thurs (2)'!T40+Thurs!T40+'Tues '!T40+Wed!T40+Fri!T40+'Mon '!T40+'Wed (2)'!T40+Sun!T40+Sat!T40)</f>
        <v>0</v>
      </c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>
        <f>('Thurs (2)'!G41+Thurs!G41+'Tues '!G41+Wed!G41+Fri!G41+'Mon '!G41+'Wed (2)'!G41+Sun!G41+Sat!G41)</f>
        <v>4</v>
      </c>
      <c r="H41" s="71">
        <f>('Thurs (2)'!H41+Thurs!H41+'Tues '!H41+Wed!H41+Fri!H41+'Mon '!H41+'Wed (2)'!H41+Sun!H41+Sat!H41)</f>
        <v>3</v>
      </c>
      <c r="I41" s="71">
        <f>('Thurs (2)'!I41+Thurs!I41+'Tues '!I41+Wed!I41+Fri!I41+'Mon '!I41+'Wed (2)'!I41+Sun!I41+Sat!I41)</f>
        <v>2</v>
      </c>
      <c r="J41" s="71">
        <f>('Thurs (2)'!J41+Thurs!J41+'Tues '!J41+Wed!J41+Fri!J41+'Mon '!J41+'Wed (2)'!J41+Sun!J41+Sat!J41)</f>
        <v>0</v>
      </c>
      <c r="K41" s="71">
        <f>('Thurs (2)'!K41+Thurs!K41+'Tues '!K41+Wed!K41+Fri!K41+'Mon '!K41+'Wed (2)'!K41+Sun!K41+Sat!K41)</f>
        <v>0</v>
      </c>
      <c r="L41" s="71">
        <f>('Thurs (2)'!L41+Thurs!L41+'Tues '!L41+Wed!L41+Fri!L41+'Mon '!L41+'Wed (2)'!L41+Sun!L41+Sat!L41)</f>
        <v>0</v>
      </c>
      <c r="M41" s="71">
        <f>('Thurs (2)'!M41+Thurs!M41+'Tues '!M41+Wed!M41+Fri!M41+'Mon '!M41+'Wed (2)'!M41+Sun!M41+Sat!M41)</f>
        <v>10</v>
      </c>
      <c r="N41" s="71">
        <f>('Thurs (2)'!N41+Thurs!N41+'Tues '!N41+Wed!N41+Fri!N41+'Mon '!N41+'Wed (2)'!N41+Sun!N41+Sat!N41)</f>
        <v>2</v>
      </c>
      <c r="O41" s="71">
        <f>('Thurs (2)'!O41+Thurs!O41+'Tues '!O41+Wed!O41+Fri!O41+'Mon '!O41+'Wed (2)'!O41+Sun!O41+Sat!O41)</f>
        <v>0</v>
      </c>
      <c r="P41" s="71">
        <f>('Thurs (2)'!P41+Thurs!P41+'Tues '!P41+Wed!P41+Fri!P41+'Mon '!P41+'Wed (2)'!P41+Sun!P41+Sat!P41)</f>
        <v>0</v>
      </c>
      <c r="Q41" s="71">
        <f>('Thurs (2)'!Q41+Thurs!Q41+'Tues '!Q41+Wed!Q41+Fri!Q41+'Mon '!Q41+'Wed (2)'!Q41+Sun!Q41+Sat!Q41)</f>
        <v>0</v>
      </c>
      <c r="R41" s="71">
        <f>('Thurs (2)'!R41+Thurs!R41+'Tues '!R41+Wed!R41+Fri!R41+'Mon '!R41+'Wed (2)'!R41+Sun!R41+Sat!R41)</f>
        <v>1</v>
      </c>
      <c r="S41" s="71">
        <f>('Thurs (2)'!S41+Thurs!S41+'Tues '!S41+Wed!S41+Fri!S41+'Mon '!S41+'Wed (2)'!S41+Sun!S41+Sat!S41)</f>
        <v>1</v>
      </c>
      <c r="T41" s="71">
        <f>('Thurs (2)'!T41+Thurs!T41+'Tues '!T41+Wed!T41+Fri!T41+'Mon '!T41+'Wed (2)'!T41+Sun!T41+Sat!T41)</f>
        <v>1955</v>
      </c>
      <c r="U41" s="72">
        <f t="shared" si="3"/>
        <v>0.6666666667</v>
      </c>
      <c r="V41" s="72">
        <f t="shared" si="4"/>
        <v>0.75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>
        <f>('Thurs (2)'!G42+Thurs!G42+'Tues '!G42+Wed!G42+Fri!G42+'Mon '!G42+'Wed (2)'!G42+Sun!G42+Sat!G42)</f>
        <v>0</v>
      </c>
      <c r="H42" s="71">
        <f>('Thurs (2)'!H42+Thurs!H42+'Tues '!H42+Wed!H42+Fri!H42+'Mon '!H42+'Wed (2)'!H42+Sun!H42+Sat!H42)</f>
        <v>0</v>
      </c>
      <c r="I42" s="71">
        <f>('Thurs (2)'!I42+Thurs!I42+'Tues '!I42+Wed!I42+Fri!I42+'Mon '!I42+'Wed (2)'!I42+Sun!I42+Sat!I42)</f>
        <v>0</v>
      </c>
      <c r="J42" s="71">
        <f>('Thurs (2)'!J42+Thurs!J42+'Tues '!J42+Wed!J42+Fri!J42+'Mon '!J42+'Wed (2)'!J42+Sun!J42+Sat!J42)</f>
        <v>0</v>
      </c>
      <c r="K42" s="71">
        <f>('Thurs (2)'!K42+Thurs!K42+'Tues '!K42+Wed!K42+Fri!K42+'Mon '!K42+'Wed (2)'!K42+Sun!K42+Sat!K42)</f>
        <v>0</v>
      </c>
      <c r="L42" s="71">
        <f>('Thurs (2)'!L42+Thurs!L42+'Tues '!L42+Wed!L42+Fri!L42+'Mon '!L42+'Wed (2)'!L42+Sun!L42+Sat!L42)</f>
        <v>0</v>
      </c>
      <c r="M42" s="71">
        <f>('Thurs (2)'!M42+Thurs!M42+'Tues '!M42+Wed!M42+Fri!M42+'Mon '!M42+'Wed (2)'!M42+Sun!M42+Sat!M42)</f>
        <v>0</v>
      </c>
      <c r="N42" s="71">
        <f>('Thurs (2)'!N42+Thurs!N42+'Tues '!N42+Wed!N42+Fri!N42+'Mon '!N42+'Wed (2)'!N42+Sun!N42+Sat!N42)</f>
        <v>0</v>
      </c>
      <c r="O42" s="71">
        <f>('Thurs (2)'!O42+Thurs!O42+'Tues '!O42+Wed!O42+Fri!O42+'Mon '!O42+'Wed (2)'!O42+Sun!O42+Sat!O42)</f>
        <v>0</v>
      </c>
      <c r="P42" s="71">
        <f>('Thurs (2)'!P42+Thurs!P42+'Tues '!P42+Wed!P42+Fri!P42+'Mon '!P42+'Wed (2)'!P42+Sun!P42+Sat!P42)</f>
        <v>0</v>
      </c>
      <c r="Q42" s="71">
        <f>('Thurs (2)'!Q42+Thurs!Q42+'Tues '!Q42+Wed!Q42+Fri!Q42+'Mon '!Q42+'Wed (2)'!Q42+Sun!Q42+Sat!Q42)</f>
        <v>0</v>
      </c>
      <c r="R42" s="71">
        <f>('Thurs (2)'!R42+Thurs!R42+'Tues '!R42+Wed!R42+Fri!R42+'Mon '!R42+'Wed (2)'!R42+Sun!R42+Sat!R42)</f>
        <v>0</v>
      </c>
      <c r="S42" s="71">
        <f>('Thurs (2)'!S42+Thurs!S42+'Tues '!S42+Wed!S42+Fri!S42+'Mon '!S42+'Wed (2)'!S42+Sun!S42+Sat!S42)</f>
        <v>0</v>
      </c>
      <c r="T42" s="71">
        <f>('Thurs (2)'!T42+Thurs!T42+'Tues '!T42+Wed!T42+Fri!T42+'Mon '!T42+'Wed (2)'!T42+Sun!T42+Sat!T42)</f>
        <v>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>
        <f>('Thurs (2)'!G43+Thurs!G43+'Tues '!G43+Wed!G43+Fri!G43+'Mon '!G43+'Wed (2)'!G43+Sun!G43+Sat!G43)</f>
        <v>0</v>
      </c>
      <c r="H43" s="71">
        <f>('Thurs (2)'!H43+Thurs!H43+'Tues '!H43+Wed!H43+Fri!H43+'Mon '!H43+'Wed (2)'!H43+Sun!H43+Sat!H43)</f>
        <v>0</v>
      </c>
      <c r="I43" s="71">
        <f>('Thurs (2)'!I43+Thurs!I43+'Tues '!I43+Wed!I43+Fri!I43+'Mon '!I43+'Wed (2)'!I43+Sun!I43+Sat!I43)</f>
        <v>0</v>
      </c>
      <c r="J43" s="71">
        <f>('Thurs (2)'!J43+Thurs!J43+'Tues '!J43+Wed!J43+Fri!J43+'Mon '!J43+'Wed (2)'!J43+Sun!J43+Sat!J43)</f>
        <v>0</v>
      </c>
      <c r="K43" s="71">
        <f>('Thurs (2)'!K43+Thurs!K43+'Tues '!K43+Wed!K43+Fri!K43+'Mon '!K43+'Wed (2)'!K43+Sun!K43+Sat!K43)</f>
        <v>0</v>
      </c>
      <c r="L43" s="71">
        <f>('Thurs (2)'!L43+Thurs!L43+'Tues '!L43+Wed!L43+Fri!L43+'Mon '!L43+'Wed (2)'!L43+Sun!L43+Sat!L43)</f>
        <v>0</v>
      </c>
      <c r="M43" s="71">
        <f>('Thurs (2)'!M43+Thurs!M43+'Tues '!M43+Wed!M43+Fri!M43+'Mon '!M43+'Wed (2)'!M43+Sun!M43+Sat!M43)</f>
        <v>0</v>
      </c>
      <c r="N43" s="71">
        <f>('Thurs (2)'!N43+Thurs!N43+'Tues '!N43+Wed!N43+Fri!N43+'Mon '!N43+'Wed (2)'!N43+Sun!N43+Sat!N43)</f>
        <v>0</v>
      </c>
      <c r="O43" s="71">
        <f>('Thurs (2)'!O43+Thurs!O43+'Tues '!O43+Wed!O43+Fri!O43+'Mon '!O43+'Wed (2)'!O43+Sun!O43+Sat!O43)</f>
        <v>0</v>
      </c>
      <c r="P43" s="71">
        <f>('Thurs (2)'!P43+Thurs!P43+'Tues '!P43+Wed!P43+Fri!P43+'Mon '!P43+'Wed (2)'!P43+Sun!P43+Sat!P43)</f>
        <v>0</v>
      </c>
      <c r="Q43" s="71">
        <f>('Thurs (2)'!Q43+Thurs!Q43+'Tues '!Q43+Wed!Q43+Fri!Q43+'Mon '!Q43+'Wed (2)'!Q43+Sun!Q43+Sat!Q43)</f>
        <v>0</v>
      </c>
      <c r="R43" s="71">
        <f>('Thurs (2)'!R43+Thurs!R43+'Tues '!R43+Wed!R43+Fri!R43+'Mon '!R43+'Wed (2)'!R43+Sun!R43+Sat!R43)</f>
        <v>0</v>
      </c>
      <c r="S43" s="71">
        <f>('Thurs (2)'!S43+Thurs!S43+'Tues '!S43+Wed!S43+Fri!S43+'Mon '!S43+'Wed (2)'!S43+Sun!S43+Sat!S43)</f>
        <v>0</v>
      </c>
      <c r="T43" s="71">
        <f>('Thurs (2)'!T43+Thurs!T43+'Tues '!T43+Wed!T43+Fri!T43+'Mon '!T43+'Wed (2)'!T43+Sun!T43+Sat!T43)</f>
        <v>0</v>
      </c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>
        <f>('Thurs (2)'!G44+Thurs!G44+'Tues '!G44+Wed!G44+Fri!G44+'Mon '!G44+'Wed (2)'!G44+Sun!G44+Sat!G44)</f>
        <v>0</v>
      </c>
      <c r="H44" s="71">
        <f>('Thurs (2)'!H44+Thurs!H44+'Tues '!H44+Wed!H44+Fri!H44+'Mon '!H44+'Wed (2)'!H44+Sun!H44+Sat!H44)</f>
        <v>0</v>
      </c>
      <c r="I44" s="71">
        <f>('Thurs (2)'!I44+Thurs!I44+'Tues '!I44+Wed!I44+Fri!I44+'Mon '!I44+'Wed (2)'!I44+Sun!I44+Sat!I44)</f>
        <v>0</v>
      </c>
      <c r="J44" s="71">
        <f>('Thurs (2)'!J44+Thurs!J44+'Tues '!J44+Wed!J44+Fri!J44+'Mon '!J44+'Wed (2)'!J44+Sun!J44+Sat!J44)</f>
        <v>0</v>
      </c>
      <c r="K44" s="71">
        <f>('Thurs (2)'!K44+Thurs!K44+'Tues '!K44+Wed!K44+Fri!K44+'Mon '!K44+'Wed (2)'!K44+Sun!K44+Sat!K44)</f>
        <v>0</v>
      </c>
      <c r="L44" s="71">
        <f>('Thurs (2)'!L44+Thurs!L44+'Tues '!L44+Wed!L44+Fri!L44+'Mon '!L44+'Wed (2)'!L44+Sun!L44+Sat!L44)</f>
        <v>0</v>
      </c>
      <c r="M44" s="71">
        <f>('Thurs (2)'!M44+Thurs!M44+'Tues '!M44+Wed!M44+Fri!M44+'Mon '!M44+'Wed (2)'!M44+Sun!M44+Sat!M44)</f>
        <v>0</v>
      </c>
      <c r="N44" s="71">
        <f>('Thurs (2)'!N44+Thurs!N44+'Tues '!N44+Wed!N44+Fri!N44+'Mon '!N44+'Wed (2)'!N44+Sun!N44+Sat!N44)</f>
        <v>0</v>
      </c>
      <c r="O44" s="71">
        <f>('Thurs (2)'!O44+Thurs!O44+'Tues '!O44+Wed!O44+Fri!O44+'Mon '!O44+'Wed (2)'!O44+Sun!O44+Sat!O44)</f>
        <v>0</v>
      </c>
      <c r="P44" s="71">
        <f>('Thurs (2)'!P44+Thurs!P44+'Tues '!P44+Wed!P44+Fri!P44+'Mon '!P44+'Wed (2)'!P44+Sun!P44+Sat!P44)</f>
        <v>0</v>
      </c>
      <c r="Q44" s="71">
        <f>('Thurs (2)'!Q44+Thurs!Q44+'Tues '!Q44+Wed!Q44+Fri!Q44+'Mon '!Q44+'Wed (2)'!Q44+Sun!Q44+Sat!Q44)</f>
        <v>0</v>
      </c>
      <c r="R44" s="71">
        <f>('Thurs (2)'!R44+Thurs!R44+'Tues '!R44+Wed!R44+Fri!R44+'Mon '!R44+'Wed (2)'!R44+Sun!R44+Sat!R44)</f>
        <v>0</v>
      </c>
      <c r="S44" s="71">
        <f>('Thurs (2)'!S44+Thurs!S44+'Tues '!S44+Wed!S44+Fri!S44+'Mon '!S44+'Wed (2)'!S44+Sun!S44+Sat!S44)</f>
        <v>0</v>
      </c>
      <c r="T44" s="71">
        <f>('Thurs (2)'!T44+Thurs!T44+'Tues '!T44+Wed!T44+Fri!T44+'Mon '!T44+'Wed (2)'!T44+Sun!T44+Sat!T44)</f>
        <v>0</v>
      </c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>
        <f>('Thurs (2)'!G45+Thurs!G45+'Tues '!G45+Wed!G45+Fri!G45+'Mon '!G45+'Wed (2)'!G45+Sun!G45+Sat!G45)</f>
        <v>1</v>
      </c>
      <c r="H45" s="71">
        <f>('Thurs (2)'!H45+Thurs!H45+'Tues '!H45+Wed!H45+Fri!H45+'Mon '!H45+'Wed (2)'!H45+Sun!H45+Sat!H45)</f>
        <v>3</v>
      </c>
      <c r="I45" s="71">
        <f>('Thurs (2)'!I45+Thurs!I45+'Tues '!I45+Wed!I45+Fri!I45+'Mon '!I45+'Wed (2)'!I45+Sun!I45+Sat!I45)</f>
        <v>0</v>
      </c>
      <c r="J45" s="71">
        <f>('Thurs (2)'!J45+Thurs!J45+'Tues '!J45+Wed!J45+Fri!J45+'Mon '!J45+'Wed (2)'!J45+Sun!J45+Sat!J45)</f>
        <v>3</v>
      </c>
      <c r="K45" s="71">
        <f>('Thurs (2)'!K45+Thurs!K45+'Tues '!K45+Wed!K45+Fri!K45+'Mon '!K45+'Wed (2)'!K45+Sun!K45+Sat!K45)</f>
        <v>0</v>
      </c>
      <c r="L45" s="71">
        <f>('Thurs (2)'!L45+Thurs!L45+'Tues '!L45+Wed!L45+Fri!L45+'Mon '!L45+'Wed (2)'!L45+Sun!L45+Sat!L45)</f>
        <v>0</v>
      </c>
      <c r="M45" s="71">
        <f>('Thurs (2)'!M45+Thurs!M45+'Tues '!M45+Wed!M45+Fri!M45+'Mon '!M45+'Wed (2)'!M45+Sun!M45+Sat!M45)</f>
        <v>21</v>
      </c>
      <c r="N45" s="71">
        <f>('Thurs (2)'!N45+Thurs!N45+'Tues '!N45+Wed!N45+Fri!N45+'Mon '!N45+'Wed (2)'!N45+Sun!N45+Sat!N45)</f>
        <v>0</v>
      </c>
      <c r="O45" s="71">
        <f>('Thurs (2)'!O45+Thurs!O45+'Tues '!O45+Wed!O45+Fri!O45+'Mon '!O45+'Wed (2)'!O45+Sun!O45+Sat!O45)</f>
        <v>0</v>
      </c>
      <c r="P45" s="71">
        <f>('Thurs (2)'!P45+Thurs!P45+'Tues '!P45+Wed!P45+Fri!P45+'Mon '!P45+'Wed (2)'!P45+Sun!P45+Sat!P45)</f>
        <v>0</v>
      </c>
      <c r="Q45" s="71">
        <f>('Thurs (2)'!Q45+Thurs!Q45+'Tues '!Q45+Wed!Q45+Fri!Q45+'Mon '!Q45+'Wed (2)'!Q45+Sun!Q45+Sat!Q45)</f>
        <v>0</v>
      </c>
      <c r="R45" s="71">
        <f>('Thurs (2)'!R45+Thurs!R45+'Tues '!R45+Wed!R45+Fri!R45+'Mon '!R45+'Wed (2)'!R45+Sun!R45+Sat!R45)</f>
        <v>3</v>
      </c>
      <c r="S45" s="71">
        <f>('Thurs (2)'!S45+Thurs!S45+'Tues '!S45+Wed!S45+Fri!S45+'Mon '!S45+'Wed (2)'!S45+Sun!S45+Sat!S45)</f>
        <v>0</v>
      </c>
      <c r="T45" s="71">
        <f>('Thurs (2)'!T45+Thurs!T45+'Tues '!T45+Wed!T45+Fri!T45+'Mon '!T45+'Wed (2)'!T45+Sun!T45+Sat!T45)</f>
        <v>1068</v>
      </c>
      <c r="U45" s="72">
        <f t="shared" si="3"/>
        <v>0</v>
      </c>
      <c r="V45" s="72">
        <f t="shared" si="4"/>
        <v>3</v>
      </c>
      <c r="W45" s="73"/>
    </row>
    <row r="46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>
        <f>('Thurs (2)'!G46+Thurs!G46+'Tues '!G46+Wed!G46+Fri!G46+'Mon '!G46+'Wed (2)'!G46+Sun!G46+Sat!G46)</f>
        <v>0</v>
      </c>
      <c r="H46" s="71">
        <f>('Thurs (2)'!H46+Thurs!H46+'Tues '!H46+Wed!H46+Fri!H46+'Mon '!H46+'Wed (2)'!H46+Sun!H46+Sat!H46)</f>
        <v>0</v>
      </c>
      <c r="I46" s="71">
        <f>('Thurs (2)'!I46+Thurs!I46+'Tues '!I46+Wed!I46+Fri!I46+'Mon '!I46+'Wed (2)'!I46+Sun!I46+Sat!I46)</f>
        <v>0</v>
      </c>
      <c r="J46" s="71">
        <f>('Thurs (2)'!J46+Thurs!J46+'Tues '!J46+Wed!J46+Fri!J46+'Mon '!J46+'Wed (2)'!J46+Sun!J46+Sat!J46)</f>
        <v>0</v>
      </c>
      <c r="K46" s="71">
        <f>('Thurs (2)'!K46+Thurs!K46+'Tues '!K46+Wed!K46+Fri!K46+'Mon '!K46+'Wed (2)'!K46+Sun!K46+Sat!K46)</f>
        <v>0</v>
      </c>
      <c r="L46" s="71">
        <f>('Thurs (2)'!L46+Thurs!L46+'Tues '!L46+Wed!L46+Fri!L46+'Mon '!L46+'Wed (2)'!L46+Sun!L46+Sat!L46)</f>
        <v>0</v>
      </c>
      <c r="M46" s="71">
        <f>('Thurs (2)'!M46+Thurs!M46+'Tues '!M46+Wed!M46+Fri!M46+'Mon '!M46+'Wed (2)'!M46+Sun!M46+Sat!M46)</f>
        <v>0</v>
      </c>
      <c r="N46" s="71">
        <f>('Thurs (2)'!N46+Thurs!N46+'Tues '!N46+Wed!N46+Fri!N46+'Mon '!N46+'Wed (2)'!N46+Sun!N46+Sat!N46)</f>
        <v>0</v>
      </c>
      <c r="O46" s="71">
        <f>('Thurs (2)'!O46+Thurs!O46+'Tues '!O46+Wed!O46+Fri!O46+'Mon '!O46+'Wed (2)'!O46+Sun!O46+Sat!O46)</f>
        <v>0</v>
      </c>
      <c r="P46" s="71">
        <f>('Thurs (2)'!P46+Thurs!P46+'Tues '!P46+Wed!P46+Fri!P46+'Mon '!P46+'Wed (2)'!P46+Sun!P46+Sat!P46)</f>
        <v>0</v>
      </c>
      <c r="Q46" s="71">
        <f>('Thurs (2)'!Q46+Thurs!Q46+'Tues '!Q46+Wed!Q46+Fri!Q46+'Mon '!Q46+'Wed (2)'!Q46+Sun!Q46+Sat!Q46)</f>
        <v>0</v>
      </c>
      <c r="R46" s="71">
        <f>('Thurs (2)'!R46+Thurs!R46+'Tues '!R46+Wed!R46+Fri!R46+'Mon '!R46+'Wed (2)'!R46+Sun!R46+Sat!R46)</f>
        <v>0</v>
      </c>
      <c r="S46" s="71">
        <f>('Thurs (2)'!S46+Thurs!S46+'Tues '!S46+Wed!S46+Fri!S46+'Mon '!S46+'Wed (2)'!S46+Sun!S46+Sat!S46)</f>
        <v>0</v>
      </c>
      <c r="T46" s="71">
        <f>('Thurs (2)'!T46+Thurs!T46+'Tues '!T46+Wed!T46+Fri!T46+'Mon '!T46+'Wed (2)'!T46+Sun!T46+Sat!T46)</f>
        <v>0</v>
      </c>
      <c r="U46" s="72">
        <f t="shared" si="3"/>
        <v>0</v>
      </c>
      <c r="V46" s="72">
        <f t="shared" si="4"/>
        <v>0</v>
      </c>
      <c r="W46" s="73"/>
    </row>
    <row r="47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71">
        <f>('Thurs (2)'!G47+Thurs!G47+'Tues '!G47+Wed!G47+Fri!G47+'Mon '!G47+'Wed (2)'!G47+Sun!G47+Sat!G47)</f>
        <v>6</v>
      </c>
      <c r="H47" s="71">
        <f>('Thurs (2)'!H47+Thurs!H47+'Tues '!H47+Wed!H47+Fri!H47+'Mon '!H47+'Wed (2)'!H47+Sun!H47+Sat!H47)</f>
        <v>1</v>
      </c>
      <c r="I47" s="71">
        <f>('Thurs (2)'!I47+Thurs!I47+'Tues '!I47+Wed!I47+Fri!I47+'Mon '!I47+'Wed (2)'!I47+Sun!I47+Sat!I47)</f>
        <v>1</v>
      </c>
      <c r="J47" s="71">
        <f>('Thurs (2)'!J47+Thurs!J47+'Tues '!J47+Wed!J47+Fri!J47+'Mon '!J47+'Wed (2)'!J47+Sun!J47+Sat!J47)</f>
        <v>1</v>
      </c>
      <c r="K47" s="71">
        <f>('Thurs (2)'!K47+Thurs!K47+'Tues '!K47+Wed!K47+Fri!K47+'Mon '!K47+'Wed (2)'!K47+Sun!K47+Sat!K47)</f>
        <v>1</v>
      </c>
      <c r="L47" s="71">
        <f>('Thurs (2)'!L47+Thurs!L47+'Tues '!L47+Wed!L47+Fri!L47+'Mon '!L47+'Wed (2)'!L47+Sun!L47+Sat!L47)</f>
        <v>0</v>
      </c>
      <c r="M47" s="71">
        <f>('Thurs (2)'!M47+Thurs!M47+'Tues '!M47+Wed!M47+Fri!M47+'Mon '!M47+'Wed (2)'!M47+Sun!M47+Sat!M47)</f>
        <v>2</v>
      </c>
      <c r="N47" s="71">
        <f>('Thurs (2)'!N47+Thurs!N47+'Tues '!N47+Wed!N47+Fri!N47+'Mon '!N47+'Wed (2)'!N47+Sun!N47+Sat!N47)</f>
        <v>0</v>
      </c>
      <c r="O47" s="71">
        <f>('Thurs (2)'!O47+Thurs!O47+'Tues '!O47+Wed!O47+Fri!O47+'Mon '!O47+'Wed (2)'!O47+Sun!O47+Sat!O47)</f>
        <v>0</v>
      </c>
      <c r="P47" s="71">
        <f>('Thurs (2)'!P47+Thurs!P47+'Tues '!P47+Wed!P47+Fri!P47+'Mon '!P47+'Wed (2)'!P47+Sun!P47+Sat!P47)</f>
        <v>0</v>
      </c>
      <c r="Q47" s="71">
        <f>('Thurs (2)'!Q47+Thurs!Q47+'Tues '!Q47+Wed!Q47+Fri!Q47+'Mon '!Q47+'Wed (2)'!Q47+Sun!Q47+Sat!Q47)</f>
        <v>0</v>
      </c>
      <c r="R47" s="71">
        <f>('Thurs (2)'!R47+Thurs!R47+'Tues '!R47+Wed!R47+Fri!R47+'Mon '!R47+'Wed (2)'!R47+Sun!R47+Sat!R47)</f>
        <v>1</v>
      </c>
      <c r="S47" s="71">
        <f>('Thurs (2)'!S47+Thurs!S47+'Tues '!S47+Wed!S47+Fri!S47+'Mon '!S47+'Wed (2)'!S47+Sun!S47+Sat!S47)</f>
        <v>1</v>
      </c>
      <c r="T47" s="71">
        <f>('Thurs (2)'!T47+Thurs!T47+'Tues '!T47+Wed!T47+Fri!T47+'Mon '!T47+'Wed (2)'!T47+Sun!T47+Sat!T47)</f>
        <v>1254</v>
      </c>
      <c r="U47" s="72">
        <f t="shared" si="3"/>
        <v>1</v>
      </c>
      <c r="V47" s="72">
        <f t="shared" si="4"/>
        <v>0.1666666667</v>
      </c>
      <c r="W47" s="73"/>
    </row>
    <row r="48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71">
        <f>('Thurs (2)'!G48+Thurs!G48+'Tues '!G48+Wed!G48+Fri!G48+'Mon '!G48+'Wed (2)'!G48+Sun!G48+Sat!G48)</f>
        <v>0</v>
      </c>
      <c r="H48" s="71">
        <f>('Thurs (2)'!H48+Thurs!H48+'Tues '!H48+Wed!H48+Fri!H48+'Mon '!H48+'Wed (2)'!H48+Sun!H48+Sat!H48)</f>
        <v>0</v>
      </c>
      <c r="I48" s="71">
        <f>('Thurs (2)'!I48+Thurs!I48+'Tues '!I48+Wed!I48+Fri!I48+'Mon '!I48+'Wed (2)'!I48+Sun!I48+Sat!I48)</f>
        <v>0</v>
      </c>
      <c r="J48" s="71">
        <f>('Thurs (2)'!J48+Thurs!J48+'Tues '!J48+Wed!J48+Fri!J48+'Mon '!J48+'Wed (2)'!J48+Sun!J48+Sat!J48)</f>
        <v>0</v>
      </c>
      <c r="K48" s="71">
        <f>('Thurs (2)'!K48+Thurs!K48+'Tues '!K48+Wed!K48+Fri!K48+'Mon '!K48+'Wed (2)'!K48+Sun!K48+Sat!K48)</f>
        <v>0</v>
      </c>
      <c r="L48" s="71">
        <f>('Thurs (2)'!L48+Thurs!L48+'Tues '!L48+Wed!L48+Fri!L48+'Mon '!L48+'Wed (2)'!L48+Sun!L48+Sat!L48)</f>
        <v>0</v>
      </c>
      <c r="M48" s="71">
        <f>('Thurs (2)'!M48+Thurs!M48+'Tues '!M48+Wed!M48+Fri!M48+'Mon '!M48+'Wed (2)'!M48+Sun!M48+Sat!M48)</f>
        <v>0</v>
      </c>
      <c r="N48" s="71">
        <f>('Thurs (2)'!N48+Thurs!N48+'Tues '!N48+Wed!N48+Fri!N48+'Mon '!N48+'Wed (2)'!N48+Sun!N48+Sat!N48)</f>
        <v>0</v>
      </c>
      <c r="O48" s="71">
        <f>('Thurs (2)'!O48+Thurs!O48+'Tues '!O48+Wed!O48+Fri!O48+'Mon '!O48+'Wed (2)'!O48+Sun!O48+Sat!O48)</f>
        <v>0</v>
      </c>
      <c r="P48" s="71">
        <f>('Thurs (2)'!P48+Thurs!P48+'Tues '!P48+Wed!P48+Fri!P48+'Mon '!P48+'Wed (2)'!P48+Sun!P48+Sat!P48)</f>
        <v>0</v>
      </c>
      <c r="Q48" s="71">
        <f>('Thurs (2)'!Q48+Thurs!Q48+'Tues '!Q48+Wed!Q48+Fri!Q48+'Mon '!Q48+'Wed (2)'!Q48+Sun!Q48+Sat!Q48)</f>
        <v>0</v>
      </c>
      <c r="R48" s="71">
        <f>('Thurs (2)'!R48+Thurs!R48+'Tues '!R48+Wed!R48+Fri!R48+'Mon '!R48+'Wed (2)'!R48+Sun!R48+Sat!R48)</f>
        <v>0</v>
      </c>
      <c r="S48" s="71">
        <f>('Thurs (2)'!S48+Thurs!S48+'Tues '!S48+Wed!S48+Fri!S48+'Mon '!S48+'Wed (2)'!S48+Sun!S48+Sat!S48)</f>
        <v>0</v>
      </c>
      <c r="T48" s="71">
        <f>('Thurs (2)'!T48+Thurs!T48+'Tues '!T48+Wed!T48+Fri!T48+'Mon '!T48+'Wed (2)'!T48+Sun!T48+Sat!T48)</f>
        <v>0</v>
      </c>
      <c r="U48" s="72">
        <f t="shared" si="3"/>
        <v>0</v>
      </c>
      <c r="V48" s="72">
        <f t="shared" si="4"/>
        <v>0</v>
      </c>
      <c r="W48" s="73"/>
    </row>
    <row r="49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71">
        <f>('Thurs (2)'!G49+Thurs!G49+'Tues '!G49+Wed!G49+Fri!G49+'Mon '!G49+'Wed (2)'!G49+Sun!G49+Sat!G49)</f>
        <v>3</v>
      </c>
      <c r="H49" s="71">
        <f>('Thurs (2)'!H49+Thurs!H49+'Tues '!H49+Wed!H49+Fri!H49+'Mon '!H49+'Wed (2)'!H49+Sun!H49+Sat!H49)</f>
        <v>0</v>
      </c>
      <c r="I49" s="71">
        <f>('Thurs (2)'!I49+Thurs!I49+'Tues '!I49+Wed!I49+Fri!I49+'Mon '!I49+'Wed (2)'!I49+Sun!I49+Sat!I49)</f>
        <v>0</v>
      </c>
      <c r="J49" s="71">
        <f>('Thurs (2)'!J49+Thurs!J49+'Tues '!J49+Wed!J49+Fri!J49+'Mon '!J49+'Wed (2)'!J49+Sun!J49+Sat!J49)</f>
        <v>0</v>
      </c>
      <c r="K49" s="71">
        <f>('Thurs (2)'!K49+Thurs!K49+'Tues '!K49+Wed!K49+Fri!K49+'Mon '!K49+'Wed (2)'!K49+Sun!K49+Sat!K49)</f>
        <v>0</v>
      </c>
      <c r="L49" s="71">
        <f>('Thurs (2)'!L49+Thurs!L49+'Tues '!L49+Wed!L49+Fri!L49+'Mon '!L49+'Wed (2)'!L49+Sun!L49+Sat!L49)</f>
        <v>0</v>
      </c>
      <c r="M49" s="71">
        <f>('Thurs (2)'!M49+Thurs!M49+'Tues '!M49+Wed!M49+Fri!M49+'Mon '!M49+'Wed (2)'!M49+Sun!M49+Sat!M49)</f>
        <v>0</v>
      </c>
      <c r="N49" s="71">
        <f>('Thurs (2)'!N49+Thurs!N49+'Tues '!N49+Wed!N49+Fri!N49+'Mon '!N49+'Wed (2)'!N49+Sun!N49+Sat!N49)</f>
        <v>0</v>
      </c>
      <c r="O49" s="71">
        <f>('Thurs (2)'!O49+Thurs!O49+'Tues '!O49+Wed!O49+Fri!O49+'Mon '!O49+'Wed (2)'!O49+Sun!O49+Sat!O49)</f>
        <v>0</v>
      </c>
      <c r="P49" s="71">
        <f>('Thurs (2)'!P49+Thurs!P49+'Tues '!P49+Wed!P49+Fri!P49+'Mon '!P49+'Wed (2)'!P49+Sun!P49+Sat!P49)</f>
        <v>0</v>
      </c>
      <c r="Q49" s="71">
        <f>('Thurs (2)'!Q49+Thurs!Q49+'Tues '!Q49+Wed!Q49+Fri!Q49+'Mon '!Q49+'Wed (2)'!Q49+Sun!Q49+Sat!Q49)</f>
        <v>0</v>
      </c>
      <c r="R49" s="71">
        <f>('Thurs (2)'!R49+Thurs!R49+'Tues '!R49+Wed!R49+Fri!R49+'Mon '!R49+'Wed (2)'!R49+Sun!R49+Sat!R49)</f>
        <v>0</v>
      </c>
      <c r="S49" s="71">
        <f>('Thurs (2)'!S49+Thurs!S49+'Tues '!S49+Wed!S49+Fri!S49+'Mon '!S49+'Wed (2)'!S49+Sun!S49+Sat!S49)</f>
        <v>0</v>
      </c>
      <c r="T49" s="71">
        <f>('Thurs (2)'!T49+Thurs!T49+'Tues '!T49+Wed!T49+Fri!T49+'Mon '!T49+'Wed (2)'!T49+Sun!T49+Sat!T49)</f>
        <v>0</v>
      </c>
      <c r="U49" s="72">
        <f t="shared" si="3"/>
        <v>0</v>
      </c>
      <c r="V49" s="72">
        <f t="shared" si="4"/>
        <v>0</v>
      </c>
      <c r="W49" s="73"/>
    </row>
    <row r="50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>
        <f>('Thurs (2)'!G50+Thurs!G50+'Tues '!G50+Wed!G50+Fri!G50+'Mon '!G50+'Wed (2)'!G50+Sun!G50+Sat!G50)</f>
        <v>0</v>
      </c>
      <c r="H50" s="71">
        <f>('Thurs (2)'!H50+Thurs!H50+'Tues '!H50+Wed!H50+Fri!H50+'Mon '!H50+'Wed (2)'!H50+Sun!H50+Sat!H50)</f>
        <v>0</v>
      </c>
      <c r="I50" s="71">
        <f>('Thurs (2)'!I50+Thurs!I50+'Tues '!I50+Wed!I50+Fri!I50+'Mon '!I50+'Wed (2)'!I50+Sun!I50+Sat!I50)</f>
        <v>0</v>
      </c>
      <c r="J50" s="71">
        <f>('Thurs (2)'!J50+Thurs!J50+'Tues '!J50+Wed!J50+Fri!J50+'Mon '!J50+'Wed (2)'!J50+Sun!J50+Sat!J50)</f>
        <v>0</v>
      </c>
      <c r="K50" s="71">
        <f>('Thurs (2)'!K50+Thurs!K50+'Tues '!K50+Wed!K50+Fri!K50+'Mon '!K50+'Wed (2)'!K50+Sun!K50+Sat!K50)</f>
        <v>0</v>
      </c>
      <c r="L50" s="71">
        <f>('Thurs (2)'!L50+Thurs!L50+'Tues '!L50+Wed!L50+Fri!L50+'Mon '!L50+'Wed (2)'!L50+Sun!L50+Sat!L50)</f>
        <v>0</v>
      </c>
      <c r="M50" s="71">
        <f>('Thurs (2)'!M50+Thurs!M50+'Tues '!M50+Wed!M50+Fri!M50+'Mon '!M50+'Wed (2)'!M50+Sun!M50+Sat!M50)</f>
        <v>0</v>
      </c>
      <c r="N50" s="71">
        <f>('Thurs (2)'!N50+Thurs!N50+'Tues '!N50+Wed!N50+Fri!N50+'Mon '!N50+'Wed (2)'!N50+Sun!N50+Sat!N50)</f>
        <v>0</v>
      </c>
      <c r="O50" s="71">
        <f>('Thurs (2)'!O50+Thurs!O50+'Tues '!O50+Wed!O50+Fri!O50+'Mon '!O50+'Wed (2)'!O50+Sun!O50+Sat!O50)</f>
        <v>0</v>
      </c>
      <c r="P50" s="71">
        <f>('Thurs (2)'!P50+Thurs!P50+'Tues '!P50+Wed!P50+Fri!P50+'Mon '!P50+'Wed (2)'!P50+Sun!P50+Sat!P50)</f>
        <v>0</v>
      </c>
      <c r="Q50" s="71">
        <f>('Thurs (2)'!Q50+Thurs!Q50+'Tues '!Q50+Wed!Q50+Fri!Q50+'Mon '!Q50+'Wed (2)'!Q50+Sun!Q50+Sat!Q50)</f>
        <v>0</v>
      </c>
      <c r="R50" s="71">
        <f>('Thurs (2)'!R50+Thurs!R50+'Tues '!R50+Wed!R50+Fri!R50+'Mon '!R50+'Wed (2)'!R50+Sun!R50+Sat!R50)</f>
        <v>0</v>
      </c>
      <c r="S50" s="71">
        <f>('Thurs (2)'!S50+Thurs!S50+'Tues '!S50+Wed!S50+Fri!S50+'Mon '!S50+'Wed (2)'!S50+Sun!S50+Sat!S50)</f>
        <v>0</v>
      </c>
      <c r="T50" s="71">
        <f>('Thurs (2)'!T50+Thurs!T50+'Tues '!T50+Wed!T50+Fri!T50+'Mon '!T50+'Wed (2)'!T50+Sun!T50+Sat!T50)</f>
        <v>0</v>
      </c>
      <c r="U50" s="72">
        <f t="shared" si="3"/>
        <v>0</v>
      </c>
      <c r="V50" s="72">
        <f t="shared" si="4"/>
        <v>0</v>
      </c>
      <c r="W50" s="73"/>
    </row>
    <row r="5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>
        <f>('Thurs (2)'!G51+Thurs!G51+'Tues '!G51+Wed!G51+Fri!G51+'Mon '!G51+'Wed (2)'!G51+Sun!G51+Sat!G51)</f>
        <v>0</v>
      </c>
      <c r="H51" s="71">
        <f>('Thurs (2)'!H51+Thurs!H51+'Tues '!H51+Wed!H51+Fri!H51+'Mon '!H51+'Wed (2)'!H51+Sun!H51+Sat!H51)</f>
        <v>0</v>
      </c>
      <c r="I51" s="71">
        <f>('Thurs (2)'!I51+Thurs!I51+'Tues '!I51+Wed!I51+Fri!I51+'Mon '!I51+'Wed (2)'!I51+Sun!I51+Sat!I51)</f>
        <v>0</v>
      </c>
      <c r="J51" s="71">
        <f>('Thurs (2)'!J51+Thurs!J51+'Tues '!J51+Wed!J51+Fri!J51+'Mon '!J51+'Wed (2)'!J51+Sun!J51+Sat!J51)</f>
        <v>0</v>
      </c>
      <c r="K51" s="71">
        <f>('Thurs (2)'!K51+Thurs!K51+'Tues '!K51+Wed!K51+Fri!K51+'Mon '!K51+'Wed (2)'!K51+Sun!K51+Sat!K51)</f>
        <v>0</v>
      </c>
      <c r="L51" s="71">
        <f>('Thurs (2)'!L51+Thurs!L51+'Tues '!L51+Wed!L51+Fri!L51+'Mon '!L51+'Wed (2)'!L51+Sun!L51+Sat!L51)</f>
        <v>0</v>
      </c>
      <c r="M51" s="71">
        <f>('Thurs (2)'!M51+Thurs!M51+'Tues '!M51+Wed!M51+Fri!M51+'Mon '!M51+'Wed (2)'!M51+Sun!M51+Sat!M51)</f>
        <v>0</v>
      </c>
      <c r="N51" s="71">
        <f>('Thurs (2)'!N51+Thurs!N51+'Tues '!N51+Wed!N51+Fri!N51+'Mon '!N51+'Wed (2)'!N51+Sun!N51+Sat!N51)</f>
        <v>0</v>
      </c>
      <c r="O51" s="71">
        <f>('Thurs (2)'!O51+Thurs!O51+'Tues '!O51+Wed!O51+Fri!O51+'Mon '!O51+'Wed (2)'!O51+Sun!O51+Sat!O51)</f>
        <v>0</v>
      </c>
      <c r="P51" s="71">
        <f>('Thurs (2)'!P51+Thurs!P51+'Tues '!P51+Wed!P51+Fri!P51+'Mon '!P51+'Wed (2)'!P51+Sun!P51+Sat!P51)</f>
        <v>0</v>
      </c>
      <c r="Q51" s="71">
        <f>('Thurs (2)'!Q51+Thurs!Q51+'Tues '!Q51+Wed!Q51+Fri!Q51+'Mon '!Q51+'Wed (2)'!Q51+Sun!Q51+Sat!Q51)</f>
        <v>0</v>
      </c>
      <c r="R51" s="71">
        <f>('Thurs (2)'!R51+Thurs!R51+'Tues '!R51+Wed!R51+Fri!R51+'Mon '!R51+'Wed (2)'!R51+Sun!R51+Sat!R51)</f>
        <v>0</v>
      </c>
      <c r="S51" s="71">
        <f>('Thurs (2)'!S51+Thurs!S51+'Tues '!S51+Wed!S51+Fri!S51+'Mon '!S51+'Wed (2)'!S51+Sun!S51+Sat!S51)</f>
        <v>0</v>
      </c>
      <c r="T51" s="71">
        <f>('Thurs (2)'!T51+Thurs!T51+'Tues '!T51+Wed!T51+Fri!T51+'Mon '!T51+'Wed (2)'!T51+Sun!T51+Sat!T51)</f>
        <v>0</v>
      </c>
      <c r="U51" s="72">
        <f t="shared" si="3"/>
        <v>0</v>
      </c>
      <c r="V51" s="72">
        <f t="shared" si="4"/>
        <v>0</v>
      </c>
      <c r="W51" s="73"/>
    </row>
    <row r="52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>
        <f>('Thurs (2)'!G52+Thurs!G52+'Tues '!G52+Wed!G52+Fri!G52+'Mon '!G52+'Wed (2)'!G52+Sun!G52+Sat!G52)</f>
        <v>0</v>
      </c>
      <c r="H52" s="71">
        <f>('Thurs (2)'!H52+Thurs!H52+'Tues '!H52+Wed!H52+Fri!H52+'Mon '!H52+'Wed (2)'!H52+Sun!H52+Sat!H52)</f>
        <v>0</v>
      </c>
      <c r="I52" s="71">
        <f>('Thurs (2)'!I52+Thurs!I52+'Tues '!I52+Wed!I52+Fri!I52+'Mon '!I52+'Wed (2)'!I52+Sun!I52+Sat!I52)</f>
        <v>0</v>
      </c>
      <c r="J52" s="71">
        <f>('Thurs (2)'!J52+Thurs!J52+'Tues '!J52+Wed!J52+Fri!J52+'Mon '!J52+'Wed (2)'!J52+Sun!J52+Sat!J52)</f>
        <v>0</v>
      </c>
      <c r="K52" s="71">
        <f>('Thurs (2)'!K52+Thurs!K52+'Tues '!K52+Wed!K52+Fri!K52+'Mon '!K52+'Wed (2)'!K52+Sun!K52+Sat!K52)</f>
        <v>0</v>
      </c>
      <c r="L52" s="71">
        <f>('Thurs (2)'!L52+Thurs!L52+'Tues '!L52+Wed!L52+Fri!L52+'Mon '!L52+'Wed (2)'!L52+Sun!L52+Sat!L52)</f>
        <v>0</v>
      </c>
      <c r="M52" s="71">
        <f>('Thurs (2)'!M52+Thurs!M52+'Tues '!M52+Wed!M52+Fri!M52+'Mon '!M52+'Wed (2)'!M52+Sun!M52+Sat!M52)</f>
        <v>0</v>
      </c>
      <c r="N52" s="71">
        <f>('Thurs (2)'!N52+Thurs!N52+'Tues '!N52+Wed!N52+Fri!N52+'Mon '!N52+'Wed (2)'!N52+Sun!N52+Sat!N52)</f>
        <v>0</v>
      </c>
      <c r="O52" s="71">
        <f>('Thurs (2)'!O52+Thurs!O52+'Tues '!O52+Wed!O52+Fri!O52+'Mon '!O52+'Wed (2)'!O52+Sun!O52+Sat!O52)</f>
        <v>0</v>
      </c>
      <c r="P52" s="71">
        <f>('Thurs (2)'!P52+Thurs!P52+'Tues '!P52+Wed!P52+Fri!P52+'Mon '!P52+'Wed (2)'!P52+Sun!P52+Sat!P52)</f>
        <v>0</v>
      </c>
      <c r="Q52" s="71">
        <f>('Thurs (2)'!Q52+Thurs!Q52+'Tues '!Q52+Wed!Q52+Fri!Q52+'Mon '!Q52+'Wed (2)'!Q52+Sun!Q52+Sat!Q52)</f>
        <v>0</v>
      </c>
      <c r="R52" s="71">
        <f>('Thurs (2)'!R52+Thurs!R52+'Tues '!R52+Wed!R52+Fri!R52+'Mon '!R52+'Wed (2)'!R52+Sun!R52+Sat!R52)</f>
        <v>0</v>
      </c>
      <c r="S52" s="71">
        <f>('Thurs (2)'!S52+Thurs!S52+'Tues '!S52+Wed!S52+Fri!S52+'Mon '!S52+'Wed (2)'!S52+Sun!S52+Sat!S52)</f>
        <v>0</v>
      </c>
      <c r="T52" s="71">
        <f>('Thurs (2)'!T52+Thurs!T52+'Tues '!T52+Wed!T52+Fri!T52+'Mon '!T52+'Wed (2)'!T52+Sun!T52+Sat!T52)</f>
        <v>0</v>
      </c>
      <c r="U52" s="72">
        <f t="shared" si="3"/>
        <v>0</v>
      </c>
      <c r="V52" s="72">
        <f t="shared" si="4"/>
        <v>0</v>
      </c>
      <c r="W52" s="73"/>
    </row>
    <row r="53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>
        <f>('Thurs (2)'!G53+Thurs!G53+'Tues '!G53+Wed!G53+Fri!G53+'Mon '!G53+'Wed (2)'!G53+Sun!G53+Sat!G53)</f>
        <v>0</v>
      </c>
      <c r="H53" s="71">
        <f>('Thurs (2)'!H53+Thurs!H53+'Tues '!H53+Wed!H53+Fri!H53+'Mon '!H53+'Wed (2)'!H53+Sun!H53+Sat!H53)</f>
        <v>0</v>
      </c>
      <c r="I53" s="71">
        <f>('Thurs (2)'!I53+Thurs!I53+'Tues '!I53+Wed!I53+Fri!I53+'Mon '!I53+'Wed (2)'!I53+Sun!I53+Sat!I53)</f>
        <v>0</v>
      </c>
      <c r="J53" s="71">
        <f>('Thurs (2)'!J53+Thurs!J53+'Tues '!J53+Wed!J53+Fri!J53+'Mon '!J53+'Wed (2)'!J53+Sun!J53+Sat!J53)</f>
        <v>0</v>
      </c>
      <c r="K53" s="71">
        <f>('Thurs (2)'!K53+Thurs!K53+'Tues '!K53+Wed!K53+Fri!K53+'Mon '!K53+'Wed (2)'!K53+Sun!K53+Sat!K53)</f>
        <v>0</v>
      </c>
      <c r="L53" s="71">
        <f>('Thurs (2)'!L53+Thurs!L53+'Tues '!L53+Wed!L53+Fri!L53+'Mon '!L53+'Wed (2)'!L53+Sun!L53+Sat!L53)</f>
        <v>0</v>
      </c>
      <c r="M53" s="71">
        <f>('Thurs (2)'!M53+Thurs!M53+'Tues '!M53+Wed!M53+Fri!M53+'Mon '!M53+'Wed (2)'!M53+Sun!M53+Sat!M53)</f>
        <v>0</v>
      </c>
      <c r="N53" s="71">
        <f>('Thurs (2)'!N53+Thurs!N53+'Tues '!N53+Wed!N53+Fri!N53+'Mon '!N53+'Wed (2)'!N53+Sun!N53+Sat!N53)</f>
        <v>0</v>
      </c>
      <c r="O53" s="71">
        <f>('Thurs (2)'!O53+Thurs!O53+'Tues '!O53+Wed!O53+Fri!O53+'Mon '!O53+'Wed (2)'!O53+Sun!O53+Sat!O53)</f>
        <v>0</v>
      </c>
      <c r="P53" s="71">
        <f>('Thurs (2)'!P53+Thurs!P53+'Tues '!P53+Wed!P53+Fri!P53+'Mon '!P53+'Wed (2)'!P53+Sun!P53+Sat!P53)</f>
        <v>0</v>
      </c>
      <c r="Q53" s="71">
        <f>('Thurs (2)'!Q53+Thurs!Q53+'Tues '!Q53+Wed!Q53+Fri!Q53+'Mon '!Q53+'Wed (2)'!Q53+Sun!Q53+Sat!Q53)</f>
        <v>0</v>
      </c>
      <c r="R53" s="71">
        <f>('Thurs (2)'!R53+Thurs!R53+'Tues '!R53+Wed!R53+Fri!R53+'Mon '!R53+'Wed (2)'!R53+Sun!R53+Sat!R53)</f>
        <v>0</v>
      </c>
      <c r="S53" s="71">
        <f>('Thurs (2)'!S53+Thurs!S53+'Tues '!S53+Wed!S53+Fri!S53+'Mon '!S53+'Wed (2)'!S53+Sun!S53+Sat!S53)</f>
        <v>0</v>
      </c>
      <c r="T53" s="71">
        <f>('Thurs (2)'!T53+Thurs!T53+'Tues '!T53+Wed!T53+Fri!T53+'Mon '!T53+'Wed (2)'!T53+Sun!T53+Sat!T53)</f>
        <v>0</v>
      </c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>
        <f>('Thurs (2)'!G55+Thurs!G55+'Tues '!G55+Wed!G55+Fri!G55+'Mon '!G55+'Wed (2)'!G55+Sun!G55+Sat!G55)</f>
        <v>0</v>
      </c>
      <c r="H55" s="71">
        <f>('Thurs (2)'!H55+Thurs!H55+'Tues '!H55+Wed!H55+Fri!H55+'Mon '!H55+'Wed (2)'!H55+Sun!H55+Sat!H55)</f>
        <v>0</v>
      </c>
      <c r="I55" s="71">
        <f>('Thurs (2)'!I55+Thurs!I55+'Tues '!I55+Wed!I55+Fri!I55+'Mon '!I55+'Wed (2)'!I55+Sun!I55+Sat!I55)</f>
        <v>0</v>
      </c>
      <c r="J55" s="71">
        <f>('Thurs (2)'!J55+Thurs!J55+'Tues '!J55+Wed!J55+Fri!J55+'Mon '!J55+'Wed (2)'!J55+Sun!J55+Sat!J55)</f>
        <v>0</v>
      </c>
      <c r="K55" s="71">
        <f>('Thurs (2)'!K55+Thurs!K55+'Tues '!K55+Wed!K55+Fri!K55+'Mon '!K55+'Wed (2)'!K55+Sun!K55+Sat!K55)</f>
        <v>0</v>
      </c>
      <c r="L55" s="71">
        <f>('Thurs (2)'!L55+Thurs!L55+'Tues '!L55+Wed!L55+Fri!L55+'Mon '!L55+'Wed (2)'!L55+Sun!L55+Sat!L55)</f>
        <v>0</v>
      </c>
      <c r="M55" s="71">
        <f>('Thurs (2)'!M55+Thurs!M55+'Tues '!M55+Wed!M55+Fri!M55+'Mon '!M55+'Wed (2)'!M55+Sun!M55+Sat!M55)</f>
        <v>0</v>
      </c>
      <c r="N55" s="71">
        <f>('Thurs (2)'!N55+Thurs!N55+'Tues '!N55+Wed!N55+Fri!N55+'Mon '!N55+'Wed (2)'!N55+Sun!N55+Sat!N55)</f>
        <v>0</v>
      </c>
      <c r="O55" s="71">
        <f>('Thurs (2)'!O55+Thurs!O55+'Tues '!O55+Wed!O55+Fri!O55+'Mon '!O55+'Wed (2)'!O55+Sun!O55+Sat!O55)</f>
        <v>0</v>
      </c>
      <c r="P55" s="71">
        <f>('Thurs (2)'!P55+Thurs!P55+'Tues '!P55+Wed!P55+Fri!P55+'Mon '!P55+'Wed (2)'!P55+Sun!P55+Sat!P55)</f>
        <v>0</v>
      </c>
      <c r="Q55" s="71">
        <f>('Thurs (2)'!Q55+Thurs!Q55+'Tues '!Q55+Wed!Q55+Fri!Q55+'Mon '!Q55+'Wed (2)'!Q55+Sun!Q55+Sat!Q55)</f>
        <v>0</v>
      </c>
      <c r="R55" s="71">
        <f>('Thurs (2)'!R55+Thurs!R55+'Tues '!R55+Wed!R55+Fri!R55+'Mon '!R55+'Wed (2)'!R55+Sun!R55+Sat!R55)</f>
        <v>0</v>
      </c>
      <c r="S55" s="71">
        <f>('Thurs (2)'!S55+Thurs!S55+'Tues '!S55+Wed!S55+Fri!S55+'Mon '!S55+'Wed (2)'!S55+Sun!S55+Sat!S55)</f>
        <v>0</v>
      </c>
      <c r="T55" s="71">
        <f>('Thurs (2)'!T55+Thurs!T55+'Tues '!T55+Wed!T55+Fri!T55+'Mon '!T55+'Wed (2)'!T55+Sun!T55+Sat!T55)</f>
        <v>0</v>
      </c>
      <c r="U55" s="72">
        <f t="shared" ref="U55:U60" si="5">IFERROR(I55/H55,0)</f>
        <v>0</v>
      </c>
      <c r="V55" s="72">
        <f t="shared" ref="V55:V60" si="6">IFERROR(SUM(H55+L55)/G55,0)</f>
        <v>0</v>
      </c>
      <c r="W55" s="73"/>
    </row>
    <row r="56">
      <c r="A56" s="74" t="s">
        <v>29</v>
      </c>
      <c r="B56" s="78"/>
      <c r="C56" s="76"/>
      <c r="D56" s="76"/>
      <c r="E56" s="76"/>
      <c r="F56" s="78" t="s">
        <v>69</v>
      </c>
      <c r="G56" s="71">
        <f>('Thurs (2)'!G56+Thurs!G56+'Tues '!G56+Wed!G56+Fri!G56+'Mon '!G56+'Wed (2)'!G56+Sun!G56+Sat!G56)</f>
        <v>0</v>
      </c>
      <c r="H56" s="71">
        <f>('Thurs (2)'!H56+Thurs!H56+'Tues '!H56+Wed!H56+Fri!H56+'Mon '!H56+'Wed (2)'!H56+Sun!H56+Sat!H56)</f>
        <v>0</v>
      </c>
      <c r="I56" s="71">
        <f>('Thurs (2)'!I56+Thurs!I56+'Tues '!I56+Wed!I56+Fri!I56+'Mon '!I56+'Wed (2)'!I56+Sun!I56+Sat!I56)</f>
        <v>0</v>
      </c>
      <c r="J56" s="71">
        <f>('Thurs (2)'!J56+Thurs!J56+'Tues '!J56+Wed!J56+Fri!J56+'Mon '!J56+'Wed (2)'!J56+Sun!J56+Sat!J56)</f>
        <v>0</v>
      </c>
      <c r="K56" s="71">
        <f>('Thurs (2)'!K56+Thurs!K56+'Tues '!K56+Wed!K56+Fri!K56+'Mon '!K56+'Wed (2)'!K56+Sun!K56+Sat!K56)</f>
        <v>0</v>
      </c>
      <c r="L56" s="71">
        <f>('Thurs (2)'!L56+Thurs!L56+'Tues '!L56+Wed!L56+Fri!L56+'Mon '!L56+'Wed (2)'!L56+Sun!L56+Sat!L56)</f>
        <v>0</v>
      </c>
      <c r="M56" s="71">
        <f>('Thurs (2)'!M56+Thurs!M56+'Tues '!M56+Wed!M56+Fri!M56+'Mon '!M56+'Wed (2)'!M56+Sun!M56+Sat!M56)</f>
        <v>0</v>
      </c>
      <c r="N56" s="71">
        <f>('Thurs (2)'!N56+Thurs!N56+'Tues '!N56+Wed!N56+Fri!N56+'Mon '!N56+'Wed (2)'!N56+Sun!N56+Sat!N56)</f>
        <v>0</v>
      </c>
      <c r="O56" s="71">
        <f>('Thurs (2)'!O56+Thurs!O56+'Tues '!O56+Wed!O56+Fri!O56+'Mon '!O56+'Wed (2)'!O56+Sun!O56+Sat!O56)</f>
        <v>0</v>
      </c>
      <c r="P56" s="71">
        <f>('Thurs (2)'!P56+Thurs!P56+'Tues '!P56+Wed!P56+Fri!P56+'Mon '!P56+'Wed (2)'!P56+Sun!P56+Sat!P56)</f>
        <v>0</v>
      </c>
      <c r="Q56" s="71">
        <f>('Thurs (2)'!Q56+Thurs!Q56+'Tues '!Q56+Wed!Q56+Fri!Q56+'Mon '!Q56+'Wed (2)'!Q56+Sun!Q56+Sat!Q56)</f>
        <v>0</v>
      </c>
      <c r="R56" s="71">
        <f>('Thurs (2)'!R56+Thurs!R56+'Tues '!R56+Wed!R56+Fri!R56+'Mon '!R56+'Wed (2)'!R56+Sun!R56+Sat!R56)</f>
        <v>0</v>
      </c>
      <c r="S56" s="71">
        <f>('Thurs (2)'!S56+Thurs!S56+'Tues '!S56+Wed!S56+Fri!S56+'Mon '!S56+'Wed (2)'!S56+Sun!S56+Sat!S56)</f>
        <v>0</v>
      </c>
      <c r="T56" s="71">
        <f>('Thurs (2)'!T56+Thurs!T56+'Tues '!T56+Wed!T56+Fri!T56+'Mon '!T56+'Wed (2)'!T56+Sun!T56+Sat!T56)</f>
        <v>0</v>
      </c>
      <c r="U56" s="72">
        <f t="shared" si="5"/>
        <v>0</v>
      </c>
      <c r="V56" s="72">
        <f t="shared" si="6"/>
        <v>0</v>
      </c>
      <c r="W56" s="73"/>
    </row>
    <row r="57">
      <c r="A57" s="74" t="s">
        <v>29</v>
      </c>
      <c r="B57" s="75"/>
      <c r="C57" s="75"/>
      <c r="D57" s="76"/>
      <c r="E57" s="76"/>
      <c r="F57" s="78" t="s">
        <v>70</v>
      </c>
      <c r="G57" s="71">
        <f>('Thurs (2)'!G57+Thurs!G57+'Tues '!G57+Wed!G57+Fri!G57+'Mon '!G57+'Wed (2)'!G57+Sun!G57+Sat!G57)</f>
        <v>0</v>
      </c>
      <c r="H57" s="71">
        <f>('Thurs (2)'!H57+Thurs!H57+'Tues '!H57+Wed!H57+Fri!H57+'Mon '!H57+'Wed (2)'!H57+Sun!H57+Sat!H57)</f>
        <v>0</v>
      </c>
      <c r="I57" s="71">
        <f>('Thurs (2)'!I57+Thurs!I57+'Tues '!I57+Wed!I57+Fri!I57+'Mon '!I57+'Wed (2)'!I57+Sun!I57+Sat!I57)</f>
        <v>0</v>
      </c>
      <c r="J57" s="71">
        <f>('Thurs (2)'!J57+Thurs!J57+'Tues '!J57+Wed!J57+Fri!J57+'Mon '!J57+'Wed (2)'!J57+Sun!J57+Sat!J57)</f>
        <v>0</v>
      </c>
      <c r="K57" s="71">
        <f>('Thurs (2)'!K57+Thurs!K57+'Tues '!K57+Wed!K57+Fri!K57+'Mon '!K57+'Wed (2)'!K57+Sun!K57+Sat!K57)</f>
        <v>0</v>
      </c>
      <c r="L57" s="71">
        <f>('Thurs (2)'!L57+Thurs!L57+'Tues '!L57+Wed!L57+Fri!L57+'Mon '!L57+'Wed (2)'!L57+Sun!L57+Sat!L57)</f>
        <v>0</v>
      </c>
      <c r="M57" s="71">
        <f>('Thurs (2)'!M57+Thurs!M57+'Tues '!M57+Wed!M57+Fri!M57+'Mon '!M57+'Wed (2)'!M57+Sun!M57+Sat!M57)</f>
        <v>0</v>
      </c>
      <c r="N57" s="71">
        <f>('Thurs (2)'!N57+Thurs!N57+'Tues '!N57+Wed!N57+Fri!N57+'Mon '!N57+'Wed (2)'!N57+Sun!N57+Sat!N57)</f>
        <v>0</v>
      </c>
      <c r="O57" s="71">
        <f>('Thurs (2)'!O57+Thurs!O57+'Tues '!O57+Wed!O57+Fri!O57+'Mon '!O57+'Wed (2)'!O57+Sun!O57+Sat!O57)</f>
        <v>0</v>
      </c>
      <c r="P57" s="71">
        <f>('Thurs (2)'!P57+Thurs!P57+'Tues '!P57+Wed!P57+Fri!P57+'Mon '!P57+'Wed (2)'!P57+Sun!P57+Sat!P57)</f>
        <v>0</v>
      </c>
      <c r="Q57" s="71">
        <f>('Thurs (2)'!Q57+Thurs!Q57+'Tues '!Q57+Wed!Q57+Fri!Q57+'Mon '!Q57+'Wed (2)'!Q57+Sun!Q57+Sat!Q57)</f>
        <v>0</v>
      </c>
      <c r="R57" s="71">
        <f>('Thurs (2)'!R57+Thurs!R57+'Tues '!R57+Wed!R57+Fri!R57+'Mon '!R57+'Wed (2)'!R57+Sun!R57+Sat!R57)</f>
        <v>0</v>
      </c>
      <c r="S57" s="71">
        <f>('Thurs (2)'!S57+Thurs!S57+'Tues '!S57+Wed!S57+Fri!S57+'Mon '!S57+'Wed (2)'!S57+Sun!S57+Sat!S57)</f>
        <v>0</v>
      </c>
      <c r="T57" s="71">
        <f>('Thurs (2)'!T57+Thurs!T57+'Tues '!T57+Wed!T57+Fri!T57+'Mon '!T57+'Wed (2)'!T57+Sun!T57+Sat!T57)</f>
        <v>0</v>
      </c>
      <c r="U57" s="72">
        <f t="shared" si="5"/>
        <v>0</v>
      </c>
      <c r="V57" s="72">
        <f t="shared" si="6"/>
        <v>0</v>
      </c>
      <c r="W57" s="73"/>
    </row>
    <row r="58">
      <c r="A58" s="74" t="s">
        <v>29</v>
      </c>
      <c r="B58" s="75"/>
      <c r="C58" s="75"/>
      <c r="D58" s="76"/>
      <c r="E58" s="76"/>
      <c r="F58" s="78" t="s">
        <v>71</v>
      </c>
      <c r="G58" s="71">
        <f>('Thurs (2)'!G58+Thurs!G58+'Tues '!G58+Wed!G58+Fri!G58+'Mon '!G58+'Wed (2)'!G58+Sun!G58+Sat!G58)</f>
        <v>0</v>
      </c>
      <c r="H58" s="71">
        <f>('Thurs (2)'!H58+Thurs!H58+'Tues '!H58+Wed!H58+Fri!H58+'Mon '!H58+'Wed (2)'!H58+Sun!H58+Sat!H58)</f>
        <v>0</v>
      </c>
      <c r="I58" s="71">
        <f>('Thurs (2)'!I58+Thurs!I58+'Tues '!I58+Wed!I58+Fri!I58+'Mon '!I58+'Wed (2)'!I58+Sun!I58+Sat!I58)</f>
        <v>0</v>
      </c>
      <c r="J58" s="71">
        <f>('Thurs (2)'!J58+Thurs!J58+'Tues '!J58+Wed!J58+Fri!J58+'Mon '!J58+'Wed (2)'!J58+Sun!J58+Sat!J58)</f>
        <v>0</v>
      </c>
      <c r="K58" s="71">
        <f>('Thurs (2)'!K58+Thurs!K58+'Tues '!K58+Wed!K58+Fri!K58+'Mon '!K58+'Wed (2)'!K58+Sun!K58+Sat!K58)</f>
        <v>0</v>
      </c>
      <c r="L58" s="71">
        <f>('Thurs (2)'!L58+Thurs!L58+'Tues '!L58+Wed!L58+Fri!L58+'Mon '!L58+'Wed (2)'!L58+Sun!L58+Sat!L58)</f>
        <v>0</v>
      </c>
      <c r="M58" s="71">
        <f>('Thurs (2)'!M58+Thurs!M58+'Tues '!M58+Wed!M58+Fri!M58+'Mon '!M58+'Wed (2)'!M58+Sun!M58+Sat!M58)</f>
        <v>0</v>
      </c>
      <c r="N58" s="71">
        <f>('Thurs (2)'!N58+Thurs!N58+'Tues '!N58+Wed!N58+Fri!N58+'Mon '!N58+'Wed (2)'!N58+Sun!N58+Sat!N58)</f>
        <v>0</v>
      </c>
      <c r="O58" s="71">
        <f>('Thurs (2)'!O58+Thurs!O58+'Tues '!O58+Wed!O58+Fri!O58+'Mon '!O58+'Wed (2)'!O58+Sun!O58+Sat!O58)</f>
        <v>0</v>
      </c>
      <c r="P58" s="71">
        <f>('Thurs (2)'!P58+Thurs!P58+'Tues '!P58+Wed!P58+Fri!P58+'Mon '!P58+'Wed (2)'!P58+Sun!P58+Sat!P58)</f>
        <v>0</v>
      </c>
      <c r="Q58" s="71">
        <f>('Thurs (2)'!Q58+Thurs!Q58+'Tues '!Q58+Wed!Q58+Fri!Q58+'Mon '!Q58+'Wed (2)'!Q58+Sun!Q58+Sat!Q58)</f>
        <v>0</v>
      </c>
      <c r="R58" s="71">
        <f>('Thurs (2)'!R58+Thurs!R58+'Tues '!R58+Wed!R58+Fri!R58+'Mon '!R58+'Wed (2)'!R58+Sun!R58+Sat!R58)</f>
        <v>0</v>
      </c>
      <c r="S58" s="71">
        <f>('Thurs (2)'!S58+Thurs!S58+'Tues '!S58+Wed!S58+Fri!S58+'Mon '!S58+'Wed (2)'!S58+Sun!S58+Sat!S58)</f>
        <v>0</v>
      </c>
      <c r="T58" s="71">
        <f>('Thurs (2)'!T58+Thurs!T58+'Tues '!T58+Wed!T58+Fri!T58+'Mon '!T58+'Wed (2)'!T58+Sun!T58+Sat!T58)</f>
        <v>0</v>
      </c>
      <c r="U58" s="72">
        <f t="shared" si="5"/>
        <v>0</v>
      </c>
      <c r="V58" s="72">
        <f t="shared" si="6"/>
        <v>0</v>
      </c>
      <c r="W58" s="73"/>
    </row>
    <row r="59" ht="12.75" customHeight="1">
      <c r="A59" s="99" t="s">
        <v>29</v>
      </c>
      <c r="B59" s="90"/>
      <c r="C59" s="100" t="s">
        <v>72</v>
      </c>
      <c r="D59" s="101" t="s">
        <v>51</v>
      </c>
      <c r="E59" s="90"/>
      <c r="F59" s="100" t="s">
        <v>72</v>
      </c>
      <c r="G59" s="71">
        <f>('Thurs (2)'!G59+Thurs!G59+'Tues '!G59+Wed!G59+Fri!G59+'Mon '!G59+'Wed (2)'!G59+Sun!G59+Sat!G59)</f>
        <v>6</v>
      </c>
      <c r="H59" s="71">
        <f>('Thurs (2)'!H59+Thurs!H59+'Tues '!H59+Wed!H59+Fri!H59+'Mon '!H59+'Wed (2)'!H59+Sun!H59+Sat!H59)</f>
        <v>3</v>
      </c>
      <c r="I59" s="71">
        <f>('Thurs (2)'!I59+Thurs!I59+'Tues '!I59+Wed!I59+Fri!I59+'Mon '!I59+'Wed (2)'!I59+Sun!I59+Sat!I59)</f>
        <v>1</v>
      </c>
      <c r="J59" s="71">
        <f>('Thurs (2)'!J59+Thurs!J59+'Tues '!J59+Wed!J59+Fri!J59+'Mon '!J59+'Wed (2)'!J59+Sun!J59+Sat!J59)</f>
        <v>1</v>
      </c>
      <c r="K59" s="71">
        <f>('Thurs (2)'!K59+Thurs!K59+'Tues '!K59+Wed!K59+Fri!K59+'Mon '!K59+'Wed (2)'!K59+Sun!K59+Sat!K59)</f>
        <v>1</v>
      </c>
      <c r="L59" s="71">
        <f>('Thurs (2)'!L59+Thurs!L59+'Tues '!L59+Wed!L59+Fri!L59+'Mon '!L59+'Wed (2)'!L59+Sun!L59+Sat!L59)</f>
        <v>0</v>
      </c>
      <c r="M59" s="71">
        <f>('Thurs (2)'!M59+Thurs!M59+'Tues '!M59+Wed!M59+Fri!M59+'Mon '!M59+'Wed (2)'!M59+Sun!M59+Sat!M59)</f>
        <v>6</v>
      </c>
      <c r="N59" s="71">
        <f>('Thurs (2)'!N59+Thurs!N59+'Tues '!N59+Wed!N59+Fri!N59+'Mon '!N59+'Wed (2)'!N59+Sun!N59+Sat!N59)</f>
        <v>3</v>
      </c>
      <c r="O59" s="71">
        <f>('Thurs (2)'!O59+Thurs!O59+'Tues '!O59+Wed!O59+Fri!O59+'Mon '!O59+'Wed (2)'!O59+Sun!O59+Sat!O59)</f>
        <v>1</v>
      </c>
      <c r="P59" s="71">
        <f>('Thurs (2)'!P59+Thurs!P59+'Tues '!P59+Wed!P59+Fri!P59+'Mon '!P59+'Wed (2)'!P59+Sun!P59+Sat!P59)</f>
        <v>0</v>
      </c>
      <c r="Q59" s="71">
        <f>('Thurs (2)'!Q59+Thurs!Q59+'Tues '!Q59+Wed!Q59+Fri!Q59+'Mon '!Q59+'Wed (2)'!Q59+Sun!Q59+Sat!Q59)</f>
        <v>0</v>
      </c>
      <c r="R59" s="71">
        <f>('Thurs (2)'!R59+Thurs!R59+'Tues '!R59+Wed!R59+Fri!R59+'Mon '!R59+'Wed (2)'!R59+Sun!R59+Sat!R59)</f>
        <v>0</v>
      </c>
      <c r="S59" s="71">
        <f>('Thurs (2)'!S59+Thurs!S59+'Tues '!S59+Wed!S59+Fri!S59+'Mon '!S59+'Wed (2)'!S59+Sun!S59+Sat!S59)</f>
        <v>0</v>
      </c>
      <c r="T59" s="71">
        <f>('Thurs (2)'!T59+Thurs!T59+'Tues '!T59+Wed!T59+Fri!T59+'Mon '!T59+'Wed (2)'!T59+Sun!T59+Sat!T59)</f>
        <v>460</v>
      </c>
      <c r="U59" s="72">
        <f t="shared" si="5"/>
        <v>0.3333333333</v>
      </c>
      <c r="V59" s="72">
        <f t="shared" si="6"/>
        <v>0.5</v>
      </c>
      <c r="W59" s="73"/>
    </row>
    <row r="60">
      <c r="A60" s="87" t="s">
        <v>29</v>
      </c>
      <c r="B60" s="88"/>
      <c r="C60" s="88" t="s">
        <v>72</v>
      </c>
      <c r="D60" s="90"/>
      <c r="E60" s="90"/>
      <c r="F60" s="91" t="s">
        <v>73</v>
      </c>
      <c r="G60" s="71">
        <f>('Thurs (2)'!G60+Thurs!G60+'Tues '!G60+Wed!G60+Fri!G60+'Mon '!G60+'Wed (2)'!G60+Sun!G60+Sat!G60)</f>
        <v>0</v>
      </c>
      <c r="H60" s="71">
        <f>('Thurs (2)'!H60+Thurs!H60+'Tues '!H60+Wed!H60+Fri!H60+'Mon '!H60+'Wed (2)'!H60+Sun!H60+Sat!H60)</f>
        <v>0</v>
      </c>
      <c r="I60" s="71">
        <f>('Thurs (2)'!I60+Thurs!I60+'Tues '!I60+Wed!I60+Fri!I60+'Mon '!I60+'Wed (2)'!I60+Sun!I60+Sat!I60)</f>
        <v>0</v>
      </c>
      <c r="J60" s="71">
        <f>('Thurs (2)'!J60+Thurs!J60+'Tues '!J60+Wed!J60+Fri!J60+'Mon '!J60+'Wed (2)'!J60+Sun!J60+Sat!J60)</f>
        <v>0</v>
      </c>
      <c r="K60" s="71">
        <f>('Thurs (2)'!K60+Thurs!K60+'Tues '!K60+Wed!K60+Fri!K60+'Mon '!K60+'Wed (2)'!K60+Sun!K60+Sat!K60)</f>
        <v>0</v>
      </c>
      <c r="L60" s="71">
        <f>('Thurs (2)'!L60+Thurs!L60+'Tues '!L60+Wed!L60+Fri!L60+'Mon '!L60+'Wed (2)'!L60+Sun!L60+Sat!L60)</f>
        <v>0</v>
      </c>
      <c r="M60" s="71">
        <f>('Thurs (2)'!M60+Thurs!M60+'Tues '!M60+Wed!M60+Fri!M60+'Mon '!M60+'Wed (2)'!M60+Sun!M60+Sat!M60)</f>
        <v>0</v>
      </c>
      <c r="N60" s="71">
        <f>('Thurs (2)'!N60+Thurs!N60+'Tues '!N60+Wed!N60+Fri!N60+'Mon '!N60+'Wed (2)'!N60+Sun!N60+Sat!N60)</f>
        <v>0</v>
      </c>
      <c r="O60" s="71">
        <f>('Thurs (2)'!O60+Thurs!O60+'Tues '!O60+Wed!O60+Fri!O60+'Mon '!O60+'Wed (2)'!O60+Sun!O60+Sat!O60)</f>
        <v>0</v>
      </c>
      <c r="P60" s="71">
        <f>('Thurs (2)'!P60+Thurs!P60+'Tues '!P60+Wed!P60+Fri!P60+'Mon '!P60+'Wed (2)'!P60+Sun!P60+Sat!P60)</f>
        <v>0</v>
      </c>
      <c r="Q60" s="71">
        <f>('Thurs (2)'!Q60+Thurs!Q60+'Tues '!Q60+Wed!Q60+Fri!Q60+'Mon '!Q60+'Wed (2)'!Q60+Sun!Q60+Sat!Q60)</f>
        <v>0</v>
      </c>
      <c r="R60" s="71">
        <f>('Thurs (2)'!R60+Thurs!R60+'Tues '!R60+Wed!R60+Fri!R60+'Mon '!R60+'Wed (2)'!R60+Sun!R60+Sat!R60)</f>
        <v>0</v>
      </c>
      <c r="S60" s="71">
        <f>('Thurs (2)'!S60+Thurs!S60+'Tues '!S60+Wed!S60+Fri!S60+'Mon '!S60+'Wed (2)'!S60+Sun!S60+Sat!S60)</f>
        <v>0</v>
      </c>
      <c r="T60" s="71">
        <f>('Thurs (2)'!T60+Thurs!T60+'Tues '!T60+Wed!T60+Fri!T60+'Mon '!T60+'Wed (2)'!T60+Sun!T60+Sat!T60)</f>
        <v>0</v>
      </c>
      <c r="U60" s="72">
        <f t="shared" si="5"/>
        <v>0</v>
      </c>
      <c r="V60" s="72">
        <f t="shared" si="6"/>
        <v>0</v>
      </c>
      <c r="W60" s="73"/>
    </row>
    <row r="61" ht="20.25" customHeight="1">
      <c r="A61" s="62" t="s">
        <v>35</v>
      </c>
      <c r="B61" s="63" t="s">
        <v>36</v>
      </c>
      <c r="C61" s="63" t="s">
        <v>37</v>
      </c>
      <c r="D61" s="64"/>
      <c r="E61" s="63" t="s">
        <v>38</v>
      </c>
      <c r="F61" s="63" t="s">
        <v>39</v>
      </c>
      <c r="G61" s="65" t="s">
        <v>40</v>
      </c>
      <c r="H61" s="65" t="s">
        <v>41</v>
      </c>
      <c r="I61" s="65" t="s">
        <v>42</v>
      </c>
      <c r="J61" s="65" t="s">
        <v>12</v>
      </c>
      <c r="K61" s="65" t="s">
        <v>43</v>
      </c>
      <c r="L61" s="65" t="s">
        <v>14</v>
      </c>
      <c r="M61" s="65" t="s">
        <v>9</v>
      </c>
      <c r="N61" s="65" t="s">
        <v>10</v>
      </c>
      <c r="O61" s="65" t="s">
        <v>44</v>
      </c>
      <c r="P61" s="65" t="s">
        <v>5</v>
      </c>
      <c r="Q61" s="65" t="s">
        <v>45</v>
      </c>
      <c r="R61" s="65" t="s">
        <v>46</v>
      </c>
      <c r="S61" s="65" t="s">
        <v>47</v>
      </c>
      <c r="T61" s="65" t="s">
        <v>0</v>
      </c>
      <c r="U61" s="63" t="s">
        <v>48</v>
      </c>
      <c r="V61" s="63" t="s">
        <v>49</v>
      </c>
      <c r="W61" s="98"/>
    </row>
    <row r="62" ht="12.75" customHeight="1">
      <c r="A62" s="102" t="s">
        <v>30</v>
      </c>
      <c r="B62" s="60"/>
      <c r="C62" s="60"/>
      <c r="D62" s="103" t="s">
        <v>51</v>
      </c>
      <c r="E62" s="60"/>
      <c r="F62" s="102" t="s">
        <v>30</v>
      </c>
      <c r="G62" s="71">
        <f>('Thurs (2)'!G62+Thurs!G62+'Tues '!G62+Wed!G62+Fri!G62+'Mon '!G62+'Wed (2)'!G62+Sun!G62+Sat!G62)</f>
        <v>0</v>
      </c>
      <c r="H62" s="71">
        <f>('Thurs (2)'!H62+Thurs!H62+'Tues '!H62+Wed!H62+Fri!H62+'Mon '!H62+'Wed (2)'!H62+Sun!H62+Sat!H62)</f>
        <v>0</v>
      </c>
      <c r="I62" s="71">
        <f>('Thurs (2)'!I62+Thurs!I62+'Tues '!I62+Wed!I62+Fri!I62+'Mon '!I62+'Wed (2)'!I62+Sun!I62+Sat!I62)</f>
        <v>0</v>
      </c>
      <c r="J62" s="71">
        <f>('Thurs (2)'!J62+Thurs!J62+'Tues '!J62+Wed!J62+Fri!J62+'Mon '!J62+'Wed (2)'!J62+Sun!J62+Sat!J62)</f>
        <v>0</v>
      </c>
      <c r="K62" s="71">
        <f>('Thurs (2)'!K62+Thurs!K62+'Tues '!K62+Wed!K62+Fri!K62+'Mon '!K62+'Wed (2)'!K62+Sun!K62+Sat!K62)</f>
        <v>0</v>
      </c>
      <c r="L62" s="71">
        <f>('Thurs (2)'!L62+Thurs!L62+'Tues '!L62+Wed!L62+Fri!L62+'Mon '!L62+'Wed (2)'!L62+Sun!L62+Sat!L62)</f>
        <v>0</v>
      </c>
      <c r="M62" s="71">
        <f>('Thurs (2)'!M62+Thurs!M62+'Tues '!M62+Wed!M62+Fri!M62+'Mon '!M62+'Wed (2)'!M62+Sun!M62+Sat!M62)</f>
        <v>0</v>
      </c>
      <c r="N62" s="71">
        <f>('Thurs (2)'!N62+Thurs!N62+'Tues '!N62+Wed!N62+Fri!N62+'Mon '!N62+'Wed (2)'!N62+Sun!N62+Sat!N62)</f>
        <v>0</v>
      </c>
      <c r="O62" s="71">
        <f>('Thurs (2)'!O62+Thurs!O62+'Tues '!O62+Wed!O62+Fri!O62+'Mon '!O62+'Wed (2)'!O62+Sun!O62+Sat!O62)</f>
        <v>0</v>
      </c>
      <c r="P62" s="71">
        <f>('Thurs (2)'!P62+Thurs!P62+'Tues '!P62+Wed!P62+Fri!P62+'Mon '!P62+'Wed (2)'!P62+Sun!P62+Sat!P62)</f>
        <v>0</v>
      </c>
      <c r="Q62" s="71">
        <f>('Thurs (2)'!Q62+Thurs!Q62+'Tues '!Q62+Wed!Q62+Fri!Q62+'Mon '!Q62+'Wed (2)'!Q62+Sun!Q62+Sat!Q62)</f>
        <v>0</v>
      </c>
      <c r="R62" s="71">
        <f>('Thurs (2)'!R62+Thurs!R62+'Tues '!R62+Wed!R62+Fri!R62+'Mon '!R62+'Wed (2)'!R62+Sun!R62+Sat!R62)</f>
        <v>0</v>
      </c>
      <c r="S62" s="71">
        <f>('Thurs (2)'!S62+Thurs!S62+'Tues '!S62+Wed!S62+Fri!S62+'Mon '!S62+'Wed (2)'!S62+Sun!S62+Sat!S62)</f>
        <v>0</v>
      </c>
      <c r="T62" s="71">
        <f>('Thurs (2)'!T62+Thurs!T62+'Tues '!T62+Wed!T62+Fri!T62+'Mon '!T62+'Wed (2)'!T62+Sun!T62+Sat!T62)</f>
        <v>0</v>
      </c>
      <c r="U62" s="72">
        <f t="shared" ref="U62:U80" si="7">IFERROR(I62/H62,0)</f>
        <v>0</v>
      </c>
      <c r="V62" s="72">
        <f t="shared" ref="V62:V80" si="8">IFERROR(SUM(H62+L62)/G62,0)</f>
        <v>0</v>
      </c>
      <c r="W62" s="73"/>
    </row>
    <row r="63" ht="12.75" customHeight="1">
      <c r="A63" s="104" t="s">
        <v>30</v>
      </c>
      <c r="B63" s="60"/>
      <c r="C63" s="60"/>
      <c r="D63" s="59"/>
      <c r="E63" s="76"/>
      <c r="F63" s="104" t="s">
        <v>74</v>
      </c>
      <c r="G63" s="71">
        <f>('Thurs (2)'!G63+Thurs!G63+'Tues '!G63+Wed!G63+Fri!G63+'Mon '!G63+'Wed (2)'!G63+Sun!G63+Sat!G63)</f>
        <v>0</v>
      </c>
      <c r="H63" s="71">
        <f>('Thurs (2)'!H63+Thurs!H63+'Tues '!H63+Wed!H63+Fri!H63+'Mon '!H63+'Wed (2)'!H63+Sun!H63+Sat!H63)</f>
        <v>0</v>
      </c>
      <c r="I63" s="71">
        <f>('Thurs (2)'!I63+Thurs!I63+'Tues '!I63+Wed!I63+Fri!I63+'Mon '!I63+'Wed (2)'!I63+Sun!I63+Sat!I63)</f>
        <v>0</v>
      </c>
      <c r="J63" s="71">
        <f>('Thurs (2)'!J63+Thurs!J63+'Tues '!J63+Wed!J63+Fri!J63+'Mon '!J63+'Wed (2)'!J63+Sun!J63+Sat!J63)</f>
        <v>0</v>
      </c>
      <c r="K63" s="71">
        <f>('Thurs (2)'!K63+Thurs!K63+'Tues '!K63+Wed!K63+Fri!K63+'Mon '!K63+'Wed (2)'!K63+Sun!K63+Sat!K63)</f>
        <v>0</v>
      </c>
      <c r="L63" s="71">
        <f>('Thurs (2)'!L63+Thurs!L63+'Tues '!L63+Wed!L63+Fri!L63+'Mon '!L63+'Wed (2)'!L63+Sun!L63+Sat!L63)</f>
        <v>0</v>
      </c>
      <c r="M63" s="71">
        <f>('Thurs (2)'!M63+Thurs!M63+'Tues '!M63+Wed!M63+Fri!M63+'Mon '!M63+'Wed (2)'!M63+Sun!M63+Sat!M63)</f>
        <v>0</v>
      </c>
      <c r="N63" s="71">
        <f>('Thurs (2)'!N63+Thurs!N63+'Tues '!N63+Wed!N63+Fri!N63+'Mon '!N63+'Wed (2)'!N63+Sun!N63+Sat!N63)</f>
        <v>0</v>
      </c>
      <c r="O63" s="71">
        <f>('Thurs (2)'!O63+Thurs!O63+'Tues '!O63+Wed!O63+Fri!O63+'Mon '!O63+'Wed (2)'!O63+Sun!O63+Sat!O63)</f>
        <v>0</v>
      </c>
      <c r="P63" s="71">
        <f>('Thurs (2)'!P63+Thurs!P63+'Tues '!P63+Wed!P63+Fri!P63+'Mon '!P63+'Wed (2)'!P63+Sun!P63+Sat!P63)</f>
        <v>0</v>
      </c>
      <c r="Q63" s="71">
        <f>('Thurs (2)'!Q63+Thurs!Q63+'Tues '!Q63+Wed!Q63+Fri!Q63+'Mon '!Q63+'Wed (2)'!Q63+Sun!Q63+Sat!Q63)</f>
        <v>0</v>
      </c>
      <c r="R63" s="71">
        <f>('Thurs (2)'!R63+Thurs!R63+'Tues '!R63+Wed!R63+Fri!R63+'Mon '!R63+'Wed (2)'!R63+Sun!R63+Sat!R63)</f>
        <v>0</v>
      </c>
      <c r="S63" s="71">
        <f>('Thurs (2)'!S63+Thurs!S63+'Tues '!S63+Wed!S63+Fri!S63+'Mon '!S63+'Wed (2)'!S63+Sun!S63+Sat!S63)</f>
        <v>0</v>
      </c>
      <c r="T63" s="71">
        <f>('Thurs (2)'!T63+Thurs!T63+'Tues '!T63+Wed!T63+Fri!T63+'Mon '!T63+'Wed (2)'!T63+Sun!T63+Sat!T63)</f>
        <v>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5" t="s">
        <v>30</v>
      </c>
      <c r="B64" s="105" t="s">
        <v>31</v>
      </c>
      <c r="C64" s="106"/>
      <c r="D64" s="107" t="s">
        <v>51</v>
      </c>
      <c r="E64" s="96"/>
      <c r="F64" s="105" t="s">
        <v>31</v>
      </c>
      <c r="G64" s="71">
        <f>('Thurs (2)'!G64+Thurs!G64+'Tues '!G64+Wed!G64+Fri!G64+'Mon '!G64+'Wed (2)'!G64+Sun!G64+Sat!G64)</f>
        <v>1</v>
      </c>
      <c r="H64" s="71">
        <f>('Thurs (2)'!H64+Thurs!H64+'Tues '!H64+Wed!H64+Fri!H64+'Mon '!H64+'Wed (2)'!H64+Sun!H64+Sat!H64)</f>
        <v>1</v>
      </c>
      <c r="I64" s="71">
        <f>('Thurs (2)'!I64+Thurs!I64+'Tues '!I64+Wed!I64+Fri!I64+'Mon '!I64+'Wed (2)'!I64+Sun!I64+Sat!I64)</f>
        <v>0</v>
      </c>
      <c r="J64" s="71">
        <f>('Thurs (2)'!J64+Thurs!J64+'Tues '!J64+Wed!J64+Fri!J64+'Mon '!J64+'Wed (2)'!J64+Sun!J64+Sat!J64)</f>
        <v>1</v>
      </c>
      <c r="K64" s="71">
        <f>('Thurs (2)'!K64+Thurs!K64+'Tues '!K64+Wed!K64+Fri!K64+'Mon '!K64+'Wed (2)'!K64+Sun!K64+Sat!K64)</f>
        <v>0</v>
      </c>
      <c r="L64" s="71">
        <f>('Thurs (2)'!L64+Thurs!L64+'Tues '!L64+Wed!L64+Fri!L64+'Mon '!L64+'Wed (2)'!L64+Sun!L64+Sat!L64)</f>
        <v>0</v>
      </c>
      <c r="M64" s="71">
        <f>('Thurs (2)'!M64+Thurs!M64+'Tues '!M64+Wed!M64+Fri!M64+'Mon '!M64+'Wed (2)'!M64+Sun!M64+Sat!M64)</f>
        <v>0</v>
      </c>
      <c r="N64" s="71">
        <f>('Thurs (2)'!N64+Thurs!N64+'Tues '!N64+Wed!N64+Fri!N64+'Mon '!N64+'Wed (2)'!N64+Sun!N64+Sat!N64)</f>
        <v>0</v>
      </c>
      <c r="O64" s="71">
        <f>('Thurs (2)'!O64+Thurs!O64+'Tues '!O64+Wed!O64+Fri!O64+'Mon '!O64+'Wed (2)'!O64+Sun!O64+Sat!O64)</f>
        <v>0</v>
      </c>
      <c r="P64" s="71">
        <f>('Thurs (2)'!P64+Thurs!P64+'Tues '!P64+Wed!P64+Fri!P64+'Mon '!P64+'Wed (2)'!P64+Sun!P64+Sat!P64)</f>
        <v>0</v>
      </c>
      <c r="Q64" s="71">
        <f>('Thurs (2)'!Q64+Thurs!Q64+'Tues '!Q64+Wed!Q64+Fri!Q64+'Mon '!Q64+'Wed (2)'!Q64+Sun!Q64+Sat!Q64)</f>
        <v>0</v>
      </c>
      <c r="R64" s="71">
        <f>('Thurs (2)'!R64+Thurs!R64+'Tues '!R64+Wed!R64+Fri!R64+'Mon '!R64+'Wed (2)'!R64+Sun!R64+Sat!R64)</f>
        <v>1</v>
      </c>
      <c r="S64" s="71">
        <f>('Thurs (2)'!S64+Thurs!S64+'Tues '!S64+Wed!S64+Fri!S64+'Mon '!S64+'Wed (2)'!S64+Sun!S64+Sat!S64)</f>
        <v>0</v>
      </c>
      <c r="T64" s="71">
        <f>('Thurs (2)'!T64+Thurs!T64+'Tues '!T64+Wed!T64+Fri!T64+'Mon '!T64+'Wed (2)'!T64+Sun!T64+Sat!T64)</f>
        <v>0</v>
      </c>
      <c r="U64" s="72">
        <f t="shared" si="7"/>
        <v>0</v>
      </c>
      <c r="V64" s="72">
        <f t="shared" si="8"/>
        <v>1</v>
      </c>
      <c r="W64" s="73"/>
    </row>
    <row r="65" ht="12.75" customHeight="1">
      <c r="A65" s="104" t="s">
        <v>30</v>
      </c>
      <c r="B65" s="108" t="s">
        <v>31</v>
      </c>
      <c r="C65" s="108"/>
      <c r="D65" s="109"/>
      <c r="E65" s="70"/>
      <c r="F65" s="110" t="s">
        <v>75</v>
      </c>
      <c r="G65" s="71">
        <f>('Thurs (2)'!G65+Thurs!G65+'Tues '!G65+Wed!G65+Fri!G65+'Mon '!G65+'Wed (2)'!G65+Sun!G65+Sat!G65)</f>
        <v>4</v>
      </c>
      <c r="H65" s="71">
        <f>('Thurs (2)'!H65+Thurs!H65+'Tues '!H65+Wed!H65+Fri!H65+'Mon '!H65+'Wed (2)'!H65+Sun!H65+Sat!H65)</f>
        <v>1</v>
      </c>
      <c r="I65" s="71">
        <f>('Thurs (2)'!I65+Thurs!I65+'Tues '!I65+Wed!I65+Fri!I65+'Mon '!I65+'Wed (2)'!I65+Sun!I65+Sat!I65)</f>
        <v>0</v>
      </c>
      <c r="J65" s="71">
        <f>('Thurs (2)'!J65+Thurs!J65+'Tues '!J65+Wed!J65+Fri!J65+'Mon '!J65+'Wed (2)'!J65+Sun!J65+Sat!J65)</f>
        <v>0</v>
      </c>
      <c r="K65" s="71">
        <f>('Thurs (2)'!K65+Thurs!K65+'Tues '!K65+Wed!K65+Fri!K65+'Mon '!K65+'Wed (2)'!K65+Sun!K65+Sat!K65)</f>
        <v>0</v>
      </c>
      <c r="L65" s="71">
        <f>('Thurs (2)'!L65+Thurs!L65+'Tues '!L65+Wed!L65+Fri!L65+'Mon '!L65+'Wed (2)'!L65+Sun!L65+Sat!L65)</f>
        <v>1</v>
      </c>
      <c r="M65" s="71">
        <f>('Thurs (2)'!M65+Thurs!M65+'Tues '!M65+Wed!M65+Fri!M65+'Mon '!M65+'Wed (2)'!M65+Sun!M65+Sat!M65)</f>
        <v>0</v>
      </c>
      <c r="N65" s="71">
        <f>('Thurs (2)'!N65+Thurs!N65+'Tues '!N65+Wed!N65+Fri!N65+'Mon '!N65+'Wed (2)'!N65+Sun!N65+Sat!N65)</f>
        <v>0</v>
      </c>
      <c r="O65" s="71">
        <f>('Thurs (2)'!O65+Thurs!O65+'Tues '!O65+Wed!O65+Fri!O65+'Mon '!O65+'Wed (2)'!O65+Sun!O65+Sat!O65)</f>
        <v>0</v>
      </c>
      <c r="P65" s="71">
        <f>('Thurs (2)'!P65+Thurs!P65+'Tues '!P65+Wed!P65+Fri!P65+'Mon '!P65+'Wed (2)'!P65+Sun!P65+Sat!P65)</f>
        <v>0</v>
      </c>
      <c r="Q65" s="71">
        <f>('Thurs (2)'!Q65+Thurs!Q65+'Tues '!Q65+Wed!Q65+Fri!Q65+'Mon '!Q65+'Wed (2)'!Q65+Sun!Q65+Sat!Q65)</f>
        <v>0</v>
      </c>
      <c r="R65" s="71">
        <f>('Thurs (2)'!R65+Thurs!R65+'Tues '!R65+Wed!R65+Fri!R65+'Mon '!R65+'Wed (2)'!R65+Sun!R65+Sat!R65)</f>
        <v>1</v>
      </c>
      <c r="S65" s="71">
        <f>('Thurs (2)'!S65+Thurs!S65+'Tues '!S65+Wed!S65+Fri!S65+'Mon '!S65+'Wed (2)'!S65+Sun!S65+Sat!S65)</f>
        <v>0</v>
      </c>
      <c r="T65" s="71">
        <f>('Thurs (2)'!T65+Thurs!T65+'Tues '!T65+Wed!T65+Fri!T65+'Mon '!T65+'Wed (2)'!T65+Sun!T65+Sat!T65)</f>
        <v>0</v>
      </c>
      <c r="U65" s="72">
        <f t="shared" si="7"/>
        <v>0</v>
      </c>
      <c r="V65" s="72">
        <f t="shared" si="8"/>
        <v>0.5</v>
      </c>
      <c r="W65" s="73"/>
    </row>
    <row r="66" ht="12.75" customHeight="1">
      <c r="A66" s="104" t="s">
        <v>30</v>
      </c>
      <c r="B66" s="104" t="s">
        <v>31</v>
      </c>
      <c r="C66" s="104"/>
      <c r="D66" s="60"/>
      <c r="E66" s="76"/>
      <c r="F66" s="104" t="s">
        <v>76</v>
      </c>
      <c r="G66" s="71">
        <f>('Thurs (2)'!G66+Thurs!G66+'Tues '!G66+Wed!G66+Fri!G66+'Mon '!G66+'Wed (2)'!G66+Sun!G66+Sat!G66)</f>
        <v>0</v>
      </c>
      <c r="H66" s="71">
        <f>('Thurs (2)'!H66+Thurs!H66+'Tues '!H66+Wed!H66+Fri!H66+'Mon '!H66+'Wed (2)'!H66+Sun!H66+Sat!H66)</f>
        <v>0</v>
      </c>
      <c r="I66" s="71">
        <f>('Thurs (2)'!I66+Thurs!I66+'Tues '!I66+Wed!I66+Fri!I66+'Mon '!I66+'Wed (2)'!I66+Sun!I66+Sat!I66)</f>
        <v>0</v>
      </c>
      <c r="J66" s="71">
        <f>('Thurs (2)'!J66+Thurs!J66+'Tues '!J66+Wed!J66+Fri!J66+'Mon '!J66+'Wed (2)'!J66+Sun!J66+Sat!J66)</f>
        <v>0</v>
      </c>
      <c r="K66" s="71">
        <f>('Thurs (2)'!K66+Thurs!K66+'Tues '!K66+Wed!K66+Fri!K66+'Mon '!K66+'Wed (2)'!K66+Sun!K66+Sat!K66)</f>
        <v>0</v>
      </c>
      <c r="L66" s="71">
        <f>('Thurs (2)'!L66+Thurs!L66+'Tues '!L66+Wed!L66+Fri!L66+'Mon '!L66+'Wed (2)'!L66+Sun!L66+Sat!L66)</f>
        <v>0</v>
      </c>
      <c r="M66" s="71">
        <f>('Thurs (2)'!M66+Thurs!M66+'Tues '!M66+Wed!M66+Fri!M66+'Mon '!M66+'Wed (2)'!M66+Sun!M66+Sat!M66)</f>
        <v>0</v>
      </c>
      <c r="N66" s="71">
        <f>('Thurs (2)'!N66+Thurs!N66+'Tues '!N66+Wed!N66+Fri!N66+'Mon '!N66+'Wed (2)'!N66+Sun!N66+Sat!N66)</f>
        <v>0</v>
      </c>
      <c r="O66" s="71">
        <f>('Thurs (2)'!O66+Thurs!O66+'Tues '!O66+Wed!O66+Fri!O66+'Mon '!O66+'Wed (2)'!O66+Sun!O66+Sat!O66)</f>
        <v>0</v>
      </c>
      <c r="P66" s="71">
        <f>('Thurs (2)'!P66+Thurs!P66+'Tues '!P66+Wed!P66+Fri!P66+'Mon '!P66+'Wed (2)'!P66+Sun!P66+Sat!P66)</f>
        <v>0</v>
      </c>
      <c r="Q66" s="71">
        <f>('Thurs (2)'!Q66+Thurs!Q66+'Tues '!Q66+Wed!Q66+Fri!Q66+'Mon '!Q66+'Wed (2)'!Q66+Sun!Q66+Sat!Q66)</f>
        <v>0</v>
      </c>
      <c r="R66" s="71">
        <f>('Thurs (2)'!R66+Thurs!R66+'Tues '!R66+Wed!R66+Fri!R66+'Mon '!R66+'Wed (2)'!R66+Sun!R66+Sat!R66)</f>
        <v>0</v>
      </c>
      <c r="S66" s="71">
        <f>('Thurs (2)'!S66+Thurs!S66+'Tues '!S66+Wed!S66+Fri!S66+'Mon '!S66+'Wed (2)'!S66+Sun!S66+Sat!S66)</f>
        <v>0</v>
      </c>
      <c r="T66" s="71">
        <f>('Thurs (2)'!T66+Thurs!T66+'Tues '!T66+Wed!T66+Fri!T66+'Mon '!T66+'Wed (2)'!T66+Sun!T66+Sat!T66)</f>
        <v>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32</v>
      </c>
      <c r="C67" s="105"/>
      <c r="D67" s="107" t="s">
        <v>51</v>
      </c>
      <c r="E67" s="82"/>
      <c r="F67" s="105" t="s">
        <v>32</v>
      </c>
      <c r="G67" s="71">
        <f>('Thurs (2)'!G67+Thurs!G67+'Tues '!G67+Wed!G67+Fri!G67+'Mon '!G67+'Wed (2)'!G67+Sun!G67+Sat!G67)</f>
        <v>0</v>
      </c>
      <c r="H67" s="71">
        <f>('Thurs (2)'!H67+Thurs!H67+'Tues '!H67+Wed!H67+Fri!H67+'Mon '!H67+'Wed (2)'!H67+Sun!H67+Sat!H67)</f>
        <v>0</v>
      </c>
      <c r="I67" s="71">
        <f>('Thurs (2)'!I67+Thurs!I67+'Tues '!I67+Wed!I67+Fri!I67+'Mon '!I67+'Wed (2)'!I67+Sun!I67+Sat!I67)</f>
        <v>0</v>
      </c>
      <c r="J67" s="71">
        <f>('Thurs (2)'!J67+Thurs!J67+'Tues '!J67+Wed!J67+Fri!J67+'Mon '!J67+'Wed (2)'!J67+Sun!J67+Sat!J67)</f>
        <v>0</v>
      </c>
      <c r="K67" s="71">
        <f>('Thurs (2)'!K67+Thurs!K67+'Tues '!K67+Wed!K67+Fri!K67+'Mon '!K67+'Wed (2)'!K67+Sun!K67+Sat!K67)</f>
        <v>0</v>
      </c>
      <c r="L67" s="71">
        <f>('Thurs (2)'!L67+Thurs!L67+'Tues '!L67+Wed!L67+Fri!L67+'Mon '!L67+'Wed (2)'!L67+Sun!L67+Sat!L67)</f>
        <v>0</v>
      </c>
      <c r="M67" s="71">
        <f>('Thurs (2)'!M67+Thurs!M67+'Tues '!M67+Wed!M67+Fri!M67+'Mon '!M67+'Wed (2)'!M67+Sun!M67+Sat!M67)</f>
        <v>0</v>
      </c>
      <c r="N67" s="71">
        <f>('Thurs (2)'!N67+Thurs!N67+'Tues '!N67+Wed!N67+Fri!N67+'Mon '!N67+'Wed (2)'!N67+Sun!N67+Sat!N67)</f>
        <v>0</v>
      </c>
      <c r="O67" s="71">
        <f>('Thurs (2)'!O67+Thurs!O67+'Tues '!O67+Wed!O67+Fri!O67+'Mon '!O67+'Wed (2)'!O67+Sun!O67+Sat!O67)</f>
        <v>0</v>
      </c>
      <c r="P67" s="71">
        <f>('Thurs (2)'!P67+Thurs!P67+'Tues '!P67+Wed!P67+Fri!P67+'Mon '!P67+'Wed (2)'!P67+Sun!P67+Sat!P67)</f>
        <v>0</v>
      </c>
      <c r="Q67" s="71">
        <f>('Thurs (2)'!Q67+Thurs!Q67+'Tues '!Q67+Wed!Q67+Fri!Q67+'Mon '!Q67+'Wed (2)'!Q67+Sun!Q67+Sat!Q67)</f>
        <v>0</v>
      </c>
      <c r="R67" s="71">
        <f>('Thurs (2)'!R67+Thurs!R67+'Tues '!R67+Wed!R67+Fri!R67+'Mon '!R67+'Wed (2)'!R67+Sun!R67+Sat!R67)</f>
        <v>0</v>
      </c>
      <c r="S67" s="71">
        <f>('Thurs (2)'!S67+Thurs!S67+'Tues '!S67+Wed!S67+Fri!S67+'Mon '!S67+'Wed (2)'!S67+Sun!S67+Sat!S67)</f>
        <v>0</v>
      </c>
      <c r="T67" s="71">
        <f>('Thurs (2)'!T67+Thurs!T67+'Tues '!T67+Wed!T67+Fri!T67+'Mon '!T67+'Wed (2)'!T67+Sun!T67+Sat!T67)</f>
        <v>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71">
        <f>('Thurs (2)'!G68+Thurs!G68+'Tues '!G68+Wed!G68+Fri!G68+'Mon '!G68+'Wed (2)'!G68+Sun!G68+Sat!G68)</f>
        <v>0</v>
      </c>
      <c r="H68" s="71">
        <f>('Thurs (2)'!H68+Thurs!H68+'Tues '!H68+Wed!H68+Fri!H68+'Mon '!H68+'Wed (2)'!H68+Sun!H68+Sat!H68)</f>
        <v>0</v>
      </c>
      <c r="I68" s="71">
        <f>('Thurs (2)'!I68+Thurs!I68+'Tues '!I68+Wed!I68+Fri!I68+'Mon '!I68+'Wed (2)'!I68+Sun!I68+Sat!I68)</f>
        <v>0</v>
      </c>
      <c r="J68" s="71">
        <f>('Thurs (2)'!J68+Thurs!J68+'Tues '!J68+Wed!J68+Fri!J68+'Mon '!J68+'Wed (2)'!J68+Sun!J68+Sat!J68)</f>
        <v>0</v>
      </c>
      <c r="K68" s="71">
        <f>('Thurs (2)'!K68+Thurs!K68+'Tues '!K68+Wed!K68+Fri!K68+'Mon '!K68+'Wed (2)'!K68+Sun!K68+Sat!K68)</f>
        <v>0</v>
      </c>
      <c r="L68" s="71">
        <f>('Thurs (2)'!L68+Thurs!L68+'Tues '!L68+Wed!L68+Fri!L68+'Mon '!L68+'Wed (2)'!L68+Sun!L68+Sat!L68)</f>
        <v>0</v>
      </c>
      <c r="M68" s="71">
        <f>('Thurs (2)'!M68+Thurs!M68+'Tues '!M68+Wed!M68+Fri!M68+'Mon '!M68+'Wed (2)'!M68+Sun!M68+Sat!M68)</f>
        <v>0</v>
      </c>
      <c r="N68" s="71">
        <f>('Thurs (2)'!N68+Thurs!N68+'Tues '!N68+Wed!N68+Fri!N68+'Mon '!N68+'Wed (2)'!N68+Sun!N68+Sat!N68)</f>
        <v>0</v>
      </c>
      <c r="O68" s="71">
        <f>('Thurs (2)'!O68+Thurs!O68+'Tues '!O68+Wed!O68+Fri!O68+'Mon '!O68+'Wed (2)'!O68+Sun!O68+Sat!O68)</f>
        <v>0</v>
      </c>
      <c r="P68" s="71">
        <f>('Thurs (2)'!P68+Thurs!P68+'Tues '!P68+Wed!P68+Fri!P68+'Mon '!P68+'Wed (2)'!P68+Sun!P68+Sat!P68)</f>
        <v>0</v>
      </c>
      <c r="Q68" s="71">
        <f>('Thurs (2)'!Q68+Thurs!Q68+'Tues '!Q68+Wed!Q68+Fri!Q68+'Mon '!Q68+'Wed (2)'!Q68+Sun!Q68+Sat!Q68)</f>
        <v>0</v>
      </c>
      <c r="R68" s="71">
        <f>('Thurs (2)'!R68+Thurs!R68+'Tues '!R68+Wed!R68+Fri!R68+'Mon '!R68+'Wed (2)'!R68+Sun!R68+Sat!R68)</f>
        <v>0</v>
      </c>
      <c r="S68" s="71">
        <f>('Thurs (2)'!S68+Thurs!S68+'Tues '!S68+Wed!S68+Fri!S68+'Mon '!S68+'Wed (2)'!S68+Sun!S68+Sat!S68)</f>
        <v>0</v>
      </c>
      <c r="T68" s="71">
        <f>('Thurs (2)'!T68+Thurs!T68+'Tues '!T68+Wed!T68+Fri!T68+'Mon '!T68+'Wed (2)'!T68+Sun!T68+Sat!T68)</f>
        <v>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8" t="s">
        <v>30</v>
      </c>
      <c r="B69" s="108" t="s">
        <v>32</v>
      </c>
      <c r="C69" s="108"/>
      <c r="D69" s="59"/>
      <c r="E69" s="76"/>
      <c r="F69" s="111" t="s">
        <v>78</v>
      </c>
      <c r="G69" s="71">
        <f>('Thurs (2)'!G69+Thurs!G69+'Tues '!G69+Wed!G69+Fri!G69+'Mon '!G69+'Wed (2)'!G69+Sun!G69+Sat!G69)</f>
        <v>0</v>
      </c>
      <c r="H69" s="71">
        <f>('Thurs (2)'!H69+Thurs!H69+'Tues '!H69+Wed!H69+Fri!H69+'Mon '!H69+'Wed (2)'!H69+Sun!H69+Sat!H69)</f>
        <v>0</v>
      </c>
      <c r="I69" s="71">
        <f>('Thurs (2)'!I69+Thurs!I69+'Tues '!I69+Wed!I69+Fri!I69+'Mon '!I69+'Wed (2)'!I69+Sun!I69+Sat!I69)</f>
        <v>0</v>
      </c>
      <c r="J69" s="71">
        <f>('Thurs (2)'!J69+Thurs!J69+'Tues '!J69+Wed!J69+Fri!J69+'Mon '!J69+'Wed (2)'!J69+Sun!J69+Sat!J69)</f>
        <v>0</v>
      </c>
      <c r="K69" s="71">
        <f>('Thurs (2)'!K69+Thurs!K69+'Tues '!K69+Wed!K69+Fri!K69+'Mon '!K69+'Wed (2)'!K69+Sun!K69+Sat!K69)</f>
        <v>0</v>
      </c>
      <c r="L69" s="71">
        <f>('Thurs (2)'!L69+Thurs!L69+'Tues '!L69+Wed!L69+Fri!L69+'Mon '!L69+'Wed (2)'!L69+Sun!L69+Sat!L69)</f>
        <v>0</v>
      </c>
      <c r="M69" s="71">
        <f>('Thurs (2)'!M69+Thurs!M69+'Tues '!M69+Wed!M69+Fri!M69+'Mon '!M69+'Wed (2)'!M69+Sun!M69+Sat!M69)</f>
        <v>0</v>
      </c>
      <c r="N69" s="71">
        <f>('Thurs (2)'!N69+Thurs!N69+'Tues '!N69+Wed!N69+Fri!N69+'Mon '!N69+'Wed (2)'!N69+Sun!N69+Sat!N69)</f>
        <v>0</v>
      </c>
      <c r="O69" s="71">
        <f>('Thurs (2)'!O69+Thurs!O69+'Tues '!O69+Wed!O69+Fri!O69+'Mon '!O69+'Wed (2)'!O69+Sun!O69+Sat!O69)</f>
        <v>0</v>
      </c>
      <c r="P69" s="71">
        <f>('Thurs (2)'!P69+Thurs!P69+'Tues '!P69+Wed!P69+Fri!P69+'Mon '!P69+'Wed (2)'!P69+Sun!P69+Sat!P69)</f>
        <v>0</v>
      </c>
      <c r="Q69" s="71">
        <f>('Thurs (2)'!Q69+Thurs!Q69+'Tues '!Q69+Wed!Q69+Fri!Q69+'Mon '!Q69+'Wed (2)'!Q69+Sun!Q69+Sat!Q69)</f>
        <v>0</v>
      </c>
      <c r="R69" s="71">
        <f>('Thurs (2)'!R69+Thurs!R69+'Tues '!R69+Wed!R69+Fri!R69+'Mon '!R69+'Wed (2)'!R69+Sun!R69+Sat!R69)</f>
        <v>0</v>
      </c>
      <c r="S69" s="71">
        <f>('Thurs (2)'!S69+Thurs!S69+'Tues '!S69+Wed!S69+Fri!S69+'Mon '!S69+'Wed (2)'!S69+Sun!S69+Sat!S69)</f>
        <v>0</v>
      </c>
      <c r="T69" s="71">
        <f>('Thurs (2)'!T69+Thurs!T69+'Tues '!T69+Wed!T69+Fri!T69+'Mon '!T69+'Wed (2)'!T69+Sun!T69+Sat!T69)</f>
        <v>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5" t="s">
        <v>30</v>
      </c>
      <c r="B70" s="105" t="s">
        <v>33</v>
      </c>
      <c r="C70" s="105"/>
      <c r="D70" s="107" t="s">
        <v>51</v>
      </c>
      <c r="E70" s="82"/>
      <c r="F70" s="105" t="s">
        <v>33</v>
      </c>
      <c r="G70" s="71">
        <f>('Thurs (2)'!G70+Thurs!G70+'Tues '!G70+Wed!G70+Fri!G70+'Mon '!G70+'Wed (2)'!G70+Sun!G70+Sat!G70)</f>
        <v>20</v>
      </c>
      <c r="H70" s="71">
        <f>('Thurs (2)'!H70+Thurs!H70+'Tues '!H70+Wed!H70+Fri!H70+'Mon '!H70+'Wed (2)'!H70+Sun!H70+Sat!H70)</f>
        <v>12</v>
      </c>
      <c r="I70" s="71">
        <f>('Thurs (2)'!I70+Thurs!I70+'Tues '!I70+Wed!I70+Fri!I70+'Mon '!I70+'Wed (2)'!I70+Sun!I70+Sat!I70)</f>
        <v>5</v>
      </c>
      <c r="J70" s="71">
        <f>('Thurs (2)'!J70+Thurs!J70+'Tues '!J70+Wed!J70+Fri!J70+'Mon '!J70+'Wed (2)'!J70+Sun!J70+Sat!J70)</f>
        <v>7</v>
      </c>
      <c r="K70" s="71">
        <f>('Thurs (2)'!K70+Thurs!K70+'Tues '!K70+Wed!K70+Fri!K70+'Mon '!K70+'Wed (2)'!K70+Sun!K70+Sat!K70)</f>
        <v>5</v>
      </c>
      <c r="L70" s="71">
        <f>('Thurs (2)'!L70+Thurs!L70+'Tues '!L70+Wed!L70+Fri!L70+'Mon '!L70+'Wed (2)'!L70+Sun!L70+Sat!L70)</f>
        <v>6</v>
      </c>
      <c r="M70" s="71">
        <f>('Thurs (2)'!M70+Thurs!M70+'Tues '!M70+Wed!M70+Fri!M70+'Mon '!M70+'Wed (2)'!M70+Sun!M70+Sat!M70)</f>
        <v>22</v>
      </c>
      <c r="N70" s="71">
        <f>('Thurs (2)'!N70+Thurs!N70+'Tues '!N70+Wed!N70+Fri!N70+'Mon '!N70+'Wed (2)'!N70+Sun!N70+Sat!N70)</f>
        <v>4</v>
      </c>
      <c r="O70" s="71">
        <f>('Thurs (2)'!O70+Thurs!O70+'Tues '!O70+Wed!O70+Fri!O70+'Mon '!O70+'Wed (2)'!O70+Sun!O70+Sat!O70)</f>
        <v>5</v>
      </c>
      <c r="P70" s="71">
        <f>('Thurs (2)'!P70+Thurs!P70+'Tues '!P70+Wed!P70+Fri!P70+'Mon '!P70+'Wed (2)'!P70+Sun!P70+Sat!P70)</f>
        <v>0</v>
      </c>
      <c r="Q70" s="71">
        <f>('Thurs (2)'!Q70+Thurs!Q70+'Tues '!Q70+Wed!Q70+Fri!Q70+'Mon '!Q70+'Wed (2)'!Q70+Sun!Q70+Sat!Q70)</f>
        <v>0</v>
      </c>
      <c r="R70" s="71">
        <f>('Thurs (2)'!R70+Thurs!R70+'Tues '!R70+Wed!R70+Fri!R70+'Mon '!R70+'Wed (2)'!R70+Sun!R70+Sat!R70)</f>
        <v>2</v>
      </c>
      <c r="S70" s="71">
        <f>('Thurs (2)'!S70+Thurs!S70+'Tues '!S70+Wed!S70+Fri!S70+'Mon '!S70+'Wed (2)'!S70+Sun!S70+Sat!S70)</f>
        <v>3</v>
      </c>
      <c r="T70" s="71">
        <f>('Thurs (2)'!T70+Thurs!T70+'Tues '!T70+Wed!T70+Fri!T70+'Mon '!T70+'Wed (2)'!T70+Sun!T70+Sat!T70)</f>
        <v>15037</v>
      </c>
      <c r="U70" s="72">
        <f t="shared" si="7"/>
        <v>0.4166666667</v>
      </c>
      <c r="V70" s="72">
        <f t="shared" si="8"/>
        <v>0.9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71">
        <f>('Thurs (2)'!G71+Thurs!G71+'Tues '!G71+Wed!G71+Fri!G71+'Mon '!G71+'Wed (2)'!G71+Sun!G71+Sat!G71)</f>
        <v>0</v>
      </c>
      <c r="H71" s="71">
        <f>('Thurs (2)'!H71+Thurs!H71+'Tues '!H71+Wed!H71+Fri!H71+'Mon '!H71+'Wed (2)'!H71+Sun!H71+Sat!H71)</f>
        <v>0</v>
      </c>
      <c r="I71" s="71">
        <f>('Thurs (2)'!I71+Thurs!I71+'Tues '!I71+Wed!I71+Fri!I71+'Mon '!I71+'Wed (2)'!I71+Sun!I71+Sat!I71)</f>
        <v>0</v>
      </c>
      <c r="J71" s="71">
        <f>('Thurs (2)'!J71+Thurs!J71+'Tues '!J71+Wed!J71+Fri!J71+'Mon '!J71+'Wed (2)'!J71+Sun!J71+Sat!J71)</f>
        <v>0</v>
      </c>
      <c r="K71" s="71">
        <f>('Thurs (2)'!K71+Thurs!K71+'Tues '!K71+Wed!K71+Fri!K71+'Mon '!K71+'Wed (2)'!K71+Sun!K71+Sat!K71)</f>
        <v>0</v>
      </c>
      <c r="L71" s="71">
        <f>('Thurs (2)'!L71+Thurs!L71+'Tues '!L71+Wed!L71+Fri!L71+'Mon '!L71+'Wed (2)'!L71+Sun!L71+Sat!L71)</f>
        <v>0</v>
      </c>
      <c r="M71" s="71">
        <f>('Thurs (2)'!M71+Thurs!M71+'Tues '!M71+Wed!M71+Fri!M71+'Mon '!M71+'Wed (2)'!M71+Sun!M71+Sat!M71)</f>
        <v>0</v>
      </c>
      <c r="N71" s="71">
        <f>('Thurs (2)'!N71+Thurs!N71+'Tues '!N71+Wed!N71+Fri!N71+'Mon '!N71+'Wed (2)'!N71+Sun!N71+Sat!N71)</f>
        <v>0</v>
      </c>
      <c r="O71" s="71">
        <f>('Thurs (2)'!O71+Thurs!O71+'Tues '!O71+Wed!O71+Fri!O71+'Mon '!O71+'Wed (2)'!O71+Sun!O71+Sat!O71)</f>
        <v>0</v>
      </c>
      <c r="P71" s="71">
        <f>('Thurs (2)'!P71+Thurs!P71+'Tues '!P71+Wed!P71+Fri!P71+'Mon '!P71+'Wed (2)'!P71+Sun!P71+Sat!P71)</f>
        <v>0</v>
      </c>
      <c r="Q71" s="71">
        <f>('Thurs (2)'!Q71+Thurs!Q71+'Tues '!Q71+Wed!Q71+Fri!Q71+'Mon '!Q71+'Wed (2)'!Q71+Sun!Q71+Sat!Q71)</f>
        <v>0</v>
      </c>
      <c r="R71" s="71">
        <f>('Thurs (2)'!R71+Thurs!R71+'Tues '!R71+Wed!R71+Fri!R71+'Mon '!R71+'Wed (2)'!R71+Sun!R71+Sat!R71)</f>
        <v>0</v>
      </c>
      <c r="S71" s="71">
        <f>('Thurs (2)'!S71+Thurs!S71+'Tues '!S71+Wed!S71+Fri!S71+'Mon '!S71+'Wed (2)'!S71+Sun!S71+Sat!S71)</f>
        <v>0</v>
      </c>
      <c r="T71" s="71">
        <f>('Thurs (2)'!T71+Thurs!T71+'Tues '!T71+Wed!T71+Fri!T71+'Mon '!T71+'Wed (2)'!T71+Sun!T71+Sat!T71)</f>
        <v>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71">
        <f>('Thurs (2)'!G72+Thurs!G72+'Tues '!G72+Wed!G72+Fri!G72+'Mon '!G72+'Wed (2)'!G72+Sun!G72+Sat!G72)</f>
        <v>0</v>
      </c>
      <c r="H72" s="71">
        <f>('Thurs (2)'!H72+Thurs!H72+'Tues '!H72+Wed!H72+Fri!H72+'Mon '!H72+'Wed (2)'!H72+Sun!H72+Sat!H72)</f>
        <v>0</v>
      </c>
      <c r="I72" s="71">
        <f>('Thurs (2)'!I72+Thurs!I72+'Tues '!I72+Wed!I72+Fri!I72+'Mon '!I72+'Wed (2)'!I72+Sun!I72+Sat!I72)</f>
        <v>0</v>
      </c>
      <c r="J72" s="71">
        <f>('Thurs (2)'!J72+Thurs!J72+'Tues '!J72+Wed!J72+Fri!J72+'Mon '!J72+'Wed (2)'!J72+Sun!J72+Sat!J72)</f>
        <v>0</v>
      </c>
      <c r="K72" s="71">
        <f>('Thurs (2)'!K72+Thurs!K72+'Tues '!K72+Wed!K72+Fri!K72+'Mon '!K72+'Wed (2)'!K72+Sun!K72+Sat!K72)</f>
        <v>0</v>
      </c>
      <c r="L72" s="71">
        <f>('Thurs (2)'!L72+Thurs!L72+'Tues '!L72+Wed!L72+Fri!L72+'Mon '!L72+'Wed (2)'!L72+Sun!L72+Sat!L72)</f>
        <v>0</v>
      </c>
      <c r="M72" s="71">
        <f>('Thurs (2)'!M72+Thurs!M72+'Tues '!M72+Wed!M72+Fri!M72+'Mon '!M72+'Wed (2)'!M72+Sun!M72+Sat!M72)</f>
        <v>0</v>
      </c>
      <c r="N72" s="71">
        <f>('Thurs (2)'!N72+Thurs!N72+'Tues '!N72+Wed!N72+Fri!N72+'Mon '!N72+'Wed (2)'!N72+Sun!N72+Sat!N72)</f>
        <v>0</v>
      </c>
      <c r="O72" s="71">
        <f>('Thurs (2)'!O72+Thurs!O72+'Tues '!O72+Wed!O72+Fri!O72+'Mon '!O72+'Wed (2)'!O72+Sun!O72+Sat!O72)</f>
        <v>0</v>
      </c>
      <c r="P72" s="71">
        <f>('Thurs (2)'!P72+Thurs!P72+'Tues '!P72+Wed!P72+Fri!P72+'Mon '!P72+'Wed (2)'!P72+Sun!P72+Sat!P72)</f>
        <v>0</v>
      </c>
      <c r="Q72" s="71">
        <f>('Thurs (2)'!Q72+Thurs!Q72+'Tues '!Q72+Wed!Q72+Fri!Q72+'Mon '!Q72+'Wed (2)'!Q72+Sun!Q72+Sat!Q72)</f>
        <v>0</v>
      </c>
      <c r="R72" s="71">
        <f>('Thurs (2)'!R72+Thurs!R72+'Tues '!R72+Wed!R72+Fri!R72+'Mon '!R72+'Wed (2)'!R72+Sun!R72+Sat!R72)</f>
        <v>0</v>
      </c>
      <c r="S72" s="71">
        <f>('Thurs (2)'!S72+Thurs!S72+'Tues '!S72+Wed!S72+Fri!S72+'Mon '!S72+'Wed (2)'!S72+Sun!S72+Sat!S72)</f>
        <v>0</v>
      </c>
      <c r="T72" s="71">
        <f>('Thurs (2)'!T72+Thurs!T72+'Tues '!T72+Wed!T72+Fri!T72+'Mon '!T72+'Wed (2)'!T72+Sun!T72+Sat!T72)</f>
        <v>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04" t="s">
        <v>81</v>
      </c>
      <c r="G73" s="71">
        <f>('Thurs (2)'!G73+Thurs!G73+'Tues '!G73+Wed!G73+Fri!G73+'Mon '!G73+'Wed (2)'!G73+Sun!G73+Sat!G73)</f>
        <v>0</v>
      </c>
      <c r="H73" s="71">
        <f>('Thurs (2)'!H73+Thurs!H73+'Tues '!H73+Wed!H73+Fri!H73+'Mon '!H73+'Wed (2)'!H73+Sun!H73+Sat!H73)</f>
        <v>0</v>
      </c>
      <c r="I73" s="71">
        <f>('Thurs (2)'!I73+Thurs!I73+'Tues '!I73+Wed!I73+Fri!I73+'Mon '!I73+'Wed (2)'!I73+Sun!I73+Sat!I73)</f>
        <v>0</v>
      </c>
      <c r="J73" s="71">
        <f>('Thurs (2)'!J73+Thurs!J73+'Tues '!J73+Wed!J73+Fri!J73+'Mon '!J73+'Wed (2)'!J73+Sun!J73+Sat!J73)</f>
        <v>0</v>
      </c>
      <c r="K73" s="71">
        <f>('Thurs (2)'!K73+Thurs!K73+'Tues '!K73+Wed!K73+Fri!K73+'Mon '!K73+'Wed (2)'!K73+Sun!K73+Sat!K73)</f>
        <v>0</v>
      </c>
      <c r="L73" s="71">
        <f>('Thurs (2)'!L73+Thurs!L73+'Tues '!L73+Wed!L73+Fri!L73+'Mon '!L73+'Wed (2)'!L73+Sun!L73+Sat!L73)</f>
        <v>0</v>
      </c>
      <c r="M73" s="71">
        <f>('Thurs (2)'!M73+Thurs!M73+'Tues '!M73+Wed!M73+Fri!M73+'Mon '!M73+'Wed (2)'!M73+Sun!M73+Sat!M73)</f>
        <v>0</v>
      </c>
      <c r="N73" s="71">
        <f>('Thurs (2)'!N73+Thurs!N73+'Tues '!N73+Wed!N73+Fri!N73+'Mon '!N73+'Wed (2)'!N73+Sun!N73+Sat!N73)</f>
        <v>0</v>
      </c>
      <c r="O73" s="71">
        <f>('Thurs (2)'!O73+Thurs!O73+'Tues '!O73+Wed!O73+Fri!O73+'Mon '!O73+'Wed (2)'!O73+Sun!O73+Sat!O73)</f>
        <v>0</v>
      </c>
      <c r="P73" s="71">
        <f>('Thurs (2)'!P73+Thurs!P73+'Tues '!P73+Wed!P73+Fri!P73+'Mon '!P73+'Wed (2)'!P73+Sun!P73+Sat!P73)</f>
        <v>0</v>
      </c>
      <c r="Q73" s="71">
        <f>('Thurs (2)'!Q73+Thurs!Q73+'Tues '!Q73+Wed!Q73+Fri!Q73+'Mon '!Q73+'Wed (2)'!Q73+Sun!Q73+Sat!Q73)</f>
        <v>0</v>
      </c>
      <c r="R73" s="71">
        <f>('Thurs (2)'!R73+Thurs!R73+'Tues '!R73+Wed!R73+Fri!R73+'Mon '!R73+'Wed (2)'!R73+Sun!R73+Sat!R73)</f>
        <v>0</v>
      </c>
      <c r="S73" s="71">
        <f>('Thurs (2)'!S73+Thurs!S73+'Tues '!S73+Wed!S73+Fri!S73+'Mon '!S73+'Wed (2)'!S73+Sun!S73+Sat!S73)</f>
        <v>0</v>
      </c>
      <c r="T73" s="71">
        <f>('Thurs (2)'!T73+Thurs!T73+'Tues '!T73+Wed!T73+Fri!T73+'Mon '!T73+'Wed (2)'!T73+Sun!T73+Sat!T73)</f>
        <v>7698.96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71">
        <f>('Thurs (2)'!G74+Thurs!G74+'Tues '!G74+Wed!G74+Fri!G74+'Mon '!G74+'Wed (2)'!G74+Sun!G74+Sat!G74)</f>
        <v>0</v>
      </c>
      <c r="H74" s="71">
        <f>('Thurs (2)'!H74+Thurs!H74+'Tues '!H74+Wed!H74+Fri!H74+'Mon '!H74+'Wed (2)'!H74+Sun!H74+Sat!H74)</f>
        <v>0</v>
      </c>
      <c r="I74" s="71">
        <f>('Thurs (2)'!I74+Thurs!I74+'Tues '!I74+Wed!I74+Fri!I74+'Mon '!I74+'Wed (2)'!I74+Sun!I74+Sat!I74)</f>
        <v>0</v>
      </c>
      <c r="J74" s="71">
        <f>('Thurs (2)'!J74+Thurs!J74+'Tues '!J74+Wed!J74+Fri!J74+'Mon '!J74+'Wed (2)'!J74+Sun!J74+Sat!J74)</f>
        <v>0</v>
      </c>
      <c r="K74" s="71">
        <f>('Thurs (2)'!K74+Thurs!K74+'Tues '!K74+Wed!K74+Fri!K74+'Mon '!K74+'Wed (2)'!K74+Sun!K74+Sat!K74)</f>
        <v>0</v>
      </c>
      <c r="L74" s="71">
        <f>('Thurs (2)'!L74+Thurs!L74+'Tues '!L74+Wed!L74+Fri!L74+'Mon '!L74+'Wed (2)'!L74+Sun!L74+Sat!L74)</f>
        <v>0</v>
      </c>
      <c r="M74" s="71">
        <f>('Thurs (2)'!M74+Thurs!M74+'Tues '!M74+Wed!M74+Fri!M74+'Mon '!M74+'Wed (2)'!M74+Sun!M74+Sat!M74)</f>
        <v>0</v>
      </c>
      <c r="N74" s="71">
        <f>('Thurs (2)'!N74+Thurs!N74+'Tues '!N74+Wed!N74+Fri!N74+'Mon '!N74+'Wed (2)'!N74+Sun!N74+Sat!N74)</f>
        <v>0</v>
      </c>
      <c r="O74" s="71">
        <f>('Thurs (2)'!O74+Thurs!O74+'Tues '!O74+Wed!O74+Fri!O74+'Mon '!O74+'Wed (2)'!O74+Sun!O74+Sat!O74)</f>
        <v>0</v>
      </c>
      <c r="P74" s="71">
        <f>('Thurs (2)'!P74+Thurs!P74+'Tues '!P74+Wed!P74+Fri!P74+'Mon '!P74+'Wed (2)'!P74+Sun!P74+Sat!P74)</f>
        <v>0</v>
      </c>
      <c r="Q74" s="71">
        <f>('Thurs (2)'!Q74+Thurs!Q74+'Tues '!Q74+Wed!Q74+Fri!Q74+'Mon '!Q74+'Wed (2)'!Q74+Sun!Q74+Sat!Q74)</f>
        <v>0</v>
      </c>
      <c r="R74" s="71">
        <f>('Thurs (2)'!R74+Thurs!R74+'Tues '!R74+Wed!R74+Fri!R74+'Mon '!R74+'Wed (2)'!R74+Sun!R74+Sat!R74)</f>
        <v>0</v>
      </c>
      <c r="S74" s="71">
        <f>('Thurs (2)'!S74+Thurs!S74+'Tues '!S74+Wed!S74+Fri!S74+'Mon '!S74+'Wed (2)'!S74+Sun!S74+Sat!S74)</f>
        <v>0</v>
      </c>
      <c r="T74" s="71">
        <f>('Thurs (2)'!T74+Thurs!T74+'Tues '!T74+Wed!T74+Fri!T74+'Mon '!T74+'Wed (2)'!T74+Sun!T74+Sat!T74)</f>
        <v>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04" t="s">
        <v>30</v>
      </c>
      <c r="B75" s="104" t="s">
        <v>33</v>
      </c>
      <c r="C75" s="104"/>
      <c r="D75" s="60"/>
      <c r="E75" s="76"/>
      <c r="F75" s="111" t="s">
        <v>83</v>
      </c>
      <c r="G75" s="71">
        <f>('Thurs (2)'!G75+Thurs!G75+'Tues '!G75+Wed!G75+Fri!G75+'Mon '!G75+'Wed (2)'!G75+Sun!G75+Sat!G75)</f>
        <v>0</v>
      </c>
      <c r="H75" s="71">
        <f>('Thurs (2)'!H75+Thurs!H75+'Tues '!H75+Wed!H75+Fri!H75+'Mon '!H75+'Wed (2)'!H75+Sun!H75+Sat!H75)</f>
        <v>0</v>
      </c>
      <c r="I75" s="71">
        <f>('Thurs (2)'!I75+Thurs!I75+'Tues '!I75+Wed!I75+Fri!I75+'Mon '!I75+'Wed (2)'!I75+Sun!I75+Sat!I75)</f>
        <v>0</v>
      </c>
      <c r="J75" s="71">
        <f>('Thurs (2)'!J75+Thurs!J75+'Tues '!J75+Wed!J75+Fri!J75+'Mon '!J75+'Wed (2)'!J75+Sun!J75+Sat!J75)</f>
        <v>0</v>
      </c>
      <c r="K75" s="71">
        <f>('Thurs (2)'!K75+Thurs!K75+'Tues '!K75+Wed!K75+Fri!K75+'Mon '!K75+'Wed (2)'!K75+Sun!K75+Sat!K75)</f>
        <v>0</v>
      </c>
      <c r="L75" s="71">
        <f>('Thurs (2)'!L75+Thurs!L75+'Tues '!L75+Wed!L75+Fri!L75+'Mon '!L75+'Wed (2)'!L75+Sun!L75+Sat!L75)</f>
        <v>0</v>
      </c>
      <c r="M75" s="71">
        <f>('Thurs (2)'!M75+Thurs!M75+'Tues '!M75+Wed!M75+Fri!M75+'Mon '!M75+'Wed (2)'!M75+Sun!M75+Sat!M75)</f>
        <v>0</v>
      </c>
      <c r="N75" s="71">
        <f>('Thurs (2)'!N75+Thurs!N75+'Tues '!N75+Wed!N75+Fri!N75+'Mon '!N75+'Wed (2)'!N75+Sun!N75+Sat!N75)</f>
        <v>0</v>
      </c>
      <c r="O75" s="71">
        <f>('Thurs (2)'!O75+Thurs!O75+'Tues '!O75+Wed!O75+Fri!O75+'Mon '!O75+'Wed (2)'!O75+Sun!O75+Sat!O75)</f>
        <v>0</v>
      </c>
      <c r="P75" s="71">
        <f>('Thurs (2)'!P75+Thurs!P75+'Tues '!P75+Wed!P75+Fri!P75+'Mon '!P75+'Wed (2)'!P75+Sun!P75+Sat!P75)</f>
        <v>0</v>
      </c>
      <c r="Q75" s="71">
        <f>('Thurs (2)'!Q75+Thurs!Q75+'Tues '!Q75+Wed!Q75+Fri!Q75+'Mon '!Q75+'Wed (2)'!Q75+Sun!Q75+Sat!Q75)</f>
        <v>0</v>
      </c>
      <c r="R75" s="71">
        <f>('Thurs (2)'!R75+Thurs!R75+'Tues '!R75+Wed!R75+Fri!R75+'Mon '!R75+'Wed (2)'!R75+Sun!R75+Sat!R75)</f>
        <v>0</v>
      </c>
      <c r="S75" s="71">
        <f>('Thurs (2)'!S75+Thurs!S75+'Tues '!S75+Wed!S75+Fri!S75+'Mon '!S75+'Wed (2)'!S75+Sun!S75+Sat!S75)</f>
        <v>0</v>
      </c>
      <c r="T75" s="71">
        <f>('Thurs (2)'!T75+Thurs!T75+'Tues '!T75+Wed!T75+Fri!T75+'Mon '!T75+'Wed (2)'!T75+Sun!T75+Sat!T75)</f>
        <v>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2" t="s">
        <v>30</v>
      </c>
      <c r="B76" s="113" t="s">
        <v>33</v>
      </c>
      <c r="C76" s="113" t="s">
        <v>84</v>
      </c>
      <c r="D76" s="114" t="s">
        <v>51</v>
      </c>
      <c r="E76" s="115"/>
      <c r="F76" s="113" t="s">
        <v>84</v>
      </c>
      <c r="G76" s="71">
        <f>('Thurs (2)'!G76+Thurs!G76+'Tues '!G76+Wed!G76+Fri!G76+'Mon '!G76+'Wed (2)'!G76+Sun!G76+Sat!G76)</f>
        <v>0</v>
      </c>
      <c r="H76" s="71">
        <f>('Thurs (2)'!H76+Thurs!H76+'Tues '!H76+Wed!H76+Fri!H76+'Mon '!H76+'Wed (2)'!H76+Sun!H76+Sat!H76)</f>
        <v>0</v>
      </c>
      <c r="I76" s="71">
        <f>('Thurs (2)'!I76+Thurs!I76+'Tues '!I76+Wed!I76+Fri!I76+'Mon '!I76+'Wed (2)'!I76+Sun!I76+Sat!I76)</f>
        <v>0</v>
      </c>
      <c r="J76" s="71">
        <f>('Thurs (2)'!J76+Thurs!J76+'Tues '!J76+Wed!J76+Fri!J76+'Mon '!J76+'Wed (2)'!J76+Sun!J76+Sat!J76)</f>
        <v>0</v>
      </c>
      <c r="K76" s="71">
        <f>('Thurs (2)'!K76+Thurs!K76+'Tues '!K76+Wed!K76+Fri!K76+'Mon '!K76+'Wed (2)'!K76+Sun!K76+Sat!K76)</f>
        <v>0</v>
      </c>
      <c r="L76" s="71">
        <f>('Thurs (2)'!L76+Thurs!L76+'Tues '!L76+Wed!L76+Fri!L76+'Mon '!L76+'Wed (2)'!L76+Sun!L76+Sat!L76)</f>
        <v>0</v>
      </c>
      <c r="M76" s="71">
        <f>('Thurs (2)'!M76+Thurs!M76+'Tues '!M76+Wed!M76+Fri!M76+'Mon '!M76+'Wed (2)'!M76+Sun!M76+Sat!M76)</f>
        <v>0</v>
      </c>
      <c r="N76" s="71">
        <f>('Thurs (2)'!N76+Thurs!N76+'Tues '!N76+Wed!N76+Fri!N76+'Mon '!N76+'Wed (2)'!N76+Sun!N76+Sat!N76)</f>
        <v>0</v>
      </c>
      <c r="O76" s="71">
        <f>('Thurs (2)'!O76+Thurs!O76+'Tues '!O76+Wed!O76+Fri!O76+'Mon '!O76+'Wed (2)'!O76+Sun!O76+Sat!O76)</f>
        <v>0</v>
      </c>
      <c r="P76" s="71">
        <f>('Thurs (2)'!P76+Thurs!P76+'Tues '!P76+Wed!P76+Fri!P76+'Mon '!P76+'Wed (2)'!P76+Sun!P76+Sat!P76)</f>
        <v>0</v>
      </c>
      <c r="Q76" s="71">
        <f>('Thurs (2)'!Q76+Thurs!Q76+'Tues '!Q76+Wed!Q76+Fri!Q76+'Mon '!Q76+'Wed (2)'!Q76+Sun!Q76+Sat!Q76)</f>
        <v>0</v>
      </c>
      <c r="R76" s="71">
        <f>('Thurs (2)'!R76+Thurs!R76+'Tues '!R76+Wed!R76+Fri!R76+'Mon '!R76+'Wed (2)'!R76+Sun!R76+Sat!R76)</f>
        <v>0</v>
      </c>
      <c r="S76" s="71">
        <f>('Thurs (2)'!S76+Thurs!S76+'Tues '!S76+Wed!S76+Fri!S76+'Mon '!S76+'Wed (2)'!S76+Sun!S76+Sat!S76)</f>
        <v>0</v>
      </c>
      <c r="T76" s="71">
        <f>('Thurs (2)'!T76+Thurs!T76+'Tues '!T76+Wed!T76+Fri!T76+'Mon '!T76+'Wed (2)'!T76+Sun!T76+Sat!T76)</f>
        <v>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84</v>
      </c>
      <c r="D77" s="118"/>
      <c r="E77" s="90"/>
      <c r="F77" s="117" t="s">
        <v>85</v>
      </c>
      <c r="G77" s="71">
        <f>('Thurs (2)'!G77+Thurs!G77+'Tues '!G77+Wed!G77+Fri!G77+'Mon '!G77+'Wed (2)'!G77+Sun!G77+Sat!G77)</f>
        <v>0</v>
      </c>
      <c r="H77" s="71">
        <f>('Thurs (2)'!H77+Thurs!H77+'Tues '!H77+Wed!H77+Fri!H77+'Mon '!H77+'Wed (2)'!H77+Sun!H77+Sat!H77)</f>
        <v>0</v>
      </c>
      <c r="I77" s="71">
        <f>('Thurs (2)'!I77+Thurs!I77+'Tues '!I77+Wed!I77+Fri!I77+'Mon '!I77+'Wed (2)'!I77+Sun!I77+Sat!I77)</f>
        <v>0</v>
      </c>
      <c r="J77" s="71">
        <f>('Thurs (2)'!J77+Thurs!J77+'Tues '!J77+Wed!J77+Fri!J77+'Mon '!J77+'Wed (2)'!J77+Sun!J77+Sat!J77)</f>
        <v>0</v>
      </c>
      <c r="K77" s="71">
        <f>('Thurs (2)'!K77+Thurs!K77+'Tues '!K77+Wed!K77+Fri!K77+'Mon '!K77+'Wed (2)'!K77+Sun!K77+Sat!K77)</f>
        <v>0</v>
      </c>
      <c r="L77" s="71">
        <f>('Thurs (2)'!L77+Thurs!L77+'Tues '!L77+Wed!L77+Fri!L77+'Mon '!L77+'Wed (2)'!L77+Sun!L77+Sat!L77)</f>
        <v>0</v>
      </c>
      <c r="M77" s="71">
        <f>('Thurs (2)'!M77+Thurs!M77+'Tues '!M77+Wed!M77+Fri!M77+'Mon '!M77+'Wed (2)'!M77+Sun!M77+Sat!M77)</f>
        <v>0</v>
      </c>
      <c r="N77" s="71">
        <f>('Thurs (2)'!N77+Thurs!N77+'Tues '!N77+Wed!N77+Fri!N77+'Mon '!N77+'Wed (2)'!N77+Sun!N77+Sat!N77)</f>
        <v>0</v>
      </c>
      <c r="O77" s="71">
        <f>('Thurs (2)'!O77+Thurs!O77+'Tues '!O77+Wed!O77+Fri!O77+'Mon '!O77+'Wed (2)'!O77+Sun!O77+Sat!O77)</f>
        <v>0</v>
      </c>
      <c r="P77" s="71">
        <f>('Thurs (2)'!P77+Thurs!P77+'Tues '!P77+Wed!P77+Fri!P77+'Mon '!P77+'Wed (2)'!P77+Sun!P77+Sat!P77)</f>
        <v>0</v>
      </c>
      <c r="Q77" s="71">
        <f>('Thurs (2)'!Q77+Thurs!Q77+'Tues '!Q77+Wed!Q77+Fri!Q77+'Mon '!Q77+'Wed (2)'!Q77+Sun!Q77+Sat!Q77)</f>
        <v>0</v>
      </c>
      <c r="R77" s="71">
        <f>('Thurs (2)'!R77+Thurs!R77+'Tues '!R77+Wed!R77+Fri!R77+'Mon '!R77+'Wed (2)'!R77+Sun!R77+Sat!R77)</f>
        <v>0</v>
      </c>
      <c r="S77" s="71">
        <f>('Thurs (2)'!S77+Thurs!S77+'Tues '!S77+Wed!S77+Fri!S77+'Mon '!S77+'Wed (2)'!S77+Sun!S77+Sat!S77)</f>
        <v>0</v>
      </c>
      <c r="T77" s="71">
        <f>('Thurs (2)'!T77+Thurs!T77+'Tues '!T77+Wed!T77+Fri!T77+'Mon '!T77+'Wed (2)'!T77+Sun!T77+Sat!T77)</f>
        <v>0</v>
      </c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84</v>
      </c>
      <c r="D78" s="119"/>
      <c r="E78" s="90"/>
      <c r="F78" s="117" t="s">
        <v>86</v>
      </c>
      <c r="G78" s="71">
        <f>('Thurs (2)'!G78+Thurs!G78+'Tues '!G78+Wed!G78+Fri!G78+'Mon '!G78+'Wed (2)'!G78+Sun!G78+Sat!G78)</f>
        <v>0</v>
      </c>
      <c r="H78" s="71">
        <f>('Thurs (2)'!H78+Thurs!H78+'Tues '!H78+Wed!H78+Fri!H78+'Mon '!H78+'Wed (2)'!H78+Sun!H78+Sat!H78)</f>
        <v>0</v>
      </c>
      <c r="I78" s="71">
        <f>('Thurs (2)'!I78+Thurs!I78+'Tues '!I78+Wed!I78+Fri!I78+'Mon '!I78+'Wed (2)'!I78+Sun!I78+Sat!I78)</f>
        <v>0</v>
      </c>
      <c r="J78" s="71">
        <f>('Thurs (2)'!J78+Thurs!J78+'Tues '!J78+Wed!J78+Fri!J78+'Mon '!J78+'Wed (2)'!J78+Sun!J78+Sat!J78)</f>
        <v>0</v>
      </c>
      <c r="K78" s="71">
        <f>('Thurs (2)'!K78+Thurs!K78+'Tues '!K78+Wed!K78+Fri!K78+'Mon '!K78+'Wed (2)'!K78+Sun!K78+Sat!K78)</f>
        <v>0</v>
      </c>
      <c r="L78" s="71">
        <f>('Thurs (2)'!L78+Thurs!L78+'Tues '!L78+Wed!L78+Fri!L78+'Mon '!L78+'Wed (2)'!L78+Sun!L78+Sat!L78)</f>
        <v>0</v>
      </c>
      <c r="M78" s="71">
        <f>('Thurs (2)'!M78+Thurs!M78+'Tues '!M78+Wed!M78+Fri!M78+'Mon '!M78+'Wed (2)'!M78+Sun!M78+Sat!M78)</f>
        <v>0</v>
      </c>
      <c r="N78" s="71">
        <f>('Thurs (2)'!N78+Thurs!N78+'Tues '!N78+Wed!N78+Fri!N78+'Mon '!N78+'Wed (2)'!N78+Sun!N78+Sat!N78)</f>
        <v>0</v>
      </c>
      <c r="O78" s="71">
        <f>('Thurs (2)'!O78+Thurs!O78+'Tues '!O78+Wed!O78+Fri!O78+'Mon '!O78+'Wed (2)'!O78+Sun!O78+Sat!O78)</f>
        <v>0</v>
      </c>
      <c r="P78" s="71">
        <f>('Thurs (2)'!P78+Thurs!P78+'Tues '!P78+Wed!P78+Fri!P78+'Mon '!P78+'Wed (2)'!P78+Sun!P78+Sat!P78)</f>
        <v>0</v>
      </c>
      <c r="Q78" s="71">
        <f>('Thurs (2)'!Q78+Thurs!Q78+'Tues '!Q78+Wed!Q78+Fri!Q78+'Mon '!Q78+'Wed (2)'!Q78+Sun!Q78+Sat!Q78)</f>
        <v>0</v>
      </c>
      <c r="R78" s="71">
        <f>('Thurs (2)'!R78+Thurs!R78+'Tues '!R78+Wed!R78+Fri!R78+'Mon '!R78+'Wed (2)'!R78+Sun!R78+Sat!R78)</f>
        <v>0</v>
      </c>
      <c r="S78" s="71">
        <f>('Thurs (2)'!S78+Thurs!S78+'Tues '!S78+Wed!S78+Fri!S78+'Mon '!S78+'Wed (2)'!S78+Sun!S78+Sat!S78)</f>
        <v>0</v>
      </c>
      <c r="T78" s="71">
        <f>('Thurs (2)'!T78+Thurs!T78+'Tues '!T78+Wed!T78+Fri!T78+'Mon '!T78+'Wed (2)'!T78+Sun!T78+Sat!T78)</f>
        <v>0</v>
      </c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84</v>
      </c>
      <c r="D79" s="119"/>
      <c r="E79" s="90"/>
      <c r="F79" s="117" t="s">
        <v>87</v>
      </c>
      <c r="G79" s="71">
        <f>('Thurs (2)'!G79+Thurs!G79+'Tues '!G79+Wed!G79+Fri!G79+'Mon '!G79+'Wed (2)'!G79+Sun!G79+Sat!G79)</f>
        <v>0</v>
      </c>
      <c r="H79" s="71">
        <f>('Thurs (2)'!H79+Thurs!H79+'Tues '!H79+Wed!H79+Fri!H79+'Mon '!H79+'Wed (2)'!H79+Sun!H79+Sat!H79)</f>
        <v>0</v>
      </c>
      <c r="I79" s="71">
        <f>('Thurs (2)'!I79+Thurs!I79+'Tues '!I79+Wed!I79+Fri!I79+'Mon '!I79+'Wed (2)'!I79+Sun!I79+Sat!I79)</f>
        <v>0</v>
      </c>
      <c r="J79" s="71">
        <f>('Thurs (2)'!J79+Thurs!J79+'Tues '!J79+Wed!J79+Fri!J79+'Mon '!J79+'Wed (2)'!J79+Sun!J79+Sat!J79)</f>
        <v>0</v>
      </c>
      <c r="K79" s="71">
        <f>('Thurs (2)'!K79+Thurs!K79+'Tues '!K79+Wed!K79+Fri!K79+'Mon '!K79+'Wed (2)'!K79+Sun!K79+Sat!K79)</f>
        <v>0</v>
      </c>
      <c r="L79" s="71">
        <f>('Thurs (2)'!L79+Thurs!L79+'Tues '!L79+Wed!L79+Fri!L79+'Mon '!L79+'Wed (2)'!L79+Sun!L79+Sat!L79)</f>
        <v>0</v>
      </c>
      <c r="M79" s="71">
        <f>('Thurs (2)'!M79+Thurs!M79+'Tues '!M79+Wed!M79+Fri!M79+'Mon '!M79+'Wed (2)'!M79+Sun!M79+Sat!M79)</f>
        <v>0</v>
      </c>
      <c r="N79" s="71">
        <f>('Thurs (2)'!N79+Thurs!N79+'Tues '!N79+Wed!N79+Fri!N79+'Mon '!N79+'Wed (2)'!N79+Sun!N79+Sat!N79)</f>
        <v>0</v>
      </c>
      <c r="O79" s="71">
        <f>('Thurs (2)'!O79+Thurs!O79+'Tues '!O79+Wed!O79+Fri!O79+'Mon '!O79+'Wed (2)'!O79+Sun!O79+Sat!O79)</f>
        <v>0</v>
      </c>
      <c r="P79" s="71">
        <f>('Thurs (2)'!P79+Thurs!P79+'Tues '!P79+Wed!P79+Fri!P79+'Mon '!P79+'Wed (2)'!P79+Sun!P79+Sat!P79)</f>
        <v>0</v>
      </c>
      <c r="Q79" s="71">
        <f>('Thurs (2)'!Q79+Thurs!Q79+'Tues '!Q79+Wed!Q79+Fri!Q79+'Mon '!Q79+'Wed (2)'!Q79+Sun!Q79+Sat!Q79)</f>
        <v>0</v>
      </c>
      <c r="R79" s="71">
        <f>('Thurs (2)'!R79+Thurs!R79+'Tues '!R79+Wed!R79+Fri!R79+'Mon '!R79+'Wed (2)'!R79+Sun!R79+Sat!R79)</f>
        <v>0</v>
      </c>
      <c r="S79" s="71">
        <f>('Thurs (2)'!S79+Thurs!S79+'Tues '!S79+Wed!S79+Fri!S79+'Mon '!S79+'Wed (2)'!S79+Sun!S79+Sat!S79)</f>
        <v>0</v>
      </c>
      <c r="T79" s="71">
        <f>('Thurs (2)'!T79+Thurs!T79+'Tues '!T79+Wed!T79+Fri!T79+'Mon '!T79+'Wed (2)'!T79+Sun!T79+Sat!T79)</f>
        <v>0</v>
      </c>
      <c r="U79" s="72">
        <f t="shared" si="7"/>
        <v>0</v>
      </c>
      <c r="V79" s="72">
        <f t="shared" si="8"/>
        <v>0</v>
      </c>
      <c r="W79" s="73"/>
    </row>
    <row r="80" ht="12.75" customHeight="1">
      <c r="A80" s="116" t="s">
        <v>30</v>
      </c>
      <c r="B80" s="117" t="s">
        <v>33</v>
      </c>
      <c r="C80" s="117" t="s">
        <v>84</v>
      </c>
      <c r="D80" s="119"/>
      <c r="E80" s="90"/>
      <c r="F80" s="117" t="s">
        <v>88</v>
      </c>
      <c r="G80" s="71">
        <f>('Thurs (2)'!G80+Thurs!G80+'Tues '!G80+Wed!G80+Fri!G80+'Mon '!G80+'Wed (2)'!G80+Sun!G80+Sat!G80)</f>
        <v>0</v>
      </c>
      <c r="H80" s="71">
        <f>('Thurs (2)'!H80+Thurs!H80+'Tues '!H80+Wed!H80+Fri!H80+'Mon '!H80+'Wed (2)'!H80+Sun!H80+Sat!H80)</f>
        <v>0</v>
      </c>
      <c r="I80" s="71">
        <f>('Thurs (2)'!I80+Thurs!I80+'Tues '!I80+Wed!I80+Fri!I80+'Mon '!I80+'Wed (2)'!I80+Sun!I80+Sat!I80)</f>
        <v>0</v>
      </c>
      <c r="J80" s="71">
        <f>('Thurs (2)'!J80+Thurs!J80+'Tues '!J80+Wed!J80+Fri!J80+'Mon '!J80+'Wed (2)'!J80+Sun!J80+Sat!J80)</f>
        <v>0</v>
      </c>
      <c r="K80" s="71">
        <f>('Thurs (2)'!K80+Thurs!K80+'Tues '!K80+Wed!K80+Fri!K80+'Mon '!K80+'Wed (2)'!K80+Sun!K80+Sat!K80)</f>
        <v>0</v>
      </c>
      <c r="L80" s="71">
        <f>('Thurs (2)'!L80+Thurs!L80+'Tues '!L80+Wed!L80+Fri!L80+'Mon '!L80+'Wed (2)'!L80+Sun!L80+Sat!L80)</f>
        <v>0</v>
      </c>
      <c r="M80" s="71">
        <f>('Thurs (2)'!M80+Thurs!M80+'Tues '!M80+Wed!M80+Fri!M80+'Mon '!M80+'Wed (2)'!M80+Sun!M80+Sat!M80)</f>
        <v>0</v>
      </c>
      <c r="N80" s="71">
        <f>('Thurs (2)'!N80+Thurs!N80+'Tues '!N80+Wed!N80+Fri!N80+'Mon '!N80+'Wed (2)'!N80+Sun!N80+Sat!N80)</f>
        <v>0</v>
      </c>
      <c r="O80" s="71">
        <f>('Thurs (2)'!O80+Thurs!O80+'Tues '!O80+Wed!O80+Fri!O80+'Mon '!O80+'Wed (2)'!O80+Sun!O80+Sat!O80)</f>
        <v>0</v>
      </c>
      <c r="P80" s="71">
        <f>('Thurs (2)'!P80+Thurs!P80+'Tues '!P80+Wed!P80+Fri!P80+'Mon '!P80+'Wed (2)'!P80+Sun!P80+Sat!P80)</f>
        <v>0</v>
      </c>
      <c r="Q80" s="71">
        <f>('Thurs (2)'!Q80+Thurs!Q80+'Tues '!Q80+Wed!Q80+Fri!Q80+'Mon '!Q80+'Wed (2)'!Q80+Sun!Q80+Sat!Q80)</f>
        <v>0</v>
      </c>
      <c r="R80" s="71">
        <f>('Thurs (2)'!R80+Thurs!R80+'Tues '!R80+Wed!R80+Fri!R80+'Mon '!R80+'Wed (2)'!R80+Sun!R80+Sat!R80)</f>
        <v>0</v>
      </c>
      <c r="S80" s="71">
        <f>('Thurs (2)'!S80+Thurs!S80+'Tues '!S80+Wed!S80+Fri!S80+'Mon '!S80+'Wed (2)'!S80+Sun!S80+Sat!S80)</f>
        <v>0</v>
      </c>
      <c r="T80" s="71">
        <f>('Thurs (2)'!T80+Thurs!T80+'Tues '!T80+Wed!T80+Fri!T80+'Mon '!T80+'Wed (2)'!T80+Sun!T80+Sat!T80)</f>
        <v>0</v>
      </c>
      <c r="U80" s="72">
        <f t="shared" si="7"/>
        <v>0</v>
      </c>
      <c r="V80" s="72">
        <f t="shared" si="8"/>
        <v>0</v>
      </c>
      <c r="W80" s="73"/>
    </row>
    <row r="81" ht="20.25" customHeight="1">
      <c r="A81" s="62" t="s">
        <v>35</v>
      </c>
      <c r="B81" s="63" t="s">
        <v>36</v>
      </c>
      <c r="C81" s="63" t="s">
        <v>37</v>
      </c>
      <c r="D81" s="64"/>
      <c r="E81" s="63" t="s">
        <v>38</v>
      </c>
      <c r="F81" s="63" t="s">
        <v>39</v>
      </c>
      <c r="G81" s="65" t="s">
        <v>40</v>
      </c>
      <c r="H81" s="65" t="s">
        <v>41</v>
      </c>
      <c r="I81" s="65" t="s">
        <v>42</v>
      </c>
      <c r="J81" s="65" t="s">
        <v>12</v>
      </c>
      <c r="K81" s="65" t="s">
        <v>43</v>
      </c>
      <c r="L81" s="65" t="s">
        <v>14</v>
      </c>
      <c r="M81" s="65" t="s">
        <v>9</v>
      </c>
      <c r="N81" s="65" t="s">
        <v>10</v>
      </c>
      <c r="O81" s="65" t="s">
        <v>44</v>
      </c>
      <c r="P81" s="65" t="s">
        <v>5</v>
      </c>
      <c r="Q81" s="65" t="s">
        <v>45</v>
      </c>
      <c r="R81" s="65" t="s">
        <v>46</v>
      </c>
      <c r="S81" s="65" t="s">
        <v>47</v>
      </c>
      <c r="T81" s="65" t="s">
        <v>0</v>
      </c>
      <c r="U81" s="63" t="s">
        <v>48</v>
      </c>
      <c r="V81" s="63" t="s">
        <v>49</v>
      </c>
      <c r="W81" s="98"/>
    </row>
    <row r="82" ht="12.75" customHeight="1">
      <c r="A82" s="102" t="s">
        <v>34</v>
      </c>
      <c r="B82" s="102"/>
      <c r="C82" s="102"/>
      <c r="D82" s="120" t="s">
        <v>51</v>
      </c>
      <c r="E82" s="76"/>
      <c r="F82" s="102" t="s">
        <v>34</v>
      </c>
      <c r="G82" s="71">
        <f>('Thurs (2)'!G82+Thurs!G82+'Tues '!G82+Wed!G82+Fri!G82+'Mon '!G82+'Wed (2)'!G82+Sun!G82+Sat!G82)</f>
        <v>0</v>
      </c>
      <c r="H82" s="71">
        <f>('Thurs (2)'!H82+Thurs!H82+'Tues '!H82+Wed!H82+Fri!H82+'Mon '!H82+'Wed (2)'!H82+Sun!H82+Sat!H82)</f>
        <v>0</v>
      </c>
      <c r="I82" s="71">
        <f>('Thurs (2)'!I82+Thurs!I82+'Tues '!I82+Wed!I82+Fri!I82+'Mon '!I82+'Wed (2)'!I82+Sun!I82+Sat!I82)</f>
        <v>0</v>
      </c>
      <c r="J82" s="71">
        <f>('Thurs (2)'!J82+Thurs!J82+'Tues '!J82+Wed!J82+Fri!J82+'Mon '!J82+'Wed (2)'!J82+Sun!J82+Sat!J82)</f>
        <v>0</v>
      </c>
      <c r="K82" s="71">
        <f>('Thurs (2)'!K82+Thurs!K82+'Tues '!K82+Wed!K82+Fri!K82+'Mon '!K82+'Wed (2)'!K82+Sun!K82+Sat!K82)</f>
        <v>0</v>
      </c>
      <c r="L82" s="71">
        <f>('Thurs (2)'!L82+Thurs!L82+'Tues '!L82+Wed!L82+Fri!L82+'Mon '!L82+'Wed (2)'!L82+Sun!L82+Sat!L82)</f>
        <v>0</v>
      </c>
      <c r="M82" s="71">
        <f>('Thurs (2)'!M82+Thurs!M82+'Tues '!M82+Wed!M82+Fri!M82+'Mon '!M82+'Wed (2)'!M82+Sun!M82+Sat!M82)</f>
        <v>0</v>
      </c>
      <c r="N82" s="71">
        <f>('Thurs (2)'!N82+Thurs!N82+'Tues '!N82+Wed!N82+Fri!N82+'Mon '!N82+'Wed (2)'!N82+Sun!N82+Sat!N82)</f>
        <v>0</v>
      </c>
      <c r="O82" s="71">
        <f>('Thurs (2)'!O82+Thurs!O82+'Tues '!O82+Wed!O82+Fri!O82+'Mon '!O82+'Wed (2)'!O82+Sun!O82+Sat!O82)</f>
        <v>0</v>
      </c>
      <c r="P82" s="71">
        <f>('Thurs (2)'!P82+Thurs!P82+'Tues '!P82+Wed!P82+Fri!P82+'Mon '!P82+'Wed (2)'!P82+Sun!P82+Sat!P82)</f>
        <v>0</v>
      </c>
      <c r="Q82" s="71">
        <f>('Thurs (2)'!Q82+Thurs!Q82+'Tues '!Q82+Wed!Q82+Fri!Q82+'Mon '!Q82+'Wed (2)'!Q82+Sun!Q82+Sat!Q82)</f>
        <v>0</v>
      </c>
      <c r="R82" s="71">
        <f>('Thurs (2)'!R82+Thurs!R82+'Tues '!R82+Wed!R82+Fri!R82+'Mon '!R82+'Wed (2)'!R82+Sun!R82+Sat!R82)</f>
        <v>0</v>
      </c>
      <c r="S82" s="71">
        <f>('Thurs (2)'!S82+Thurs!S82+'Tues '!S82+Wed!S82+Fri!S82+'Mon '!S82+'Wed (2)'!S82+Sun!S82+Sat!S82)</f>
        <v>0</v>
      </c>
      <c r="T82" s="71">
        <f>('Thurs (2)'!T82+Thurs!T82+'Tues '!T82+Wed!T82+Fri!T82+'Mon '!T82+'Wed (2)'!T82+Sun!T82+Sat!T82)</f>
        <v>0</v>
      </c>
      <c r="U82" s="72">
        <f>IFERROR(I82/H82,0)</f>
        <v>0</v>
      </c>
      <c r="V82" s="72">
        <f>IFERROR(SUM(H82+L82)/G82,0)</f>
        <v>0</v>
      </c>
      <c r="W82" s="7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1"/>
      <c r="B600" s="121"/>
      <c r="C600" s="121"/>
      <c r="D600" s="1"/>
      <c r="E600" s="121"/>
      <c r="F600" s="11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3"/>
      <c r="V600" s="123"/>
      <c r="W600" s="12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2644</v>
      </c>
      <c r="D2" s="10"/>
      <c r="E2" s="9">
        <f t="shared" ref="E2:R2" si="1">SUM(E5,E14,E17)</f>
        <v>658</v>
      </c>
      <c r="F2" s="9">
        <f t="shared" si="1"/>
        <v>9</v>
      </c>
      <c r="G2" s="9">
        <f t="shared" si="1"/>
        <v>8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5</v>
      </c>
      <c r="L2" s="9">
        <f t="shared" si="1"/>
        <v>1</v>
      </c>
      <c r="M2" s="9">
        <f t="shared" si="1"/>
        <v>32</v>
      </c>
      <c r="N2" s="9">
        <f t="shared" si="1"/>
        <v>1</v>
      </c>
      <c r="O2" s="9">
        <f t="shared" si="1"/>
        <v>0</v>
      </c>
      <c r="P2" s="9">
        <f t="shared" si="1"/>
        <v>5</v>
      </c>
      <c r="Q2" s="9">
        <f t="shared" si="1"/>
        <v>1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1322</v>
      </c>
      <c r="F4" s="23">
        <f>IFERROR((G2+R2)/F2,0)</f>
        <v>1.222222222</v>
      </c>
      <c r="G4" s="23">
        <f>IFERROR(H2/G2,0)</f>
        <v>0.25</v>
      </c>
      <c r="H4" s="22">
        <f>(C2/C4)</f>
        <v>58.75555556</v>
      </c>
      <c r="I4" s="24"/>
      <c r="J4" s="23">
        <f>IFERROR(J2/I2,0)</f>
        <v>0</v>
      </c>
      <c r="K4" s="24"/>
      <c r="L4" s="23">
        <f>IFERROR(L2/K2,0)</f>
        <v>0.2</v>
      </c>
      <c r="M4" s="25">
        <f>IFERROR(M2/G2,0)</f>
        <v>4</v>
      </c>
      <c r="N4" s="24"/>
      <c r="O4" s="23">
        <f>IFERROR(O2/N2,0)</f>
        <v>0</v>
      </c>
      <c r="P4" s="26"/>
      <c r="Q4" s="23">
        <f>IFERROR(Q2/P2,0)</f>
        <v>0.2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2644</v>
      </c>
      <c r="D5" s="31"/>
      <c r="E5" s="32">
        <f>SUMIFS(T:T,A:A,B5,D:D,"Y")</f>
        <v>658</v>
      </c>
      <c r="F5" s="33">
        <f>SUMIF(A:A,B5,G:G)</f>
        <v>8</v>
      </c>
      <c r="G5" s="33">
        <f>SUMIF(A:A,B5,H:H)</f>
        <v>7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4</v>
      </c>
      <c r="L5" s="33">
        <f>SUMIF(A:A,B5,S:S)</f>
        <v>1</v>
      </c>
      <c r="M5" s="33">
        <f>SUMIF(A:A,B5,M:M)</f>
        <v>32</v>
      </c>
      <c r="N5" s="33">
        <f>SUMIF(A:A,B5,N:N)</f>
        <v>1</v>
      </c>
      <c r="O5" s="33">
        <f>SUMIF(A:A,B5,O:O)</f>
        <v>0</v>
      </c>
      <c r="P5" s="33">
        <f>SUMIF(A:A,B5,J:J)</f>
        <v>4</v>
      </c>
      <c r="Q5" s="33">
        <f>SUMIF(A:A,B5,K:K)</f>
        <v>1</v>
      </c>
      <c r="R5" s="34">
        <f>SUMIF(A:A,B5,L:L)</f>
        <v>3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1322</v>
      </c>
      <c r="F7" s="41">
        <f>IFERROR((G5+R5)/F5,0)</f>
        <v>1.25</v>
      </c>
      <c r="G7" s="41">
        <f>IFERROR(H5/G5,0)</f>
        <v>0.2857142857</v>
      </c>
      <c r="H7" s="40">
        <f>(C5/C7)</f>
        <v>132.2</v>
      </c>
      <c r="I7" s="42"/>
      <c r="J7" s="41">
        <f>IFERROR(J5/I5,0)</f>
        <v>0</v>
      </c>
      <c r="K7" s="42"/>
      <c r="L7" s="41">
        <f>IFERROR(L5/K5,0)</f>
        <v>0.25</v>
      </c>
      <c r="M7" s="43">
        <f>IFERROR(M5/SUM(R5+G5,0),"")</f>
        <v>3.2</v>
      </c>
      <c r="N7" s="42"/>
      <c r="O7" s="41">
        <f>IFERROR(O5/N5,0)</f>
        <v>0</v>
      </c>
      <c r="P7" s="43"/>
      <c r="Q7" s="41">
        <f>IFERROR(Q5/P5,0)</f>
        <v>0.25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658</v>
      </c>
      <c r="D11" s="47"/>
      <c r="E11" s="48">
        <f>SUMIFS(T:T,B:B,B11,D:D,"Y")</f>
        <v>658</v>
      </c>
      <c r="F11" s="49">
        <f t="shared" ref="F11:R11" si="2">SUMIF(B34:B1137,B11,G34:G1137)</f>
        <v>6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1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0.1666666667</v>
      </c>
      <c r="G13" s="23">
        <f>IFERROR(H11/G11,0)</f>
        <v>0</v>
      </c>
      <c r="H13" s="22">
        <f>(C11/C13)</f>
        <v>59.81818182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1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1</v>
      </c>
      <c r="G17" s="33">
        <f>SUMIF(A:A,B17,H:H)</f>
        <v>1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1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1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1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0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1</v>
      </c>
      <c r="G20" s="46">
        <f>SUMIF(B54:B1137,B20,H54:H1137)</f>
        <v>1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1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1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1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0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SUMIF(B59:B1137,B23,G59:G1137)</f>
        <v>0</v>
      </c>
      <c r="G23" s="46">
        <f>SUMIF(B59:B1137,B23,H59:H1137)</f>
        <v>0</v>
      </c>
      <c r="H23" s="46">
        <f>SUMIF(B59:B1137,B23,I59:I1137)</f>
        <v>0</v>
      </c>
      <c r="I23" s="46">
        <f>SUMIF(B59:B1137,B23,P59:P1137)</f>
        <v>0</v>
      </c>
      <c r="J23" s="46">
        <f>SUMIF(B59:B1137,B23,Q59:Q1137)</f>
        <v>0</v>
      </c>
      <c r="K23" s="46">
        <f>SUMIF(B59:B1137,B23,R59:R1137)</f>
        <v>0</v>
      </c>
      <c r="L23" s="46">
        <f>SUMIF(B59:B1137,B23,S59:S1137)</f>
        <v>0</v>
      </c>
      <c r="M23" s="46">
        <f>SUMIF(B59:B1137,B23,M59:M1137)</f>
        <v>0</v>
      </c>
      <c r="N23" s="46">
        <f>SUMIF(B59:B1137,B23,N59:N1137)</f>
        <v>0</v>
      </c>
      <c r="O23" s="46">
        <f>SUMIF(B59:B1137,B23,O59:O1137)</f>
        <v>0</v>
      </c>
      <c r="P23" s="46">
        <f>SUMIF(B59:B1137,B23,J59:J1137)</f>
        <v>0</v>
      </c>
      <c r="Q23" s="46">
        <f>SUMIF(B59:B1137,B23,K59:K1137)</f>
        <v>0</v>
      </c>
      <c r="R23" s="50">
        <f>SUMIF(B59:B1137,B23,L59:L1137)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SUMIF(B62:B1137,B26,G62:G1137)</f>
        <v>0</v>
      </c>
      <c r="G26" s="46">
        <f>SUMIF(B62:B1137,B26,H62:H1137)</f>
        <v>0</v>
      </c>
      <c r="H26" s="46">
        <f>SUMIF(B62:B1137,B26,I62:I1137)</f>
        <v>0</v>
      </c>
      <c r="I26" s="46">
        <f>SUMIF(B62:B1137,B26,P62:P1137)</f>
        <v>0</v>
      </c>
      <c r="J26" s="46">
        <f>SUMIF(B62:B1137,B26,Q62:Q1137)</f>
        <v>0</v>
      </c>
      <c r="K26" s="46">
        <f>SUMIF(B62:B1137,B26,R62:R1137)</f>
        <v>0</v>
      </c>
      <c r="L26" s="46">
        <f>SUMIF(B62:B1137,B26,S62:S1137)</f>
        <v>0</v>
      </c>
      <c r="M26" s="46">
        <f>SUMIF(B62:B1137,B26,M62:M1137)</f>
        <v>0</v>
      </c>
      <c r="N26" s="46">
        <f>SUMIF(B62:B1137,B26,N62:N1137)</f>
        <v>0</v>
      </c>
      <c r="O26" s="46">
        <f>SUMIF(B62:B1137,B26,O62:O1137)</f>
        <v>0</v>
      </c>
      <c r="P26" s="46">
        <f>SUMIF(B62:B1137,B26,J62:J1137)</f>
        <v>0</v>
      </c>
      <c r="Q26" s="46">
        <f>SUMIF(B62:B1137,B26,K62:K1137)</f>
        <v>0</v>
      </c>
      <c r="R26" s="50">
        <f>SUMIF(B62:B1137,B26,L62:L1137)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48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128">
        <v>2.0</v>
      </c>
      <c r="H36" s="128">
        <v>2.0</v>
      </c>
      <c r="I36" s="128">
        <v>0.0</v>
      </c>
      <c r="J36" s="128">
        <v>1.0</v>
      </c>
      <c r="K36" s="128">
        <v>0.0</v>
      </c>
      <c r="L36" s="128">
        <v>2.0</v>
      </c>
      <c r="M36" s="128">
        <v>5.0</v>
      </c>
      <c r="N36" s="128">
        <v>1.0</v>
      </c>
      <c r="O36" s="128">
        <v>0.0</v>
      </c>
      <c r="P36" s="128">
        <v>0.0</v>
      </c>
      <c r="Q36" s="128">
        <v>0.0</v>
      </c>
      <c r="R36" s="128">
        <v>1.0</v>
      </c>
      <c r="S36" s="128">
        <v>0.0</v>
      </c>
      <c r="T36" s="71"/>
      <c r="U36" s="72">
        <f t="shared" si="3"/>
        <v>0</v>
      </c>
      <c r="V36" s="72">
        <f t="shared" si="4"/>
        <v>2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128">
        <v>0.0</v>
      </c>
      <c r="H37" s="128">
        <v>2.0</v>
      </c>
      <c r="I37" s="128">
        <v>1.0</v>
      </c>
      <c r="J37" s="128">
        <v>1.0</v>
      </c>
      <c r="K37" s="128">
        <v>1.0</v>
      </c>
      <c r="L37" s="128">
        <v>1.0</v>
      </c>
      <c r="M37" s="128">
        <v>2.0</v>
      </c>
      <c r="N37" s="128">
        <v>0.0</v>
      </c>
      <c r="O37" s="128">
        <v>0.0</v>
      </c>
      <c r="P37" s="128">
        <v>0.0</v>
      </c>
      <c r="Q37" s="128">
        <v>0.0</v>
      </c>
      <c r="R37" s="128">
        <v>1.0</v>
      </c>
      <c r="S37" s="128">
        <v>1.0</v>
      </c>
      <c r="T37" s="128">
        <v>1986.0</v>
      </c>
      <c r="U37" s="72">
        <f t="shared" si="3"/>
        <v>0.5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128">
        <v>2.0</v>
      </c>
      <c r="H41" s="128">
        <v>1.0</v>
      </c>
      <c r="I41" s="128">
        <v>1.0</v>
      </c>
      <c r="J41" s="128">
        <v>0.0</v>
      </c>
      <c r="K41" s="128">
        <v>0.0</v>
      </c>
      <c r="L41" s="128">
        <v>0.0</v>
      </c>
      <c r="M41" s="128">
        <v>8.0</v>
      </c>
      <c r="N41" s="128">
        <v>0.0</v>
      </c>
      <c r="O41" s="128">
        <v>0.0</v>
      </c>
      <c r="P41" s="128">
        <v>0.0</v>
      </c>
      <c r="Q41" s="128">
        <v>0.0</v>
      </c>
      <c r="R41" s="128">
        <v>0.0</v>
      </c>
      <c r="S41" s="128">
        <v>0.0</v>
      </c>
      <c r="T41" s="128">
        <v>658.0</v>
      </c>
      <c r="U41" s="72">
        <f t="shared" si="3"/>
        <v>1</v>
      </c>
      <c r="V41" s="72">
        <f t="shared" si="4"/>
        <v>0.5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128">
        <v>0.0</v>
      </c>
      <c r="H42" s="128">
        <v>0.0</v>
      </c>
      <c r="I42" s="128">
        <v>0.0</v>
      </c>
      <c r="J42" s="128">
        <v>0.0</v>
      </c>
      <c r="K42" s="128">
        <v>0.0</v>
      </c>
      <c r="L42" s="128">
        <v>0.0</v>
      </c>
      <c r="M42" s="128">
        <v>0.0</v>
      </c>
      <c r="N42" s="128">
        <v>0.0</v>
      </c>
      <c r="O42" s="128">
        <v>0.0</v>
      </c>
      <c r="P42" s="128">
        <v>0.0</v>
      </c>
      <c r="Q42" s="128">
        <v>0.0</v>
      </c>
      <c r="R42" s="128">
        <v>0.0</v>
      </c>
      <c r="S42" s="128">
        <v>0.0</v>
      </c>
      <c r="T42" s="128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128">
        <v>0.0</v>
      </c>
      <c r="H43" s="128">
        <v>0.0</v>
      </c>
      <c r="I43" s="128">
        <v>0.0</v>
      </c>
      <c r="J43" s="128">
        <v>0.0</v>
      </c>
      <c r="K43" s="128">
        <v>0.0</v>
      </c>
      <c r="L43" s="128">
        <v>0.0</v>
      </c>
      <c r="M43" s="128">
        <v>0.0</v>
      </c>
      <c r="N43" s="128">
        <v>0.0</v>
      </c>
      <c r="O43" s="128">
        <v>0.0</v>
      </c>
      <c r="P43" s="128">
        <v>0.0</v>
      </c>
      <c r="Q43" s="128">
        <v>0.0</v>
      </c>
      <c r="R43" s="128">
        <v>0.0</v>
      </c>
      <c r="S43" s="128">
        <v>0.0</v>
      </c>
      <c r="T43" s="128">
        <v>0.0</v>
      </c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128">
        <v>0.0</v>
      </c>
      <c r="H44" s="128">
        <v>0.0</v>
      </c>
      <c r="I44" s="128">
        <v>0.0</v>
      </c>
      <c r="J44" s="128">
        <v>0.0</v>
      </c>
      <c r="K44" s="128">
        <v>0.0</v>
      </c>
      <c r="L44" s="128">
        <v>0.0</v>
      </c>
      <c r="M44" s="128">
        <v>0.0</v>
      </c>
      <c r="N44" s="128">
        <v>0.0</v>
      </c>
      <c r="O44" s="128">
        <v>0.0</v>
      </c>
      <c r="P44" s="128">
        <v>0.0</v>
      </c>
      <c r="Q44" s="128">
        <v>0.0</v>
      </c>
      <c r="R44" s="128">
        <v>0.0</v>
      </c>
      <c r="S44" s="128">
        <v>0.0</v>
      </c>
      <c r="T44" s="128">
        <v>0.0</v>
      </c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128">
        <v>0.0</v>
      </c>
      <c r="H45" s="128">
        <v>2.0</v>
      </c>
      <c r="I45" s="128">
        <v>0.0</v>
      </c>
      <c r="J45" s="128">
        <v>2.0</v>
      </c>
      <c r="K45" s="128">
        <v>0.0</v>
      </c>
      <c r="L45" s="128">
        <v>0.0</v>
      </c>
      <c r="M45" s="128">
        <v>17.0</v>
      </c>
      <c r="N45" s="128">
        <v>0.0</v>
      </c>
      <c r="O45" s="128">
        <v>0.0</v>
      </c>
      <c r="P45" s="128">
        <v>0.0</v>
      </c>
      <c r="Q45" s="128">
        <v>0.0</v>
      </c>
      <c r="R45" s="128">
        <v>2.0</v>
      </c>
      <c r="S45" s="128">
        <v>0.0</v>
      </c>
      <c r="T45" s="128">
        <v>0.0</v>
      </c>
      <c r="U45" s="72">
        <f t="shared" si="3"/>
        <v>0</v>
      </c>
      <c r="V45" s="72">
        <f t="shared" si="4"/>
        <v>0</v>
      </c>
      <c r="W45" s="73"/>
    </row>
    <row r="46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128">
        <v>0.0</v>
      </c>
      <c r="H46" s="128">
        <v>0.0</v>
      </c>
      <c r="I46" s="128">
        <v>0.0</v>
      </c>
      <c r="J46" s="128">
        <v>0.0</v>
      </c>
      <c r="K46" s="128">
        <v>0.0</v>
      </c>
      <c r="L46" s="128">
        <v>0.0</v>
      </c>
      <c r="M46" s="128">
        <v>0.0</v>
      </c>
      <c r="N46" s="128">
        <v>0.0</v>
      </c>
      <c r="O46" s="128">
        <v>0.0</v>
      </c>
      <c r="P46" s="128">
        <v>0.0</v>
      </c>
      <c r="Q46" s="128">
        <v>0.0</v>
      </c>
      <c r="R46" s="128">
        <v>0.0</v>
      </c>
      <c r="S46" s="128">
        <v>0.0</v>
      </c>
      <c r="T46" s="128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128">
        <v>2.0</v>
      </c>
      <c r="H47" s="128">
        <v>0.0</v>
      </c>
      <c r="I47" s="128">
        <v>0.0</v>
      </c>
      <c r="J47" s="128">
        <v>0.0</v>
      </c>
      <c r="K47" s="128">
        <v>0.0</v>
      </c>
      <c r="L47" s="128">
        <v>0.0</v>
      </c>
      <c r="M47" s="128">
        <v>0.0</v>
      </c>
      <c r="N47" s="128">
        <v>0.0</v>
      </c>
      <c r="O47" s="128">
        <v>0.0</v>
      </c>
      <c r="P47" s="128">
        <v>0.0</v>
      </c>
      <c r="Q47" s="128">
        <v>0.0</v>
      </c>
      <c r="R47" s="128">
        <v>0.0</v>
      </c>
      <c r="S47" s="128">
        <v>0.0</v>
      </c>
      <c r="T47" s="128">
        <v>0.0</v>
      </c>
      <c r="U47" s="72">
        <f t="shared" si="3"/>
        <v>0</v>
      </c>
      <c r="V47" s="72">
        <f t="shared" si="4"/>
        <v>0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128">
        <v>0.0</v>
      </c>
      <c r="H48" s="128">
        <v>0.0</v>
      </c>
      <c r="I48" s="128">
        <v>0.0</v>
      </c>
      <c r="J48" s="128">
        <v>0.0</v>
      </c>
      <c r="K48" s="128">
        <v>0.0</v>
      </c>
      <c r="L48" s="128">
        <v>0.0</v>
      </c>
      <c r="M48" s="128">
        <v>0.0</v>
      </c>
      <c r="N48" s="128">
        <v>0.0</v>
      </c>
      <c r="O48" s="128">
        <v>0.0</v>
      </c>
      <c r="P48" s="128">
        <v>0.0</v>
      </c>
      <c r="Q48" s="128">
        <v>0.0</v>
      </c>
      <c r="R48" s="128">
        <v>0.0</v>
      </c>
      <c r="S48" s="128">
        <v>0.0</v>
      </c>
      <c r="T48" s="128">
        <v>0.0</v>
      </c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128">
        <v>2.0</v>
      </c>
      <c r="H49" s="128">
        <v>0.0</v>
      </c>
      <c r="I49" s="128">
        <v>0.0</v>
      </c>
      <c r="J49" s="128">
        <v>0.0</v>
      </c>
      <c r="K49" s="128">
        <v>0.0</v>
      </c>
      <c r="L49" s="128">
        <v>0.0</v>
      </c>
      <c r="M49" s="128">
        <v>0.0</v>
      </c>
      <c r="N49" s="128">
        <v>0.0</v>
      </c>
      <c r="O49" s="128">
        <v>0.0</v>
      </c>
      <c r="P49" s="128">
        <v>0.0</v>
      </c>
      <c r="Q49" s="128">
        <v>0.0</v>
      </c>
      <c r="R49" s="128">
        <v>0.0</v>
      </c>
      <c r="S49" s="128">
        <v>0.0</v>
      </c>
      <c r="T49" s="128">
        <v>0.0</v>
      </c>
      <c r="U49" s="129">
        <v>0.0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ref="U50:U53" si="5">IFERROR(I50/H50,0)</f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5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5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5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60" si="6">IFERROR(I55/H55,0)</f>
        <v>0</v>
      </c>
      <c r="V55" s="72">
        <f t="shared" ref="V55:V60" si="7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6"/>
        <v>0</v>
      </c>
      <c r="V56" s="72">
        <f t="shared" si="7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6"/>
        <v>0</v>
      </c>
      <c r="V57" s="72">
        <f t="shared" si="7"/>
        <v>0</v>
      </c>
      <c r="W57" s="73"/>
    </row>
    <row r="58" ht="12.75" customHeight="1">
      <c r="A58" s="74" t="s">
        <v>29</v>
      </c>
      <c r="B58" s="75"/>
      <c r="C58" s="75"/>
      <c r="D58" s="76"/>
      <c r="E58" s="76"/>
      <c r="F58" s="78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6"/>
        <v>0</v>
      </c>
      <c r="V58" s="72">
        <f t="shared" si="7"/>
        <v>0</v>
      </c>
      <c r="W58" s="73"/>
    </row>
    <row r="59" ht="12.75" customHeight="1">
      <c r="A59" s="99" t="s">
        <v>29</v>
      </c>
      <c r="B59" s="90"/>
      <c r="C59" s="100" t="s">
        <v>72</v>
      </c>
      <c r="D59" s="101" t="s">
        <v>51</v>
      </c>
      <c r="E59" s="90"/>
      <c r="F59" s="100" t="s">
        <v>72</v>
      </c>
      <c r="G59" s="128">
        <v>0.0</v>
      </c>
      <c r="H59" s="128">
        <v>0.0</v>
      </c>
      <c r="I59" s="128">
        <v>0.0</v>
      </c>
      <c r="J59" s="128">
        <v>0.0</v>
      </c>
      <c r="K59" s="128">
        <v>0.0</v>
      </c>
      <c r="L59" s="128">
        <v>0.0</v>
      </c>
      <c r="M59" s="128">
        <v>0.0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2">
        <f t="shared" si="6"/>
        <v>0</v>
      </c>
      <c r="V59" s="72">
        <f t="shared" si="7"/>
        <v>0</v>
      </c>
      <c r="W59" s="73"/>
    </row>
    <row r="60" ht="20.25" customHeight="1">
      <c r="A60" s="87" t="s">
        <v>29</v>
      </c>
      <c r="B60" s="88"/>
      <c r="C60" s="88" t="s">
        <v>72</v>
      </c>
      <c r="D60" s="90"/>
      <c r="E60" s="90"/>
      <c r="F60" s="91" t="s">
        <v>73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si="6"/>
        <v>0</v>
      </c>
      <c r="V60" s="72">
        <f t="shared" si="7"/>
        <v>0</v>
      </c>
      <c r="W60" s="73"/>
    </row>
    <row r="61" ht="20.25" customHeight="1">
      <c r="A61" s="62" t="s">
        <v>35</v>
      </c>
      <c r="B61" s="63" t="s">
        <v>36</v>
      </c>
      <c r="C61" s="63" t="s">
        <v>37</v>
      </c>
      <c r="D61" s="64"/>
      <c r="E61" s="63" t="s">
        <v>38</v>
      </c>
      <c r="F61" s="63" t="s">
        <v>39</v>
      </c>
      <c r="G61" s="65" t="s">
        <v>40</v>
      </c>
      <c r="H61" s="65" t="s">
        <v>41</v>
      </c>
      <c r="I61" s="65" t="s">
        <v>42</v>
      </c>
      <c r="J61" s="65" t="s">
        <v>12</v>
      </c>
      <c r="K61" s="65" t="s">
        <v>43</v>
      </c>
      <c r="L61" s="65" t="s">
        <v>14</v>
      </c>
      <c r="M61" s="65" t="s">
        <v>9</v>
      </c>
      <c r="N61" s="65" t="s">
        <v>10</v>
      </c>
      <c r="O61" s="65" t="s">
        <v>44</v>
      </c>
      <c r="P61" s="65" t="s">
        <v>5</v>
      </c>
      <c r="Q61" s="65" t="s">
        <v>45</v>
      </c>
      <c r="R61" s="65" t="s">
        <v>46</v>
      </c>
      <c r="S61" s="65" t="s">
        <v>47</v>
      </c>
      <c r="T61" s="65" t="s">
        <v>0</v>
      </c>
      <c r="U61" s="63" t="s">
        <v>48</v>
      </c>
      <c r="V61" s="63" t="s">
        <v>49</v>
      </c>
      <c r="W61" s="98"/>
    </row>
    <row r="62" ht="12.75" customHeight="1">
      <c r="A62" s="102" t="s">
        <v>30</v>
      </c>
      <c r="B62" s="60"/>
      <c r="C62" s="60"/>
      <c r="D62" s="103" t="s">
        <v>51</v>
      </c>
      <c r="E62" s="60"/>
      <c r="F62" s="102" t="s">
        <v>30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ref="U62:U80" si="8">IFERROR(I62/H62,0)</f>
        <v>0</v>
      </c>
      <c r="V62" s="72">
        <f t="shared" ref="V62:V80" si="9">IFERROR(SUM(H62+L62)/G62,0)</f>
        <v>0</v>
      </c>
      <c r="W62" s="73"/>
    </row>
    <row r="63" ht="12.75" customHeight="1">
      <c r="A63" s="104" t="s">
        <v>30</v>
      </c>
      <c r="B63" s="60"/>
      <c r="C63" s="60"/>
      <c r="D63" s="59"/>
      <c r="E63" s="76"/>
      <c r="F63" s="104" t="s">
        <v>74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8"/>
        <v>0</v>
      </c>
      <c r="V63" s="72">
        <f t="shared" si="9"/>
        <v>0</v>
      </c>
      <c r="W63" s="73"/>
    </row>
    <row r="64" ht="12.75" customHeight="1">
      <c r="A64" s="105" t="s">
        <v>30</v>
      </c>
      <c r="B64" s="105" t="s">
        <v>31</v>
      </c>
      <c r="C64" s="106"/>
      <c r="D64" s="107" t="s">
        <v>51</v>
      </c>
      <c r="E64" s="96"/>
      <c r="F64" s="105" t="s">
        <v>31</v>
      </c>
      <c r="G64" s="128">
        <v>1.0</v>
      </c>
      <c r="H64" s="128">
        <v>1.0</v>
      </c>
      <c r="I64" s="128">
        <v>0.0</v>
      </c>
      <c r="J64" s="128">
        <v>1.0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1.0</v>
      </c>
      <c r="S64" s="128">
        <v>0.0</v>
      </c>
      <c r="T64" s="128">
        <v>0.0</v>
      </c>
      <c r="U64" s="72">
        <f t="shared" si="8"/>
        <v>0</v>
      </c>
      <c r="V64" s="72">
        <f t="shared" si="9"/>
        <v>1</v>
      </c>
      <c r="W64" s="73"/>
    </row>
    <row r="65" ht="12.75" customHeight="1">
      <c r="A65" s="104" t="s">
        <v>30</v>
      </c>
      <c r="B65" s="108" t="s">
        <v>31</v>
      </c>
      <c r="C65" s="108"/>
      <c r="D65" s="109"/>
      <c r="E65" s="70"/>
      <c r="F65" s="110" t="s">
        <v>75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8"/>
        <v>0</v>
      </c>
      <c r="V65" s="72">
        <f t="shared" si="9"/>
        <v>0</v>
      </c>
      <c r="W65" s="73"/>
    </row>
    <row r="66" ht="12.75" customHeight="1">
      <c r="A66" s="104" t="s">
        <v>30</v>
      </c>
      <c r="B66" s="104" t="s">
        <v>31</v>
      </c>
      <c r="C66" s="104"/>
      <c r="D66" s="60"/>
      <c r="E66" s="76"/>
      <c r="F66" s="104" t="s">
        <v>76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8"/>
        <v>0</v>
      </c>
      <c r="V66" s="72">
        <f t="shared" si="9"/>
        <v>0</v>
      </c>
      <c r="W66" s="73"/>
    </row>
    <row r="67" ht="12.75" customHeight="1">
      <c r="A67" s="105" t="s">
        <v>30</v>
      </c>
      <c r="B67" s="105" t="s">
        <v>32</v>
      </c>
      <c r="C67" s="105"/>
      <c r="D67" s="107" t="s">
        <v>51</v>
      </c>
      <c r="E67" s="82"/>
      <c r="F67" s="105" t="s">
        <v>32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8"/>
        <v>0</v>
      </c>
      <c r="V67" s="72">
        <f t="shared" si="9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8"/>
        <v>0</v>
      </c>
      <c r="V68" s="72">
        <f t="shared" si="9"/>
        <v>0</v>
      </c>
      <c r="W68" s="73"/>
    </row>
    <row r="69" ht="12.75" customHeight="1">
      <c r="A69" s="108" t="s">
        <v>30</v>
      </c>
      <c r="B69" s="108" t="s">
        <v>32</v>
      </c>
      <c r="C69" s="108"/>
      <c r="D69" s="59"/>
      <c r="E69" s="76"/>
      <c r="F69" s="111" t="s">
        <v>78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8"/>
        <v>0</v>
      </c>
      <c r="V69" s="72">
        <f t="shared" si="9"/>
        <v>0</v>
      </c>
      <c r="W69" s="73"/>
    </row>
    <row r="70" ht="12.75" customHeight="1">
      <c r="A70" s="105" t="s">
        <v>30</v>
      </c>
      <c r="B70" s="105" t="s">
        <v>33</v>
      </c>
      <c r="C70" s="105"/>
      <c r="D70" s="107" t="s">
        <v>51</v>
      </c>
      <c r="E70" s="82"/>
      <c r="F70" s="105" t="s">
        <v>33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8"/>
        <v>0</v>
      </c>
      <c r="V70" s="72">
        <f t="shared" si="9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8"/>
        <v>0</v>
      </c>
      <c r="V71" s="72">
        <f t="shared" si="9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8"/>
        <v>0</v>
      </c>
      <c r="V72" s="72">
        <f t="shared" si="9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04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8"/>
        <v>0</v>
      </c>
      <c r="V73" s="72">
        <f t="shared" si="9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8"/>
        <v>0</v>
      </c>
      <c r="V74" s="72">
        <f t="shared" si="9"/>
        <v>0</v>
      </c>
      <c r="W74" s="73"/>
    </row>
    <row r="75" ht="12.75" customHeight="1">
      <c r="A75" s="104" t="s">
        <v>30</v>
      </c>
      <c r="B75" s="104" t="s">
        <v>33</v>
      </c>
      <c r="C75" s="104"/>
      <c r="D75" s="60"/>
      <c r="E75" s="76"/>
      <c r="F75" s="111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8"/>
        <v>0</v>
      </c>
      <c r="V75" s="72">
        <f t="shared" si="9"/>
        <v>0</v>
      </c>
      <c r="W75" s="73"/>
    </row>
    <row r="76" ht="12.75" customHeight="1">
      <c r="A76" s="112" t="s">
        <v>30</v>
      </c>
      <c r="B76" s="113" t="s">
        <v>33</v>
      </c>
      <c r="C76" s="113" t="s">
        <v>84</v>
      </c>
      <c r="D76" s="114" t="s">
        <v>51</v>
      </c>
      <c r="E76" s="115"/>
      <c r="F76" s="113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8"/>
        <v>0</v>
      </c>
      <c r="V76" s="72">
        <f t="shared" si="9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84</v>
      </c>
      <c r="D77" s="118"/>
      <c r="E77" s="90"/>
      <c r="F77" s="117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8"/>
        <v>0</v>
      </c>
      <c r="V77" s="72">
        <f t="shared" si="9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84</v>
      </c>
      <c r="D78" s="119"/>
      <c r="E78" s="90"/>
      <c r="F78" s="117" t="s">
        <v>86</v>
      </c>
      <c r="G78" s="128">
        <v>0.0</v>
      </c>
      <c r="H78" s="128">
        <v>0.0</v>
      </c>
      <c r="I78" s="128">
        <v>0.0</v>
      </c>
      <c r="J78" s="128">
        <v>0.0</v>
      </c>
      <c r="K78" s="128">
        <v>0.0</v>
      </c>
      <c r="L78" s="128">
        <v>0.0</v>
      </c>
      <c r="M78" s="128">
        <v>0.0</v>
      </c>
      <c r="N78" s="128">
        <v>0.0</v>
      </c>
      <c r="O78" s="128">
        <v>0.0</v>
      </c>
      <c r="P78" s="128">
        <v>0.0</v>
      </c>
      <c r="Q78" s="128">
        <v>0.0</v>
      </c>
      <c r="R78" s="128">
        <v>0.0</v>
      </c>
      <c r="S78" s="128">
        <v>0.0</v>
      </c>
      <c r="T78" s="128">
        <v>0.0</v>
      </c>
      <c r="U78" s="72">
        <f t="shared" si="8"/>
        <v>0</v>
      </c>
      <c r="V78" s="72">
        <f t="shared" si="9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84</v>
      </c>
      <c r="D79" s="119"/>
      <c r="E79" s="90"/>
      <c r="F79" s="117" t="s">
        <v>87</v>
      </c>
      <c r="G79" s="128">
        <v>0.0</v>
      </c>
      <c r="H79" s="128">
        <v>0.0</v>
      </c>
      <c r="I79" s="128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0.0</v>
      </c>
      <c r="S79" s="128">
        <v>0.0</v>
      </c>
      <c r="T79" s="128">
        <v>0.0</v>
      </c>
      <c r="U79" s="72">
        <f t="shared" si="8"/>
        <v>0</v>
      </c>
      <c r="V79" s="72">
        <f t="shared" si="9"/>
        <v>0</v>
      </c>
      <c r="W79" s="73"/>
    </row>
    <row r="80" ht="12.75" customHeight="1">
      <c r="A80" s="116" t="s">
        <v>30</v>
      </c>
      <c r="B80" s="117" t="s">
        <v>33</v>
      </c>
      <c r="C80" s="117" t="s">
        <v>84</v>
      </c>
      <c r="D80" s="119"/>
      <c r="E80" s="90"/>
      <c r="F80" s="117" t="s">
        <v>88</v>
      </c>
      <c r="G80" s="128">
        <v>0.0</v>
      </c>
      <c r="H80" s="128">
        <v>0.0</v>
      </c>
      <c r="I80" s="128">
        <v>0.0</v>
      </c>
      <c r="J80" s="128">
        <v>0.0</v>
      </c>
      <c r="K80" s="128">
        <v>0.0</v>
      </c>
      <c r="L80" s="128">
        <v>0.0</v>
      </c>
      <c r="M80" s="128">
        <v>0.0</v>
      </c>
      <c r="N80" s="128">
        <v>0.0</v>
      </c>
      <c r="O80" s="128">
        <v>0.0</v>
      </c>
      <c r="P80" s="128">
        <v>0.0</v>
      </c>
      <c r="Q80" s="128">
        <v>0.0</v>
      </c>
      <c r="R80" s="128">
        <v>0.0</v>
      </c>
      <c r="S80" s="128">
        <v>0.0</v>
      </c>
      <c r="T80" s="128">
        <v>0.0</v>
      </c>
      <c r="U80" s="72">
        <f t="shared" si="8"/>
        <v>0</v>
      </c>
      <c r="V80" s="72">
        <f t="shared" si="9"/>
        <v>0</v>
      </c>
      <c r="W80" s="73"/>
    </row>
    <row r="81" ht="20.25" customHeight="1">
      <c r="A81" s="62" t="s">
        <v>35</v>
      </c>
      <c r="B81" s="63" t="s">
        <v>36</v>
      </c>
      <c r="C81" s="63" t="s">
        <v>37</v>
      </c>
      <c r="D81" s="64"/>
      <c r="E81" s="63" t="s">
        <v>38</v>
      </c>
      <c r="F81" s="63" t="s">
        <v>39</v>
      </c>
      <c r="G81" s="65" t="s">
        <v>40</v>
      </c>
      <c r="H81" s="65" t="s">
        <v>41</v>
      </c>
      <c r="I81" s="65" t="s">
        <v>42</v>
      </c>
      <c r="J81" s="65" t="s">
        <v>12</v>
      </c>
      <c r="K81" s="65" t="s">
        <v>43</v>
      </c>
      <c r="L81" s="65" t="s">
        <v>14</v>
      </c>
      <c r="M81" s="65" t="s">
        <v>9</v>
      </c>
      <c r="N81" s="65" t="s">
        <v>10</v>
      </c>
      <c r="O81" s="65" t="s">
        <v>44</v>
      </c>
      <c r="P81" s="65" t="s">
        <v>5</v>
      </c>
      <c r="Q81" s="65" t="s">
        <v>45</v>
      </c>
      <c r="R81" s="65" t="s">
        <v>46</v>
      </c>
      <c r="S81" s="65" t="s">
        <v>47</v>
      </c>
      <c r="T81" s="65" t="s">
        <v>0</v>
      </c>
      <c r="U81" s="63" t="s">
        <v>48</v>
      </c>
      <c r="V81" s="63" t="s">
        <v>49</v>
      </c>
      <c r="W81" s="98"/>
    </row>
    <row r="82" ht="12.75" customHeight="1">
      <c r="A82" s="102" t="s">
        <v>34</v>
      </c>
      <c r="B82" s="102"/>
      <c r="C82" s="102"/>
      <c r="D82" s="120" t="s">
        <v>51</v>
      </c>
      <c r="E82" s="76"/>
      <c r="F82" s="102" t="s">
        <v>34</v>
      </c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>
        <f>IFERROR(I82/H82,0)</f>
        <v>0</v>
      </c>
      <c r="V82" s="72">
        <f>IFERROR(SUM(H82+L82)/G82,0)</f>
        <v>0</v>
      </c>
      <c r="W82" s="7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1"/>
      <c r="B600" s="121"/>
      <c r="C600" s="121"/>
      <c r="D600" s="1"/>
      <c r="E600" s="121"/>
      <c r="F600" s="11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3"/>
      <c r="V600" s="123"/>
      <c r="W600" s="12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30"/>
      <c r="B1074" s="130"/>
      <c r="C1074" s="130"/>
      <c r="D1074" s="125"/>
      <c r="E1074" s="130"/>
      <c r="F1074" s="131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  <c r="W1074" s="133"/>
    </row>
    <row r="1075" ht="12.75" customHeight="1">
      <c r="A1075" s="130"/>
      <c r="B1075" s="130"/>
      <c r="C1075" s="130"/>
      <c r="D1075" s="125"/>
      <c r="E1075" s="130"/>
      <c r="F1075" s="131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  <c r="W1075" s="133"/>
    </row>
    <row r="1076" ht="12.75" customHeight="1">
      <c r="A1076" s="130"/>
      <c r="B1076" s="130"/>
      <c r="C1076" s="130"/>
      <c r="D1076" s="125"/>
      <c r="E1076" s="130"/>
      <c r="F1076" s="131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  <c r="W1076" s="133"/>
    </row>
    <row r="1077" ht="12.75" customHeight="1">
      <c r="A1077" s="130"/>
      <c r="B1077" s="130"/>
      <c r="C1077" s="130"/>
      <c r="D1077" s="125"/>
      <c r="E1077" s="130"/>
      <c r="F1077" s="131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  <c r="W1077" s="133"/>
    </row>
    <row r="1078" ht="12.75" customHeight="1">
      <c r="A1078" s="130"/>
      <c r="B1078" s="130"/>
      <c r="C1078" s="130"/>
      <c r="D1078" s="125"/>
      <c r="E1078" s="130"/>
      <c r="F1078" s="131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  <c r="W1078" s="133"/>
    </row>
    <row r="1079" ht="12.75" customHeight="1">
      <c r="A1079" s="130"/>
      <c r="B1079" s="130"/>
      <c r="C1079" s="130"/>
      <c r="D1079" s="125"/>
      <c r="E1079" s="130"/>
      <c r="F1079" s="131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  <c r="W1079" s="133"/>
    </row>
    <row r="1080" ht="12.75" customHeight="1">
      <c r="A1080" s="130"/>
      <c r="B1080" s="130"/>
      <c r="C1080" s="130"/>
      <c r="D1080" s="125"/>
      <c r="E1080" s="130"/>
      <c r="F1080" s="131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  <c r="W1080" s="133"/>
    </row>
    <row r="1081" ht="12.75" customHeight="1">
      <c r="A1081" s="130"/>
      <c r="B1081" s="130"/>
      <c r="C1081" s="130"/>
      <c r="D1081" s="125"/>
      <c r="E1081" s="130"/>
      <c r="F1081" s="131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  <c r="W1081" s="133"/>
    </row>
    <row r="1082" ht="12.75" customHeight="1">
      <c r="A1082" s="130"/>
      <c r="B1082" s="130"/>
      <c r="C1082" s="130"/>
      <c r="D1082" s="125"/>
      <c r="E1082" s="130"/>
      <c r="F1082" s="131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  <c r="W1082" s="133"/>
    </row>
    <row r="1083" ht="12.75" customHeight="1">
      <c r="A1083" s="130"/>
      <c r="B1083" s="130"/>
      <c r="C1083" s="130"/>
      <c r="D1083" s="125"/>
      <c r="E1083" s="130"/>
      <c r="F1083" s="131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  <c r="W1083" s="133"/>
    </row>
    <row r="1084" ht="12.75" customHeight="1">
      <c r="A1084" s="130"/>
      <c r="B1084" s="130"/>
      <c r="C1084" s="130"/>
      <c r="D1084" s="125"/>
      <c r="E1084" s="130"/>
      <c r="F1084" s="131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  <c r="W1084" s="133"/>
    </row>
    <row r="1085" ht="12.75" customHeight="1">
      <c r="A1085" s="130"/>
      <c r="B1085" s="130"/>
      <c r="C1085" s="130"/>
      <c r="D1085" s="125"/>
      <c r="E1085" s="130"/>
      <c r="F1085" s="131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  <c r="W1085" s="133"/>
    </row>
    <row r="1086" ht="12.75" customHeight="1">
      <c r="A1086" s="130"/>
      <c r="B1086" s="130"/>
      <c r="C1086" s="130"/>
      <c r="D1086" s="125"/>
      <c r="E1086" s="130"/>
      <c r="F1086" s="131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  <c r="W1086" s="133"/>
    </row>
    <row r="1087" ht="12.75" customHeight="1">
      <c r="A1087" s="130"/>
      <c r="B1087" s="130"/>
      <c r="C1087" s="130"/>
      <c r="D1087" s="125"/>
      <c r="E1087" s="130"/>
      <c r="F1087" s="131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  <c r="W1087" s="133"/>
    </row>
    <row r="1088" ht="12.75" customHeight="1">
      <c r="A1088" s="130"/>
      <c r="B1088" s="130"/>
      <c r="C1088" s="130"/>
      <c r="D1088" s="125"/>
      <c r="E1088" s="130"/>
      <c r="F1088" s="131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  <c r="W1088" s="133"/>
    </row>
    <row r="1089" ht="12.75" customHeight="1">
      <c r="A1089" s="130"/>
      <c r="B1089" s="130"/>
      <c r="C1089" s="130"/>
      <c r="D1089" s="125"/>
      <c r="E1089" s="130"/>
      <c r="F1089" s="131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  <c r="W1089" s="133"/>
    </row>
    <row r="1090" ht="12.75" customHeight="1">
      <c r="A1090" s="130"/>
      <c r="B1090" s="130"/>
      <c r="C1090" s="130"/>
      <c r="D1090" s="125"/>
      <c r="E1090" s="130"/>
      <c r="F1090" s="131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  <c r="W1090" s="133"/>
    </row>
    <row r="1091" ht="12.75" customHeight="1">
      <c r="A1091" s="130"/>
      <c r="B1091" s="130"/>
      <c r="C1091" s="130"/>
      <c r="D1091" s="125"/>
      <c r="E1091" s="130"/>
      <c r="F1091" s="131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  <c r="W1091" s="133"/>
    </row>
    <row r="1092" ht="12.75" customHeight="1">
      <c r="A1092" s="130"/>
      <c r="B1092" s="130"/>
      <c r="C1092" s="130"/>
      <c r="D1092" s="125"/>
      <c r="E1092" s="130"/>
      <c r="F1092" s="131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  <c r="W1092" s="133"/>
    </row>
    <row r="1093" ht="12.75" customHeight="1">
      <c r="A1093" s="130"/>
      <c r="B1093" s="130"/>
      <c r="C1093" s="130"/>
      <c r="D1093" s="125"/>
      <c r="E1093" s="130"/>
      <c r="F1093" s="131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  <c r="W1093" s="133"/>
    </row>
    <row r="1094" ht="12.75" customHeight="1">
      <c r="A1094" s="130"/>
      <c r="B1094" s="130"/>
      <c r="C1094" s="130"/>
      <c r="D1094" s="125"/>
      <c r="E1094" s="130"/>
      <c r="F1094" s="131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  <c r="W1094" s="133"/>
    </row>
    <row r="1095" ht="12.75" customHeight="1">
      <c r="A1095" s="130"/>
      <c r="B1095" s="130"/>
      <c r="C1095" s="130"/>
      <c r="D1095" s="125"/>
      <c r="E1095" s="130"/>
      <c r="F1095" s="131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  <c r="W1095" s="133"/>
    </row>
    <row r="1096" ht="12.75" customHeight="1">
      <c r="A1096" s="130"/>
      <c r="B1096" s="130"/>
      <c r="C1096" s="130"/>
      <c r="D1096" s="125"/>
      <c r="E1096" s="130"/>
      <c r="F1096" s="131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  <c r="W1096" s="133"/>
    </row>
    <row r="1097" ht="12.75" customHeight="1">
      <c r="A1097" s="130"/>
      <c r="B1097" s="130"/>
      <c r="C1097" s="130"/>
      <c r="D1097" s="125"/>
      <c r="E1097" s="130"/>
      <c r="F1097" s="131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  <c r="W1097" s="133"/>
    </row>
    <row r="1098" ht="12.75" customHeight="1">
      <c r="A1098" s="130"/>
      <c r="B1098" s="130"/>
      <c r="C1098" s="130"/>
      <c r="D1098" s="125"/>
      <c r="E1098" s="130"/>
      <c r="F1098" s="131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  <c r="W1098" s="133"/>
    </row>
    <row r="1099" ht="12.75" customHeight="1">
      <c r="A1099" s="130"/>
      <c r="B1099" s="130"/>
      <c r="C1099" s="130"/>
      <c r="D1099" s="125"/>
      <c r="E1099" s="130"/>
      <c r="F1099" s="131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  <c r="W1099" s="133"/>
    </row>
    <row r="1100" ht="12.75" customHeight="1">
      <c r="A1100" s="130"/>
      <c r="B1100" s="130"/>
      <c r="C1100" s="130"/>
      <c r="D1100" s="125"/>
      <c r="E1100" s="130"/>
      <c r="F1100" s="131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  <c r="W1100" s="133"/>
    </row>
    <row r="1101" ht="12.75" customHeight="1">
      <c r="A1101" s="130"/>
      <c r="B1101" s="130"/>
      <c r="C1101" s="130"/>
      <c r="D1101" s="125"/>
      <c r="E1101" s="130"/>
      <c r="F1101" s="131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  <c r="W1101" s="133"/>
    </row>
    <row r="1102" ht="12.75" customHeight="1">
      <c r="A1102" s="130"/>
      <c r="B1102" s="130"/>
      <c r="C1102" s="130"/>
      <c r="D1102" s="125"/>
      <c r="E1102" s="130"/>
      <c r="F1102" s="131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  <c r="W1102" s="133"/>
    </row>
    <row r="1103" ht="12.75" customHeight="1">
      <c r="A1103" s="130"/>
      <c r="B1103" s="130"/>
      <c r="C1103" s="130"/>
      <c r="D1103" s="125"/>
      <c r="E1103" s="130"/>
      <c r="F1103" s="131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  <c r="W1103" s="133"/>
    </row>
    <row r="1104" ht="12.75" customHeight="1">
      <c r="A1104" s="130"/>
      <c r="B1104" s="130"/>
      <c r="C1104" s="130"/>
      <c r="D1104" s="125"/>
      <c r="E1104" s="130"/>
      <c r="F1104" s="131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  <c r="W1104" s="133"/>
    </row>
    <row r="1105" ht="12.75" customHeight="1">
      <c r="A1105" s="130"/>
      <c r="B1105" s="130"/>
      <c r="C1105" s="130"/>
      <c r="D1105" s="125"/>
      <c r="E1105" s="130"/>
      <c r="F1105" s="131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  <c r="W1105" s="133"/>
    </row>
    <row r="1106" ht="12.75" customHeight="1">
      <c r="A1106" s="130"/>
      <c r="B1106" s="130"/>
      <c r="C1106" s="130"/>
      <c r="D1106" s="125"/>
      <c r="E1106" s="130"/>
      <c r="F1106" s="131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  <c r="W1106" s="133"/>
    </row>
    <row r="1107" ht="12.75" customHeight="1">
      <c r="A1107" s="130"/>
      <c r="B1107" s="130"/>
      <c r="C1107" s="130"/>
      <c r="D1107" s="125"/>
      <c r="E1107" s="130"/>
      <c r="F1107" s="131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  <c r="W1107" s="133"/>
    </row>
    <row r="1108" ht="12.75" customHeight="1">
      <c r="A1108" s="130"/>
      <c r="B1108" s="130"/>
      <c r="C1108" s="130"/>
      <c r="D1108" s="125"/>
      <c r="E1108" s="130"/>
      <c r="F1108" s="131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  <c r="W1108" s="133"/>
    </row>
    <row r="1109" ht="12.75" customHeight="1">
      <c r="A1109" s="130"/>
      <c r="B1109" s="130"/>
      <c r="C1109" s="130"/>
      <c r="D1109" s="125"/>
      <c r="E1109" s="130"/>
      <c r="F1109" s="131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  <c r="W1109" s="133"/>
    </row>
    <row r="1110" ht="12.75" customHeight="1">
      <c r="A1110" s="130"/>
      <c r="B1110" s="130"/>
      <c r="C1110" s="130"/>
      <c r="D1110" s="125"/>
      <c r="E1110" s="130"/>
      <c r="F1110" s="131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  <c r="W1110" s="133"/>
    </row>
    <row r="1111" ht="12.75" customHeight="1">
      <c r="A1111" s="130"/>
      <c r="B1111" s="130"/>
      <c r="C1111" s="130"/>
      <c r="D1111" s="125"/>
      <c r="E1111" s="130"/>
      <c r="F1111" s="131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  <c r="W1111" s="133"/>
    </row>
    <row r="1112" ht="12.75" customHeight="1">
      <c r="A1112" s="130"/>
      <c r="B1112" s="130"/>
      <c r="C1112" s="130"/>
      <c r="D1112" s="125"/>
      <c r="E1112" s="130"/>
      <c r="F1112" s="131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  <c r="W1112" s="133"/>
    </row>
    <row r="1113" ht="12.75" customHeight="1">
      <c r="A1113" s="130"/>
      <c r="B1113" s="130"/>
      <c r="C1113" s="130"/>
      <c r="D1113" s="125"/>
      <c r="E1113" s="130"/>
      <c r="F1113" s="131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  <c r="W1113" s="133"/>
    </row>
    <row r="1114" ht="12.75" customHeight="1">
      <c r="A1114" s="130"/>
      <c r="B1114" s="130"/>
      <c r="C1114" s="130"/>
      <c r="D1114" s="125"/>
      <c r="E1114" s="130"/>
      <c r="F1114" s="131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  <c r="W1114" s="133"/>
    </row>
    <row r="1115" ht="12.75" customHeight="1">
      <c r="A1115" s="130"/>
      <c r="B1115" s="130"/>
      <c r="C1115" s="130"/>
      <c r="D1115" s="125"/>
      <c r="E1115" s="130"/>
      <c r="F1115" s="131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  <c r="W1115" s="133"/>
    </row>
    <row r="1116" ht="12.75" customHeight="1">
      <c r="A1116" s="130"/>
      <c r="B1116" s="130"/>
      <c r="C1116" s="130"/>
      <c r="D1116" s="125"/>
      <c r="E1116" s="130"/>
      <c r="F1116" s="131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  <c r="W1116" s="133"/>
    </row>
    <row r="1117" ht="12.75" customHeight="1">
      <c r="A1117" s="130"/>
      <c r="B1117" s="130"/>
      <c r="C1117" s="130"/>
      <c r="D1117" s="125"/>
      <c r="E1117" s="130"/>
      <c r="F1117" s="131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  <c r="W1117" s="133"/>
    </row>
    <row r="1118" ht="12.75" customHeight="1">
      <c r="A1118" s="130"/>
      <c r="B1118" s="130"/>
      <c r="C1118" s="130"/>
      <c r="D1118" s="125"/>
      <c r="E1118" s="130"/>
      <c r="F1118" s="131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  <c r="W1118" s="133"/>
    </row>
    <row r="1119" ht="12.75" customHeight="1">
      <c r="A1119" s="130"/>
      <c r="B1119" s="130"/>
      <c r="C1119" s="130"/>
      <c r="D1119" s="125"/>
      <c r="E1119" s="130"/>
      <c r="F1119" s="131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  <c r="W1119" s="133"/>
    </row>
    <row r="1120" ht="12.75" customHeight="1">
      <c r="A1120" s="130"/>
      <c r="B1120" s="130"/>
      <c r="C1120" s="130"/>
      <c r="D1120" s="125"/>
      <c r="E1120" s="130"/>
      <c r="F1120" s="131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  <c r="W1120" s="133"/>
    </row>
    <row r="1121" ht="12.75" customHeight="1">
      <c r="A1121" s="130"/>
      <c r="B1121" s="130"/>
      <c r="C1121" s="130"/>
      <c r="D1121" s="125"/>
      <c r="E1121" s="130"/>
      <c r="F1121" s="131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  <c r="W1121" s="133"/>
    </row>
    <row r="1122" ht="12.75" customHeight="1">
      <c r="A1122" s="130"/>
      <c r="B1122" s="130"/>
      <c r="C1122" s="130"/>
      <c r="D1122" s="125"/>
      <c r="E1122" s="130"/>
      <c r="F1122" s="131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  <c r="W1122" s="133"/>
    </row>
    <row r="1123" ht="12.75" customHeight="1">
      <c r="A1123" s="130"/>
      <c r="B1123" s="130"/>
      <c r="C1123" s="130"/>
      <c r="D1123" s="125"/>
      <c r="E1123" s="130"/>
      <c r="F1123" s="131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  <c r="W1123" s="133"/>
    </row>
    <row r="1124" ht="12.75" customHeight="1">
      <c r="A1124" s="130"/>
      <c r="B1124" s="130"/>
      <c r="C1124" s="130"/>
      <c r="D1124" s="125"/>
      <c r="E1124" s="130"/>
      <c r="F1124" s="131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  <c r="W1124" s="133"/>
    </row>
    <row r="1125" ht="12.75" customHeight="1">
      <c r="A1125" s="130"/>
      <c r="B1125" s="130"/>
      <c r="C1125" s="130"/>
      <c r="D1125" s="125"/>
      <c r="E1125" s="130"/>
      <c r="F1125" s="131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  <c r="W1125" s="133"/>
    </row>
    <row r="1126" ht="12.75" customHeight="1">
      <c r="A1126" s="130"/>
      <c r="B1126" s="130"/>
      <c r="C1126" s="130"/>
      <c r="D1126" s="125"/>
      <c r="E1126" s="130"/>
      <c r="F1126" s="131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  <c r="W1126" s="133"/>
    </row>
    <row r="1127" ht="12.75" customHeight="1">
      <c r="A1127" s="130"/>
      <c r="B1127" s="130"/>
      <c r="C1127" s="130"/>
      <c r="D1127" s="125"/>
      <c r="E1127" s="130"/>
      <c r="F1127" s="131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  <c r="W1127" s="133"/>
    </row>
    <row r="1128" ht="12.75" customHeight="1">
      <c r="A1128" s="130"/>
      <c r="B1128" s="130"/>
      <c r="C1128" s="130"/>
      <c r="D1128" s="125"/>
      <c r="E1128" s="130"/>
      <c r="F1128" s="131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  <c r="W1128" s="133"/>
    </row>
    <row r="1129" ht="12.75" customHeight="1">
      <c r="A1129" s="130"/>
      <c r="B1129" s="130"/>
      <c r="C1129" s="130"/>
      <c r="D1129" s="125"/>
      <c r="E1129" s="130"/>
      <c r="F1129" s="131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  <c r="W1129" s="133"/>
    </row>
    <row r="1130" ht="12.75" customHeight="1">
      <c r="A1130" s="130"/>
      <c r="B1130" s="130"/>
      <c r="C1130" s="130"/>
      <c r="D1130" s="125"/>
      <c r="E1130" s="130"/>
      <c r="F1130" s="131"/>
      <c r="G1130" s="132"/>
      <c r="H1130" s="132"/>
      <c r="I1130" s="132"/>
      <c r="J1130" s="132"/>
      <c r="K1130" s="132"/>
      <c r="L1130" s="132"/>
      <c r="M1130" s="132"/>
      <c r="N1130" s="132"/>
      <c r="O1130" s="132"/>
      <c r="P1130" s="132"/>
      <c r="Q1130" s="132"/>
      <c r="R1130" s="132"/>
      <c r="S1130" s="132"/>
      <c r="T1130" s="132"/>
      <c r="U1130" s="133"/>
      <c r="V1130" s="133"/>
      <c r="W1130" s="133"/>
    </row>
    <row r="1131" ht="12.75" customHeight="1">
      <c r="A1131" s="130"/>
      <c r="B1131" s="130"/>
      <c r="C1131" s="130"/>
      <c r="D1131" s="125"/>
      <c r="E1131" s="130"/>
      <c r="F1131" s="131"/>
      <c r="G1131" s="132"/>
      <c r="H1131" s="132"/>
      <c r="I1131" s="132"/>
      <c r="J1131" s="132"/>
      <c r="K1131" s="132"/>
      <c r="L1131" s="132"/>
      <c r="M1131" s="132"/>
      <c r="N1131" s="132"/>
      <c r="O1131" s="132"/>
      <c r="P1131" s="132"/>
      <c r="Q1131" s="132"/>
      <c r="R1131" s="132"/>
      <c r="S1131" s="132"/>
      <c r="T1131" s="132"/>
      <c r="U1131" s="133"/>
      <c r="V1131" s="133"/>
      <c r="W1131" s="133"/>
    </row>
    <row r="1132" ht="12.75" customHeight="1">
      <c r="A1132" s="130"/>
      <c r="B1132" s="130"/>
      <c r="C1132" s="130"/>
      <c r="D1132" s="125"/>
      <c r="E1132" s="130"/>
      <c r="F1132" s="131"/>
      <c r="G1132" s="132"/>
      <c r="H1132" s="132"/>
      <c r="I1132" s="132"/>
      <c r="J1132" s="132"/>
      <c r="K1132" s="132"/>
      <c r="L1132" s="132"/>
      <c r="M1132" s="132"/>
      <c r="N1132" s="132"/>
      <c r="O1132" s="132"/>
      <c r="P1132" s="132"/>
      <c r="Q1132" s="132"/>
      <c r="R1132" s="132"/>
      <c r="S1132" s="132"/>
      <c r="T1132" s="132"/>
      <c r="U1132" s="133"/>
      <c r="V1132" s="133"/>
      <c r="W1132" s="133"/>
    </row>
    <row r="1133" ht="12.75" customHeight="1">
      <c r="A1133" s="130"/>
      <c r="B1133" s="130"/>
      <c r="C1133" s="130"/>
      <c r="D1133" s="125"/>
      <c r="E1133" s="130"/>
      <c r="F1133" s="131"/>
      <c r="G1133" s="132"/>
      <c r="H1133" s="132"/>
      <c r="I1133" s="132"/>
      <c r="J1133" s="132"/>
      <c r="K1133" s="132"/>
      <c r="L1133" s="132"/>
      <c r="M1133" s="132"/>
      <c r="N1133" s="132"/>
      <c r="O1133" s="132"/>
      <c r="P1133" s="132"/>
      <c r="Q1133" s="132"/>
      <c r="R1133" s="132"/>
      <c r="S1133" s="132"/>
      <c r="T1133" s="132"/>
      <c r="U1133" s="133"/>
      <c r="V1133" s="133"/>
      <c r="W1133" s="133"/>
    </row>
    <row r="1134" ht="12.75" customHeight="1">
      <c r="A1134" s="130"/>
      <c r="B1134" s="130"/>
      <c r="C1134" s="130"/>
      <c r="D1134" s="125"/>
      <c r="E1134" s="130"/>
      <c r="F1134" s="131"/>
      <c r="G1134" s="132"/>
      <c r="H1134" s="132"/>
      <c r="I1134" s="132"/>
      <c r="J1134" s="132"/>
      <c r="K1134" s="132"/>
      <c r="L1134" s="132"/>
      <c r="M1134" s="132"/>
      <c r="N1134" s="132"/>
      <c r="O1134" s="132"/>
      <c r="P1134" s="132"/>
      <c r="Q1134" s="132"/>
      <c r="R1134" s="132"/>
      <c r="S1134" s="132"/>
      <c r="T1134" s="132"/>
      <c r="U1134" s="133"/>
      <c r="V1134" s="133"/>
      <c r="W1134" s="133"/>
    </row>
    <row r="1135" ht="12.75" customHeight="1">
      <c r="A1135" s="130"/>
      <c r="B1135" s="130"/>
      <c r="C1135" s="130"/>
      <c r="D1135" s="125"/>
      <c r="E1135" s="130"/>
      <c r="F1135" s="131"/>
      <c r="G1135" s="132"/>
      <c r="H1135" s="132"/>
      <c r="I1135" s="132"/>
      <c r="J1135" s="132"/>
      <c r="K1135" s="132"/>
      <c r="L1135" s="132"/>
      <c r="M1135" s="132"/>
      <c r="N1135" s="132"/>
      <c r="O1135" s="132"/>
      <c r="P1135" s="132"/>
      <c r="Q1135" s="132"/>
      <c r="R1135" s="132"/>
      <c r="S1135" s="132"/>
      <c r="T1135" s="132"/>
      <c r="U1135" s="133"/>
      <c r="V1135" s="133"/>
      <c r="W1135" s="133"/>
    </row>
    <row r="1136" ht="12.75" customHeight="1">
      <c r="A1136" s="130"/>
      <c r="B1136" s="130"/>
      <c r="C1136" s="130"/>
      <c r="D1136" s="125"/>
      <c r="E1136" s="130"/>
      <c r="F1136" s="131"/>
      <c r="G1136" s="132"/>
      <c r="H1136" s="132"/>
      <c r="I1136" s="132"/>
      <c r="J1136" s="132"/>
      <c r="K1136" s="132"/>
      <c r="L1136" s="132"/>
      <c r="M1136" s="132"/>
      <c r="N1136" s="132"/>
      <c r="O1136" s="132"/>
      <c r="P1136" s="132"/>
      <c r="Q1136" s="132"/>
      <c r="R1136" s="132"/>
      <c r="S1136" s="132"/>
      <c r="T1136" s="132"/>
      <c r="U1136" s="133"/>
      <c r="V1136" s="133"/>
      <c r="W1136" s="133"/>
    </row>
    <row r="1137" ht="12.75" customHeight="1">
      <c r="A1137" s="130"/>
      <c r="B1137" s="130"/>
      <c r="C1137" s="130"/>
      <c r="D1137" s="125"/>
      <c r="E1137" s="130"/>
      <c r="F1137" s="131"/>
      <c r="G1137" s="132"/>
      <c r="H1137" s="132"/>
      <c r="I1137" s="132"/>
      <c r="J1137" s="132"/>
      <c r="K1137" s="132"/>
      <c r="L1137" s="132"/>
      <c r="M1137" s="132"/>
      <c r="N1137" s="132"/>
      <c r="O1137" s="132"/>
      <c r="P1137" s="132"/>
      <c r="Q1137" s="132"/>
      <c r="R1137" s="132"/>
      <c r="S1137" s="132"/>
      <c r="T1137" s="132"/>
      <c r="U1137" s="133"/>
      <c r="V1137" s="133"/>
      <c r="W1137" s="133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4</v>
      </c>
      <c r="G2" s="9">
        <f t="shared" si="1"/>
        <v>1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2</v>
      </c>
      <c r="N2" s="9">
        <f t="shared" si="1"/>
        <v>2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0</v>
      </c>
      <c r="F4" s="23">
        <f>IFERROR((G2+R2)/F2,0)</f>
        <v>0.25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3</v>
      </c>
      <c r="G5" s="33">
        <f>SUMIF(A:A,B5,H:H)</f>
        <v>1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2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0.3333333333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3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2</v>
      </c>
      <c r="M11" s="49">
        <f t="shared" si="2"/>
        <v>2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2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0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SUMIF(B59:B1137,B23,G59:G1137)</f>
        <v>0</v>
      </c>
      <c r="G23" s="46">
        <f>SUMIF(B59:B1137,B23,H59:H1137)</f>
        <v>0</v>
      </c>
      <c r="H23" s="46">
        <f>SUMIF(B59:B1137,B23,I59:I1137)</f>
        <v>0</v>
      </c>
      <c r="I23" s="46">
        <f>SUMIF(B59:B1137,B23,P59:P1137)</f>
        <v>0</v>
      </c>
      <c r="J23" s="46">
        <f>SUMIF(B59:B1137,B23,Q59:Q1137)</f>
        <v>0</v>
      </c>
      <c r="K23" s="46">
        <f>SUMIF(B59:B1137,B23,R59:R1137)</f>
        <v>0</v>
      </c>
      <c r="L23" s="46">
        <f>SUMIF(B59:B1137,B23,S59:S1137)</f>
        <v>0</v>
      </c>
      <c r="M23" s="46">
        <f>SUMIF(B59:B1137,B23,M59:M1137)</f>
        <v>0</v>
      </c>
      <c r="N23" s="46">
        <f>SUMIF(B59:B1137,B23,N59:N1137)</f>
        <v>0</v>
      </c>
      <c r="O23" s="46">
        <f>SUMIF(B59:B1137,B23,O59:O1137)</f>
        <v>0</v>
      </c>
      <c r="P23" s="46">
        <f>SUMIF(B59:B1137,B23,J59:J1137)</f>
        <v>0</v>
      </c>
      <c r="Q23" s="46">
        <f>SUMIF(B59:B1137,B23,K59:K1137)</f>
        <v>0</v>
      </c>
      <c r="R23" s="50">
        <f>SUMIF(B59:B1137,B23,L59:L1137)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SUMIF(B62:B1137,B26,G62:G1137)</f>
        <v>0</v>
      </c>
      <c r="G26" s="46">
        <f>SUMIF(B62:B1137,B26,H62:H1137)</f>
        <v>0</v>
      </c>
      <c r="H26" s="46">
        <f>SUMIF(B62:B1137,B26,I62:I1137)</f>
        <v>0</v>
      </c>
      <c r="I26" s="46">
        <f>SUMIF(B62:B1137,B26,P62:P1137)</f>
        <v>0</v>
      </c>
      <c r="J26" s="46">
        <f>SUMIF(B62:B1137,B26,Q62:Q1137)</f>
        <v>0</v>
      </c>
      <c r="K26" s="46">
        <f>SUMIF(B62:B1137,B26,R62:R1137)</f>
        <v>0</v>
      </c>
      <c r="L26" s="46">
        <f>SUMIF(B62:B1137,B26,S62:S1137)</f>
        <v>0</v>
      </c>
      <c r="M26" s="46">
        <f>SUMIF(B62:B1137,B26,M62:M1137)</f>
        <v>0</v>
      </c>
      <c r="N26" s="46">
        <f>SUMIF(B62:B1137,B26,N62:N1137)</f>
        <v>0</v>
      </c>
      <c r="O26" s="46">
        <f>SUMIF(B62:B1137,B26,O62:O1137)</f>
        <v>0</v>
      </c>
      <c r="P26" s="46">
        <f>SUMIF(B62:B1137,B26,J62:J1137)</f>
        <v>0</v>
      </c>
      <c r="Q26" s="46">
        <f>SUMIF(B62:B1137,B26,K62:K1137)</f>
        <v>0</v>
      </c>
      <c r="R26" s="50">
        <f>SUMIF(B62:B1137,B26,L62:L1137)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128">
        <v>0.0</v>
      </c>
      <c r="H37" s="128">
        <v>0.0</v>
      </c>
      <c r="I37" s="128">
        <v>0.0</v>
      </c>
      <c r="J37" s="128">
        <v>0.0</v>
      </c>
      <c r="K37" s="128">
        <v>0.0</v>
      </c>
      <c r="L37" s="128">
        <v>0.0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128">
        <v>1.0</v>
      </c>
      <c r="H41" s="128">
        <v>1.0</v>
      </c>
      <c r="I41" s="71">
        <v>0.0</v>
      </c>
      <c r="J41" s="71">
        <v>0.0</v>
      </c>
      <c r="K41" s="71">
        <v>0.0</v>
      </c>
      <c r="L41" s="71">
        <v>0.0</v>
      </c>
      <c r="M41" s="71">
        <v>0.0</v>
      </c>
      <c r="N41" s="128">
        <v>2.0</v>
      </c>
      <c r="O41" s="71">
        <v>0.0</v>
      </c>
      <c r="P41" s="71">
        <v>0.0</v>
      </c>
      <c r="Q41" s="71">
        <v>0.0</v>
      </c>
      <c r="R41" s="71">
        <v>0.0</v>
      </c>
      <c r="S41" s="71">
        <v>0.0</v>
      </c>
      <c r="T41" s="71">
        <v>0.0</v>
      </c>
      <c r="U41" s="72">
        <f t="shared" si="3"/>
        <v>0</v>
      </c>
      <c r="V41" s="72">
        <f t="shared" si="4"/>
        <v>1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>
        <v>0.0</v>
      </c>
      <c r="H42" s="71">
        <v>0.0</v>
      </c>
      <c r="I42" s="71">
        <v>0.0</v>
      </c>
      <c r="J42" s="71">
        <v>0.0</v>
      </c>
      <c r="K42" s="71">
        <v>0.0</v>
      </c>
      <c r="L42" s="71">
        <v>0.0</v>
      </c>
      <c r="M42" s="71">
        <v>0.0</v>
      </c>
      <c r="N42" s="71">
        <v>0.0</v>
      </c>
      <c r="O42" s="71">
        <v>0.0</v>
      </c>
      <c r="P42" s="71">
        <v>0.0</v>
      </c>
      <c r="Q42" s="71">
        <v>0.0</v>
      </c>
      <c r="R42" s="71">
        <v>0.0</v>
      </c>
      <c r="S42" s="71">
        <v>0.0</v>
      </c>
      <c r="T42" s="71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>
        <v>0.0</v>
      </c>
      <c r="H43" s="71">
        <v>0.0</v>
      </c>
      <c r="I43" s="71">
        <v>0.0</v>
      </c>
      <c r="J43" s="71">
        <v>0.0</v>
      </c>
      <c r="K43" s="71">
        <v>0.0</v>
      </c>
      <c r="L43" s="71">
        <v>0.0</v>
      </c>
      <c r="M43" s="71">
        <v>0.0</v>
      </c>
      <c r="N43" s="71">
        <v>0.0</v>
      </c>
      <c r="O43" s="71">
        <v>0.0</v>
      </c>
      <c r="P43" s="71">
        <v>0.0</v>
      </c>
      <c r="Q43" s="71">
        <v>0.0</v>
      </c>
      <c r="R43" s="71">
        <v>0.0</v>
      </c>
      <c r="S43" s="71">
        <v>0.0</v>
      </c>
      <c r="T43" s="71">
        <v>0.0</v>
      </c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>
        <v>0.0</v>
      </c>
      <c r="H44" s="71">
        <v>0.0</v>
      </c>
      <c r="I44" s="71">
        <v>0.0</v>
      </c>
      <c r="J44" s="71">
        <v>0.0</v>
      </c>
      <c r="K44" s="71">
        <v>0.0</v>
      </c>
      <c r="L44" s="71">
        <v>0.0</v>
      </c>
      <c r="M44" s="71">
        <v>0.0</v>
      </c>
      <c r="N44" s="71">
        <v>0.0</v>
      </c>
      <c r="O44" s="71">
        <v>0.0</v>
      </c>
      <c r="P44" s="71">
        <v>0.0</v>
      </c>
      <c r="Q44" s="71">
        <v>0.0</v>
      </c>
      <c r="R44" s="71">
        <v>0.0</v>
      </c>
      <c r="S44" s="71">
        <v>0.0</v>
      </c>
      <c r="T44" s="71">
        <v>0.0</v>
      </c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>
        <v>0.0</v>
      </c>
      <c r="H45" s="71">
        <v>0.0</v>
      </c>
      <c r="I45" s="71">
        <v>0.0</v>
      </c>
      <c r="J45" s="71">
        <v>0.0</v>
      </c>
      <c r="K45" s="71">
        <v>0.0</v>
      </c>
      <c r="L45" s="71">
        <v>0.0</v>
      </c>
      <c r="M45" s="71">
        <v>0.0</v>
      </c>
      <c r="N45" s="71">
        <v>0.0</v>
      </c>
      <c r="O45" s="71">
        <v>0.0</v>
      </c>
      <c r="P45" s="71">
        <v>0.0</v>
      </c>
      <c r="Q45" s="71">
        <v>0.0</v>
      </c>
      <c r="R45" s="71">
        <v>0.0</v>
      </c>
      <c r="S45" s="71">
        <v>0.0</v>
      </c>
      <c r="T45" s="71">
        <v>0.0</v>
      </c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>
        <v>0.0</v>
      </c>
      <c r="H46" s="71">
        <v>0.0</v>
      </c>
      <c r="I46" s="71">
        <v>0.0</v>
      </c>
      <c r="J46" s="71">
        <v>0.0</v>
      </c>
      <c r="K46" s="71">
        <v>0.0</v>
      </c>
      <c r="L46" s="71">
        <v>0.0</v>
      </c>
      <c r="M46" s="71">
        <v>0.0</v>
      </c>
      <c r="N46" s="71">
        <v>0.0</v>
      </c>
      <c r="O46" s="71">
        <v>0.0</v>
      </c>
      <c r="P46" s="71">
        <v>0.0</v>
      </c>
      <c r="Q46" s="71">
        <v>0.0</v>
      </c>
      <c r="R46" s="71">
        <v>0.0</v>
      </c>
      <c r="S46" s="71">
        <v>0.0</v>
      </c>
      <c r="T46" s="71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128">
        <v>2.0</v>
      </c>
      <c r="H47" s="128">
        <v>0.0</v>
      </c>
      <c r="I47" s="128">
        <v>0.0</v>
      </c>
      <c r="J47" s="128">
        <v>0.0</v>
      </c>
      <c r="K47" s="128">
        <v>0.0</v>
      </c>
      <c r="L47" s="128">
        <v>0.0</v>
      </c>
      <c r="M47" s="128">
        <v>0.0</v>
      </c>
      <c r="N47" s="128">
        <v>0.0</v>
      </c>
      <c r="O47" s="128">
        <v>0.0</v>
      </c>
      <c r="P47" s="128">
        <v>0.0</v>
      </c>
      <c r="Q47" s="128">
        <v>0.0</v>
      </c>
      <c r="R47" s="128">
        <v>0.0</v>
      </c>
      <c r="S47" s="128">
        <v>0.0</v>
      </c>
      <c r="T47" s="128">
        <v>0.0</v>
      </c>
      <c r="U47" s="72">
        <f t="shared" si="3"/>
        <v>0</v>
      </c>
      <c r="V47" s="72">
        <f t="shared" si="4"/>
        <v>0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128">
        <v>0.0</v>
      </c>
      <c r="H48" s="128">
        <v>0.0</v>
      </c>
      <c r="I48" s="128">
        <v>0.0</v>
      </c>
      <c r="J48" s="128">
        <v>0.0</v>
      </c>
      <c r="K48" s="128">
        <v>0.0</v>
      </c>
      <c r="L48" s="128">
        <v>0.0</v>
      </c>
      <c r="M48" s="128">
        <v>0.0</v>
      </c>
      <c r="N48" s="128">
        <v>0.0</v>
      </c>
      <c r="O48" s="128">
        <v>0.0</v>
      </c>
      <c r="P48" s="128">
        <v>0.0</v>
      </c>
      <c r="Q48" s="128">
        <v>0.0</v>
      </c>
      <c r="R48" s="128">
        <v>0.0</v>
      </c>
      <c r="S48" s="128">
        <v>0.0</v>
      </c>
      <c r="T48" s="128">
        <v>0.0</v>
      </c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128">
        <v>0.0</v>
      </c>
      <c r="H49" s="128">
        <v>0.0</v>
      </c>
      <c r="I49" s="128">
        <v>0.0</v>
      </c>
      <c r="J49" s="128">
        <v>0.0</v>
      </c>
      <c r="K49" s="128">
        <v>0.0</v>
      </c>
      <c r="L49" s="128">
        <v>0.0</v>
      </c>
      <c r="M49" s="128">
        <v>0.0</v>
      </c>
      <c r="N49" s="128">
        <v>0.0</v>
      </c>
      <c r="O49" s="128">
        <v>0.0</v>
      </c>
      <c r="P49" s="128">
        <v>0.0</v>
      </c>
      <c r="Q49" s="128">
        <v>0.0</v>
      </c>
      <c r="R49" s="128">
        <v>0.0</v>
      </c>
      <c r="S49" s="128">
        <v>0.0</v>
      </c>
      <c r="T49" s="128">
        <v>0.0</v>
      </c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60" si="5">IFERROR(I55/H55,0)</f>
        <v>0</v>
      </c>
      <c r="V55" s="72">
        <f t="shared" ref="V55:V60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74" t="s">
        <v>29</v>
      </c>
      <c r="B58" s="75"/>
      <c r="C58" s="75"/>
      <c r="D58" s="76"/>
      <c r="E58" s="76"/>
      <c r="F58" s="78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99" t="s">
        <v>29</v>
      </c>
      <c r="B59" s="90"/>
      <c r="C59" s="100" t="s">
        <v>72</v>
      </c>
      <c r="D59" s="101" t="s">
        <v>51</v>
      </c>
      <c r="E59" s="90"/>
      <c r="F59" s="100" t="s">
        <v>72</v>
      </c>
      <c r="G59" s="128">
        <v>1.0</v>
      </c>
      <c r="H59" s="128">
        <v>0.0</v>
      </c>
      <c r="I59" s="128">
        <v>0.0</v>
      </c>
      <c r="J59" s="128">
        <v>0.0</v>
      </c>
      <c r="K59" s="128">
        <v>0.0</v>
      </c>
      <c r="L59" s="128">
        <v>0.0</v>
      </c>
      <c r="M59" s="128">
        <v>2.0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2">
        <f t="shared" si="5"/>
        <v>0</v>
      </c>
      <c r="V59" s="72">
        <f t="shared" si="6"/>
        <v>0</v>
      </c>
      <c r="W59" s="73"/>
    </row>
    <row r="60" ht="20.25" customHeight="1">
      <c r="A60" s="87" t="s">
        <v>29</v>
      </c>
      <c r="B60" s="88"/>
      <c r="C60" s="88" t="s">
        <v>72</v>
      </c>
      <c r="D60" s="90"/>
      <c r="E60" s="90"/>
      <c r="F60" s="91" t="s">
        <v>73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si="5"/>
        <v>0</v>
      </c>
      <c r="V60" s="72">
        <f t="shared" si="6"/>
        <v>0</v>
      </c>
      <c r="W60" s="73"/>
    </row>
    <row r="61" ht="20.25" customHeight="1">
      <c r="A61" s="62" t="s">
        <v>35</v>
      </c>
      <c r="B61" s="63" t="s">
        <v>36</v>
      </c>
      <c r="C61" s="63" t="s">
        <v>37</v>
      </c>
      <c r="D61" s="64"/>
      <c r="E61" s="63" t="s">
        <v>38</v>
      </c>
      <c r="F61" s="63" t="s">
        <v>39</v>
      </c>
      <c r="G61" s="65" t="s">
        <v>40</v>
      </c>
      <c r="H61" s="65" t="s">
        <v>41</v>
      </c>
      <c r="I61" s="65" t="s">
        <v>42</v>
      </c>
      <c r="J61" s="65" t="s">
        <v>12</v>
      </c>
      <c r="K61" s="65" t="s">
        <v>43</v>
      </c>
      <c r="L61" s="65" t="s">
        <v>14</v>
      </c>
      <c r="M61" s="65" t="s">
        <v>9</v>
      </c>
      <c r="N61" s="65" t="s">
        <v>10</v>
      </c>
      <c r="O61" s="65" t="s">
        <v>44</v>
      </c>
      <c r="P61" s="65" t="s">
        <v>5</v>
      </c>
      <c r="Q61" s="65" t="s">
        <v>45</v>
      </c>
      <c r="R61" s="65" t="s">
        <v>46</v>
      </c>
      <c r="S61" s="65" t="s">
        <v>47</v>
      </c>
      <c r="T61" s="65" t="s">
        <v>0</v>
      </c>
      <c r="U61" s="63" t="s">
        <v>48</v>
      </c>
      <c r="V61" s="63" t="s">
        <v>49</v>
      </c>
      <c r="W61" s="98"/>
    </row>
    <row r="62" ht="12.75" customHeight="1">
      <c r="A62" s="102" t="s">
        <v>30</v>
      </c>
      <c r="B62" s="60"/>
      <c r="C62" s="60"/>
      <c r="D62" s="103" t="s">
        <v>51</v>
      </c>
      <c r="E62" s="60"/>
      <c r="F62" s="102" t="s">
        <v>30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ref="U62:U80" si="7">IFERROR(I62/H62,0)</f>
        <v>0</v>
      </c>
      <c r="V62" s="72">
        <f t="shared" ref="V62:V80" si="8">IFERROR(SUM(H62+L62)/G62,0)</f>
        <v>0</v>
      </c>
      <c r="W62" s="73"/>
    </row>
    <row r="63" ht="12.75" customHeight="1">
      <c r="A63" s="104" t="s">
        <v>30</v>
      </c>
      <c r="B63" s="60"/>
      <c r="C63" s="60"/>
      <c r="D63" s="59"/>
      <c r="E63" s="76"/>
      <c r="F63" s="104" t="s">
        <v>74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5" t="s">
        <v>30</v>
      </c>
      <c r="B64" s="105" t="s">
        <v>31</v>
      </c>
      <c r="C64" s="106"/>
      <c r="D64" s="107" t="s">
        <v>51</v>
      </c>
      <c r="E64" s="96"/>
      <c r="F64" s="105" t="s">
        <v>31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8" t="s">
        <v>31</v>
      </c>
      <c r="C65" s="108"/>
      <c r="D65" s="109"/>
      <c r="E65" s="70"/>
      <c r="F65" s="110" t="s">
        <v>75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04" t="s">
        <v>30</v>
      </c>
      <c r="B66" s="104" t="s">
        <v>31</v>
      </c>
      <c r="C66" s="104"/>
      <c r="D66" s="60"/>
      <c r="E66" s="76"/>
      <c r="F66" s="104" t="s">
        <v>76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32</v>
      </c>
      <c r="C67" s="105"/>
      <c r="D67" s="107" t="s">
        <v>51</v>
      </c>
      <c r="E67" s="82"/>
      <c r="F67" s="105" t="s">
        <v>32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8" t="s">
        <v>30</v>
      </c>
      <c r="B69" s="108" t="s">
        <v>32</v>
      </c>
      <c r="C69" s="108"/>
      <c r="D69" s="59"/>
      <c r="E69" s="76"/>
      <c r="F69" s="111" t="s">
        <v>78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5" t="s">
        <v>30</v>
      </c>
      <c r="B70" s="105" t="s">
        <v>33</v>
      </c>
      <c r="C70" s="105"/>
      <c r="D70" s="107" t="s">
        <v>51</v>
      </c>
      <c r="E70" s="82"/>
      <c r="F70" s="105" t="s">
        <v>33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04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04" t="s">
        <v>30</v>
      </c>
      <c r="B75" s="104" t="s">
        <v>33</v>
      </c>
      <c r="C75" s="104"/>
      <c r="D75" s="60"/>
      <c r="E75" s="76"/>
      <c r="F75" s="111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2" t="s">
        <v>30</v>
      </c>
      <c r="B76" s="113" t="s">
        <v>33</v>
      </c>
      <c r="C76" s="113" t="s">
        <v>84</v>
      </c>
      <c r="D76" s="114" t="s">
        <v>51</v>
      </c>
      <c r="E76" s="115"/>
      <c r="F76" s="113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84</v>
      </c>
      <c r="D77" s="118"/>
      <c r="E77" s="90"/>
      <c r="F77" s="117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84</v>
      </c>
      <c r="D78" s="119"/>
      <c r="E78" s="90"/>
      <c r="F78" s="117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84</v>
      </c>
      <c r="D79" s="119"/>
      <c r="E79" s="90"/>
      <c r="F79" s="117" t="s">
        <v>87</v>
      </c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>
        <f t="shared" si="7"/>
        <v>0</v>
      </c>
      <c r="V79" s="72">
        <f t="shared" si="8"/>
        <v>0</v>
      </c>
      <c r="W79" s="73"/>
    </row>
    <row r="80" ht="12.75" customHeight="1">
      <c r="A80" s="116" t="s">
        <v>30</v>
      </c>
      <c r="B80" s="117" t="s">
        <v>33</v>
      </c>
      <c r="C80" s="117" t="s">
        <v>84</v>
      </c>
      <c r="D80" s="119"/>
      <c r="E80" s="90"/>
      <c r="F80" s="117" t="s">
        <v>88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 t="shared" si="7"/>
        <v>0</v>
      </c>
      <c r="V80" s="72">
        <f t="shared" si="8"/>
        <v>0</v>
      </c>
      <c r="W80" s="73"/>
    </row>
    <row r="81" ht="20.25" customHeight="1">
      <c r="A81" s="62" t="s">
        <v>35</v>
      </c>
      <c r="B81" s="63" t="s">
        <v>36</v>
      </c>
      <c r="C81" s="63" t="s">
        <v>37</v>
      </c>
      <c r="D81" s="64"/>
      <c r="E81" s="63" t="s">
        <v>38</v>
      </c>
      <c r="F81" s="63" t="s">
        <v>39</v>
      </c>
      <c r="G81" s="65" t="s">
        <v>40</v>
      </c>
      <c r="H81" s="65" t="s">
        <v>41</v>
      </c>
      <c r="I81" s="65" t="s">
        <v>42</v>
      </c>
      <c r="J81" s="65" t="s">
        <v>12</v>
      </c>
      <c r="K81" s="65" t="s">
        <v>43</v>
      </c>
      <c r="L81" s="65" t="s">
        <v>14</v>
      </c>
      <c r="M81" s="65" t="s">
        <v>9</v>
      </c>
      <c r="N81" s="65" t="s">
        <v>10</v>
      </c>
      <c r="O81" s="65" t="s">
        <v>44</v>
      </c>
      <c r="P81" s="65" t="s">
        <v>5</v>
      </c>
      <c r="Q81" s="65" t="s">
        <v>45</v>
      </c>
      <c r="R81" s="65" t="s">
        <v>46</v>
      </c>
      <c r="S81" s="65" t="s">
        <v>47</v>
      </c>
      <c r="T81" s="65" t="s">
        <v>0</v>
      </c>
      <c r="U81" s="63" t="s">
        <v>48</v>
      </c>
      <c r="V81" s="63" t="s">
        <v>49</v>
      </c>
      <c r="W81" s="98"/>
    </row>
    <row r="82" ht="12.75" customHeight="1">
      <c r="A82" s="102" t="s">
        <v>34</v>
      </c>
      <c r="B82" s="102"/>
      <c r="C82" s="102"/>
      <c r="D82" s="120" t="s">
        <v>51</v>
      </c>
      <c r="E82" s="76"/>
      <c r="F82" s="102" t="s">
        <v>34</v>
      </c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>
        <f>IFERROR(I82/H82,0)</f>
        <v>0</v>
      </c>
      <c r="V82" s="72">
        <f>IFERROR(SUM(H82+L82)/G82,0)</f>
        <v>0</v>
      </c>
      <c r="W82" s="7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1"/>
      <c r="B600" s="121"/>
      <c r="C600" s="121"/>
      <c r="D600" s="1"/>
      <c r="E600" s="121"/>
      <c r="F600" s="11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3"/>
      <c r="V600" s="123"/>
      <c r="W600" s="12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30"/>
      <c r="B1074" s="130"/>
      <c r="C1074" s="130"/>
      <c r="D1074" s="125"/>
      <c r="E1074" s="130"/>
      <c r="F1074" s="131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  <c r="W1074" s="133"/>
    </row>
    <row r="1075" ht="12.75" customHeight="1">
      <c r="A1075" s="130"/>
      <c r="B1075" s="130"/>
      <c r="C1075" s="130"/>
      <c r="D1075" s="125"/>
      <c r="E1075" s="130"/>
      <c r="F1075" s="131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  <c r="W1075" s="133"/>
    </row>
    <row r="1076" ht="12.75" customHeight="1">
      <c r="A1076" s="130"/>
      <c r="B1076" s="130"/>
      <c r="C1076" s="130"/>
      <c r="D1076" s="125"/>
      <c r="E1076" s="130"/>
      <c r="F1076" s="131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  <c r="W1076" s="133"/>
    </row>
    <row r="1077" ht="12.75" customHeight="1">
      <c r="A1077" s="130"/>
      <c r="B1077" s="130"/>
      <c r="C1077" s="130"/>
      <c r="D1077" s="125"/>
      <c r="E1077" s="130"/>
      <c r="F1077" s="131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  <c r="W1077" s="133"/>
    </row>
    <row r="1078" ht="12.75" customHeight="1">
      <c r="A1078" s="130"/>
      <c r="B1078" s="130"/>
      <c r="C1078" s="130"/>
      <c r="D1078" s="125"/>
      <c r="E1078" s="130"/>
      <c r="F1078" s="131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  <c r="W1078" s="133"/>
    </row>
    <row r="1079" ht="12.75" customHeight="1">
      <c r="A1079" s="130"/>
      <c r="B1079" s="130"/>
      <c r="C1079" s="130"/>
      <c r="D1079" s="125"/>
      <c r="E1079" s="130"/>
      <c r="F1079" s="131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  <c r="W1079" s="133"/>
    </row>
    <row r="1080" ht="12.75" customHeight="1">
      <c r="A1080" s="130"/>
      <c r="B1080" s="130"/>
      <c r="C1080" s="130"/>
      <c r="D1080" s="125"/>
      <c r="E1080" s="130"/>
      <c r="F1080" s="131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  <c r="W1080" s="133"/>
    </row>
    <row r="1081" ht="12.75" customHeight="1">
      <c r="A1081" s="130"/>
      <c r="B1081" s="130"/>
      <c r="C1081" s="130"/>
      <c r="D1081" s="125"/>
      <c r="E1081" s="130"/>
      <c r="F1081" s="131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  <c r="W1081" s="133"/>
    </row>
    <row r="1082" ht="12.75" customHeight="1">
      <c r="A1082" s="130"/>
      <c r="B1082" s="130"/>
      <c r="C1082" s="130"/>
      <c r="D1082" s="125"/>
      <c r="E1082" s="130"/>
      <c r="F1082" s="131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  <c r="W1082" s="133"/>
    </row>
    <row r="1083" ht="12.75" customHeight="1">
      <c r="A1083" s="130"/>
      <c r="B1083" s="130"/>
      <c r="C1083" s="130"/>
      <c r="D1083" s="125"/>
      <c r="E1083" s="130"/>
      <c r="F1083" s="131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  <c r="W1083" s="133"/>
    </row>
    <row r="1084" ht="12.75" customHeight="1">
      <c r="A1084" s="130"/>
      <c r="B1084" s="130"/>
      <c r="C1084" s="130"/>
      <c r="D1084" s="125"/>
      <c r="E1084" s="130"/>
      <c r="F1084" s="131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  <c r="W1084" s="133"/>
    </row>
    <row r="1085" ht="12.75" customHeight="1">
      <c r="A1085" s="130"/>
      <c r="B1085" s="130"/>
      <c r="C1085" s="130"/>
      <c r="D1085" s="125"/>
      <c r="E1085" s="130"/>
      <c r="F1085" s="131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  <c r="W1085" s="133"/>
    </row>
    <row r="1086" ht="12.75" customHeight="1">
      <c r="A1086" s="130"/>
      <c r="B1086" s="130"/>
      <c r="C1086" s="130"/>
      <c r="D1086" s="125"/>
      <c r="E1086" s="130"/>
      <c r="F1086" s="131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  <c r="W1086" s="133"/>
    </row>
    <row r="1087" ht="12.75" customHeight="1">
      <c r="A1087" s="130"/>
      <c r="B1087" s="130"/>
      <c r="C1087" s="130"/>
      <c r="D1087" s="125"/>
      <c r="E1087" s="130"/>
      <c r="F1087" s="131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  <c r="W1087" s="133"/>
    </row>
    <row r="1088" ht="12.75" customHeight="1">
      <c r="A1088" s="130"/>
      <c r="B1088" s="130"/>
      <c r="C1088" s="130"/>
      <c r="D1088" s="125"/>
      <c r="E1088" s="130"/>
      <c r="F1088" s="131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  <c r="W1088" s="133"/>
    </row>
    <row r="1089" ht="12.75" customHeight="1">
      <c r="A1089" s="130"/>
      <c r="B1089" s="130"/>
      <c r="C1089" s="130"/>
      <c r="D1089" s="125"/>
      <c r="E1089" s="130"/>
      <c r="F1089" s="131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  <c r="W1089" s="133"/>
    </row>
    <row r="1090" ht="12.75" customHeight="1">
      <c r="A1090" s="130"/>
      <c r="B1090" s="130"/>
      <c r="C1090" s="130"/>
      <c r="D1090" s="125"/>
      <c r="E1090" s="130"/>
      <c r="F1090" s="131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  <c r="W1090" s="133"/>
    </row>
    <row r="1091" ht="12.75" customHeight="1">
      <c r="A1091" s="130"/>
      <c r="B1091" s="130"/>
      <c r="C1091" s="130"/>
      <c r="D1091" s="125"/>
      <c r="E1091" s="130"/>
      <c r="F1091" s="131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  <c r="W1091" s="133"/>
    </row>
    <row r="1092" ht="12.75" customHeight="1">
      <c r="A1092" s="130"/>
      <c r="B1092" s="130"/>
      <c r="C1092" s="130"/>
      <c r="D1092" s="125"/>
      <c r="E1092" s="130"/>
      <c r="F1092" s="131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  <c r="W1092" s="133"/>
    </row>
    <row r="1093" ht="12.75" customHeight="1">
      <c r="A1093" s="130"/>
      <c r="B1093" s="130"/>
      <c r="C1093" s="130"/>
      <c r="D1093" s="125"/>
      <c r="E1093" s="130"/>
      <c r="F1093" s="131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  <c r="W1093" s="133"/>
    </row>
    <row r="1094" ht="12.75" customHeight="1">
      <c r="A1094" s="130"/>
      <c r="B1094" s="130"/>
      <c r="C1094" s="130"/>
      <c r="D1094" s="125"/>
      <c r="E1094" s="130"/>
      <c r="F1094" s="131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  <c r="W1094" s="133"/>
    </row>
    <row r="1095" ht="12.75" customHeight="1">
      <c r="A1095" s="130"/>
      <c r="B1095" s="130"/>
      <c r="C1095" s="130"/>
      <c r="D1095" s="125"/>
      <c r="E1095" s="130"/>
      <c r="F1095" s="131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  <c r="W1095" s="133"/>
    </row>
    <row r="1096" ht="12.75" customHeight="1">
      <c r="A1096" s="130"/>
      <c r="B1096" s="130"/>
      <c r="C1096" s="130"/>
      <c r="D1096" s="125"/>
      <c r="E1096" s="130"/>
      <c r="F1096" s="131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  <c r="W1096" s="133"/>
    </row>
    <row r="1097" ht="12.75" customHeight="1">
      <c r="A1097" s="130"/>
      <c r="B1097" s="130"/>
      <c r="C1097" s="130"/>
      <c r="D1097" s="125"/>
      <c r="E1097" s="130"/>
      <c r="F1097" s="131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  <c r="W1097" s="133"/>
    </row>
    <row r="1098" ht="12.75" customHeight="1">
      <c r="A1098" s="130"/>
      <c r="B1098" s="130"/>
      <c r="C1098" s="130"/>
      <c r="D1098" s="125"/>
      <c r="E1098" s="130"/>
      <c r="F1098" s="131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  <c r="W1098" s="133"/>
    </row>
    <row r="1099" ht="12.75" customHeight="1">
      <c r="A1099" s="130"/>
      <c r="B1099" s="130"/>
      <c r="C1099" s="130"/>
      <c r="D1099" s="125"/>
      <c r="E1099" s="130"/>
      <c r="F1099" s="131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  <c r="W1099" s="133"/>
    </row>
    <row r="1100" ht="12.75" customHeight="1">
      <c r="A1100" s="130"/>
      <c r="B1100" s="130"/>
      <c r="C1100" s="130"/>
      <c r="D1100" s="125"/>
      <c r="E1100" s="130"/>
      <c r="F1100" s="131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  <c r="W1100" s="133"/>
    </row>
    <row r="1101" ht="12.75" customHeight="1">
      <c r="A1101" s="130"/>
      <c r="B1101" s="130"/>
      <c r="C1101" s="130"/>
      <c r="D1101" s="125"/>
      <c r="E1101" s="130"/>
      <c r="F1101" s="131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  <c r="W1101" s="133"/>
    </row>
    <row r="1102" ht="12.75" customHeight="1">
      <c r="A1102" s="130"/>
      <c r="B1102" s="130"/>
      <c r="C1102" s="130"/>
      <c r="D1102" s="125"/>
      <c r="E1102" s="130"/>
      <c r="F1102" s="131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  <c r="W1102" s="133"/>
    </row>
    <row r="1103" ht="12.75" customHeight="1">
      <c r="A1103" s="130"/>
      <c r="B1103" s="130"/>
      <c r="C1103" s="130"/>
      <c r="D1103" s="125"/>
      <c r="E1103" s="130"/>
      <c r="F1103" s="131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  <c r="W1103" s="133"/>
    </row>
    <row r="1104" ht="12.75" customHeight="1">
      <c r="A1104" s="130"/>
      <c r="B1104" s="130"/>
      <c r="C1104" s="130"/>
      <c r="D1104" s="125"/>
      <c r="E1104" s="130"/>
      <c r="F1104" s="131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  <c r="W1104" s="133"/>
    </row>
    <row r="1105" ht="12.75" customHeight="1">
      <c r="A1105" s="130"/>
      <c r="B1105" s="130"/>
      <c r="C1105" s="130"/>
      <c r="D1105" s="125"/>
      <c r="E1105" s="130"/>
      <c r="F1105" s="131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  <c r="W1105" s="133"/>
    </row>
    <row r="1106" ht="12.75" customHeight="1">
      <c r="A1106" s="130"/>
      <c r="B1106" s="130"/>
      <c r="C1106" s="130"/>
      <c r="D1106" s="125"/>
      <c r="E1106" s="130"/>
      <c r="F1106" s="131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  <c r="W1106" s="133"/>
    </row>
    <row r="1107" ht="12.75" customHeight="1">
      <c r="A1107" s="130"/>
      <c r="B1107" s="130"/>
      <c r="C1107" s="130"/>
      <c r="D1107" s="125"/>
      <c r="E1107" s="130"/>
      <c r="F1107" s="131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  <c r="W1107" s="133"/>
    </row>
    <row r="1108" ht="12.75" customHeight="1">
      <c r="A1108" s="130"/>
      <c r="B1108" s="130"/>
      <c r="C1108" s="130"/>
      <c r="D1108" s="125"/>
      <c r="E1108" s="130"/>
      <c r="F1108" s="131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  <c r="W1108" s="133"/>
    </row>
    <row r="1109" ht="12.75" customHeight="1">
      <c r="A1109" s="130"/>
      <c r="B1109" s="130"/>
      <c r="C1109" s="130"/>
      <c r="D1109" s="125"/>
      <c r="E1109" s="130"/>
      <c r="F1109" s="131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  <c r="W1109" s="133"/>
    </row>
    <row r="1110" ht="12.75" customHeight="1">
      <c r="A1110" s="130"/>
      <c r="B1110" s="130"/>
      <c r="C1110" s="130"/>
      <c r="D1110" s="125"/>
      <c r="E1110" s="130"/>
      <c r="F1110" s="131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  <c r="W1110" s="133"/>
    </row>
    <row r="1111" ht="12.75" customHeight="1">
      <c r="A1111" s="130"/>
      <c r="B1111" s="130"/>
      <c r="C1111" s="130"/>
      <c r="D1111" s="125"/>
      <c r="E1111" s="130"/>
      <c r="F1111" s="131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  <c r="W1111" s="133"/>
    </row>
    <row r="1112" ht="12.75" customHeight="1">
      <c r="A1112" s="130"/>
      <c r="B1112" s="130"/>
      <c r="C1112" s="130"/>
      <c r="D1112" s="125"/>
      <c r="E1112" s="130"/>
      <c r="F1112" s="131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  <c r="W1112" s="133"/>
    </row>
    <row r="1113" ht="12.75" customHeight="1">
      <c r="A1113" s="130"/>
      <c r="B1113" s="130"/>
      <c r="C1113" s="130"/>
      <c r="D1113" s="125"/>
      <c r="E1113" s="130"/>
      <c r="F1113" s="131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  <c r="W1113" s="133"/>
    </row>
    <row r="1114" ht="12.75" customHeight="1">
      <c r="A1114" s="130"/>
      <c r="B1114" s="130"/>
      <c r="C1114" s="130"/>
      <c r="D1114" s="125"/>
      <c r="E1114" s="130"/>
      <c r="F1114" s="131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  <c r="W1114" s="133"/>
    </row>
    <row r="1115" ht="12.75" customHeight="1">
      <c r="A1115" s="130"/>
      <c r="B1115" s="130"/>
      <c r="C1115" s="130"/>
      <c r="D1115" s="125"/>
      <c r="E1115" s="130"/>
      <c r="F1115" s="131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  <c r="W1115" s="133"/>
    </row>
    <row r="1116" ht="12.75" customHeight="1">
      <c r="A1116" s="130"/>
      <c r="B1116" s="130"/>
      <c r="C1116" s="130"/>
      <c r="D1116" s="125"/>
      <c r="E1116" s="130"/>
      <c r="F1116" s="131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  <c r="W1116" s="133"/>
    </row>
    <row r="1117" ht="12.75" customHeight="1">
      <c r="A1117" s="130"/>
      <c r="B1117" s="130"/>
      <c r="C1117" s="130"/>
      <c r="D1117" s="125"/>
      <c r="E1117" s="130"/>
      <c r="F1117" s="131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  <c r="W1117" s="133"/>
    </row>
    <row r="1118" ht="12.75" customHeight="1">
      <c r="A1118" s="130"/>
      <c r="B1118" s="130"/>
      <c r="C1118" s="130"/>
      <c r="D1118" s="125"/>
      <c r="E1118" s="130"/>
      <c r="F1118" s="131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  <c r="W1118" s="133"/>
    </row>
    <row r="1119" ht="12.75" customHeight="1">
      <c r="A1119" s="130"/>
      <c r="B1119" s="130"/>
      <c r="C1119" s="130"/>
      <c r="D1119" s="125"/>
      <c r="E1119" s="130"/>
      <c r="F1119" s="131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  <c r="W1119" s="133"/>
    </row>
    <row r="1120" ht="12.75" customHeight="1">
      <c r="A1120" s="130"/>
      <c r="B1120" s="130"/>
      <c r="C1120" s="130"/>
      <c r="D1120" s="125"/>
      <c r="E1120" s="130"/>
      <c r="F1120" s="131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  <c r="W1120" s="133"/>
    </row>
    <row r="1121" ht="12.75" customHeight="1">
      <c r="A1121" s="130"/>
      <c r="B1121" s="130"/>
      <c r="C1121" s="130"/>
      <c r="D1121" s="125"/>
      <c r="E1121" s="130"/>
      <c r="F1121" s="131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  <c r="W1121" s="133"/>
    </row>
    <row r="1122" ht="12.75" customHeight="1">
      <c r="A1122" s="130"/>
      <c r="B1122" s="130"/>
      <c r="C1122" s="130"/>
      <c r="D1122" s="125"/>
      <c r="E1122" s="130"/>
      <c r="F1122" s="131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  <c r="W1122" s="133"/>
    </row>
    <row r="1123" ht="12.75" customHeight="1">
      <c r="A1123" s="130"/>
      <c r="B1123" s="130"/>
      <c r="C1123" s="130"/>
      <c r="D1123" s="125"/>
      <c r="E1123" s="130"/>
      <c r="F1123" s="131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  <c r="W1123" s="133"/>
    </row>
    <row r="1124" ht="12.75" customHeight="1">
      <c r="A1124" s="130"/>
      <c r="B1124" s="130"/>
      <c r="C1124" s="130"/>
      <c r="D1124" s="125"/>
      <c r="E1124" s="130"/>
      <c r="F1124" s="131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  <c r="W1124" s="133"/>
    </row>
    <row r="1125" ht="12.75" customHeight="1">
      <c r="A1125" s="130"/>
      <c r="B1125" s="130"/>
      <c r="C1125" s="130"/>
      <c r="D1125" s="125"/>
      <c r="E1125" s="130"/>
      <c r="F1125" s="131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  <c r="W1125" s="133"/>
    </row>
    <row r="1126" ht="12.75" customHeight="1">
      <c r="A1126" s="130"/>
      <c r="B1126" s="130"/>
      <c r="C1126" s="130"/>
      <c r="D1126" s="125"/>
      <c r="E1126" s="130"/>
      <c r="F1126" s="131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  <c r="W1126" s="133"/>
    </row>
    <row r="1127" ht="12.75" customHeight="1">
      <c r="A1127" s="130"/>
      <c r="B1127" s="130"/>
      <c r="C1127" s="130"/>
      <c r="D1127" s="125"/>
      <c r="E1127" s="130"/>
      <c r="F1127" s="131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  <c r="W1127" s="133"/>
    </row>
    <row r="1128" ht="12.75" customHeight="1">
      <c r="A1128" s="130"/>
      <c r="B1128" s="130"/>
      <c r="C1128" s="130"/>
      <c r="D1128" s="125"/>
      <c r="E1128" s="130"/>
      <c r="F1128" s="131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  <c r="W1128" s="133"/>
    </row>
    <row r="1129" ht="12.75" customHeight="1">
      <c r="A1129" s="130"/>
      <c r="B1129" s="130"/>
      <c r="C1129" s="130"/>
      <c r="D1129" s="125"/>
      <c r="E1129" s="130"/>
      <c r="F1129" s="131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  <c r="W1129" s="133"/>
    </row>
    <row r="1130" ht="12.75" customHeight="1">
      <c r="A1130" s="130"/>
      <c r="B1130" s="130"/>
      <c r="C1130" s="130"/>
      <c r="D1130" s="125"/>
      <c r="E1130" s="130"/>
      <c r="F1130" s="131"/>
      <c r="G1130" s="132"/>
      <c r="H1130" s="132"/>
      <c r="I1130" s="132"/>
      <c r="J1130" s="132"/>
      <c r="K1130" s="132"/>
      <c r="L1130" s="132"/>
      <c r="M1130" s="132"/>
      <c r="N1130" s="132"/>
      <c r="O1130" s="132"/>
      <c r="P1130" s="132"/>
      <c r="Q1130" s="132"/>
      <c r="R1130" s="132"/>
      <c r="S1130" s="132"/>
      <c r="T1130" s="132"/>
      <c r="U1130" s="133"/>
      <c r="V1130" s="133"/>
      <c r="W1130" s="133"/>
    </row>
    <row r="1131" ht="12.75" customHeight="1">
      <c r="A1131" s="130"/>
      <c r="B1131" s="130"/>
      <c r="C1131" s="130"/>
      <c r="D1131" s="125"/>
      <c r="E1131" s="130"/>
      <c r="F1131" s="131"/>
      <c r="G1131" s="132"/>
      <c r="H1131" s="132"/>
      <c r="I1131" s="132"/>
      <c r="J1131" s="132"/>
      <c r="K1131" s="132"/>
      <c r="L1131" s="132"/>
      <c r="M1131" s="132"/>
      <c r="N1131" s="132"/>
      <c r="O1131" s="132"/>
      <c r="P1131" s="132"/>
      <c r="Q1131" s="132"/>
      <c r="R1131" s="132"/>
      <c r="S1131" s="132"/>
      <c r="T1131" s="132"/>
      <c r="U1131" s="133"/>
      <c r="V1131" s="133"/>
      <c r="W1131" s="133"/>
    </row>
    <row r="1132" ht="12.75" customHeight="1">
      <c r="A1132" s="130"/>
      <c r="B1132" s="130"/>
      <c r="C1132" s="130"/>
      <c r="D1132" s="125"/>
      <c r="E1132" s="130"/>
      <c r="F1132" s="131"/>
      <c r="G1132" s="132"/>
      <c r="H1132" s="132"/>
      <c r="I1132" s="132"/>
      <c r="J1132" s="132"/>
      <c r="K1132" s="132"/>
      <c r="L1132" s="132"/>
      <c r="M1132" s="132"/>
      <c r="N1132" s="132"/>
      <c r="O1132" s="132"/>
      <c r="P1132" s="132"/>
      <c r="Q1132" s="132"/>
      <c r="R1132" s="132"/>
      <c r="S1132" s="132"/>
      <c r="T1132" s="132"/>
      <c r="U1132" s="133"/>
      <c r="V1132" s="133"/>
      <c r="W1132" s="133"/>
    </row>
    <row r="1133" ht="12.75" customHeight="1">
      <c r="A1133" s="130"/>
      <c r="B1133" s="130"/>
      <c r="C1133" s="130"/>
      <c r="D1133" s="125"/>
      <c r="E1133" s="130"/>
      <c r="F1133" s="131"/>
      <c r="G1133" s="132"/>
      <c r="H1133" s="132"/>
      <c r="I1133" s="132"/>
      <c r="J1133" s="132"/>
      <c r="K1133" s="132"/>
      <c r="L1133" s="132"/>
      <c r="M1133" s="132"/>
      <c r="N1133" s="132"/>
      <c r="O1133" s="132"/>
      <c r="P1133" s="132"/>
      <c r="Q1133" s="132"/>
      <c r="R1133" s="132"/>
      <c r="S1133" s="132"/>
      <c r="T1133" s="132"/>
      <c r="U1133" s="133"/>
      <c r="V1133" s="133"/>
      <c r="W1133" s="133"/>
    </row>
    <row r="1134" ht="12.75" customHeight="1">
      <c r="A1134" s="130"/>
      <c r="B1134" s="130"/>
      <c r="C1134" s="130"/>
      <c r="D1134" s="125"/>
      <c r="E1134" s="130"/>
      <c r="F1134" s="131"/>
      <c r="G1134" s="132"/>
      <c r="H1134" s="132"/>
      <c r="I1134" s="132"/>
      <c r="J1134" s="132"/>
      <c r="K1134" s="132"/>
      <c r="L1134" s="132"/>
      <c r="M1134" s="132"/>
      <c r="N1134" s="132"/>
      <c r="O1134" s="132"/>
      <c r="P1134" s="132"/>
      <c r="Q1134" s="132"/>
      <c r="R1134" s="132"/>
      <c r="S1134" s="132"/>
      <c r="T1134" s="132"/>
      <c r="U1134" s="133"/>
      <c r="V1134" s="133"/>
      <c r="W1134" s="133"/>
    </row>
    <row r="1135" ht="12.75" customHeight="1">
      <c r="A1135" s="130"/>
      <c r="B1135" s="130"/>
      <c r="C1135" s="130"/>
      <c r="D1135" s="125"/>
      <c r="E1135" s="130"/>
      <c r="F1135" s="131"/>
      <c r="G1135" s="132"/>
      <c r="H1135" s="132"/>
      <c r="I1135" s="132"/>
      <c r="J1135" s="132"/>
      <c r="K1135" s="132"/>
      <c r="L1135" s="132"/>
      <c r="M1135" s="132"/>
      <c r="N1135" s="132"/>
      <c r="O1135" s="132"/>
      <c r="P1135" s="132"/>
      <c r="Q1135" s="132"/>
      <c r="R1135" s="132"/>
      <c r="S1135" s="132"/>
      <c r="T1135" s="132"/>
      <c r="U1135" s="133"/>
      <c r="V1135" s="133"/>
      <c r="W1135" s="133"/>
    </row>
    <row r="1136" ht="12.75" customHeight="1">
      <c r="A1136" s="130"/>
      <c r="B1136" s="130"/>
      <c r="C1136" s="130"/>
      <c r="D1136" s="125"/>
      <c r="E1136" s="130"/>
      <c r="F1136" s="131"/>
      <c r="G1136" s="132"/>
      <c r="H1136" s="132"/>
      <c r="I1136" s="132"/>
      <c r="J1136" s="132"/>
      <c r="K1136" s="132"/>
      <c r="L1136" s="132"/>
      <c r="M1136" s="132"/>
      <c r="N1136" s="132"/>
      <c r="O1136" s="132"/>
      <c r="P1136" s="132"/>
      <c r="Q1136" s="132"/>
      <c r="R1136" s="132"/>
      <c r="S1136" s="132"/>
      <c r="T1136" s="132"/>
      <c r="U1136" s="133"/>
      <c r="V1136" s="133"/>
      <c r="W1136" s="133"/>
    </row>
    <row r="1137" ht="12.75" customHeight="1">
      <c r="A1137" s="130"/>
      <c r="B1137" s="130"/>
      <c r="C1137" s="130"/>
      <c r="D1137" s="125"/>
      <c r="E1137" s="130"/>
      <c r="F1137" s="131"/>
      <c r="G1137" s="132"/>
      <c r="H1137" s="132"/>
      <c r="I1137" s="132"/>
      <c r="J1137" s="132"/>
      <c r="K1137" s="132"/>
      <c r="L1137" s="132"/>
      <c r="M1137" s="132"/>
      <c r="N1137" s="132"/>
      <c r="O1137" s="132"/>
      <c r="P1137" s="132"/>
      <c r="Q1137" s="132"/>
      <c r="R1137" s="132"/>
      <c r="S1137" s="132"/>
      <c r="T1137" s="132"/>
      <c r="U1137" s="133"/>
      <c r="V1137" s="133"/>
      <c r="W1137" s="133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1068</v>
      </c>
      <c r="D2" s="10"/>
      <c r="E2" s="9">
        <f t="shared" ref="E2:R2" si="1">SUM(E5,E14,E17)</f>
        <v>0</v>
      </c>
      <c r="F2" s="9">
        <f t="shared" si="1"/>
        <v>2</v>
      </c>
      <c r="G2" s="9">
        <f t="shared" si="1"/>
        <v>2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7</v>
      </c>
      <c r="N2" s="9">
        <f t="shared" si="1"/>
        <v>1</v>
      </c>
      <c r="O2" s="9">
        <f t="shared" si="1"/>
        <v>0</v>
      </c>
      <c r="P2" s="9">
        <f t="shared" si="1"/>
        <v>1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0</v>
      </c>
      <c r="F4" s="23">
        <f>IFERROR((G2+R2)/F2,0)</f>
        <v>1</v>
      </c>
      <c r="G4" s="23">
        <f>IFERROR(H2/G2,0)</f>
        <v>0</v>
      </c>
      <c r="H4" s="22">
        <f>(C2/C4)</f>
        <v>23.73333333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3.5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1068</v>
      </c>
      <c r="D5" s="31"/>
      <c r="E5" s="32">
        <f>SUMIFS(T:T,A:A,B5,D:D,"Y")</f>
        <v>0</v>
      </c>
      <c r="F5" s="33">
        <f>SUMIF(A:A,B5,G:G)</f>
        <v>1</v>
      </c>
      <c r="G5" s="33">
        <f>SUMIF(A:A,B5,H:H)</f>
        <v>1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4</v>
      </c>
      <c r="N5" s="33">
        <f>SUMIF(A:A,B5,N:N)</f>
        <v>0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1</v>
      </c>
      <c r="G7" s="41">
        <f>IFERROR(H5/G5,0)</f>
        <v>0</v>
      </c>
      <c r="H7" s="40">
        <f>(C5/C7)</f>
        <v>53.4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4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1068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97.09090909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3</v>
      </c>
      <c r="N14" s="33">
        <f>SUMIF(A:A,B14,N:N)</f>
        <v>1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3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0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SUMIF(B59:B1137,B23,G59:G1137)</f>
        <v>0</v>
      </c>
      <c r="G23" s="46">
        <f>SUMIF(B59:B1137,B23,H59:H1137)</f>
        <v>0</v>
      </c>
      <c r="H23" s="46">
        <f>SUMIF(B59:B1137,B23,I59:I1137)</f>
        <v>0</v>
      </c>
      <c r="I23" s="46">
        <f>SUMIF(B59:B1137,B23,P59:P1137)</f>
        <v>0</v>
      </c>
      <c r="J23" s="46">
        <f>SUMIF(B59:B1137,B23,Q59:Q1137)</f>
        <v>0</v>
      </c>
      <c r="K23" s="46">
        <f>SUMIF(B59:B1137,B23,R59:R1137)</f>
        <v>0</v>
      </c>
      <c r="L23" s="46">
        <f>SUMIF(B59:B1137,B23,S59:S1137)</f>
        <v>0</v>
      </c>
      <c r="M23" s="46">
        <f>SUMIF(B59:B1137,B23,M59:M1137)</f>
        <v>0</v>
      </c>
      <c r="N23" s="46">
        <f>SUMIF(B59:B1137,B23,N59:N1137)</f>
        <v>0</v>
      </c>
      <c r="O23" s="46">
        <f>SUMIF(B59:B1137,B23,O59:O1137)</f>
        <v>0</v>
      </c>
      <c r="P23" s="46">
        <f>SUMIF(B59:B1137,B23,J59:J1137)</f>
        <v>0</v>
      </c>
      <c r="Q23" s="46">
        <f>SUMIF(B59:B1137,B23,K59:K1137)</f>
        <v>0</v>
      </c>
      <c r="R23" s="50">
        <f>SUMIF(B59:B1137,B23,L59:L1137)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SUMIF(B62:B1137,B26,G62:G1137)</f>
        <v>0</v>
      </c>
      <c r="G26" s="46">
        <f>SUMIF(B62:B1137,B26,H62:H1137)</f>
        <v>0</v>
      </c>
      <c r="H26" s="46">
        <f>SUMIF(B62:B1137,B26,I62:I1137)</f>
        <v>0</v>
      </c>
      <c r="I26" s="46">
        <f>SUMIF(B62:B1137,B26,P62:P1137)</f>
        <v>0</v>
      </c>
      <c r="J26" s="46">
        <f>SUMIF(B62:B1137,B26,Q62:Q1137)</f>
        <v>0</v>
      </c>
      <c r="K26" s="46">
        <f>SUMIF(B62:B1137,B26,R62:R1137)</f>
        <v>0</v>
      </c>
      <c r="L26" s="46">
        <f>SUMIF(B62:B1137,B26,S62:S1137)</f>
        <v>0</v>
      </c>
      <c r="M26" s="46">
        <f>SUMIF(B62:B1137,B26,M62:M1137)</f>
        <v>0</v>
      </c>
      <c r="N26" s="46">
        <f>SUMIF(B62:B1137,B26,N62:N1137)</f>
        <v>0</v>
      </c>
      <c r="O26" s="46">
        <f>SUMIF(B62:B1137,B26,O62:O1137)</f>
        <v>0</v>
      </c>
      <c r="P26" s="46">
        <f>SUMIF(B62:B1137,B26,J62:J1137)</f>
        <v>0</v>
      </c>
      <c r="Q26" s="46">
        <f>SUMIF(B62:B1137,B26,K62:K1137)</f>
        <v>0</v>
      </c>
      <c r="R26" s="50">
        <f>SUMIF(B62:B1137,B26,L62:L1137)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128">
        <v>1.0</v>
      </c>
      <c r="H37" s="128">
        <v>0.0</v>
      </c>
      <c r="I37" s="128">
        <v>0.0</v>
      </c>
      <c r="J37" s="128">
        <v>0.0</v>
      </c>
      <c r="K37" s="128">
        <v>0.0</v>
      </c>
      <c r="L37" s="128">
        <v>0.0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>
        <v>0.0</v>
      </c>
      <c r="H41" s="71">
        <v>0.0</v>
      </c>
      <c r="I41" s="71">
        <v>0.0</v>
      </c>
      <c r="J41" s="71">
        <v>0.0</v>
      </c>
      <c r="K41" s="71">
        <v>0.0</v>
      </c>
      <c r="L41" s="71">
        <v>0.0</v>
      </c>
      <c r="M41" s="71">
        <v>0.0</v>
      </c>
      <c r="N41" s="71">
        <v>0.0</v>
      </c>
      <c r="O41" s="71">
        <v>0.0</v>
      </c>
      <c r="P41" s="71">
        <v>0.0</v>
      </c>
      <c r="Q41" s="71">
        <v>0.0</v>
      </c>
      <c r="R41" s="71">
        <v>0.0</v>
      </c>
      <c r="S41" s="71">
        <v>0.0</v>
      </c>
      <c r="T41" s="71">
        <v>0.0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>
        <v>0.0</v>
      </c>
      <c r="H42" s="71">
        <v>0.0</v>
      </c>
      <c r="I42" s="71">
        <v>0.0</v>
      </c>
      <c r="J42" s="71">
        <v>0.0</v>
      </c>
      <c r="K42" s="71">
        <v>0.0</v>
      </c>
      <c r="L42" s="71">
        <v>0.0</v>
      </c>
      <c r="M42" s="71">
        <v>0.0</v>
      </c>
      <c r="N42" s="71">
        <v>0.0</v>
      </c>
      <c r="O42" s="71">
        <v>0.0</v>
      </c>
      <c r="P42" s="71">
        <v>0.0</v>
      </c>
      <c r="Q42" s="71">
        <v>0.0</v>
      </c>
      <c r="R42" s="71">
        <v>0.0</v>
      </c>
      <c r="S42" s="71">
        <v>0.0</v>
      </c>
      <c r="T42" s="71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>
        <v>0.0</v>
      </c>
      <c r="H43" s="71">
        <v>0.0</v>
      </c>
      <c r="I43" s="71">
        <v>0.0</v>
      </c>
      <c r="J43" s="71">
        <v>0.0</v>
      </c>
      <c r="K43" s="71">
        <v>0.0</v>
      </c>
      <c r="L43" s="71">
        <v>0.0</v>
      </c>
      <c r="M43" s="71">
        <v>0.0</v>
      </c>
      <c r="N43" s="71">
        <v>0.0</v>
      </c>
      <c r="O43" s="71">
        <v>0.0</v>
      </c>
      <c r="P43" s="71">
        <v>0.0</v>
      </c>
      <c r="Q43" s="71">
        <v>0.0</v>
      </c>
      <c r="R43" s="71">
        <v>0.0</v>
      </c>
      <c r="S43" s="71">
        <v>0.0</v>
      </c>
      <c r="T43" s="71">
        <v>0.0</v>
      </c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>
        <v>0.0</v>
      </c>
      <c r="H44" s="71">
        <v>0.0</v>
      </c>
      <c r="I44" s="71">
        <v>0.0</v>
      </c>
      <c r="J44" s="71">
        <v>0.0</v>
      </c>
      <c r="K44" s="71">
        <v>0.0</v>
      </c>
      <c r="L44" s="71">
        <v>0.0</v>
      </c>
      <c r="M44" s="71">
        <v>0.0</v>
      </c>
      <c r="N44" s="71">
        <v>0.0</v>
      </c>
      <c r="O44" s="71">
        <v>0.0</v>
      </c>
      <c r="P44" s="71">
        <v>0.0</v>
      </c>
      <c r="Q44" s="71">
        <v>0.0</v>
      </c>
      <c r="R44" s="71">
        <v>0.0</v>
      </c>
      <c r="S44" s="71">
        <v>0.0</v>
      </c>
      <c r="T44" s="71">
        <v>0.0</v>
      </c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>
        <v>0.0</v>
      </c>
      <c r="H45" s="128">
        <v>1.0</v>
      </c>
      <c r="I45" s="71">
        <v>0.0</v>
      </c>
      <c r="J45" s="128">
        <v>1.0</v>
      </c>
      <c r="K45" s="71">
        <v>0.0</v>
      </c>
      <c r="L45" s="71">
        <v>0.0</v>
      </c>
      <c r="M45" s="128">
        <v>4.0</v>
      </c>
      <c r="N45" s="71">
        <v>0.0</v>
      </c>
      <c r="O45" s="71">
        <v>0.0</v>
      </c>
      <c r="P45" s="71">
        <v>0.0</v>
      </c>
      <c r="Q45" s="71">
        <v>0.0</v>
      </c>
      <c r="R45" s="128">
        <v>1.0</v>
      </c>
      <c r="S45" s="71">
        <v>0.0</v>
      </c>
      <c r="T45" s="128">
        <v>1068.0</v>
      </c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>
        <v>0.0</v>
      </c>
      <c r="H46" s="71">
        <v>0.0</v>
      </c>
      <c r="I46" s="71">
        <v>0.0</v>
      </c>
      <c r="J46" s="71">
        <v>0.0</v>
      </c>
      <c r="K46" s="71">
        <v>0.0</v>
      </c>
      <c r="L46" s="71">
        <v>0.0</v>
      </c>
      <c r="M46" s="71">
        <v>0.0</v>
      </c>
      <c r="N46" s="71">
        <v>0.0</v>
      </c>
      <c r="O46" s="71">
        <v>0.0</v>
      </c>
      <c r="P46" s="71">
        <v>0.0</v>
      </c>
      <c r="Q46" s="71">
        <v>0.0</v>
      </c>
      <c r="R46" s="71">
        <v>0.0</v>
      </c>
      <c r="S46" s="71">
        <v>0.0</v>
      </c>
      <c r="T46" s="71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60" si="5">IFERROR(I55/H55,0)</f>
        <v>0</v>
      </c>
      <c r="V55" s="72">
        <f t="shared" ref="V55:V60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74" t="s">
        <v>29</v>
      </c>
      <c r="B58" s="75"/>
      <c r="C58" s="75"/>
      <c r="D58" s="76"/>
      <c r="E58" s="76"/>
      <c r="F58" s="78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99" t="s">
        <v>29</v>
      </c>
      <c r="B59" s="90"/>
      <c r="C59" s="100" t="s">
        <v>72</v>
      </c>
      <c r="D59" s="101" t="s">
        <v>51</v>
      </c>
      <c r="E59" s="90"/>
      <c r="F59" s="100" t="s">
        <v>72</v>
      </c>
      <c r="G59" s="128">
        <v>1.0</v>
      </c>
      <c r="H59" s="128">
        <v>1.0</v>
      </c>
      <c r="I59" s="128">
        <v>0.0</v>
      </c>
      <c r="J59" s="128">
        <v>0.0</v>
      </c>
      <c r="K59" s="128">
        <v>0.0</v>
      </c>
      <c r="L59" s="128">
        <v>0.0</v>
      </c>
      <c r="M59" s="128">
        <v>3.0</v>
      </c>
      <c r="N59" s="128">
        <v>1.0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2">
        <f t="shared" si="5"/>
        <v>0</v>
      </c>
      <c r="V59" s="72">
        <f t="shared" si="6"/>
        <v>1</v>
      </c>
      <c r="W59" s="73"/>
    </row>
    <row r="60" ht="20.25" customHeight="1">
      <c r="A60" s="87" t="s">
        <v>29</v>
      </c>
      <c r="B60" s="88"/>
      <c r="C60" s="88" t="s">
        <v>72</v>
      </c>
      <c r="D60" s="90"/>
      <c r="E60" s="90"/>
      <c r="F60" s="91" t="s">
        <v>73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si="5"/>
        <v>0</v>
      </c>
      <c r="V60" s="72">
        <f t="shared" si="6"/>
        <v>0</v>
      </c>
      <c r="W60" s="73"/>
    </row>
    <row r="61" ht="20.25" customHeight="1">
      <c r="A61" s="62" t="s">
        <v>35</v>
      </c>
      <c r="B61" s="63" t="s">
        <v>36</v>
      </c>
      <c r="C61" s="63" t="s">
        <v>37</v>
      </c>
      <c r="D61" s="64"/>
      <c r="E61" s="63" t="s">
        <v>38</v>
      </c>
      <c r="F61" s="63" t="s">
        <v>39</v>
      </c>
      <c r="G61" s="65" t="s">
        <v>40</v>
      </c>
      <c r="H61" s="65" t="s">
        <v>41</v>
      </c>
      <c r="I61" s="65" t="s">
        <v>42</v>
      </c>
      <c r="J61" s="65" t="s">
        <v>12</v>
      </c>
      <c r="K61" s="65" t="s">
        <v>43</v>
      </c>
      <c r="L61" s="65" t="s">
        <v>14</v>
      </c>
      <c r="M61" s="65" t="s">
        <v>9</v>
      </c>
      <c r="N61" s="65" t="s">
        <v>10</v>
      </c>
      <c r="O61" s="65" t="s">
        <v>44</v>
      </c>
      <c r="P61" s="65" t="s">
        <v>5</v>
      </c>
      <c r="Q61" s="65" t="s">
        <v>45</v>
      </c>
      <c r="R61" s="65" t="s">
        <v>46</v>
      </c>
      <c r="S61" s="65" t="s">
        <v>47</v>
      </c>
      <c r="T61" s="65" t="s">
        <v>0</v>
      </c>
      <c r="U61" s="63" t="s">
        <v>48</v>
      </c>
      <c r="V61" s="63" t="s">
        <v>49</v>
      </c>
      <c r="W61" s="98"/>
    </row>
    <row r="62" ht="12.75" customHeight="1">
      <c r="A62" s="102" t="s">
        <v>30</v>
      </c>
      <c r="B62" s="60"/>
      <c r="C62" s="60"/>
      <c r="D62" s="103" t="s">
        <v>51</v>
      </c>
      <c r="E62" s="60"/>
      <c r="F62" s="102" t="s">
        <v>30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ref="U62:U80" si="7">IFERROR(I62/H62,0)</f>
        <v>0</v>
      </c>
      <c r="V62" s="72">
        <f t="shared" ref="V62:V80" si="8">IFERROR(SUM(H62+L62)/G62,0)</f>
        <v>0</v>
      </c>
      <c r="W62" s="73"/>
    </row>
    <row r="63" ht="12.75" customHeight="1">
      <c r="A63" s="104" t="s">
        <v>30</v>
      </c>
      <c r="B63" s="60"/>
      <c r="C63" s="60"/>
      <c r="D63" s="59"/>
      <c r="E63" s="76"/>
      <c r="F63" s="104" t="s">
        <v>74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5" t="s">
        <v>30</v>
      </c>
      <c r="B64" s="105" t="s">
        <v>31</v>
      </c>
      <c r="C64" s="106"/>
      <c r="D64" s="107" t="s">
        <v>51</v>
      </c>
      <c r="E64" s="96"/>
      <c r="F64" s="105" t="s">
        <v>31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8" t="s">
        <v>31</v>
      </c>
      <c r="C65" s="108"/>
      <c r="D65" s="109"/>
      <c r="E65" s="70"/>
      <c r="F65" s="110" t="s">
        <v>75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04" t="s">
        <v>30</v>
      </c>
      <c r="B66" s="104" t="s">
        <v>31</v>
      </c>
      <c r="C66" s="104"/>
      <c r="D66" s="60"/>
      <c r="E66" s="76"/>
      <c r="F66" s="104" t="s">
        <v>76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32</v>
      </c>
      <c r="C67" s="105"/>
      <c r="D67" s="107" t="s">
        <v>51</v>
      </c>
      <c r="E67" s="82"/>
      <c r="F67" s="105" t="s">
        <v>32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8" t="s">
        <v>30</v>
      </c>
      <c r="B69" s="108" t="s">
        <v>32</v>
      </c>
      <c r="C69" s="108"/>
      <c r="D69" s="59"/>
      <c r="E69" s="76"/>
      <c r="F69" s="111" t="s">
        <v>78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5" t="s">
        <v>30</v>
      </c>
      <c r="B70" s="105" t="s">
        <v>33</v>
      </c>
      <c r="C70" s="105"/>
      <c r="D70" s="107" t="s">
        <v>51</v>
      </c>
      <c r="E70" s="82"/>
      <c r="F70" s="105" t="s">
        <v>33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04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04" t="s">
        <v>30</v>
      </c>
      <c r="B75" s="104" t="s">
        <v>33</v>
      </c>
      <c r="C75" s="104"/>
      <c r="D75" s="60"/>
      <c r="E75" s="76"/>
      <c r="F75" s="111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2" t="s">
        <v>30</v>
      </c>
      <c r="B76" s="113" t="s">
        <v>33</v>
      </c>
      <c r="C76" s="113" t="s">
        <v>84</v>
      </c>
      <c r="D76" s="114" t="s">
        <v>51</v>
      </c>
      <c r="E76" s="115"/>
      <c r="F76" s="113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84</v>
      </c>
      <c r="D77" s="118"/>
      <c r="E77" s="90"/>
      <c r="F77" s="117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84</v>
      </c>
      <c r="D78" s="119"/>
      <c r="E78" s="90"/>
      <c r="F78" s="117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84</v>
      </c>
      <c r="D79" s="119"/>
      <c r="E79" s="90"/>
      <c r="F79" s="117" t="s">
        <v>87</v>
      </c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>
        <f t="shared" si="7"/>
        <v>0</v>
      </c>
      <c r="V79" s="72">
        <f t="shared" si="8"/>
        <v>0</v>
      </c>
      <c r="W79" s="73"/>
    </row>
    <row r="80" ht="12.75" customHeight="1">
      <c r="A80" s="116" t="s">
        <v>30</v>
      </c>
      <c r="B80" s="117" t="s">
        <v>33</v>
      </c>
      <c r="C80" s="117" t="s">
        <v>84</v>
      </c>
      <c r="D80" s="119"/>
      <c r="E80" s="90"/>
      <c r="F80" s="117" t="s">
        <v>88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 t="shared" si="7"/>
        <v>0</v>
      </c>
      <c r="V80" s="72">
        <f t="shared" si="8"/>
        <v>0</v>
      </c>
      <c r="W80" s="73"/>
    </row>
    <row r="81" ht="20.25" customHeight="1">
      <c r="A81" s="62" t="s">
        <v>35</v>
      </c>
      <c r="B81" s="63" t="s">
        <v>36</v>
      </c>
      <c r="C81" s="63" t="s">
        <v>37</v>
      </c>
      <c r="D81" s="64"/>
      <c r="E81" s="63" t="s">
        <v>38</v>
      </c>
      <c r="F81" s="63" t="s">
        <v>39</v>
      </c>
      <c r="G81" s="65" t="s">
        <v>40</v>
      </c>
      <c r="H81" s="65" t="s">
        <v>41</v>
      </c>
      <c r="I81" s="65" t="s">
        <v>42</v>
      </c>
      <c r="J81" s="65" t="s">
        <v>12</v>
      </c>
      <c r="K81" s="65" t="s">
        <v>43</v>
      </c>
      <c r="L81" s="65" t="s">
        <v>14</v>
      </c>
      <c r="M81" s="65" t="s">
        <v>9</v>
      </c>
      <c r="N81" s="65" t="s">
        <v>10</v>
      </c>
      <c r="O81" s="65" t="s">
        <v>44</v>
      </c>
      <c r="P81" s="65" t="s">
        <v>5</v>
      </c>
      <c r="Q81" s="65" t="s">
        <v>45</v>
      </c>
      <c r="R81" s="65" t="s">
        <v>46</v>
      </c>
      <c r="S81" s="65" t="s">
        <v>47</v>
      </c>
      <c r="T81" s="65" t="s">
        <v>0</v>
      </c>
      <c r="U81" s="63" t="s">
        <v>48</v>
      </c>
      <c r="V81" s="63" t="s">
        <v>49</v>
      </c>
      <c r="W81" s="98"/>
    </row>
    <row r="82" ht="12.75" customHeight="1">
      <c r="A82" s="102" t="s">
        <v>34</v>
      </c>
      <c r="B82" s="102"/>
      <c r="C82" s="102"/>
      <c r="D82" s="120" t="s">
        <v>51</v>
      </c>
      <c r="E82" s="76"/>
      <c r="F82" s="102" t="s">
        <v>34</v>
      </c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>
        <f>IFERROR(I82/H82,0)</f>
        <v>0</v>
      </c>
      <c r="V82" s="72">
        <f>IFERROR(SUM(H82+L82)/G82,0)</f>
        <v>0</v>
      </c>
      <c r="W82" s="7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1"/>
      <c r="B600" s="121"/>
      <c r="C600" s="121"/>
      <c r="D600" s="1"/>
      <c r="E600" s="121"/>
      <c r="F600" s="11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3"/>
      <c r="V600" s="123"/>
      <c r="W600" s="12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30"/>
      <c r="B1074" s="130"/>
      <c r="C1074" s="130"/>
      <c r="D1074" s="125"/>
      <c r="E1074" s="130"/>
      <c r="F1074" s="131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  <c r="W1074" s="133"/>
    </row>
    <row r="1075" ht="12.75" customHeight="1">
      <c r="A1075" s="130"/>
      <c r="B1075" s="130"/>
      <c r="C1075" s="130"/>
      <c r="D1075" s="125"/>
      <c r="E1075" s="130"/>
      <c r="F1075" s="131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  <c r="W1075" s="133"/>
    </row>
    <row r="1076" ht="12.75" customHeight="1">
      <c r="A1076" s="130"/>
      <c r="B1076" s="130"/>
      <c r="C1076" s="130"/>
      <c r="D1076" s="125"/>
      <c r="E1076" s="130"/>
      <c r="F1076" s="131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  <c r="W1076" s="133"/>
    </row>
    <row r="1077" ht="12.75" customHeight="1">
      <c r="A1077" s="130"/>
      <c r="B1077" s="130"/>
      <c r="C1077" s="130"/>
      <c r="D1077" s="125"/>
      <c r="E1077" s="130"/>
      <c r="F1077" s="131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  <c r="W1077" s="133"/>
    </row>
    <row r="1078" ht="12.75" customHeight="1">
      <c r="A1078" s="130"/>
      <c r="B1078" s="130"/>
      <c r="C1078" s="130"/>
      <c r="D1078" s="125"/>
      <c r="E1078" s="130"/>
      <c r="F1078" s="131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  <c r="W1078" s="133"/>
    </row>
    <row r="1079" ht="12.75" customHeight="1">
      <c r="A1079" s="130"/>
      <c r="B1079" s="130"/>
      <c r="C1079" s="130"/>
      <c r="D1079" s="125"/>
      <c r="E1079" s="130"/>
      <c r="F1079" s="131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  <c r="W1079" s="133"/>
    </row>
    <row r="1080" ht="12.75" customHeight="1">
      <c r="A1080" s="130"/>
      <c r="B1080" s="130"/>
      <c r="C1080" s="130"/>
      <c r="D1080" s="125"/>
      <c r="E1080" s="130"/>
      <c r="F1080" s="131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  <c r="W1080" s="133"/>
    </row>
    <row r="1081" ht="12.75" customHeight="1">
      <c r="A1081" s="130"/>
      <c r="B1081" s="130"/>
      <c r="C1081" s="130"/>
      <c r="D1081" s="125"/>
      <c r="E1081" s="130"/>
      <c r="F1081" s="131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  <c r="W1081" s="133"/>
    </row>
    <row r="1082" ht="12.75" customHeight="1">
      <c r="A1082" s="130"/>
      <c r="B1082" s="130"/>
      <c r="C1082" s="130"/>
      <c r="D1082" s="125"/>
      <c r="E1082" s="130"/>
      <c r="F1082" s="131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  <c r="W1082" s="133"/>
    </row>
    <row r="1083" ht="12.75" customHeight="1">
      <c r="A1083" s="130"/>
      <c r="B1083" s="130"/>
      <c r="C1083" s="130"/>
      <c r="D1083" s="125"/>
      <c r="E1083" s="130"/>
      <c r="F1083" s="131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  <c r="W1083" s="133"/>
    </row>
    <row r="1084" ht="12.75" customHeight="1">
      <c r="A1084" s="130"/>
      <c r="B1084" s="130"/>
      <c r="C1084" s="130"/>
      <c r="D1084" s="125"/>
      <c r="E1084" s="130"/>
      <c r="F1084" s="131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  <c r="W1084" s="133"/>
    </row>
    <row r="1085" ht="12.75" customHeight="1">
      <c r="A1085" s="130"/>
      <c r="B1085" s="130"/>
      <c r="C1085" s="130"/>
      <c r="D1085" s="125"/>
      <c r="E1085" s="130"/>
      <c r="F1085" s="131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  <c r="W1085" s="133"/>
    </row>
    <row r="1086" ht="12.75" customHeight="1">
      <c r="A1086" s="130"/>
      <c r="B1086" s="130"/>
      <c r="C1086" s="130"/>
      <c r="D1086" s="125"/>
      <c r="E1086" s="130"/>
      <c r="F1086" s="131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  <c r="W1086" s="133"/>
    </row>
    <row r="1087" ht="12.75" customHeight="1">
      <c r="A1087" s="130"/>
      <c r="B1087" s="130"/>
      <c r="C1087" s="130"/>
      <c r="D1087" s="125"/>
      <c r="E1087" s="130"/>
      <c r="F1087" s="131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  <c r="W1087" s="133"/>
    </row>
    <row r="1088" ht="12.75" customHeight="1">
      <c r="A1088" s="130"/>
      <c r="B1088" s="130"/>
      <c r="C1088" s="130"/>
      <c r="D1088" s="125"/>
      <c r="E1088" s="130"/>
      <c r="F1088" s="131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  <c r="W1088" s="133"/>
    </row>
    <row r="1089" ht="12.75" customHeight="1">
      <c r="A1089" s="130"/>
      <c r="B1089" s="130"/>
      <c r="C1089" s="130"/>
      <c r="D1089" s="125"/>
      <c r="E1089" s="130"/>
      <c r="F1089" s="131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  <c r="W1089" s="133"/>
    </row>
    <row r="1090" ht="12.75" customHeight="1">
      <c r="A1090" s="130"/>
      <c r="B1090" s="130"/>
      <c r="C1090" s="130"/>
      <c r="D1090" s="125"/>
      <c r="E1090" s="130"/>
      <c r="F1090" s="131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  <c r="W1090" s="133"/>
    </row>
    <row r="1091" ht="12.75" customHeight="1">
      <c r="A1091" s="130"/>
      <c r="B1091" s="130"/>
      <c r="C1091" s="130"/>
      <c r="D1091" s="125"/>
      <c r="E1091" s="130"/>
      <c r="F1091" s="131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  <c r="W1091" s="133"/>
    </row>
    <row r="1092" ht="12.75" customHeight="1">
      <c r="A1092" s="130"/>
      <c r="B1092" s="130"/>
      <c r="C1092" s="130"/>
      <c r="D1092" s="125"/>
      <c r="E1092" s="130"/>
      <c r="F1092" s="131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  <c r="W1092" s="133"/>
    </row>
    <row r="1093" ht="12.75" customHeight="1">
      <c r="A1093" s="130"/>
      <c r="B1093" s="130"/>
      <c r="C1093" s="130"/>
      <c r="D1093" s="125"/>
      <c r="E1093" s="130"/>
      <c r="F1093" s="131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  <c r="W1093" s="133"/>
    </row>
    <row r="1094" ht="12.75" customHeight="1">
      <c r="A1094" s="130"/>
      <c r="B1094" s="130"/>
      <c r="C1094" s="130"/>
      <c r="D1094" s="125"/>
      <c r="E1094" s="130"/>
      <c r="F1094" s="131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  <c r="W1094" s="133"/>
    </row>
    <row r="1095" ht="12.75" customHeight="1">
      <c r="A1095" s="130"/>
      <c r="B1095" s="130"/>
      <c r="C1095" s="130"/>
      <c r="D1095" s="125"/>
      <c r="E1095" s="130"/>
      <c r="F1095" s="131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  <c r="W1095" s="133"/>
    </row>
    <row r="1096" ht="12.75" customHeight="1">
      <c r="A1096" s="130"/>
      <c r="B1096" s="130"/>
      <c r="C1096" s="130"/>
      <c r="D1096" s="125"/>
      <c r="E1096" s="130"/>
      <c r="F1096" s="131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  <c r="W1096" s="133"/>
    </row>
    <row r="1097" ht="12.75" customHeight="1">
      <c r="A1097" s="130"/>
      <c r="B1097" s="130"/>
      <c r="C1097" s="130"/>
      <c r="D1097" s="125"/>
      <c r="E1097" s="130"/>
      <c r="F1097" s="131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  <c r="W1097" s="133"/>
    </row>
    <row r="1098" ht="12.75" customHeight="1">
      <c r="A1098" s="130"/>
      <c r="B1098" s="130"/>
      <c r="C1098" s="130"/>
      <c r="D1098" s="125"/>
      <c r="E1098" s="130"/>
      <c r="F1098" s="131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  <c r="W1098" s="133"/>
    </row>
    <row r="1099" ht="12.75" customHeight="1">
      <c r="A1099" s="130"/>
      <c r="B1099" s="130"/>
      <c r="C1099" s="130"/>
      <c r="D1099" s="125"/>
      <c r="E1099" s="130"/>
      <c r="F1099" s="131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  <c r="W1099" s="133"/>
    </row>
    <row r="1100" ht="12.75" customHeight="1">
      <c r="A1100" s="130"/>
      <c r="B1100" s="130"/>
      <c r="C1100" s="130"/>
      <c r="D1100" s="125"/>
      <c r="E1100" s="130"/>
      <c r="F1100" s="131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  <c r="W1100" s="133"/>
    </row>
    <row r="1101" ht="12.75" customHeight="1">
      <c r="A1101" s="130"/>
      <c r="B1101" s="130"/>
      <c r="C1101" s="130"/>
      <c r="D1101" s="125"/>
      <c r="E1101" s="130"/>
      <c r="F1101" s="131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  <c r="W1101" s="133"/>
    </row>
    <row r="1102" ht="12.75" customHeight="1">
      <c r="A1102" s="130"/>
      <c r="B1102" s="130"/>
      <c r="C1102" s="130"/>
      <c r="D1102" s="125"/>
      <c r="E1102" s="130"/>
      <c r="F1102" s="131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  <c r="W1102" s="133"/>
    </row>
    <row r="1103" ht="12.75" customHeight="1">
      <c r="A1103" s="130"/>
      <c r="B1103" s="130"/>
      <c r="C1103" s="130"/>
      <c r="D1103" s="125"/>
      <c r="E1103" s="130"/>
      <c r="F1103" s="131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  <c r="W1103" s="133"/>
    </row>
    <row r="1104" ht="12.75" customHeight="1">
      <c r="A1104" s="130"/>
      <c r="B1104" s="130"/>
      <c r="C1104" s="130"/>
      <c r="D1104" s="125"/>
      <c r="E1104" s="130"/>
      <c r="F1104" s="131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  <c r="W1104" s="133"/>
    </row>
    <row r="1105" ht="12.75" customHeight="1">
      <c r="A1105" s="130"/>
      <c r="B1105" s="130"/>
      <c r="C1105" s="130"/>
      <c r="D1105" s="125"/>
      <c r="E1105" s="130"/>
      <c r="F1105" s="131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  <c r="W1105" s="133"/>
    </row>
    <row r="1106" ht="12.75" customHeight="1">
      <c r="A1106" s="130"/>
      <c r="B1106" s="130"/>
      <c r="C1106" s="130"/>
      <c r="D1106" s="125"/>
      <c r="E1106" s="130"/>
      <c r="F1106" s="131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  <c r="W1106" s="133"/>
    </row>
    <row r="1107" ht="12.75" customHeight="1">
      <c r="A1107" s="130"/>
      <c r="B1107" s="130"/>
      <c r="C1107" s="130"/>
      <c r="D1107" s="125"/>
      <c r="E1107" s="130"/>
      <c r="F1107" s="131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  <c r="W1107" s="133"/>
    </row>
    <row r="1108" ht="12.75" customHeight="1">
      <c r="A1108" s="130"/>
      <c r="B1108" s="130"/>
      <c r="C1108" s="130"/>
      <c r="D1108" s="125"/>
      <c r="E1108" s="130"/>
      <c r="F1108" s="131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  <c r="W1108" s="133"/>
    </row>
    <row r="1109" ht="12.75" customHeight="1">
      <c r="A1109" s="130"/>
      <c r="B1109" s="130"/>
      <c r="C1109" s="130"/>
      <c r="D1109" s="125"/>
      <c r="E1109" s="130"/>
      <c r="F1109" s="131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  <c r="W1109" s="133"/>
    </row>
    <row r="1110" ht="12.75" customHeight="1">
      <c r="A1110" s="130"/>
      <c r="B1110" s="130"/>
      <c r="C1110" s="130"/>
      <c r="D1110" s="125"/>
      <c r="E1110" s="130"/>
      <c r="F1110" s="131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  <c r="W1110" s="133"/>
    </row>
    <row r="1111" ht="12.75" customHeight="1">
      <c r="A1111" s="130"/>
      <c r="B1111" s="130"/>
      <c r="C1111" s="130"/>
      <c r="D1111" s="125"/>
      <c r="E1111" s="130"/>
      <c r="F1111" s="131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  <c r="W1111" s="133"/>
    </row>
    <row r="1112" ht="12.75" customHeight="1">
      <c r="A1112" s="130"/>
      <c r="B1112" s="130"/>
      <c r="C1112" s="130"/>
      <c r="D1112" s="125"/>
      <c r="E1112" s="130"/>
      <c r="F1112" s="131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  <c r="W1112" s="133"/>
    </row>
    <row r="1113" ht="12.75" customHeight="1">
      <c r="A1113" s="130"/>
      <c r="B1113" s="130"/>
      <c r="C1113" s="130"/>
      <c r="D1113" s="125"/>
      <c r="E1113" s="130"/>
      <c r="F1113" s="131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  <c r="W1113" s="133"/>
    </row>
    <row r="1114" ht="12.75" customHeight="1">
      <c r="A1114" s="130"/>
      <c r="B1114" s="130"/>
      <c r="C1114" s="130"/>
      <c r="D1114" s="125"/>
      <c r="E1114" s="130"/>
      <c r="F1114" s="131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  <c r="W1114" s="133"/>
    </row>
    <row r="1115" ht="12.75" customHeight="1">
      <c r="A1115" s="130"/>
      <c r="B1115" s="130"/>
      <c r="C1115" s="130"/>
      <c r="D1115" s="125"/>
      <c r="E1115" s="130"/>
      <c r="F1115" s="131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  <c r="W1115" s="133"/>
    </row>
    <row r="1116" ht="12.75" customHeight="1">
      <c r="A1116" s="130"/>
      <c r="B1116" s="130"/>
      <c r="C1116" s="130"/>
      <c r="D1116" s="125"/>
      <c r="E1116" s="130"/>
      <c r="F1116" s="131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  <c r="W1116" s="133"/>
    </row>
    <row r="1117" ht="12.75" customHeight="1">
      <c r="A1117" s="130"/>
      <c r="B1117" s="130"/>
      <c r="C1117" s="130"/>
      <c r="D1117" s="125"/>
      <c r="E1117" s="130"/>
      <c r="F1117" s="131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  <c r="W1117" s="133"/>
    </row>
    <row r="1118" ht="12.75" customHeight="1">
      <c r="A1118" s="130"/>
      <c r="B1118" s="130"/>
      <c r="C1118" s="130"/>
      <c r="D1118" s="125"/>
      <c r="E1118" s="130"/>
      <c r="F1118" s="131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  <c r="W1118" s="133"/>
    </row>
    <row r="1119" ht="12.75" customHeight="1">
      <c r="A1119" s="130"/>
      <c r="B1119" s="130"/>
      <c r="C1119" s="130"/>
      <c r="D1119" s="125"/>
      <c r="E1119" s="130"/>
      <c r="F1119" s="131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  <c r="W1119" s="133"/>
    </row>
    <row r="1120" ht="12.75" customHeight="1">
      <c r="A1120" s="130"/>
      <c r="B1120" s="130"/>
      <c r="C1120" s="130"/>
      <c r="D1120" s="125"/>
      <c r="E1120" s="130"/>
      <c r="F1120" s="131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  <c r="W1120" s="133"/>
    </row>
    <row r="1121" ht="12.75" customHeight="1">
      <c r="A1121" s="130"/>
      <c r="B1121" s="130"/>
      <c r="C1121" s="130"/>
      <c r="D1121" s="125"/>
      <c r="E1121" s="130"/>
      <c r="F1121" s="131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  <c r="W1121" s="133"/>
    </row>
    <row r="1122" ht="12.75" customHeight="1">
      <c r="A1122" s="130"/>
      <c r="B1122" s="130"/>
      <c r="C1122" s="130"/>
      <c r="D1122" s="125"/>
      <c r="E1122" s="130"/>
      <c r="F1122" s="131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  <c r="W1122" s="133"/>
    </row>
    <row r="1123" ht="12.75" customHeight="1">
      <c r="A1123" s="130"/>
      <c r="B1123" s="130"/>
      <c r="C1123" s="130"/>
      <c r="D1123" s="125"/>
      <c r="E1123" s="130"/>
      <c r="F1123" s="131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  <c r="W1123" s="133"/>
    </row>
    <row r="1124" ht="12.75" customHeight="1">
      <c r="A1124" s="130"/>
      <c r="B1124" s="130"/>
      <c r="C1124" s="130"/>
      <c r="D1124" s="125"/>
      <c r="E1124" s="130"/>
      <c r="F1124" s="131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  <c r="W1124" s="133"/>
    </row>
    <row r="1125" ht="12.75" customHeight="1">
      <c r="A1125" s="130"/>
      <c r="B1125" s="130"/>
      <c r="C1125" s="130"/>
      <c r="D1125" s="125"/>
      <c r="E1125" s="130"/>
      <c r="F1125" s="131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  <c r="W1125" s="133"/>
    </row>
    <row r="1126" ht="12.75" customHeight="1">
      <c r="A1126" s="130"/>
      <c r="B1126" s="130"/>
      <c r="C1126" s="130"/>
      <c r="D1126" s="125"/>
      <c r="E1126" s="130"/>
      <c r="F1126" s="131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  <c r="W1126" s="133"/>
    </row>
    <row r="1127" ht="12.75" customHeight="1">
      <c r="A1127" s="130"/>
      <c r="B1127" s="130"/>
      <c r="C1127" s="130"/>
      <c r="D1127" s="125"/>
      <c r="E1127" s="130"/>
      <c r="F1127" s="131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  <c r="W1127" s="133"/>
    </row>
    <row r="1128" ht="12.75" customHeight="1">
      <c r="A1128" s="130"/>
      <c r="B1128" s="130"/>
      <c r="C1128" s="130"/>
      <c r="D1128" s="125"/>
      <c r="E1128" s="130"/>
      <c r="F1128" s="131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  <c r="W1128" s="133"/>
    </row>
    <row r="1129" ht="12.75" customHeight="1">
      <c r="A1129" s="130"/>
      <c r="B1129" s="130"/>
      <c r="C1129" s="130"/>
      <c r="D1129" s="125"/>
      <c r="E1129" s="130"/>
      <c r="F1129" s="131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  <c r="W1129" s="133"/>
    </row>
    <row r="1130" ht="12.75" customHeight="1">
      <c r="A1130" s="130"/>
      <c r="B1130" s="130"/>
      <c r="C1130" s="130"/>
      <c r="D1130" s="125"/>
      <c r="E1130" s="130"/>
      <c r="F1130" s="131"/>
      <c r="G1130" s="132"/>
      <c r="H1130" s="132"/>
      <c r="I1130" s="132"/>
      <c r="J1130" s="132"/>
      <c r="K1130" s="132"/>
      <c r="L1130" s="132"/>
      <c r="M1130" s="132"/>
      <c r="N1130" s="132"/>
      <c r="O1130" s="132"/>
      <c r="P1130" s="132"/>
      <c r="Q1130" s="132"/>
      <c r="R1130" s="132"/>
      <c r="S1130" s="132"/>
      <c r="T1130" s="132"/>
      <c r="U1130" s="133"/>
      <c r="V1130" s="133"/>
      <c r="W1130" s="133"/>
    </row>
    <row r="1131" ht="12.75" customHeight="1">
      <c r="A1131" s="130"/>
      <c r="B1131" s="130"/>
      <c r="C1131" s="130"/>
      <c r="D1131" s="125"/>
      <c r="E1131" s="130"/>
      <c r="F1131" s="131"/>
      <c r="G1131" s="132"/>
      <c r="H1131" s="132"/>
      <c r="I1131" s="132"/>
      <c r="J1131" s="132"/>
      <c r="K1131" s="132"/>
      <c r="L1131" s="132"/>
      <c r="M1131" s="132"/>
      <c r="N1131" s="132"/>
      <c r="O1131" s="132"/>
      <c r="P1131" s="132"/>
      <c r="Q1131" s="132"/>
      <c r="R1131" s="132"/>
      <c r="S1131" s="132"/>
      <c r="T1131" s="132"/>
      <c r="U1131" s="133"/>
      <c r="V1131" s="133"/>
      <c r="W1131" s="133"/>
    </row>
    <row r="1132" ht="12.75" customHeight="1">
      <c r="A1132" s="130"/>
      <c r="B1132" s="130"/>
      <c r="C1132" s="130"/>
      <c r="D1132" s="125"/>
      <c r="E1132" s="130"/>
      <c r="F1132" s="131"/>
      <c r="G1132" s="132"/>
      <c r="H1132" s="132"/>
      <c r="I1132" s="132"/>
      <c r="J1132" s="132"/>
      <c r="K1132" s="132"/>
      <c r="L1132" s="132"/>
      <c r="M1132" s="132"/>
      <c r="N1132" s="132"/>
      <c r="O1132" s="132"/>
      <c r="P1132" s="132"/>
      <c r="Q1132" s="132"/>
      <c r="R1132" s="132"/>
      <c r="S1132" s="132"/>
      <c r="T1132" s="132"/>
      <c r="U1132" s="133"/>
      <c r="V1132" s="133"/>
      <c r="W1132" s="133"/>
    </row>
    <row r="1133" ht="12.75" customHeight="1">
      <c r="A1133" s="130"/>
      <c r="B1133" s="130"/>
      <c r="C1133" s="130"/>
      <c r="D1133" s="125"/>
      <c r="E1133" s="130"/>
      <c r="F1133" s="131"/>
      <c r="G1133" s="132"/>
      <c r="H1133" s="132"/>
      <c r="I1133" s="132"/>
      <c r="J1133" s="132"/>
      <c r="K1133" s="132"/>
      <c r="L1133" s="132"/>
      <c r="M1133" s="132"/>
      <c r="N1133" s="132"/>
      <c r="O1133" s="132"/>
      <c r="P1133" s="132"/>
      <c r="Q1133" s="132"/>
      <c r="R1133" s="132"/>
      <c r="S1133" s="132"/>
      <c r="T1133" s="132"/>
      <c r="U1133" s="133"/>
      <c r="V1133" s="133"/>
      <c r="W1133" s="133"/>
    </row>
    <row r="1134" ht="12.75" customHeight="1">
      <c r="A1134" s="130"/>
      <c r="B1134" s="130"/>
      <c r="C1134" s="130"/>
      <c r="D1134" s="125"/>
      <c r="E1134" s="130"/>
      <c r="F1134" s="131"/>
      <c r="G1134" s="132"/>
      <c r="H1134" s="132"/>
      <c r="I1134" s="132"/>
      <c r="J1134" s="132"/>
      <c r="K1134" s="132"/>
      <c r="L1134" s="132"/>
      <c r="M1134" s="132"/>
      <c r="N1134" s="132"/>
      <c r="O1134" s="132"/>
      <c r="P1134" s="132"/>
      <c r="Q1134" s="132"/>
      <c r="R1134" s="132"/>
      <c r="S1134" s="132"/>
      <c r="T1134" s="132"/>
      <c r="U1134" s="133"/>
      <c r="V1134" s="133"/>
      <c r="W1134" s="133"/>
    </row>
    <row r="1135" ht="12.75" customHeight="1">
      <c r="A1135" s="130"/>
      <c r="B1135" s="130"/>
      <c r="C1135" s="130"/>
      <c r="D1135" s="125"/>
      <c r="E1135" s="130"/>
      <c r="F1135" s="131"/>
      <c r="G1135" s="132"/>
      <c r="H1135" s="132"/>
      <c r="I1135" s="132"/>
      <c r="J1135" s="132"/>
      <c r="K1135" s="132"/>
      <c r="L1135" s="132"/>
      <c r="M1135" s="132"/>
      <c r="N1135" s="132"/>
      <c r="O1135" s="132"/>
      <c r="P1135" s="132"/>
      <c r="Q1135" s="132"/>
      <c r="R1135" s="132"/>
      <c r="S1135" s="132"/>
      <c r="T1135" s="132"/>
      <c r="U1135" s="133"/>
      <c r="V1135" s="133"/>
      <c r="W1135" s="133"/>
    </row>
    <row r="1136" ht="12.75" customHeight="1">
      <c r="A1136" s="130"/>
      <c r="B1136" s="130"/>
      <c r="C1136" s="130"/>
      <c r="D1136" s="125"/>
      <c r="E1136" s="130"/>
      <c r="F1136" s="131"/>
      <c r="G1136" s="132"/>
      <c r="H1136" s="132"/>
      <c r="I1136" s="132"/>
      <c r="J1136" s="132"/>
      <c r="K1136" s="132"/>
      <c r="L1136" s="132"/>
      <c r="M1136" s="132"/>
      <c r="N1136" s="132"/>
      <c r="O1136" s="132"/>
      <c r="P1136" s="132"/>
      <c r="Q1136" s="132"/>
      <c r="R1136" s="132"/>
      <c r="S1136" s="132"/>
      <c r="T1136" s="132"/>
      <c r="U1136" s="133"/>
      <c r="V1136" s="133"/>
      <c r="W1136" s="133"/>
    </row>
    <row r="1137" ht="12.75" customHeight="1">
      <c r="A1137" s="130"/>
      <c r="B1137" s="130"/>
      <c r="C1137" s="130"/>
      <c r="D1137" s="125"/>
      <c r="E1137" s="130"/>
      <c r="F1137" s="131"/>
      <c r="G1137" s="132"/>
      <c r="H1137" s="132"/>
      <c r="I1137" s="132"/>
      <c r="J1137" s="132"/>
      <c r="K1137" s="132"/>
      <c r="L1137" s="132"/>
      <c r="M1137" s="132"/>
      <c r="N1137" s="132"/>
      <c r="O1137" s="132"/>
      <c r="P1137" s="132"/>
      <c r="Q1137" s="132"/>
      <c r="R1137" s="132"/>
      <c r="S1137" s="132"/>
      <c r="T1137" s="132"/>
      <c r="U1137" s="133"/>
      <c r="V1137" s="133"/>
      <c r="W1137" s="133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1297</v>
      </c>
      <c r="D2" s="10"/>
      <c r="E2" s="9">
        <f t="shared" ref="E2:R2" si="1">SUM(E5,E14,E17)</f>
        <v>1297</v>
      </c>
      <c r="F2" s="9">
        <f t="shared" si="1"/>
        <v>1</v>
      </c>
      <c r="G2" s="9">
        <f t="shared" si="1"/>
        <v>1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1</v>
      </c>
      <c r="M2" s="9">
        <f t="shared" si="1"/>
        <v>2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1297</v>
      </c>
      <c r="F4" s="23">
        <f>IFERROR((G2+R2)/F2,0)</f>
        <v>1</v>
      </c>
      <c r="G4" s="23">
        <f>IFERROR(H2/G2,0)</f>
        <v>1</v>
      </c>
      <c r="H4" s="22">
        <f>(C2/C4)</f>
        <v>28.82222222</v>
      </c>
      <c r="I4" s="24"/>
      <c r="J4" s="23">
        <f>IFERROR(J2/I2,0)</f>
        <v>0</v>
      </c>
      <c r="K4" s="24"/>
      <c r="L4" s="23">
        <f>IFERROR(L2/K2,0)</f>
        <v>1</v>
      </c>
      <c r="M4" s="25">
        <f>IFERROR(M2/G2,0)</f>
        <v>2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1297</v>
      </c>
      <c r="D5" s="31"/>
      <c r="E5" s="32">
        <f>SUMIFS(T:T,A:A,B5,D:D,"Y")</f>
        <v>1297</v>
      </c>
      <c r="F5" s="33">
        <f>SUMIF(A:A,B5,G:G)</f>
        <v>1</v>
      </c>
      <c r="G5" s="33">
        <f>SUMIF(A:A,B5,H:H)</f>
        <v>1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1</v>
      </c>
      <c r="M5" s="33">
        <f>SUMIF(A:A,B5,M:M)</f>
        <v>2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1297</v>
      </c>
      <c r="F7" s="41">
        <f>IFERROR((G5+R5)/F5,0)</f>
        <v>1</v>
      </c>
      <c r="G7" s="41">
        <f>IFERROR(H5/G5,0)</f>
        <v>1</v>
      </c>
      <c r="H7" s="40">
        <f>(C5/C7)</f>
        <v>64.85</v>
      </c>
      <c r="I7" s="42"/>
      <c r="J7" s="41">
        <f>IFERROR(J5/I5,0)</f>
        <v>0</v>
      </c>
      <c r="K7" s="42"/>
      <c r="L7" s="41">
        <f>IFERROR(L5/K5,0)</f>
        <v>1</v>
      </c>
      <c r="M7" s="43">
        <f>IFERROR(M5/SUM(R5+G5,0),"")</f>
        <v>2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1297</v>
      </c>
      <c r="D11" s="47"/>
      <c r="E11" s="48">
        <f>SUMIFS(T:T,B:B,B11,D:D,"Y")</f>
        <v>1297</v>
      </c>
      <c r="F11" s="49">
        <f t="shared" ref="F11:R11" si="2">SUMIF(B34:B1137,B11,G34:G1137)</f>
        <v>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1</v>
      </c>
      <c r="G13" s="23">
        <f>IFERROR(H11/G11,0)</f>
        <v>0</v>
      </c>
      <c r="H13" s="22">
        <f>(C11/C13)</f>
        <v>117.9090909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0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SUMIF(B59:B1137,B23,G59:G1137)</f>
        <v>0</v>
      </c>
      <c r="G23" s="46">
        <f>SUMIF(B59:B1137,B23,H59:H1137)</f>
        <v>0</v>
      </c>
      <c r="H23" s="46">
        <f>SUMIF(B59:B1137,B23,I59:I1137)</f>
        <v>0</v>
      </c>
      <c r="I23" s="46">
        <f>SUMIF(B59:B1137,B23,P59:P1137)</f>
        <v>0</v>
      </c>
      <c r="J23" s="46">
        <f>SUMIF(B59:B1137,B23,Q59:Q1137)</f>
        <v>0</v>
      </c>
      <c r="K23" s="46">
        <f>SUMIF(B59:B1137,B23,R59:R1137)</f>
        <v>0</v>
      </c>
      <c r="L23" s="46">
        <f>SUMIF(B59:B1137,B23,S59:S1137)</f>
        <v>0</v>
      </c>
      <c r="M23" s="46">
        <f>SUMIF(B59:B1137,B23,M59:M1137)</f>
        <v>0</v>
      </c>
      <c r="N23" s="46">
        <f>SUMIF(B59:B1137,B23,N59:N1137)</f>
        <v>0</v>
      </c>
      <c r="O23" s="46">
        <f>SUMIF(B59:B1137,B23,O59:O1137)</f>
        <v>0</v>
      </c>
      <c r="P23" s="46">
        <f>SUMIF(B59:B1137,B23,J59:J1137)</f>
        <v>0</v>
      </c>
      <c r="Q23" s="46">
        <f>SUMIF(B59:B1137,B23,K59:K1137)</f>
        <v>0</v>
      </c>
      <c r="R23" s="50">
        <f>SUMIF(B59:B1137,B23,L59:L1137)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SUMIF(B62:B1137,B26,G62:G1137)</f>
        <v>0</v>
      </c>
      <c r="G26" s="46">
        <f>SUMIF(B62:B1137,B26,H62:H1137)</f>
        <v>0</v>
      </c>
      <c r="H26" s="46">
        <f>SUMIF(B62:B1137,B26,I62:I1137)</f>
        <v>0</v>
      </c>
      <c r="I26" s="46">
        <f>SUMIF(B62:B1137,B26,P62:P1137)</f>
        <v>0</v>
      </c>
      <c r="J26" s="46">
        <f>SUMIF(B62:B1137,B26,Q62:Q1137)</f>
        <v>0</v>
      </c>
      <c r="K26" s="46">
        <f>SUMIF(B62:B1137,B26,R62:R1137)</f>
        <v>0</v>
      </c>
      <c r="L26" s="46">
        <f>SUMIF(B62:B1137,B26,S62:S1137)</f>
        <v>0</v>
      </c>
      <c r="M26" s="46">
        <f>SUMIF(B62:B1137,B26,M62:M1137)</f>
        <v>0</v>
      </c>
      <c r="N26" s="46">
        <f>SUMIF(B62:B1137,B26,N62:N1137)</f>
        <v>0</v>
      </c>
      <c r="O26" s="46">
        <f>SUMIF(B62:B1137,B26,O62:O1137)</f>
        <v>0</v>
      </c>
      <c r="P26" s="46">
        <f>SUMIF(B62:B1137,B26,J62:J1137)</f>
        <v>0</v>
      </c>
      <c r="Q26" s="46">
        <f>SUMIF(B62:B1137,B26,K62:K1137)</f>
        <v>0</v>
      </c>
      <c r="R26" s="50">
        <f>SUMIF(B62:B1137,B26,L62:L1137)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128">
        <v>1.0</v>
      </c>
      <c r="H41" s="128">
        <v>1.0</v>
      </c>
      <c r="I41" s="128">
        <v>1.0</v>
      </c>
      <c r="J41" s="71">
        <v>0.0</v>
      </c>
      <c r="K41" s="71">
        <v>0.0</v>
      </c>
      <c r="L41" s="71">
        <v>0.0</v>
      </c>
      <c r="M41" s="128">
        <v>2.0</v>
      </c>
      <c r="N41" s="71">
        <v>0.0</v>
      </c>
      <c r="O41" s="71">
        <v>0.0</v>
      </c>
      <c r="P41" s="71">
        <v>0.0</v>
      </c>
      <c r="Q41" s="71">
        <v>0.0</v>
      </c>
      <c r="R41" s="128">
        <v>1.0</v>
      </c>
      <c r="S41" s="128">
        <v>1.0</v>
      </c>
      <c r="T41" s="128">
        <v>1297.0</v>
      </c>
      <c r="U41" s="72">
        <f t="shared" si="3"/>
        <v>1</v>
      </c>
      <c r="V41" s="72">
        <f t="shared" si="4"/>
        <v>1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>
        <v>0.0</v>
      </c>
      <c r="H42" s="71">
        <v>0.0</v>
      </c>
      <c r="I42" s="71">
        <v>0.0</v>
      </c>
      <c r="J42" s="71">
        <v>0.0</v>
      </c>
      <c r="K42" s="71">
        <v>0.0</v>
      </c>
      <c r="L42" s="71">
        <v>0.0</v>
      </c>
      <c r="M42" s="71">
        <v>0.0</v>
      </c>
      <c r="N42" s="71">
        <v>0.0</v>
      </c>
      <c r="O42" s="71">
        <v>0.0</v>
      </c>
      <c r="P42" s="71">
        <v>0.0</v>
      </c>
      <c r="Q42" s="71">
        <v>0.0</v>
      </c>
      <c r="R42" s="71">
        <v>0.0</v>
      </c>
      <c r="S42" s="71">
        <v>0.0</v>
      </c>
      <c r="T42" s="71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>
        <v>0.0</v>
      </c>
      <c r="H43" s="71">
        <v>0.0</v>
      </c>
      <c r="I43" s="71">
        <v>0.0</v>
      </c>
      <c r="J43" s="71">
        <v>0.0</v>
      </c>
      <c r="K43" s="71">
        <v>0.0</v>
      </c>
      <c r="L43" s="71">
        <v>0.0</v>
      </c>
      <c r="M43" s="71">
        <v>0.0</v>
      </c>
      <c r="N43" s="71">
        <v>0.0</v>
      </c>
      <c r="O43" s="71">
        <v>0.0</v>
      </c>
      <c r="P43" s="71">
        <v>0.0</v>
      </c>
      <c r="Q43" s="71">
        <v>0.0</v>
      </c>
      <c r="R43" s="71">
        <v>0.0</v>
      </c>
      <c r="S43" s="71">
        <v>0.0</v>
      </c>
      <c r="T43" s="71">
        <v>0.0</v>
      </c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>
        <v>0.0</v>
      </c>
      <c r="H44" s="71">
        <v>0.0</v>
      </c>
      <c r="I44" s="71">
        <v>0.0</v>
      </c>
      <c r="J44" s="71">
        <v>0.0</v>
      </c>
      <c r="K44" s="71">
        <v>0.0</v>
      </c>
      <c r="L44" s="71">
        <v>0.0</v>
      </c>
      <c r="M44" s="71">
        <v>0.0</v>
      </c>
      <c r="N44" s="71">
        <v>0.0</v>
      </c>
      <c r="O44" s="71">
        <v>0.0</v>
      </c>
      <c r="P44" s="71">
        <v>0.0</v>
      </c>
      <c r="Q44" s="71">
        <v>0.0</v>
      </c>
      <c r="R44" s="71">
        <v>0.0</v>
      </c>
      <c r="S44" s="71">
        <v>0.0</v>
      </c>
      <c r="T44" s="71">
        <v>0.0</v>
      </c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>
        <v>0.0</v>
      </c>
      <c r="H45" s="71">
        <v>0.0</v>
      </c>
      <c r="I45" s="71">
        <v>0.0</v>
      </c>
      <c r="J45" s="71">
        <v>0.0</v>
      </c>
      <c r="K45" s="71">
        <v>0.0</v>
      </c>
      <c r="L45" s="71">
        <v>0.0</v>
      </c>
      <c r="M45" s="71">
        <v>0.0</v>
      </c>
      <c r="N45" s="71">
        <v>0.0</v>
      </c>
      <c r="O45" s="71">
        <v>0.0</v>
      </c>
      <c r="P45" s="71">
        <v>0.0</v>
      </c>
      <c r="Q45" s="71">
        <v>0.0</v>
      </c>
      <c r="R45" s="71">
        <v>0.0</v>
      </c>
      <c r="S45" s="71">
        <v>0.0</v>
      </c>
      <c r="T45" s="71">
        <v>0.0</v>
      </c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>
        <v>0.0</v>
      </c>
      <c r="H46" s="71">
        <v>0.0</v>
      </c>
      <c r="I46" s="71">
        <v>0.0</v>
      </c>
      <c r="J46" s="71">
        <v>0.0</v>
      </c>
      <c r="K46" s="71">
        <v>0.0</v>
      </c>
      <c r="L46" s="71">
        <v>0.0</v>
      </c>
      <c r="M46" s="71">
        <v>0.0</v>
      </c>
      <c r="N46" s="71">
        <v>0.0</v>
      </c>
      <c r="O46" s="71">
        <v>0.0</v>
      </c>
      <c r="P46" s="71">
        <v>0.0</v>
      </c>
      <c r="Q46" s="71">
        <v>0.0</v>
      </c>
      <c r="R46" s="71">
        <v>0.0</v>
      </c>
      <c r="S46" s="71">
        <v>0.0</v>
      </c>
      <c r="T46" s="71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60" si="5">IFERROR(I55/H55,0)</f>
        <v>0</v>
      </c>
      <c r="V55" s="72">
        <f t="shared" ref="V55:V60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74" t="s">
        <v>29</v>
      </c>
      <c r="B58" s="75"/>
      <c r="C58" s="75"/>
      <c r="D58" s="76"/>
      <c r="E58" s="76"/>
      <c r="F58" s="78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99" t="s">
        <v>29</v>
      </c>
      <c r="B59" s="90"/>
      <c r="C59" s="100" t="s">
        <v>72</v>
      </c>
      <c r="D59" s="101" t="s">
        <v>51</v>
      </c>
      <c r="E59" s="90"/>
      <c r="F59" s="100" t="s">
        <v>72</v>
      </c>
      <c r="G59" s="128">
        <v>0.0</v>
      </c>
      <c r="H59" s="128">
        <v>0.0</v>
      </c>
      <c r="I59" s="128">
        <v>0.0</v>
      </c>
      <c r="J59" s="128">
        <v>0.0</v>
      </c>
      <c r="K59" s="128">
        <v>0.0</v>
      </c>
      <c r="L59" s="128">
        <v>0.0</v>
      </c>
      <c r="M59" s="128">
        <v>0.0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2">
        <f t="shared" si="5"/>
        <v>0</v>
      </c>
      <c r="V59" s="72">
        <f t="shared" si="6"/>
        <v>0</v>
      </c>
      <c r="W59" s="73"/>
    </row>
    <row r="60" ht="20.25" customHeight="1">
      <c r="A60" s="87" t="s">
        <v>29</v>
      </c>
      <c r="B60" s="88"/>
      <c r="C60" s="88" t="s">
        <v>72</v>
      </c>
      <c r="D60" s="90"/>
      <c r="E60" s="90"/>
      <c r="F60" s="91" t="s">
        <v>73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si="5"/>
        <v>0</v>
      </c>
      <c r="V60" s="72">
        <f t="shared" si="6"/>
        <v>0</v>
      </c>
      <c r="W60" s="73"/>
    </row>
    <row r="61" ht="20.25" customHeight="1">
      <c r="A61" s="62" t="s">
        <v>35</v>
      </c>
      <c r="B61" s="63" t="s">
        <v>36</v>
      </c>
      <c r="C61" s="63" t="s">
        <v>37</v>
      </c>
      <c r="D61" s="64"/>
      <c r="E61" s="63" t="s">
        <v>38</v>
      </c>
      <c r="F61" s="63" t="s">
        <v>39</v>
      </c>
      <c r="G61" s="65" t="s">
        <v>40</v>
      </c>
      <c r="H61" s="65" t="s">
        <v>41</v>
      </c>
      <c r="I61" s="65" t="s">
        <v>42</v>
      </c>
      <c r="J61" s="65" t="s">
        <v>12</v>
      </c>
      <c r="K61" s="65" t="s">
        <v>43</v>
      </c>
      <c r="L61" s="65" t="s">
        <v>14</v>
      </c>
      <c r="M61" s="65" t="s">
        <v>9</v>
      </c>
      <c r="N61" s="65" t="s">
        <v>10</v>
      </c>
      <c r="O61" s="65" t="s">
        <v>44</v>
      </c>
      <c r="P61" s="65" t="s">
        <v>5</v>
      </c>
      <c r="Q61" s="65" t="s">
        <v>45</v>
      </c>
      <c r="R61" s="65" t="s">
        <v>46</v>
      </c>
      <c r="S61" s="65" t="s">
        <v>47</v>
      </c>
      <c r="T61" s="65" t="s">
        <v>0</v>
      </c>
      <c r="U61" s="63" t="s">
        <v>48</v>
      </c>
      <c r="V61" s="63" t="s">
        <v>49</v>
      </c>
      <c r="W61" s="98"/>
    </row>
    <row r="62" ht="12.75" customHeight="1">
      <c r="A62" s="102" t="s">
        <v>30</v>
      </c>
      <c r="B62" s="60"/>
      <c r="C62" s="60"/>
      <c r="D62" s="103" t="s">
        <v>51</v>
      </c>
      <c r="E62" s="60"/>
      <c r="F62" s="102" t="s">
        <v>30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ref="U62:U80" si="7">IFERROR(I62/H62,0)</f>
        <v>0</v>
      </c>
      <c r="V62" s="72">
        <f t="shared" ref="V62:V80" si="8">IFERROR(SUM(H62+L62)/G62,0)</f>
        <v>0</v>
      </c>
      <c r="W62" s="73"/>
    </row>
    <row r="63" ht="12.75" customHeight="1">
      <c r="A63" s="104" t="s">
        <v>30</v>
      </c>
      <c r="B63" s="60"/>
      <c r="C63" s="60"/>
      <c r="D63" s="59"/>
      <c r="E63" s="76"/>
      <c r="F63" s="104" t="s">
        <v>74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5" t="s">
        <v>30</v>
      </c>
      <c r="B64" s="105" t="s">
        <v>31</v>
      </c>
      <c r="C64" s="106"/>
      <c r="D64" s="107" t="s">
        <v>51</v>
      </c>
      <c r="E64" s="96"/>
      <c r="F64" s="105" t="s">
        <v>31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8" t="s">
        <v>31</v>
      </c>
      <c r="C65" s="108"/>
      <c r="D65" s="109"/>
      <c r="E65" s="70"/>
      <c r="F65" s="110" t="s">
        <v>75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04" t="s">
        <v>30</v>
      </c>
      <c r="B66" s="104" t="s">
        <v>31</v>
      </c>
      <c r="C66" s="104"/>
      <c r="D66" s="60"/>
      <c r="E66" s="76"/>
      <c r="F66" s="104" t="s">
        <v>76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32</v>
      </c>
      <c r="C67" s="105"/>
      <c r="D67" s="107" t="s">
        <v>51</v>
      </c>
      <c r="E67" s="82"/>
      <c r="F67" s="105" t="s">
        <v>32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8" t="s">
        <v>30</v>
      </c>
      <c r="B69" s="108" t="s">
        <v>32</v>
      </c>
      <c r="C69" s="108"/>
      <c r="D69" s="59"/>
      <c r="E69" s="76"/>
      <c r="F69" s="111" t="s">
        <v>78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5" t="s">
        <v>30</v>
      </c>
      <c r="B70" s="105" t="s">
        <v>33</v>
      </c>
      <c r="C70" s="105"/>
      <c r="D70" s="107" t="s">
        <v>51</v>
      </c>
      <c r="E70" s="82"/>
      <c r="F70" s="105" t="s">
        <v>33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04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04" t="s">
        <v>30</v>
      </c>
      <c r="B75" s="104" t="s">
        <v>33</v>
      </c>
      <c r="C75" s="104"/>
      <c r="D75" s="60"/>
      <c r="E75" s="76"/>
      <c r="F75" s="111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2" t="s">
        <v>30</v>
      </c>
      <c r="B76" s="113" t="s">
        <v>33</v>
      </c>
      <c r="C76" s="113" t="s">
        <v>84</v>
      </c>
      <c r="D76" s="114" t="s">
        <v>51</v>
      </c>
      <c r="E76" s="115"/>
      <c r="F76" s="113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84</v>
      </c>
      <c r="D77" s="118"/>
      <c r="E77" s="90"/>
      <c r="F77" s="117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84</v>
      </c>
      <c r="D78" s="119"/>
      <c r="E78" s="90"/>
      <c r="F78" s="117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84</v>
      </c>
      <c r="D79" s="119"/>
      <c r="E79" s="90"/>
      <c r="F79" s="117" t="s">
        <v>87</v>
      </c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>
        <f t="shared" si="7"/>
        <v>0</v>
      </c>
      <c r="V79" s="72">
        <f t="shared" si="8"/>
        <v>0</v>
      </c>
      <c r="W79" s="73"/>
    </row>
    <row r="80" ht="12.75" customHeight="1">
      <c r="A80" s="116" t="s">
        <v>30</v>
      </c>
      <c r="B80" s="117" t="s">
        <v>33</v>
      </c>
      <c r="C80" s="117" t="s">
        <v>84</v>
      </c>
      <c r="D80" s="119"/>
      <c r="E80" s="90"/>
      <c r="F80" s="117" t="s">
        <v>88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 t="shared" si="7"/>
        <v>0</v>
      </c>
      <c r="V80" s="72">
        <f t="shared" si="8"/>
        <v>0</v>
      </c>
      <c r="W80" s="73"/>
    </row>
    <row r="81" ht="20.25" customHeight="1">
      <c r="A81" s="62" t="s">
        <v>35</v>
      </c>
      <c r="B81" s="63" t="s">
        <v>36</v>
      </c>
      <c r="C81" s="63" t="s">
        <v>37</v>
      </c>
      <c r="D81" s="64"/>
      <c r="E81" s="63" t="s">
        <v>38</v>
      </c>
      <c r="F81" s="63" t="s">
        <v>39</v>
      </c>
      <c r="G81" s="65" t="s">
        <v>40</v>
      </c>
      <c r="H81" s="65" t="s">
        <v>41</v>
      </c>
      <c r="I81" s="65" t="s">
        <v>42</v>
      </c>
      <c r="J81" s="65" t="s">
        <v>12</v>
      </c>
      <c r="K81" s="65" t="s">
        <v>43</v>
      </c>
      <c r="L81" s="65" t="s">
        <v>14</v>
      </c>
      <c r="M81" s="65" t="s">
        <v>9</v>
      </c>
      <c r="N81" s="65" t="s">
        <v>10</v>
      </c>
      <c r="O81" s="65" t="s">
        <v>44</v>
      </c>
      <c r="P81" s="65" t="s">
        <v>5</v>
      </c>
      <c r="Q81" s="65" t="s">
        <v>45</v>
      </c>
      <c r="R81" s="65" t="s">
        <v>46</v>
      </c>
      <c r="S81" s="65" t="s">
        <v>47</v>
      </c>
      <c r="T81" s="65" t="s">
        <v>0</v>
      </c>
      <c r="U81" s="63" t="s">
        <v>48</v>
      </c>
      <c r="V81" s="63" t="s">
        <v>49</v>
      </c>
      <c r="W81" s="98"/>
    </row>
    <row r="82" ht="12.75" customHeight="1">
      <c r="A82" s="102" t="s">
        <v>34</v>
      </c>
      <c r="B82" s="102"/>
      <c r="C82" s="102"/>
      <c r="D82" s="120" t="s">
        <v>51</v>
      </c>
      <c r="E82" s="76"/>
      <c r="F82" s="102" t="s">
        <v>34</v>
      </c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>
        <f>IFERROR(I82/H82,0)</f>
        <v>0</v>
      </c>
      <c r="V82" s="72">
        <f>IFERROR(SUM(H82+L82)/G82,0)</f>
        <v>0</v>
      </c>
      <c r="W82" s="7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1"/>
      <c r="B600" s="121"/>
      <c r="C600" s="121"/>
      <c r="D600" s="1"/>
      <c r="E600" s="121"/>
      <c r="F600" s="11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3"/>
      <c r="V600" s="123"/>
      <c r="W600" s="12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30"/>
      <c r="B1074" s="130"/>
      <c r="C1074" s="130"/>
      <c r="D1074" s="125"/>
      <c r="E1074" s="130"/>
      <c r="F1074" s="131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  <c r="W1074" s="133"/>
    </row>
    <row r="1075" ht="12.75" customHeight="1">
      <c r="A1075" s="130"/>
      <c r="B1075" s="130"/>
      <c r="C1075" s="130"/>
      <c r="D1075" s="125"/>
      <c r="E1075" s="130"/>
      <c r="F1075" s="131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  <c r="W1075" s="133"/>
    </row>
    <row r="1076" ht="12.75" customHeight="1">
      <c r="A1076" s="130"/>
      <c r="B1076" s="130"/>
      <c r="C1076" s="130"/>
      <c r="D1076" s="125"/>
      <c r="E1076" s="130"/>
      <c r="F1076" s="131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  <c r="W1076" s="133"/>
    </row>
    <row r="1077" ht="12.75" customHeight="1">
      <c r="A1077" s="130"/>
      <c r="B1077" s="130"/>
      <c r="C1077" s="130"/>
      <c r="D1077" s="125"/>
      <c r="E1077" s="130"/>
      <c r="F1077" s="131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  <c r="W1077" s="133"/>
    </row>
    <row r="1078" ht="12.75" customHeight="1">
      <c r="A1078" s="130"/>
      <c r="B1078" s="130"/>
      <c r="C1078" s="130"/>
      <c r="D1078" s="125"/>
      <c r="E1078" s="130"/>
      <c r="F1078" s="131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  <c r="W1078" s="133"/>
    </row>
    <row r="1079" ht="12.75" customHeight="1">
      <c r="A1079" s="130"/>
      <c r="B1079" s="130"/>
      <c r="C1079" s="130"/>
      <c r="D1079" s="125"/>
      <c r="E1079" s="130"/>
      <c r="F1079" s="131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  <c r="W1079" s="133"/>
    </row>
    <row r="1080" ht="12.75" customHeight="1">
      <c r="A1080" s="130"/>
      <c r="B1080" s="130"/>
      <c r="C1080" s="130"/>
      <c r="D1080" s="125"/>
      <c r="E1080" s="130"/>
      <c r="F1080" s="131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  <c r="W1080" s="133"/>
    </row>
    <row r="1081" ht="12.75" customHeight="1">
      <c r="A1081" s="130"/>
      <c r="B1081" s="130"/>
      <c r="C1081" s="130"/>
      <c r="D1081" s="125"/>
      <c r="E1081" s="130"/>
      <c r="F1081" s="131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  <c r="W1081" s="133"/>
    </row>
    <row r="1082" ht="12.75" customHeight="1">
      <c r="A1082" s="130"/>
      <c r="B1082" s="130"/>
      <c r="C1082" s="130"/>
      <c r="D1082" s="125"/>
      <c r="E1082" s="130"/>
      <c r="F1082" s="131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  <c r="W1082" s="133"/>
    </row>
    <row r="1083" ht="12.75" customHeight="1">
      <c r="A1083" s="130"/>
      <c r="B1083" s="130"/>
      <c r="C1083" s="130"/>
      <c r="D1083" s="125"/>
      <c r="E1083" s="130"/>
      <c r="F1083" s="131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  <c r="W1083" s="133"/>
    </row>
    <row r="1084" ht="12.75" customHeight="1">
      <c r="A1084" s="130"/>
      <c r="B1084" s="130"/>
      <c r="C1084" s="130"/>
      <c r="D1084" s="125"/>
      <c r="E1084" s="130"/>
      <c r="F1084" s="131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  <c r="W1084" s="133"/>
    </row>
    <row r="1085" ht="12.75" customHeight="1">
      <c r="A1085" s="130"/>
      <c r="B1085" s="130"/>
      <c r="C1085" s="130"/>
      <c r="D1085" s="125"/>
      <c r="E1085" s="130"/>
      <c r="F1085" s="131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  <c r="W1085" s="133"/>
    </row>
    <row r="1086" ht="12.75" customHeight="1">
      <c r="A1086" s="130"/>
      <c r="B1086" s="130"/>
      <c r="C1086" s="130"/>
      <c r="D1086" s="125"/>
      <c r="E1086" s="130"/>
      <c r="F1086" s="131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  <c r="W1086" s="133"/>
    </row>
    <row r="1087" ht="12.75" customHeight="1">
      <c r="A1087" s="130"/>
      <c r="B1087" s="130"/>
      <c r="C1087" s="130"/>
      <c r="D1087" s="125"/>
      <c r="E1087" s="130"/>
      <c r="F1087" s="131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  <c r="W1087" s="133"/>
    </row>
    <row r="1088" ht="12.75" customHeight="1">
      <c r="A1088" s="130"/>
      <c r="B1088" s="130"/>
      <c r="C1088" s="130"/>
      <c r="D1088" s="125"/>
      <c r="E1088" s="130"/>
      <c r="F1088" s="131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  <c r="W1088" s="133"/>
    </row>
    <row r="1089" ht="12.75" customHeight="1">
      <c r="A1089" s="130"/>
      <c r="B1089" s="130"/>
      <c r="C1089" s="130"/>
      <c r="D1089" s="125"/>
      <c r="E1089" s="130"/>
      <c r="F1089" s="131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  <c r="W1089" s="133"/>
    </row>
    <row r="1090" ht="12.75" customHeight="1">
      <c r="A1090" s="130"/>
      <c r="B1090" s="130"/>
      <c r="C1090" s="130"/>
      <c r="D1090" s="125"/>
      <c r="E1090" s="130"/>
      <c r="F1090" s="131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  <c r="W1090" s="133"/>
    </row>
    <row r="1091" ht="12.75" customHeight="1">
      <c r="A1091" s="130"/>
      <c r="B1091" s="130"/>
      <c r="C1091" s="130"/>
      <c r="D1091" s="125"/>
      <c r="E1091" s="130"/>
      <c r="F1091" s="131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  <c r="W1091" s="133"/>
    </row>
    <row r="1092" ht="12.75" customHeight="1">
      <c r="A1092" s="130"/>
      <c r="B1092" s="130"/>
      <c r="C1092" s="130"/>
      <c r="D1092" s="125"/>
      <c r="E1092" s="130"/>
      <c r="F1092" s="131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  <c r="W1092" s="133"/>
    </row>
    <row r="1093" ht="12.75" customHeight="1">
      <c r="A1093" s="130"/>
      <c r="B1093" s="130"/>
      <c r="C1093" s="130"/>
      <c r="D1093" s="125"/>
      <c r="E1093" s="130"/>
      <c r="F1093" s="131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  <c r="W1093" s="133"/>
    </row>
    <row r="1094" ht="12.75" customHeight="1">
      <c r="A1094" s="130"/>
      <c r="B1094" s="130"/>
      <c r="C1094" s="130"/>
      <c r="D1094" s="125"/>
      <c r="E1094" s="130"/>
      <c r="F1094" s="131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  <c r="W1094" s="133"/>
    </row>
    <row r="1095" ht="12.75" customHeight="1">
      <c r="A1095" s="130"/>
      <c r="B1095" s="130"/>
      <c r="C1095" s="130"/>
      <c r="D1095" s="125"/>
      <c r="E1095" s="130"/>
      <c r="F1095" s="131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  <c r="W1095" s="133"/>
    </row>
    <row r="1096" ht="12.75" customHeight="1">
      <c r="A1096" s="130"/>
      <c r="B1096" s="130"/>
      <c r="C1096" s="130"/>
      <c r="D1096" s="125"/>
      <c r="E1096" s="130"/>
      <c r="F1096" s="131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  <c r="W1096" s="133"/>
    </row>
    <row r="1097" ht="12.75" customHeight="1">
      <c r="A1097" s="130"/>
      <c r="B1097" s="130"/>
      <c r="C1097" s="130"/>
      <c r="D1097" s="125"/>
      <c r="E1097" s="130"/>
      <c r="F1097" s="131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  <c r="W1097" s="133"/>
    </row>
    <row r="1098" ht="12.75" customHeight="1">
      <c r="A1098" s="130"/>
      <c r="B1098" s="130"/>
      <c r="C1098" s="130"/>
      <c r="D1098" s="125"/>
      <c r="E1098" s="130"/>
      <c r="F1098" s="131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  <c r="W1098" s="133"/>
    </row>
    <row r="1099" ht="12.75" customHeight="1">
      <c r="A1099" s="130"/>
      <c r="B1099" s="130"/>
      <c r="C1099" s="130"/>
      <c r="D1099" s="125"/>
      <c r="E1099" s="130"/>
      <c r="F1099" s="131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  <c r="W1099" s="133"/>
    </row>
    <row r="1100" ht="12.75" customHeight="1">
      <c r="A1100" s="130"/>
      <c r="B1100" s="130"/>
      <c r="C1100" s="130"/>
      <c r="D1100" s="125"/>
      <c r="E1100" s="130"/>
      <c r="F1100" s="131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  <c r="W1100" s="133"/>
    </row>
    <row r="1101" ht="12.75" customHeight="1">
      <c r="A1101" s="130"/>
      <c r="B1101" s="130"/>
      <c r="C1101" s="130"/>
      <c r="D1101" s="125"/>
      <c r="E1101" s="130"/>
      <c r="F1101" s="131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  <c r="W1101" s="133"/>
    </row>
    <row r="1102" ht="12.75" customHeight="1">
      <c r="A1102" s="130"/>
      <c r="B1102" s="130"/>
      <c r="C1102" s="130"/>
      <c r="D1102" s="125"/>
      <c r="E1102" s="130"/>
      <c r="F1102" s="131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  <c r="W1102" s="133"/>
    </row>
    <row r="1103" ht="12.75" customHeight="1">
      <c r="A1103" s="130"/>
      <c r="B1103" s="130"/>
      <c r="C1103" s="130"/>
      <c r="D1103" s="125"/>
      <c r="E1103" s="130"/>
      <c r="F1103" s="131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  <c r="W1103" s="133"/>
    </row>
    <row r="1104" ht="12.75" customHeight="1">
      <c r="A1104" s="130"/>
      <c r="B1104" s="130"/>
      <c r="C1104" s="130"/>
      <c r="D1104" s="125"/>
      <c r="E1104" s="130"/>
      <c r="F1104" s="131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  <c r="W1104" s="133"/>
    </row>
    <row r="1105" ht="12.75" customHeight="1">
      <c r="A1105" s="130"/>
      <c r="B1105" s="130"/>
      <c r="C1105" s="130"/>
      <c r="D1105" s="125"/>
      <c r="E1105" s="130"/>
      <c r="F1105" s="131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  <c r="W1105" s="133"/>
    </row>
    <row r="1106" ht="12.75" customHeight="1">
      <c r="A1106" s="130"/>
      <c r="B1106" s="130"/>
      <c r="C1106" s="130"/>
      <c r="D1106" s="125"/>
      <c r="E1106" s="130"/>
      <c r="F1106" s="131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  <c r="W1106" s="133"/>
    </row>
    <row r="1107" ht="12.75" customHeight="1">
      <c r="A1107" s="130"/>
      <c r="B1107" s="130"/>
      <c r="C1107" s="130"/>
      <c r="D1107" s="125"/>
      <c r="E1107" s="130"/>
      <c r="F1107" s="131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  <c r="W1107" s="133"/>
    </row>
    <row r="1108" ht="12.75" customHeight="1">
      <c r="A1108" s="130"/>
      <c r="B1108" s="130"/>
      <c r="C1108" s="130"/>
      <c r="D1108" s="125"/>
      <c r="E1108" s="130"/>
      <c r="F1108" s="131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  <c r="W1108" s="133"/>
    </row>
    <row r="1109" ht="12.75" customHeight="1">
      <c r="A1109" s="130"/>
      <c r="B1109" s="130"/>
      <c r="C1109" s="130"/>
      <c r="D1109" s="125"/>
      <c r="E1109" s="130"/>
      <c r="F1109" s="131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  <c r="W1109" s="133"/>
    </row>
    <row r="1110" ht="12.75" customHeight="1">
      <c r="A1110" s="130"/>
      <c r="B1110" s="130"/>
      <c r="C1110" s="130"/>
      <c r="D1110" s="125"/>
      <c r="E1110" s="130"/>
      <c r="F1110" s="131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  <c r="W1110" s="133"/>
    </row>
    <row r="1111" ht="12.75" customHeight="1">
      <c r="A1111" s="130"/>
      <c r="B1111" s="130"/>
      <c r="C1111" s="130"/>
      <c r="D1111" s="125"/>
      <c r="E1111" s="130"/>
      <c r="F1111" s="131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  <c r="W1111" s="133"/>
    </row>
    <row r="1112" ht="12.75" customHeight="1">
      <c r="A1112" s="130"/>
      <c r="B1112" s="130"/>
      <c r="C1112" s="130"/>
      <c r="D1112" s="125"/>
      <c r="E1112" s="130"/>
      <c r="F1112" s="131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  <c r="W1112" s="133"/>
    </row>
    <row r="1113" ht="12.75" customHeight="1">
      <c r="A1113" s="130"/>
      <c r="B1113" s="130"/>
      <c r="C1113" s="130"/>
      <c r="D1113" s="125"/>
      <c r="E1113" s="130"/>
      <c r="F1113" s="131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  <c r="W1113" s="133"/>
    </row>
    <row r="1114" ht="12.75" customHeight="1">
      <c r="A1114" s="130"/>
      <c r="B1114" s="130"/>
      <c r="C1114" s="130"/>
      <c r="D1114" s="125"/>
      <c r="E1114" s="130"/>
      <c r="F1114" s="131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  <c r="W1114" s="133"/>
    </row>
    <row r="1115" ht="12.75" customHeight="1">
      <c r="A1115" s="130"/>
      <c r="B1115" s="130"/>
      <c r="C1115" s="130"/>
      <c r="D1115" s="125"/>
      <c r="E1115" s="130"/>
      <c r="F1115" s="131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  <c r="W1115" s="133"/>
    </row>
    <row r="1116" ht="12.75" customHeight="1">
      <c r="A1116" s="130"/>
      <c r="B1116" s="130"/>
      <c r="C1116" s="130"/>
      <c r="D1116" s="125"/>
      <c r="E1116" s="130"/>
      <c r="F1116" s="131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  <c r="W1116" s="133"/>
    </row>
    <row r="1117" ht="12.75" customHeight="1">
      <c r="A1117" s="130"/>
      <c r="B1117" s="130"/>
      <c r="C1117" s="130"/>
      <c r="D1117" s="125"/>
      <c r="E1117" s="130"/>
      <c r="F1117" s="131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  <c r="W1117" s="133"/>
    </row>
    <row r="1118" ht="12.75" customHeight="1">
      <c r="A1118" s="130"/>
      <c r="B1118" s="130"/>
      <c r="C1118" s="130"/>
      <c r="D1118" s="125"/>
      <c r="E1118" s="130"/>
      <c r="F1118" s="131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  <c r="W1118" s="133"/>
    </row>
    <row r="1119" ht="12.75" customHeight="1">
      <c r="A1119" s="130"/>
      <c r="B1119" s="130"/>
      <c r="C1119" s="130"/>
      <c r="D1119" s="125"/>
      <c r="E1119" s="130"/>
      <c r="F1119" s="131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  <c r="W1119" s="133"/>
    </row>
    <row r="1120" ht="12.75" customHeight="1">
      <c r="A1120" s="130"/>
      <c r="B1120" s="130"/>
      <c r="C1120" s="130"/>
      <c r="D1120" s="125"/>
      <c r="E1120" s="130"/>
      <c r="F1120" s="131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  <c r="W1120" s="133"/>
    </row>
    <row r="1121" ht="12.75" customHeight="1">
      <c r="A1121" s="130"/>
      <c r="B1121" s="130"/>
      <c r="C1121" s="130"/>
      <c r="D1121" s="125"/>
      <c r="E1121" s="130"/>
      <c r="F1121" s="131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  <c r="W1121" s="133"/>
    </row>
    <row r="1122" ht="12.75" customHeight="1">
      <c r="A1122" s="130"/>
      <c r="B1122" s="130"/>
      <c r="C1122" s="130"/>
      <c r="D1122" s="125"/>
      <c r="E1122" s="130"/>
      <c r="F1122" s="131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  <c r="W1122" s="133"/>
    </row>
    <row r="1123" ht="12.75" customHeight="1">
      <c r="A1123" s="130"/>
      <c r="B1123" s="130"/>
      <c r="C1123" s="130"/>
      <c r="D1123" s="125"/>
      <c r="E1123" s="130"/>
      <c r="F1123" s="131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  <c r="W1123" s="133"/>
    </row>
    <row r="1124" ht="12.75" customHeight="1">
      <c r="A1124" s="130"/>
      <c r="B1124" s="130"/>
      <c r="C1124" s="130"/>
      <c r="D1124" s="125"/>
      <c r="E1124" s="130"/>
      <c r="F1124" s="131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  <c r="W1124" s="133"/>
    </row>
    <row r="1125" ht="12.75" customHeight="1">
      <c r="A1125" s="130"/>
      <c r="B1125" s="130"/>
      <c r="C1125" s="130"/>
      <c r="D1125" s="125"/>
      <c r="E1125" s="130"/>
      <c r="F1125" s="131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  <c r="W1125" s="133"/>
    </row>
    <row r="1126" ht="12.75" customHeight="1">
      <c r="A1126" s="130"/>
      <c r="B1126" s="130"/>
      <c r="C1126" s="130"/>
      <c r="D1126" s="125"/>
      <c r="E1126" s="130"/>
      <c r="F1126" s="131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  <c r="W1126" s="133"/>
    </row>
    <row r="1127" ht="12.75" customHeight="1">
      <c r="A1127" s="130"/>
      <c r="B1127" s="130"/>
      <c r="C1127" s="130"/>
      <c r="D1127" s="125"/>
      <c r="E1127" s="130"/>
      <c r="F1127" s="131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  <c r="W1127" s="133"/>
    </row>
    <row r="1128" ht="12.75" customHeight="1">
      <c r="A1128" s="130"/>
      <c r="B1128" s="130"/>
      <c r="C1128" s="130"/>
      <c r="D1128" s="125"/>
      <c r="E1128" s="130"/>
      <c r="F1128" s="131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  <c r="W1128" s="133"/>
    </row>
    <row r="1129" ht="12.75" customHeight="1">
      <c r="A1129" s="130"/>
      <c r="B1129" s="130"/>
      <c r="C1129" s="130"/>
      <c r="D1129" s="125"/>
      <c r="E1129" s="130"/>
      <c r="F1129" s="131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  <c r="W1129" s="133"/>
    </row>
    <row r="1130" ht="12.75" customHeight="1">
      <c r="A1130" s="130"/>
      <c r="B1130" s="130"/>
      <c r="C1130" s="130"/>
      <c r="D1130" s="125"/>
      <c r="E1130" s="130"/>
      <c r="F1130" s="131"/>
      <c r="G1130" s="132"/>
      <c r="H1130" s="132"/>
      <c r="I1130" s="132"/>
      <c r="J1130" s="132"/>
      <c r="K1130" s="132"/>
      <c r="L1130" s="132"/>
      <c r="M1130" s="132"/>
      <c r="N1130" s="132"/>
      <c r="O1130" s="132"/>
      <c r="P1130" s="132"/>
      <c r="Q1130" s="132"/>
      <c r="R1130" s="132"/>
      <c r="S1130" s="132"/>
      <c r="T1130" s="132"/>
      <c r="U1130" s="133"/>
      <c r="V1130" s="133"/>
      <c r="W1130" s="133"/>
    </row>
    <row r="1131" ht="12.75" customHeight="1">
      <c r="A1131" s="130"/>
      <c r="B1131" s="130"/>
      <c r="C1131" s="130"/>
      <c r="D1131" s="125"/>
      <c r="E1131" s="130"/>
      <c r="F1131" s="131"/>
      <c r="G1131" s="132"/>
      <c r="H1131" s="132"/>
      <c r="I1131" s="132"/>
      <c r="J1131" s="132"/>
      <c r="K1131" s="132"/>
      <c r="L1131" s="132"/>
      <c r="M1131" s="132"/>
      <c r="N1131" s="132"/>
      <c r="O1131" s="132"/>
      <c r="P1131" s="132"/>
      <c r="Q1131" s="132"/>
      <c r="R1131" s="132"/>
      <c r="S1131" s="132"/>
      <c r="T1131" s="132"/>
      <c r="U1131" s="133"/>
      <c r="V1131" s="133"/>
      <c r="W1131" s="133"/>
    </row>
    <row r="1132" ht="12.75" customHeight="1">
      <c r="A1132" s="130"/>
      <c r="B1132" s="130"/>
      <c r="C1132" s="130"/>
      <c r="D1132" s="125"/>
      <c r="E1132" s="130"/>
      <c r="F1132" s="131"/>
      <c r="G1132" s="132"/>
      <c r="H1132" s="132"/>
      <c r="I1132" s="132"/>
      <c r="J1132" s="132"/>
      <c r="K1132" s="132"/>
      <c r="L1132" s="132"/>
      <c r="M1132" s="132"/>
      <c r="N1132" s="132"/>
      <c r="O1132" s="132"/>
      <c r="P1132" s="132"/>
      <c r="Q1132" s="132"/>
      <c r="R1132" s="132"/>
      <c r="S1132" s="132"/>
      <c r="T1132" s="132"/>
      <c r="U1132" s="133"/>
      <c r="V1132" s="133"/>
      <c r="W1132" s="133"/>
    </row>
    <row r="1133" ht="12.75" customHeight="1">
      <c r="A1133" s="130"/>
      <c r="B1133" s="130"/>
      <c r="C1133" s="130"/>
      <c r="D1133" s="125"/>
      <c r="E1133" s="130"/>
      <c r="F1133" s="131"/>
      <c r="G1133" s="132"/>
      <c r="H1133" s="132"/>
      <c r="I1133" s="132"/>
      <c r="J1133" s="132"/>
      <c r="K1133" s="132"/>
      <c r="L1133" s="132"/>
      <c r="M1133" s="132"/>
      <c r="N1133" s="132"/>
      <c r="O1133" s="132"/>
      <c r="P1133" s="132"/>
      <c r="Q1133" s="132"/>
      <c r="R1133" s="132"/>
      <c r="S1133" s="132"/>
      <c r="T1133" s="132"/>
      <c r="U1133" s="133"/>
      <c r="V1133" s="133"/>
      <c r="W1133" s="133"/>
    </row>
    <row r="1134" ht="12.75" customHeight="1">
      <c r="A1134" s="130"/>
      <c r="B1134" s="130"/>
      <c r="C1134" s="130"/>
      <c r="D1134" s="125"/>
      <c r="E1134" s="130"/>
      <c r="F1134" s="131"/>
      <c r="G1134" s="132"/>
      <c r="H1134" s="132"/>
      <c r="I1134" s="132"/>
      <c r="J1134" s="132"/>
      <c r="K1134" s="132"/>
      <c r="L1134" s="132"/>
      <c r="M1134" s="132"/>
      <c r="N1134" s="132"/>
      <c r="O1134" s="132"/>
      <c r="P1134" s="132"/>
      <c r="Q1134" s="132"/>
      <c r="R1134" s="132"/>
      <c r="S1134" s="132"/>
      <c r="T1134" s="132"/>
      <c r="U1134" s="133"/>
      <c r="V1134" s="133"/>
      <c r="W1134" s="133"/>
    </row>
    <row r="1135" ht="12.75" customHeight="1">
      <c r="A1135" s="130"/>
      <c r="B1135" s="130"/>
      <c r="C1135" s="130"/>
      <c r="D1135" s="125"/>
      <c r="E1135" s="130"/>
      <c r="F1135" s="131"/>
      <c r="G1135" s="132"/>
      <c r="H1135" s="132"/>
      <c r="I1135" s="132"/>
      <c r="J1135" s="132"/>
      <c r="K1135" s="132"/>
      <c r="L1135" s="132"/>
      <c r="M1135" s="132"/>
      <c r="N1135" s="132"/>
      <c r="O1135" s="132"/>
      <c r="P1135" s="132"/>
      <c r="Q1135" s="132"/>
      <c r="R1135" s="132"/>
      <c r="S1135" s="132"/>
      <c r="T1135" s="132"/>
      <c r="U1135" s="133"/>
      <c r="V1135" s="133"/>
      <c r="W1135" s="133"/>
    </row>
    <row r="1136" ht="12.75" customHeight="1">
      <c r="A1136" s="130"/>
      <c r="B1136" s="130"/>
      <c r="C1136" s="130"/>
      <c r="D1136" s="125"/>
      <c r="E1136" s="130"/>
      <c r="F1136" s="131"/>
      <c r="G1136" s="132"/>
      <c r="H1136" s="132"/>
      <c r="I1136" s="132"/>
      <c r="J1136" s="132"/>
      <c r="K1136" s="132"/>
      <c r="L1136" s="132"/>
      <c r="M1136" s="132"/>
      <c r="N1136" s="132"/>
      <c r="O1136" s="132"/>
      <c r="P1136" s="132"/>
      <c r="Q1136" s="132"/>
      <c r="R1136" s="132"/>
      <c r="S1136" s="132"/>
      <c r="T1136" s="132"/>
      <c r="U1136" s="133"/>
      <c r="V1136" s="133"/>
      <c r="W1136" s="133"/>
    </row>
    <row r="1137" ht="12.75" customHeight="1">
      <c r="A1137" s="130"/>
      <c r="B1137" s="130"/>
      <c r="C1137" s="130"/>
      <c r="D1137" s="125"/>
      <c r="E1137" s="130"/>
      <c r="F1137" s="131"/>
      <c r="G1137" s="132"/>
      <c r="H1137" s="132"/>
      <c r="I1137" s="132"/>
      <c r="J1137" s="132"/>
      <c r="K1137" s="132"/>
      <c r="L1137" s="132"/>
      <c r="M1137" s="132"/>
      <c r="N1137" s="132"/>
      <c r="O1137" s="132"/>
      <c r="P1137" s="132"/>
      <c r="Q1137" s="132"/>
      <c r="R1137" s="132"/>
      <c r="S1137" s="132"/>
      <c r="T1137" s="132"/>
      <c r="U1137" s="133"/>
      <c r="V1137" s="133"/>
      <c r="W1137" s="133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1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0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SUMIF(B59:B1137,B23,G59:G1137)</f>
        <v>0</v>
      </c>
      <c r="G23" s="46">
        <f>SUMIF(B59:B1137,B23,H59:H1137)</f>
        <v>0</v>
      </c>
      <c r="H23" s="46">
        <f>SUMIF(B59:B1137,B23,I59:I1137)</f>
        <v>0</v>
      </c>
      <c r="I23" s="46">
        <f>SUMIF(B59:B1137,B23,P59:P1137)</f>
        <v>0</v>
      </c>
      <c r="J23" s="46">
        <f>SUMIF(B59:B1137,B23,Q59:Q1137)</f>
        <v>0</v>
      </c>
      <c r="K23" s="46">
        <f>SUMIF(B59:B1137,B23,R59:R1137)</f>
        <v>0</v>
      </c>
      <c r="L23" s="46">
        <f>SUMIF(B59:B1137,B23,S59:S1137)</f>
        <v>0</v>
      </c>
      <c r="M23" s="46">
        <f>SUMIF(B59:B1137,B23,M59:M1137)</f>
        <v>0</v>
      </c>
      <c r="N23" s="46">
        <f>SUMIF(B59:B1137,B23,N59:N1137)</f>
        <v>0</v>
      </c>
      <c r="O23" s="46">
        <f>SUMIF(B59:B1137,B23,O59:O1137)</f>
        <v>0</v>
      </c>
      <c r="P23" s="46">
        <f>SUMIF(B59:B1137,B23,J59:J1137)</f>
        <v>0</v>
      </c>
      <c r="Q23" s="46">
        <f>SUMIF(B59:B1137,B23,K59:K1137)</f>
        <v>0</v>
      </c>
      <c r="R23" s="50">
        <f>SUMIF(B59:B1137,B23,L59:L1137)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SUMIF(B62:B1137,B26,G62:G1137)</f>
        <v>0</v>
      </c>
      <c r="G26" s="46">
        <f>SUMIF(B62:B1137,B26,H62:H1137)</f>
        <v>0</v>
      </c>
      <c r="H26" s="46">
        <f>SUMIF(B62:B1137,B26,I62:I1137)</f>
        <v>0</v>
      </c>
      <c r="I26" s="46">
        <f>SUMIF(B62:B1137,B26,P62:P1137)</f>
        <v>0</v>
      </c>
      <c r="J26" s="46">
        <f>SUMIF(B62:B1137,B26,Q62:Q1137)</f>
        <v>0</v>
      </c>
      <c r="K26" s="46">
        <f>SUMIF(B62:B1137,B26,R62:R1137)</f>
        <v>0</v>
      </c>
      <c r="L26" s="46">
        <f>SUMIF(B62:B1137,B26,S62:S1137)</f>
        <v>0</v>
      </c>
      <c r="M26" s="46">
        <f>SUMIF(B62:B1137,B26,M62:M1137)</f>
        <v>0</v>
      </c>
      <c r="N26" s="46">
        <f>SUMIF(B62:B1137,B26,N62:N1137)</f>
        <v>0</v>
      </c>
      <c r="O26" s="46">
        <f>SUMIF(B62:B1137,B26,O62:O1137)</f>
        <v>0</v>
      </c>
      <c r="P26" s="46">
        <f>SUMIF(B62:B1137,B26,J62:J1137)</f>
        <v>0</v>
      </c>
      <c r="Q26" s="46">
        <f>SUMIF(B62:B1137,B26,K62:K1137)</f>
        <v>0</v>
      </c>
      <c r="R26" s="50">
        <f>SUMIF(B62:B1137,B26,L62:L1137)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>
        <v>0.0</v>
      </c>
      <c r="H41" s="71">
        <v>0.0</v>
      </c>
      <c r="I41" s="71">
        <v>0.0</v>
      </c>
      <c r="J41" s="71">
        <v>0.0</v>
      </c>
      <c r="K41" s="71">
        <v>0.0</v>
      </c>
      <c r="L41" s="71">
        <v>0.0</v>
      </c>
      <c r="M41" s="71">
        <v>0.0</v>
      </c>
      <c r="N41" s="71">
        <v>0.0</v>
      </c>
      <c r="O41" s="71">
        <v>0.0</v>
      </c>
      <c r="P41" s="71">
        <v>0.0</v>
      </c>
      <c r="Q41" s="71">
        <v>0.0</v>
      </c>
      <c r="R41" s="71">
        <v>0.0</v>
      </c>
      <c r="S41" s="71">
        <v>0.0</v>
      </c>
      <c r="T41" s="71">
        <v>0.0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>
        <v>0.0</v>
      </c>
      <c r="H42" s="71">
        <v>0.0</v>
      </c>
      <c r="I42" s="71">
        <v>0.0</v>
      </c>
      <c r="J42" s="71">
        <v>0.0</v>
      </c>
      <c r="K42" s="71">
        <v>0.0</v>
      </c>
      <c r="L42" s="71">
        <v>0.0</v>
      </c>
      <c r="M42" s="71">
        <v>0.0</v>
      </c>
      <c r="N42" s="71">
        <v>0.0</v>
      </c>
      <c r="O42" s="71">
        <v>0.0</v>
      </c>
      <c r="P42" s="71">
        <v>0.0</v>
      </c>
      <c r="Q42" s="71">
        <v>0.0</v>
      </c>
      <c r="R42" s="71">
        <v>0.0</v>
      </c>
      <c r="S42" s="71">
        <v>0.0</v>
      </c>
      <c r="T42" s="71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>
        <v>0.0</v>
      </c>
      <c r="H43" s="71">
        <v>0.0</v>
      </c>
      <c r="I43" s="71">
        <v>0.0</v>
      </c>
      <c r="J43" s="71">
        <v>0.0</v>
      </c>
      <c r="K43" s="71">
        <v>0.0</v>
      </c>
      <c r="L43" s="71">
        <v>0.0</v>
      </c>
      <c r="M43" s="71">
        <v>0.0</v>
      </c>
      <c r="N43" s="71">
        <v>0.0</v>
      </c>
      <c r="O43" s="71">
        <v>0.0</v>
      </c>
      <c r="P43" s="71">
        <v>0.0</v>
      </c>
      <c r="Q43" s="71">
        <v>0.0</v>
      </c>
      <c r="R43" s="71">
        <v>0.0</v>
      </c>
      <c r="S43" s="71">
        <v>0.0</v>
      </c>
      <c r="T43" s="71">
        <v>0.0</v>
      </c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>
        <v>0.0</v>
      </c>
      <c r="H44" s="71">
        <v>0.0</v>
      </c>
      <c r="I44" s="71">
        <v>0.0</v>
      </c>
      <c r="J44" s="71">
        <v>0.0</v>
      </c>
      <c r="K44" s="71">
        <v>0.0</v>
      </c>
      <c r="L44" s="71">
        <v>0.0</v>
      </c>
      <c r="M44" s="71">
        <v>0.0</v>
      </c>
      <c r="N44" s="71">
        <v>0.0</v>
      </c>
      <c r="O44" s="71">
        <v>0.0</v>
      </c>
      <c r="P44" s="71">
        <v>0.0</v>
      </c>
      <c r="Q44" s="71">
        <v>0.0</v>
      </c>
      <c r="R44" s="71">
        <v>0.0</v>
      </c>
      <c r="S44" s="71">
        <v>0.0</v>
      </c>
      <c r="T44" s="71">
        <v>0.0</v>
      </c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>
        <v>0.0</v>
      </c>
      <c r="H45" s="71">
        <v>0.0</v>
      </c>
      <c r="I45" s="71">
        <v>0.0</v>
      </c>
      <c r="J45" s="71">
        <v>0.0</v>
      </c>
      <c r="K45" s="71">
        <v>0.0</v>
      </c>
      <c r="L45" s="71">
        <v>0.0</v>
      </c>
      <c r="M45" s="71">
        <v>0.0</v>
      </c>
      <c r="N45" s="71">
        <v>0.0</v>
      </c>
      <c r="O45" s="71">
        <v>0.0</v>
      </c>
      <c r="P45" s="71">
        <v>0.0</v>
      </c>
      <c r="Q45" s="71">
        <v>0.0</v>
      </c>
      <c r="R45" s="71">
        <v>0.0</v>
      </c>
      <c r="S45" s="71">
        <v>0.0</v>
      </c>
      <c r="T45" s="71">
        <v>0.0</v>
      </c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>
        <v>0.0</v>
      </c>
      <c r="H46" s="71">
        <v>0.0</v>
      </c>
      <c r="I46" s="71">
        <v>0.0</v>
      </c>
      <c r="J46" s="71">
        <v>0.0</v>
      </c>
      <c r="K46" s="71">
        <v>0.0</v>
      </c>
      <c r="L46" s="71">
        <v>0.0</v>
      </c>
      <c r="M46" s="71">
        <v>0.0</v>
      </c>
      <c r="N46" s="71">
        <v>0.0</v>
      </c>
      <c r="O46" s="71">
        <v>0.0</v>
      </c>
      <c r="P46" s="71">
        <v>0.0</v>
      </c>
      <c r="Q46" s="71">
        <v>0.0</v>
      </c>
      <c r="R46" s="71">
        <v>0.0</v>
      </c>
      <c r="S46" s="71">
        <v>0.0</v>
      </c>
      <c r="T46" s="71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60" si="5">IFERROR(I55/H55,0)</f>
        <v>0</v>
      </c>
      <c r="V55" s="72">
        <f t="shared" ref="V55:V60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74" t="s">
        <v>29</v>
      </c>
      <c r="B58" s="75"/>
      <c r="C58" s="75"/>
      <c r="D58" s="76"/>
      <c r="E58" s="76"/>
      <c r="F58" s="78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99" t="s">
        <v>29</v>
      </c>
      <c r="B59" s="90"/>
      <c r="C59" s="100" t="s">
        <v>72</v>
      </c>
      <c r="D59" s="101" t="s">
        <v>51</v>
      </c>
      <c r="E59" s="90"/>
      <c r="F59" s="100" t="s">
        <v>72</v>
      </c>
      <c r="G59" s="128">
        <v>1.0</v>
      </c>
      <c r="H59" s="128">
        <v>0.0</v>
      </c>
      <c r="I59" s="128">
        <v>0.0</v>
      </c>
      <c r="J59" s="128">
        <v>0.0</v>
      </c>
      <c r="K59" s="128">
        <v>0.0</v>
      </c>
      <c r="L59" s="128">
        <v>0.0</v>
      </c>
      <c r="M59" s="128">
        <v>0.0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2">
        <f t="shared" si="5"/>
        <v>0</v>
      </c>
      <c r="V59" s="72">
        <f t="shared" si="6"/>
        <v>0</v>
      </c>
      <c r="W59" s="73"/>
    </row>
    <row r="60" ht="20.25" customHeight="1">
      <c r="A60" s="87" t="s">
        <v>29</v>
      </c>
      <c r="B60" s="88"/>
      <c r="C60" s="88" t="s">
        <v>72</v>
      </c>
      <c r="D60" s="90"/>
      <c r="E60" s="90"/>
      <c r="F60" s="91" t="s">
        <v>73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si="5"/>
        <v>0</v>
      </c>
      <c r="V60" s="72">
        <f t="shared" si="6"/>
        <v>0</v>
      </c>
      <c r="W60" s="73"/>
    </row>
    <row r="61" ht="20.25" customHeight="1">
      <c r="A61" s="62" t="s">
        <v>35</v>
      </c>
      <c r="B61" s="63" t="s">
        <v>36</v>
      </c>
      <c r="C61" s="63" t="s">
        <v>37</v>
      </c>
      <c r="D61" s="64"/>
      <c r="E61" s="63" t="s">
        <v>38</v>
      </c>
      <c r="F61" s="63" t="s">
        <v>39</v>
      </c>
      <c r="G61" s="65" t="s">
        <v>40</v>
      </c>
      <c r="H61" s="65" t="s">
        <v>41</v>
      </c>
      <c r="I61" s="65" t="s">
        <v>42</v>
      </c>
      <c r="J61" s="65" t="s">
        <v>12</v>
      </c>
      <c r="K61" s="65" t="s">
        <v>43</v>
      </c>
      <c r="L61" s="65" t="s">
        <v>14</v>
      </c>
      <c r="M61" s="65" t="s">
        <v>9</v>
      </c>
      <c r="N61" s="65" t="s">
        <v>10</v>
      </c>
      <c r="O61" s="65" t="s">
        <v>44</v>
      </c>
      <c r="P61" s="65" t="s">
        <v>5</v>
      </c>
      <c r="Q61" s="65" t="s">
        <v>45</v>
      </c>
      <c r="R61" s="65" t="s">
        <v>46</v>
      </c>
      <c r="S61" s="65" t="s">
        <v>47</v>
      </c>
      <c r="T61" s="65" t="s">
        <v>0</v>
      </c>
      <c r="U61" s="63" t="s">
        <v>48</v>
      </c>
      <c r="V61" s="63" t="s">
        <v>49</v>
      </c>
      <c r="W61" s="98"/>
    </row>
    <row r="62" ht="12.75" customHeight="1">
      <c r="A62" s="102" t="s">
        <v>30</v>
      </c>
      <c r="B62" s="60"/>
      <c r="C62" s="60"/>
      <c r="D62" s="103" t="s">
        <v>51</v>
      </c>
      <c r="E62" s="60"/>
      <c r="F62" s="102" t="s">
        <v>30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ref="U62:U80" si="7">IFERROR(I62/H62,0)</f>
        <v>0</v>
      </c>
      <c r="V62" s="72">
        <f t="shared" ref="V62:V80" si="8">IFERROR(SUM(H62+L62)/G62,0)</f>
        <v>0</v>
      </c>
      <c r="W62" s="73"/>
    </row>
    <row r="63" ht="12.75" customHeight="1">
      <c r="A63" s="104" t="s">
        <v>30</v>
      </c>
      <c r="B63" s="60"/>
      <c r="C63" s="60"/>
      <c r="D63" s="59"/>
      <c r="E63" s="76"/>
      <c r="F63" s="104" t="s">
        <v>74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5" t="s">
        <v>30</v>
      </c>
      <c r="B64" s="105" t="s">
        <v>31</v>
      </c>
      <c r="C64" s="106"/>
      <c r="D64" s="107" t="s">
        <v>51</v>
      </c>
      <c r="E64" s="96"/>
      <c r="F64" s="105" t="s">
        <v>31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8" t="s">
        <v>31</v>
      </c>
      <c r="C65" s="108"/>
      <c r="D65" s="109"/>
      <c r="E65" s="70"/>
      <c r="F65" s="110" t="s">
        <v>75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04" t="s">
        <v>30</v>
      </c>
      <c r="B66" s="104" t="s">
        <v>31</v>
      </c>
      <c r="C66" s="104"/>
      <c r="D66" s="60"/>
      <c r="E66" s="76"/>
      <c r="F66" s="104" t="s">
        <v>76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32</v>
      </c>
      <c r="C67" s="105"/>
      <c r="D67" s="107" t="s">
        <v>51</v>
      </c>
      <c r="E67" s="82"/>
      <c r="F67" s="105" t="s">
        <v>32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8" t="s">
        <v>30</v>
      </c>
      <c r="B69" s="108" t="s">
        <v>32</v>
      </c>
      <c r="C69" s="108"/>
      <c r="D69" s="59"/>
      <c r="E69" s="76"/>
      <c r="F69" s="111" t="s">
        <v>78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5" t="s">
        <v>30</v>
      </c>
      <c r="B70" s="105" t="s">
        <v>33</v>
      </c>
      <c r="C70" s="105"/>
      <c r="D70" s="107" t="s">
        <v>51</v>
      </c>
      <c r="E70" s="82"/>
      <c r="F70" s="105" t="s">
        <v>33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04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04" t="s">
        <v>30</v>
      </c>
      <c r="B75" s="104" t="s">
        <v>33</v>
      </c>
      <c r="C75" s="104"/>
      <c r="D75" s="60"/>
      <c r="E75" s="76"/>
      <c r="F75" s="111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2" t="s">
        <v>30</v>
      </c>
      <c r="B76" s="113" t="s">
        <v>33</v>
      </c>
      <c r="C76" s="113" t="s">
        <v>84</v>
      </c>
      <c r="D76" s="114" t="s">
        <v>51</v>
      </c>
      <c r="E76" s="115"/>
      <c r="F76" s="113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84</v>
      </c>
      <c r="D77" s="118"/>
      <c r="E77" s="90"/>
      <c r="F77" s="117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84</v>
      </c>
      <c r="D78" s="119"/>
      <c r="E78" s="90"/>
      <c r="F78" s="117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84</v>
      </c>
      <c r="D79" s="119"/>
      <c r="E79" s="90"/>
      <c r="F79" s="117" t="s">
        <v>87</v>
      </c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>
        <f t="shared" si="7"/>
        <v>0</v>
      </c>
      <c r="V79" s="72">
        <f t="shared" si="8"/>
        <v>0</v>
      </c>
      <c r="W79" s="73"/>
    </row>
    <row r="80" ht="12.75" customHeight="1">
      <c r="A80" s="116" t="s">
        <v>30</v>
      </c>
      <c r="B80" s="117" t="s">
        <v>33</v>
      </c>
      <c r="C80" s="117" t="s">
        <v>84</v>
      </c>
      <c r="D80" s="119"/>
      <c r="E80" s="90"/>
      <c r="F80" s="117" t="s">
        <v>88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 t="shared" si="7"/>
        <v>0</v>
      </c>
      <c r="V80" s="72">
        <f t="shared" si="8"/>
        <v>0</v>
      </c>
      <c r="W80" s="73"/>
    </row>
    <row r="81" ht="20.25" customHeight="1">
      <c r="A81" s="62" t="s">
        <v>35</v>
      </c>
      <c r="B81" s="63" t="s">
        <v>36</v>
      </c>
      <c r="C81" s="63" t="s">
        <v>37</v>
      </c>
      <c r="D81" s="64"/>
      <c r="E81" s="63" t="s">
        <v>38</v>
      </c>
      <c r="F81" s="63" t="s">
        <v>39</v>
      </c>
      <c r="G81" s="65" t="s">
        <v>40</v>
      </c>
      <c r="H81" s="65" t="s">
        <v>41</v>
      </c>
      <c r="I81" s="65" t="s">
        <v>42</v>
      </c>
      <c r="J81" s="65" t="s">
        <v>12</v>
      </c>
      <c r="K81" s="65" t="s">
        <v>43</v>
      </c>
      <c r="L81" s="65" t="s">
        <v>14</v>
      </c>
      <c r="M81" s="65" t="s">
        <v>9</v>
      </c>
      <c r="N81" s="65" t="s">
        <v>10</v>
      </c>
      <c r="O81" s="65" t="s">
        <v>44</v>
      </c>
      <c r="P81" s="65" t="s">
        <v>5</v>
      </c>
      <c r="Q81" s="65" t="s">
        <v>45</v>
      </c>
      <c r="R81" s="65" t="s">
        <v>46</v>
      </c>
      <c r="S81" s="65" t="s">
        <v>47</v>
      </c>
      <c r="T81" s="65" t="s">
        <v>0</v>
      </c>
      <c r="U81" s="63" t="s">
        <v>48</v>
      </c>
      <c r="V81" s="63" t="s">
        <v>49</v>
      </c>
      <c r="W81" s="98"/>
    </row>
    <row r="82" ht="12.75" customHeight="1">
      <c r="A82" s="102" t="s">
        <v>34</v>
      </c>
      <c r="B82" s="102"/>
      <c r="C82" s="102"/>
      <c r="D82" s="120" t="s">
        <v>51</v>
      </c>
      <c r="E82" s="76"/>
      <c r="F82" s="102" t="s">
        <v>34</v>
      </c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>
        <f>IFERROR(I82/H82,0)</f>
        <v>0</v>
      </c>
      <c r="V82" s="72">
        <f>IFERROR(SUM(H82+L82)/G82,0)</f>
        <v>0</v>
      </c>
      <c r="W82" s="7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1"/>
      <c r="B600" s="121"/>
      <c r="C600" s="121"/>
      <c r="D600" s="1"/>
      <c r="E600" s="121"/>
      <c r="F600" s="11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3"/>
      <c r="V600" s="123"/>
      <c r="W600" s="12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30"/>
      <c r="B1074" s="130"/>
      <c r="C1074" s="130"/>
      <c r="D1074" s="125"/>
      <c r="E1074" s="130"/>
      <c r="F1074" s="131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  <c r="W1074" s="133"/>
    </row>
    <row r="1075" ht="12.75" customHeight="1">
      <c r="A1075" s="130"/>
      <c r="B1075" s="130"/>
      <c r="C1075" s="130"/>
      <c r="D1075" s="125"/>
      <c r="E1075" s="130"/>
      <c r="F1075" s="131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  <c r="W1075" s="133"/>
    </row>
    <row r="1076" ht="12.75" customHeight="1">
      <c r="A1076" s="130"/>
      <c r="B1076" s="130"/>
      <c r="C1076" s="130"/>
      <c r="D1076" s="125"/>
      <c r="E1076" s="130"/>
      <c r="F1076" s="131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  <c r="W1076" s="133"/>
    </row>
    <row r="1077" ht="12.75" customHeight="1">
      <c r="A1077" s="130"/>
      <c r="B1077" s="130"/>
      <c r="C1077" s="130"/>
      <c r="D1077" s="125"/>
      <c r="E1077" s="130"/>
      <c r="F1077" s="131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  <c r="W1077" s="133"/>
    </row>
    <row r="1078" ht="12.75" customHeight="1">
      <c r="A1078" s="130"/>
      <c r="B1078" s="130"/>
      <c r="C1078" s="130"/>
      <c r="D1078" s="125"/>
      <c r="E1078" s="130"/>
      <c r="F1078" s="131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  <c r="W1078" s="133"/>
    </row>
    <row r="1079" ht="12.75" customHeight="1">
      <c r="A1079" s="130"/>
      <c r="B1079" s="130"/>
      <c r="C1079" s="130"/>
      <c r="D1079" s="125"/>
      <c r="E1079" s="130"/>
      <c r="F1079" s="131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  <c r="W1079" s="133"/>
    </row>
    <row r="1080" ht="12.75" customHeight="1">
      <c r="A1080" s="130"/>
      <c r="B1080" s="130"/>
      <c r="C1080" s="130"/>
      <c r="D1080" s="125"/>
      <c r="E1080" s="130"/>
      <c r="F1080" s="131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  <c r="W1080" s="133"/>
    </row>
    <row r="1081" ht="12.75" customHeight="1">
      <c r="A1081" s="130"/>
      <c r="B1081" s="130"/>
      <c r="C1081" s="130"/>
      <c r="D1081" s="125"/>
      <c r="E1081" s="130"/>
      <c r="F1081" s="131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  <c r="W1081" s="133"/>
    </row>
    <row r="1082" ht="12.75" customHeight="1">
      <c r="A1082" s="130"/>
      <c r="B1082" s="130"/>
      <c r="C1082" s="130"/>
      <c r="D1082" s="125"/>
      <c r="E1082" s="130"/>
      <c r="F1082" s="131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  <c r="W1082" s="133"/>
    </row>
    <row r="1083" ht="12.75" customHeight="1">
      <c r="A1083" s="130"/>
      <c r="B1083" s="130"/>
      <c r="C1083" s="130"/>
      <c r="D1083" s="125"/>
      <c r="E1083" s="130"/>
      <c r="F1083" s="131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  <c r="W1083" s="133"/>
    </row>
    <row r="1084" ht="12.75" customHeight="1">
      <c r="A1084" s="130"/>
      <c r="B1084" s="130"/>
      <c r="C1084" s="130"/>
      <c r="D1084" s="125"/>
      <c r="E1084" s="130"/>
      <c r="F1084" s="131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  <c r="W1084" s="133"/>
    </row>
    <row r="1085" ht="12.75" customHeight="1">
      <c r="A1085" s="130"/>
      <c r="B1085" s="130"/>
      <c r="C1085" s="130"/>
      <c r="D1085" s="125"/>
      <c r="E1085" s="130"/>
      <c r="F1085" s="131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  <c r="W1085" s="133"/>
    </row>
    <row r="1086" ht="12.75" customHeight="1">
      <c r="A1086" s="130"/>
      <c r="B1086" s="130"/>
      <c r="C1086" s="130"/>
      <c r="D1086" s="125"/>
      <c r="E1086" s="130"/>
      <c r="F1086" s="131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  <c r="W1086" s="133"/>
    </row>
    <row r="1087" ht="12.75" customHeight="1">
      <c r="A1087" s="130"/>
      <c r="B1087" s="130"/>
      <c r="C1087" s="130"/>
      <c r="D1087" s="125"/>
      <c r="E1087" s="130"/>
      <c r="F1087" s="131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  <c r="W1087" s="133"/>
    </row>
    <row r="1088" ht="12.75" customHeight="1">
      <c r="A1088" s="130"/>
      <c r="B1088" s="130"/>
      <c r="C1088" s="130"/>
      <c r="D1088" s="125"/>
      <c r="E1088" s="130"/>
      <c r="F1088" s="131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  <c r="W1088" s="133"/>
    </row>
    <row r="1089" ht="12.75" customHeight="1">
      <c r="A1089" s="130"/>
      <c r="B1089" s="130"/>
      <c r="C1089" s="130"/>
      <c r="D1089" s="125"/>
      <c r="E1089" s="130"/>
      <c r="F1089" s="131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  <c r="W1089" s="133"/>
    </row>
    <row r="1090" ht="12.75" customHeight="1">
      <c r="A1090" s="130"/>
      <c r="B1090" s="130"/>
      <c r="C1090" s="130"/>
      <c r="D1090" s="125"/>
      <c r="E1090" s="130"/>
      <c r="F1090" s="131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  <c r="W1090" s="133"/>
    </row>
    <row r="1091" ht="12.75" customHeight="1">
      <c r="A1091" s="130"/>
      <c r="B1091" s="130"/>
      <c r="C1091" s="130"/>
      <c r="D1091" s="125"/>
      <c r="E1091" s="130"/>
      <c r="F1091" s="131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  <c r="W1091" s="133"/>
    </row>
    <row r="1092" ht="12.75" customHeight="1">
      <c r="A1092" s="130"/>
      <c r="B1092" s="130"/>
      <c r="C1092" s="130"/>
      <c r="D1092" s="125"/>
      <c r="E1092" s="130"/>
      <c r="F1092" s="131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  <c r="W1092" s="133"/>
    </row>
    <row r="1093" ht="12.75" customHeight="1">
      <c r="A1093" s="130"/>
      <c r="B1093" s="130"/>
      <c r="C1093" s="130"/>
      <c r="D1093" s="125"/>
      <c r="E1093" s="130"/>
      <c r="F1093" s="131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  <c r="W1093" s="133"/>
    </row>
    <row r="1094" ht="12.75" customHeight="1">
      <c r="A1094" s="130"/>
      <c r="B1094" s="130"/>
      <c r="C1094" s="130"/>
      <c r="D1094" s="125"/>
      <c r="E1094" s="130"/>
      <c r="F1094" s="131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  <c r="W1094" s="133"/>
    </row>
    <row r="1095" ht="12.75" customHeight="1">
      <c r="A1095" s="130"/>
      <c r="B1095" s="130"/>
      <c r="C1095" s="130"/>
      <c r="D1095" s="125"/>
      <c r="E1095" s="130"/>
      <c r="F1095" s="131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  <c r="W1095" s="133"/>
    </row>
    <row r="1096" ht="12.75" customHeight="1">
      <c r="A1096" s="130"/>
      <c r="B1096" s="130"/>
      <c r="C1096" s="130"/>
      <c r="D1096" s="125"/>
      <c r="E1096" s="130"/>
      <c r="F1096" s="131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  <c r="W1096" s="133"/>
    </row>
    <row r="1097" ht="12.75" customHeight="1">
      <c r="A1097" s="130"/>
      <c r="B1097" s="130"/>
      <c r="C1097" s="130"/>
      <c r="D1097" s="125"/>
      <c r="E1097" s="130"/>
      <c r="F1097" s="131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  <c r="W1097" s="133"/>
    </row>
    <row r="1098" ht="12.75" customHeight="1">
      <c r="A1098" s="130"/>
      <c r="B1098" s="130"/>
      <c r="C1098" s="130"/>
      <c r="D1098" s="125"/>
      <c r="E1098" s="130"/>
      <c r="F1098" s="131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  <c r="W1098" s="133"/>
    </row>
    <row r="1099" ht="12.75" customHeight="1">
      <c r="A1099" s="130"/>
      <c r="B1099" s="130"/>
      <c r="C1099" s="130"/>
      <c r="D1099" s="125"/>
      <c r="E1099" s="130"/>
      <c r="F1099" s="131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  <c r="W1099" s="133"/>
    </row>
    <row r="1100" ht="12.75" customHeight="1">
      <c r="A1100" s="130"/>
      <c r="B1100" s="130"/>
      <c r="C1100" s="130"/>
      <c r="D1100" s="125"/>
      <c r="E1100" s="130"/>
      <c r="F1100" s="131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  <c r="W1100" s="133"/>
    </row>
    <row r="1101" ht="12.75" customHeight="1">
      <c r="A1101" s="130"/>
      <c r="B1101" s="130"/>
      <c r="C1101" s="130"/>
      <c r="D1101" s="125"/>
      <c r="E1101" s="130"/>
      <c r="F1101" s="131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  <c r="W1101" s="133"/>
    </row>
    <row r="1102" ht="12.75" customHeight="1">
      <c r="A1102" s="130"/>
      <c r="B1102" s="130"/>
      <c r="C1102" s="130"/>
      <c r="D1102" s="125"/>
      <c r="E1102" s="130"/>
      <c r="F1102" s="131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  <c r="W1102" s="133"/>
    </row>
    <row r="1103" ht="12.75" customHeight="1">
      <c r="A1103" s="130"/>
      <c r="B1103" s="130"/>
      <c r="C1103" s="130"/>
      <c r="D1103" s="125"/>
      <c r="E1103" s="130"/>
      <c r="F1103" s="131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  <c r="W1103" s="133"/>
    </row>
    <row r="1104" ht="12.75" customHeight="1">
      <c r="A1104" s="130"/>
      <c r="B1104" s="130"/>
      <c r="C1104" s="130"/>
      <c r="D1104" s="125"/>
      <c r="E1104" s="130"/>
      <c r="F1104" s="131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  <c r="W1104" s="133"/>
    </row>
    <row r="1105" ht="12.75" customHeight="1">
      <c r="A1105" s="130"/>
      <c r="B1105" s="130"/>
      <c r="C1105" s="130"/>
      <c r="D1105" s="125"/>
      <c r="E1105" s="130"/>
      <c r="F1105" s="131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  <c r="W1105" s="133"/>
    </row>
    <row r="1106" ht="12.75" customHeight="1">
      <c r="A1106" s="130"/>
      <c r="B1106" s="130"/>
      <c r="C1106" s="130"/>
      <c r="D1106" s="125"/>
      <c r="E1106" s="130"/>
      <c r="F1106" s="131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  <c r="W1106" s="133"/>
    </row>
    <row r="1107" ht="12.75" customHeight="1">
      <c r="A1107" s="130"/>
      <c r="B1107" s="130"/>
      <c r="C1107" s="130"/>
      <c r="D1107" s="125"/>
      <c r="E1107" s="130"/>
      <c r="F1107" s="131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  <c r="W1107" s="133"/>
    </row>
    <row r="1108" ht="12.75" customHeight="1">
      <c r="A1108" s="130"/>
      <c r="B1108" s="130"/>
      <c r="C1108" s="130"/>
      <c r="D1108" s="125"/>
      <c r="E1108" s="130"/>
      <c r="F1108" s="131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  <c r="W1108" s="133"/>
    </row>
    <row r="1109" ht="12.75" customHeight="1">
      <c r="A1109" s="130"/>
      <c r="B1109" s="130"/>
      <c r="C1109" s="130"/>
      <c r="D1109" s="125"/>
      <c r="E1109" s="130"/>
      <c r="F1109" s="131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  <c r="W1109" s="133"/>
    </row>
    <row r="1110" ht="12.75" customHeight="1">
      <c r="A1110" s="130"/>
      <c r="B1110" s="130"/>
      <c r="C1110" s="130"/>
      <c r="D1110" s="125"/>
      <c r="E1110" s="130"/>
      <c r="F1110" s="131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  <c r="W1110" s="133"/>
    </row>
    <row r="1111" ht="12.75" customHeight="1">
      <c r="A1111" s="130"/>
      <c r="B1111" s="130"/>
      <c r="C1111" s="130"/>
      <c r="D1111" s="125"/>
      <c r="E1111" s="130"/>
      <c r="F1111" s="131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  <c r="W1111" s="133"/>
    </row>
    <row r="1112" ht="12.75" customHeight="1">
      <c r="A1112" s="130"/>
      <c r="B1112" s="130"/>
      <c r="C1112" s="130"/>
      <c r="D1112" s="125"/>
      <c r="E1112" s="130"/>
      <c r="F1112" s="131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  <c r="W1112" s="133"/>
    </row>
    <row r="1113" ht="12.75" customHeight="1">
      <c r="A1113" s="130"/>
      <c r="B1113" s="130"/>
      <c r="C1113" s="130"/>
      <c r="D1113" s="125"/>
      <c r="E1113" s="130"/>
      <c r="F1113" s="131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  <c r="W1113" s="133"/>
    </row>
    <row r="1114" ht="12.75" customHeight="1">
      <c r="A1114" s="130"/>
      <c r="B1114" s="130"/>
      <c r="C1114" s="130"/>
      <c r="D1114" s="125"/>
      <c r="E1114" s="130"/>
      <c r="F1114" s="131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  <c r="W1114" s="133"/>
    </row>
    <row r="1115" ht="12.75" customHeight="1">
      <c r="A1115" s="130"/>
      <c r="B1115" s="130"/>
      <c r="C1115" s="130"/>
      <c r="D1115" s="125"/>
      <c r="E1115" s="130"/>
      <c r="F1115" s="131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  <c r="W1115" s="133"/>
    </row>
    <row r="1116" ht="12.75" customHeight="1">
      <c r="A1116" s="130"/>
      <c r="B1116" s="130"/>
      <c r="C1116" s="130"/>
      <c r="D1116" s="125"/>
      <c r="E1116" s="130"/>
      <c r="F1116" s="131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  <c r="W1116" s="133"/>
    </row>
    <row r="1117" ht="12.75" customHeight="1">
      <c r="A1117" s="130"/>
      <c r="B1117" s="130"/>
      <c r="C1117" s="130"/>
      <c r="D1117" s="125"/>
      <c r="E1117" s="130"/>
      <c r="F1117" s="131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  <c r="W1117" s="133"/>
    </row>
    <row r="1118" ht="12.75" customHeight="1">
      <c r="A1118" s="130"/>
      <c r="B1118" s="130"/>
      <c r="C1118" s="130"/>
      <c r="D1118" s="125"/>
      <c r="E1118" s="130"/>
      <c r="F1118" s="131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  <c r="W1118" s="133"/>
    </row>
    <row r="1119" ht="12.75" customHeight="1">
      <c r="A1119" s="130"/>
      <c r="B1119" s="130"/>
      <c r="C1119" s="130"/>
      <c r="D1119" s="125"/>
      <c r="E1119" s="130"/>
      <c r="F1119" s="131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  <c r="W1119" s="133"/>
    </row>
    <row r="1120" ht="12.75" customHeight="1">
      <c r="A1120" s="130"/>
      <c r="B1120" s="130"/>
      <c r="C1120" s="130"/>
      <c r="D1120" s="125"/>
      <c r="E1120" s="130"/>
      <c r="F1120" s="131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  <c r="W1120" s="133"/>
    </row>
    <row r="1121" ht="12.75" customHeight="1">
      <c r="A1121" s="130"/>
      <c r="B1121" s="130"/>
      <c r="C1121" s="130"/>
      <c r="D1121" s="125"/>
      <c r="E1121" s="130"/>
      <c r="F1121" s="131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  <c r="W1121" s="133"/>
    </row>
    <row r="1122" ht="12.75" customHeight="1">
      <c r="A1122" s="130"/>
      <c r="B1122" s="130"/>
      <c r="C1122" s="130"/>
      <c r="D1122" s="125"/>
      <c r="E1122" s="130"/>
      <c r="F1122" s="131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  <c r="W1122" s="133"/>
    </row>
    <row r="1123" ht="12.75" customHeight="1">
      <c r="A1123" s="130"/>
      <c r="B1123" s="130"/>
      <c r="C1123" s="130"/>
      <c r="D1123" s="125"/>
      <c r="E1123" s="130"/>
      <c r="F1123" s="131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  <c r="W1123" s="133"/>
    </row>
    <row r="1124" ht="12.75" customHeight="1">
      <c r="A1124" s="130"/>
      <c r="B1124" s="130"/>
      <c r="C1124" s="130"/>
      <c r="D1124" s="125"/>
      <c r="E1124" s="130"/>
      <c r="F1124" s="131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  <c r="W1124" s="133"/>
    </row>
    <row r="1125" ht="12.75" customHeight="1">
      <c r="A1125" s="130"/>
      <c r="B1125" s="130"/>
      <c r="C1125" s="130"/>
      <c r="D1125" s="125"/>
      <c r="E1125" s="130"/>
      <c r="F1125" s="131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  <c r="W1125" s="133"/>
    </row>
    <row r="1126" ht="12.75" customHeight="1">
      <c r="A1126" s="130"/>
      <c r="B1126" s="130"/>
      <c r="C1126" s="130"/>
      <c r="D1126" s="125"/>
      <c r="E1126" s="130"/>
      <c r="F1126" s="131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  <c r="W1126" s="133"/>
    </row>
    <row r="1127" ht="12.75" customHeight="1">
      <c r="A1127" s="130"/>
      <c r="B1127" s="130"/>
      <c r="C1127" s="130"/>
      <c r="D1127" s="125"/>
      <c r="E1127" s="130"/>
      <c r="F1127" s="131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  <c r="W1127" s="133"/>
    </row>
    <row r="1128" ht="12.75" customHeight="1">
      <c r="A1128" s="130"/>
      <c r="B1128" s="130"/>
      <c r="C1128" s="130"/>
      <c r="D1128" s="125"/>
      <c r="E1128" s="130"/>
      <c r="F1128" s="131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  <c r="W1128" s="133"/>
    </row>
    <row r="1129" ht="12.75" customHeight="1">
      <c r="A1129" s="130"/>
      <c r="B1129" s="130"/>
      <c r="C1129" s="130"/>
      <c r="D1129" s="125"/>
      <c r="E1129" s="130"/>
      <c r="F1129" s="131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  <c r="W1129" s="133"/>
    </row>
    <row r="1130" ht="12.75" customHeight="1">
      <c r="A1130" s="130"/>
      <c r="B1130" s="130"/>
      <c r="C1130" s="130"/>
      <c r="D1130" s="125"/>
      <c r="E1130" s="130"/>
      <c r="F1130" s="131"/>
      <c r="G1130" s="132"/>
      <c r="H1130" s="132"/>
      <c r="I1130" s="132"/>
      <c r="J1130" s="132"/>
      <c r="K1130" s="132"/>
      <c r="L1130" s="132"/>
      <c r="M1130" s="132"/>
      <c r="N1130" s="132"/>
      <c r="O1130" s="132"/>
      <c r="P1130" s="132"/>
      <c r="Q1130" s="132"/>
      <c r="R1130" s="132"/>
      <c r="S1130" s="132"/>
      <c r="T1130" s="132"/>
      <c r="U1130" s="133"/>
      <c r="V1130" s="133"/>
      <c r="W1130" s="133"/>
    </row>
    <row r="1131" ht="12.75" customHeight="1">
      <c r="A1131" s="130"/>
      <c r="B1131" s="130"/>
      <c r="C1131" s="130"/>
      <c r="D1131" s="125"/>
      <c r="E1131" s="130"/>
      <c r="F1131" s="131"/>
      <c r="G1131" s="132"/>
      <c r="H1131" s="132"/>
      <c r="I1131" s="132"/>
      <c r="J1131" s="132"/>
      <c r="K1131" s="132"/>
      <c r="L1131" s="132"/>
      <c r="M1131" s="132"/>
      <c r="N1131" s="132"/>
      <c r="O1131" s="132"/>
      <c r="P1131" s="132"/>
      <c r="Q1131" s="132"/>
      <c r="R1131" s="132"/>
      <c r="S1131" s="132"/>
      <c r="T1131" s="132"/>
      <c r="U1131" s="133"/>
      <c r="V1131" s="133"/>
      <c r="W1131" s="133"/>
    </row>
    <row r="1132" ht="12.75" customHeight="1">
      <c r="A1132" s="130"/>
      <c r="B1132" s="130"/>
      <c r="C1132" s="130"/>
      <c r="D1132" s="125"/>
      <c r="E1132" s="130"/>
      <c r="F1132" s="131"/>
      <c r="G1132" s="132"/>
      <c r="H1132" s="132"/>
      <c r="I1132" s="132"/>
      <c r="J1132" s="132"/>
      <c r="K1132" s="132"/>
      <c r="L1132" s="132"/>
      <c r="M1132" s="132"/>
      <c r="N1132" s="132"/>
      <c r="O1132" s="132"/>
      <c r="P1132" s="132"/>
      <c r="Q1132" s="132"/>
      <c r="R1132" s="132"/>
      <c r="S1132" s="132"/>
      <c r="T1132" s="132"/>
      <c r="U1132" s="133"/>
      <c r="V1132" s="133"/>
      <c r="W1132" s="133"/>
    </row>
    <row r="1133" ht="12.75" customHeight="1">
      <c r="A1133" s="130"/>
      <c r="B1133" s="130"/>
      <c r="C1133" s="130"/>
      <c r="D1133" s="125"/>
      <c r="E1133" s="130"/>
      <c r="F1133" s="131"/>
      <c r="G1133" s="132"/>
      <c r="H1133" s="132"/>
      <c r="I1133" s="132"/>
      <c r="J1133" s="132"/>
      <c r="K1133" s="132"/>
      <c r="L1133" s="132"/>
      <c r="M1133" s="132"/>
      <c r="N1133" s="132"/>
      <c r="O1133" s="132"/>
      <c r="P1133" s="132"/>
      <c r="Q1133" s="132"/>
      <c r="R1133" s="132"/>
      <c r="S1133" s="132"/>
      <c r="T1133" s="132"/>
      <c r="U1133" s="133"/>
      <c r="V1133" s="133"/>
      <c r="W1133" s="133"/>
    </row>
    <row r="1134" ht="12.75" customHeight="1">
      <c r="A1134" s="130"/>
      <c r="B1134" s="130"/>
      <c r="C1134" s="130"/>
      <c r="D1134" s="125"/>
      <c r="E1134" s="130"/>
      <c r="F1134" s="131"/>
      <c r="G1134" s="132"/>
      <c r="H1134" s="132"/>
      <c r="I1134" s="132"/>
      <c r="J1134" s="132"/>
      <c r="K1134" s="132"/>
      <c r="L1134" s="132"/>
      <c r="M1134" s="132"/>
      <c r="N1134" s="132"/>
      <c r="O1134" s="132"/>
      <c r="P1134" s="132"/>
      <c r="Q1134" s="132"/>
      <c r="R1134" s="132"/>
      <c r="S1134" s="132"/>
      <c r="T1134" s="132"/>
      <c r="U1134" s="133"/>
      <c r="V1134" s="133"/>
      <c r="W1134" s="133"/>
    </row>
    <row r="1135" ht="12.75" customHeight="1">
      <c r="A1135" s="130"/>
      <c r="B1135" s="130"/>
      <c r="C1135" s="130"/>
      <c r="D1135" s="125"/>
      <c r="E1135" s="130"/>
      <c r="F1135" s="131"/>
      <c r="G1135" s="132"/>
      <c r="H1135" s="132"/>
      <c r="I1135" s="132"/>
      <c r="J1135" s="132"/>
      <c r="K1135" s="132"/>
      <c r="L1135" s="132"/>
      <c r="M1135" s="132"/>
      <c r="N1135" s="132"/>
      <c r="O1135" s="132"/>
      <c r="P1135" s="132"/>
      <c r="Q1135" s="132"/>
      <c r="R1135" s="132"/>
      <c r="S1135" s="132"/>
      <c r="T1135" s="132"/>
      <c r="U1135" s="133"/>
      <c r="V1135" s="133"/>
      <c r="W1135" s="133"/>
    </row>
    <row r="1136" ht="12.75" customHeight="1">
      <c r="A1136" s="130"/>
      <c r="B1136" s="130"/>
      <c r="C1136" s="130"/>
      <c r="D1136" s="125"/>
      <c r="E1136" s="130"/>
      <c r="F1136" s="131"/>
      <c r="G1136" s="132"/>
      <c r="H1136" s="132"/>
      <c r="I1136" s="132"/>
      <c r="J1136" s="132"/>
      <c r="K1136" s="132"/>
      <c r="L1136" s="132"/>
      <c r="M1136" s="132"/>
      <c r="N1136" s="132"/>
      <c r="O1136" s="132"/>
      <c r="P1136" s="132"/>
      <c r="Q1136" s="132"/>
      <c r="R1136" s="132"/>
      <c r="S1136" s="132"/>
      <c r="T1136" s="132"/>
      <c r="U1136" s="133"/>
      <c r="V1136" s="133"/>
      <c r="W1136" s="133"/>
    </row>
    <row r="1137" ht="12.75" customHeight="1">
      <c r="A1137" s="130"/>
      <c r="B1137" s="130"/>
      <c r="C1137" s="130"/>
      <c r="D1137" s="125"/>
      <c r="E1137" s="130"/>
      <c r="F1137" s="131"/>
      <c r="G1137" s="132"/>
      <c r="H1137" s="132"/>
      <c r="I1137" s="132"/>
      <c r="J1137" s="132"/>
      <c r="K1137" s="132"/>
      <c r="L1137" s="132"/>
      <c r="M1137" s="132"/>
      <c r="N1137" s="132"/>
      <c r="O1137" s="132"/>
      <c r="P1137" s="132"/>
      <c r="Q1137" s="132"/>
      <c r="R1137" s="132"/>
      <c r="S1137" s="132"/>
      <c r="T1137" s="132"/>
      <c r="U1137" s="133"/>
      <c r="V1137" s="133"/>
      <c r="W1137" s="133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4</v>
      </c>
      <c r="G2" s="9">
        <f t="shared" si="1"/>
        <v>1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1</v>
      </c>
      <c r="N2" s="9">
        <f t="shared" si="1"/>
        <v>1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0</v>
      </c>
      <c r="F4" s="23">
        <f>IFERROR((G2+R2)/F2,0)</f>
        <v>0.25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1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2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2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2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1</v>
      </c>
      <c r="N14" s="33">
        <f>SUMIF(A:A,B14,N:N)</f>
        <v>1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0.5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0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SUMIF(B59:B1137,B23,G59:G1137)</f>
        <v>0</v>
      </c>
      <c r="G23" s="46">
        <f>SUMIF(B59:B1137,B23,H59:H1137)</f>
        <v>0</v>
      </c>
      <c r="H23" s="46">
        <f>SUMIF(B59:B1137,B23,I59:I1137)</f>
        <v>0</v>
      </c>
      <c r="I23" s="46">
        <f>SUMIF(B59:B1137,B23,P59:P1137)</f>
        <v>0</v>
      </c>
      <c r="J23" s="46">
        <f>SUMIF(B59:B1137,B23,Q59:Q1137)</f>
        <v>0</v>
      </c>
      <c r="K23" s="46">
        <f>SUMIF(B59:B1137,B23,R59:R1137)</f>
        <v>0</v>
      </c>
      <c r="L23" s="46">
        <f>SUMIF(B59:B1137,B23,S59:S1137)</f>
        <v>0</v>
      </c>
      <c r="M23" s="46">
        <f>SUMIF(B59:B1137,B23,M59:M1137)</f>
        <v>0</v>
      </c>
      <c r="N23" s="46">
        <f>SUMIF(B59:B1137,B23,N59:N1137)</f>
        <v>0</v>
      </c>
      <c r="O23" s="46">
        <f>SUMIF(B59:B1137,B23,O59:O1137)</f>
        <v>0</v>
      </c>
      <c r="P23" s="46">
        <f>SUMIF(B59:B1137,B23,J59:J1137)</f>
        <v>0</v>
      </c>
      <c r="Q23" s="46">
        <f>SUMIF(B59:B1137,B23,K59:K1137)</f>
        <v>0</v>
      </c>
      <c r="R23" s="50">
        <f>SUMIF(B59:B1137,B23,L59:L1137)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SUMIF(B62:B1137,B26,G62:G1137)</f>
        <v>0</v>
      </c>
      <c r="G26" s="46">
        <f>SUMIF(B62:B1137,B26,H62:H1137)</f>
        <v>0</v>
      </c>
      <c r="H26" s="46">
        <f>SUMIF(B62:B1137,B26,I62:I1137)</f>
        <v>0</v>
      </c>
      <c r="I26" s="46">
        <f>SUMIF(B62:B1137,B26,P62:P1137)</f>
        <v>0</v>
      </c>
      <c r="J26" s="46">
        <f>SUMIF(B62:B1137,B26,Q62:Q1137)</f>
        <v>0</v>
      </c>
      <c r="K26" s="46">
        <f>SUMIF(B62:B1137,B26,R62:R1137)</f>
        <v>0</v>
      </c>
      <c r="L26" s="46">
        <f>SUMIF(B62:B1137,B26,S62:S1137)</f>
        <v>0</v>
      </c>
      <c r="M26" s="46">
        <f>SUMIF(B62:B1137,B26,M62:M1137)</f>
        <v>0</v>
      </c>
      <c r="N26" s="46">
        <f>SUMIF(B62:B1137,B26,N62:N1137)</f>
        <v>0</v>
      </c>
      <c r="O26" s="46">
        <f>SUMIF(B62:B1137,B26,O62:O1137)</f>
        <v>0</v>
      </c>
      <c r="P26" s="46">
        <f>SUMIF(B62:B1137,B26,J62:J1137)</f>
        <v>0</v>
      </c>
      <c r="Q26" s="46">
        <f>SUMIF(B62:B1137,B26,K62:K1137)</f>
        <v>0</v>
      </c>
      <c r="R26" s="50">
        <f>SUMIF(B62:B1137,B26,L62:L1137)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128">
        <v>0.0</v>
      </c>
      <c r="H37" s="128">
        <v>0.0</v>
      </c>
      <c r="I37" s="128">
        <v>0.0</v>
      </c>
      <c r="J37" s="128">
        <v>0.0</v>
      </c>
      <c r="K37" s="128">
        <v>0.0</v>
      </c>
      <c r="L37" s="128">
        <v>0.0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>
        <v>0.0</v>
      </c>
      <c r="H41" s="71">
        <v>0.0</v>
      </c>
      <c r="I41" s="71">
        <v>0.0</v>
      </c>
      <c r="J41" s="71">
        <v>0.0</v>
      </c>
      <c r="K41" s="71">
        <v>0.0</v>
      </c>
      <c r="L41" s="71">
        <v>0.0</v>
      </c>
      <c r="M41" s="71">
        <v>0.0</v>
      </c>
      <c r="N41" s="71">
        <v>0.0</v>
      </c>
      <c r="O41" s="71">
        <v>0.0</v>
      </c>
      <c r="P41" s="71">
        <v>0.0</v>
      </c>
      <c r="Q41" s="71">
        <v>0.0</v>
      </c>
      <c r="R41" s="71">
        <v>0.0</v>
      </c>
      <c r="S41" s="71">
        <v>0.0</v>
      </c>
      <c r="T41" s="71">
        <v>0.0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>
        <v>0.0</v>
      </c>
      <c r="H42" s="71">
        <v>0.0</v>
      </c>
      <c r="I42" s="71">
        <v>0.0</v>
      </c>
      <c r="J42" s="71">
        <v>0.0</v>
      </c>
      <c r="K42" s="71">
        <v>0.0</v>
      </c>
      <c r="L42" s="71">
        <v>0.0</v>
      </c>
      <c r="M42" s="71">
        <v>0.0</v>
      </c>
      <c r="N42" s="71">
        <v>0.0</v>
      </c>
      <c r="O42" s="71">
        <v>0.0</v>
      </c>
      <c r="P42" s="71">
        <v>0.0</v>
      </c>
      <c r="Q42" s="71">
        <v>0.0</v>
      </c>
      <c r="R42" s="71">
        <v>0.0</v>
      </c>
      <c r="S42" s="71">
        <v>0.0</v>
      </c>
      <c r="T42" s="71">
        <v>0.0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>
        <v>0.0</v>
      </c>
      <c r="H43" s="71">
        <v>0.0</v>
      </c>
      <c r="I43" s="71">
        <v>0.0</v>
      </c>
      <c r="J43" s="71">
        <v>0.0</v>
      </c>
      <c r="K43" s="71">
        <v>0.0</v>
      </c>
      <c r="L43" s="71">
        <v>0.0</v>
      </c>
      <c r="M43" s="71">
        <v>0.0</v>
      </c>
      <c r="N43" s="71">
        <v>0.0</v>
      </c>
      <c r="O43" s="71">
        <v>0.0</v>
      </c>
      <c r="P43" s="71">
        <v>0.0</v>
      </c>
      <c r="Q43" s="71">
        <v>0.0</v>
      </c>
      <c r="R43" s="71">
        <v>0.0</v>
      </c>
      <c r="S43" s="71">
        <v>0.0</v>
      </c>
      <c r="T43" s="71">
        <v>0.0</v>
      </c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>
        <v>0.0</v>
      </c>
      <c r="H44" s="71">
        <v>0.0</v>
      </c>
      <c r="I44" s="71">
        <v>0.0</v>
      </c>
      <c r="J44" s="71">
        <v>0.0</v>
      </c>
      <c r="K44" s="71">
        <v>0.0</v>
      </c>
      <c r="L44" s="71">
        <v>0.0</v>
      </c>
      <c r="M44" s="71">
        <v>0.0</v>
      </c>
      <c r="N44" s="71">
        <v>0.0</v>
      </c>
      <c r="O44" s="71">
        <v>0.0</v>
      </c>
      <c r="P44" s="71">
        <v>0.0</v>
      </c>
      <c r="Q44" s="71">
        <v>0.0</v>
      </c>
      <c r="R44" s="71">
        <v>0.0</v>
      </c>
      <c r="S44" s="71">
        <v>0.0</v>
      </c>
      <c r="T44" s="71">
        <v>0.0</v>
      </c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128">
        <v>1.0</v>
      </c>
      <c r="H45" s="71">
        <v>0.0</v>
      </c>
      <c r="I45" s="71">
        <v>0.0</v>
      </c>
      <c r="J45" s="71">
        <v>0.0</v>
      </c>
      <c r="K45" s="71">
        <v>0.0</v>
      </c>
      <c r="L45" s="71">
        <v>0.0</v>
      </c>
      <c r="M45" s="71">
        <v>0.0</v>
      </c>
      <c r="N45" s="71">
        <v>0.0</v>
      </c>
      <c r="O45" s="71">
        <v>0.0</v>
      </c>
      <c r="P45" s="71">
        <v>0.0</v>
      </c>
      <c r="Q45" s="71">
        <v>0.0</v>
      </c>
      <c r="R45" s="71">
        <v>0.0</v>
      </c>
      <c r="S45" s="71">
        <v>0.0</v>
      </c>
      <c r="T45" s="71">
        <v>0.0</v>
      </c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>
        <v>0.0</v>
      </c>
      <c r="H46" s="71">
        <v>0.0</v>
      </c>
      <c r="I46" s="71">
        <v>0.0</v>
      </c>
      <c r="J46" s="71">
        <v>0.0</v>
      </c>
      <c r="K46" s="71">
        <v>0.0</v>
      </c>
      <c r="L46" s="71">
        <v>0.0</v>
      </c>
      <c r="M46" s="71">
        <v>0.0</v>
      </c>
      <c r="N46" s="71">
        <v>0.0</v>
      </c>
      <c r="O46" s="71">
        <v>0.0</v>
      </c>
      <c r="P46" s="71">
        <v>0.0</v>
      </c>
      <c r="Q46" s="71">
        <v>0.0</v>
      </c>
      <c r="R46" s="71">
        <v>0.0</v>
      </c>
      <c r="S46" s="71">
        <v>0.0</v>
      </c>
      <c r="T46" s="71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128">
        <v>0.0</v>
      </c>
      <c r="H47" s="128">
        <v>0.0</v>
      </c>
      <c r="I47" s="128">
        <v>0.0</v>
      </c>
      <c r="J47" s="128">
        <v>0.0</v>
      </c>
      <c r="K47" s="128">
        <v>0.0</v>
      </c>
      <c r="L47" s="128">
        <v>0.0</v>
      </c>
      <c r="M47" s="128">
        <v>0.0</v>
      </c>
      <c r="N47" s="128">
        <v>0.0</v>
      </c>
      <c r="O47" s="128">
        <v>0.0</v>
      </c>
      <c r="P47" s="128">
        <v>0.0</v>
      </c>
      <c r="Q47" s="128">
        <v>0.0</v>
      </c>
      <c r="R47" s="128">
        <v>0.0</v>
      </c>
      <c r="S47" s="128">
        <v>0.0</v>
      </c>
      <c r="T47" s="128">
        <v>0.0</v>
      </c>
      <c r="U47" s="72">
        <f t="shared" si="3"/>
        <v>0</v>
      </c>
      <c r="V47" s="72">
        <f t="shared" si="4"/>
        <v>0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128">
        <v>1.0</v>
      </c>
      <c r="H49" s="128">
        <v>0.0</v>
      </c>
      <c r="I49" s="128">
        <v>0.0</v>
      </c>
      <c r="J49" s="128">
        <v>0.0</v>
      </c>
      <c r="K49" s="128">
        <v>0.0</v>
      </c>
      <c r="L49" s="128">
        <v>0.0</v>
      </c>
      <c r="M49" s="128">
        <v>0.0</v>
      </c>
      <c r="N49" s="128">
        <v>0.0</v>
      </c>
      <c r="O49" s="128">
        <v>0.0</v>
      </c>
      <c r="P49" s="128">
        <v>0.0</v>
      </c>
      <c r="Q49" s="128">
        <v>0.0</v>
      </c>
      <c r="R49" s="128">
        <v>0.0</v>
      </c>
      <c r="S49" s="128">
        <v>0.0</v>
      </c>
      <c r="T49" s="128">
        <v>0.0</v>
      </c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60" si="5">IFERROR(I55/H55,0)</f>
        <v>0</v>
      </c>
      <c r="V55" s="72">
        <f t="shared" ref="V55:V60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74" t="s">
        <v>29</v>
      </c>
      <c r="B58" s="75"/>
      <c r="C58" s="75"/>
      <c r="D58" s="76"/>
      <c r="E58" s="76"/>
      <c r="F58" s="78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99" t="s">
        <v>29</v>
      </c>
      <c r="B59" s="90"/>
      <c r="C59" s="100" t="s">
        <v>72</v>
      </c>
      <c r="D59" s="101" t="s">
        <v>51</v>
      </c>
      <c r="E59" s="90"/>
      <c r="F59" s="100" t="s">
        <v>72</v>
      </c>
      <c r="G59" s="128">
        <v>2.0</v>
      </c>
      <c r="H59" s="128">
        <v>1.0</v>
      </c>
      <c r="I59" s="128">
        <v>0.0</v>
      </c>
      <c r="J59" s="128">
        <v>0.0</v>
      </c>
      <c r="K59" s="128">
        <v>0.0</v>
      </c>
      <c r="L59" s="128">
        <v>0.0</v>
      </c>
      <c r="M59" s="128">
        <v>1.0</v>
      </c>
      <c r="N59" s="128">
        <v>1.0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72">
        <f t="shared" si="5"/>
        <v>0</v>
      </c>
      <c r="V59" s="72">
        <f t="shared" si="6"/>
        <v>0.5</v>
      </c>
      <c r="W59" s="73"/>
    </row>
    <row r="60" ht="20.25" customHeight="1">
      <c r="A60" s="87" t="s">
        <v>29</v>
      </c>
      <c r="B60" s="88"/>
      <c r="C60" s="88" t="s">
        <v>72</v>
      </c>
      <c r="D60" s="90"/>
      <c r="E60" s="90"/>
      <c r="F60" s="91" t="s">
        <v>73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si="5"/>
        <v>0</v>
      </c>
      <c r="V60" s="72">
        <f t="shared" si="6"/>
        <v>0</v>
      </c>
      <c r="W60" s="73"/>
    </row>
    <row r="61" ht="20.25" customHeight="1">
      <c r="A61" s="62" t="s">
        <v>35</v>
      </c>
      <c r="B61" s="63" t="s">
        <v>36</v>
      </c>
      <c r="C61" s="63" t="s">
        <v>37</v>
      </c>
      <c r="D61" s="64"/>
      <c r="E61" s="63" t="s">
        <v>38</v>
      </c>
      <c r="F61" s="63" t="s">
        <v>39</v>
      </c>
      <c r="G61" s="65" t="s">
        <v>40</v>
      </c>
      <c r="H61" s="65" t="s">
        <v>41</v>
      </c>
      <c r="I61" s="65" t="s">
        <v>42</v>
      </c>
      <c r="J61" s="65" t="s">
        <v>12</v>
      </c>
      <c r="K61" s="65" t="s">
        <v>43</v>
      </c>
      <c r="L61" s="65" t="s">
        <v>14</v>
      </c>
      <c r="M61" s="65" t="s">
        <v>9</v>
      </c>
      <c r="N61" s="65" t="s">
        <v>10</v>
      </c>
      <c r="O61" s="65" t="s">
        <v>44</v>
      </c>
      <c r="P61" s="65" t="s">
        <v>5</v>
      </c>
      <c r="Q61" s="65" t="s">
        <v>45</v>
      </c>
      <c r="R61" s="65" t="s">
        <v>46</v>
      </c>
      <c r="S61" s="65" t="s">
        <v>47</v>
      </c>
      <c r="T61" s="65" t="s">
        <v>0</v>
      </c>
      <c r="U61" s="63" t="s">
        <v>48</v>
      </c>
      <c r="V61" s="63" t="s">
        <v>49</v>
      </c>
      <c r="W61" s="98"/>
    </row>
    <row r="62" ht="12.75" customHeight="1">
      <c r="A62" s="102" t="s">
        <v>30</v>
      </c>
      <c r="B62" s="60"/>
      <c r="C62" s="60"/>
      <c r="D62" s="103" t="s">
        <v>51</v>
      </c>
      <c r="E62" s="60"/>
      <c r="F62" s="102" t="s">
        <v>30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ref="U62:U80" si="7">IFERROR(I62/H62,0)</f>
        <v>0</v>
      </c>
      <c r="V62" s="72">
        <f t="shared" ref="V62:V80" si="8">IFERROR(SUM(H62+L62)/G62,0)</f>
        <v>0</v>
      </c>
      <c r="W62" s="73"/>
    </row>
    <row r="63" ht="12.75" customHeight="1">
      <c r="A63" s="104" t="s">
        <v>30</v>
      </c>
      <c r="B63" s="60"/>
      <c r="C63" s="60"/>
      <c r="D63" s="59"/>
      <c r="E63" s="76"/>
      <c r="F63" s="104" t="s">
        <v>74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5" t="s">
        <v>30</v>
      </c>
      <c r="B64" s="105" t="s">
        <v>31</v>
      </c>
      <c r="C64" s="106"/>
      <c r="D64" s="107" t="s">
        <v>51</v>
      </c>
      <c r="E64" s="96"/>
      <c r="F64" s="105" t="s">
        <v>31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8" t="s">
        <v>31</v>
      </c>
      <c r="C65" s="108"/>
      <c r="D65" s="109"/>
      <c r="E65" s="70"/>
      <c r="F65" s="110" t="s">
        <v>75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04" t="s">
        <v>30</v>
      </c>
      <c r="B66" s="104" t="s">
        <v>31</v>
      </c>
      <c r="C66" s="104"/>
      <c r="D66" s="60"/>
      <c r="E66" s="76"/>
      <c r="F66" s="104" t="s">
        <v>76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32</v>
      </c>
      <c r="C67" s="105"/>
      <c r="D67" s="107" t="s">
        <v>51</v>
      </c>
      <c r="E67" s="82"/>
      <c r="F67" s="105" t="s">
        <v>32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8" t="s">
        <v>30</v>
      </c>
      <c r="B69" s="108" t="s">
        <v>32</v>
      </c>
      <c r="C69" s="108"/>
      <c r="D69" s="59"/>
      <c r="E69" s="76"/>
      <c r="F69" s="111" t="s">
        <v>78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5" t="s">
        <v>30</v>
      </c>
      <c r="B70" s="105" t="s">
        <v>33</v>
      </c>
      <c r="C70" s="105"/>
      <c r="D70" s="107" t="s">
        <v>51</v>
      </c>
      <c r="E70" s="82"/>
      <c r="F70" s="105" t="s">
        <v>33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04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04" t="s">
        <v>30</v>
      </c>
      <c r="B75" s="104" t="s">
        <v>33</v>
      </c>
      <c r="C75" s="104"/>
      <c r="D75" s="60"/>
      <c r="E75" s="76"/>
      <c r="F75" s="111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2" t="s">
        <v>30</v>
      </c>
      <c r="B76" s="113" t="s">
        <v>33</v>
      </c>
      <c r="C76" s="113" t="s">
        <v>84</v>
      </c>
      <c r="D76" s="114" t="s">
        <v>51</v>
      </c>
      <c r="E76" s="115"/>
      <c r="F76" s="113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84</v>
      </c>
      <c r="D77" s="118"/>
      <c r="E77" s="90"/>
      <c r="F77" s="117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84</v>
      </c>
      <c r="D78" s="119"/>
      <c r="E78" s="90"/>
      <c r="F78" s="117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84</v>
      </c>
      <c r="D79" s="119"/>
      <c r="E79" s="90"/>
      <c r="F79" s="117" t="s">
        <v>87</v>
      </c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>
        <f t="shared" si="7"/>
        <v>0</v>
      </c>
      <c r="V79" s="72">
        <f t="shared" si="8"/>
        <v>0</v>
      </c>
      <c r="W79" s="73"/>
    </row>
    <row r="80" ht="12.75" customHeight="1">
      <c r="A80" s="116" t="s">
        <v>30</v>
      </c>
      <c r="B80" s="117" t="s">
        <v>33</v>
      </c>
      <c r="C80" s="117" t="s">
        <v>84</v>
      </c>
      <c r="D80" s="119"/>
      <c r="E80" s="90"/>
      <c r="F80" s="117" t="s">
        <v>88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 t="shared" si="7"/>
        <v>0</v>
      </c>
      <c r="V80" s="72">
        <f t="shared" si="8"/>
        <v>0</v>
      </c>
      <c r="W80" s="73"/>
    </row>
    <row r="81" ht="20.25" customHeight="1">
      <c r="A81" s="62" t="s">
        <v>35</v>
      </c>
      <c r="B81" s="63" t="s">
        <v>36</v>
      </c>
      <c r="C81" s="63" t="s">
        <v>37</v>
      </c>
      <c r="D81" s="64"/>
      <c r="E81" s="63" t="s">
        <v>38</v>
      </c>
      <c r="F81" s="63" t="s">
        <v>39</v>
      </c>
      <c r="G81" s="65" t="s">
        <v>40</v>
      </c>
      <c r="H81" s="65" t="s">
        <v>41</v>
      </c>
      <c r="I81" s="65" t="s">
        <v>42</v>
      </c>
      <c r="J81" s="65" t="s">
        <v>12</v>
      </c>
      <c r="K81" s="65" t="s">
        <v>43</v>
      </c>
      <c r="L81" s="65" t="s">
        <v>14</v>
      </c>
      <c r="M81" s="65" t="s">
        <v>9</v>
      </c>
      <c r="N81" s="65" t="s">
        <v>10</v>
      </c>
      <c r="O81" s="65" t="s">
        <v>44</v>
      </c>
      <c r="P81" s="65" t="s">
        <v>5</v>
      </c>
      <c r="Q81" s="65" t="s">
        <v>45</v>
      </c>
      <c r="R81" s="65" t="s">
        <v>46</v>
      </c>
      <c r="S81" s="65" t="s">
        <v>47</v>
      </c>
      <c r="T81" s="65" t="s">
        <v>0</v>
      </c>
      <c r="U81" s="63" t="s">
        <v>48</v>
      </c>
      <c r="V81" s="63" t="s">
        <v>49</v>
      </c>
      <c r="W81" s="98"/>
    </row>
    <row r="82" ht="12.75" customHeight="1">
      <c r="A82" s="102" t="s">
        <v>34</v>
      </c>
      <c r="B82" s="102"/>
      <c r="C82" s="102"/>
      <c r="D82" s="120" t="s">
        <v>51</v>
      </c>
      <c r="E82" s="76"/>
      <c r="F82" s="102" t="s">
        <v>34</v>
      </c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>
        <f>IFERROR(I82/H82,0)</f>
        <v>0</v>
      </c>
      <c r="V82" s="72">
        <f>IFERROR(SUM(H82+L82)/G82,0)</f>
        <v>0</v>
      </c>
      <c r="W82" s="7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1"/>
      <c r="B600" s="121"/>
      <c r="C600" s="121"/>
      <c r="D600" s="1"/>
      <c r="E600" s="121"/>
      <c r="F600" s="11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3"/>
      <c r="V600" s="123"/>
      <c r="W600" s="12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30"/>
      <c r="B1074" s="130"/>
      <c r="C1074" s="130"/>
      <c r="D1074" s="125"/>
      <c r="E1074" s="130"/>
      <c r="F1074" s="131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  <c r="W1074" s="133"/>
    </row>
    <row r="1075" ht="12.75" customHeight="1">
      <c r="A1075" s="130"/>
      <c r="B1075" s="130"/>
      <c r="C1075" s="130"/>
      <c r="D1075" s="125"/>
      <c r="E1075" s="130"/>
      <c r="F1075" s="131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  <c r="W1075" s="133"/>
    </row>
    <row r="1076" ht="12.75" customHeight="1">
      <c r="A1076" s="130"/>
      <c r="B1076" s="130"/>
      <c r="C1076" s="130"/>
      <c r="D1076" s="125"/>
      <c r="E1076" s="130"/>
      <c r="F1076" s="131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  <c r="W1076" s="133"/>
    </row>
    <row r="1077" ht="12.75" customHeight="1">
      <c r="A1077" s="130"/>
      <c r="B1077" s="130"/>
      <c r="C1077" s="130"/>
      <c r="D1077" s="125"/>
      <c r="E1077" s="130"/>
      <c r="F1077" s="131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  <c r="W1077" s="133"/>
    </row>
    <row r="1078" ht="12.75" customHeight="1">
      <c r="A1078" s="130"/>
      <c r="B1078" s="130"/>
      <c r="C1078" s="130"/>
      <c r="D1078" s="125"/>
      <c r="E1078" s="130"/>
      <c r="F1078" s="131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  <c r="W1078" s="133"/>
    </row>
    <row r="1079" ht="12.75" customHeight="1">
      <c r="A1079" s="130"/>
      <c r="B1079" s="130"/>
      <c r="C1079" s="130"/>
      <c r="D1079" s="125"/>
      <c r="E1079" s="130"/>
      <c r="F1079" s="131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  <c r="W1079" s="133"/>
    </row>
    <row r="1080" ht="12.75" customHeight="1">
      <c r="A1080" s="130"/>
      <c r="B1080" s="130"/>
      <c r="C1080" s="130"/>
      <c r="D1080" s="125"/>
      <c r="E1080" s="130"/>
      <c r="F1080" s="131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  <c r="W1080" s="133"/>
    </row>
    <row r="1081" ht="12.75" customHeight="1">
      <c r="A1081" s="130"/>
      <c r="B1081" s="130"/>
      <c r="C1081" s="130"/>
      <c r="D1081" s="125"/>
      <c r="E1081" s="130"/>
      <c r="F1081" s="131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  <c r="W1081" s="133"/>
    </row>
    <row r="1082" ht="12.75" customHeight="1">
      <c r="A1082" s="130"/>
      <c r="B1082" s="130"/>
      <c r="C1082" s="130"/>
      <c r="D1082" s="125"/>
      <c r="E1082" s="130"/>
      <c r="F1082" s="131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  <c r="W1082" s="133"/>
    </row>
    <row r="1083" ht="12.75" customHeight="1">
      <c r="A1083" s="130"/>
      <c r="B1083" s="130"/>
      <c r="C1083" s="130"/>
      <c r="D1083" s="125"/>
      <c r="E1083" s="130"/>
      <c r="F1083" s="131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  <c r="W1083" s="133"/>
    </row>
    <row r="1084" ht="12.75" customHeight="1">
      <c r="A1084" s="130"/>
      <c r="B1084" s="130"/>
      <c r="C1084" s="130"/>
      <c r="D1084" s="125"/>
      <c r="E1084" s="130"/>
      <c r="F1084" s="131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  <c r="W1084" s="133"/>
    </row>
    <row r="1085" ht="12.75" customHeight="1">
      <c r="A1085" s="130"/>
      <c r="B1085" s="130"/>
      <c r="C1085" s="130"/>
      <c r="D1085" s="125"/>
      <c r="E1085" s="130"/>
      <c r="F1085" s="131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  <c r="W1085" s="133"/>
    </row>
    <row r="1086" ht="12.75" customHeight="1">
      <c r="A1086" s="130"/>
      <c r="B1086" s="130"/>
      <c r="C1086" s="130"/>
      <c r="D1086" s="125"/>
      <c r="E1086" s="130"/>
      <c r="F1086" s="131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  <c r="W1086" s="133"/>
    </row>
    <row r="1087" ht="12.75" customHeight="1">
      <c r="A1087" s="130"/>
      <c r="B1087" s="130"/>
      <c r="C1087" s="130"/>
      <c r="D1087" s="125"/>
      <c r="E1087" s="130"/>
      <c r="F1087" s="131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  <c r="W1087" s="133"/>
    </row>
    <row r="1088" ht="12.75" customHeight="1">
      <c r="A1088" s="130"/>
      <c r="B1088" s="130"/>
      <c r="C1088" s="130"/>
      <c r="D1088" s="125"/>
      <c r="E1088" s="130"/>
      <c r="F1088" s="131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  <c r="W1088" s="133"/>
    </row>
    <row r="1089" ht="12.75" customHeight="1">
      <c r="A1089" s="130"/>
      <c r="B1089" s="130"/>
      <c r="C1089" s="130"/>
      <c r="D1089" s="125"/>
      <c r="E1089" s="130"/>
      <c r="F1089" s="131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  <c r="W1089" s="133"/>
    </row>
    <row r="1090" ht="12.75" customHeight="1">
      <c r="A1090" s="130"/>
      <c r="B1090" s="130"/>
      <c r="C1090" s="130"/>
      <c r="D1090" s="125"/>
      <c r="E1090" s="130"/>
      <c r="F1090" s="131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  <c r="W1090" s="133"/>
    </row>
    <row r="1091" ht="12.75" customHeight="1">
      <c r="A1091" s="130"/>
      <c r="B1091" s="130"/>
      <c r="C1091" s="130"/>
      <c r="D1091" s="125"/>
      <c r="E1091" s="130"/>
      <c r="F1091" s="131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  <c r="W1091" s="133"/>
    </row>
    <row r="1092" ht="12.75" customHeight="1">
      <c r="A1092" s="130"/>
      <c r="B1092" s="130"/>
      <c r="C1092" s="130"/>
      <c r="D1092" s="125"/>
      <c r="E1092" s="130"/>
      <c r="F1092" s="131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  <c r="W1092" s="133"/>
    </row>
    <row r="1093" ht="12.75" customHeight="1">
      <c r="A1093" s="130"/>
      <c r="B1093" s="130"/>
      <c r="C1093" s="130"/>
      <c r="D1093" s="125"/>
      <c r="E1093" s="130"/>
      <c r="F1093" s="131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  <c r="W1093" s="133"/>
    </row>
    <row r="1094" ht="12.75" customHeight="1">
      <c r="A1094" s="130"/>
      <c r="B1094" s="130"/>
      <c r="C1094" s="130"/>
      <c r="D1094" s="125"/>
      <c r="E1094" s="130"/>
      <c r="F1094" s="131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  <c r="W1094" s="133"/>
    </row>
    <row r="1095" ht="12.75" customHeight="1">
      <c r="A1095" s="130"/>
      <c r="B1095" s="130"/>
      <c r="C1095" s="130"/>
      <c r="D1095" s="125"/>
      <c r="E1095" s="130"/>
      <c r="F1095" s="131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  <c r="W1095" s="133"/>
    </row>
    <row r="1096" ht="12.75" customHeight="1">
      <c r="A1096" s="130"/>
      <c r="B1096" s="130"/>
      <c r="C1096" s="130"/>
      <c r="D1096" s="125"/>
      <c r="E1096" s="130"/>
      <c r="F1096" s="131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  <c r="W1096" s="133"/>
    </row>
    <row r="1097" ht="12.75" customHeight="1">
      <c r="A1097" s="130"/>
      <c r="B1097" s="130"/>
      <c r="C1097" s="130"/>
      <c r="D1097" s="125"/>
      <c r="E1097" s="130"/>
      <c r="F1097" s="131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  <c r="W1097" s="133"/>
    </row>
    <row r="1098" ht="12.75" customHeight="1">
      <c r="A1098" s="130"/>
      <c r="B1098" s="130"/>
      <c r="C1098" s="130"/>
      <c r="D1098" s="125"/>
      <c r="E1098" s="130"/>
      <c r="F1098" s="131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  <c r="W1098" s="133"/>
    </row>
    <row r="1099" ht="12.75" customHeight="1">
      <c r="A1099" s="130"/>
      <c r="B1099" s="130"/>
      <c r="C1099" s="130"/>
      <c r="D1099" s="125"/>
      <c r="E1099" s="130"/>
      <c r="F1099" s="131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  <c r="W1099" s="133"/>
    </row>
    <row r="1100" ht="12.75" customHeight="1">
      <c r="A1100" s="130"/>
      <c r="B1100" s="130"/>
      <c r="C1100" s="130"/>
      <c r="D1100" s="125"/>
      <c r="E1100" s="130"/>
      <c r="F1100" s="131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  <c r="W1100" s="133"/>
    </row>
    <row r="1101" ht="12.75" customHeight="1">
      <c r="A1101" s="130"/>
      <c r="B1101" s="130"/>
      <c r="C1101" s="130"/>
      <c r="D1101" s="125"/>
      <c r="E1101" s="130"/>
      <c r="F1101" s="131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  <c r="W1101" s="133"/>
    </row>
    <row r="1102" ht="12.75" customHeight="1">
      <c r="A1102" s="130"/>
      <c r="B1102" s="130"/>
      <c r="C1102" s="130"/>
      <c r="D1102" s="125"/>
      <c r="E1102" s="130"/>
      <c r="F1102" s="131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  <c r="W1102" s="133"/>
    </row>
    <row r="1103" ht="12.75" customHeight="1">
      <c r="A1103" s="130"/>
      <c r="B1103" s="130"/>
      <c r="C1103" s="130"/>
      <c r="D1103" s="125"/>
      <c r="E1103" s="130"/>
      <c r="F1103" s="131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  <c r="W1103" s="133"/>
    </row>
    <row r="1104" ht="12.75" customHeight="1">
      <c r="A1104" s="130"/>
      <c r="B1104" s="130"/>
      <c r="C1104" s="130"/>
      <c r="D1104" s="125"/>
      <c r="E1104" s="130"/>
      <c r="F1104" s="131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  <c r="W1104" s="133"/>
    </row>
    <row r="1105" ht="12.75" customHeight="1">
      <c r="A1105" s="130"/>
      <c r="B1105" s="130"/>
      <c r="C1105" s="130"/>
      <c r="D1105" s="125"/>
      <c r="E1105" s="130"/>
      <c r="F1105" s="131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  <c r="W1105" s="133"/>
    </row>
    <row r="1106" ht="12.75" customHeight="1">
      <c r="A1106" s="130"/>
      <c r="B1106" s="130"/>
      <c r="C1106" s="130"/>
      <c r="D1106" s="125"/>
      <c r="E1106" s="130"/>
      <c r="F1106" s="131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  <c r="W1106" s="133"/>
    </row>
    <row r="1107" ht="12.75" customHeight="1">
      <c r="A1107" s="130"/>
      <c r="B1107" s="130"/>
      <c r="C1107" s="130"/>
      <c r="D1107" s="125"/>
      <c r="E1107" s="130"/>
      <c r="F1107" s="131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  <c r="W1107" s="133"/>
    </row>
    <row r="1108" ht="12.75" customHeight="1">
      <c r="A1108" s="130"/>
      <c r="B1108" s="130"/>
      <c r="C1108" s="130"/>
      <c r="D1108" s="125"/>
      <c r="E1108" s="130"/>
      <c r="F1108" s="131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  <c r="W1108" s="133"/>
    </row>
    <row r="1109" ht="12.75" customHeight="1">
      <c r="A1109" s="130"/>
      <c r="B1109" s="130"/>
      <c r="C1109" s="130"/>
      <c r="D1109" s="125"/>
      <c r="E1109" s="130"/>
      <c r="F1109" s="131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  <c r="W1109" s="133"/>
    </row>
    <row r="1110" ht="12.75" customHeight="1">
      <c r="A1110" s="130"/>
      <c r="B1110" s="130"/>
      <c r="C1110" s="130"/>
      <c r="D1110" s="125"/>
      <c r="E1110" s="130"/>
      <c r="F1110" s="131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  <c r="W1110" s="133"/>
    </row>
    <row r="1111" ht="12.75" customHeight="1">
      <c r="A1111" s="130"/>
      <c r="B1111" s="130"/>
      <c r="C1111" s="130"/>
      <c r="D1111" s="125"/>
      <c r="E1111" s="130"/>
      <c r="F1111" s="131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  <c r="W1111" s="133"/>
    </row>
    <row r="1112" ht="12.75" customHeight="1">
      <c r="A1112" s="130"/>
      <c r="B1112" s="130"/>
      <c r="C1112" s="130"/>
      <c r="D1112" s="125"/>
      <c r="E1112" s="130"/>
      <c r="F1112" s="131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  <c r="W1112" s="133"/>
    </row>
    <row r="1113" ht="12.75" customHeight="1">
      <c r="A1113" s="130"/>
      <c r="B1113" s="130"/>
      <c r="C1113" s="130"/>
      <c r="D1113" s="125"/>
      <c r="E1113" s="130"/>
      <c r="F1113" s="131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  <c r="W1113" s="133"/>
    </row>
    <row r="1114" ht="12.75" customHeight="1">
      <c r="A1114" s="130"/>
      <c r="B1114" s="130"/>
      <c r="C1114" s="130"/>
      <c r="D1114" s="125"/>
      <c r="E1114" s="130"/>
      <c r="F1114" s="131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  <c r="W1114" s="133"/>
    </row>
    <row r="1115" ht="12.75" customHeight="1">
      <c r="A1115" s="130"/>
      <c r="B1115" s="130"/>
      <c r="C1115" s="130"/>
      <c r="D1115" s="125"/>
      <c r="E1115" s="130"/>
      <c r="F1115" s="131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  <c r="W1115" s="133"/>
    </row>
    <row r="1116" ht="12.75" customHeight="1">
      <c r="A1116" s="130"/>
      <c r="B1116" s="130"/>
      <c r="C1116" s="130"/>
      <c r="D1116" s="125"/>
      <c r="E1116" s="130"/>
      <c r="F1116" s="131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  <c r="W1116" s="133"/>
    </row>
    <row r="1117" ht="12.75" customHeight="1">
      <c r="A1117" s="130"/>
      <c r="B1117" s="130"/>
      <c r="C1117" s="130"/>
      <c r="D1117" s="125"/>
      <c r="E1117" s="130"/>
      <c r="F1117" s="131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  <c r="W1117" s="133"/>
    </row>
    <row r="1118" ht="12.75" customHeight="1">
      <c r="A1118" s="130"/>
      <c r="B1118" s="130"/>
      <c r="C1118" s="130"/>
      <c r="D1118" s="125"/>
      <c r="E1118" s="130"/>
      <c r="F1118" s="131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  <c r="W1118" s="133"/>
    </row>
    <row r="1119" ht="12.75" customHeight="1">
      <c r="A1119" s="130"/>
      <c r="B1119" s="130"/>
      <c r="C1119" s="130"/>
      <c r="D1119" s="125"/>
      <c r="E1119" s="130"/>
      <c r="F1119" s="131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  <c r="W1119" s="133"/>
    </row>
    <row r="1120" ht="12.75" customHeight="1">
      <c r="A1120" s="130"/>
      <c r="B1120" s="130"/>
      <c r="C1120" s="130"/>
      <c r="D1120" s="125"/>
      <c r="E1120" s="130"/>
      <c r="F1120" s="131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  <c r="W1120" s="133"/>
    </row>
    <row r="1121" ht="12.75" customHeight="1">
      <c r="A1121" s="130"/>
      <c r="B1121" s="130"/>
      <c r="C1121" s="130"/>
      <c r="D1121" s="125"/>
      <c r="E1121" s="130"/>
      <c r="F1121" s="131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  <c r="W1121" s="133"/>
    </row>
    <row r="1122" ht="12.75" customHeight="1">
      <c r="A1122" s="130"/>
      <c r="B1122" s="130"/>
      <c r="C1122" s="130"/>
      <c r="D1122" s="125"/>
      <c r="E1122" s="130"/>
      <c r="F1122" s="131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  <c r="W1122" s="133"/>
    </row>
    <row r="1123" ht="12.75" customHeight="1">
      <c r="A1123" s="130"/>
      <c r="B1123" s="130"/>
      <c r="C1123" s="130"/>
      <c r="D1123" s="125"/>
      <c r="E1123" s="130"/>
      <c r="F1123" s="131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  <c r="W1123" s="133"/>
    </row>
    <row r="1124" ht="12.75" customHeight="1">
      <c r="A1124" s="130"/>
      <c r="B1124" s="130"/>
      <c r="C1124" s="130"/>
      <c r="D1124" s="125"/>
      <c r="E1124" s="130"/>
      <c r="F1124" s="131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  <c r="W1124" s="133"/>
    </row>
    <row r="1125" ht="12.75" customHeight="1">
      <c r="A1125" s="130"/>
      <c r="B1125" s="130"/>
      <c r="C1125" s="130"/>
      <c r="D1125" s="125"/>
      <c r="E1125" s="130"/>
      <c r="F1125" s="131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  <c r="W1125" s="133"/>
    </row>
    <row r="1126" ht="12.75" customHeight="1">
      <c r="A1126" s="130"/>
      <c r="B1126" s="130"/>
      <c r="C1126" s="130"/>
      <c r="D1126" s="125"/>
      <c r="E1126" s="130"/>
      <c r="F1126" s="131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  <c r="W1126" s="133"/>
    </row>
    <row r="1127" ht="12.75" customHeight="1">
      <c r="A1127" s="130"/>
      <c r="B1127" s="130"/>
      <c r="C1127" s="130"/>
      <c r="D1127" s="125"/>
      <c r="E1127" s="130"/>
      <c r="F1127" s="131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  <c r="W1127" s="133"/>
    </row>
    <row r="1128" ht="12.75" customHeight="1">
      <c r="A1128" s="130"/>
      <c r="B1128" s="130"/>
      <c r="C1128" s="130"/>
      <c r="D1128" s="125"/>
      <c r="E1128" s="130"/>
      <c r="F1128" s="131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  <c r="W1128" s="133"/>
    </row>
    <row r="1129" ht="12.75" customHeight="1">
      <c r="A1129" s="130"/>
      <c r="B1129" s="130"/>
      <c r="C1129" s="130"/>
      <c r="D1129" s="125"/>
      <c r="E1129" s="130"/>
      <c r="F1129" s="131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  <c r="W1129" s="133"/>
    </row>
    <row r="1130" ht="12.75" customHeight="1">
      <c r="A1130" s="130"/>
      <c r="B1130" s="130"/>
      <c r="C1130" s="130"/>
      <c r="D1130" s="125"/>
      <c r="E1130" s="130"/>
      <c r="F1130" s="131"/>
      <c r="G1130" s="132"/>
      <c r="H1130" s="132"/>
      <c r="I1130" s="132"/>
      <c r="J1130" s="132"/>
      <c r="K1130" s="132"/>
      <c r="L1130" s="132"/>
      <c r="M1130" s="132"/>
      <c r="N1130" s="132"/>
      <c r="O1130" s="132"/>
      <c r="P1130" s="132"/>
      <c r="Q1130" s="132"/>
      <c r="R1130" s="132"/>
      <c r="S1130" s="132"/>
      <c r="T1130" s="132"/>
      <c r="U1130" s="133"/>
      <c r="V1130" s="133"/>
      <c r="W1130" s="133"/>
    </row>
    <row r="1131" ht="12.75" customHeight="1">
      <c r="A1131" s="130"/>
      <c r="B1131" s="130"/>
      <c r="C1131" s="130"/>
      <c r="D1131" s="125"/>
      <c r="E1131" s="130"/>
      <c r="F1131" s="131"/>
      <c r="G1131" s="132"/>
      <c r="H1131" s="132"/>
      <c r="I1131" s="132"/>
      <c r="J1131" s="132"/>
      <c r="K1131" s="132"/>
      <c r="L1131" s="132"/>
      <c r="M1131" s="132"/>
      <c r="N1131" s="132"/>
      <c r="O1131" s="132"/>
      <c r="P1131" s="132"/>
      <c r="Q1131" s="132"/>
      <c r="R1131" s="132"/>
      <c r="S1131" s="132"/>
      <c r="T1131" s="132"/>
      <c r="U1131" s="133"/>
      <c r="V1131" s="133"/>
      <c r="W1131" s="133"/>
    </row>
    <row r="1132" ht="12.75" customHeight="1">
      <c r="A1132" s="130"/>
      <c r="B1132" s="130"/>
      <c r="C1132" s="130"/>
      <c r="D1132" s="125"/>
      <c r="E1132" s="130"/>
      <c r="F1132" s="131"/>
      <c r="G1132" s="132"/>
      <c r="H1132" s="132"/>
      <c r="I1132" s="132"/>
      <c r="J1132" s="132"/>
      <c r="K1132" s="132"/>
      <c r="L1132" s="132"/>
      <c r="M1132" s="132"/>
      <c r="N1132" s="132"/>
      <c r="O1132" s="132"/>
      <c r="P1132" s="132"/>
      <c r="Q1132" s="132"/>
      <c r="R1132" s="132"/>
      <c r="S1132" s="132"/>
      <c r="T1132" s="132"/>
      <c r="U1132" s="133"/>
      <c r="V1132" s="133"/>
      <c r="W1132" s="133"/>
    </row>
    <row r="1133" ht="12.75" customHeight="1">
      <c r="A1133" s="130"/>
      <c r="B1133" s="130"/>
      <c r="C1133" s="130"/>
      <c r="D1133" s="125"/>
      <c r="E1133" s="130"/>
      <c r="F1133" s="131"/>
      <c r="G1133" s="132"/>
      <c r="H1133" s="132"/>
      <c r="I1133" s="132"/>
      <c r="J1133" s="132"/>
      <c r="K1133" s="132"/>
      <c r="L1133" s="132"/>
      <c r="M1133" s="132"/>
      <c r="N1133" s="132"/>
      <c r="O1133" s="132"/>
      <c r="P1133" s="132"/>
      <c r="Q1133" s="132"/>
      <c r="R1133" s="132"/>
      <c r="S1133" s="132"/>
      <c r="T1133" s="132"/>
      <c r="U1133" s="133"/>
      <c r="V1133" s="133"/>
      <c r="W1133" s="133"/>
    </row>
    <row r="1134" ht="12.75" customHeight="1">
      <c r="A1134" s="130"/>
      <c r="B1134" s="130"/>
      <c r="C1134" s="130"/>
      <c r="D1134" s="125"/>
      <c r="E1134" s="130"/>
      <c r="F1134" s="131"/>
      <c r="G1134" s="132"/>
      <c r="H1134" s="132"/>
      <c r="I1134" s="132"/>
      <c r="J1134" s="132"/>
      <c r="K1134" s="132"/>
      <c r="L1134" s="132"/>
      <c r="M1134" s="132"/>
      <c r="N1134" s="132"/>
      <c r="O1134" s="132"/>
      <c r="P1134" s="132"/>
      <c r="Q1134" s="132"/>
      <c r="R1134" s="132"/>
      <c r="S1134" s="132"/>
      <c r="T1134" s="132"/>
      <c r="U1134" s="133"/>
      <c r="V1134" s="133"/>
      <c r="W1134" s="133"/>
    </row>
    <row r="1135" ht="12.75" customHeight="1">
      <c r="A1135" s="130"/>
      <c r="B1135" s="130"/>
      <c r="C1135" s="130"/>
      <c r="D1135" s="125"/>
      <c r="E1135" s="130"/>
      <c r="F1135" s="131"/>
      <c r="G1135" s="132"/>
      <c r="H1135" s="132"/>
      <c r="I1135" s="132"/>
      <c r="J1135" s="132"/>
      <c r="K1135" s="132"/>
      <c r="L1135" s="132"/>
      <c r="M1135" s="132"/>
      <c r="N1135" s="132"/>
      <c r="O1135" s="132"/>
      <c r="P1135" s="132"/>
      <c r="Q1135" s="132"/>
      <c r="R1135" s="132"/>
      <c r="S1135" s="132"/>
      <c r="T1135" s="132"/>
      <c r="U1135" s="133"/>
      <c r="V1135" s="133"/>
      <c r="W1135" s="133"/>
    </row>
    <row r="1136" ht="12.75" customHeight="1">
      <c r="A1136" s="130"/>
      <c r="B1136" s="130"/>
      <c r="C1136" s="130"/>
      <c r="D1136" s="125"/>
      <c r="E1136" s="130"/>
      <c r="F1136" s="131"/>
      <c r="G1136" s="132"/>
      <c r="H1136" s="132"/>
      <c r="I1136" s="132"/>
      <c r="J1136" s="132"/>
      <c r="K1136" s="132"/>
      <c r="L1136" s="132"/>
      <c r="M1136" s="132"/>
      <c r="N1136" s="132"/>
      <c r="O1136" s="132"/>
      <c r="P1136" s="132"/>
      <c r="Q1136" s="132"/>
      <c r="R1136" s="132"/>
      <c r="S1136" s="132"/>
      <c r="T1136" s="132"/>
      <c r="U1136" s="133"/>
      <c r="V1136" s="133"/>
      <c r="W1136" s="133"/>
    </row>
    <row r="1137" ht="12.75" customHeight="1">
      <c r="A1137" s="130"/>
      <c r="B1137" s="130"/>
      <c r="C1137" s="130"/>
      <c r="D1137" s="125"/>
      <c r="E1137" s="130"/>
      <c r="F1137" s="131"/>
      <c r="G1137" s="132"/>
      <c r="H1137" s="132"/>
      <c r="I1137" s="132"/>
      <c r="J1137" s="132"/>
      <c r="K1137" s="132"/>
      <c r="L1137" s="132"/>
      <c r="M1137" s="132"/>
      <c r="N1137" s="132"/>
      <c r="O1137" s="132"/>
      <c r="P1137" s="132"/>
      <c r="Q1137" s="132"/>
      <c r="R1137" s="132"/>
      <c r="S1137" s="132"/>
      <c r="T1137" s="132"/>
      <c r="U1137" s="133"/>
      <c r="V1137" s="133"/>
      <c r="W1137" s="133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23989.96</v>
      </c>
      <c r="D2" s="10"/>
      <c r="E2" s="9">
        <f t="shared" ref="E2:R2" si="1">SUM(E5,E14,E17)</f>
        <v>16291</v>
      </c>
      <c r="F2" s="9">
        <f t="shared" si="1"/>
        <v>26</v>
      </c>
      <c r="G2" s="9">
        <f t="shared" si="1"/>
        <v>16</v>
      </c>
      <c r="H2" s="9">
        <f t="shared" si="1"/>
        <v>6</v>
      </c>
      <c r="I2" s="9">
        <f t="shared" si="1"/>
        <v>0</v>
      </c>
      <c r="J2" s="9">
        <f t="shared" si="1"/>
        <v>0</v>
      </c>
      <c r="K2" s="9">
        <f t="shared" si="1"/>
        <v>6</v>
      </c>
      <c r="L2" s="9">
        <f t="shared" si="1"/>
        <v>4</v>
      </c>
      <c r="M2" s="9">
        <f t="shared" si="1"/>
        <v>28</v>
      </c>
      <c r="N2" s="9">
        <f t="shared" si="1"/>
        <v>4</v>
      </c>
      <c r="O2" s="9">
        <f t="shared" si="1"/>
        <v>5</v>
      </c>
      <c r="P2" s="9">
        <f t="shared" si="1"/>
        <v>9</v>
      </c>
      <c r="Q2" s="9">
        <f t="shared" si="1"/>
        <v>6</v>
      </c>
      <c r="R2" s="9">
        <f t="shared" si="1"/>
        <v>8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3998.326667</v>
      </c>
      <c r="F4" s="23">
        <f>IFERROR((G2+R2)/F2,0)</f>
        <v>0.9230769231</v>
      </c>
      <c r="G4" s="23">
        <f>IFERROR(H2/G2,0)</f>
        <v>0.375</v>
      </c>
      <c r="H4" s="22">
        <f>(C2/C4)</f>
        <v>533.1102222</v>
      </c>
      <c r="I4" s="24"/>
      <c r="J4" s="23">
        <f>IFERROR(J2/I2,0)</f>
        <v>0</v>
      </c>
      <c r="K4" s="24"/>
      <c r="L4" s="23">
        <f>IFERROR(L2/K2,0)</f>
        <v>0.6666666667</v>
      </c>
      <c r="M4" s="25">
        <f>IFERROR(M2/G2,0)</f>
        <v>1.75</v>
      </c>
      <c r="N4" s="24"/>
      <c r="O4" s="23">
        <f>IFERROR(O2/N2,0)</f>
        <v>1.25</v>
      </c>
      <c r="P4" s="26"/>
      <c r="Q4" s="23">
        <f>IFERROR(Q2/P2,0)</f>
        <v>0.6666666667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1254</v>
      </c>
      <c r="D5" s="31"/>
      <c r="E5" s="32">
        <f>SUMIFS(T:T,A:A,B5,D:D,"Y")</f>
        <v>1254</v>
      </c>
      <c r="F5" s="33">
        <f>SUMIF(A:A,B5,G:G)</f>
        <v>2</v>
      </c>
      <c r="G5" s="33">
        <f>SUMIF(A:A,B5,H:H)</f>
        <v>3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3</v>
      </c>
      <c r="L5" s="33">
        <f>SUMIF(A:A,B5,S:S)</f>
        <v>1</v>
      </c>
      <c r="M5" s="33">
        <f>SUMIF(A:A,B5,M:M)</f>
        <v>6</v>
      </c>
      <c r="N5" s="33">
        <f>SUMIF(A:A,B5,N:N)</f>
        <v>0</v>
      </c>
      <c r="O5" s="33">
        <f>SUMIF(A:A,B5,O:O)</f>
        <v>0</v>
      </c>
      <c r="P5" s="33">
        <f>SUMIF(A:A,B5,J:J)</f>
        <v>2</v>
      </c>
      <c r="Q5" s="33">
        <f>SUMIF(A:A,B5,K:K)</f>
        <v>1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1254</v>
      </c>
      <c r="F7" s="41">
        <f>IFERROR((G5+R5)/F5,0)</f>
        <v>2</v>
      </c>
      <c r="G7" s="41">
        <f>IFERROR(H5/G5,0)</f>
        <v>0.3333333333</v>
      </c>
      <c r="H7" s="40">
        <f>(C5/C7)</f>
        <v>62.7</v>
      </c>
      <c r="I7" s="42"/>
      <c r="J7" s="41">
        <f>IFERROR(J5/I5,0)</f>
        <v>0</v>
      </c>
      <c r="K7" s="42"/>
      <c r="L7" s="41">
        <f>IFERROR(L5/K5,0)</f>
        <v>0.3333333333</v>
      </c>
      <c r="M7" s="43">
        <f>IFERROR(M5/SUM(R5+G5,0),"")</f>
        <v>1.5</v>
      </c>
      <c r="N7" s="42"/>
      <c r="O7" s="41">
        <f>IFERROR(O5/N5,0)</f>
        <v>0</v>
      </c>
      <c r="P7" s="43"/>
      <c r="Q7" s="41">
        <f>IFERROR(Q5/P5,0)</f>
        <v>0.5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1254</v>
      </c>
      <c r="D11" s="47"/>
      <c r="E11" s="48">
        <f>SUMIFS(T:T,B:B,B11,D:D,"Y")</f>
        <v>1254</v>
      </c>
      <c r="F11" s="49">
        <f t="shared" ref="F11:R11" si="2">SUMIF(B34:B1137,B11,G34:G1137)</f>
        <v>2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1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0.5</v>
      </c>
      <c r="G13" s="23">
        <f>IFERROR(H11/G11,0)</f>
        <v>0</v>
      </c>
      <c r="H13" s="22">
        <f>(C11/C13)</f>
        <v>114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22735.96</v>
      </c>
      <c r="D17" s="31"/>
      <c r="E17" s="53">
        <f>SUMIFS(T:T,A:A,B17,D:D,"Y")</f>
        <v>15037</v>
      </c>
      <c r="F17" s="9">
        <f>SUMIF(A:A,B17,G:G)</f>
        <v>24</v>
      </c>
      <c r="G17" s="33">
        <f>SUMIF(A:A,B17,H:H)</f>
        <v>13</v>
      </c>
      <c r="H17" s="33">
        <f>SUMIF(A:A,B17,I:I)</f>
        <v>5</v>
      </c>
      <c r="I17" s="33">
        <f>SUMIF(A:A,B17,P:P)</f>
        <v>0</v>
      </c>
      <c r="J17" s="33">
        <f>SUMIF(A:A,B17,Q:Q)</f>
        <v>0</v>
      </c>
      <c r="K17" s="33">
        <f>SUMIF(A:A,B17,R:R)</f>
        <v>3</v>
      </c>
      <c r="L17" s="33">
        <f>SUMIF(A:A,B17,S:S)</f>
        <v>3</v>
      </c>
      <c r="M17" s="33">
        <f>SUMIF(A:A,B17,M:M)</f>
        <v>22</v>
      </c>
      <c r="N17" s="33">
        <f>SUMIF(A:A,B17,N:N)</f>
        <v>4</v>
      </c>
      <c r="O17" s="33">
        <f>SUMIF(A:A,B17,O:O)</f>
        <v>5</v>
      </c>
      <c r="P17" s="33">
        <f>SUMIF(A:A,B17,J:J)</f>
        <v>7</v>
      </c>
      <c r="Q17" s="33">
        <f>SUMIF(A:A,B17,K:K)</f>
        <v>5</v>
      </c>
      <c r="R17" s="34">
        <f>SUMIF(A:A,B17,L:L)</f>
        <v>7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4547.192</v>
      </c>
      <c r="F19" s="41">
        <f>IFERROR((G17+R17)/F17,0)</f>
        <v>0.8333333333</v>
      </c>
      <c r="G19" s="41">
        <f>IFERROR(H17/G17,0)</f>
        <v>0.3846153846</v>
      </c>
      <c r="H19" s="40">
        <f>(C17/C19)</f>
        <v>1196.629474</v>
      </c>
      <c r="I19" s="42"/>
      <c r="J19" s="41">
        <f>IFERROR(J17/I17,0)</f>
        <v>0</v>
      </c>
      <c r="K19" s="42"/>
      <c r="L19" s="41">
        <f>IFERROR(L17/K17,0)</f>
        <v>1</v>
      </c>
      <c r="M19" s="54">
        <f>IFERROR(M17/SUM(G17+R17,0),"")</f>
        <v>1.1</v>
      </c>
      <c r="N19" s="42"/>
      <c r="O19" s="41">
        <f>IFERROR(O17/N17,0)</f>
        <v>1.25</v>
      </c>
      <c r="P19" s="43"/>
      <c r="Q19" s="41">
        <f>IFERROR(Q17/P17,0)</f>
        <v>0.7142857143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4</v>
      </c>
      <c r="G20" s="46">
        <f>SUMIF(B54:B1137,B20,H54:H1137)</f>
        <v>1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1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1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0.5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0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SUMIF(B59:B1137,B23,G59:G1137)</f>
        <v>0</v>
      </c>
      <c r="G23" s="46">
        <f>SUMIF(B59:B1137,B23,H59:H1137)</f>
        <v>0</v>
      </c>
      <c r="H23" s="46">
        <f>SUMIF(B59:B1137,B23,I59:I1137)</f>
        <v>0</v>
      </c>
      <c r="I23" s="46">
        <f>SUMIF(B59:B1137,B23,P59:P1137)</f>
        <v>0</v>
      </c>
      <c r="J23" s="46">
        <f>SUMIF(B59:B1137,B23,Q59:Q1137)</f>
        <v>0</v>
      </c>
      <c r="K23" s="46">
        <f>SUMIF(B59:B1137,B23,R59:R1137)</f>
        <v>0</v>
      </c>
      <c r="L23" s="46">
        <f>SUMIF(B59:B1137,B23,S59:S1137)</f>
        <v>0</v>
      </c>
      <c r="M23" s="46">
        <f>SUMIF(B59:B1137,B23,M59:M1137)</f>
        <v>0</v>
      </c>
      <c r="N23" s="46">
        <f>SUMIF(B59:B1137,B23,N59:N1137)</f>
        <v>0</v>
      </c>
      <c r="O23" s="46">
        <f>SUMIF(B59:B1137,B23,O59:O1137)</f>
        <v>0</v>
      </c>
      <c r="P23" s="46">
        <f>SUMIF(B59:B1137,B23,J59:J1137)</f>
        <v>0</v>
      </c>
      <c r="Q23" s="46">
        <f>SUMIF(B59:B1137,B23,K59:K1137)</f>
        <v>0</v>
      </c>
      <c r="R23" s="50">
        <f>SUMIF(B59:B1137,B23,L59:L1137)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22735.96</v>
      </c>
      <c r="D26" s="55"/>
      <c r="E26" s="48">
        <f>SUMIFS(T:T,B:B,B26,D:D,"Y")</f>
        <v>15037</v>
      </c>
      <c r="F26" s="49">
        <f>SUMIF(B62:B1137,B26,G62:G1137)</f>
        <v>20</v>
      </c>
      <c r="G26" s="46">
        <f>SUMIF(B62:B1137,B26,H62:H1137)</f>
        <v>12</v>
      </c>
      <c r="H26" s="46">
        <f>SUMIF(B62:B1137,B26,I62:I1137)</f>
        <v>5</v>
      </c>
      <c r="I26" s="46">
        <f>SUMIF(B62:B1137,B26,P62:P1137)</f>
        <v>0</v>
      </c>
      <c r="J26" s="46">
        <f>SUMIF(B62:B1137,B26,Q62:Q1137)</f>
        <v>0</v>
      </c>
      <c r="K26" s="46">
        <f>SUMIF(B62:B1137,B26,R62:R1137)</f>
        <v>2</v>
      </c>
      <c r="L26" s="46">
        <f>SUMIF(B62:B1137,B26,S62:S1137)</f>
        <v>3</v>
      </c>
      <c r="M26" s="46">
        <f>SUMIF(B62:B1137,B26,M62:M1137)</f>
        <v>22</v>
      </c>
      <c r="N26" s="46">
        <f>SUMIF(B62:B1137,B26,N62:N1137)</f>
        <v>4</v>
      </c>
      <c r="O26" s="46">
        <f>SUMIF(B62:B1137,B26,O62:O1137)</f>
        <v>5</v>
      </c>
      <c r="P26" s="46">
        <f>SUMIF(B62:B1137,B26,J62:J1137)</f>
        <v>7</v>
      </c>
      <c r="Q26" s="46">
        <f>SUMIF(B62:B1137,B26,K62:K1137)</f>
        <v>5</v>
      </c>
      <c r="R26" s="50">
        <f>SUMIF(B62:B1137,B26,L62:L1137)</f>
        <v>6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4547.192</v>
      </c>
      <c r="F28" s="41">
        <f>IFERROR((G26+R26)/F26,0)</f>
        <v>0.9</v>
      </c>
      <c r="G28" s="41">
        <f>IFERROR(H26/G26,0)</f>
        <v>0.4166666667</v>
      </c>
      <c r="H28" s="40">
        <f>(C26/C28)</f>
        <v>2066.905455</v>
      </c>
      <c r="I28" s="42"/>
      <c r="J28" s="41">
        <f>IFERROR(J26/I26,0)</f>
        <v>0</v>
      </c>
      <c r="K28" s="42"/>
      <c r="L28" s="41">
        <f>IFERROR(L26/K26,0)</f>
        <v>1.5</v>
      </c>
      <c r="M28" s="43">
        <f>IFERROR(M26/SUM(G26+R26,0),"")</f>
        <v>1.222222222</v>
      </c>
      <c r="N28" s="42"/>
      <c r="O28" s="41">
        <f>IFERROR(O26/N26,0)</f>
        <v>1.25</v>
      </c>
      <c r="P28" s="43"/>
      <c r="Q28" s="41">
        <f>IFERROR(Q26/P26,0)</f>
        <v>0.7142857143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71"/>
      <c r="H37" s="128">
        <v>2.0</v>
      </c>
      <c r="I37" s="128">
        <v>0.0</v>
      </c>
      <c r="J37" s="128">
        <v>1.0</v>
      </c>
      <c r="K37" s="128">
        <v>0.0</v>
      </c>
      <c r="L37" s="128">
        <v>1.0</v>
      </c>
      <c r="M37" s="128">
        <v>4.0</v>
      </c>
      <c r="N37" s="128">
        <v>0.0</v>
      </c>
      <c r="O37" s="128">
        <v>0.0</v>
      </c>
      <c r="P37" s="128">
        <v>0.0</v>
      </c>
      <c r="Q37" s="128">
        <v>0.0</v>
      </c>
      <c r="R37" s="128">
        <v>2.0</v>
      </c>
      <c r="S37" s="128">
        <v>0.0</v>
      </c>
      <c r="T37" s="128">
        <v>0.0</v>
      </c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128">
        <v>2.0</v>
      </c>
      <c r="H47" s="128">
        <v>1.0</v>
      </c>
      <c r="I47" s="128">
        <v>1.0</v>
      </c>
      <c r="J47" s="128">
        <v>1.0</v>
      </c>
      <c r="K47" s="128">
        <v>1.0</v>
      </c>
      <c r="L47" s="128">
        <v>0.0</v>
      </c>
      <c r="M47" s="128">
        <v>2.0</v>
      </c>
      <c r="N47" s="128">
        <v>0.0</v>
      </c>
      <c r="O47" s="128">
        <v>0.0</v>
      </c>
      <c r="P47" s="128">
        <v>0.0</v>
      </c>
      <c r="Q47" s="128">
        <v>0.0</v>
      </c>
      <c r="R47" s="128">
        <v>1.0</v>
      </c>
      <c r="S47" s="128">
        <v>1.0</v>
      </c>
      <c r="T47" s="128">
        <v>1254.0</v>
      </c>
      <c r="U47" s="72">
        <f t="shared" si="3"/>
        <v>1</v>
      </c>
      <c r="V47" s="72">
        <f t="shared" si="4"/>
        <v>0.5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128">
        <v>0.0</v>
      </c>
      <c r="H48" s="128">
        <v>0.0</v>
      </c>
      <c r="I48" s="128">
        <v>0.0</v>
      </c>
      <c r="J48" s="128">
        <v>0.0</v>
      </c>
      <c r="K48" s="128">
        <v>0.0</v>
      </c>
      <c r="L48" s="128">
        <v>0.0</v>
      </c>
      <c r="M48" s="128">
        <v>0.0</v>
      </c>
      <c r="N48" s="128">
        <v>0.0</v>
      </c>
      <c r="O48" s="128">
        <v>0.0</v>
      </c>
      <c r="P48" s="128">
        <v>0.0</v>
      </c>
      <c r="Q48" s="128">
        <v>0.0</v>
      </c>
      <c r="R48" s="128">
        <v>0.0</v>
      </c>
      <c r="S48" s="128">
        <v>0.0</v>
      </c>
      <c r="T48" s="128">
        <v>0.0</v>
      </c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58" si="5">IFERROR(I55/H55,0)</f>
        <v>0</v>
      </c>
      <c r="V55" s="72">
        <f t="shared" ref="V55:V60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74" t="s">
        <v>29</v>
      </c>
      <c r="B58" s="75"/>
      <c r="C58" s="75"/>
      <c r="D58" s="76"/>
      <c r="E58" s="76"/>
      <c r="F58" s="78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99" t="s">
        <v>29</v>
      </c>
      <c r="B59" s="90"/>
      <c r="C59" s="100" t="s">
        <v>72</v>
      </c>
      <c r="D59" s="101" t="s">
        <v>51</v>
      </c>
      <c r="E59" s="90"/>
      <c r="F59" s="100" t="s">
        <v>72</v>
      </c>
      <c r="G59" s="128">
        <v>0.0</v>
      </c>
      <c r="H59" s="128">
        <v>0.0</v>
      </c>
      <c r="I59" s="128">
        <v>0.0</v>
      </c>
      <c r="J59" s="128">
        <v>0.0</v>
      </c>
      <c r="K59" s="128">
        <v>0.0</v>
      </c>
      <c r="L59" s="128">
        <v>0.0</v>
      </c>
      <c r="M59" s="128">
        <v>0.0</v>
      </c>
      <c r="N59" s="128">
        <v>0.0</v>
      </c>
      <c r="O59" s="128">
        <v>0.0</v>
      </c>
      <c r="P59" s="128">
        <v>0.0</v>
      </c>
      <c r="Q59" s="128">
        <v>0.0</v>
      </c>
      <c r="R59" s="128">
        <v>0.0</v>
      </c>
      <c r="S59" s="128">
        <v>0.0</v>
      </c>
      <c r="T59" s="128">
        <v>0.0</v>
      </c>
      <c r="U59" s="129">
        <v>0.0</v>
      </c>
      <c r="V59" s="72">
        <f t="shared" si="6"/>
        <v>0</v>
      </c>
      <c r="W59" s="73"/>
    </row>
    <row r="60" ht="20.25" customHeight="1">
      <c r="A60" s="87" t="s">
        <v>29</v>
      </c>
      <c r="B60" s="88"/>
      <c r="C60" s="88" t="s">
        <v>72</v>
      </c>
      <c r="D60" s="90"/>
      <c r="E60" s="90"/>
      <c r="F60" s="91" t="s">
        <v>73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>IFERROR(I60/H60,0)</f>
        <v>0</v>
      </c>
      <c r="V60" s="72">
        <f t="shared" si="6"/>
        <v>0</v>
      </c>
      <c r="W60" s="73"/>
    </row>
    <row r="61" ht="20.25" customHeight="1">
      <c r="A61" s="62" t="s">
        <v>35</v>
      </c>
      <c r="B61" s="63" t="s">
        <v>36</v>
      </c>
      <c r="C61" s="63" t="s">
        <v>37</v>
      </c>
      <c r="D61" s="64"/>
      <c r="E61" s="63" t="s">
        <v>38</v>
      </c>
      <c r="F61" s="63" t="s">
        <v>39</v>
      </c>
      <c r="G61" s="65" t="s">
        <v>40</v>
      </c>
      <c r="H61" s="65" t="s">
        <v>41</v>
      </c>
      <c r="I61" s="65" t="s">
        <v>42</v>
      </c>
      <c r="J61" s="65" t="s">
        <v>12</v>
      </c>
      <c r="K61" s="65" t="s">
        <v>43</v>
      </c>
      <c r="L61" s="65" t="s">
        <v>14</v>
      </c>
      <c r="M61" s="65" t="s">
        <v>9</v>
      </c>
      <c r="N61" s="65" t="s">
        <v>10</v>
      </c>
      <c r="O61" s="65" t="s">
        <v>44</v>
      </c>
      <c r="P61" s="65" t="s">
        <v>5</v>
      </c>
      <c r="Q61" s="65" t="s">
        <v>45</v>
      </c>
      <c r="R61" s="65" t="s">
        <v>46</v>
      </c>
      <c r="S61" s="65" t="s">
        <v>47</v>
      </c>
      <c r="T61" s="65" t="s">
        <v>0</v>
      </c>
      <c r="U61" s="63" t="s">
        <v>48</v>
      </c>
      <c r="V61" s="63" t="s">
        <v>49</v>
      </c>
      <c r="W61" s="98"/>
    </row>
    <row r="62" ht="12.75" customHeight="1">
      <c r="A62" s="102" t="s">
        <v>30</v>
      </c>
      <c r="B62" s="60"/>
      <c r="C62" s="60"/>
      <c r="D62" s="103" t="s">
        <v>51</v>
      </c>
      <c r="E62" s="60"/>
      <c r="F62" s="102" t="s">
        <v>30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ref="U62:U80" si="7">IFERROR(I62/H62,0)</f>
        <v>0</v>
      </c>
      <c r="V62" s="72">
        <f t="shared" ref="V62:V80" si="8">IFERROR(SUM(H62+L62)/G62,0)</f>
        <v>0</v>
      </c>
      <c r="W62" s="73"/>
    </row>
    <row r="63" ht="12.75" customHeight="1">
      <c r="A63" s="104" t="s">
        <v>30</v>
      </c>
      <c r="B63" s="60"/>
      <c r="C63" s="60"/>
      <c r="D63" s="59"/>
      <c r="E63" s="76"/>
      <c r="F63" s="104" t="s">
        <v>74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5" t="s">
        <v>30</v>
      </c>
      <c r="B64" s="105" t="s">
        <v>31</v>
      </c>
      <c r="C64" s="106"/>
      <c r="D64" s="107" t="s">
        <v>51</v>
      </c>
      <c r="E64" s="96"/>
      <c r="F64" s="105" t="s">
        <v>31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8" t="s">
        <v>31</v>
      </c>
      <c r="C65" s="108"/>
      <c r="D65" s="109"/>
      <c r="E65" s="70"/>
      <c r="F65" s="110" t="s">
        <v>75</v>
      </c>
      <c r="G65" s="128">
        <v>4.0</v>
      </c>
      <c r="H65" s="128">
        <v>1.0</v>
      </c>
      <c r="I65" s="128">
        <v>0.0</v>
      </c>
      <c r="J65" s="128">
        <v>0.0</v>
      </c>
      <c r="K65" s="128">
        <v>0.0</v>
      </c>
      <c r="L65" s="128">
        <v>1.0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1.0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0.5</v>
      </c>
      <c r="W65" s="73"/>
    </row>
    <row r="66" ht="12.75" customHeight="1">
      <c r="A66" s="104" t="s">
        <v>30</v>
      </c>
      <c r="B66" s="104" t="s">
        <v>31</v>
      </c>
      <c r="C66" s="104"/>
      <c r="D66" s="60"/>
      <c r="E66" s="76"/>
      <c r="F66" s="104" t="s">
        <v>76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32</v>
      </c>
      <c r="C67" s="105"/>
      <c r="D67" s="107" t="s">
        <v>51</v>
      </c>
      <c r="E67" s="82"/>
      <c r="F67" s="105" t="s">
        <v>32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8" t="s">
        <v>30</v>
      </c>
      <c r="B69" s="108" t="s">
        <v>32</v>
      </c>
      <c r="C69" s="108"/>
      <c r="D69" s="59"/>
      <c r="E69" s="76"/>
      <c r="F69" s="111" t="s">
        <v>78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5" t="s">
        <v>30</v>
      </c>
      <c r="B70" s="105" t="s">
        <v>33</v>
      </c>
      <c r="C70" s="105"/>
      <c r="D70" s="107" t="s">
        <v>51</v>
      </c>
      <c r="E70" s="82"/>
      <c r="F70" s="105" t="s">
        <v>33</v>
      </c>
      <c r="G70" s="128">
        <v>20.0</v>
      </c>
      <c r="H70" s="128">
        <v>12.0</v>
      </c>
      <c r="I70" s="128">
        <v>5.0</v>
      </c>
      <c r="J70" s="128">
        <v>7.0</v>
      </c>
      <c r="K70" s="128">
        <v>5.0</v>
      </c>
      <c r="L70" s="128">
        <v>6.0</v>
      </c>
      <c r="M70" s="128">
        <v>22.0</v>
      </c>
      <c r="N70" s="128">
        <v>4.0</v>
      </c>
      <c r="O70" s="128">
        <v>5.0</v>
      </c>
      <c r="P70" s="128">
        <v>0.0</v>
      </c>
      <c r="Q70" s="128">
        <v>0.0</v>
      </c>
      <c r="R70" s="128">
        <v>2.0</v>
      </c>
      <c r="S70" s="128">
        <v>3.0</v>
      </c>
      <c r="T70" s="128">
        <v>15037.0</v>
      </c>
      <c r="U70" s="72">
        <f t="shared" si="7"/>
        <v>0.4166666667</v>
      </c>
      <c r="V70" s="72">
        <f t="shared" si="8"/>
        <v>0.9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04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7698.96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04" t="s">
        <v>30</v>
      </c>
      <c r="B75" s="104" t="s">
        <v>33</v>
      </c>
      <c r="C75" s="104"/>
      <c r="D75" s="60"/>
      <c r="E75" s="76"/>
      <c r="F75" s="111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2" t="s">
        <v>30</v>
      </c>
      <c r="B76" s="113" t="s">
        <v>33</v>
      </c>
      <c r="C76" s="113" t="s">
        <v>84</v>
      </c>
      <c r="D76" s="114" t="s">
        <v>51</v>
      </c>
      <c r="E76" s="115"/>
      <c r="F76" s="113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84</v>
      </c>
      <c r="D77" s="118"/>
      <c r="E77" s="90"/>
      <c r="F77" s="117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84</v>
      </c>
      <c r="D78" s="119"/>
      <c r="E78" s="90"/>
      <c r="F78" s="117" t="s">
        <v>86</v>
      </c>
      <c r="G78" s="128">
        <v>0.0</v>
      </c>
      <c r="H78" s="128">
        <v>0.0</v>
      </c>
      <c r="I78" s="128">
        <v>0.0</v>
      </c>
      <c r="J78" s="128">
        <v>0.0</v>
      </c>
      <c r="K78" s="128">
        <v>0.0</v>
      </c>
      <c r="L78" s="128">
        <v>0.0</v>
      </c>
      <c r="M78" s="128">
        <v>0.0</v>
      </c>
      <c r="N78" s="128">
        <v>0.0</v>
      </c>
      <c r="O78" s="128">
        <v>0.0</v>
      </c>
      <c r="P78" s="128">
        <v>0.0</v>
      </c>
      <c r="Q78" s="128">
        <v>0.0</v>
      </c>
      <c r="R78" s="128">
        <v>0.0</v>
      </c>
      <c r="S78" s="128">
        <v>0.0</v>
      </c>
      <c r="T78" s="128">
        <v>0.0</v>
      </c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84</v>
      </c>
      <c r="D79" s="119"/>
      <c r="E79" s="90"/>
      <c r="F79" s="117" t="s">
        <v>87</v>
      </c>
      <c r="G79" s="128">
        <v>0.0</v>
      </c>
      <c r="H79" s="128">
        <v>0.0</v>
      </c>
      <c r="I79" s="128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0.0</v>
      </c>
      <c r="S79" s="128">
        <v>0.0</v>
      </c>
      <c r="T79" s="128">
        <v>0.0</v>
      </c>
      <c r="U79" s="72">
        <f t="shared" si="7"/>
        <v>0</v>
      </c>
      <c r="V79" s="72">
        <f t="shared" si="8"/>
        <v>0</v>
      </c>
      <c r="W79" s="73"/>
    </row>
    <row r="80" ht="12.75" customHeight="1">
      <c r="A80" s="116" t="s">
        <v>30</v>
      </c>
      <c r="B80" s="117" t="s">
        <v>33</v>
      </c>
      <c r="C80" s="117" t="s">
        <v>84</v>
      </c>
      <c r="D80" s="119"/>
      <c r="E80" s="90"/>
      <c r="F80" s="117" t="s">
        <v>88</v>
      </c>
      <c r="G80" s="128">
        <v>0.0</v>
      </c>
      <c r="H80" s="128">
        <v>0.0</v>
      </c>
      <c r="I80" s="128">
        <v>0.0</v>
      </c>
      <c r="J80" s="128">
        <v>0.0</v>
      </c>
      <c r="K80" s="128">
        <v>0.0</v>
      </c>
      <c r="L80" s="128">
        <v>0.0</v>
      </c>
      <c r="M80" s="128">
        <v>0.0</v>
      </c>
      <c r="N80" s="128">
        <v>0.0</v>
      </c>
      <c r="O80" s="128">
        <v>0.0</v>
      </c>
      <c r="P80" s="128">
        <v>0.0</v>
      </c>
      <c r="Q80" s="128">
        <v>0.0</v>
      </c>
      <c r="R80" s="128">
        <v>0.0</v>
      </c>
      <c r="S80" s="128">
        <v>0.0</v>
      </c>
      <c r="T80" s="128">
        <v>0.0</v>
      </c>
      <c r="U80" s="72">
        <f t="shared" si="7"/>
        <v>0</v>
      </c>
      <c r="V80" s="72">
        <f t="shared" si="8"/>
        <v>0</v>
      </c>
      <c r="W80" s="73"/>
    </row>
    <row r="81" ht="20.25" customHeight="1">
      <c r="A81" s="62" t="s">
        <v>35</v>
      </c>
      <c r="B81" s="63" t="s">
        <v>36</v>
      </c>
      <c r="C81" s="63" t="s">
        <v>37</v>
      </c>
      <c r="D81" s="64"/>
      <c r="E81" s="63" t="s">
        <v>38</v>
      </c>
      <c r="F81" s="63" t="s">
        <v>39</v>
      </c>
      <c r="G81" s="65" t="s">
        <v>40</v>
      </c>
      <c r="H81" s="65" t="s">
        <v>41</v>
      </c>
      <c r="I81" s="65" t="s">
        <v>42</v>
      </c>
      <c r="J81" s="65" t="s">
        <v>12</v>
      </c>
      <c r="K81" s="65" t="s">
        <v>43</v>
      </c>
      <c r="L81" s="65" t="s">
        <v>14</v>
      </c>
      <c r="M81" s="65" t="s">
        <v>9</v>
      </c>
      <c r="N81" s="65" t="s">
        <v>10</v>
      </c>
      <c r="O81" s="65" t="s">
        <v>44</v>
      </c>
      <c r="P81" s="65" t="s">
        <v>5</v>
      </c>
      <c r="Q81" s="65" t="s">
        <v>45</v>
      </c>
      <c r="R81" s="65" t="s">
        <v>46</v>
      </c>
      <c r="S81" s="65" t="s">
        <v>47</v>
      </c>
      <c r="T81" s="65" t="s">
        <v>0</v>
      </c>
      <c r="U81" s="63" t="s">
        <v>48</v>
      </c>
      <c r="V81" s="63" t="s">
        <v>49</v>
      </c>
      <c r="W81" s="98"/>
    </row>
    <row r="82" ht="12.75" customHeight="1">
      <c r="A82" s="102" t="s">
        <v>34</v>
      </c>
      <c r="B82" s="102"/>
      <c r="C82" s="102"/>
      <c r="D82" s="120" t="s">
        <v>51</v>
      </c>
      <c r="E82" s="76"/>
      <c r="F82" s="102" t="s">
        <v>34</v>
      </c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>
        <f>IFERROR(I82/H82,0)</f>
        <v>0</v>
      </c>
      <c r="V82" s="72">
        <f>IFERROR(SUM(H82+L82)/G82,0)</f>
        <v>0</v>
      </c>
      <c r="W82" s="7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1"/>
      <c r="B600" s="121"/>
      <c r="C600" s="121"/>
      <c r="D600" s="1"/>
      <c r="E600" s="121"/>
      <c r="F600" s="11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3"/>
      <c r="V600" s="123"/>
      <c r="W600" s="12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30"/>
      <c r="B1074" s="130"/>
      <c r="C1074" s="130"/>
      <c r="D1074" s="125"/>
      <c r="E1074" s="130"/>
      <c r="F1074" s="131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  <c r="W1074" s="133"/>
    </row>
    <row r="1075" ht="12.75" customHeight="1">
      <c r="A1075" s="130"/>
      <c r="B1075" s="130"/>
      <c r="C1075" s="130"/>
      <c r="D1075" s="125"/>
      <c r="E1075" s="130"/>
      <c r="F1075" s="131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  <c r="W1075" s="133"/>
    </row>
    <row r="1076" ht="12.75" customHeight="1">
      <c r="A1076" s="130"/>
      <c r="B1076" s="130"/>
      <c r="C1076" s="130"/>
      <c r="D1076" s="125"/>
      <c r="E1076" s="130"/>
      <c r="F1076" s="131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  <c r="W1076" s="133"/>
    </row>
    <row r="1077" ht="12.75" customHeight="1">
      <c r="A1077" s="130"/>
      <c r="B1077" s="130"/>
      <c r="C1077" s="130"/>
      <c r="D1077" s="125"/>
      <c r="E1077" s="130"/>
      <c r="F1077" s="131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  <c r="W1077" s="133"/>
    </row>
    <row r="1078" ht="12.75" customHeight="1">
      <c r="A1078" s="130"/>
      <c r="B1078" s="130"/>
      <c r="C1078" s="130"/>
      <c r="D1078" s="125"/>
      <c r="E1078" s="130"/>
      <c r="F1078" s="131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  <c r="W1078" s="133"/>
    </row>
    <row r="1079" ht="12.75" customHeight="1">
      <c r="A1079" s="130"/>
      <c r="B1079" s="130"/>
      <c r="C1079" s="130"/>
      <c r="D1079" s="125"/>
      <c r="E1079" s="130"/>
      <c r="F1079" s="131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  <c r="W1079" s="133"/>
    </row>
    <row r="1080" ht="12.75" customHeight="1">
      <c r="A1080" s="130"/>
      <c r="B1080" s="130"/>
      <c r="C1080" s="130"/>
      <c r="D1080" s="125"/>
      <c r="E1080" s="130"/>
      <c r="F1080" s="131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  <c r="W1080" s="133"/>
    </row>
    <row r="1081" ht="12.75" customHeight="1">
      <c r="A1081" s="130"/>
      <c r="B1081" s="130"/>
      <c r="C1081" s="130"/>
      <c r="D1081" s="125"/>
      <c r="E1081" s="130"/>
      <c r="F1081" s="131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  <c r="W1081" s="133"/>
    </row>
    <row r="1082" ht="12.75" customHeight="1">
      <c r="A1082" s="130"/>
      <c r="B1082" s="130"/>
      <c r="C1082" s="130"/>
      <c r="D1082" s="125"/>
      <c r="E1082" s="130"/>
      <c r="F1082" s="131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  <c r="W1082" s="133"/>
    </row>
    <row r="1083" ht="12.75" customHeight="1">
      <c r="A1083" s="130"/>
      <c r="B1083" s="130"/>
      <c r="C1083" s="130"/>
      <c r="D1083" s="125"/>
      <c r="E1083" s="130"/>
      <c r="F1083" s="131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  <c r="W1083" s="133"/>
    </row>
    <row r="1084" ht="12.75" customHeight="1">
      <c r="A1084" s="130"/>
      <c r="B1084" s="130"/>
      <c r="C1084" s="130"/>
      <c r="D1084" s="125"/>
      <c r="E1084" s="130"/>
      <c r="F1084" s="131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  <c r="W1084" s="133"/>
    </row>
    <row r="1085" ht="12.75" customHeight="1">
      <c r="A1085" s="130"/>
      <c r="B1085" s="130"/>
      <c r="C1085" s="130"/>
      <c r="D1085" s="125"/>
      <c r="E1085" s="130"/>
      <c r="F1085" s="131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  <c r="W1085" s="133"/>
    </row>
    <row r="1086" ht="12.75" customHeight="1">
      <c r="A1086" s="130"/>
      <c r="B1086" s="130"/>
      <c r="C1086" s="130"/>
      <c r="D1086" s="125"/>
      <c r="E1086" s="130"/>
      <c r="F1086" s="131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  <c r="W1086" s="133"/>
    </row>
    <row r="1087" ht="12.75" customHeight="1">
      <c r="A1087" s="130"/>
      <c r="B1087" s="130"/>
      <c r="C1087" s="130"/>
      <c r="D1087" s="125"/>
      <c r="E1087" s="130"/>
      <c r="F1087" s="131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  <c r="W1087" s="133"/>
    </row>
    <row r="1088" ht="12.75" customHeight="1">
      <c r="A1088" s="130"/>
      <c r="B1088" s="130"/>
      <c r="C1088" s="130"/>
      <c r="D1088" s="125"/>
      <c r="E1088" s="130"/>
      <c r="F1088" s="131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  <c r="W1088" s="133"/>
    </row>
    <row r="1089" ht="12.75" customHeight="1">
      <c r="A1089" s="130"/>
      <c r="B1089" s="130"/>
      <c r="C1089" s="130"/>
      <c r="D1089" s="125"/>
      <c r="E1089" s="130"/>
      <c r="F1089" s="131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  <c r="W1089" s="133"/>
    </row>
    <row r="1090" ht="12.75" customHeight="1">
      <c r="A1090" s="130"/>
      <c r="B1090" s="130"/>
      <c r="C1090" s="130"/>
      <c r="D1090" s="125"/>
      <c r="E1090" s="130"/>
      <c r="F1090" s="131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  <c r="W1090" s="133"/>
    </row>
    <row r="1091" ht="12.75" customHeight="1">
      <c r="A1091" s="130"/>
      <c r="B1091" s="130"/>
      <c r="C1091" s="130"/>
      <c r="D1091" s="125"/>
      <c r="E1091" s="130"/>
      <c r="F1091" s="131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  <c r="W1091" s="133"/>
    </row>
    <row r="1092" ht="12.75" customHeight="1">
      <c r="A1092" s="130"/>
      <c r="B1092" s="130"/>
      <c r="C1092" s="130"/>
      <c r="D1092" s="125"/>
      <c r="E1092" s="130"/>
      <c r="F1092" s="131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  <c r="W1092" s="133"/>
    </row>
    <row r="1093" ht="12.75" customHeight="1">
      <c r="A1093" s="130"/>
      <c r="B1093" s="130"/>
      <c r="C1093" s="130"/>
      <c r="D1093" s="125"/>
      <c r="E1093" s="130"/>
      <c r="F1093" s="131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  <c r="W1093" s="133"/>
    </row>
    <row r="1094" ht="12.75" customHeight="1">
      <c r="A1094" s="130"/>
      <c r="B1094" s="130"/>
      <c r="C1094" s="130"/>
      <c r="D1094" s="125"/>
      <c r="E1094" s="130"/>
      <c r="F1094" s="131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  <c r="W1094" s="133"/>
    </row>
    <row r="1095" ht="12.75" customHeight="1">
      <c r="A1095" s="130"/>
      <c r="B1095" s="130"/>
      <c r="C1095" s="130"/>
      <c r="D1095" s="125"/>
      <c r="E1095" s="130"/>
      <c r="F1095" s="131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  <c r="W1095" s="133"/>
    </row>
    <row r="1096" ht="12.75" customHeight="1">
      <c r="A1096" s="130"/>
      <c r="B1096" s="130"/>
      <c r="C1096" s="130"/>
      <c r="D1096" s="125"/>
      <c r="E1096" s="130"/>
      <c r="F1096" s="131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  <c r="W1096" s="133"/>
    </row>
    <row r="1097" ht="12.75" customHeight="1">
      <c r="A1097" s="130"/>
      <c r="B1097" s="130"/>
      <c r="C1097" s="130"/>
      <c r="D1097" s="125"/>
      <c r="E1097" s="130"/>
      <c r="F1097" s="131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  <c r="W1097" s="133"/>
    </row>
    <row r="1098" ht="12.75" customHeight="1">
      <c r="A1098" s="130"/>
      <c r="B1098" s="130"/>
      <c r="C1098" s="130"/>
      <c r="D1098" s="125"/>
      <c r="E1098" s="130"/>
      <c r="F1098" s="131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  <c r="W1098" s="133"/>
    </row>
    <row r="1099" ht="12.75" customHeight="1">
      <c r="A1099" s="130"/>
      <c r="B1099" s="130"/>
      <c r="C1099" s="130"/>
      <c r="D1099" s="125"/>
      <c r="E1099" s="130"/>
      <c r="F1099" s="131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  <c r="W1099" s="133"/>
    </row>
    <row r="1100" ht="12.75" customHeight="1">
      <c r="A1100" s="130"/>
      <c r="B1100" s="130"/>
      <c r="C1100" s="130"/>
      <c r="D1100" s="125"/>
      <c r="E1100" s="130"/>
      <c r="F1100" s="131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  <c r="W1100" s="133"/>
    </row>
    <row r="1101" ht="12.75" customHeight="1">
      <c r="A1101" s="130"/>
      <c r="B1101" s="130"/>
      <c r="C1101" s="130"/>
      <c r="D1101" s="125"/>
      <c r="E1101" s="130"/>
      <c r="F1101" s="131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  <c r="W1101" s="133"/>
    </row>
    <row r="1102" ht="12.75" customHeight="1">
      <c r="A1102" s="130"/>
      <c r="B1102" s="130"/>
      <c r="C1102" s="130"/>
      <c r="D1102" s="125"/>
      <c r="E1102" s="130"/>
      <c r="F1102" s="131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  <c r="W1102" s="133"/>
    </row>
    <row r="1103" ht="12.75" customHeight="1">
      <c r="A1103" s="130"/>
      <c r="B1103" s="130"/>
      <c r="C1103" s="130"/>
      <c r="D1103" s="125"/>
      <c r="E1103" s="130"/>
      <c r="F1103" s="131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  <c r="W1103" s="133"/>
    </row>
    <row r="1104" ht="12.75" customHeight="1">
      <c r="A1104" s="130"/>
      <c r="B1104" s="130"/>
      <c r="C1104" s="130"/>
      <c r="D1104" s="125"/>
      <c r="E1104" s="130"/>
      <c r="F1104" s="131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  <c r="W1104" s="133"/>
    </row>
    <row r="1105" ht="12.75" customHeight="1">
      <c r="A1105" s="130"/>
      <c r="B1105" s="130"/>
      <c r="C1105" s="130"/>
      <c r="D1105" s="125"/>
      <c r="E1105" s="130"/>
      <c r="F1105" s="131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  <c r="W1105" s="133"/>
    </row>
    <row r="1106" ht="12.75" customHeight="1">
      <c r="A1106" s="130"/>
      <c r="B1106" s="130"/>
      <c r="C1106" s="130"/>
      <c r="D1106" s="125"/>
      <c r="E1106" s="130"/>
      <c r="F1106" s="131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  <c r="W1106" s="133"/>
    </row>
    <row r="1107" ht="12.75" customHeight="1">
      <c r="A1107" s="130"/>
      <c r="B1107" s="130"/>
      <c r="C1107" s="130"/>
      <c r="D1107" s="125"/>
      <c r="E1107" s="130"/>
      <c r="F1107" s="131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  <c r="W1107" s="133"/>
    </row>
    <row r="1108" ht="12.75" customHeight="1">
      <c r="A1108" s="130"/>
      <c r="B1108" s="130"/>
      <c r="C1108" s="130"/>
      <c r="D1108" s="125"/>
      <c r="E1108" s="130"/>
      <c r="F1108" s="131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  <c r="W1108" s="133"/>
    </row>
    <row r="1109" ht="12.75" customHeight="1">
      <c r="A1109" s="130"/>
      <c r="B1109" s="130"/>
      <c r="C1109" s="130"/>
      <c r="D1109" s="125"/>
      <c r="E1109" s="130"/>
      <c r="F1109" s="131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  <c r="W1109" s="133"/>
    </row>
    <row r="1110" ht="12.75" customHeight="1">
      <c r="A1110" s="130"/>
      <c r="B1110" s="130"/>
      <c r="C1110" s="130"/>
      <c r="D1110" s="125"/>
      <c r="E1110" s="130"/>
      <c r="F1110" s="131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  <c r="W1110" s="133"/>
    </row>
    <row r="1111" ht="12.75" customHeight="1">
      <c r="A1111" s="130"/>
      <c r="B1111" s="130"/>
      <c r="C1111" s="130"/>
      <c r="D1111" s="125"/>
      <c r="E1111" s="130"/>
      <c r="F1111" s="131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  <c r="W1111" s="133"/>
    </row>
    <row r="1112" ht="12.75" customHeight="1">
      <c r="A1112" s="130"/>
      <c r="B1112" s="130"/>
      <c r="C1112" s="130"/>
      <c r="D1112" s="125"/>
      <c r="E1112" s="130"/>
      <c r="F1112" s="131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  <c r="W1112" s="133"/>
    </row>
    <row r="1113" ht="12.75" customHeight="1">
      <c r="A1113" s="130"/>
      <c r="B1113" s="130"/>
      <c r="C1113" s="130"/>
      <c r="D1113" s="125"/>
      <c r="E1113" s="130"/>
      <c r="F1113" s="131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  <c r="W1113" s="133"/>
    </row>
    <row r="1114" ht="12.75" customHeight="1">
      <c r="A1114" s="130"/>
      <c r="B1114" s="130"/>
      <c r="C1114" s="130"/>
      <c r="D1114" s="125"/>
      <c r="E1114" s="130"/>
      <c r="F1114" s="131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  <c r="W1114" s="133"/>
    </row>
    <row r="1115" ht="12.75" customHeight="1">
      <c r="A1115" s="130"/>
      <c r="B1115" s="130"/>
      <c r="C1115" s="130"/>
      <c r="D1115" s="125"/>
      <c r="E1115" s="130"/>
      <c r="F1115" s="131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  <c r="W1115" s="133"/>
    </row>
    <row r="1116" ht="12.75" customHeight="1">
      <c r="A1116" s="130"/>
      <c r="B1116" s="130"/>
      <c r="C1116" s="130"/>
      <c r="D1116" s="125"/>
      <c r="E1116" s="130"/>
      <c r="F1116" s="131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  <c r="W1116" s="133"/>
    </row>
    <row r="1117" ht="12.75" customHeight="1">
      <c r="A1117" s="130"/>
      <c r="B1117" s="130"/>
      <c r="C1117" s="130"/>
      <c r="D1117" s="125"/>
      <c r="E1117" s="130"/>
      <c r="F1117" s="131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  <c r="W1117" s="133"/>
    </row>
    <row r="1118" ht="12.75" customHeight="1">
      <c r="A1118" s="130"/>
      <c r="B1118" s="130"/>
      <c r="C1118" s="130"/>
      <c r="D1118" s="125"/>
      <c r="E1118" s="130"/>
      <c r="F1118" s="131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  <c r="W1118" s="133"/>
    </row>
    <row r="1119" ht="12.75" customHeight="1">
      <c r="A1119" s="130"/>
      <c r="B1119" s="130"/>
      <c r="C1119" s="130"/>
      <c r="D1119" s="125"/>
      <c r="E1119" s="130"/>
      <c r="F1119" s="131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  <c r="W1119" s="133"/>
    </row>
    <row r="1120" ht="12.75" customHeight="1">
      <c r="A1120" s="130"/>
      <c r="B1120" s="130"/>
      <c r="C1120" s="130"/>
      <c r="D1120" s="125"/>
      <c r="E1120" s="130"/>
      <c r="F1120" s="131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  <c r="W1120" s="133"/>
    </row>
    <row r="1121" ht="12.75" customHeight="1">
      <c r="A1121" s="130"/>
      <c r="B1121" s="130"/>
      <c r="C1121" s="130"/>
      <c r="D1121" s="125"/>
      <c r="E1121" s="130"/>
      <c r="F1121" s="131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  <c r="W1121" s="133"/>
    </row>
    <row r="1122" ht="12.75" customHeight="1">
      <c r="A1122" s="130"/>
      <c r="B1122" s="130"/>
      <c r="C1122" s="130"/>
      <c r="D1122" s="125"/>
      <c r="E1122" s="130"/>
      <c r="F1122" s="131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  <c r="W1122" s="133"/>
    </row>
    <row r="1123" ht="12.75" customHeight="1">
      <c r="A1123" s="130"/>
      <c r="B1123" s="130"/>
      <c r="C1123" s="130"/>
      <c r="D1123" s="125"/>
      <c r="E1123" s="130"/>
      <c r="F1123" s="131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  <c r="W1123" s="133"/>
    </row>
    <row r="1124" ht="12.75" customHeight="1">
      <c r="A1124" s="130"/>
      <c r="B1124" s="130"/>
      <c r="C1124" s="130"/>
      <c r="D1124" s="125"/>
      <c r="E1124" s="130"/>
      <c r="F1124" s="131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  <c r="W1124" s="133"/>
    </row>
    <row r="1125" ht="12.75" customHeight="1">
      <c r="A1125" s="130"/>
      <c r="B1125" s="130"/>
      <c r="C1125" s="130"/>
      <c r="D1125" s="125"/>
      <c r="E1125" s="130"/>
      <c r="F1125" s="131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  <c r="W1125" s="133"/>
    </row>
    <row r="1126" ht="12.75" customHeight="1">
      <c r="A1126" s="130"/>
      <c r="B1126" s="130"/>
      <c r="C1126" s="130"/>
      <c r="D1126" s="125"/>
      <c r="E1126" s="130"/>
      <c r="F1126" s="131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  <c r="W1126" s="133"/>
    </row>
    <row r="1127" ht="12.75" customHeight="1">
      <c r="A1127" s="130"/>
      <c r="B1127" s="130"/>
      <c r="C1127" s="130"/>
      <c r="D1127" s="125"/>
      <c r="E1127" s="130"/>
      <c r="F1127" s="131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  <c r="W1127" s="133"/>
    </row>
    <row r="1128" ht="12.75" customHeight="1">
      <c r="A1128" s="130"/>
      <c r="B1128" s="130"/>
      <c r="C1128" s="130"/>
      <c r="D1128" s="125"/>
      <c r="E1128" s="130"/>
      <c r="F1128" s="131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  <c r="W1128" s="133"/>
    </row>
    <row r="1129" ht="12.75" customHeight="1">
      <c r="A1129" s="130"/>
      <c r="B1129" s="130"/>
      <c r="C1129" s="130"/>
      <c r="D1129" s="125"/>
      <c r="E1129" s="130"/>
      <c r="F1129" s="131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  <c r="W1129" s="133"/>
    </row>
    <row r="1130" ht="12.75" customHeight="1">
      <c r="A1130" s="130"/>
      <c r="B1130" s="130"/>
      <c r="C1130" s="130"/>
      <c r="D1130" s="125"/>
      <c r="E1130" s="130"/>
      <c r="F1130" s="131"/>
      <c r="G1130" s="132"/>
      <c r="H1130" s="132"/>
      <c r="I1130" s="132"/>
      <c r="J1130" s="132"/>
      <c r="K1130" s="132"/>
      <c r="L1130" s="132"/>
      <c r="M1130" s="132"/>
      <c r="N1130" s="132"/>
      <c r="O1130" s="132"/>
      <c r="P1130" s="132"/>
      <c r="Q1130" s="132"/>
      <c r="R1130" s="132"/>
      <c r="S1130" s="132"/>
      <c r="T1130" s="132"/>
      <c r="U1130" s="133"/>
      <c r="V1130" s="133"/>
      <c r="W1130" s="133"/>
    </row>
    <row r="1131" ht="12.75" customHeight="1">
      <c r="A1131" s="130"/>
      <c r="B1131" s="130"/>
      <c r="C1131" s="130"/>
      <c r="D1131" s="125"/>
      <c r="E1131" s="130"/>
      <c r="F1131" s="131"/>
      <c r="G1131" s="132"/>
      <c r="H1131" s="132"/>
      <c r="I1131" s="132"/>
      <c r="J1131" s="132"/>
      <c r="K1131" s="132"/>
      <c r="L1131" s="132"/>
      <c r="M1131" s="132"/>
      <c r="N1131" s="132"/>
      <c r="O1131" s="132"/>
      <c r="P1131" s="132"/>
      <c r="Q1131" s="132"/>
      <c r="R1131" s="132"/>
      <c r="S1131" s="132"/>
      <c r="T1131" s="132"/>
      <c r="U1131" s="133"/>
      <c r="V1131" s="133"/>
      <c r="W1131" s="133"/>
    </row>
    <row r="1132" ht="12.75" customHeight="1">
      <c r="A1132" s="130"/>
      <c r="B1132" s="130"/>
      <c r="C1132" s="130"/>
      <c r="D1132" s="125"/>
      <c r="E1132" s="130"/>
      <c r="F1132" s="131"/>
      <c r="G1132" s="132"/>
      <c r="H1132" s="132"/>
      <c r="I1132" s="132"/>
      <c r="J1132" s="132"/>
      <c r="K1132" s="132"/>
      <c r="L1132" s="132"/>
      <c r="M1132" s="132"/>
      <c r="N1132" s="132"/>
      <c r="O1132" s="132"/>
      <c r="P1132" s="132"/>
      <c r="Q1132" s="132"/>
      <c r="R1132" s="132"/>
      <c r="S1132" s="132"/>
      <c r="T1132" s="132"/>
      <c r="U1132" s="133"/>
      <c r="V1132" s="133"/>
      <c r="W1132" s="133"/>
    </row>
    <row r="1133" ht="12.75" customHeight="1">
      <c r="A1133" s="130"/>
      <c r="B1133" s="130"/>
      <c r="C1133" s="130"/>
      <c r="D1133" s="125"/>
      <c r="E1133" s="130"/>
      <c r="F1133" s="131"/>
      <c r="G1133" s="132"/>
      <c r="H1133" s="132"/>
      <c r="I1133" s="132"/>
      <c r="J1133" s="132"/>
      <c r="K1133" s="132"/>
      <c r="L1133" s="132"/>
      <c r="M1133" s="132"/>
      <c r="N1133" s="132"/>
      <c r="O1133" s="132"/>
      <c r="P1133" s="132"/>
      <c r="Q1133" s="132"/>
      <c r="R1133" s="132"/>
      <c r="S1133" s="132"/>
      <c r="T1133" s="132"/>
      <c r="U1133" s="133"/>
      <c r="V1133" s="133"/>
      <c r="W1133" s="133"/>
    </row>
    <row r="1134" ht="12.75" customHeight="1">
      <c r="A1134" s="130"/>
      <c r="B1134" s="130"/>
      <c r="C1134" s="130"/>
      <c r="D1134" s="125"/>
      <c r="E1134" s="130"/>
      <c r="F1134" s="131"/>
      <c r="G1134" s="132"/>
      <c r="H1134" s="132"/>
      <c r="I1134" s="132"/>
      <c r="J1134" s="132"/>
      <c r="K1134" s="132"/>
      <c r="L1134" s="132"/>
      <c r="M1134" s="132"/>
      <c r="N1134" s="132"/>
      <c r="O1134" s="132"/>
      <c r="P1134" s="132"/>
      <c r="Q1134" s="132"/>
      <c r="R1134" s="132"/>
      <c r="S1134" s="132"/>
      <c r="T1134" s="132"/>
      <c r="U1134" s="133"/>
      <c r="V1134" s="133"/>
      <c r="W1134" s="133"/>
    </row>
    <row r="1135" ht="12.75" customHeight="1">
      <c r="A1135" s="130"/>
      <c r="B1135" s="130"/>
      <c r="C1135" s="130"/>
      <c r="D1135" s="125"/>
      <c r="E1135" s="130"/>
      <c r="F1135" s="131"/>
      <c r="G1135" s="132"/>
      <c r="H1135" s="132"/>
      <c r="I1135" s="132"/>
      <c r="J1135" s="132"/>
      <c r="K1135" s="132"/>
      <c r="L1135" s="132"/>
      <c r="M1135" s="132"/>
      <c r="N1135" s="132"/>
      <c r="O1135" s="132"/>
      <c r="P1135" s="132"/>
      <c r="Q1135" s="132"/>
      <c r="R1135" s="132"/>
      <c r="S1135" s="132"/>
      <c r="T1135" s="132"/>
      <c r="U1135" s="133"/>
      <c r="V1135" s="133"/>
      <c r="W1135" s="133"/>
    </row>
    <row r="1136" ht="12.75" customHeight="1">
      <c r="A1136" s="130"/>
      <c r="B1136" s="130"/>
      <c r="C1136" s="130"/>
      <c r="D1136" s="125"/>
      <c r="E1136" s="130"/>
      <c r="F1136" s="131"/>
      <c r="G1136" s="132"/>
      <c r="H1136" s="132"/>
      <c r="I1136" s="132"/>
      <c r="J1136" s="132"/>
      <c r="K1136" s="132"/>
      <c r="L1136" s="132"/>
      <c r="M1136" s="132"/>
      <c r="N1136" s="132"/>
      <c r="O1136" s="132"/>
      <c r="P1136" s="132"/>
      <c r="Q1136" s="132"/>
      <c r="R1136" s="132"/>
      <c r="S1136" s="132"/>
      <c r="T1136" s="132"/>
      <c r="U1136" s="133"/>
      <c r="V1136" s="133"/>
      <c r="W1136" s="133"/>
    </row>
    <row r="1137" ht="12.75" customHeight="1">
      <c r="A1137" s="130"/>
      <c r="B1137" s="130"/>
      <c r="C1137" s="130"/>
      <c r="D1137" s="125"/>
      <c r="E1137" s="130"/>
      <c r="F1137" s="131"/>
      <c r="G1137" s="132"/>
      <c r="H1137" s="132"/>
      <c r="I1137" s="132"/>
      <c r="J1137" s="132"/>
      <c r="K1137" s="132"/>
      <c r="L1137" s="132"/>
      <c r="M1137" s="132"/>
      <c r="N1137" s="132"/>
      <c r="O1137" s="132"/>
      <c r="P1137" s="132"/>
      <c r="Q1137" s="132"/>
      <c r="R1137" s="132"/>
      <c r="S1137" s="132"/>
      <c r="T1137" s="132"/>
      <c r="U1137" s="133"/>
      <c r="V1137" s="133"/>
      <c r="W1137" s="133"/>
    </row>
  </sheetData>
  <printOptions/>
  <pageMargins bottom="0.75" footer="0.0" header="0.0" left="0.7" right="0.7" top="0.75"/>
  <pageSetup fitToHeight="0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460</v>
      </c>
      <c r="D2" s="10"/>
      <c r="E2" s="9">
        <f t="shared" ref="E2:R2" si="1">SUM(E5,E14,E17)</f>
        <v>460</v>
      </c>
      <c r="F2" s="9">
        <f t="shared" si="1"/>
        <v>1</v>
      </c>
      <c r="G2" s="9">
        <f t="shared" si="1"/>
        <v>1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1</v>
      </c>
      <c r="O2" s="9">
        <f t="shared" si="1"/>
        <v>1</v>
      </c>
      <c r="P2" s="9">
        <f t="shared" si="1"/>
        <v>1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460</v>
      </c>
      <c r="F4" s="23">
        <f>IFERROR((G2+R2)/F2,0)</f>
        <v>1</v>
      </c>
      <c r="G4" s="23">
        <f>IFERROR(H2/G2,0)</f>
        <v>1</v>
      </c>
      <c r="H4" s="22">
        <f>(C2/C4)</f>
        <v>10.22222222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1</v>
      </c>
      <c r="P4" s="26"/>
      <c r="Q4" s="23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460</v>
      </c>
      <c r="D14" s="31"/>
      <c r="E14" s="53">
        <f>SUMIFS(T:T,A:A,B14,D:D,"Y")</f>
        <v>460</v>
      </c>
      <c r="F14" s="9">
        <f>SUMIF(A:A,B14,G:G)</f>
        <v>1</v>
      </c>
      <c r="G14" s="33">
        <f>SUMIF(A:A,B14,H:H)</f>
        <v>1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1</v>
      </c>
      <c r="O14" s="33">
        <f>SUMIF(A:A,B14,O:O)</f>
        <v>1</v>
      </c>
      <c r="P14" s="33">
        <f>SUMIF(A:A,B14,J:J)</f>
        <v>1</v>
      </c>
      <c r="Q14" s="33">
        <f>SUMIF(A:A,B14,K:K)</f>
        <v>1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460</v>
      </c>
      <c r="F16" s="23">
        <f>IFERROR((G14+R14)/F14,0)</f>
        <v>1</v>
      </c>
      <c r="G16" s="23">
        <f>IFERROR(H14/G14,0)</f>
        <v>1</v>
      </c>
      <c r="H16" s="22">
        <f>(C14/C16)</f>
        <v>76.66666667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</v>
      </c>
      <c r="N16" s="24"/>
      <c r="O16" s="23">
        <f>IFERROR(O14/N14,0)</f>
        <v>1</v>
      </c>
      <c r="P16" s="26"/>
      <c r="Q16" s="23">
        <f>IFERROR(Q14/P14,0)</f>
        <v>1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0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SUMIF(B59:B1137,B23,G59:G1137)</f>
        <v>0</v>
      </c>
      <c r="G23" s="46">
        <f>SUMIF(B59:B1137,B23,H59:H1137)</f>
        <v>0</v>
      </c>
      <c r="H23" s="46">
        <f>SUMIF(B59:B1137,B23,I59:I1137)</f>
        <v>0</v>
      </c>
      <c r="I23" s="46">
        <f>SUMIF(B59:B1137,B23,P59:P1137)</f>
        <v>0</v>
      </c>
      <c r="J23" s="46">
        <f>SUMIF(B59:B1137,B23,Q59:Q1137)</f>
        <v>0</v>
      </c>
      <c r="K23" s="46">
        <f>SUMIF(B59:B1137,B23,R59:R1137)</f>
        <v>0</v>
      </c>
      <c r="L23" s="46">
        <f>SUMIF(B59:B1137,B23,S59:S1137)</f>
        <v>0</v>
      </c>
      <c r="M23" s="46">
        <f>SUMIF(B59:B1137,B23,M59:M1137)</f>
        <v>0</v>
      </c>
      <c r="N23" s="46">
        <f>SUMIF(B59:B1137,B23,N59:N1137)</f>
        <v>0</v>
      </c>
      <c r="O23" s="46">
        <f>SUMIF(B59:B1137,B23,O59:O1137)</f>
        <v>0</v>
      </c>
      <c r="P23" s="46">
        <f>SUMIF(B59:B1137,B23,J59:J1137)</f>
        <v>0</v>
      </c>
      <c r="Q23" s="46">
        <f>SUMIF(B59:B1137,B23,K59:K1137)</f>
        <v>0</v>
      </c>
      <c r="R23" s="50">
        <f>SUMIF(B59:B1137,B23,L59:L1137)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SUMIF(B62:B1137,B26,G62:G1137)</f>
        <v>0</v>
      </c>
      <c r="G26" s="46">
        <f>SUMIF(B62:B1137,B26,H62:H1137)</f>
        <v>0</v>
      </c>
      <c r="H26" s="46">
        <f>SUMIF(B62:B1137,B26,I62:I1137)</f>
        <v>0</v>
      </c>
      <c r="I26" s="46">
        <f>SUMIF(B62:B1137,B26,P62:P1137)</f>
        <v>0</v>
      </c>
      <c r="J26" s="46">
        <f>SUMIF(B62:B1137,B26,Q62:Q1137)</f>
        <v>0</v>
      </c>
      <c r="K26" s="46">
        <f>SUMIF(B62:B1137,B26,R62:R1137)</f>
        <v>0</v>
      </c>
      <c r="L26" s="46">
        <f>SUMIF(B62:B1137,B26,S62:S1137)</f>
        <v>0</v>
      </c>
      <c r="M26" s="46">
        <f>SUMIF(B62:B1137,B26,M62:M1137)</f>
        <v>0</v>
      </c>
      <c r="N26" s="46">
        <f>SUMIF(B62:B1137,B26,N62:N1137)</f>
        <v>0</v>
      </c>
      <c r="O26" s="46">
        <f>SUMIF(B62:B1137,B26,O62:O1137)</f>
        <v>0</v>
      </c>
      <c r="P26" s="46">
        <f>SUMIF(B62:B1137,B26,J62:J1137)</f>
        <v>0</v>
      </c>
      <c r="Q26" s="46">
        <f>SUMIF(B62:B1137,B26,K62:K1137)</f>
        <v>0</v>
      </c>
      <c r="R26" s="50">
        <f>SUMIF(B62:B1137,B26,L62:L1137)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60" si="5">IFERROR(I55/H55,0)</f>
        <v>0</v>
      </c>
      <c r="V55" s="72">
        <f t="shared" ref="V55:V60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74" t="s">
        <v>29</v>
      </c>
      <c r="B58" s="75"/>
      <c r="C58" s="75"/>
      <c r="D58" s="76"/>
      <c r="E58" s="76"/>
      <c r="F58" s="78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99" t="s">
        <v>29</v>
      </c>
      <c r="B59" s="90"/>
      <c r="C59" s="100" t="s">
        <v>72</v>
      </c>
      <c r="D59" s="101" t="s">
        <v>51</v>
      </c>
      <c r="E59" s="90"/>
      <c r="F59" s="100" t="s">
        <v>72</v>
      </c>
      <c r="G59" s="128">
        <v>1.0</v>
      </c>
      <c r="H59" s="128">
        <v>1.0</v>
      </c>
      <c r="I59" s="128">
        <v>1.0</v>
      </c>
      <c r="J59" s="128">
        <v>1.0</v>
      </c>
      <c r="K59" s="128">
        <v>1.0</v>
      </c>
      <c r="L59" s="128">
        <v>0.0</v>
      </c>
      <c r="M59" s="128">
        <v>0.0</v>
      </c>
      <c r="N59" s="128">
        <v>1.0</v>
      </c>
      <c r="O59" s="128">
        <v>1.0</v>
      </c>
      <c r="P59" s="128">
        <v>0.0</v>
      </c>
      <c r="Q59" s="128">
        <v>0.0</v>
      </c>
      <c r="R59" s="128">
        <v>0.0</v>
      </c>
      <c r="S59" s="128">
        <v>0.0</v>
      </c>
      <c r="T59" s="128">
        <v>460.0</v>
      </c>
      <c r="U59" s="72">
        <f t="shared" si="5"/>
        <v>1</v>
      </c>
      <c r="V59" s="72">
        <f t="shared" si="6"/>
        <v>1</v>
      </c>
      <c r="W59" s="73"/>
    </row>
    <row r="60" ht="20.25" customHeight="1">
      <c r="A60" s="87" t="s">
        <v>29</v>
      </c>
      <c r="B60" s="88"/>
      <c r="C60" s="88" t="s">
        <v>72</v>
      </c>
      <c r="D60" s="90"/>
      <c r="E60" s="90"/>
      <c r="F60" s="91" t="s">
        <v>73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si="5"/>
        <v>0</v>
      </c>
      <c r="V60" s="72">
        <f t="shared" si="6"/>
        <v>0</v>
      </c>
      <c r="W60" s="73"/>
    </row>
    <row r="61" ht="20.25" customHeight="1">
      <c r="A61" s="62" t="s">
        <v>35</v>
      </c>
      <c r="B61" s="63" t="s">
        <v>36</v>
      </c>
      <c r="C61" s="63" t="s">
        <v>37</v>
      </c>
      <c r="D61" s="64"/>
      <c r="E61" s="63" t="s">
        <v>38</v>
      </c>
      <c r="F61" s="63" t="s">
        <v>39</v>
      </c>
      <c r="G61" s="65" t="s">
        <v>40</v>
      </c>
      <c r="H61" s="65" t="s">
        <v>41</v>
      </c>
      <c r="I61" s="65" t="s">
        <v>42</v>
      </c>
      <c r="J61" s="65" t="s">
        <v>12</v>
      </c>
      <c r="K61" s="65" t="s">
        <v>43</v>
      </c>
      <c r="L61" s="65" t="s">
        <v>14</v>
      </c>
      <c r="M61" s="65" t="s">
        <v>9</v>
      </c>
      <c r="N61" s="65" t="s">
        <v>10</v>
      </c>
      <c r="O61" s="65" t="s">
        <v>44</v>
      </c>
      <c r="P61" s="65" t="s">
        <v>5</v>
      </c>
      <c r="Q61" s="65" t="s">
        <v>45</v>
      </c>
      <c r="R61" s="65" t="s">
        <v>46</v>
      </c>
      <c r="S61" s="65" t="s">
        <v>47</v>
      </c>
      <c r="T61" s="65" t="s">
        <v>0</v>
      </c>
      <c r="U61" s="63" t="s">
        <v>48</v>
      </c>
      <c r="V61" s="63" t="s">
        <v>49</v>
      </c>
      <c r="W61" s="98"/>
    </row>
    <row r="62" ht="12.75" customHeight="1">
      <c r="A62" s="102" t="s">
        <v>30</v>
      </c>
      <c r="B62" s="60"/>
      <c r="C62" s="60"/>
      <c r="D62" s="103" t="s">
        <v>51</v>
      </c>
      <c r="E62" s="60"/>
      <c r="F62" s="102" t="s">
        <v>30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ref="U62:U80" si="7">IFERROR(I62/H62,0)</f>
        <v>0</v>
      </c>
      <c r="V62" s="72">
        <f t="shared" ref="V62:V80" si="8">IFERROR(SUM(H62+L62)/G62,0)</f>
        <v>0</v>
      </c>
      <c r="W62" s="73"/>
    </row>
    <row r="63" ht="12.75" customHeight="1">
      <c r="A63" s="104" t="s">
        <v>30</v>
      </c>
      <c r="B63" s="60"/>
      <c r="C63" s="60"/>
      <c r="D63" s="59"/>
      <c r="E63" s="76"/>
      <c r="F63" s="104" t="s">
        <v>74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5" t="s">
        <v>30</v>
      </c>
      <c r="B64" s="105" t="s">
        <v>31</v>
      </c>
      <c r="C64" s="106"/>
      <c r="D64" s="107" t="s">
        <v>51</v>
      </c>
      <c r="E64" s="96"/>
      <c r="F64" s="105" t="s">
        <v>31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8" t="s">
        <v>31</v>
      </c>
      <c r="C65" s="108"/>
      <c r="D65" s="109"/>
      <c r="E65" s="70"/>
      <c r="F65" s="110" t="s">
        <v>75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04" t="s">
        <v>30</v>
      </c>
      <c r="B66" s="104" t="s">
        <v>31</v>
      </c>
      <c r="C66" s="104"/>
      <c r="D66" s="60"/>
      <c r="E66" s="76"/>
      <c r="F66" s="104" t="s">
        <v>76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32</v>
      </c>
      <c r="C67" s="105"/>
      <c r="D67" s="107" t="s">
        <v>51</v>
      </c>
      <c r="E67" s="82"/>
      <c r="F67" s="105" t="s">
        <v>32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8" t="s">
        <v>30</v>
      </c>
      <c r="B69" s="108" t="s">
        <v>32</v>
      </c>
      <c r="C69" s="108"/>
      <c r="D69" s="59"/>
      <c r="E69" s="76"/>
      <c r="F69" s="111" t="s">
        <v>78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5" t="s">
        <v>30</v>
      </c>
      <c r="B70" s="105" t="s">
        <v>33</v>
      </c>
      <c r="C70" s="105"/>
      <c r="D70" s="107" t="s">
        <v>51</v>
      </c>
      <c r="E70" s="82"/>
      <c r="F70" s="105" t="s">
        <v>33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04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04" t="s">
        <v>30</v>
      </c>
      <c r="B75" s="104" t="s">
        <v>33</v>
      </c>
      <c r="C75" s="104"/>
      <c r="D75" s="60"/>
      <c r="E75" s="76"/>
      <c r="F75" s="111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2" t="s">
        <v>30</v>
      </c>
      <c r="B76" s="113" t="s">
        <v>33</v>
      </c>
      <c r="C76" s="113" t="s">
        <v>84</v>
      </c>
      <c r="D76" s="114" t="s">
        <v>51</v>
      </c>
      <c r="E76" s="115"/>
      <c r="F76" s="113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84</v>
      </c>
      <c r="D77" s="118"/>
      <c r="E77" s="90"/>
      <c r="F77" s="117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84</v>
      </c>
      <c r="D78" s="119"/>
      <c r="E78" s="90"/>
      <c r="F78" s="117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84</v>
      </c>
      <c r="D79" s="119"/>
      <c r="E79" s="90"/>
      <c r="F79" s="117" t="s">
        <v>87</v>
      </c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>
        <f t="shared" si="7"/>
        <v>0</v>
      </c>
      <c r="V79" s="72">
        <f t="shared" si="8"/>
        <v>0</v>
      </c>
      <c r="W79" s="73"/>
    </row>
    <row r="80" ht="12.75" customHeight="1">
      <c r="A80" s="116" t="s">
        <v>30</v>
      </c>
      <c r="B80" s="117" t="s">
        <v>33</v>
      </c>
      <c r="C80" s="117" t="s">
        <v>84</v>
      </c>
      <c r="D80" s="119"/>
      <c r="E80" s="90"/>
      <c r="F80" s="117" t="s">
        <v>88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 t="shared" si="7"/>
        <v>0</v>
      </c>
      <c r="V80" s="72">
        <f t="shared" si="8"/>
        <v>0</v>
      </c>
      <c r="W80" s="73"/>
    </row>
    <row r="81" ht="20.25" customHeight="1">
      <c r="A81" s="62" t="s">
        <v>35</v>
      </c>
      <c r="B81" s="63" t="s">
        <v>36</v>
      </c>
      <c r="C81" s="63" t="s">
        <v>37</v>
      </c>
      <c r="D81" s="64"/>
      <c r="E81" s="63" t="s">
        <v>38</v>
      </c>
      <c r="F81" s="63" t="s">
        <v>39</v>
      </c>
      <c r="G81" s="65" t="s">
        <v>40</v>
      </c>
      <c r="H81" s="65" t="s">
        <v>41</v>
      </c>
      <c r="I81" s="65" t="s">
        <v>42</v>
      </c>
      <c r="J81" s="65" t="s">
        <v>12</v>
      </c>
      <c r="K81" s="65" t="s">
        <v>43</v>
      </c>
      <c r="L81" s="65" t="s">
        <v>14</v>
      </c>
      <c r="M81" s="65" t="s">
        <v>9</v>
      </c>
      <c r="N81" s="65" t="s">
        <v>10</v>
      </c>
      <c r="O81" s="65" t="s">
        <v>44</v>
      </c>
      <c r="P81" s="65" t="s">
        <v>5</v>
      </c>
      <c r="Q81" s="65" t="s">
        <v>45</v>
      </c>
      <c r="R81" s="65" t="s">
        <v>46</v>
      </c>
      <c r="S81" s="65" t="s">
        <v>47</v>
      </c>
      <c r="T81" s="65" t="s">
        <v>0</v>
      </c>
      <c r="U81" s="63" t="s">
        <v>48</v>
      </c>
      <c r="V81" s="63" t="s">
        <v>49</v>
      </c>
      <c r="W81" s="98"/>
    </row>
    <row r="82" ht="12.75" customHeight="1">
      <c r="A82" s="102" t="s">
        <v>34</v>
      </c>
      <c r="B82" s="102"/>
      <c r="C82" s="102"/>
      <c r="D82" s="120" t="s">
        <v>51</v>
      </c>
      <c r="E82" s="76"/>
      <c r="F82" s="102" t="s">
        <v>34</v>
      </c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>
        <f>IFERROR(I82/H82,0)</f>
        <v>0</v>
      </c>
      <c r="V82" s="72">
        <f>IFERROR(SUM(H82+L82)/G82,0)</f>
        <v>0</v>
      </c>
      <c r="W82" s="7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1"/>
      <c r="B600" s="121"/>
      <c r="C600" s="121"/>
      <c r="D600" s="1"/>
      <c r="E600" s="121"/>
      <c r="F600" s="11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3"/>
      <c r="V600" s="123"/>
      <c r="W600" s="12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30"/>
      <c r="B1074" s="130"/>
      <c r="C1074" s="130"/>
      <c r="D1074" s="125"/>
      <c r="E1074" s="130"/>
      <c r="F1074" s="131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  <c r="W1074" s="133"/>
    </row>
    <row r="1075" ht="12.75" customHeight="1">
      <c r="A1075" s="130"/>
      <c r="B1075" s="130"/>
      <c r="C1075" s="130"/>
      <c r="D1075" s="125"/>
      <c r="E1075" s="130"/>
      <c r="F1075" s="131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  <c r="W1075" s="133"/>
    </row>
    <row r="1076" ht="12.75" customHeight="1">
      <c r="A1076" s="130"/>
      <c r="B1076" s="130"/>
      <c r="C1076" s="130"/>
      <c r="D1076" s="125"/>
      <c r="E1076" s="130"/>
      <c r="F1076" s="131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  <c r="W1076" s="133"/>
    </row>
    <row r="1077" ht="12.75" customHeight="1">
      <c r="A1077" s="130"/>
      <c r="B1077" s="130"/>
      <c r="C1077" s="130"/>
      <c r="D1077" s="125"/>
      <c r="E1077" s="130"/>
      <c r="F1077" s="131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  <c r="W1077" s="133"/>
    </row>
    <row r="1078" ht="12.75" customHeight="1">
      <c r="A1078" s="130"/>
      <c r="B1078" s="130"/>
      <c r="C1078" s="130"/>
      <c r="D1078" s="125"/>
      <c r="E1078" s="130"/>
      <c r="F1078" s="131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  <c r="W1078" s="133"/>
    </row>
    <row r="1079" ht="12.75" customHeight="1">
      <c r="A1079" s="130"/>
      <c r="B1079" s="130"/>
      <c r="C1079" s="130"/>
      <c r="D1079" s="125"/>
      <c r="E1079" s="130"/>
      <c r="F1079" s="131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  <c r="W1079" s="133"/>
    </row>
    <row r="1080" ht="12.75" customHeight="1">
      <c r="A1080" s="130"/>
      <c r="B1080" s="130"/>
      <c r="C1080" s="130"/>
      <c r="D1080" s="125"/>
      <c r="E1080" s="130"/>
      <c r="F1080" s="131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  <c r="W1080" s="133"/>
    </row>
    <row r="1081" ht="12.75" customHeight="1">
      <c r="A1081" s="130"/>
      <c r="B1081" s="130"/>
      <c r="C1081" s="130"/>
      <c r="D1081" s="125"/>
      <c r="E1081" s="130"/>
      <c r="F1081" s="131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  <c r="W1081" s="133"/>
    </row>
    <row r="1082" ht="12.75" customHeight="1">
      <c r="A1082" s="130"/>
      <c r="B1082" s="130"/>
      <c r="C1082" s="130"/>
      <c r="D1082" s="125"/>
      <c r="E1082" s="130"/>
      <c r="F1082" s="131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  <c r="W1082" s="133"/>
    </row>
    <row r="1083" ht="12.75" customHeight="1">
      <c r="A1083" s="130"/>
      <c r="B1083" s="130"/>
      <c r="C1083" s="130"/>
      <c r="D1083" s="125"/>
      <c r="E1083" s="130"/>
      <c r="F1083" s="131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  <c r="W1083" s="133"/>
    </row>
    <row r="1084" ht="12.75" customHeight="1">
      <c r="A1084" s="130"/>
      <c r="B1084" s="130"/>
      <c r="C1084" s="130"/>
      <c r="D1084" s="125"/>
      <c r="E1084" s="130"/>
      <c r="F1084" s="131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  <c r="W1084" s="133"/>
    </row>
    <row r="1085" ht="12.75" customHeight="1">
      <c r="A1085" s="130"/>
      <c r="B1085" s="130"/>
      <c r="C1085" s="130"/>
      <c r="D1085" s="125"/>
      <c r="E1085" s="130"/>
      <c r="F1085" s="131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  <c r="W1085" s="133"/>
    </row>
    <row r="1086" ht="12.75" customHeight="1">
      <c r="A1086" s="130"/>
      <c r="B1086" s="130"/>
      <c r="C1086" s="130"/>
      <c r="D1086" s="125"/>
      <c r="E1086" s="130"/>
      <c r="F1086" s="131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  <c r="W1086" s="133"/>
    </row>
    <row r="1087" ht="12.75" customHeight="1">
      <c r="A1087" s="130"/>
      <c r="B1087" s="130"/>
      <c r="C1087" s="130"/>
      <c r="D1087" s="125"/>
      <c r="E1087" s="130"/>
      <c r="F1087" s="131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  <c r="W1087" s="133"/>
    </row>
    <row r="1088" ht="12.75" customHeight="1">
      <c r="A1088" s="130"/>
      <c r="B1088" s="130"/>
      <c r="C1088" s="130"/>
      <c r="D1088" s="125"/>
      <c r="E1088" s="130"/>
      <c r="F1088" s="131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  <c r="W1088" s="133"/>
    </row>
    <row r="1089" ht="12.75" customHeight="1">
      <c r="A1089" s="130"/>
      <c r="B1089" s="130"/>
      <c r="C1089" s="130"/>
      <c r="D1089" s="125"/>
      <c r="E1089" s="130"/>
      <c r="F1089" s="131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  <c r="W1089" s="133"/>
    </row>
    <row r="1090" ht="12.75" customHeight="1">
      <c r="A1090" s="130"/>
      <c r="B1090" s="130"/>
      <c r="C1090" s="130"/>
      <c r="D1090" s="125"/>
      <c r="E1090" s="130"/>
      <c r="F1090" s="131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  <c r="W1090" s="133"/>
    </row>
    <row r="1091" ht="12.75" customHeight="1">
      <c r="A1091" s="130"/>
      <c r="B1091" s="130"/>
      <c r="C1091" s="130"/>
      <c r="D1091" s="125"/>
      <c r="E1091" s="130"/>
      <c r="F1091" s="131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  <c r="W1091" s="133"/>
    </row>
    <row r="1092" ht="12.75" customHeight="1">
      <c r="A1092" s="130"/>
      <c r="B1092" s="130"/>
      <c r="C1092" s="130"/>
      <c r="D1092" s="125"/>
      <c r="E1092" s="130"/>
      <c r="F1092" s="131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  <c r="W1092" s="133"/>
    </row>
    <row r="1093" ht="12.75" customHeight="1">
      <c r="A1093" s="130"/>
      <c r="B1093" s="130"/>
      <c r="C1093" s="130"/>
      <c r="D1093" s="125"/>
      <c r="E1093" s="130"/>
      <c r="F1093" s="131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  <c r="W1093" s="133"/>
    </row>
    <row r="1094" ht="12.75" customHeight="1">
      <c r="A1094" s="130"/>
      <c r="B1094" s="130"/>
      <c r="C1094" s="130"/>
      <c r="D1094" s="125"/>
      <c r="E1094" s="130"/>
      <c r="F1094" s="131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  <c r="W1094" s="133"/>
    </row>
    <row r="1095" ht="12.75" customHeight="1">
      <c r="A1095" s="130"/>
      <c r="B1095" s="130"/>
      <c r="C1095" s="130"/>
      <c r="D1095" s="125"/>
      <c r="E1095" s="130"/>
      <c r="F1095" s="131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  <c r="W1095" s="133"/>
    </row>
    <row r="1096" ht="12.75" customHeight="1">
      <c r="A1096" s="130"/>
      <c r="B1096" s="130"/>
      <c r="C1096" s="130"/>
      <c r="D1096" s="125"/>
      <c r="E1096" s="130"/>
      <c r="F1096" s="131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  <c r="W1096" s="133"/>
    </row>
    <row r="1097" ht="12.75" customHeight="1">
      <c r="A1097" s="130"/>
      <c r="B1097" s="130"/>
      <c r="C1097" s="130"/>
      <c r="D1097" s="125"/>
      <c r="E1097" s="130"/>
      <c r="F1097" s="131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  <c r="W1097" s="133"/>
    </row>
    <row r="1098" ht="12.75" customHeight="1">
      <c r="A1098" s="130"/>
      <c r="B1098" s="130"/>
      <c r="C1098" s="130"/>
      <c r="D1098" s="125"/>
      <c r="E1098" s="130"/>
      <c r="F1098" s="131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  <c r="W1098" s="133"/>
    </row>
    <row r="1099" ht="12.75" customHeight="1">
      <c r="A1099" s="130"/>
      <c r="B1099" s="130"/>
      <c r="C1099" s="130"/>
      <c r="D1099" s="125"/>
      <c r="E1099" s="130"/>
      <c r="F1099" s="131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  <c r="W1099" s="133"/>
    </row>
    <row r="1100" ht="12.75" customHeight="1">
      <c r="A1100" s="130"/>
      <c r="B1100" s="130"/>
      <c r="C1100" s="130"/>
      <c r="D1100" s="125"/>
      <c r="E1100" s="130"/>
      <c r="F1100" s="131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  <c r="W1100" s="133"/>
    </row>
    <row r="1101" ht="12.75" customHeight="1">
      <c r="A1101" s="130"/>
      <c r="B1101" s="130"/>
      <c r="C1101" s="130"/>
      <c r="D1101" s="125"/>
      <c r="E1101" s="130"/>
      <c r="F1101" s="131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  <c r="W1101" s="133"/>
    </row>
    <row r="1102" ht="12.75" customHeight="1">
      <c r="A1102" s="130"/>
      <c r="B1102" s="130"/>
      <c r="C1102" s="130"/>
      <c r="D1102" s="125"/>
      <c r="E1102" s="130"/>
      <c r="F1102" s="131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  <c r="W1102" s="133"/>
    </row>
    <row r="1103" ht="12.75" customHeight="1">
      <c r="A1103" s="130"/>
      <c r="B1103" s="130"/>
      <c r="C1103" s="130"/>
      <c r="D1103" s="125"/>
      <c r="E1103" s="130"/>
      <c r="F1103" s="131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  <c r="W1103" s="133"/>
    </row>
    <row r="1104" ht="12.75" customHeight="1">
      <c r="A1104" s="130"/>
      <c r="B1104" s="130"/>
      <c r="C1104" s="130"/>
      <c r="D1104" s="125"/>
      <c r="E1104" s="130"/>
      <c r="F1104" s="131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  <c r="W1104" s="133"/>
    </row>
    <row r="1105" ht="12.75" customHeight="1">
      <c r="A1105" s="130"/>
      <c r="B1105" s="130"/>
      <c r="C1105" s="130"/>
      <c r="D1105" s="125"/>
      <c r="E1105" s="130"/>
      <c r="F1105" s="131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  <c r="W1105" s="133"/>
    </row>
    <row r="1106" ht="12.75" customHeight="1">
      <c r="A1106" s="130"/>
      <c r="B1106" s="130"/>
      <c r="C1106" s="130"/>
      <c r="D1106" s="125"/>
      <c r="E1106" s="130"/>
      <c r="F1106" s="131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  <c r="W1106" s="133"/>
    </row>
    <row r="1107" ht="12.75" customHeight="1">
      <c r="A1107" s="130"/>
      <c r="B1107" s="130"/>
      <c r="C1107" s="130"/>
      <c r="D1107" s="125"/>
      <c r="E1107" s="130"/>
      <c r="F1107" s="131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  <c r="W1107" s="133"/>
    </row>
    <row r="1108" ht="12.75" customHeight="1">
      <c r="A1108" s="130"/>
      <c r="B1108" s="130"/>
      <c r="C1108" s="130"/>
      <c r="D1108" s="125"/>
      <c r="E1108" s="130"/>
      <c r="F1108" s="131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  <c r="W1108" s="133"/>
    </row>
    <row r="1109" ht="12.75" customHeight="1">
      <c r="A1109" s="130"/>
      <c r="B1109" s="130"/>
      <c r="C1109" s="130"/>
      <c r="D1109" s="125"/>
      <c r="E1109" s="130"/>
      <c r="F1109" s="131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  <c r="W1109" s="133"/>
    </row>
    <row r="1110" ht="12.75" customHeight="1">
      <c r="A1110" s="130"/>
      <c r="B1110" s="130"/>
      <c r="C1110" s="130"/>
      <c r="D1110" s="125"/>
      <c r="E1110" s="130"/>
      <c r="F1110" s="131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  <c r="W1110" s="133"/>
    </row>
    <row r="1111" ht="12.75" customHeight="1">
      <c r="A1111" s="130"/>
      <c r="B1111" s="130"/>
      <c r="C1111" s="130"/>
      <c r="D1111" s="125"/>
      <c r="E1111" s="130"/>
      <c r="F1111" s="131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  <c r="W1111" s="133"/>
    </row>
    <row r="1112" ht="12.75" customHeight="1">
      <c r="A1112" s="130"/>
      <c r="B1112" s="130"/>
      <c r="C1112" s="130"/>
      <c r="D1112" s="125"/>
      <c r="E1112" s="130"/>
      <c r="F1112" s="131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  <c r="W1112" s="133"/>
    </row>
    <row r="1113" ht="12.75" customHeight="1">
      <c r="A1113" s="130"/>
      <c r="B1113" s="130"/>
      <c r="C1113" s="130"/>
      <c r="D1113" s="125"/>
      <c r="E1113" s="130"/>
      <c r="F1113" s="131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  <c r="W1113" s="133"/>
    </row>
    <row r="1114" ht="12.75" customHeight="1">
      <c r="A1114" s="130"/>
      <c r="B1114" s="130"/>
      <c r="C1114" s="130"/>
      <c r="D1114" s="125"/>
      <c r="E1114" s="130"/>
      <c r="F1114" s="131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  <c r="W1114" s="133"/>
    </row>
    <row r="1115" ht="12.75" customHeight="1">
      <c r="A1115" s="130"/>
      <c r="B1115" s="130"/>
      <c r="C1115" s="130"/>
      <c r="D1115" s="125"/>
      <c r="E1115" s="130"/>
      <c r="F1115" s="131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  <c r="W1115" s="133"/>
    </row>
    <row r="1116" ht="12.75" customHeight="1">
      <c r="A1116" s="130"/>
      <c r="B1116" s="130"/>
      <c r="C1116" s="130"/>
      <c r="D1116" s="125"/>
      <c r="E1116" s="130"/>
      <c r="F1116" s="131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  <c r="W1116" s="133"/>
    </row>
    <row r="1117" ht="12.75" customHeight="1">
      <c r="A1117" s="130"/>
      <c r="B1117" s="130"/>
      <c r="C1117" s="130"/>
      <c r="D1117" s="125"/>
      <c r="E1117" s="130"/>
      <c r="F1117" s="131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  <c r="W1117" s="133"/>
    </row>
    <row r="1118" ht="12.75" customHeight="1">
      <c r="A1118" s="130"/>
      <c r="B1118" s="130"/>
      <c r="C1118" s="130"/>
      <c r="D1118" s="125"/>
      <c r="E1118" s="130"/>
      <c r="F1118" s="131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  <c r="W1118" s="133"/>
    </row>
    <row r="1119" ht="12.75" customHeight="1">
      <c r="A1119" s="130"/>
      <c r="B1119" s="130"/>
      <c r="C1119" s="130"/>
      <c r="D1119" s="125"/>
      <c r="E1119" s="130"/>
      <c r="F1119" s="131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  <c r="W1119" s="133"/>
    </row>
    <row r="1120" ht="12.75" customHeight="1">
      <c r="A1120" s="130"/>
      <c r="B1120" s="130"/>
      <c r="C1120" s="130"/>
      <c r="D1120" s="125"/>
      <c r="E1120" s="130"/>
      <c r="F1120" s="131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  <c r="W1120" s="133"/>
    </row>
    <row r="1121" ht="12.75" customHeight="1">
      <c r="A1121" s="130"/>
      <c r="B1121" s="130"/>
      <c r="C1121" s="130"/>
      <c r="D1121" s="125"/>
      <c r="E1121" s="130"/>
      <c r="F1121" s="131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  <c r="W1121" s="133"/>
    </row>
    <row r="1122" ht="12.75" customHeight="1">
      <c r="A1122" s="130"/>
      <c r="B1122" s="130"/>
      <c r="C1122" s="130"/>
      <c r="D1122" s="125"/>
      <c r="E1122" s="130"/>
      <c r="F1122" s="131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  <c r="W1122" s="133"/>
    </row>
    <row r="1123" ht="12.75" customHeight="1">
      <c r="A1123" s="130"/>
      <c r="B1123" s="130"/>
      <c r="C1123" s="130"/>
      <c r="D1123" s="125"/>
      <c r="E1123" s="130"/>
      <c r="F1123" s="131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  <c r="W1123" s="133"/>
    </row>
    <row r="1124" ht="12.75" customHeight="1">
      <c r="A1124" s="130"/>
      <c r="B1124" s="130"/>
      <c r="C1124" s="130"/>
      <c r="D1124" s="125"/>
      <c r="E1124" s="130"/>
      <c r="F1124" s="131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  <c r="W1124" s="133"/>
    </row>
    <row r="1125" ht="12.75" customHeight="1">
      <c r="A1125" s="130"/>
      <c r="B1125" s="130"/>
      <c r="C1125" s="130"/>
      <c r="D1125" s="125"/>
      <c r="E1125" s="130"/>
      <c r="F1125" s="131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  <c r="W1125" s="133"/>
    </row>
    <row r="1126" ht="12.75" customHeight="1">
      <c r="A1126" s="130"/>
      <c r="B1126" s="130"/>
      <c r="C1126" s="130"/>
      <c r="D1126" s="125"/>
      <c r="E1126" s="130"/>
      <c r="F1126" s="131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  <c r="W1126" s="133"/>
    </row>
    <row r="1127" ht="12.75" customHeight="1">
      <c r="A1127" s="130"/>
      <c r="B1127" s="130"/>
      <c r="C1127" s="130"/>
      <c r="D1127" s="125"/>
      <c r="E1127" s="130"/>
      <c r="F1127" s="131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  <c r="W1127" s="133"/>
    </row>
    <row r="1128" ht="12.75" customHeight="1">
      <c r="A1128" s="130"/>
      <c r="B1128" s="130"/>
      <c r="C1128" s="130"/>
      <c r="D1128" s="125"/>
      <c r="E1128" s="130"/>
      <c r="F1128" s="131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  <c r="W1128" s="133"/>
    </row>
    <row r="1129" ht="12.75" customHeight="1">
      <c r="A1129" s="130"/>
      <c r="B1129" s="130"/>
      <c r="C1129" s="130"/>
      <c r="D1129" s="125"/>
      <c r="E1129" s="130"/>
      <c r="F1129" s="131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  <c r="W1129" s="133"/>
    </row>
    <row r="1130" ht="12.75" customHeight="1">
      <c r="A1130" s="130"/>
      <c r="B1130" s="130"/>
      <c r="C1130" s="130"/>
      <c r="D1130" s="125"/>
      <c r="E1130" s="130"/>
      <c r="F1130" s="131"/>
      <c r="G1130" s="132"/>
      <c r="H1130" s="132"/>
      <c r="I1130" s="132"/>
      <c r="J1130" s="132"/>
      <c r="K1130" s="132"/>
      <c r="L1130" s="132"/>
      <c r="M1130" s="132"/>
      <c r="N1130" s="132"/>
      <c r="O1130" s="132"/>
      <c r="P1130" s="132"/>
      <c r="Q1130" s="132"/>
      <c r="R1130" s="132"/>
      <c r="S1130" s="132"/>
      <c r="T1130" s="132"/>
      <c r="U1130" s="133"/>
      <c r="V1130" s="133"/>
      <c r="W1130" s="133"/>
    </row>
    <row r="1131" ht="12.75" customHeight="1">
      <c r="A1131" s="130"/>
      <c r="B1131" s="130"/>
      <c r="C1131" s="130"/>
      <c r="D1131" s="125"/>
      <c r="E1131" s="130"/>
      <c r="F1131" s="131"/>
      <c r="G1131" s="132"/>
      <c r="H1131" s="132"/>
      <c r="I1131" s="132"/>
      <c r="J1131" s="132"/>
      <c r="K1131" s="132"/>
      <c r="L1131" s="132"/>
      <c r="M1131" s="132"/>
      <c r="N1131" s="132"/>
      <c r="O1131" s="132"/>
      <c r="P1131" s="132"/>
      <c r="Q1131" s="132"/>
      <c r="R1131" s="132"/>
      <c r="S1131" s="132"/>
      <c r="T1131" s="132"/>
      <c r="U1131" s="133"/>
      <c r="V1131" s="133"/>
      <c r="W1131" s="133"/>
    </row>
    <row r="1132" ht="12.75" customHeight="1">
      <c r="A1132" s="130"/>
      <c r="B1132" s="130"/>
      <c r="C1132" s="130"/>
      <c r="D1132" s="125"/>
      <c r="E1132" s="130"/>
      <c r="F1132" s="131"/>
      <c r="G1132" s="132"/>
      <c r="H1132" s="132"/>
      <c r="I1132" s="132"/>
      <c r="J1132" s="132"/>
      <c r="K1132" s="132"/>
      <c r="L1132" s="132"/>
      <c r="M1132" s="132"/>
      <c r="N1132" s="132"/>
      <c r="O1132" s="132"/>
      <c r="P1132" s="132"/>
      <c r="Q1132" s="132"/>
      <c r="R1132" s="132"/>
      <c r="S1132" s="132"/>
      <c r="T1132" s="132"/>
      <c r="U1132" s="133"/>
      <c r="V1132" s="133"/>
      <c r="W1132" s="133"/>
    </row>
    <row r="1133" ht="12.75" customHeight="1">
      <c r="A1133" s="130"/>
      <c r="B1133" s="130"/>
      <c r="C1133" s="130"/>
      <c r="D1133" s="125"/>
      <c r="E1133" s="130"/>
      <c r="F1133" s="131"/>
      <c r="G1133" s="132"/>
      <c r="H1133" s="132"/>
      <c r="I1133" s="132"/>
      <c r="J1133" s="132"/>
      <c r="K1133" s="132"/>
      <c r="L1133" s="132"/>
      <c r="M1133" s="132"/>
      <c r="N1133" s="132"/>
      <c r="O1133" s="132"/>
      <c r="P1133" s="132"/>
      <c r="Q1133" s="132"/>
      <c r="R1133" s="132"/>
      <c r="S1133" s="132"/>
      <c r="T1133" s="132"/>
      <c r="U1133" s="133"/>
      <c r="V1133" s="133"/>
      <c r="W1133" s="133"/>
    </row>
    <row r="1134" ht="12.75" customHeight="1">
      <c r="A1134" s="130"/>
      <c r="B1134" s="130"/>
      <c r="C1134" s="130"/>
      <c r="D1134" s="125"/>
      <c r="E1134" s="130"/>
      <c r="F1134" s="131"/>
      <c r="G1134" s="132"/>
      <c r="H1134" s="132"/>
      <c r="I1134" s="132"/>
      <c r="J1134" s="132"/>
      <c r="K1134" s="132"/>
      <c r="L1134" s="132"/>
      <c r="M1134" s="132"/>
      <c r="N1134" s="132"/>
      <c r="O1134" s="132"/>
      <c r="P1134" s="132"/>
      <c r="Q1134" s="132"/>
      <c r="R1134" s="132"/>
      <c r="S1134" s="132"/>
      <c r="T1134" s="132"/>
      <c r="U1134" s="133"/>
      <c r="V1134" s="133"/>
      <c r="W1134" s="133"/>
    </row>
    <row r="1135" ht="12.75" customHeight="1">
      <c r="A1135" s="130"/>
      <c r="B1135" s="130"/>
      <c r="C1135" s="130"/>
      <c r="D1135" s="125"/>
      <c r="E1135" s="130"/>
      <c r="F1135" s="131"/>
      <c r="G1135" s="132"/>
      <c r="H1135" s="132"/>
      <c r="I1135" s="132"/>
      <c r="J1135" s="132"/>
      <c r="K1135" s="132"/>
      <c r="L1135" s="132"/>
      <c r="M1135" s="132"/>
      <c r="N1135" s="132"/>
      <c r="O1135" s="132"/>
      <c r="P1135" s="132"/>
      <c r="Q1135" s="132"/>
      <c r="R1135" s="132"/>
      <c r="S1135" s="132"/>
      <c r="T1135" s="132"/>
      <c r="U1135" s="133"/>
      <c r="V1135" s="133"/>
      <c r="W1135" s="133"/>
    </row>
    <row r="1136" ht="12.75" customHeight="1">
      <c r="A1136" s="130"/>
      <c r="B1136" s="130"/>
      <c r="C1136" s="130"/>
      <c r="D1136" s="125"/>
      <c r="E1136" s="130"/>
      <c r="F1136" s="131"/>
      <c r="G1136" s="132"/>
      <c r="H1136" s="132"/>
      <c r="I1136" s="132"/>
      <c r="J1136" s="132"/>
      <c r="K1136" s="132"/>
      <c r="L1136" s="132"/>
      <c r="M1136" s="132"/>
      <c r="N1136" s="132"/>
      <c r="O1136" s="132"/>
      <c r="P1136" s="132"/>
      <c r="Q1136" s="132"/>
      <c r="R1136" s="132"/>
      <c r="S1136" s="132"/>
      <c r="T1136" s="132"/>
      <c r="U1136" s="133"/>
      <c r="V1136" s="133"/>
      <c r="W1136" s="133"/>
    </row>
    <row r="1137" ht="12.75" customHeight="1">
      <c r="A1137" s="130"/>
      <c r="B1137" s="130"/>
      <c r="C1137" s="130"/>
      <c r="D1137" s="125"/>
      <c r="E1137" s="130"/>
      <c r="F1137" s="131"/>
      <c r="G1137" s="132"/>
      <c r="H1137" s="132"/>
      <c r="I1137" s="132"/>
      <c r="J1137" s="132"/>
      <c r="K1137" s="132"/>
      <c r="L1137" s="132"/>
      <c r="M1137" s="132"/>
      <c r="N1137" s="132"/>
      <c r="O1137" s="132"/>
      <c r="P1137" s="132"/>
      <c r="Q1137" s="132"/>
      <c r="R1137" s="132"/>
      <c r="S1137" s="132"/>
      <c r="T1137" s="132"/>
      <c r="U1137" s="133"/>
      <c r="V1137" s="133"/>
      <c r="W1137" s="133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45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0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SUMIF(B59:B1137,B23,G59:G1137)</f>
        <v>0</v>
      </c>
      <c r="G23" s="46">
        <f>SUMIF(B59:B1137,B23,H59:H1137)</f>
        <v>0</v>
      </c>
      <c r="H23" s="46">
        <f>SUMIF(B59:B1137,B23,I59:I1137)</f>
        <v>0</v>
      </c>
      <c r="I23" s="46">
        <f>SUMIF(B59:B1137,B23,P59:P1137)</f>
        <v>0</v>
      </c>
      <c r="J23" s="46">
        <f>SUMIF(B59:B1137,B23,Q59:Q1137)</f>
        <v>0</v>
      </c>
      <c r="K23" s="46">
        <f>SUMIF(B59:B1137,B23,R59:R1137)</f>
        <v>0</v>
      </c>
      <c r="L23" s="46">
        <f>SUMIF(B59:B1137,B23,S59:S1137)</f>
        <v>0</v>
      </c>
      <c r="M23" s="46">
        <f>SUMIF(B59:B1137,B23,M59:M1137)</f>
        <v>0</v>
      </c>
      <c r="N23" s="46">
        <f>SUMIF(B59:B1137,B23,N59:N1137)</f>
        <v>0</v>
      </c>
      <c r="O23" s="46">
        <f>SUMIF(B59:B1137,B23,O59:O1137)</f>
        <v>0</v>
      </c>
      <c r="P23" s="46">
        <f>SUMIF(B59:B1137,B23,J59:J1137)</f>
        <v>0</v>
      </c>
      <c r="Q23" s="46">
        <f>SUMIF(B59:B1137,B23,K59:K1137)</f>
        <v>0</v>
      </c>
      <c r="R23" s="50">
        <f>SUMIF(B59:B1137,B23,L59:L1137)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SUMIF(B62:B1137,B26,G62:G1137)</f>
        <v>0</v>
      </c>
      <c r="G26" s="46">
        <f>SUMIF(B62:B1137,B26,H62:H1137)</f>
        <v>0</v>
      </c>
      <c r="H26" s="46">
        <f>SUMIF(B62:B1137,B26,I62:I1137)</f>
        <v>0</v>
      </c>
      <c r="I26" s="46">
        <f>SUMIF(B62:B1137,B26,P62:P1137)</f>
        <v>0</v>
      </c>
      <c r="J26" s="46">
        <f>SUMIF(B62:B1137,B26,Q62:Q1137)</f>
        <v>0</v>
      </c>
      <c r="K26" s="46">
        <f>SUMIF(B62:B1137,B26,R62:R1137)</f>
        <v>0</v>
      </c>
      <c r="L26" s="46">
        <f>SUMIF(B62:B1137,B26,S62:S1137)</f>
        <v>0</v>
      </c>
      <c r="M26" s="46">
        <f>SUMIF(B62:B1137,B26,M62:M1137)</f>
        <v>0</v>
      </c>
      <c r="N26" s="46">
        <f>SUMIF(B62:B1137,B26,N62:N1137)</f>
        <v>0</v>
      </c>
      <c r="O26" s="46">
        <f>SUMIF(B62:B1137,B26,O62:O1137)</f>
        <v>0</v>
      </c>
      <c r="P26" s="46">
        <f>SUMIF(B62:B1137,B26,J62:J1137)</f>
        <v>0</v>
      </c>
      <c r="Q26" s="46">
        <f>SUMIF(B62:B1137,B26,K62:K1137)</f>
        <v>0</v>
      </c>
      <c r="R26" s="50">
        <f>SUMIF(B62:B1137,B26,L62:L1137)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60" si="5">IFERROR(I55/H55,0)</f>
        <v>0</v>
      </c>
      <c r="V55" s="72">
        <f t="shared" ref="V55:V60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74" t="s">
        <v>29</v>
      </c>
      <c r="B58" s="75"/>
      <c r="C58" s="75"/>
      <c r="D58" s="76"/>
      <c r="E58" s="76"/>
      <c r="F58" s="78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99" t="s">
        <v>29</v>
      </c>
      <c r="B59" s="90"/>
      <c r="C59" s="100" t="s">
        <v>72</v>
      </c>
      <c r="D59" s="101" t="s">
        <v>51</v>
      </c>
      <c r="E59" s="90"/>
      <c r="F59" s="100" t="s">
        <v>72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>
        <f t="shared" si="5"/>
        <v>0</v>
      </c>
      <c r="V59" s="72">
        <f t="shared" si="6"/>
        <v>0</v>
      </c>
      <c r="W59" s="73"/>
    </row>
    <row r="60" ht="20.25" customHeight="1">
      <c r="A60" s="87" t="s">
        <v>29</v>
      </c>
      <c r="B60" s="88"/>
      <c r="C60" s="88" t="s">
        <v>72</v>
      </c>
      <c r="D60" s="90"/>
      <c r="E60" s="90"/>
      <c r="F60" s="91" t="s">
        <v>73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si="5"/>
        <v>0</v>
      </c>
      <c r="V60" s="72">
        <f t="shared" si="6"/>
        <v>0</v>
      </c>
      <c r="W60" s="73"/>
    </row>
    <row r="61" ht="20.25" customHeight="1">
      <c r="A61" s="62" t="s">
        <v>35</v>
      </c>
      <c r="B61" s="63" t="s">
        <v>36</v>
      </c>
      <c r="C61" s="63" t="s">
        <v>37</v>
      </c>
      <c r="D61" s="64"/>
      <c r="E61" s="63" t="s">
        <v>38</v>
      </c>
      <c r="F61" s="63" t="s">
        <v>39</v>
      </c>
      <c r="G61" s="65" t="s">
        <v>40</v>
      </c>
      <c r="H61" s="65" t="s">
        <v>41</v>
      </c>
      <c r="I61" s="65" t="s">
        <v>42</v>
      </c>
      <c r="J61" s="65" t="s">
        <v>12</v>
      </c>
      <c r="K61" s="65" t="s">
        <v>43</v>
      </c>
      <c r="L61" s="65" t="s">
        <v>14</v>
      </c>
      <c r="M61" s="65" t="s">
        <v>9</v>
      </c>
      <c r="N61" s="65" t="s">
        <v>10</v>
      </c>
      <c r="O61" s="65" t="s">
        <v>44</v>
      </c>
      <c r="P61" s="65" t="s">
        <v>5</v>
      </c>
      <c r="Q61" s="65" t="s">
        <v>45</v>
      </c>
      <c r="R61" s="65" t="s">
        <v>46</v>
      </c>
      <c r="S61" s="65" t="s">
        <v>47</v>
      </c>
      <c r="T61" s="65" t="s">
        <v>0</v>
      </c>
      <c r="U61" s="63" t="s">
        <v>48</v>
      </c>
      <c r="V61" s="63" t="s">
        <v>49</v>
      </c>
      <c r="W61" s="98"/>
    </row>
    <row r="62" ht="12.75" customHeight="1">
      <c r="A62" s="102" t="s">
        <v>30</v>
      </c>
      <c r="B62" s="60"/>
      <c r="C62" s="60"/>
      <c r="D62" s="103" t="s">
        <v>51</v>
      </c>
      <c r="E62" s="60"/>
      <c r="F62" s="102" t="s">
        <v>30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ref="U62:U80" si="7">IFERROR(I62/H62,0)</f>
        <v>0</v>
      </c>
      <c r="V62" s="72">
        <f t="shared" ref="V62:V80" si="8">IFERROR(SUM(H62+L62)/G62,0)</f>
        <v>0</v>
      </c>
      <c r="W62" s="73"/>
    </row>
    <row r="63" ht="12.75" customHeight="1">
      <c r="A63" s="104" t="s">
        <v>30</v>
      </c>
      <c r="B63" s="60"/>
      <c r="C63" s="60"/>
      <c r="D63" s="59"/>
      <c r="E63" s="76"/>
      <c r="F63" s="104" t="s">
        <v>74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5" t="s">
        <v>30</v>
      </c>
      <c r="B64" s="105" t="s">
        <v>31</v>
      </c>
      <c r="C64" s="106"/>
      <c r="D64" s="107" t="s">
        <v>51</v>
      </c>
      <c r="E64" s="96"/>
      <c r="F64" s="105" t="s">
        <v>31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8" t="s">
        <v>31</v>
      </c>
      <c r="C65" s="108"/>
      <c r="D65" s="109"/>
      <c r="E65" s="70"/>
      <c r="F65" s="110" t="s">
        <v>75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04" t="s">
        <v>30</v>
      </c>
      <c r="B66" s="104" t="s">
        <v>31</v>
      </c>
      <c r="C66" s="104"/>
      <c r="D66" s="60"/>
      <c r="E66" s="76"/>
      <c r="F66" s="104" t="s">
        <v>76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32</v>
      </c>
      <c r="C67" s="105"/>
      <c r="D67" s="107" t="s">
        <v>51</v>
      </c>
      <c r="E67" s="82"/>
      <c r="F67" s="105" t="s">
        <v>32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8" t="s">
        <v>30</v>
      </c>
      <c r="B69" s="108" t="s">
        <v>32</v>
      </c>
      <c r="C69" s="108"/>
      <c r="D69" s="59"/>
      <c r="E69" s="76"/>
      <c r="F69" s="111" t="s">
        <v>78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5" t="s">
        <v>30</v>
      </c>
      <c r="B70" s="105" t="s">
        <v>33</v>
      </c>
      <c r="C70" s="105"/>
      <c r="D70" s="107" t="s">
        <v>51</v>
      </c>
      <c r="E70" s="82"/>
      <c r="F70" s="105" t="s">
        <v>33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04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04" t="s">
        <v>30</v>
      </c>
      <c r="B75" s="104" t="s">
        <v>33</v>
      </c>
      <c r="C75" s="104"/>
      <c r="D75" s="60"/>
      <c r="E75" s="76"/>
      <c r="F75" s="111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2" t="s">
        <v>30</v>
      </c>
      <c r="B76" s="113" t="s">
        <v>33</v>
      </c>
      <c r="C76" s="113" t="s">
        <v>84</v>
      </c>
      <c r="D76" s="114" t="s">
        <v>51</v>
      </c>
      <c r="E76" s="115"/>
      <c r="F76" s="113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84</v>
      </c>
      <c r="D77" s="118"/>
      <c r="E77" s="90"/>
      <c r="F77" s="117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84</v>
      </c>
      <c r="D78" s="119"/>
      <c r="E78" s="90"/>
      <c r="F78" s="117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84</v>
      </c>
      <c r="D79" s="119"/>
      <c r="E79" s="90"/>
      <c r="F79" s="117" t="s">
        <v>87</v>
      </c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>
        <f t="shared" si="7"/>
        <v>0</v>
      </c>
      <c r="V79" s="72">
        <f t="shared" si="8"/>
        <v>0</v>
      </c>
      <c r="W79" s="73"/>
    </row>
    <row r="80" ht="12.75" customHeight="1">
      <c r="A80" s="116" t="s">
        <v>30</v>
      </c>
      <c r="B80" s="117" t="s">
        <v>33</v>
      </c>
      <c r="C80" s="117" t="s">
        <v>84</v>
      </c>
      <c r="D80" s="119"/>
      <c r="E80" s="90"/>
      <c r="F80" s="117" t="s">
        <v>88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 t="shared" si="7"/>
        <v>0</v>
      </c>
      <c r="V80" s="72">
        <f t="shared" si="8"/>
        <v>0</v>
      </c>
      <c r="W80" s="73"/>
    </row>
    <row r="81" ht="20.25" customHeight="1">
      <c r="A81" s="62" t="s">
        <v>35</v>
      </c>
      <c r="B81" s="63" t="s">
        <v>36</v>
      </c>
      <c r="C81" s="63" t="s">
        <v>37</v>
      </c>
      <c r="D81" s="64"/>
      <c r="E81" s="63" t="s">
        <v>38</v>
      </c>
      <c r="F81" s="63" t="s">
        <v>39</v>
      </c>
      <c r="G81" s="65" t="s">
        <v>40</v>
      </c>
      <c r="H81" s="65" t="s">
        <v>41</v>
      </c>
      <c r="I81" s="65" t="s">
        <v>42</v>
      </c>
      <c r="J81" s="65" t="s">
        <v>12</v>
      </c>
      <c r="K81" s="65" t="s">
        <v>43</v>
      </c>
      <c r="L81" s="65" t="s">
        <v>14</v>
      </c>
      <c r="M81" s="65" t="s">
        <v>9</v>
      </c>
      <c r="N81" s="65" t="s">
        <v>10</v>
      </c>
      <c r="O81" s="65" t="s">
        <v>44</v>
      </c>
      <c r="P81" s="65" t="s">
        <v>5</v>
      </c>
      <c r="Q81" s="65" t="s">
        <v>45</v>
      </c>
      <c r="R81" s="65" t="s">
        <v>46</v>
      </c>
      <c r="S81" s="65" t="s">
        <v>47</v>
      </c>
      <c r="T81" s="65" t="s">
        <v>0</v>
      </c>
      <c r="U81" s="63" t="s">
        <v>48</v>
      </c>
      <c r="V81" s="63" t="s">
        <v>49</v>
      </c>
      <c r="W81" s="98"/>
    </row>
    <row r="82" ht="12.75" customHeight="1">
      <c r="A82" s="102" t="s">
        <v>34</v>
      </c>
      <c r="B82" s="102"/>
      <c r="C82" s="102"/>
      <c r="D82" s="120" t="s">
        <v>51</v>
      </c>
      <c r="E82" s="76"/>
      <c r="F82" s="102" t="s">
        <v>34</v>
      </c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>
        <f>IFERROR(I82/H82,0)</f>
        <v>0</v>
      </c>
      <c r="V82" s="72">
        <f>IFERROR(SUM(H82+L82)/G82,0)</f>
        <v>0</v>
      </c>
      <c r="W82" s="7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1"/>
      <c r="B600" s="121"/>
      <c r="C600" s="121"/>
      <c r="D600" s="1"/>
      <c r="E600" s="121"/>
      <c r="F600" s="11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3"/>
      <c r="V600" s="123"/>
      <c r="W600" s="12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30"/>
      <c r="B1074" s="130"/>
      <c r="C1074" s="130"/>
      <c r="D1074" s="125"/>
      <c r="E1074" s="130"/>
      <c r="F1074" s="131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  <c r="W1074" s="133"/>
    </row>
    <row r="1075" ht="12.75" customHeight="1">
      <c r="A1075" s="130"/>
      <c r="B1075" s="130"/>
      <c r="C1075" s="130"/>
      <c r="D1075" s="125"/>
      <c r="E1075" s="130"/>
      <c r="F1075" s="131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  <c r="W1075" s="133"/>
    </row>
    <row r="1076" ht="12.75" customHeight="1">
      <c r="A1076" s="130"/>
      <c r="B1076" s="130"/>
      <c r="C1076" s="130"/>
      <c r="D1076" s="125"/>
      <c r="E1076" s="130"/>
      <c r="F1076" s="131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  <c r="W1076" s="133"/>
    </row>
    <row r="1077" ht="12.75" customHeight="1">
      <c r="A1077" s="130"/>
      <c r="B1077" s="130"/>
      <c r="C1077" s="130"/>
      <c r="D1077" s="125"/>
      <c r="E1077" s="130"/>
      <c r="F1077" s="131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  <c r="W1077" s="133"/>
    </row>
    <row r="1078" ht="12.75" customHeight="1">
      <c r="A1078" s="130"/>
      <c r="B1078" s="130"/>
      <c r="C1078" s="130"/>
      <c r="D1078" s="125"/>
      <c r="E1078" s="130"/>
      <c r="F1078" s="131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  <c r="W1078" s="133"/>
    </row>
    <row r="1079" ht="12.75" customHeight="1">
      <c r="A1079" s="130"/>
      <c r="B1079" s="130"/>
      <c r="C1079" s="130"/>
      <c r="D1079" s="125"/>
      <c r="E1079" s="130"/>
      <c r="F1079" s="131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  <c r="W1079" s="133"/>
    </row>
    <row r="1080" ht="12.75" customHeight="1">
      <c r="A1080" s="130"/>
      <c r="B1080" s="130"/>
      <c r="C1080" s="130"/>
      <c r="D1080" s="125"/>
      <c r="E1080" s="130"/>
      <c r="F1080" s="131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  <c r="W1080" s="133"/>
    </row>
    <row r="1081" ht="12.75" customHeight="1">
      <c r="A1081" s="130"/>
      <c r="B1081" s="130"/>
      <c r="C1081" s="130"/>
      <c r="D1081" s="125"/>
      <c r="E1081" s="130"/>
      <c r="F1081" s="131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  <c r="W1081" s="133"/>
    </row>
    <row r="1082" ht="12.75" customHeight="1">
      <c r="A1082" s="130"/>
      <c r="B1082" s="130"/>
      <c r="C1082" s="130"/>
      <c r="D1082" s="125"/>
      <c r="E1082" s="130"/>
      <c r="F1082" s="131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  <c r="W1082" s="133"/>
    </row>
    <row r="1083" ht="12.75" customHeight="1">
      <c r="A1083" s="130"/>
      <c r="B1083" s="130"/>
      <c r="C1083" s="130"/>
      <c r="D1083" s="125"/>
      <c r="E1083" s="130"/>
      <c r="F1083" s="131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  <c r="W1083" s="133"/>
    </row>
    <row r="1084" ht="12.75" customHeight="1">
      <c r="A1084" s="130"/>
      <c r="B1084" s="130"/>
      <c r="C1084" s="130"/>
      <c r="D1084" s="125"/>
      <c r="E1084" s="130"/>
      <c r="F1084" s="131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  <c r="W1084" s="133"/>
    </row>
    <row r="1085" ht="12.75" customHeight="1">
      <c r="A1085" s="130"/>
      <c r="B1085" s="130"/>
      <c r="C1085" s="130"/>
      <c r="D1085" s="125"/>
      <c r="E1085" s="130"/>
      <c r="F1085" s="131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  <c r="W1085" s="133"/>
    </row>
    <row r="1086" ht="12.75" customHeight="1">
      <c r="A1086" s="130"/>
      <c r="B1086" s="130"/>
      <c r="C1086" s="130"/>
      <c r="D1086" s="125"/>
      <c r="E1086" s="130"/>
      <c r="F1086" s="131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  <c r="W1086" s="133"/>
    </row>
    <row r="1087" ht="12.75" customHeight="1">
      <c r="A1087" s="130"/>
      <c r="B1087" s="130"/>
      <c r="C1087" s="130"/>
      <c r="D1087" s="125"/>
      <c r="E1087" s="130"/>
      <c r="F1087" s="131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  <c r="W1087" s="133"/>
    </row>
    <row r="1088" ht="12.75" customHeight="1">
      <c r="A1088" s="130"/>
      <c r="B1088" s="130"/>
      <c r="C1088" s="130"/>
      <c r="D1088" s="125"/>
      <c r="E1088" s="130"/>
      <c r="F1088" s="131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  <c r="W1088" s="133"/>
    </row>
    <row r="1089" ht="12.75" customHeight="1">
      <c r="A1089" s="130"/>
      <c r="B1089" s="130"/>
      <c r="C1089" s="130"/>
      <c r="D1089" s="125"/>
      <c r="E1089" s="130"/>
      <c r="F1089" s="131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  <c r="W1089" s="133"/>
    </row>
    <row r="1090" ht="12.75" customHeight="1">
      <c r="A1090" s="130"/>
      <c r="B1090" s="130"/>
      <c r="C1090" s="130"/>
      <c r="D1090" s="125"/>
      <c r="E1090" s="130"/>
      <c r="F1090" s="131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  <c r="W1090" s="133"/>
    </row>
    <row r="1091" ht="12.75" customHeight="1">
      <c r="A1091" s="130"/>
      <c r="B1091" s="130"/>
      <c r="C1091" s="130"/>
      <c r="D1091" s="125"/>
      <c r="E1091" s="130"/>
      <c r="F1091" s="131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  <c r="W1091" s="133"/>
    </row>
    <row r="1092" ht="12.75" customHeight="1">
      <c r="A1092" s="130"/>
      <c r="B1092" s="130"/>
      <c r="C1092" s="130"/>
      <c r="D1092" s="125"/>
      <c r="E1092" s="130"/>
      <c r="F1092" s="131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  <c r="W1092" s="133"/>
    </row>
    <row r="1093" ht="12.75" customHeight="1">
      <c r="A1093" s="130"/>
      <c r="B1093" s="130"/>
      <c r="C1093" s="130"/>
      <c r="D1093" s="125"/>
      <c r="E1093" s="130"/>
      <c r="F1093" s="131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  <c r="W1093" s="133"/>
    </row>
    <row r="1094" ht="12.75" customHeight="1">
      <c r="A1094" s="130"/>
      <c r="B1094" s="130"/>
      <c r="C1094" s="130"/>
      <c r="D1094" s="125"/>
      <c r="E1094" s="130"/>
      <c r="F1094" s="131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  <c r="W1094" s="133"/>
    </row>
    <row r="1095" ht="12.75" customHeight="1">
      <c r="A1095" s="130"/>
      <c r="B1095" s="130"/>
      <c r="C1095" s="130"/>
      <c r="D1095" s="125"/>
      <c r="E1095" s="130"/>
      <c r="F1095" s="131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  <c r="W1095" s="133"/>
    </row>
    <row r="1096" ht="12.75" customHeight="1">
      <c r="A1096" s="130"/>
      <c r="B1096" s="130"/>
      <c r="C1096" s="130"/>
      <c r="D1096" s="125"/>
      <c r="E1096" s="130"/>
      <c r="F1096" s="131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  <c r="W1096" s="133"/>
    </row>
    <row r="1097" ht="12.75" customHeight="1">
      <c r="A1097" s="130"/>
      <c r="B1097" s="130"/>
      <c r="C1097" s="130"/>
      <c r="D1097" s="125"/>
      <c r="E1097" s="130"/>
      <c r="F1097" s="131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  <c r="W1097" s="133"/>
    </row>
    <row r="1098" ht="12.75" customHeight="1">
      <c r="A1098" s="130"/>
      <c r="B1098" s="130"/>
      <c r="C1098" s="130"/>
      <c r="D1098" s="125"/>
      <c r="E1098" s="130"/>
      <c r="F1098" s="131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  <c r="W1098" s="133"/>
    </row>
    <row r="1099" ht="12.75" customHeight="1">
      <c r="A1099" s="130"/>
      <c r="B1099" s="130"/>
      <c r="C1099" s="130"/>
      <c r="D1099" s="125"/>
      <c r="E1099" s="130"/>
      <c r="F1099" s="131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  <c r="W1099" s="133"/>
    </row>
    <row r="1100" ht="12.75" customHeight="1">
      <c r="A1100" s="130"/>
      <c r="B1100" s="130"/>
      <c r="C1100" s="130"/>
      <c r="D1100" s="125"/>
      <c r="E1100" s="130"/>
      <c r="F1100" s="131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  <c r="W1100" s="133"/>
    </row>
    <row r="1101" ht="12.75" customHeight="1">
      <c r="A1101" s="130"/>
      <c r="B1101" s="130"/>
      <c r="C1101" s="130"/>
      <c r="D1101" s="125"/>
      <c r="E1101" s="130"/>
      <c r="F1101" s="131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  <c r="W1101" s="133"/>
    </row>
    <row r="1102" ht="12.75" customHeight="1">
      <c r="A1102" s="130"/>
      <c r="B1102" s="130"/>
      <c r="C1102" s="130"/>
      <c r="D1102" s="125"/>
      <c r="E1102" s="130"/>
      <c r="F1102" s="131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  <c r="W1102" s="133"/>
    </row>
    <row r="1103" ht="12.75" customHeight="1">
      <c r="A1103" s="130"/>
      <c r="B1103" s="130"/>
      <c r="C1103" s="130"/>
      <c r="D1103" s="125"/>
      <c r="E1103" s="130"/>
      <c r="F1103" s="131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  <c r="W1103" s="133"/>
    </row>
    <row r="1104" ht="12.75" customHeight="1">
      <c r="A1104" s="130"/>
      <c r="B1104" s="130"/>
      <c r="C1104" s="130"/>
      <c r="D1104" s="125"/>
      <c r="E1104" s="130"/>
      <c r="F1104" s="131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  <c r="W1104" s="133"/>
    </row>
    <row r="1105" ht="12.75" customHeight="1">
      <c r="A1105" s="130"/>
      <c r="B1105" s="130"/>
      <c r="C1105" s="130"/>
      <c r="D1105" s="125"/>
      <c r="E1105" s="130"/>
      <c r="F1105" s="131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  <c r="W1105" s="133"/>
    </row>
    <row r="1106" ht="12.75" customHeight="1">
      <c r="A1106" s="130"/>
      <c r="B1106" s="130"/>
      <c r="C1106" s="130"/>
      <c r="D1106" s="125"/>
      <c r="E1106" s="130"/>
      <c r="F1106" s="131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  <c r="W1106" s="133"/>
    </row>
    <row r="1107" ht="12.75" customHeight="1">
      <c r="A1107" s="130"/>
      <c r="B1107" s="130"/>
      <c r="C1107" s="130"/>
      <c r="D1107" s="125"/>
      <c r="E1107" s="130"/>
      <c r="F1107" s="131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  <c r="W1107" s="133"/>
    </row>
    <row r="1108" ht="12.75" customHeight="1">
      <c r="A1108" s="130"/>
      <c r="B1108" s="130"/>
      <c r="C1108" s="130"/>
      <c r="D1108" s="125"/>
      <c r="E1108" s="130"/>
      <c r="F1108" s="131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  <c r="W1108" s="133"/>
    </row>
    <row r="1109" ht="12.75" customHeight="1">
      <c r="A1109" s="130"/>
      <c r="B1109" s="130"/>
      <c r="C1109" s="130"/>
      <c r="D1109" s="125"/>
      <c r="E1109" s="130"/>
      <c r="F1109" s="131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  <c r="W1109" s="133"/>
    </row>
    <row r="1110" ht="12.75" customHeight="1">
      <c r="A1110" s="130"/>
      <c r="B1110" s="130"/>
      <c r="C1110" s="130"/>
      <c r="D1110" s="125"/>
      <c r="E1110" s="130"/>
      <c r="F1110" s="131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  <c r="W1110" s="133"/>
    </row>
    <row r="1111" ht="12.75" customHeight="1">
      <c r="A1111" s="130"/>
      <c r="B1111" s="130"/>
      <c r="C1111" s="130"/>
      <c r="D1111" s="125"/>
      <c r="E1111" s="130"/>
      <c r="F1111" s="131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  <c r="W1111" s="133"/>
    </row>
    <row r="1112" ht="12.75" customHeight="1">
      <c r="A1112" s="130"/>
      <c r="B1112" s="130"/>
      <c r="C1112" s="130"/>
      <c r="D1112" s="125"/>
      <c r="E1112" s="130"/>
      <c r="F1112" s="131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  <c r="W1112" s="133"/>
    </row>
    <row r="1113" ht="12.75" customHeight="1">
      <c r="A1113" s="130"/>
      <c r="B1113" s="130"/>
      <c r="C1113" s="130"/>
      <c r="D1113" s="125"/>
      <c r="E1113" s="130"/>
      <c r="F1113" s="131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  <c r="W1113" s="133"/>
    </row>
    <row r="1114" ht="12.75" customHeight="1">
      <c r="A1114" s="130"/>
      <c r="B1114" s="130"/>
      <c r="C1114" s="130"/>
      <c r="D1114" s="125"/>
      <c r="E1114" s="130"/>
      <c r="F1114" s="131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  <c r="W1114" s="133"/>
    </row>
    <row r="1115" ht="12.75" customHeight="1">
      <c r="A1115" s="130"/>
      <c r="B1115" s="130"/>
      <c r="C1115" s="130"/>
      <c r="D1115" s="125"/>
      <c r="E1115" s="130"/>
      <c r="F1115" s="131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  <c r="W1115" s="133"/>
    </row>
    <row r="1116" ht="12.75" customHeight="1">
      <c r="A1116" s="130"/>
      <c r="B1116" s="130"/>
      <c r="C1116" s="130"/>
      <c r="D1116" s="125"/>
      <c r="E1116" s="130"/>
      <c r="F1116" s="131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  <c r="W1116" s="133"/>
    </row>
    <row r="1117" ht="12.75" customHeight="1">
      <c r="A1117" s="130"/>
      <c r="B1117" s="130"/>
      <c r="C1117" s="130"/>
      <c r="D1117" s="125"/>
      <c r="E1117" s="130"/>
      <c r="F1117" s="131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  <c r="W1117" s="133"/>
    </row>
    <row r="1118" ht="12.75" customHeight="1">
      <c r="A1118" s="130"/>
      <c r="B1118" s="130"/>
      <c r="C1118" s="130"/>
      <c r="D1118" s="125"/>
      <c r="E1118" s="130"/>
      <c r="F1118" s="131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  <c r="W1118" s="133"/>
    </row>
    <row r="1119" ht="12.75" customHeight="1">
      <c r="A1119" s="130"/>
      <c r="B1119" s="130"/>
      <c r="C1119" s="130"/>
      <c r="D1119" s="125"/>
      <c r="E1119" s="130"/>
      <c r="F1119" s="131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  <c r="W1119" s="133"/>
    </row>
    <row r="1120" ht="12.75" customHeight="1">
      <c r="A1120" s="130"/>
      <c r="B1120" s="130"/>
      <c r="C1120" s="130"/>
      <c r="D1120" s="125"/>
      <c r="E1120" s="130"/>
      <c r="F1120" s="131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  <c r="W1120" s="133"/>
    </row>
    <row r="1121" ht="12.75" customHeight="1">
      <c r="A1121" s="130"/>
      <c r="B1121" s="130"/>
      <c r="C1121" s="130"/>
      <c r="D1121" s="125"/>
      <c r="E1121" s="130"/>
      <c r="F1121" s="131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  <c r="W1121" s="133"/>
    </row>
    <row r="1122" ht="12.75" customHeight="1">
      <c r="A1122" s="130"/>
      <c r="B1122" s="130"/>
      <c r="C1122" s="130"/>
      <c r="D1122" s="125"/>
      <c r="E1122" s="130"/>
      <c r="F1122" s="131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  <c r="W1122" s="133"/>
    </row>
    <row r="1123" ht="12.75" customHeight="1">
      <c r="A1123" s="130"/>
      <c r="B1123" s="130"/>
      <c r="C1123" s="130"/>
      <c r="D1123" s="125"/>
      <c r="E1123" s="130"/>
      <c r="F1123" s="131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  <c r="W1123" s="133"/>
    </row>
    <row r="1124" ht="12.75" customHeight="1">
      <c r="A1124" s="130"/>
      <c r="B1124" s="130"/>
      <c r="C1124" s="130"/>
      <c r="D1124" s="125"/>
      <c r="E1124" s="130"/>
      <c r="F1124" s="131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  <c r="W1124" s="133"/>
    </row>
    <row r="1125" ht="12.75" customHeight="1">
      <c r="A1125" s="130"/>
      <c r="B1125" s="130"/>
      <c r="C1125" s="130"/>
      <c r="D1125" s="125"/>
      <c r="E1125" s="130"/>
      <c r="F1125" s="131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  <c r="W1125" s="133"/>
    </row>
    <row r="1126" ht="12.75" customHeight="1">
      <c r="A1126" s="130"/>
      <c r="B1126" s="130"/>
      <c r="C1126" s="130"/>
      <c r="D1126" s="125"/>
      <c r="E1126" s="130"/>
      <c r="F1126" s="131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  <c r="W1126" s="133"/>
    </row>
    <row r="1127" ht="12.75" customHeight="1">
      <c r="A1127" s="130"/>
      <c r="B1127" s="130"/>
      <c r="C1127" s="130"/>
      <c r="D1127" s="125"/>
      <c r="E1127" s="130"/>
      <c r="F1127" s="131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  <c r="W1127" s="133"/>
    </row>
    <row r="1128" ht="12.75" customHeight="1">
      <c r="A1128" s="130"/>
      <c r="B1128" s="130"/>
      <c r="C1128" s="130"/>
      <c r="D1128" s="125"/>
      <c r="E1128" s="130"/>
      <c r="F1128" s="131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  <c r="W1128" s="133"/>
    </row>
    <row r="1129" ht="12.75" customHeight="1">
      <c r="A1129" s="130"/>
      <c r="B1129" s="130"/>
      <c r="C1129" s="130"/>
      <c r="D1129" s="125"/>
      <c r="E1129" s="130"/>
      <c r="F1129" s="131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  <c r="W1129" s="133"/>
    </row>
    <row r="1130" ht="12.75" customHeight="1">
      <c r="A1130" s="130"/>
      <c r="B1130" s="130"/>
      <c r="C1130" s="130"/>
      <c r="D1130" s="125"/>
      <c r="E1130" s="130"/>
      <c r="F1130" s="131"/>
      <c r="G1130" s="132"/>
      <c r="H1130" s="132"/>
      <c r="I1130" s="132"/>
      <c r="J1130" s="132"/>
      <c r="K1130" s="132"/>
      <c r="L1130" s="132"/>
      <c r="M1130" s="132"/>
      <c r="N1130" s="132"/>
      <c r="O1130" s="132"/>
      <c r="P1130" s="132"/>
      <c r="Q1130" s="132"/>
      <c r="R1130" s="132"/>
      <c r="S1130" s="132"/>
      <c r="T1130" s="132"/>
      <c r="U1130" s="133"/>
      <c r="V1130" s="133"/>
      <c r="W1130" s="133"/>
    </row>
    <row r="1131" ht="12.75" customHeight="1">
      <c r="A1131" s="130"/>
      <c r="B1131" s="130"/>
      <c r="C1131" s="130"/>
      <c r="D1131" s="125"/>
      <c r="E1131" s="130"/>
      <c r="F1131" s="131"/>
      <c r="G1131" s="132"/>
      <c r="H1131" s="132"/>
      <c r="I1131" s="132"/>
      <c r="J1131" s="132"/>
      <c r="K1131" s="132"/>
      <c r="L1131" s="132"/>
      <c r="M1131" s="132"/>
      <c r="N1131" s="132"/>
      <c r="O1131" s="132"/>
      <c r="P1131" s="132"/>
      <c r="Q1131" s="132"/>
      <c r="R1131" s="132"/>
      <c r="S1131" s="132"/>
      <c r="T1131" s="132"/>
      <c r="U1131" s="133"/>
      <c r="V1131" s="133"/>
      <c r="W1131" s="133"/>
    </row>
    <row r="1132" ht="12.75" customHeight="1">
      <c r="A1132" s="130"/>
      <c r="B1132" s="130"/>
      <c r="C1132" s="130"/>
      <c r="D1132" s="125"/>
      <c r="E1132" s="130"/>
      <c r="F1132" s="131"/>
      <c r="G1132" s="132"/>
      <c r="H1132" s="132"/>
      <c r="I1132" s="132"/>
      <c r="J1132" s="132"/>
      <c r="K1132" s="132"/>
      <c r="L1132" s="132"/>
      <c r="M1132" s="132"/>
      <c r="N1132" s="132"/>
      <c r="O1132" s="132"/>
      <c r="P1132" s="132"/>
      <c r="Q1132" s="132"/>
      <c r="R1132" s="132"/>
      <c r="S1132" s="132"/>
      <c r="T1132" s="132"/>
      <c r="U1132" s="133"/>
      <c r="V1132" s="133"/>
      <c r="W1132" s="133"/>
    </row>
    <row r="1133" ht="12.75" customHeight="1">
      <c r="A1133" s="130"/>
      <c r="B1133" s="130"/>
      <c r="C1133" s="130"/>
      <c r="D1133" s="125"/>
      <c r="E1133" s="130"/>
      <c r="F1133" s="131"/>
      <c r="G1133" s="132"/>
      <c r="H1133" s="132"/>
      <c r="I1133" s="132"/>
      <c r="J1133" s="132"/>
      <c r="K1133" s="132"/>
      <c r="L1133" s="132"/>
      <c r="M1133" s="132"/>
      <c r="N1133" s="132"/>
      <c r="O1133" s="132"/>
      <c r="P1133" s="132"/>
      <c r="Q1133" s="132"/>
      <c r="R1133" s="132"/>
      <c r="S1133" s="132"/>
      <c r="T1133" s="132"/>
      <c r="U1133" s="133"/>
      <c r="V1133" s="133"/>
      <c r="W1133" s="133"/>
    </row>
    <row r="1134" ht="12.75" customHeight="1">
      <c r="A1134" s="130"/>
      <c r="B1134" s="130"/>
      <c r="C1134" s="130"/>
      <c r="D1134" s="125"/>
      <c r="E1134" s="130"/>
      <c r="F1134" s="131"/>
      <c r="G1134" s="132"/>
      <c r="H1134" s="132"/>
      <c r="I1134" s="132"/>
      <c r="J1134" s="132"/>
      <c r="K1134" s="132"/>
      <c r="L1134" s="132"/>
      <c r="M1134" s="132"/>
      <c r="N1134" s="132"/>
      <c r="O1134" s="132"/>
      <c r="P1134" s="132"/>
      <c r="Q1134" s="132"/>
      <c r="R1134" s="132"/>
      <c r="S1134" s="132"/>
      <c r="T1134" s="132"/>
      <c r="U1134" s="133"/>
      <c r="V1134" s="133"/>
      <c r="W1134" s="133"/>
    </row>
    <row r="1135" ht="12.75" customHeight="1">
      <c r="A1135" s="130"/>
      <c r="B1135" s="130"/>
      <c r="C1135" s="130"/>
      <c r="D1135" s="125"/>
      <c r="E1135" s="130"/>
      <c r="F1135" s="131"/>
      <c r="G1135" s="132"/>
      <c r="H1135" s="132"/>
      <c r="I1135" s="132"/>
      <c r="J1135" s="132"/>
      <c r="K1135" s="132"/>
      <c r="L1135" s="132"/>
      <c r="M1135" s="132"/>
      <c r="N1135" s="132"/>
      <c r="O1135" s="132"/>
      <c r="P1135" s="132"/>
      <c r="Q1135" s="132"/>
      <c r="R1135" s="132"/>
      <c r="S1135" s="132"/>
      <c r="T1135" s="132"/>
      <c r="U1135" s="133"/>
      <c r="V1135" s="133"/>
      <c r="W1135" s="133"/>
    </row>
    <row r="1136" ht="12.75" customHeight="1">
      <c r="A1136" s="130"/>
      <c r="B1136" s="130"/>
      <c r="C1136" s="130"/>
      <c r="D1136" s="125"/>
      <c r="E1136" s="130"/>
      <c r="F1136" s="131"/>
      <c r="G1136" s="132"/>
      <c r="H1136" s="132"/>
      <c r="I1136" s="132"/>
      <c r="J1136" s="132"/>
      <c r="K1136" s="132"/>
      <c r="L1136" s="132"/>
      <c r="M1136" s="132"/>
      <c r="N1136" s="132"/>
      <c r="O1136" s="132"/>
      <c r="P1136" s="132"/>
      <c r="Q1136" s="132"/>
      <c r="R1136" s="132"/>
      <c r="S1136" s="132"/>
      <c r="T1136" s="132"/>
      <c r="U1136" s="133"/>
      <c r="V1136" s="133"/>
      <c r="W1136" s="133"/>
    </row>
    <row r="1137" ht="12.75" customHeight="1">
      <c r="A1137" s="130"/>
      <c r="B1137" s="130"/>
      <c r="C1137" s="130"/>
      <c r="D1137" s="125"/>
      <c r="E1137" s="130"/>
      <c r="F1137" s="131"/>
      <c r="G1137" s="132"/>
      <c r="H1137" s="132"/>
      <c r="I1137" s="132"/>
      <c r="J1137" s="132"/>
      <c r="K1137" s="132"/>
      <c r="L1137" s="132"/>
      <c r="M1137" s="132"/>
      <c r="N1137" s="132"/>
      <c r="O1137" s="132"/>
      <c r="P1137" s="132"/>
      <c r="Q1137" s="132"/>
      <c r="R1137" s="132"/>
      <c r="S1137" s="132"/>
      <c r="T1137" s="132"/>
      <c r="U1137" s="133"/>
      <c r="V1137" s="133"/>
      <c r="W1137" s="133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7.0" customHeight="1">
      <c r="A1" s="134" t="s">
        <v>89</v>
      </c>
      <c r="B1" s="134" t="s">
        <v>90</v>
      </c>
      <c r="C1" s="134" t="s">
        <v>35</v>
      </c>
      <c r="D1" s="134" t="s">
        <v>91</v>
      </c>
      <c r="E1" s="134" t="s">
        <v>0</v>
      </c>
      <c r="F1" s="134" t="s">
        <v>92</v>
      </c>
      <c r="G1" s="134" t="s">
        <v>93</v>
      </c>
      <c r="H1" s="134" t="s">
        <v>94</v>
      </c>
      <c r="I1" s="134" t="s">
        <v>95</v>
      </c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>
      <c r="A2" s="136" t="s">
        <v>96</v>
      </c>
      <c r="B2" s="136" t="s">
        <v>97</v>
      </c>
      <c r="C2" s="136" t="s">
        <v>98</v>
      </c>
      <c r="D2" s="137">
        <v>46160.0</v>
      </c>
      <c r="E2" s="136">
        <v>2809.2</v>
      </c>
      <c r="F2" s="136" t="s">
        <v>99</v>
      </c>
      <c r="G2" s="136" t="s">
        <v>100</v>
      </c>
      <c r="H2" s="136" t="s">
        <v>101</v>
      </c>
      <c r="I2" s="136" t="s">
        <v>102</v>
      </c>
    </row>
    <row r="3">
      <c r="A3" s="136" t="s">
        <v>103</v>
      </c>
      <c r="B3" s="136" t="s">
        <v>104</v>
      </c>
      <c r="C3" s="136" t="s">
        <v>105</v>
      </c>
      <c r="D3" s="137">
        <v>46160.0</v>
      </c>
      <c r="E3" s="136">
        <v>1000.08</v>
      </c>
      <c r="F3" s="136" t="s">
        <v>99</v>
      </c>
      <c r="G3" s="136" t="s">
        <v>106</v>
      </c>
      <c r="H3" s="136" t="s">
        <v>107</v>
      </c>
      <c r="I3" s="136" t="s">
        <v>102</v>
      </c>
    </row>
    <row r="4">
      <c r="A4" s="136" t="s">
        <v>108</v>
      </c>
      <c r="B4" s="136" t="s">
        <v>109</v>
      </c>
      <c r="C4" s="136" t="s">
        <v>105</v>
      </c>
      <c r="D4" s="137">
        <v>46157.0</v>
      </c>
      <c r="E4" s="136">
        <v>2884.44</v>
      </c>
      <c r="F4" s="136" t="s">
        <v>99</v>
      </c>
      <c r="G4" s="136" t="s">
        <v>106</v>
      </c>
      <c r="H4" s="136" t="s">
        <v>110</v>
      </c>
      <c r="I4" s="136" t="s">
        <v>102</v>
      </c>
    </row>
  </sheetData>
  <drawing r:id="rId1"/>
</worksheet>
</file>